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CA2EE553-BF26-4597-8C94-BFAA33EC47A3}" xr6:coauthVersionLast="47" xr6:coauthVersionMax="47" xr10:uidLastSave="{00000000-0000-0000-0000-000000000000}"/>
  <bookViews>
    <workbookView xWindow="-108" yWindow="-108" windowWidth="23256" windowHeight="12576" tabRatio="408" firstSheet="1" activeTab="1" xr2:uid="{00000000-000D-0000-FFFF-FFFF00000000}"/>
  </bookViews>
  <sheets>
    <sheet name="Отчеты" sheetId="1" r:id="rId1"/>
    <sheet name="нормы" sheetId="4" r:id="rId2"/>
    <sheet name="ЛКЦ" sheetId="7" r:id="rId3"/>
    <sheet name="НОВЫЕ ПРОДУКТЫ" sheetId="5" state="hidden" r:id="rId4"/>
    <sheet name="Лист2" sheetId="6" state="hidden" r:id="rId5"/>
  </sheets>
  <externalReferences>
    <externalReference r:id="rId6"/>
  </externalReferences>
  <definedNames>
    <definedName name="_xlnm._FilterDatabase" localSheetId="1" hidden="1">нормы!$A$13:$E$15</definedName>
    <definedName name="_xlnm._FilterDatabase" localSheetId="0" hidden="1">Отчеты!$A$9:$BC$1869</definedName>
    <definedName name="_xlnm.Print_Area" localSheetId="1">нормы!$A$1:$BI$15</definedName>
  </definedNames>
  <calcPr calcId="191029"/>
</workbook>
</file>

<file path=xl/calcChain.xml><?xml version="1.0" encoding="utf-8"?>
<calcChain xmlns="http://schemas.openxmlformats.org/spreadsheetml/2006/main">
  <c r="BN21" i="4" l="1"/>
  <c r="L13" i="7"/>
  <c r="K5" i="7"/>
  <c r="J14" i="7"/>
  <c r="J13" i="7"/>
  <c r="BP21" i="4"/>
  <c r="BL21" i="4"/>
  <c r="BO15" i="4"/>
  <c r="BK15" i="4"/>
  <c r="BL15" i="4"/>
  <c r="N13" i="7"/>
  <c r="B21" i="7" s="1"/>
  <c r="M13" i="7"/>
  <c r="K13" i="7"/>
  <c r="BM21" i="4" s="1"/>
  <c r="C21" i="7"/>
  <c r="N12" i="7"/>
  <c r="B20" i="7" s="1"/>
  <c r="M12" i="7"/>
  <c r="L12" i="7"/>
  <c r="E20" i="7" s="1"/>
  <c r="K12" i="7"/>
  <c r="BM15" i="4" s="1"/>
  <c r="J12" i="7"/>
  <c r="BP15" i="4" s="1"/>
  <c r="M5" i="7"/>
  <c r="L5" i="7"/>
  <c r="BK21" i="4" s="1"/>
  <c r="BJ21" i="4"/>
  <c r="J5" i="7"/>
  <c r="M4" i="7"/>
  <c r="F20" i="7" s="1"/>
  <c r="L4" i="7"/>
  <c r="K4" i="7"/>
  <c r="BJ15" i="4" s="1"/>
  <c r="J4" i="7"/>
  <c r="I13" i="7"/>
  <c r="I14" i="7"/>
  <c r="L14" i="7" s="1"/>
  <c r="BN22" i="4" s="1"/>
  <c r="I12" i="7"/>
  <c r="I5" i="7"/>
  <c r="I6" i="7"/>
  <c r="J6" i="7" s="1"/>
  <c r="I4" i="7"/>
  <c r="AP22" i="4"/>
  <c r="AQ22" i="4" s="1"/>
  <c r="M22" i="4" s="1"/>
  <c r="AK22" i="4"/>
  <c r="AH22" i="4"/>
  <c r="AF22" i="4"/>
  <c r="AD22" i="4"/>
  <c r="AB22" i="4"/>
  <c r="Z22" i="4"/>
  <c r="X22" i="4"/>
  <c r="V22" i="4"/>
  <c r="T22" i="4"/>
  <c r="AJ22" i="4" s="1"/>
  <c r="R22" i="4"/>
  <c r="P22" i="4"/>
  <c r="K14" i="7" l="1"/>
  <c r="BM22" i="4" s="1"/>
  <c r="K6" i="7"/>
  <c r="BJ22" i="4" s="1"/>
  <c r="L6" i="7"/>
  <c r="BK22" i="4" s="1"/>
  <c r="M6" i="7"/>
  <c r="M14" i="7"/>
  <c r="N14" i="7"/>
  <c r="BO22" i="4" s="1"/>
  <c r="BP22" i="4"/>
  <c r="BO21" i="4"/>
  <c r="F21" i="7"/>
  <c r="BN15" i="4"/>
  <c r="E22" i="7"/>
  <c r="D21" i="7"/>
  <c r="C22" i="7"/>
  <c r="C20" i="7"/>
  <c r="E21" i="7"/>
  <c r="D20" i="7"/>
  <c r="BL22" i="4"/>
  <c r="AL22" i="4"/>
  <c r="BG22" i="4" s="1"/>
  <c r="AT22" i="4"/>
  <c r="AZ22" i="4"/>
  <c r="AP17" i="4"/>
  <c r="AQ17" i="4" s="1"/>
  <c r="M17" i="4" s="1"/>
  <c r="AK17" i="4"/>
  <c r="AH17" i="4"/>
  <c r="AF17" i="4"/>
  <c r="AD17" i="4"/>
  <c r="AB17" i="4"/>
  <c r="Z17" i="4"/>
  <c r="X17" i="4"/>
  <c r="V17" i="4"/>
  <c r="T17" i="4"/>
  <c r="AJ17" i="4" s="1"/>
  <c r="R17" i="4"/>
  <c r="P17" i="4"/>
  <c r="AP20" i="4"/>
  <c r="AZ20" i="4" s="1"/>
  <c r="AK20" i="4"/>
  <c r="AH20" i="4"/>
  <c r="AF20" i="4"/>
  <c r="AD20" i="4"/>
  <c r="AB20" i="4"/>
  <c r="Z20" i="4"/>
  <c r="X20" i="4"/>
  <c r="V20" i="4"/>
  <c r="T20" i="4"/>
  <c r="R20" i="4"/>
  <c r="P20" i="4"/>
  <c r="AP16" i="4"/>
  <c r="AQ16" i="4" s="1"/>
  <c r="M16" i="4" s="1"/>
  <c r="AK16" i="4"/>
  <c r="AH16" i="4"/>
  <c r="AF16" i="4"/>
  <c r="AD16" i="4"/>
  <c r="AB16" i="4"/>
  <c r="Z16" i="4"/>
  <c r="X16" i="4"/>
  <c r="V16" i="4"/>
  <c r="T16" i="4"/>
  <c r="R16" i="4"/>
  <c r="P16" i="4"/>
  <c r="AP21" i="4"/>
  <c r="AZ21" i="4" s="1"/>
  <c r="AK21" i="4"/>
  <c r="AH21" i="4"/>
  <c r="AF21" i="4"/>
  <c r="AD21" i="4"/>
  <c r="AB21" i="4"/>
  <c r="Z21" i="4"/>
  <c r="X21" i="4"/>
  <c r="V21" i="4"/>
  <c r="T21" i="4"/>
  <c r="R21" i="4"/>
  <c r="P21" i="4"/>
  <c r="AP19" i="4"/>
  <c r="AQ19" i="4" s="1"/>
  <c r="M19" i="4" s="1"/>
  <c r="AK19" i="4"/>
  <c r="AH19" i="4"/>
  <c r="AF19" i="4"/>
  <c r="AD19" i="4"/>
  <c r="AB19" i="4"/>
  <c r="Z19" i="4"/>
  <c r="X19" i="4"/>
  <c r="V19" i="4"/>
  <c r="T19" i="4"/>
  <c r="R19" i="4"/>
  <c r="P19" i="4"/>
  <c r="AP18" i="4"/>
  <c r="AZ18" i="4" s="1"/>
  <c r="AK18" i="4"/>
  <c r="AH18" i="4"/>
  <c r="AF18" i="4"/>
  <c r="AD18" i="4"/>
  <c r="AB18" i="4"/>
  <c r="Z18" i="4"/>
  <c r="X18" i="4"/>
  <c r="V18" i="4"/>
  <c r="T18" i="4"/>
  <c r="R18" i="4"/>
  <c r="P18" i="4"/>
  <c r="Z11" i="1"/>
  <c r="BE194" i="1"/>
  <c r="Z194" i="1"/>
  <c r="BE193" i="1"/>
  <c r="Z193" i="1"/>
  <c r="BE192" i="1"/>
  <c r="Z192" i="1"/>
  <c r="BE191" i="1"/>
  <c r="Z191" i="1"/>
  <c r="BE190" i="1"/>
  <c r="Z190" i="1"/>
  <c r="BE189" i="1"/>
  <c r="Z189" i="1"/>
  <c r="BE188" i="1"/>
  <c r="Z188" i="1"/>
  <c r="BE187" i="1"/>
  <c r="Z187" i="1"/>
  <c r="BE186" i="1"/>
  <c r="Z186" i="1"/>
  <c r="BE185" i="1"/>
  <c r="Z185" i="1"/>
  <c r="BE184" i="1"/>
  <c r="AA184" i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Z184" i="1"/>
  <c r="BE183" i="1"/>
  <c r="Z183" i="1"/>
  <c r="BE179" i="1"/>
  <c r="BD179" i="1"/>
  <c r="AZ179" i="1"/>
  <c r="AX179" i="1"/>
  <c r="BE178" i="1"/>
  <c r="BD178" i="1"/>
  <c r="BC178" i="1"/>
  <c r="BA178" i="1"/>
  <c r="AY178" i="1"/>
  <c r="AW178" i="1"/>
  <c r="AU178" i="1"/>
  <c r="AS178" i="1"/>
  <c r="AQ178" i="1"/>
  <c r="AO178" i="1"/>
  <c r="Z178" i="1"/>
  <c r="Y178" i="1"/>
  <c r="V178" i="1"/>
  <c r="T178" i="1"/>
  <c r="S178" i="1"/>
  <c r="R178" i="1"/>
  <c r="Q178" i="1"/>
  <c r="P178" i="1"/>
  <c r="O178" i="1"/>
  <c r="M178" i="1"/>
  <c r="L178" i="1"/>
  <c r="K178" i="1"/>
  <c r="I178" i="1"/>
  <c r="F178" i="1"/>
  <c r="BE177" i="1"/>
  <c r="BD177" i="1"/>
  <c r="BC177" i="1"/>
  <c r="BA177" i="1"/>
  <c r="AY177" i="1"/>
  <c r="AW177" i="1"/>
  <c r="AU177" i="1"/>
  <c r="AS177" i="1"/>
  <c r="AQ177" i="1"/>
  <c r="AO177" i="1"/>
  <c r="Z177" i="1"/>
  <c r="Y177" i="1"/>
  <c r="V177" i="1"/>
  <c r="T177" i="1"/>
  <c r="S177" i="1"/>
  <c r="R177" i="1"/>
  <c r="Q177" i="1"/>
  <c r="P177" i="1"/>
  <c r="O177" i="1"/>
  <c r="M177" i="1"/>
  <c r="L177" i="1"/>
  <c r="K177" i="1"/>
  <c r="F177" i="1"/>
  <c r="BE176" i="1"/>
  <c r="BD176" i="1"/>
  <c r="BC176" i="1"/>
  <c r="BA176" i="1"/>
  <c r="AY176" i="1"/>
  <c r="AW176" i="1"/>
  <c r="AU176" i="1"/>
  <c r="AS176" i="1"/>
  <c r="AQ176" i="1"/>
  <c r="AO176" i="1"/>
  <c r="Z176" i="1"/>
  <c r="Y176" i="1"/>
  <c r="V176" i="1"/>
  <c r="T176" i="1"/>
  <c r="S176" i="1"/>
  <c r="R176" i="1"/>
  <c r="Q176" i="1"/>
  <c r="P176" i="1"/>
  <c r="O176" i="1"/>
  <c r="M176" i="1"/>
  <c r="L176" i="1"/>
  <c r="K176" i="1"/>
  <c r="F176" i="1"/>
  <c r="BE175" i="1"/>
  <c r="BD175" i="1"/>
  <c r="BC175" i="1"/>
  <c r="BA175" i="1"/>
  <c r="AY175" i="1"/>
  <c r="AW175" i="1"/>
  <c r="AU175" i="1"/>
  <c r="AS175" i="1"/>
  <c r="AQ175" i="1"/>
  <c r="AO175" i="1"/>
  <c r="Z175" i="1"/>
  <c r="Y175" i="1"/>
  <c r="V175" i="1"/>
  <c r="T175" i="1"/>
  <c r="S175" i="1"/>
  <c r="R175" i="1"/>
  <c r="Q175" i="1"/>
  <c r="P175" i="1"/>
  <c r="O175" i="1"/>
  <c r="M175" i="1"/>
  <c r="L175" i="1"/>
  <c r="K175" i="1"/>
  <c r="F175" i="1"/>
  <c r="BE174" i="1"/>
  <c r="BD174" i="1"/>
  <c r="BC174" i="1"/>
  <c r="BA174" i="1"/>
  <c r="AY174" i="1"/>
  <c r="AW174" i="1"/>
  <c r="AU174" i="1"/>
  <c r="AS174" i="1"/>
  <c r="AQ174" i="1"/>
  <c r="AO174" i="1"/>
  <c r="Z174" i="1"/>
  <c r="Y174" i="1"/>
  <c r="V174" i="1"/>
  <c r="T174" i="1"/>
  <c r="S174" i="1"/>
  <c r="R174" i="1"/>
  <c r="Q174" i="1"/>
  <c r="P174" i="1"/>
  <c r="O174" i="1"/>
  <c r="M174" i="1"/>
  <c r="L174" i="1"/>
  <c r="K174" i="1"/>
  <c r="F174" i="1"/>
  <c r="D174" i="1"/>
  <c r="D175" i="1" s="1"/>
  <c r="D176" i="1" s="1"/>
  <c r="D177" i="1" s="1"/>
  <c r="D178" i="1" s="1"/>
  <c r="C174" i="1"/>
  <c r="BE173" i="1"/>
  <c r="BD173" i="1"/>
  <c r="BC173" i="1"/>
  <c r="BA173" i="1"/>
  <c r="AY173" i="1"/>
  <c r="AW173" i="1"/>
  <c r="AU173" i="1"/>
  <c r="AS173" i="1"/>
  <c r="AQ173" i="1"/>
  <c r="AO173" i="1"/>
  <c r="AJ173" i="1"/>
  <c r="Z173" i="1"/>
  <c r="Y173" i="1"/>
  <c r="V173" i="1"/>
  <c r="T173" i="1"/>
  <c r="S173" i="1"/>
  <c r="R173" i="1"/>
  <c r="Q173" i="1"/>
  <c r="P173" i="1"/>
  <c r="O173" i="1"/>
  <c r="M173" i="1"/>
  <c r="L173" i="1"/>
  <c r="K173" i="1"/>
  <c r="H173" i="1"/>
  <c r="F173" i="1"/>
  <c r="BE172" i="1"/>
  <c r="BE171" i="1"/>
  <c r="BD171" i="1"/>
  <c r="BC171" i="1"/>
  <c r="BA171" i="1"/>
  <c r="AY171" i="1"/>
  <c r="AW171" i="1"/>
  <c r="AU171" i="1"/>
  <c r="AS171" i="1"/>
  <c r="AQ171" i="1"/>
  <c r="AO171" i="1"/>
  <c r="Z171" i="1"/>
  <c r="Y171" i="1"/>
  <c r="V171" i="1"/>
  <c r="T171" i="1"/>
  <c r="S171" i="1"/>
  <c r="R171" i="1"/>
  <c r="Q171" i="1"/>
  <c r="P171" i="1"/>
  <c r="O171" i="1"/>
  <c r="M171" i="1"/>
  <c r="L171" i="1"/>
  <c r="K171" i="1"/>
  <c r="I171" i="1"/>
  <c r="F171" i="1"/>
  <c r="BE170" i="1"/>
  <c r="BD170" i="1"/>
  <c r="BC170" i="1"/>
  <c r="BA170" i="1"/>
  <c r="AY170" i="1"/>
  <c r="AW170" i="1"/>
  <c r="AU170" i="1"/>
  <c r="AS170" i="1"/>
  <c r="AQ170" i="1"/>
  <c r="AO170" i="1"/>
  <c r="Z170" i="1"/>
  <c r="Y170" i="1"/>
  <c r="V170" i="1"/>
  <c r="T170" i="1"/>
  <c r="S170" i="1"/>
  <c r="R170" i="1"/>
  <c r="Q170" i="1"/>
  <c r="P170" i="1"/>
  <c r="O170" i="1"/>
  <c r="M170" i="1"/>
  <c r="L170" i="1"/>
  <c r="K170" i="1"/>
  <c r="F170" i="1"/>
  <c r="BE169" i="1"/>
  <c r="BD169" i="1"/>
  <c r="BC169" i="1"/>
  <c r="BA169" i="1"/>
  <c r="AY169" i="1"/>
  <c r="AW169" i="1"/>
  <c r="AU169" i="1"/>
  <c r="AS169" i="1"/>
  <c r="AQ169" i="1"/>
  <c r="AO169" i="1"/>
  <c r="Z169" i="1"/>
  <c r="Y169" i="1"/>
  <c r="V169" i="1"/>
  <c r="T169" i="1"/>
  <c r="S169" i="1"/>
  <c r="R169" i="1"/>
  <c r="Q169" i="1"/>
  <c r="P169" i="1"/>
  <c r="O169" i="1"/>
  <c r="M169" i="1"/>
  <c r="L169" i="1"/>
  <c r="K169" i="1"/>
  <c r="F169" i="1"/>
  <c r="BE168" i="1"/>
  <c r="BD168" i="1"/>
  <c r="BC168" i="1"/>
  <c r="BA168" i="1"/>
  <c r="AY168" i="1"/>
  <c r="AW168" i="1"/>
  <c r="AU168" i="1"/>
  <c r="AS168" i="1"/>
  <c r="AQ168" i="1"/>
  <c r="AO168" i="1"/>
  <c r="Z168" i="1"/>
  <c r="Y168" i="1"/>
  <c r="V168" i="1"/>
  <c r="T168" i="1"/>
  <c r="S168" i="1"/>
  <c r="R168" i="1"/>
  <c r="Q168" i="1"/>
  <c r="P168" i="1"/>
  <c r="O168" i="1"/>
  <c r="M168" i="1"/>
  <c r="L168" i="1"/>
  <c r="K168" i="1"/>
  <c r="F168" i="1"/>
  <c r="BE167" i="1"/>
  <c r="BD167" i="1"/>
  <c r="BC167" i="1"/>
  <c r="BA167" i="1"/>
  <c r="AY167" i="1"/>
  <c r="AW167" i="1"/>
  <c r="AU167" i="1"/>
  <c r="AS167" i="1"/>
  <c r="AQ167" i="1"/>
  <c r="AO167" i="1"/>
  <c r="Z167" i="1"/>
  <c r="Y167" i="1"/>
  <c r="V167" i="1"/>
  <c r="T167" i="1"/>
  <c r="S167" i="1"/>
  <c r="R167" i="1"/>
  <c r="Q167" i="1"/>
  <c r="P167" i="1"/>
  <c r="O167" i="1"/>
  <c r="M167" i="1"/>
  <c r="L167" i="1"/>
  <c r="K167" i="1"/>
  <c r="H167" i="1"/>
  <c r="F167" i="1"/>
  <c r="D167" i="1"/>
  <c r="D168" i="1" s="1"/>
  <c r="D169" i="1" s="1"/>
  <c r="D170" i="1" s="1"/>
  <c r="D171" i="1" s="1"/>
  <c r="C167" i="1"/>
  <c r="C168" i="1" s="1"/>
  <c r="BE166" i="1"/>
  <c r="BD166" i="1"/>
  <c r="BC166" i="1"/>
  <c r="BA166" i="1"/>
  <c r="AY166" i="1"/>
  <c r="AW166" i="1"/>
  <c r="AU166" i="1"/>
  <c r="AS166" i="1"/>
  <c r="AQ166" i="1"/>
  <c r="AO166" i="1"/>
  <c r="AJ166" i="1"/>
  <c r="Z166" i="1"/>
  <c r="Y166" i="1"/>
  <c r="V166" i="1"/>
  <c r="T166" i="1"/>
  <c r="S166" i="1"/>
  <c r="R166" i="1"/>
  <c r="Q166" i="1"/>
  <c r="P166" i="1"/>
  <c r="O166" i="1"/>
  <c r="M166" i="1"/>
  <c r="L166" i="1"/>
  <c r="K166" i="1"/>
  <c r="H166" i="1"/>
  <c r="F166" i="1"/>
  <c r="BE163" i="1"/>
  <c r="Z163" i="1"/>
  <c r="BE162" i="1"/>
  <c r="Z162" i="1"/>
  <c r="BE161" i="1"/>
  <c r="Z161" i="1"/>
  <c r="BE160" i="1"/>
  <c r="Z160" i="1"/>
  <c r="BE159" i="1"/>
  <c r="Z159" i="1"/>
  <c r="BE158" i="1"/>
  <c r="Z158" i="1"/>
  <c r="BE157" i="1"/>
  <c r="Z157" i="1"/>
  <c r="BE156" i="1"/>
  <c r="Z156" i="1"/>
  <c r="BE155" i="1"/>
  <c r="AA155" i="1"/>
  <c r="AA156" i="1" s="1"/>
  <c r="AA157" i="1" s="1"/>
  <c r="AA158" i="1" s="1"/>
  <c r="AA159" i="1" s="1"/>
  <c r="AA160" i="1" s="1"/>
  <c r="AA161" i="1" s="1"/>
  <c r="AA162" i="1" s="1"/>
  <c r="AA163" i="1" s="1"/>
  <c r="Z155" i="1"/>
  <c r="BE154" i="1"/>
  <c r="AA154" i="1"/>
  <c r="Z154" i="1"/>
  <c r="BE153" i="1"/>
  <c r="AA153" i="1"/>
  <c r="Z153" i="1"/>
  <c r="BE152" i="1"/>
  <c r="Z152" i="1"/>
  <c r="BE148" i="1"/>
  <c r="BD148" i="1"/>
  <c r="AZ148" i="1"/>
  <c r="AX148" i="1"/>
  <c r="BE147" i="1"/>
  <c r="BD147" i="1"/>
  <c r="BC147" i="1"/>
  <c r="BA147" i="1"/>
  <c r="AY147" i="1"/>
  <c r="AW147" i="1"/>
  <c r="AU147" i="1"/>
  <c r="AS147" i="1"/>
  <c r="AQ147" i="1"/>
  <c r="AO147" i="1"/>
  <c r="Z147" i="1"/>
  <c r="Y147" i="1"/>
  <c r="V147" i="1"/>
  <c r="T147" i="1"/>
  <c r="S147" i="1"/>
  <c r="R147" i="1"/>
  <c r="Q147" i="1"/>
  <c r="P147" i="1"/>
  <c r="O147" i="1"/>
  <c r="M147" i="1"/>
  <c r="L147" i="1"/>
  <c r="K147" i="1"/>
  <c r="I147" i="1"/>
  <c r="F147" i="1"/>
  <c r="BE146" i="1"/>
  <c r="BD146" i="1"/>
  <c r="BC146" i="1"/>
  <c r="BA146" i="1"/>
  <c r="AY146" i="1"/>
  <c r="AW146" i="1"/>
  <c r="AU146" i="1"/>
  <c r="AS146" i="1"/>
  <c r="AQ146" i="1"/>
  <c r="AO146" i="1"/>
  <c r="Z146" i="1"/>
  <c r="Y146" i="1"/>
  <c r="V146" i="1"/>
  <c r="T146" i="1"/>
  <c r="S146" i="1"/>
  <c r="R146" i="1"/>
  <c r="Q146" i="1"/>
  <c r="P146" i="1"/>
  <c r="O146" i="1"/>
  <c r="M146" i="1"/>
  <c r="L146" i="1"/>
  <c r="K146" i="1"/>
  <c r="F146" i="1"/>
  <c r="BE145" i="1"/>
  <c r="BD145" i="1"/>
  <c r="BC145" i="1"/>
  <c r="BA145" i="1"/>
  <c r="AY145" i="1"/>
  <c r="AW145" i="1"/>
  <c r="AU145" i="1"/>
  <c r="AS145" i="1"/>
  <c r="AQ145" i="1"/>
  <c r="AO145" i="1"/>
  <c r="Z145" i="1"/>
  <c r="Y145" i="1"/>
  <c r="V145" i="1"/>
  <c r="T145" i="1"/>
  <c r="S145" i="1"/>
  <c r="R145" i="1"/>
  <c r="Q145" i="1"/>
  <c r="P145" i="1"/>
  <c r="O145" i="1"/>
  <c r="M145" i="1"/>
  <c r="L145" i="1"/>
  <c r="K145" i="1"/>
  <c r="F145" i="1"/>
  <c r="BE144" i="1"/>
  <c r="BD144" i="1"/>
  <c r="BC144" i="1"/>
  <c r="BA144" i="1"/>
  <c r="AY144" i="1"/>
  <c r="AW144" i="1"/>
  <c r="AU144" i="1"/>
  <c r="AS144" i="1"/>
  <c r="AQ144" i="1"/>
  <c r="AO144" i="1"/>
  <c r="Z144" i="1"/>
  <c r="Y144" i="1"/>
  <c r="V144" i="1"/>
  <c r="T144" i="1"/>
  <c r="S144" i="1"/>
  <c r="R144" i="1"/>
  <c r="Q144" i="1"/>
  <c r="P144" i="1"/>
  <c r="O144" i="1"/>
  <c r="M144" i="1"/>
  <c r="L144" i="1"/>
  <c r="K144" i="1"/>
  <c r="F144" i="1"/>
  <c r="C144" i="1"/>
  <c r="BE143" i="1"/>
  <c r="BD143" i="1"/>
  <c r="BC143" i="1"/>
  <c r="BA143" i="1"/>
  <c r="AY143" i="1"/>
  <c r="AW143" i="1"/>
  <c r="AU143" i="1"/>
  <c r="AS143" i="1"/>
  <c r="AQ143" i="1"/>
  <c r="AO143" i="1"/>
  <c r="Z143" i="1"/>
  <c r="Y143" i="1"/>
  <c r="V143" i="1"/>
  <c r="T143" i="1"/>
  <c r="S143" i="1"/>
  <c r="R143" i="1"/>
  <c r="Q143" i="1"/>
  <c r="P143" i="1"/>
  <c r="O143" i="1"/>
  <c r="M143" i="1"/>
  <c r="L143" i="1"/>
  <c r="K143" i="1"/>
  <c r="F143" i="1"/>
  <c r="D143" i="1"/>
  <c r="D144" i="1" s="1"/>
  <c r="D145" i="1" s="1"/>
  <c r="D146" i="1" s="1"/>
  <c r="D147" i="1" s="1"/>
  <c r="C143" i="1"/>
  <c r="H143" i="1" s="1"/>
  <c r="BE142" i="1"/>
  <c r="BD142" i="1"/>
  <c r="BC142" i="1"/>
  <c r="BA142" i="1"/>
  <c r="AY142" i="1"/>
  <c r="AW142" i="1"/>
  <c r="AU142" i="1"/>
  <c r="AS142" i="1"/>
  <c r="AQ142" i="1"/>
  <c r="AO142" i="1"/>
  <c r="AJ142" i="1"/>
  <c r="Z142" i="1"/>
  <c r="Y142" i="1"/>
  <c r="V142" i="1"/>
  <c r="T142" i="1"/>
  <c r="S142" i="1"/>
  <c r="R142" i="1"/>
  <c r="Q142" i="1"/>
  <c r="P142" i="1"/>
  <c r="O142" i="1"/>
  <c r="M142" i="1"/>
  <c r="L142" i="1"/>
  <c r="K142" i="1"/>
  <c r="H142" i="1"/>
  <c r="F142" i="1"/>
  <c r="BE141" i="1"/>
  <c r="BE140" i="1"/>
  <c r="BD140" i="1"/>
  <c r="BC140" i="1"/>
  <c r="BA140" i="1"/>
  <c r="AY140" i="1"/>
  <c r="AW140" i="1"/>
  <c r="AU140" i="1"/>
  <c r="AS140" i="1"/>
  <c r="AQ140" i="1"/>
  <c r="AO140" i="1"/>
  <c r="Z140" i="1"/>
  <c r="Y140" i="1"/>
  <c r="V140" i="1"/>
  <c r="T140" i="1"/>
  <c r="S140" i="1"/>
  <c r="R140" i="1"/>
  <c r="Q140" i="1"/>
  <c r="P140" i="1"/>
  <c r="O140" i="1"/>
  <c r="M140" i="1"/>
  <c r="L140" i="1"/>
  <c r="K140" i="1"/>
  <c r="I140" i="1"/>
  <c r="F140" i="1"/>
  <c r="BE139" i="1"/>
  <c r="BD139" i="1"/>
  <c r="BC139" i="1"/>
  <c r="BA139" i="1"/>
  <c r="AY139" i="1"/>
  <c r="AW139" i="1"/>
  <c r="AU139" i="1"/>
  <c r="AS139" i="1"/>
  <c r="AQ139" i="1"/>
  <c r="AO139" i="1"/>
  <c r="Z139" i="1"/>
  <c r="Y139" i="1"/>
  <c r="V139" i="1"/>
  <c r="T139" i="1"/>
  <c r="S139" i="1"/>
  <c r="R139" i="1"/>
  <c r="Q139" i="1"/>
  <c r="P139" i="1"/>
  <c r="O139" i="1"/>
  <c r="M139" i="1"/>
  <c r="L139" i="1"/>
  <c r="K139" i="1"/>
  <c r="F139" i="1"/>
  <c r="BE138" i="1"/>
  <c r="BD138" i="1"/>
  <c r="BC138" i="1"/>
  <c r="BA138" i="1"/>
  <c r="AY138" i="1"/>
  <c r="AW138" i="1"/>
  <c r="AU138" i="1"/>
  <c r="AS138" i="1"/>
  <c r="AQ138" i="1"/>
  <c r="AO138" i="1"/>
  <c r="Z138" i="1"/>
  <c r="Y138" i="1"/>
  <c r="V138" i="1"/>
  <c r="T138" i="1"/>
  <c r="S138" i="1"/>
  <c r="R138" i="1"/>
  <c r="Q138" i="1"/>
  <c r="P138" i="1"/>
  <c r="O138" i="1"/>
  <c r="M138" i="1"/>
  <c r="L138" i="1"/>
  <c r="K138" i="1"/>
  <c r="F138" i="1"/>
  <c r="BE137" i="1"/>
  <c r="BD137" i="1"/>
  <c r="BC137" i="1"/>
  <c r="BA137" i="1"/>
  <c r="AY137" i="1"/>
  <c r="AW137" i="1"/>
  <c r="AU137" i="1"/>
  <c r="AS137" i="1"/>
  <c r="AQ137" i="1"/>
  <c r="AO137" i="1"/>
  <c r="Z137" i="1"/>
  <c r="Y137" i="1"/>
  <c r="V137" i="1"/>
  <c r="T137" i="1"/>
  <c r="S137" i="1"/>
  <c r="R137" i="1"/>
  <c r="Q137" i="1"/>
  <c r="P137" i="1"/>
  <c r="O137" i="1"/>
  <c r="M137" i="1"/>
  <c r="L137" i="1"/>
  <c r="K137" i="1"/>
  <c r="F137" i="1"/>
  <c r="BE136" i="1"/>
  <c r="BD136" i="1"/>
  <c r="BC136" i="1"/>
  <c r="BA136" i="1"/>
  <c r="AY136" i="1"/>
  <c r="AW136" i="1"/>
  <c r="AU136" i="1"/>
  <c r="AS136" i="1"/>
  <c r="AQ136" i="1"/>
  <c r="AO136" i="1"/>
  <c r="Z136" i="1"/>
  <c r="Y136" i="1"/>
  <c r="V136" i="1"/>
  <c r="T136" i="1"/>
  <c r="S136" i="1"/>
  <c r="R136" i="1"/>
  <c r="Q136" i="1"/>
  <c r="P136" i="1"/>
  <c r="O136" i="1"/>
  <c r="M136" i="1"/>
  <c r="L136" i="1"/>
  <c r="K136" i="1"/>
  <c r="F136" i="1"/>
  <c r="D136" i="1"/>
  <c r="D137" i="1" s="1"/>
  <c r="D138" i="1" s="1"/>
  <c r="D139" i="1" s="1"/>
  <c r="D140" i="1" s="1"/>
  <c r="C136" i="1"/>
  <c r="BE135" i="1"/>
  <c r="BD135" i="1"/>
  <c r="BC135" i="1"/>
  <c r="BA135" i="1"/>
  <c r="AY135" i="1"/>
  <c r="AW135" i="1"/>
  <c r="AU135" i="1"/>
  <c r="AS135" i="1"/>
  <c r="AQ135" i="1"/>
  <c r="AO135" i="1"/>
  <c r="AJ135" i="1"/>
  <c r="Z135" i="1"/>
  <c r="Y135" i="1"/>
  <c r="V135" i="1"/>
  <c r="T135" i="1"/>
  <c r="S135" i="1"/>
  <c r="R135" i="1"/>
  <c r="Q135" i="1"/>
  <c r="P135" i="1"/>
  <c r="O135" i="1"/>
  <c r="M135" i="1"/>
  <c r="L135" i="1"/>
  <c r="K135" i="1"/>
  <c r="H135" i="1"/>
  <c r="F135" i="1"/>
  <c r="BE752" i="1"/>
  <c r="Z752" i="1"/>
  <c r="BE751" i="1"/>
  <c r="Z751" i="1"/>
  <c r="BE750" i="1"/>
  <c r="Z750" i="1"/>
  <c r="BE749" i="1"/>
  <c r="Z749" i="1"/>
  <c r="BE748" i="1"/>
  <c r="Z748" i="1"/>
  <c r="BE747" i="1"/>
  <c r="Z747" i="1"/>
  <c r="BE746" i="1"/>
  <c r="Z746" i="1"/>
  <c r="BE745" i="1"/>
  <c r="Z745" i="1"/>
  <c r="BE744" i="1"/>
  <c r="Z744" i="1"/>
  <c r="BE743" i="1"/>
  <c r="Z743" i="1"/>
  <c r="BE742" i="1"/>
  <c r="AA742" i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Z742" i="1"/>
  <c r="BE741" i="1"/>
  <c r="Z741" i="1"/>
  <c r="BE737" i="1"/>
  <c r="BD737" i="1"/>
  <c r="AZ737" i="1"/>
  <c r="AX737" i="1"/>
  <c r="BE736" i="1"/>
  <c r="BD736" i="1"/>
  <c r="BC736" i="1"/>
  <c r="BA736" i="1"/>
  <c r="AY736" i="1"/>
  <c r="AW736" i="1"/>
  <c r="AU736" i="1"/>
  <c r="AS736" i="1"/>
  <c r="AQ736" i="1"/>
  <c r="AO736" i="1"/>
  <c r="Z736" i="1"/>
  <c r="Y736" i="1"/>
  <c r="V736" i="1"/>
  <c r="T736" i="1"/>
  <c r="S736" i="1"/>
  <c r="R736" i="1"/>
  <c r="Q736" i="1"/>
  <c r="P736" i="1"/>
  <c r="O736" i="1"/>
  <c r="M736" i="1"/>
  <c r="L736" i="1"/>
  <c r="K736" i="1"/>
  <c r="I736" i="1"/>
  <c r="F736" i="1"/>
  <c r="BE735" i="1"/>
  <c r="BD735" i="1"/>
  <c r="BC735" i="1"/>
  <c r="BA735" i="1"/>
  <c r="AY735" i="1"/>
  <c r="AW735" i="1"/>
  <c r="AU735" i="1"/>
  <c r="AS735" i="1"/>
  <c r="AQ735" i="1"/>
  <c r="AO735" i="1"/>
  <c r="Z735" i="1"/>
  <c r="Y735" i="1"/>
  <c r="V735" i="1"/>
  <c r="T735" i="1"/>
  <c r="S735" i="1"/>
  <c r="R735" i="1"/>
  <c r="Q735" i="1"/>
  <c r="P735" i="1"/>
  <c r="O735" i="1"/>
  <c r="M735" i="1"/>
  <c r="L735" i="1"/>
  <c r="K735" i="1"/>
  <c r="F735" i="1"/>
  <c r="BE734" i="1"/>
  <c r="BD734" i="1"/>
  <c r="BC734" i="1"/>
  <c r="BA734" i="1"/>
  <c r="AY734" i="1"/>
  <c r="AW734" i="1"/>
  <c r="AU734" i="1"/>
  <c r="AS734" i="1"/>
  <c r="AQ734" i="1"/>
  <c r="AO734" i="1"/>
  <c r="Z734" i="1"/>
  <c r="Y734" i="1"/>
  <c r="V734" i="1"/>
  <c r="T734" i="1"/>
  <c r="S734" i="1"/>
  <c r="R734" i="1"/>
  <c r="Q734" i="1"/>
  <c r="P734" i="1"/>
  <c r="O734" i="1"/>
  <c r="M734" i="1"/>
  <c r="L734" i="1"/>
  <c r="K734" i="1"/>
  <c r="F734" i="1"/>
  <c r="BE733" i="1"/>
  <c r="BD733" i="1"/>
  <c r="BC733" i="1"/>
  <c r="BA733" i="1"/>
  <c r="AY733" i="1"/>
  <c r="AW733" i="1"/>
  <c r="AU733" i="1"/>
  <c r="AS733" i="1"/>
  <c r="AQ733" i="1"/>
  <c r="AO733" i="1"/>
  <c r="Z733" i="1"/>
  <c r="Y733" i="1"/>
  <c r="V733" i="1"/>
  <c r="T733" i="1"/>
  <c r="S733" i="1"/>
  <c r="R733" i="1"/>
  <c r="Q733" i="1"/>
  <c r="P733" i="1"/>
  <c r="O733" i="1"/>
  <c r="M733" i="1"/>
  <c r="L733" i="1"/>
  <c r="K733" i="1"/>
  <c r="F733" i="1"/>
  <c r="BE732" i="1"/>
  <c r="BD732" i="1"/>
  <c r="BC732" i="1"/>
  <c r="BA732" i="1"/>
  <c r="AY732" i="1"/>
  <c r="AW732" i="1"/>
  <c r="AU732" i="1"/>
  <c r="AS732" i="1"/>
  <c r="AQ732" i="1"/>
  <c r="AO732" i="1"/>
  <c r="Z732" i="1"/>
  <c r="Y732" i="1"/>
  <c r="V732" i="1"/>
  <c r="T732" i="1"/>
  <c r="S732" i="1"/>
  <c r="R732" i="1"/>
  <c r="Q732" i="1"/>
  <c r="P732" i="1"/>
  <c r="O732" i="1"/>
  <c r="M732" i="1"/>
  <c r="L732" i="1"/>
  <c r="K732" i="1"/>
  <c r="F732" i="1"/>
  <c r="D732" i="1"/>
  <c r="D733" i="1" s="1"/>
  <c r="D734" i="1" s="1"/>
  <c r="D735" i="1" s="1"/>
  <c r="D736" i="1" s="1"/>
  <c r="C732" i="1"/>
  <c r="BE731" i="1"/>
  <c r="BD731" i="1"/>
  <c r="BC731" i="1"/>
  <c r="BA731" i="1"/>
  <c r="AY731" i="1"/>
  <c r="AW731" i="1"/>
  <c r="AU731" i="1"/>
  <c r="AS731" i="1"/>
  <c r="AQ731" i="1"/>
  <c r="AO731" i="1"/>
  <c r="AJ731" i="1"/>
  <c r="Z731" i="1"/>
  <c r="Y731" i="1"/>
  <c r="V731" i="1"/>
  <c r="T731" i="1"/>
  <c r="S731" i="1"/>
  <c r="R731" i="1"/>
  <c r="Q731" i="1"/>
  <c r="P731" i="1"/>
  <c r="O731" i="1"/>
  <c r="M731" i="1"/>
  <c r="L731" i="1"/>
  <c r="K731" i="1"/>
  <c r="H731" i="1"/>
  <c r="F731" i="1"/>
  <c r="BE730" i="1"/>
  <c r="BE729" i="1"/>
  <c r="BD729" i="1"/>
  <c r="BC729" i="1"/>
  <c r="BA729" i="1"/>
  <c r="AY729" i="1"/>
  <c r="AW729" i="1"/>
  <c r="AU729" i="1"/>
  <c r="AS729" i="1"/>
  <c r="AQ729" i="1"/>
  <c r="AO729" i="1"/>
  <c r="Z729" i="1"/>
  <c r="Y729" i="1"/>
  <c r="V729" i="1"/>
  <c r="T729" i="1"/>
  <c r="S729" i="1"/>
  <c r="R729" i="1"/>
  <c r="Q729" i="1"/>
  <c r="P729" i="1"/>
  <c r="O729" i="1"/>
  <c r="M729" i="1"/>
  <c r="L729" i="1"/>
  <c r="K729" i="1"/>
  <c r="I729" i="1"/>
  <c r="F729" i="1"/>
  <c r="BE728" i="1"/>
  <c r="BD728" i="1"/>
  <c r="BC728" i="1"/>
  <c r="BA728" i="1"/>
  <c r="AY728" i="1"/>
  <c r="AW728" i="1"/>
  <c r="AU728" i="1"/>
  <c r="AS728" i="1"/>
  <c r="AQ728" i="1"/>
  <c r="AO728" i="1"/>
  <c r="Z728" i="1"/>
  <c r="Y728" i="1"/>
  <c r="V728" i="1"/>
  <c r="T728" i="1"/>
  <c r="S728" i="1"/>
  <c r="R728" i="1"/>
  <c r="Q728" i="1"/>
  <c r="P728" i="1"/>
  <c r="O728" i="1"/>
  <c r="M728" i="1"/>
  <c r="L728" i="1"/>
  <c r="K728" i="1"/>
  <c r="F728" i="1"/>
  <c r="BE727" i="1"/>
  <c r="BD727" i="1"/>
  <c r="BC727" i="1"/>
  <c r="BA727" i="1"/>
  <c r="AY727" i="1"/>
  <c r="AW727" i="1"/>
  <c r="AU727" i="1"/>
  <c r="AS727" i="1"/>
  <c r="AQ727" i="1"/>
  <c r="AO727" i="1"/>
  <c r="Z727" i="1"/>
  <c r="Y727" i="1"/>
  <c r="V727" i="1"/>
  <c r="T727" i="1"/>
  <c r="S727" i="1"/>
  <c r="R727" i="1"/>
  <c r="Q727" i="1"/>
  <c r="P727" i="1"/>
  <c r="O727" i="1"/>
  <c r="M727" i="1"/>
  <c r="L727" i="1"/>
  <c r="K727" i="1"/>
  <c r="F727" i="1"/>
  <c r="BE726" i="1"/>
  <c r="BD726" i="1"/>
  <c r="BC726" i="1"/>
  <c r="BA726" i="1"/>
  <c r="AY726" i="1"/>
  <c r="AW726" i="1"/>
  <c r="AU726" i="1"/>
  <c r="AS726" i="1"/>
  <c r="AQ726" i="1"/>
  <c r="AO726" i="1"/>
  <c r="Z726" i="1"/>
  <c r="Y726" i="1"/>
  <c r="V726" i="1"/>
  <c r="T726" i="1"/>
  <c r="S726" i="1"/>
  <c r="R726" i="1"/>
  <c r="Q726" i="1"/>
  <c r="P726" i="1"/>
  <c r="O726" i="1"/>
  <c r="M726" i="1"/>
  <c r="L726" i="1"/>
  <c r="K726" i="1"/>
  <c r="F726" i="1"/>
  <c r="BE725" i="1"/>
  <c r="BD725" i="1"/>
  <c r="BC725" i="1"/>
  <c r="BA725" i="1"/>
  <c r="AY725" i="1"/>
  <c r="AW725" i="1"/>
  <c r="AU725" i="1"/>
  <c r="AS725" i="1"/>
  <c r="AQ725" i="1"/>
  <c r="AO725" i="1"/>
  <c r="Z725" i="1"/>
  <c r="Y725" i="1"/>
  <c r="V725" i="1"/>
  <c r="T725" i="1"/>
  <c r="S725" i="1"/>
  <c r="R725" i="1"/>
  <c r="Q725" i="1"/>
  <c r="P725" i="1"/>
  <c r="O725" i="1"/>
  <c r="M725" i="1"/>
  <c r="L725" i="1"/>
  <c r="K725" i="1"/>
  <c r="H725" i="1"/>
  <c r="F725" i="1"/>
  <c r="D725" i="1"/>
  <c r="D726" i="1" s="1"/>
  <c r="D727" i="1" s="1"/>
  <c r="D728" i="1" s="1"/>
  <c r="D729" i="1" s="1"/>
  <c r="C725" i="1"/>
  <c r="C726" i="1" s="1"/>
  <c r="BE724" i="1"/>
  <c r="BD724" i="1"/>
  <c r="BC724" i="1"/>
  <c r="BA724" i="1"/>
  <c r="AY724" i="1"/>
  <c r="AW724" i="1"/>
  <c r="AU724" i="1"/>
  <c r="AS724" i="1"/>
  <c r="AQ724" i="1"/>
  <c r="AO724" i="1"/>
  <c r="AJ724" i="1"/>
  <c r="Z724" i="1"/>
  <c r="Y724" i="1"/>
  <c r="V724" i="1"/>
  <c r="T724" i="1"/>
  <c r="S724" i="1"/>
  <c r="R724" i="1"/>
  <c r="Q724" i="1"/>
  <c r="P724" i="1"/>
  <c r="O724" i="1"/>
  <c r="M724" i="1"/>
  <c r="L724" i="1"/>
  <c r="K724" i="1"/>
  <c r="H724" i="1"/>
  <c r="F724" i="1"/>
  <c r="BE721" i="1"/>
  <c r="Z721" i="1"/>
  <c r="BE720" i="1"/>
  <c r="Z720" i="1"/>
  <c r="BE719" i="1"/>
  <c r="Z719" i="1"/>
  <c r="BE718" i="1"/>
  <c r="Z718" i="1"/>
  <c r="BE717" i="1"/>
  <c r="Z717" i="1"/>
  <c r="BE716" i="1"/>
  <c r="Z716" i="1"/>
  <c r="BE715" i="1"/>
  <c r="Z715" i="1"/>
  <c r="BE714" i="1"/>
  <c r="Z714" i="1"/>
  <c r="BE713" i="1"/>
  <c r="Z713" i="1"/>
  <c r="BE712" i="1"/>
  <c r="Z712" i="1"/>
  <c r="BE711" i="1"/>
  <c r="AA711" i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Z711" i="1"/>
  <c r="BE710" i="1"/>
  <c r="Z710" i="1"/>
  <c r="BE706" i="1"/>
  <c r="BD706" i="1"/>
  <c r="AZ706" i="1"/>
  <c r="AX706" i="1"/>
  <c r="BE705" i="1"/>
  <c r="BD705" i="1"/>
  <c r="BC705" i="1"/>
  <c r="BA705" i="1"/>
  <c r="AY705" i="1"/>
  <c r="AW705" i="1"/>
  <c r="AU705" i="1"/>
  <c r="AS705" i="1"/>
  <c r="AQ705" i="1"/>
  <c r="AO705" i="1"/>
  <c r="Z705" i="1"/>
  <c r="Y705" i="1"/>
  <c r="V705" i="1"/>
  <c r="T705" i="1"/>
  <c r="S705" i="1"/>
  <c r="R705" i="1"/>
  <c r="Q705" i="1"/>
  <c r="P705" i="1"/>
  <c r="O705" i="1"/>
  <c r="M705" i="1"/>
  <c r="L705" i="1"/>
  <c r="K705" i="1"/>
  <c r="I705" i="1"/>
  <c r="F705" i="1"/>
  <c r="D705" i="1"/>
  <c r="BE704" i="1"/>
  <c r="BD704" i="1"/>
  <c r="BC704" i="1"/>
  <c r="BA704" i="1"/>
  <c r="AY704" i="1"/>
  <c r="AW704" i="1"/>
  <c r="AU704" i="1"/>
  <c r="AS704" i="1"/>
  <c r="AQ704" i="1"/>
  <c r="AO704" i="1"/>
  <c r="Z704" i="1"/>
  <c r="Y704" i="1"/>
  <c r="V704" i="1"/>
  <c r="T704" i="1"/>
  <c r="S704" i="1"/>
  <c r="R704" i="1"/>
  <c r="Q704" i="1"/>
  <c r="P704" i="1"/>
  <c r="O704" i="1"/>
  <c r="M704" i="1"/>
  <c r="L704" i="1"/>
  <c r="K704" i="1"/>
  <c r="F704" i="1"/>
  <c r="BE703" i="1"/>
  <c r="BD703" i="1"/>
  <c r="BC703" i="1"/>
  <c r="BA703" i="1"/>
  <c r="AY703" i="1"/>
  <c r="AW703" i="1"/>
  <c r="AU703" i="1"/>
  <c r="AS703" i="1"/>
  <c r="AQ703" i="1"/>
  <c r="AO703" i="1"/>
  <c r="Z703" i="1"/>
  <c r="Y703" i="1"/>
  <c r="V703" i="1"/>
  <c r="T703" i="1"/>
  <c r="S703" i="1"/>
  <c r="R703" i="1"/>
  <c r="Q703" i="1"/>
  <c r="P703" i="1"/>
  <c r="O703" i="1"/>
  <c r="M703" i="1"/>
  <c r="L703" i="1"/>
  <c r="K703" i="1"/>
  <c r="F703" i="1"/>
  <c r="BE702" i="1"/>
  <c r="BD702" i="1"/>
  <c r="BC702" i="1"/>
  <c r="BA702" i="1"/>
  <c r="AY702" i="1"/>
  <c r="AW702" i="1"/>
  <c r="AU702" i="1"/>
  <c r="AS702" i="1"/>
  <c r="AQ702" i="1"/>
  <c r="AO702" i="1"/>
  <c r="Z702" i="1"/>
  <c r="Y702" i="1"/>
  <c r="V702" i="1"/>
  <c r="T702" i="1"/>
  <c r="S702" i="1"/>
  <c r="R702" i="1"/>
  <c r="Q702" i="1"/>
  <c r="P702" i="1"/>
  <c r="O702" i="1"/>
  <c r="M702" i="1"/>
  <c r="L702" i="1"/>
  <c r="K702" i="1"/>
  <c r="F702" i="1"/>
  <c r="BE701" i="1"/>
  <c r="BD701" i="1"/>
  <c r="BC701" i="1"/>
  <c r="BA701" i="1"/>
  <c r="AY701" i="1"/>
  <c r="AW701" i="1"/>
  <c r="AU701" i="1"/>
  <c r="AS701" i="1"/>
  <c r="AQ701" i="1"/>
  <c r="AO701" i="1"/>
  <c r="Z701" i="1"/>
  <c r="Y701" i="1"/>
  <c r="V701" i="1"/>
  <c r="T701" i="1"/>
  <c r="S701" i="1"/>
  <c r="R701" i="1"/>
  <c r="Q701" i="1"/>
  <c r="P701" i="1"/>
  <c r="O701" i="1"/>
  <c r="M701" i="1"/>
  <c r="L701" i="1"/>
  <c r="K701" i="1"/>
  <c r="F701" i="1"/>
  <c r="D701" i="1"/>
  <c r="D702" i="1" s="1"/>
  <c r="D703" i="1" s="1"/>
  <c r="D704" i="1" s="1"/>
  <c r="C701" i="1"/>
  <c r="H701" i="1" s="1"/>
  <c r="BE700" i="1"/>
  <c r="BD700" i="1"/>
  <c r="BC700" i="1"/>
  <c r="BA700" i="1"/>
  <c r="AY700" i="1"/>
  <c r="AW700" i="1"/>
  <c r="AU700" i="1"/>
  <c r="AS700" i="1"/>
  <c r="AQ700" i="1"/>
  <c r="AO700" i="1"/>
  <c r="AJ700" i="1"/>
  <c r="Z700" i="1"/>
  <c r="Y700" i="1"/>
  <c r="V700" i="1"/>
  <c r="T700" i="1"/>
  <c r="S700" i="1"/>
  <c r="R700" i="1"/>
  <c r="Q700" i="1"/>
  <c r="P700" i="1"/>
  <c r="O700" i="1"/>
  <c r="M700" i="1"/>
  <c r="L700" i="1"/>
  <c r="K700" i="1"/>
  <c r="H700" i="1"/>
  <c r="F700" i="1"/>
  <c r="BE699" i="1"/>
  <c r="BE698" i="1"/>
  <c r="BD698" i="1"/>
  <c r="BC698" i="1"/>
  <c r="BA698" i="1"/>
  <c r="AY698" i="1"/>
  <c r="AW698" i="1"/>
  <c r="AU698" i="1"/>
  <c r="AS698" i="1"/>
  <c r="AQ698" i="1"/>
  <c r="AO698" i="1"/>
  <c r="Z698" i="1"/>
  <c r="Y698" i="1"/>
  <c r="V698" i="1"/>
  <c r="T698" i="1"/>
  <c r="S698" i="1"/>
  <c r="R698" i="1"/>
  <c r="Q698" i="1"/>
  <c r="P698" i="1"/>
  <c r="O698" i="1"/>
  <c r="M698" i="1"/>
  <c r="L698" i="1"/>
  <c r="K698" i="1"/>
  <c r="I698" i="1"/>
  <c r="F698" i="1"/>
  <c r="BE697" i="1"/>
  <c r="BD697" i="1"/>
  <c r="BC697" i="1"/>
  <c r="BA697" i="1"/>
  <c r="AY697" i="1"/>
  <c r="AW697" i="1"/>
  <c r="AU697" i="1"/>
  <c r="AS697" i="1"/>
  <c r="AQ697" i="1"/>
  <c r="AO697" i="1"/>
  <c r="Z697" i="1"/>
  <c r="Y697" i="1"/>
  <c r="V697" i="1"/>
  <c r="T697" i="1"/>
  <c r="S697" i="1"/>
  <c r="R697" i="1"/>
  <c r="Q697" i="1"/>
  <c r="P697" i="1"/>
  <c r="O697" i="1"/>
  <c r="M697" i="1"/>
  <c r="L697" i="1"/>
  <c r="K697" i="1"/>
  <c r="F697" i="1"/>
  <c r="D697" i="1"/>
  <c r="D698" i="1" s="1"/>
  <c r="BE696" i="1"/>
  <c r="BD696" i="1"/>
  <c r="BC696" i="1"/>
  <c r="BA696" i="1"/>
  <c r="AY696" i="1"/>
  <c r="AW696" i="1"/>
  <c r="AU696" i="1"/>
  <c r="AS696" i="1"/>
  <c r="AQ696" i="1"/>
  <c r="AO696" i="1"/>
  <c r="Z696" i="1"/>
  <c r="Y696" i="1"/>
  <c r="V696" i="1"/>
  <c r="T696" i="1"/>
  <c r="S696" i="1"/>
  <c r="R696" i="1"/>
  <c r="Q696" i="1"/>
  <c r="P696" i="1"/>
  <c r="O696" i="1"/>
  <c r="M696" i="1"/>
  <c r="L696" i="1"/>
  <c r="K696" i="1"/>
  <c r="F696" i="1"/>
  <c r="BE695" i="1"/>
  <c r="BD695" i="1"/>
  <c r="BC695" i="1"/>
  <c r="BA695" i="1"/>
  <c r="AY695" i="1"/>
  <c r="AW695" i="1"/>
  <c r="AU695" i="1"/>
  <c r="AS695" i="1"/>
  <c r="AQ695" i="1"/>
  <c r="AO695" i="1"/>
  <c r="Z695" i="1"/>
  <c r="Y695" i="1"/>
  <c r="V695" i="1"/>
  <c r="T695" i="1"/>
  <c r="S695" i="1"/>
  <c r="R695" i="1"/>
  <c r="Q695" i="1"/>
  <c r="P695" i="1"/>
  <c r="O695" i="1"/>
  <c r="M695" i="1"/>
  <c r="L695" i="1"/>
  <c r="K695" i="1"/>
  <c r="F695" i="1"/>
  <c r="BE694" i="1"/>
  <c r="BD694" i="1"/>
  <c r="BC694" i="1"/>
  <c r="BA694" i="1"/>
  <c r="AY694" i="1"/>
  <c r="AW694" i="1"/>
  <c r="AU694" i="1"/>
  <c r="AS694" i="1"/>
  <c r="AQ694" i="1"/>
  <c r="AO694" i="1"/>
  <c r="Z694" i="1"/>
  <c r="Y694" i="1"/>
  <c r="V694" i="1"/>
  <c r="T694" i="1"/>
  <c r="S694" i="1"/>
  <c r="R694" i="1"/>
  <c r="Q694" i="1"/>
  <c r="P694" i="1"/>
  <c r="O694" i="1"/>
  <c r="M694" i="1"/>
  <c r="L694" i="1"/>
  <c r="K694" i="1"/>
  <c r="F694" i="1"/>
  <c r="D694" i="1"/>
  <c r="D695" i="1" s="1"/>
  <c r="D696" i="1" s="1"/>
  <c r="C694" i="1"/>
  <c r="BE693" i="1"/>
  <c r="BD693" i="1"/>
  <c r="BC693" i="1"/>
  <c r="BA693" i="1"/>
  <c r="AY693" i="1"/>
  <c r="AW693" i="1"/>
  <c r="AU693" i="1"/>
  <c r="AS693" i="1"/>
  <c r="AQ693" i="1"/>
  <c r="AO693" i="1"/>
  <c r="AJ693" i="1"/>
  <c r="Z693" i="1"/>
  <c r="Y693" i="1"/>
  <c r="V693" i="1"/>
  <c r="T693" i="1"/>
  <c r="S693" i="1"/>
  <c r="R693" i="1"/>
  <c r="Q693" i="1"/>
  <c r="P693" i="1"/>
  <c r="O693" i="1"/>
  <c r="M693" i="1"/>
  <c r="L693" i="1"/>
  <c r="K693" i="1"/>
  <c r="H693" i="1"/>
  <c r="F693" i="1"/>
  <c r="BE1310" i="1"/>
  <c r="Z1310" i="1"/>
  <c r="BE1309" i="1"/>
  <c r="AA1309" i="1"/>
  <c r="AA1310" i="1" s="1"/>
  <c r="Z1309" i="1"/>
  <c r="BE1308" i="1"/>
  <c r="Z1308" i="1"/>
  <c r="BE1307" i="1"/>
  <c r="Z1307" i="1"/>
  <c r="BE1306" i="1"/>
  <c r="Z1306" i="1"/>
  <c r="BE1305" i="1"/>
  <c r="AA1305" i="1"/>
  <c r="AA1306" i="1" s="1"/>
  <c r="AA1307" i="1" s="1"/>
  <c r="AA1308" i="1" s="1"/>
  <c r="Z1305" i="1"/>
  <c r="BE1304" i="1"/>
  <c r="Z1304" i="1"/>
  <c r="BE1303" i="1"/>
  <c r="Z1303" i="1"/>
  <c r="BE1302" i="1"/>
  <c r="Z1302" i="1"/>
  <c r="BE1301" i="1"/>
  <c r="AA1301" i="1"/>
  <c r="AA1302" i="1" s="1"/>
  <c r="AA1303" i="1" s="1"/>
  <c r="AA1304" i="1" s="1"/>
  <c r="Z1301" i="1"/>
  <c r="BE1300" i="1"/>
  <c r="AA1300" i="1"/>
  <c r="Z1300" i="1"/>
  <c r="BE1299" i="1"/>
  <c r="Z1299" i="1"/>
  <c r="BE1295" i="1"/>
  <c r="BD1295" i="1"/>
  <c r="AZ1295" i="1"/>
  <c r="AX1295" i="1"/>
  <c r="BE1294" i="1"/>
  <c r="BD1294" i="1"/>
  <c r="BC1294" i="1"/>
  <c r="BA1294" i="1"/>
  <c r="AY1294" i="1"/>
  <c r="AW1294" i="1"/>
  <c r="AU1294" i="1"/>
  <c r="AS1294" i="1"/>
  <c r="AQ1294" i="1"/>
  <c r="AO1294" i="1"/>
  <c r="Z1294" i="1"/>
  <c r="Y1294" i="1"/>
  <c r="V1294" i="1"/>
  <c r="T1294" i="1"/>
  <c r="S1294" i="1"/>
  <c r="R1294" i="1"/>
  <c r="Q1294" i="1"/>
  <c r="P1294" i="1"/>
  <c r="O1294" i="1"/>
  <c r="M1294" i="1"/>
  <c r="L1294" i="1"/>
  <c r="K1294" i="1"/>
  <c r="I1294" i="1"/>
  <c r="F1294" i="1"/>
  <c r="BE1293" i="1"/>
  <c r="BD1293" i="1"/>
  <c r="BC1293" i="1"/>
  <c r="BA1293" i="1"/>
  <c r="AY1293" i="1"/>
  <c r="AW1293" i="1"/>
  <c r="AU1293" i="1"/>
  <c r="AS1293" i="1"/>
  <c r="AQ1293" i="1"/>
  <c r="AO1293" i="1"/>
  <c r="Z1293" i="1"/>
  <c r="Y1293" i="1"/>
  <c r="V1293" i="1"/>
  <c r="T1293" i="1"/>
  <c r="S1293" i="1"/>
  <c r="R1293" i="1"/>
  <c r="Q1293" i="1"/>
  <c r="P1293" i="1"/>
  <c r="O1293" i="1"/>
  <c r="M1293" i="1"/>
  <c r="L1293" i="1"/>
  <c r="K1293" i="1"/>
  <c r="F1293" i="1"/>
  <c r="BE1292" i="1"/>
  <c r="BD1292" i="1"/>
  <c r="BC1292" i="1"/>
  <c r="BA1292" i="1"/>
  <c r="AY1292" i="1"/>
  <c r="AW1292" i="1"/>
  <c r="AU1292" i="1"/>
  <c r="AS1292" i="1"/>
  <c r="AQ1292" i="1"/>
  <c r="AO1292" i="1"/>
  <c r="Z1292" i="1"/>
  <c r="Y1292" i="1"/>
  <c r="V1292" i="1"/>
  <c r="T1292" i="1"/>
  <c r="S1292" i="1"/>
  <c r="R1292" i="1"/>
  <c r="Q1292" i="1"/>
  <c r="P1292" i="1"/>
  <c r="O1292" i="1"/>
  <c r="M1292" i="1"/>
  <c r="L1292" i="1"/>
  <c r="K1292" i="1"/>
  <c r="F1292" i="1"/>
  <c r="BE1291" i="1"/>
  <c r="BD1291" i="1"/>
  <c r="BC1291" i="1"/>
  <c r="BA1291" i="1"/>
  <c r="AY1291" i="1"/>
  <c r="AW1291" i="1"/>
  <c r="AU1291" i="1"/>
  <c r="AS1291" i="1"/>
  <c r="AQ1291" i="1"/>
  <c r="AO1291" i="1"/>
  <c r="Z1291" i="1"/>
  <c r="Y1291" i="1"/>
  <c r="V1291" i="1"/>
  <c r="T1291" i="1"/>
  <c r="S1291" i="1"/>
  <c r="R1291" i="1"/>
  <c r="Q1291" i="1"/>
  <c r="P1291" i="1"/>
  <c r="O1291" i="1"/>
  <c r="M1291" i="1"/>
  <c r="L1291" i="1"/>
  <c r="K1291" i="1"/>
  <c r="F1291" i="1"/>
  <c r="BE1290" i="1"/>
  <c r="BD1290" i="1"/>
  <c r="BC1290" i="1"/>
  <c r="BA1290" i="1"/>
  <c r="AY1290" i="1"/>
  <c r="AW1290" i="1"/>
  <c r="AU1290" i="1"/>
  <c r="AS1290" i="1"/>
  <c r="AQ1290" i="1"/>
  <c r="AO1290" i="1"/>
  <c r="Z1290" i="1"/>
  <c r="Y1290" i="1"/>
  <c r="V1290" i="1"/>
  <c r="T1290" i="1"/>
  <c r="S1290" i="1"/>
  <c r="R1290" i="1"/>
  <c r="Q1290" i="1"/>
  <c r="P1290" i="1"/>
  <c r="O1290" i="1"/>
  <c r="M1290" i="1"/>
  <c r="L1290" i="1"/>
  <c r="K1290" i="1"/>
  <c r="F1290" i="1"/>
  <c r="D1290" i="1"/>
  <c r="D1291" i="1" s="1"/>
  <c r="D1292" i="1" s="1"/>
  <c r="D1293" i="1" s="1"/>
  <c r="D1294" i="1" s="1"/>
  <c r="C1290" i="1"/>
  <c r="BE1289" i="1"/>
  <c r="BD1289" i="1"/>
  <c r="BC1289" i="1"/>
  <c r="BA1289" i="1"/>
  <c r="AY1289" i="1"/>
  <c r="AW1289" i="1"/>
  <c r="AU1289" i="1"/>
  <c r="AS1289" i="1"/>
  <c r="AQ1289" i="1"/>
  <c r="AO1289" i="1"/>
  <c r="AJ1289" i="1"/>
  <c r="Z1289" i="1"/>
  <c r="Y1289" i="1"/>
  <c r="V1289" i="1"/>
  <c r="T1289" i="1"/>
  <c r="S1289" i="1"/>
  <c r="R1289" i="1"/>
  <c r="Q1289" i="1"/>
  <c r="P1289" i="1"/>
  <c r="O1289" i="1"/>
  <c r="M1289" i="1"/>
  <c r="L1289" i="1"/>
  <c r="K1289" i="1"/>
  <c r="H1289" i="1"/>
  <c r="F1289" i="1"/>
  <c r="BE1288" i="1"/>
  <c r="BE1287" i="1"/>
  <c r="BD1287" i="1"/>
  <c r="BC1287" i="1"/>
  <c r="BA1287" i="1"/>
  <c r="AY1287" i="1"/>
  <c r="AW1287" i="1"/>
  <c r="AU1287" i="1"/>
  <c r="AS1287" i="1"/>
  <c r="AQ1287" i="1"/>
  <c r="AO1287" i="1"/>
  <c r="Z1287" i="1"/>
  <c r="Y1287" i="1"/>
  <c r="V1287" i="1"/>
  <c r="T1287" i="1"/>
  <c r="S1287" i="1"/>
  <c r="R1287" i="1"/>
  <c r="Q1287" i="1"/>
  <c r="P1287" i="1"/>
  <c r="O1287" i="1"/>
  <c r="M1287" i="1"/>
  <c r="L1287" i="1"/>
  <c r="K1287" i="1"/>
  <c r="I1287" i="1"/>
  <c r="F1287" i="1"/>
  <c r="BE1286" i="1"/>
  <c r="BD1286" i="1"/>
  <c r="BC1286" i="1"/>
  <c r="BA1286" i="1"/>
  <c r="AY1286" i="1"/>
  <c r="AW1286" i="1"/>
  <c r="AU1286" i="1"/>
  <c r="AS1286" i="1"/>
  <c r="AQ1286" i="1"/>
  <c r="AO1286" i="1"/>
  <c r="Z1286" i="1"/>
  <c r="Y1286" i="1"/>
  <c r="V1286" i="1"/>
  <c r="T1286" i="1"/>
  <c r="S1286" i="1"/>
  <c r="R1286" i="1"/>
  <c r="Q1286" i="1"/>
  <c r="P1286" i="1"/>
  <c r="O1286" i="1"/>
  <c r="M1286" i="1"/>
  <c r="L1286" i="1"/>
  <c r="K1286" i="1"/>
  <c r="F1286" i="1"/>
  <c r="BE1285" i="1"/>
  <c r="BD1285" i="1"/>
  <c r="BC1285" i="1"/>
  <c r="BA1285" i="1"/>
  <c r="AY1285" i="1"/>
  <c r="AW1285" i="1"/>
  <c r="AU1285" i="1"/>
  <c r="AS1285" i="1"/>
  <c r="AQ1285" i="1"/>
  <c r="AO1285" i="1"/>
  <c r="Z1285" i="1"/>
  <c r="Y1285" i="1"/>
  <c r="V1285" i="1"/>
  <c r="T1285" i="1"/>
  <c r="S1285" i="1"/>
  <c r="R1285" i="1"/>
  <c r="Q1285" i="1"/>
  <c r="P1285" i="1"/>
  <c r="O1285" i="1"/>
  <c r="M1285" i="1"/>
  <c r="L1285" i="1"/>
  <c r="K1285" i="1"/>
  <c r="F1285" i="1"/>
  <c r="BE1284" i="1"/>
  <c r="BD1284" i="1"/>
  <c r="BC1284" i="1"/>
  <c r="BA1284" i="1"/>
  <c r="AY1284" i="1"/>
  <c r="AW1284" i="1"/>
  <c r="AU1284" i="1"/>
  <c r="AS1284" i="1"/>
  <c r="AQ1284" i="1"/>
  <c r="AO1284" i="1"/>
  <c r="Z1284" i="1"/>
  <c r="Y1284" i="1"/>
  <c r="V1284" i="1"/>
  <c r="T1284" i="1"/>
  <c r="S1284" i="1"/>
  <c r="R1284" i="1"/>
  <c r="Q1284" i="1"/>
  <c r="P1284" i="1"/>
  <c r="O1284" i="1"/>
  <c r="M1284" i="1"/>
  <c r="L1284" i="1"/>
  <c r="K1284" i="1"/>
  <c r="F1284" i="1"/>
  <c r="BE1283" i="1"/>
  <c r="BD1283" i="1"/>
  <c r="BC1283" i="1"/>
  <c r="BA1283" i="1"/>
  <c r="AY1283" i="1"/>
  <c r="AW1283" i="1"/>
  <c r="AU1283" i="1"/>
  <c r="AS1283" i="1"/>
  <c r="AQ1283" i="1"/>
  <c r="AO1283" i="1"/>
  <c r="Z1283" i="1"/>
  <c r="Y1283" i="1"/>
  <c r="V1283" i="1"/>
  <c r="T1283" i="1"/>
  <c r="S1283" i="1"/>
  <c r="R1283" i="1"/>
  <c r="Q1283" i="1"/>
  <c r="P1283" i="1"/>
  <c r="O1283" i="1"/>
  <c r="M1283" i="1"/>
  <c r="L1283" i="1"/>
  <c r="K1283" i="1"/>
  <c r="F1283" i="1"/>
  <c r="D1283" i="1"/>
  <c r="D1284" i="1" s="1"/>
  <c r="D1285" i="1" s="1"/>
  <c r="D1286" i="1" s="1"/>
  <c r="D1287" i="1" s="1"/>
  <c r="C1283" i="1"/>
  <c r="C1284" i="1" s="1"/>
  <c r="BE1282" i="1"/>
  <c r="BD1282" i="1"/>
  <c r="BC1282" i="1"/>
  <c r="BA1282" i="1"/>
  <c r="AY1282" i="1"/>
  <c r="AW1282" i="1"/>
  <c r="AU1282" i="1"/>
  <c r="AS1282" i="1"/>
  <c r="AQ1282" i="1"/>
  <c r="AO1282" i="1"/>
  <c r="AJ1282" i="1"/>
  <c r="Z1282" i="1"/>
  <c r="Y1282" i="1"/>
  <c r="V1282" i="1"/>
  <c r="T1282" i="1"/>
  <c r="S1282" i="1"/>
  <c r="R1282" i="1"/>
  <c r="Q1282" i="1"/>
  <c r="P1282" i="1"/>
  <c r="O1282" i="1"/>
  <c r="M1282" i="1"/>
  <c r="L1282" i="1"/>
  <c r="K1282" i="1"/>
  <c r="H1282" i="1"/>
  <c r="F1282" i="1"/>
  <c r="BE1279" i="1"/>
  <c r="Z1279" i="1"/>
  <c r="BE1278" i="1"/>
  <c r="Z1278" i="1"/>
  <c r="BE1277" i="1"/>
  <c r="Z1277" i="1"/>
  <c r="BE1276" i="1"/>
  <c r="Z1276" i="1"/>
  <c r="BE1275" i="1"/>
  <c r="Z1275" i="1"/>
  <c r="BE1274" i="1"/>
  <c r="Z1274" i="1"/>
  <c r="BE1273" i="1"/>
  <c r="Z1273" i="1"/>
  <c r="BE1272" i="1"/>
  <c r="Z1272" i="1"/>
  <c r="BE1271" i="1"/>
  <c r="Z1271" i="1"/>
  <c r="BE1270" i="1"/>
  <c r="Z1270" i="1"/>
  <c r="BE1269" i="1"/>
  <c r="AA1269" i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Z1269" i="1"/>
  <c r="BE1268" i="1"/>
  <c r="Z1268" i="1"/>
  <c r="BE1264" i="1"/>
  <c r="BD1264" i="1"/>
  <c r="AZ1264" i="1"/>
  <c r="AX1264" i="1"/>
  <c r="BE1263" i="1"/>
  <c r="BD1263" i="1"/>
  <c r="BC1263" i="1"/>
  <c r="BA1263" i="1"/>
  <c r="AY1263" i="1"/>
  <c r="AW1263" i="1"/>
  <c r="AU1263" i="1"/>
  <c r="AS1263" i="1"/>
  <c r="AQ1263" i="1"/>
  <c r="AO1263" i="1"/>
  <c r="Z1263" i="1"/>
  <c r="Y1263" i="1"/>
  <c r="V1263" i="1"/>
  <c r="T1263" i="1"/>
  <c r="S1263" i="1"/>
  <c r="R1263" i="1"/>
  <c r="Q1263" i="1"/>
  <c r="P1263" i="1"/>
  <c r="O1263" i="1"/>
  <c r="M1263" i="1"/>
  <c r="L1263" i="1"/>
  <c r="K1263" i="1"/>
  <c r="I1263" i="1"/>
  <c r="F1263" i="1"/>
  <c r="BE1262" i="1"/>
  <c r="BD1262" i="1"/>
  <c r="BC1262" i="1"/>
  <c r="BA1262" i="1"/>
  <c r="AY1262" i="1"/>
  <c r="AW1262" i="1"/>
  <c r="AU1262" i="1"/>
  <c r="AS1262" i="1"/>
  <c r="AQ1262" i="1"/>
  <c r="AO1262" i="1"/>
  <c r="Z1262" i="1"/>
  <c r="Y1262" i="1"/>
  <c r="V1262" i="1"/>
  <c r="T1262" i="1"/>
  <c r="S1262" i="1"/>
  <c r="R1262" i="1"/>
  <c r="Q1262" i="1"/>
  <c r="P1262" i="1"/>
  <c r="O1262" i="1"/>
  <c r="M1262" i="1"/>
  <c r="L1262" i="1"/>
  <c r="K1262" i="1"/>
  <c r="F1262" i="1"/>
  <c r="BE1261" i="1"/>
  <c r="BD1261" i="1"/>
  <c r="BC1261" i="1"/>
  <c r="BA1261" i="1"/>
  <c r="AY1261" i="1"/>
  <c r="AW1261" i="1"/>
  <c r="AU1261" i="1"/>
  <c r="AS1261" i="1"/>
  <c r="AQ1261" i="1"/>
  <c r="AO1261" i="1"/>
  <c r="Z1261" i="1"/>
  <c r="Y1261" i="1"/>
  <c r="V1261" i="1"/>
  <c r="T1261" i="1"/>
  <c r="S1261" i="1"/>
  <c r="R1261" i="1"/>
  <c r="Q1261" i="1"/>
  <c r="P1261" i="1"/>
  <c r="O1261" i="1"/>
  <c r="M1261" i="1"/>
  <c r="L1261" i="1"/>
  <c r="K1261" i="1"/>
  <c r="F1261" i="1"/>
  <c r="BE1260" i="1"/>
  <c r="BD1260" i="1"/>
  <c r="BC1260" i="1"/>
  <c r="BA1260" i="1"/>
  <c r="AY1260" i="1"/>
  <c r="AW1260" i="1"/>
  <c r="AU1260" i="1"/>
  <c r="AS1260" i="1"/>
  <c r="AQ1260" i="1"/>
  <c r="AO1260" i="1"/>
  <c r="Z1260" i="1"/>
  <c r="Y1260" i="1"/>
  <c r="V1260" i="1"/>
  <c r="T1260" i="1"/>
  <c r="S1260" i="1"/>
  <c r="R1260" i="1"/>
  <c r="Q1260" i="1"/>
  <c r="P1260" i="1"/>
  <c r="O1260" i="1"/>
  <c r="M1260" i="1"/>
  <c r="L1260" i="1"/>
  <c r="K1260" i="1"/>
  <c r="F1260" i="1"/>
  <c r="C1260" i="1"/>
  <c r="BE1259" i="1"/>
  <c r="BD1259" i="1"/>
  <c r="BC1259" i="1"/>
  <c r="BA1259" i="1"/>
  <c r="AY1259" i="1"/>
  <c r="AW1259" i="1"/>
  <c r="AU1259" i="1"/>
  <c r="AS1259" i="1"/>
  <c r="AQ1259" i="1"/>
  <c r="AO1259" i="1"/>
  <c r="Z1259" i="1"/>
  <c r="Y1259" i="1"/>
  <c r="V1259" i="1"/>
  <c r="T1259" i="1"/>
  <c r="S1259" i="1"/>
  <c r="R1259" i="1"/>
  <c r="Q1259" i="1"/>
  <c r="P1259" i="1"/>
  <c r="O1259" i="1"/>
  <c r="M1259" i="1"/>
  <c r="L1259" i="1"/>
  <c r="K1259" i="1"/>
  <c r="F1259" i="1"/>
  <c r="D1259" i="1"/>
  <c r="D1260" i="1" s="1"/>
  <c r="D1261" i="1" s="1"/>
  <c r="D1262" i="1" s="1"/>
  <c r="D1263" i="1" s="1"/>
  <c r="C1259" i="1"/>
  <c r="H1259" i="1" s="1"/>
  <c r="BE1258" i="1"/>
  <c r="BD1258" i="1"/>
  <c r="BC1258" i="1"/>
  <c r="BA1258" i="1"/>
  <c r="AY1258" i="1"/>
  <c r="AW1258" i="1"/>
  <c r="AU1258" i="1"/>
  <c r="AS1258" i="1"/>
  <c r="AQ1258" i="1"/>
  <c r="AO1258" i="1"/>
  <c r="AJ1258" i="1"/>
  <c r="Z1258" i="1"/>
  <c r="Y1258" i="1"/>
  <c r="V1258" i="1"/>
  <c r="T1258" i="1"/>
  <c r="S1258" i="1"/>
  <c r="R1258" i="1"/>
  <c r="Q1258" i="1"/>
  <c r="P1258" i="1"/>
  <c r="O1258" i="1"/>
  <c r="M1258" i="1"/>
  <c r="L1258" i="1"/>
  <c r="K1258" i="1"/>
  <c r="H1258" i="1"/>
  <c r="F1258" i="1"/>
  <c r="BE1257" i="1"/>
  <c r="BE1256" i="1"/>
  <c r="BD1256" i="1"/>
  <c r="BC1256" i="1"/>
  <c r="BA1256" i="1"/>
  <c r="AY1256" i="1"/>
  <c r="AW1256" i="1"/>
  <c r="AU1256" i="1"/>
  <c r="AS1256" i="1"/>
  <c r="AQ1256" i="1"/>
  <c r="AO1256" i="1"/>
  <c r="Z1256" i="1"/>
  <c r="Y1256" i="1"/>
  <c r="V1256" i="1"/>
  <c r="T1256" i="1"/>
  <c r="S1256" i="1"/>
  <c r="R1256" i="1"/>
  <c r="Q1256" i="1"/>
  <c r="P1256" i="1"/>
  <c r="O1256" i="1"/>
  <c r="M1256" i="1"/>
  <c r="L1256" i="1"/>
  <c r="K1256" i="1"/>
  <c r="I1256" i="1"/>
  <c r="F1256" i="1"/>
  <c r="BE1255" i="1"/>
  <c r="BD1255" i="1"/>
  <c r="BC1255" i="1"/>
  <c r="BA1255" i="1"/>
  <c r="AY1255" i="1"/>
  <c r="AW1255" i="1"/>
  <c r="AU1255" i="1"/>
  <c r="AS1255" i="1"/>
  <c r="AQ1255" i="1"/>
  <c r="AO1255" i="1"/>
  <c r="Z1255" i="1"/>
  <c r="Y1255" i="1"/>
  <c r="V1255" i="1"/>
  <c r="T1255" i="1"/>
  <c r="S1255" i="1"/>
  <c r="R1255" i="1"/>
  <c r="Q1255" i="1"/>
  <c r="P1255" i="1"/>
  <c r="O1255" i="1"/>
  <c r="M1255" i="1"/>
  <c r="L1255" i="1"/>
  <c r="K1255" i="1"/>
  <c r="F1255" i="1"/>
  <c r="D1255" i="1"/>
  <c r="D1256" i="1" s="1"/>
  <c r="BE1254" i="1"/>
  <c r="BD1254" i="1"/>
  <c r="BC1254" i="1"/>
  <c r="BA1254" i="1"/>
  <c r="AY1254" i="1"/>
  <c r="AW1254" i="1"/>
  <c r="AU1254" i="1"/>
  <c r="AS1254" i="1"/>
  <c r="AQ1254" i="1"/>
  <c r="AO1254" i="1"/>
  <c r="Z1254" i="1"/>
  <c r="Y1254" i="1"/>
  <c r="V1254" i="1"/>
  <c r="T1254" i="1"/>
  <c r="S1254" i="1"/>
  <c r="R1254" i="1"/>
  <c r="Q1254" i="1"/>
  <c r="P1254" i="1"/>
  <c r="O1254" i="1"/>
  <c r="M1254" i="1"/>
  <c r="L1254" i="1"/>
  <c r="K1254" i="1"/>
  <c r="F1254" i="1"/>
  <c r="BE1253" i="1"/>
  <c r="BD1253" i="1"/>
  <c r="BC1253" i="1"/>
  <c r="BA1253" i="1"/>
  <c r="AY1253" i="1"/>
  <c r="AW1253" i="1"/>
  <c r="AU1253" i="1"/>
  <c r="AS1253" i="1"/>
  <c r="AQ1253" i="1"/>
  <c r="AO1253" i="1"/>
  <c r="Z1253" i="1"/>
  <c r="Y1253" i="1"/>
  <c r="V1253" i="1"/>
  <c r="T1253" i="1"/>
  <c r="S1253" i="1"/>
  <c r="R1253" i="1"/>
  <c r="Q1253" i="1"/>
  <c r="P1253" i="1"/>
  <c r="O1253" i="1"/>
  <c r="M1253" i="1"/>
  <c r="L1253" i="1"/>
  <c r="K1253" i="1"/>
  <c r="F1253" i="1"/>
  <c r="BE1252" i="1"/>
  <c r="BD1252" i="1"/>
  <c r="BC1252" i="1"/>
  <c r="BA1252" i="1"/>
  <c r="AY1252" i="1"/>
  <c r="AW1252" i="1"/>
  <c r="AU1252" i="1"/>
  <c r="AS1252" i="1"/>
  <c r="AQ1252" i="1"/>
  <c r="AO1252" i="1"/>
  <c r="Z1252" i="1"/>
  <c r="Y1252" i="1"/>
  <c r="V1252" i="1"/>
  <c r="T1252" i="1"/>
  <c r="S1252" i="1"/>
  <c r="R1252" i="1"/>
  <c r="Q1252" i="1"/>
  <c r="P1252" i="1"/>
  <c r="O1252" i="1"/>
  <c r="M1252" i="1"/>
  <c r="L1252" i="1"/>
  <c r="K1252" i="1"/>
  <c r="F1252" i="1"/>
  <c r="D1252" i="1"/>
  <c r="D1253" i="1" s="1"/>
  <c r="D1254" i="1" s="1"/>
  <c r="C1252" i="1"/>
  <c r="BE1251" i="1"/>
  <c r="BD1251" i="1"/>
  <c r="BC1251" i="1"/>
  <c r="BA1251" i="1"/>
  <c r="AY1251" i="1"/>
  <c r="AW1251" i="1"/>
  <c r="AU1251" i="1"/>
  <c r="AS1251" i="1"/>
  <c r="AQ1251" i="1"/>
  <c r="AO1251" i="1"/>
  <c r="AJ1251" i="1"/>
  <c r="Z1251" i="1"/>
  <c r="Y1251" i="1"/>
  <c r="V1251" i="1"/>
  <c r="T1251" i="1"/>
  <c r="S1251" i="1"/>
  <c r="R1251" i="1"/>
  <c r="Q1251" i="1"/>
  <c r="P1251" i="1"/>
  <c r="O1251" i="1"/>
  <c r="M1251" i="1"/>
  <c r="L1251" i="1"/>
  <c r="K1251" i="1"/>
  <c r="H1251" i="1"/>
  <c r="F1251" i="1"/>
  <c r="BE1868" i="1"/>
  <c r="Z1868" i="1"/>
  <c r="BE1867" i="1"/>
  <c r="Z1867" i="1"/>
  <c r="BE1866" i="1"/>
  <c r="Z1866" i="1"/>
  <c r="BE1865" i="1"/>
  <c r="Z1865" i="1"/>
  <c r="BE1864" i="1"/>
  <c r="Z1864" i="1"/>
  <c r="BE1863" i="1"/>
  <c r="Z1863" i="1"/>
  <c r="BE1862" i="1"/>
  <c r="Z1862" i="1"/>
  <c r="BE1861" i="1"/>
  <c r="Z1861" i="1"/>
  <c r="BE1860" i="1"/>
  <c r="Z1860" i="1"/>
  <c r="BE1859" i="1"/>
  <c r="Z1859" i="1"/>
  <c r="BE1858" i="1"/>
  <c r="AA1858" i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AA1868" i="1" s="1"/>
  <c r="Z1858" i="1"/>
  <c r="BE1857" i="1"/>
  <c r="Z1857" i="1"/>
  <c r="BE1853" i="1"/>
  <c r="BD1853" i="1"/>
  <c r="AZ1853" i="1"/>
  <c r="AX1853" i="1"/>
  <c r="BE1852" i="1"/>
  <c r="BD1852" i="1"/>
  <c r="BC1852" i="1"/>
  <c r="BA1852" i="1"/>
  <c r="AY1852" i="1"/>
  <c r="AW1852" i="1"/>
  <c r="AU1852" i="1"/>
  <c r="AS1852" i="1"/>
  <c r="AQ1852" i="1"/>
  <c r="AO1852" i="1"/>
  <c r="Z1852" i="1"/>
  <c r="Y1852" i="1"/>
  <c r="V1852" i="1"/>
  <c r="T1852" i="1"/>
  <c r="S1852" i="1"/>
  <c r="R1852" i="1"/>
  <c r="Q1852" i="1"/>
  <c r="P1852" i="1"/>
  <c r="O1852" i="1"/>
  <c r="M1852" i="1"/>
  <c r="L1852" i="1"/>
  <c r="K1852" i="1"/>
  <c r="I1852" i="1"/>
  <c r="F1852" i="1"/>
  <c r="BE1851" i="1"/>
  <c r="BD1851" i="1"/>
  <c r="BC1851" i="1"/>
  <c r="BA1851" i="1"/>
  <c r="AY1851" i="1"/>
  <c r="AW1851" i="1"/>
  <c r="AU1851" i="1"/>
  <c r="AS1851" i="1"/>
  <c r="AQ1851" i="1"/>
  <c r="AO1851" i="1"/>
  <c r="Z1851" i="1"/>
  <c r="Y1851" i="1"/>
  <c r="V1851" i="1"/>
  <c r="T1851" i="1"/>
  <c r="S1851" i="1"/>
  <c r="R1851" i="1"/>
  <c r="Q1851" i="1"/>
  <c r="P1851" i="1"/>
  <c r="O1851" i="1"/>
  <c r="M1851" i="1"/>
  <c r="L1851" i="1"/>
  <c r="K1851" i="1"/>
  <c r="F1851" i="1"/>
  <c r="D1851" i="1"/>
  <c r="D1852" i="1" s="1"/>
  <c r="BE1850" i="1"/>
  <c r="BD1850" i="1"/>
  <c r="BC1850" i="1"/>
  <c r="BA1850" i="1"/>
  <c r="AY1850" i="1"/>
  <c r="AW1850" i="1"/>
  <c r="AU1850" i="1"/>
  <c r="AS1850" i="1"/>
  <c r="AQ1850" i="1"/>
  <c r="AO1850" i="1"/>
  <c r="Z1850" i="1"/>
  <c r="Y1850" i="1"/>
  <c r="V1850" i="1"/>
  <c r="T1850" i="1"/>
  <c r="S1850" i="1"/>
  <c r="R1850" i="1"/>
  <c r="Q1850" i="1"/>
  <c r="P1850" i="1"/>
  <c r="O1850" i="1"/>
  <c r="M1850" i="1"/>
  <c r="L1850" i="1"/>
  <c r="K1850" i="1"/>
  <c r="F1850" i="1"/>
  <c r="BE1849" i="1"/>
  <c r="BD1849" i="1"/>
  <c r="BC1849" i="1"/>
  <c r="BA1849" i="1"/>
  <c r="AY1849" i="1"/>
  <c r="AW1849" i="1"/>
  <c r="AU1849" i="1"/>
  <c r="AS1849" i="1"/>
  <c r="AQ1849" i="1"/>
  <c r="AO1849" i="1"/>
  <c r="Z1849" i="1"/>
  <c r="Y1849" i="1"/>
  <c r="V1849" i="1"/>
  <c r="T1849" i="1"/>
  <c r="S1849" i="1"/>
  <c r="R1849" i="1"/>
  <c r="Q1849" i="1"/>
  <c r="P1849" i="1"/>
  <c r="O1849" i="1"/>
  <c r="M1849" i="1"/>
  <c r="L1849" i="1"/>
  <c r="K1849" i="1"/>
  <c r="F1849" i="1"/>
  <c r="BE1848" i="1"/>
  <c r="BD1848" i="1"/>
  <c r="BC1848" i="1"/>
  <c r="BA1848" i="1"/>
  <c r="AY1848" i="1"/>
  <c r="AW1848" i="1"/>
  <c r="AU1848" i="1"/>
  <c r="AS1848" i="1"/>
  <c r="AQ1848" i="1"/>
  <c r="AO1848" i="1"/>
  <c r="Z1848" i="1"/>
  <c r="Y1848" i="1"/>
  <c r="V1848" i="1"/>
  <c r="T1848" i="1"/>
  <c r="S1848" i="1"/>
  <c r="R1848" i="1"/>
  <c r="Q1848" i="1"/>
  <c r="P1848" i="1"/>
  <c r="O1848" i="1"/>
  <c r="M1848" i="1"/>
  <c r="L1848" i="1"/>
  <c r="K1848" i="1"/>
  <c r="F1848" i="1"/>
  <c r="D1848" i="1"/>
  <c r="D1849" i="1" s="1"/>
  <c r="D1850" i="1" s="1"/>
  <c r="C1848" i="1"/>
  <c r="BE1847" i="1"/>
  <c r="BD1847" i="1"/>
  <c r="BC1847" i="1"/>
  <c r="BA1847" i="1"/>
  <c r="AY1847" i="1"/>
  <c r="AW1847" i="1"/>
  <c r="AU1847" i="1"/>
  <c r="AS1847" i="1"/>
  <c r="AQ1847" i="1"/>
  <c r="AO1847" i="1"/>
  <c r="AJ1847" i="1"/>
  <c r="Z1847" i="1"/>
  <c r="Y1847" i="1"/>
  <c r="V1847" i="1"/>
  <c r="T1847" i="1"/>
  <c r="S1847" i="1"/>
  <c r="R1847" i="1"/>
  <c r="Q1847" i="1"/>
  <c r="P1847" i="1"/>
  <c r="O1847" i="1"/>
  <c r="M1847" i="1"/>
  <c r="L1847" i="1"/>
  <c r="K1847" i="1"/>
  <c r="H1847" i="1"/>
  <c r="F1847" i="1"/>
  <c r="BE1846" i="1"/>
  <c r="BE1845" i="1"/>
  <c r="BD1845" i="1"/>
  <c r="BC1845" i="1"/>
  <c r="BA1845" i="1"/>
  <c r="AY1845" i="1"/>
  <c r="AW1845" i="1"/>
  <c r="AU1845" i="1"/>
  <c r="AS1845" i="1"/>
  <c r="AQ1845" i="1"/>
  <c r="AO1845" i="1"/>
  <c r="Z1845" i="1"/>
  <c r="Y1845" i="1"/>
  <c r="V1845" i="1"/>
  <c r="T1845" i="1"/>
  <c r="S1845" i="1"/>
  <c r="R1845" i="1"/>
  <c r="Q1845" i="1"/>
  <c r="P1845" i="1"/>
  <c r="O1845" i="1"/>
  <c r="M1845" i="1"/>
  <c r="L1845" i="1"/>
  <c r="K1845" i="1"/>
  <c r="I1845" i="1"/>
  <c r="F1845" i="1"/>
  <c r="BE1844" i="1"/>
  <c r="BD1844" i="1"/>
  <c r="BC1844" i="1"/>
  <c r="BA1844" i="1"/>
  <c r="AY1844" i="1"/>
  <c r="AW1844" i="1"/>
  <c r="AU1844" i="1"/>
  <c r="AS1844" i="1"/>
  <c r="AQ1844" i="1"/>
  <c r="AO1844" i="1"/>
  <c r="Z1844" i="1"/>
  <c r="Y1844" i="1"/>
  <c r="V1844" i="1"/>
  <c r="T1844" i="1"/>
  <c r="S1844" i="1"/>
  <c r="R1844" i="1"/>
  <c r="Q1844" i="1"/>
  <c r="P1844" i="1"/>
  <c r="O1844" i="1"/>
  <c r="M1844" i="1"/>
  <c r="L1844" i="1"/>
  <c r="K1844" i="1"/>
  <c r="F1844" i="1"/>
  <c r="BE1843" i="1"/>
  <c r="BD1843" i="1"/>
  <c r="BC1843" i="1"/>
  <c r="BA1843" i="1"/>
  <c r="AY1843" i="1"/>
  <c r="AW1843" i="1"/>
  <c r="AU1843" i="1"/>
  <c r="AS1843" i="1"/>
  <c r="AQ1843" i="1"/>
  <c r="AO1843" i="1"/>
  <c r="Z1843" i="1"/>
  <c r="Y1843" i="1"/>
  <c r="V1843" i="1"/>
  <c r="T1843" i="1"/>
  <c r="S1843" i="1"/>
  <c r="R1843" i="1"/>
  <c r="Q1843" i="1"/>
  <c r="P1843" i="1"/>
  <c r="O1843" i="1"/>
  <c r="M1843" i="1"/>
  <c r="L1843" i="1"/>
  <c r="K1843" i="1"/>
  <c r="F1843" i="1"/>
  <c r="BE1842" i="1"/>
  <c r="BD1842" i="1"/>
  <c r="BC1842" i="1"/>
  <c r="BA1842" i="1"/>
  <c r="AY1842" i="1"/>
  <c r="AW1842" i="1"/>
  <c r="AU1842" i="1"/>
  <c r="AS1842" i="1"/>
  <c r="AQ1842" i="1"/>
  <c r="AO1842" i="1"/>
  <c r="Z1842" i="1"/>
  <c r="Y1842" i="1"/>
  <c r="V1842" i="1"/>
  <c r="T1842" i="1"/>
  <c r="S1842" i="1"/>
  <c r="R1842" i="1"/>
  <c r="Q1842" i="1"/>
  <c r="P1842" i="1"/>
  <c r="O1842" i="1"/>
  <c r="M1842" i="1"/>
  <c r="L1842" i="1"/>
  <c r="K1842" i="1"/>
  <c r="F1842" i="1"/>
  <c r="BE1841" i="1"/>
  <c r="BD1841" i="1"/>
  <c r="BC1841" i="1"/>
  <c r="BA1841" i="1"/>
  <c r="AY1841" i="1"/>
  <c r="AW1841" i="1"/>
  <c r="AU1841" i="1"/>
  <c r="AS1841" i="1"/>
  <c r="AQ1841" i="1"/>
  <c r="AO1841" i="1"/>
  <c r="Z1841" i="1"/>
  <c r="Y1841" i="1"/>
  <c r="V1841" i="1"/>
  <c r="T1841" i="1"/>
  <c r="S1841" i="1"/>
  <c r="R1841" i="1"/>
  <c r="Q1841" i="1"/>
  <c r="P1841" i="1"/>
  <c r="O1841" i="1"/>
  <c r="M1841" i="1"/>
  <c r="L1841" i="1"/>
  <c r="K1841" i="1"/>
  <c r="F1841" i="1"/>
  <c r="D1841" i="1"/>
  <c r="D1842" i="1" s="1"/>
  <c r="D1843" i="1" s="1"/>
  <c r="D1844" i="1" s="1"/>
  <c r="D1845" i="1" s="1"/>
  <c r="C1841" i="1"/>
  <c r="C1842" i="1" s="1"/>
  <c r="BE1840" i="1"/>
  <c r="BD1840" i="1"/>
  <c r="BC1840" i="1"/>
  <c r="BA1840" i="1"/>
  <c r="AY1840" i="1"/>
  <c r="AW1840" i="1"/>
  <c r="AU1840" i="1"/>
  <c r="AS1840" i="1"/>
  <c r="AQ1840" i="1"/>
  <c r="AO1840" i="1"/>
  <c r="AJ1840" i="1"/>
  <c r="Z1840" i="1"/>
  <c r="Y1840" i="1"/>
  <c r="V1840" i="1"/>
  <c r="T1840" i="1"/>
  <c r="S1840" i="1"/>
  <c r="R1840" i="1"/>
  <c r="Q1840" i="1"/>
  <c r="P1840" i="1"/>
  <c r="O1840" i="1"/>
  <c r="M1840" i="1"/>
  <c r="L1840" i="1"/>
  <c r="K1840" i="1"/>
  <c r="H1840" i="1"/>
  <c r="F1840" i="1"/>
  <c r="BE1837" i="1"/>
  <c r="Z1837" i="1"/>
  <c r="BE1836" i="1"/>
  <c r="Z1836" i="1"/>
  <c r="BE1835" i="1"/>
  <c r="Z1835" i="1"/>
  <c r="BE1834" i="1"/>
  <c r="Z1834" i="1"/>
  <c r="BE1833" i="1"/>
  <c r="Z1833" i="1"/>
  <c r="BE1832" i="1"/>
  <c r="Z1832" i="1"/>
  <c r="BE1831" i="1"/>
  <c r="Z1831" i="1"/>
  <c r="BE1830" i="1"/>
  <c r="Z1830" i="1"/>
  <c r="BE1829" i="1"/>
  <c r="AA1829" i="1"/>
  <c r="AA1830" i="1" s="1"/>
  <c r="AA1831" i="1" s="1"/>
  <c r="AA1832" i="1" s="1"/>
  <c r="AA1833" i="1" s="1"/>
  <c r="AA1834" i="1" s="1"/>
  <c r="AA1835" i="1" s="1"/>
  <c r="AA1836" i="1" s="1"/>
  <c r="AA1837" i="1" s="1"/>
  <c r="Z1829" i="1"/>
  <c r="BE1828" i="1"/>
  <c r="Z1828" i="1"/>
  <c r="BE1827" i="1"/>
  <c r="AA1827" i="1"/>
  <c r="AA1828" i="1" s="1"/>
  <c r="Z1827" i="1"/>
  <c r="BE1826" i="1"/>
  <c r="Z1826" i="1"/>
  <c r="BE1822" i="1"/>
  <c r="BD1822" i="1"/>
  <c r="AZ1822" i="1"/>
  <c r="AX1822" i="1"/>
  <c r="BE1821" i="1"/>
  <c r="BD1821" i="1"/>
  <c r="BC1821" i="1"/>
  <c r="BA1821" i="1"/>
  <c r="AY1821" i="1"/>
  <c r="AW1821" i="1"/>
  <c r="AU1821" i="1"/>
  <c r="AS1821" i="1"/>
  <c r="AQ1821" i="1"/>
  <c r="AO1821" i="1"/>
  <c r="Z1821" i="1"/>
  <c r="Y1821" i="1"/>
  <c r="V1821" i="1"/>
  <c r="T1821" i="1"/>
  <c r="S1821" i="1"/>
  <c r="R1821" i="1"/>
  <c r="Q1821" i="1"/>
  <c r="P1821" i="1"/>
  <c r="O1821" i="1"/>
  <c r="M1821" i="1"/>
  <c r="L1821" i="1"/>
  <c r="K1821" i="1"/>
  <c r="I1821" i="1"/>
  <c r="F1821" i="1"/>
  <c r="BE1820" i="1"/>
  <c r="BD1820" i="1"/>
  <c r="BC1820" i="1"/>
  <c r="BA1820" i="1"/>
  <c r="AY1820" i="1"/>
  <c r="AW1820" i="1"/>
  <c r="AU1820" i="1"/>
  <c r="AS1820" i="1"/>
  <c r="AQ1820" i="1"/>
  <c r="AO1820" i="1"/>
  <c r="Z1820" i="1"/>
  <c r="Y1820" i="1"/>
  <c r="V1820" i="1"/>
  <c r="T1820" i="1"/>
  <c r="S1820" i="1"/>
  <c r="R1820" i="1"/>
  <c r="Q1820" i="1"/>
  <c r="P1820" i="1"/>
  <c r="O1820" i="1"/>
  <c r="M1820" i="1"/>
  <c r="L1820" i="1"/>
  <c r="K1820" i="1"/>
  <c r="F1820" i="1"/>
  <c r="BE1819" i="1"/>
  <c r="BD1819" i="1"/>
  <c r="BC1819" i="1"/>
  <c r="BA1819" i="1"/>
  <c r="AY1819" i="1"/>
  <c r="AW1819" i="1"/>
  <c r="AU1819" i="1"/>
  <c r="AS1819" i="1"/>
  <c r="AQ1819" i="1"/>
  <c r="AO1819" i="1"/>
  <c r="Z1819" i="1"/>
  <c r="Y1819" i="1"/>
  <c r="V1819" i="1"/>
  <c r="T1819" i="1"/>
  <c r="S1819" i="1"/>
  <c r="R1819" i="1"/>
  <c r="Q1819" i="1"/>
  <c r="P1819" i="1"/>
  <c r="O1819" i="1"/>
  <c r="M1819" i="1"/>
  <c r="L1819" i="1"/>
  <c r="K1819" i="1"/>
  <c r="F1819" i="1"/>
  <c r="BE1818" i="1"/>
  <c r="BD1818" i="1"/>
  <c r="BC1818" i="1"/>
  <c r="BA1818" i="1"/>
  <c r="AY1818" i="1"/>
  <c r="AW1818" i="1"/>
  <c r="AU1818" i="1"/>
  <c r="AS1818" i="1"/>
  <c r="AQ1818" i="1"/>
  <c r="AO1818" i="1"/>
  <c r="Z1818" i="1"/>
  <c r="Y1818" i="1"/>
  <c r="V1818" i="1"/>
  <c r="T1818" i="1"/>
  <c r="S1818" i="1"/>
  <c r="R1818" i="1"/>
  <c r="Q1818" i="1"/>
  <c r="P1818" i="1"/>
  <c r="O1818" i="1"/>
  <c r="M1818" i="1"/>
  <c r="L1818" i="1"/>
  <c r="K1818" i="1"/>
  <c r="F1818" i="1"/>
  <c r="C1818" i="1"/>
  <c r="BE1817" i="1"/>
  <c r="BD1817" i="1"/>
  <c r="BC1817" i="1"/>
  <c r="BA1817" i="1"/>
  <c r="AY1817" i="1"/>
  <c r="AW1817" i="1"/>
  <c r="AU1817" i="1"/>
  <c r="AS1817" i="1"/>
  <c r="AQ1817" i="1"/>
  <c r="AO1817" i="1"/>
  <c r="Z1817" i="1"/>
  <c r="Y1817" i="1"/>
  <c r="V1817" i="1"/>
  <c r="T1817" i="1"/>
  <c r="S1817" i="1"/>
  <c r="R1817" i="1"/>
  <c r="Q1817" i="1"/>
  <c r="P1817" i="1"/>
  <c r="O1817" i="1"/>
  <c r="M1817" i="1"/>
  <c r="L1817" i="1"/>
  <c r="K1817" i="1"/>
  <c r="H1817" i="1"/>
  <c r="F1817" i="1"/>
  <c r="D1817" i="1"/>
  <c r="D1818" i="1" s="1"/>
  <c r="D1819" i="1" s="1"/>
  <c r="D1820" i="1" s="1"/>
  <c r="D1821" i="1" s="1"/>
  <c r="C1817" i="1"/>
  <c r="BE1816" i="1"/>
  <c r="BD1816" i="1"/>
  <c r="BC1816" i="1"/>
  <c r="BA1816" i="1"/>
  <c r="AY1816" i="1"/>
  <c r="AW1816" i="1"/>
  <c r="AU1816" i="1"/>
  <c r="AS1816" i="1"/>
  <c r="AQ1816" i="1"/>
  <c r="AO1816" i="1"/>
  <c r="AJ1816" i="1"/>
  <c r="Z1816" i="1"/>
  <c r="Y1816" i="1"/>
  <c r="V1816" i="1"/>
  <c r="T1816" i="1"/>
  <c r="S1816" i="1"/>
  <c r="R1816" i="1"/>
  <c r="Q1816" i="1"/>
  <c r="P1816" i="1"/>
  <c r="O1816" i="1"/>
  <c r="M1816" i="1"/>
  <c r="L1816" i="1"/>
  <c r="K1816" i="1"/>
  <c r="H1816" i="1"/>
  <c r="F1816" i="1"/>
  <c r="BE1815" i="1"/>
  <c r="BE1814" i="1"/>
  <c r="BD1814" i="1"/>
  <c r="BC1814" i="1"/>
  <c r="BA1814" i="1"/>
  <c r="AY1814" i="1"/>
  <c r="AW1814" i="1"/>
  <c r="AU1814" i="1"/>
  <c r="AS1814" i="1"/>
  <c r="AQ1814" i="1"/>
  <c r="AO1814" i="1"/>
  <c r="Z1814" i="1"/>
  <c r="Y1814" i="1"/>
  <c r="V1814" i="1"/>
  <c r="T1814" i="1"/>
  <c r="S1814" i="1"/>
  <c r="R1814" i="1"/>
  <c r="Q1814" i="1"/>
  <c r="P1814" i="1"/>
  <c r="O1814" i="1"/>
  <c r="M1814" i="1"/>
  <c r="L1814" i="1"/>
  <c r="K1814" i="1"/>
  <c r="I1814" i="1"/>
  <c r="F1814" i="1"/>
  <c r="BE1813" i="1"/>
  <c r="BD1813" i="1"/>
  <c r="BC1813" i="1"/>
  <c r="BA1813" i="1"/>
  <c r="AY1813" i="1"/>
  <c r="AW1813" i="1"/>
  <c r="AU1813" i="1"/>
  <c r="AS1813" i="1"/>
  <c r="AQ1813" i="1"/>
  <c r="AO1813" i="1"/>
  <c r="Z1813" i="1"/>
  <c r="Y1813" i="1"/>
  <c r="V1813" i="1"/>
  <c r="T1813" i="1"/>
  <c r="S1813" i="1"/>
  <c r="R1813" i="1"/>
  <c r="Q1813" i="1"/>
  <c r="P1813" i="1"/>
  <c r="O1813" i="1"/>
  <c r="M1813" i="1"/>
  <c r="L1813" i="1"/>
  <c r="K1813" i="1"/>
  <c r="F1813" i="1"/>
  <c r="BE1812" i="1"/>
  <c r="BD1812" i="1"/>
  <c r="BC1812" i="1"/>
  <c r="BA1812" i="1"/>
  <c r="AY1812" i="1"/>
  <c r="AW1812" i="1"/>
  <c r="AU1812" i="1"/>
  <c r="AS1812" i="1"/>
  <c r="AQ1812" i="1"/>
  <c r="AO1812" i="1"/>
  <c r="Z1812" i="1"/>
  <c r="Y1812" i="1"/>
  <c r="V1812" i="1"/>
  <c r="T1812" i="1"/>
  <c r="S1812" i="1"/>
  <c r="R1812" i="1"/>
  <c r="Q1812" i="1"/>
  <c r="P1812" i="1"/>
  <c r="O1812" i="1"/>
  <c r="M1812" i="1"/>
  <c r="L1812" i="1"/>
  <c r="K1812" i="1"/>
  <c r="F1812" i="1"/>
  <c r="BE1811" i="1"/>
  <c r="BD1811" i="1"/>
  <c r="BC1811" i="1"/>
  <c r="BA1811" i="1"/>
  <c r="AY1811" i="1"/>
  <c r="AW1811" i="1"/>
  <c r="AU1811" i="1"/>
  <c r="AS1811" i="1"/>
  <c r="AQ1811" i="1"/>
  <c r="AO1811" i="1"/>
  <c r="Z1811" i="1"/>
  <c r="Y1811" i="1"/>
  <c r="V1811" i="1"/>
  <c r="T1811" i="1"/>
  <c r="S1811" i="1"/>
  <c r="R1811" i="1"/>
  <c r="Q1811" i="1"/>
  <c r="P1811" i="1"/>
  <c r="O1811" i="1"/>
  <c r="M1811" i="1"/>
  <c r="L1811" i="1"/>
  <c r="K1811" i="1"/>
  <c r="F1811" i="1"/>
  <c r="C1811" i="1"/>
  <c r="C1812" i="1" s="1"/>
  <c r="C1813" i="1" s="1"/>
  <c r="H1813" i="1" s="1"/>
  <c r="BE1810" i="1"/>
  <c r="BD1810" i="1"/>
  <c r="BC1810" i="1"/>
  <c r="BA1810" i="1"/>
  <c r="AY1810" i="1"/>
  <c r="AW1810" i="1"/>
  <c r="AU1810" i="1"/>
  <c r="AS1810" i="1"/>
  <c r="AQ1810" i="1"/>
  <c r="AO1810" i="1"/>
  <c r="Z1810" i="1"/>
  <c r="Y1810" i="1"/>
  <c r="V1810" i="1"/>
  <c r="T1810" i="1"/>
  <c r="S1810" i="1"/>
  <c r="R1810" i="1"/>
  <c r="Q1810" i="1"/>
  <c r="P1810" i="1"/>
  <c r="O1810" i="1"/>
  <c r="M1810" i="1"/>
  <c r="L1810" i="1"/>
  <c r="K1810" i="1"/>
  <c r="F1810" i="1"/>
  <c r="D1810" i="1"/>
  <c r="D1811" i="1" s="1"/>
  <c r="D1812" i="1" s="1"/>
  <c r="D1813" i="1" s="1"/>
  <c r="D1814" i="1" s="1"/>
  <c r="C1810" i="1"/>
  <c r="H1810" i="1" s="1"/>
  <c r="BE1809" i="1"/>
  <c r="BD1809" i="1"/>
  <c r="BC1809" i="1"/>
  <c r="BA1809" i="1"/>
  <c r="AY1809" i="1"/>
  <c r="AW1809" i="1"/>
  <c r="AU1809" i="1"/>
  <c r="AS1809" i="1"/>
  <c r="AQ1809" i="1"/>
  <c r="AO1809" i="1"/>
  <c r="AJ1809" i="1"/>
  <c r="Z1809" i="1"/>
  <c r="Y1809" i="1"/>
  <c r="V1809" i="1"/>
  <c r="T1809" i="1"/>
  <c r="S1809" i="1"/>
  <c r="R1809" i="1"/>
  <c r="Q1809" i="1"/>
  <c r="P1809" i="1"/>
  <c r="O1809" i="1"/>
  <c r="M1809" i="1"/>
  <c r="L1809" i="1"/>
  <c r="K1809" i="1"/>
  <c r="H1809" i="1"/>
  <c r="F1809" i="1"/>
  <c r="BE1806" i="1"/>
  <c r="Z1806" i="1"/>
  <c r="BE1805" i="1"/>
  <c r="Z1805" i="1"/>
  <c r="BE1804" i="1"/>
  <c r="Z1804" i="1"/>
  <c r="BE1803" i="1"/>
  <c r="Z1803" i="1"/>
  <c r="BE1802" i="1"/>
  <c r="Z1802" i="1"/>
  <c r="BE1801" i="1"/>
  <c r="Z1801" i="1"/>
  <c r="BE1800" i="1"/>
  <c r="Z1800" i="1"/>
  <c r="BE1799" i="1"/>
  <c r="Z1799" i="1"/>
  <c r="BE1798" i="1"/>
  <c r="Z1798" i="1"/>
  <c r="BE1797" i="1"/>
  <c r="Z1797" i="1"/>
  <c r="BE1796" i="1"/>
  <c r="AA1796" i="1"/>
  <c r="AA1797" i="1" s="1"/>
  <c r="AA1798" i="1" s="1"/>
  <c r="AA1799" i="1" s="1"/>
  <c r="AA1800" i="1" s="1"/>
  <c r="AA1801" i="1" s="1"/>
  <c r="AA1802" i="1" s="1"/>
  <c r="AA1803" i="1" s="1"/>
  <c r="AA1804" i="1" s="1"/>
  <c r="AA1805" i="1" s="1"/>
  <c r="AA1806" i="1" s="1"/>
  <c r="Z1796" i="1"/>
  <c r="BE1795" i="1"/>
  <c r="Z1795" i="1"/>
  <c r="BE1791" i="1"/>
  <c r="BD1791" i="1"/>
  <c r="AZ1791" i="1"/>
  <c r="AX1791" i="1"/>
  <c r="BE1790" i="1"/>
  <c r="BD1790" i="1"/>
  <c r="BC1790" i="1"/>
  <c r="BA1790" i="1"/>
  <c r="AY1790" i="1"/>
  <c r="AW1790" i="1"/>
  <c r="AU1790" i="1"/>
  <c r="AS1790" i="1"/>
  <c r="AQ1790" i="1"/>
  <c r="AO1790" i="1"/>
  <c r="Z1790" i="1"/>
  <c r="Y1790" i="1"/>
  <c r="V1790" i="1"/>
  <c r="T1790" i="1"/>
  <c r="S1790" i="1"/>
  <c r="R1790" i="1"/>
  <c r="Q1790" i="1"/>
  <c r="P1790" i="1"/>
  <c r="O1790" i="1"/>
  <c r="M1790" i="1"/>
  <c r="L1790" i="1"/>
  <c r="K1790" i="1"/>
  <c r="I1790" i="1"/>
  <c r="F1790" i="1"/>
  <c r="BE1789" i="1"/>
  <c r="BD1789" i="1"/>
  <c r="BC1789" i="1"/>
  <c r="BA1789" i="1"/>
  <c r="AY1789" i="1"/>
  <c r="AW1789" i="1"/>
  <c r="AU1789" i="1"/>
  <c r="AS1789" i="1"/>
  <c r="AQ1789" i="1"/>
  <c r="AO1789" i="1"/>
  <c r="Z1789" i="1"/>
  <c r="Y1789" i="1"/>
  <c r="V1789" i="1"/>
  <c r="T1789" i="1"/>
  <c r="S1789" i="1"/>
  <c r="R1789" i="1"/>
  <c r="Q1789" i="1"/>
  <c r="P1789" i="1"/>
  <c r="O1789" i="1"/>
  <c r="M1789" i="1"/>
  <c r="L1789" i="1"/>
  <c r="K1789" i="1"/>
  <c r="F1789" i="1"/>
  <c r="BE1788" i="1"/>
  <c r="BD1788" i="1"/>
  <c r="BC1788" i="1"/>
  <c r="BA1788" i="1"/>
  <c r="AY1788" i="1"/>
  <c r="AW1788" i="1"/>
  <c r="AU1788" i="1"/>
  <c r="AS1788" i="1"/>
  <c r="AQ1788" i="1"/>
  <c r="AO1788" i="1"/>
  <c r="Z1788" i="1"/>
  <c r="Y1788" i="1"/>
  <c r="V1788" i="1"/>
  <c r="T1788" i="1"/>
  <c r="S1788" i="1"/>
  <c r="R1788" i="1"/>
  <c r="Q1788" i="1"/>
  <c r="P1788" i="1"/>
  <c r="O1788" i="1"/>
  <c r="M1788" i="1"/>
  <c r="L1788" i="1"/>
  <c r="K1788" i="1"/>
  <c r="F1788" i="1"/>
  <c r="BE1787" i="1"/>
  <c r="BD1787" i="1"/>
  <c r="BC1787" i="1"/>
  <c r="BA1787" i="1"/>
  <c r="AY1787" i="1"/>
  <c r="AW1787" i="1"/>
  <c r="AU1787" i="1"/>
  <c r="AS1787" i="1"/>
  <c r="AQ1787" i="1"/>
  <c r="AO1787" i="1"/>
  <c r="Z1787" i="1"/>
  <c r="Y1787" i="1"/>
  <c r="V1787" i="1"/>
  <c r="T1787" i="1"/>
  <c r="S1787" i="1"/>
  <c r="R1787" i="1"/>
  <c r="Q1787" i="1"/>
  <c r="P1787" i="1"/>
  <c r="O1787" i="1"/>
  <c r="M1787" i="1"/>
  <c r="L1787" i="1"/>
  <c r="K1787" i="1"/>
  <c r="F1787" i="1"/>
  <c r="BE1786" i="1"/>
  <c r="BD1786" i="1"/>
  <c r="BC1786" i="1"/>
  <c r="BA1786" i="1"/>
  <c r="AY1786" i="1"/>
  <c r="AW1786" i="1"/>
  <c r="AU1786" i="1"/>
  <c r="AS1786" i="1"/>
  <c r="AQ1786" i="1"/>
  <c r="AO1786" i="1"/>
  <c r="Z1786" i="1"/>
  <c r="Y1786" i="1"/>
  <c r="V1786" i="1"/>
  <c r="T1786" i="1"/>
  <c r="S1786" i="1"/>
  <c r="R1786" i="1"/>
  <c r="Q1786" i="1"/>
  <c r="P1786" i="1"/>
  <c r="O1786" i="1"/>
  <c r="M1786" i="1"/>
  <c r="L1786" i="1"/>
  <c r="K1786" i="1"/>
  <c r="F1786" i="1"/>
  <c r="D1786" i="1"/>
  <c r="D1787" i="1" s="1"/>
  <c r="D1788" i="1" s="1"/>
  <c r="D1789" i="1" s="1"/>
  <c r="D1790" i="1" s="1"/>
  <c r="C1786" i="1"/>
  <c r="H1786" i="1" s="1"/>
  <c r="BE1785" i="1"/>
  <c r="BD1785" i="1"/>
  <c r="BC1785" i="1"/>
  <c r="BA1785" i="1"/>
  <c r="AY1785" i="1"/>
  <c r="AW1785" i="1"/>
  <c r="AU1785" i="1"/>
  <c r="AS1785" i="1"/>
  <c r="AQ1785" i="1"/>
  <c r="AO1785" i="1"/>
  <c r="AJ1785" i="1"/>
  <c r="Z1785" i="1"/>
  <c r="Y1785" i="1"/>
  <c r="V1785" i="1"/>
  <c r="T1785" i="1"/>
  <c r="S1785" i="1"/>
  <c r="R1785" i="1"/>
  <c r="Q1785" i="1"/>
  <c r="P1785" i="1"/>
  <c r="O1785" i="1"/>
  <c r="M1785" i="1"/>
  <c r="L1785" i="1"/>
  <c r="K1785" i="1"/>
  <c r="H1785" i="1"/>
  <c r="F1785" i="1"/>
  <c r="BE1784" i="1"/>
  <c r="BE1783" i="1"/>
  <c r="BD1783" i="1"/>
  <c r="BC1783" i="1"/>
  <c r="BA1783" i="1"/>
  <c r="AY1783" i="1"/>
  <c r="AW1783" i="1"/>
  <c r="AU1783" i="1"/>
  <c r="AS1783" i="1"/>
  <c r="AQ1783" i="1"/>
  <c r="AO1783" i="1"/>
  <c r="Z1783" i="1"/>
  <c r="Y1783" i="1"/>
  <c r="V1783" i="1"/>
  <c r="T1783" i="1"/>
  <c r="S1783" i="1"/>
  <c r="R1783" i="1"/>
  <c r="Q1783" i="1"/>
  <c r="P1783" i="1"/>
  <c r="O1783" i="1"/>
  <c r="M1783" i="1"/>
  <c r="L1783" i="1"/>
  <c r="K1783" i="1"/>
  <c r="I1783" i="1"/>
  <c r="F1783" i="1"/>
  <c r="BE1782" i="1"/>
  <c r="BD1782" i="1"/>
  <c r="BC1782" i="1"/>
  <c r="BA1782" i="1"/>
  <c r="AY1782" i="1"/>
  <c r="AW1782" i="1"/>
  <c r="AU1782" i="1"/>
  <c r="AS1782" i="1"/>
  <c r="AQ1782" i="1"/>
  <c r="AO1782" i="1"/>
  <c r="Z1782" i="1"/>
  <c r="Y1782" i="1"/>
  <c r="V1782" i="1"/>
  <c r="T1782" i="1"/>
  <c r="S1782" i="1"/>
  <c r="R1782" i="1"/>
  <c r="Q1782" i="1"/>
  <c r="P1782" i="1"/>
  <c r="O1782" i="1"/>
  <c r="M1782" i="1"/>
  <c r="L1782" i="1"/>
  <c r="K1782" i="1"/>
  <c r="F1782" i="1"/>
  <c r="BE1781" i="1"/>
  <c r="BD1781" i="1"/>
  <c r="BC1781" i="1"/>
  <c r="BA1781" i="1"/>
  <c r="AY1781" i="1"/>
  <c r="AW1781" i="1"/>
  <c r="AU1781" i="1"/>
  <c r="AS1781" i="1"/>
  <c r="AQ1781" i="1"/>
  <c r="AO1781" i="1"/>
  <c r="Z1781" i="1"/>
  <c r="Y1781" i="1"/>
  <c r="V1781" i="1"/>
  <c r="T1781" i="1"/>
  <c r="S1781" i="1"/>
  <c r="R1781" i="1"/>
  <c r="Q1781" i="1"/>
  <c r="P1781" i="1"/>
  <c r="O1781" i="1"/>
  <c r="M1781" i="1"/>
  <c r="L1781" i="1"/>
  <c r="K1781" i="1"/>
  <c r="F1781" i="1"/>
  <c r="BE1780" i="1"/>
  <c r="BD1780" i="1"/>
  <c r="BC1780" i="1"/>
  <c r="BA1780" i="1"/>
  <c r="AY1780" i="1"/>
  <c r="AW1780" i="1"/>
  <c r="AU1780" i="1"/>
  <c r="AS1780" i="1"/>
  <c r="AQ1780" i="1"/>
  <c r="AO1780" i="1"/>
  <c r="Z1780" i="1"/>
  <c r="Y1780" i="1"/>
  <c r="V1780" i="1"/>
  <c r="T1780" i="1"/>
  <c r="S1780" i="1"/>
  <c r="R1780" i="1"/>
  <c r="Q1780" i="1"/>
  <c r="P1780" i="1"/>
  <c r="O1780" i="1"/>
  <c r="M1780" i="1"/>
  <c r="L1780" i="1"/>
  <c r="K1780" i="1"/>
  <c r="F1780" i="1"/>
  <c r="BE1779" i="1"/>
  <c r="BD1779" i="1"/>
  <c r="BC1779" i="1"/>
  <c r="BA1779" i="1"/>
  <c r="AY1779" i="1"/>
  <c r="AW1779" i="1"/>
  <c r="AU1779" i="1"/>
  <c r="AS1779" i="1"/>
  <c r="AQ1779" i="1"/>
  <c r="AO1779" i="1"/>
  <c r="Z1779" i="1"/>
  <c r="Y1779" i="1"/>
  <c r="V1779" i="1"/>
  <c r="T1779" i="1"/>
  <c r="S1779" i="1"/>
  <c r="R1779" i="1"/>
  <c r="Q1779" i="1"/>
  <c r="P1779" i="1"/>
  <c r="O1779" i="1"/>
  <c r="M1779" i="1"/>
  <c r="L1779" i="1"/>
  <c r="K1779" i="1"/>
  <c r="F1779" i="1"/>
  <c r="D1779" i="1"/>
  <c r="D1780" i="1" s="1"/>
  <c r="D1781" i="1" s="1"/>
  <c r="D1782" i="1" s="1"/>
  <c r="D1783" i="1" s="1"/>
  <c r="C1779" i="1"/>
  <c r="C1780" i="1" s="1"/>
  <c r="C1781" i="1" s="1"/>
  <c r="BE1778" i="1"/>
  <c r="BD1778" i="1"/>
  <c r="BC1778" i="1"/>
  <c r="BA1778" i="1"/>
  <c r="AY1778" i="1"/>
  <c r="AW1778" i="1"/>
  <c r="AU1778" i="1"/>
  <c r="AS1778" i="1"/>
  <c r="AQ1778" i="1"/>
  <c r="AO1778" i="1"/>
  <c r="AJ1778" i="1"/>
  <c r="Z1778" i="1"/>
  <c r="Y1778" i="1"/>
  <c r="V1778" i="1"/>
  <c r="T1778" i="1"/>
  <c r="S1778" i="1"/>
  <c r="R1778" i="1"/>
  <c r="Q1778" i="1"/>
  <c r="P1778" i="1"/>
  <c r="O1778" i="1"/>
  <c r="M1778" i="1"/>
  <c r="L1778" i="1"/>
  <c r="K1778" i="1"/>
  <c r="H1778" i="1"/>
  <c r="F1778" i="1"/>
  <c r="BE1775" i="1"/>
  <c r="Z1775" i="1"/>
  <c r="BE1774" i="1"/>
  <c r="Z1774" i="1"/>
  <c r="BE1773" i="1"/>
  <c r="Z1773" i="1"/>
  <c r="BE1772" i="1"/>
  <c r="Z1772" i="1"/>
  <c r="BE1771" i="1"/>
  <c r="Z1771" i="1"/>
  <c r="BE1770" i="1"/>
  <c r="Z1770" i="1"/>
  <c r="BE1769" i="1"/>
  <c r="Z1769" i="1"/>
  <c r="BE1768" i="1"/>
  <c r="Z1768" i="1"/>
  <c r="BE1767" i="1"/>
  <c r="Z1767" i="1"/>
  <c r="BE1766" i="1"/>
  <c r="Z1766" i="1"/>
  <c r="BE1765" i="1"/>
  <c r="AA1765" i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Z1765" i="1"/>
  <c r="BE1764" i="1"/>
  <c r="Z1764" i="1"/>
  <c r="BE1760" i="1"/>
  <c r="BD1760" i="1"/>
  <c r="AZ1760" i="1"/>
  <c r="AX1760" i="1"/>
  <c r="BE1759" i="1"/>
  <c r="BD1759" i="1"/>
  <c r="BC1759" i="1"/>
  <c r="BA1759" i="1"/>
  <c r="AY1759" i="1"/>
  <c r="AW1759" i="1"/>
  <c r="AU1759" i="1"/>
  <c r="AS1759" i="1"/>
  <c r="AQ1759" i="1"/>
  <c r="AO1759" i="1"/>
  <c r="Z1759" i="1"/>
  <c r="Y1759" i="1"/>
  <c r="V1759" i="1"/>
  <c r="T1759" i="1"/>
  <c r="S1759" i="1"/>
  <c r="R1759" i="1"/>
  <c r="Q1759" i="1"/>
  <c r="P1759" i="1"/>
  <c r="O1759" i="1"/>
  <c r="M1759" i="1"/>
  <c r="L1759" i="1"/>
  <c r="K1759" i="1"/>
  <c r="I1759" i="1"/>
  <c r="F1759" i="1"/>
  <c r="BE1758" i="1"/>
  <c r="BD1758" i="1"/>
  <c r="BC1758" i="1"/>
  <c r="BA1758" i="1"/>
  <c r="AY1758" i="1"/>
  <c r="AW1758" i="1"/>
  <c r="AU1758" i="1"/>
  <c r="AS1758" i="1"/>
  <c r="AQ1758" i="1"/>
  <c r="AO1758" i="1"/>
  <c r="Z1758" i="1"/>
  <c r="Y1758" i="1"/>
  <c r="V1758" i="1"/>
  <c r="T1758" i="1"/>
  <c r="S1758" i="1"/>
  <c r="R1758" i="1"/>
  <c r="Q1758" i="1"/>
  <c r="P1758" i="1"/>
  <c r="O1758" i="1"/>
  <c r="M1758" i="1"/>
  <c r="L1758" i="1"/>
  <c r="K1758" i="1"/>
  <c r="F1758" i="1"/>
  <c r="BE1757" i="1"/>
  <c r="BD1757" i="1"/>
  <c r="BC1757" i="1"/>
  <c r="BA1757" i="1"/>
  <c r="AY1757" i="1"/>
  <c r="AW1757" i="1"/>
  <c r="AU1757" i="1"/>
  <c r="AS1757" i="1"/>
  <c r="AQ1757" i="1"/>
  <c r="AO1757" i="1"/>
  <c r="Z1757" i="1"/>
  <c r="Y1757" i="1"/>
  <c r="V1757" i="1"/>
  <c r="T1757" i="1"/>
  <c r="S1757" i="1"/>
  <c r="R1757" i="1"/>
  <c r="Q1757" i="1"/>
  <c r="P1757" i="1"/>
  <c r="O1757" i="1"/>
  <c r="M1757" i="1"/>
  <c r="L1757" i="1"/>
  <c r="K1757" i="1"/>
  <c r="F1757" i="1"/>
  <c r="BE1756" i="1"/>
  <c r="BD1756" i="1"/>
  <c r="BC1756" i="1"/>
  <c r="BA1756" i="1"/>
  <c r="AY1756" i="1"/>
  <c r="AW1756" i="1"/>
  <c r="AU1756" i="1"/>
  <c r="AS1756" i="1"/>
  <c r="AQ1756" i="1"/>
  <c r="AO1756" i="1"/>
  <c r="Z1756" i="1"/>
  <c r="Y1756" i="1"/>
  <c r="V1756" i="1"/>
  <c r="T1756" i="1"/>
  <c r="S1756" i="1"/>
  <c r="R1756" i="1"/>
  <c r="Q1756" i="1"/>
  <c r="P1756" i="1"/>
  <c r="O1756" i="1"/>
  <c r="M1756" i="1"/>
  <c r="L1756" i="1"/>
  <c r="K1756" i="1"/>
  <c r="F1756" i="1"/>
  <c r="BE1755" i="1"/>
  <c r="BD1755" i="1"/>
  <c r="BC1755" i="1"/>
  <c r="BA1755" i="1"/>
  <c r="AY1755" i="1"/>
  <c r="AW1755" i="1"/>
  <c r="AU1755" i="1"/>
  <c r="AS1755" i="1"/>
  <c r="AQ1755" i="1"/>
  <c r="AO1755" i="1"/>
  <c r="Z1755" i="1"/>
  <c r="Y1755" i="1"/>
  <c r="V1755" i="1"/>
  <c r="T1755" i="1"/>
  <c r="S1755" i="1"/>
  <c r="R1755" i="1"/>
  <c r="Q1755" i="1"/>
  <c r="P1755" i="1"/>
  <c r="O1755" i="1"/>
  <c r="M1755" i="1"/>
  <c r="L1755" i="1"/>
  <c r="K1755" i="1"/>
  <c r="F1755" i="1"/>
  <c r="D1755" i="1"/>
  <c r="D1756" i="1" s="1"/>
  <c r="D1757" i="1" s="1"/>
  <c r="D1758" i="1" s="1"/>
  <c r="D1759" i="1" s="1"/>
  <c r="C1755" i="1"/>
  <c r="H1755" i="1" s="1"/>
  <c r="BE1754" i="1"/>
  <c r="BD1754" i="1"/>
  <c r="BC1754" i="1"/>
  <c r="BA1754" i="1"/>
  <c r="AY1754" i="1"/>
  <c r="AW1754" i="1"/>
  <c r="AU1754" i="1"/>
  <c r="AS1754" i="1"/>
  <c r="AQ1754" i="1"/>
  <c r="AO1754" i="1"/>
  <c r="AJ1754" i="1"/>
  <c r="Z1754" i="1"/>
  <c r="Y1754" i="1"/>
  <c r="V1754" i="1"/>
  <c r="T1754" i="1"/>
  <c r="S1754" i="1"/>
  <c r="R1754" i="1"/>
  <c r="Q1754" i="1"/>
  <c r="P1754" i="1"/>
  <c r="O1754" i="1"/>
  <c r="M1754" i="1"/>
  <c r="L1754" i="1"/>
  <c r="K1754" i="1"/>
  <c r="H1754" i="1"/>
  <c r="F1754" i="1"/>
  <c r="BE1753" i="1"/>
  <c r="BE1752" i="1"/>
  <c r="BD1752" i="1"/>
  <c r="BC1752" i="1"/>
  <c r="BA1752" i="1"/>
  <c r="AY1752" i="1"/>
  <c r="AW1752" i="1"/>
  <c r="AU1752" i="1"/>
  <c r="AS1752" i="1"/>
  <c r="AQ1752" i="1"/>
  <c r="AO1752" i="1"/>
  <c r="Z1752" i="1"/>
  <c r="Y1752" i="1"/>
  <c r="V1752" i="1"/>
  <c r="T1752" i="1"/>
  <c r="S1752" i="1"/>
  <c r="R1752" i="1"/>
  <c r="Q1752" i="1"/>
  <c r="P1752" i="1"/>
  <c r="O1752" i="1"/>
  <c r="M1752" i="1"/>
  <c r="L1752" i="1"/>
  <c r="K1752" i="1"/>
  <c r="I1752" i="1"/>
  <c r="F1752" i="1"/>
  <c r="BE1751" i="1"/>
  <c r="BD1751" i="1"/>
  <c r="BC1751" i="1"/>
  <c r="BA1751" i="1"/>
  <c r="AY1751" i="1"/>
  <c r="AW1751" i="1"/>
  <c r="AU1751" i="1"/>
  <c r="AS1751" i="1"/>
  <c r="AQ1751" i="1"/>
  <c r="AO1751" i="1"/>
  <c r="Z1751" i="1"/>
  <c r="Y1751" i="1"/>
  <c r="V1751" i="1"/>
  <c r="T1751" i="1"/>
  <c r="S1751" i="1"/>
  <c r="R1751" i="1"/>
  <c r="Q1751" i="1"/>
  <c r="P1751" i="1"/>
  <c r="O1751" i="1"/>
  <c r="M1751" i="1"/>
  <c r="L1751" i="1"/>
  <c r="K1751" i="1"/>
  <c r="F1751" i="1"/>
  <c r="BE1750" i="1"/>
  <c r="BD1750" i="1"/>
  <c r="BC1750" i="1"/>
  <c r="BA1750" i="1"/>
  <c r="AY1750" i="1"/>
  <c r="AW1750" i="1"/>
  <c r="AU1750" i="1"/>
  <c r="AS1750" i="1"/>
  <c r="AQ1750" i="1"/>
  <c r="AO1750" i="1"/>
  <c r="Z1750" i="1"/>
  <c r="Y1750" i="1"/>
  <c r="V1750" i="1"/>
  <c r="T1750" i="1"/>
  <c r="S1750" i="1"/>
  <c r="R1750" i="1"/>
  <c r="Q1750" i="1"/>
  <c r="P1750" i="1"/>
  <c r="O1750" i="1"/>
  <c r="M1750" i="1"/>
  <c r="L1750" i="1"/>
  <c r="K1750" i="1"/>
  <c r="F1750" i="1"/>
  <c r="BE1749" i="1"/>
  <c r="BD1749" i="1"/>
  <c r="BC1749" i="1"/>
  <c r="BA1749" i="1"/>
  <c r="AY1749" i="1"/>
  <c r="AW1749" i="1"/>
  <c r="AU1749" i="1"/>
  <c r="AS1749" i="1"/>
  <c r="AQ1749" i="1"/>
  <c r="AO1749" i="1"/>
  <c r="Z1749" i="1"/>
  <c r="Y1749" i="1"/>
  <c r="V1749" i="1"/>
  <c r="T1749" i="1"/>
  <c r="S1749" i="1"/>
  <c r="R1749" i="1"/>
  <c r="Q1749" i="1"/>
  <c r="P1749" i="1"/>
  <c r="O1749" i="1"/>
  <c r="M1749" i="1"/>
  <c r="L1749" i="1"/>
  <c r="K1749" i="1"/>
  <c r="F1749" i="1"/>
  <c r="BE1748" i="1"/>
  <c r="BD1748" i="1"/>
  <c r="BC1748" i="1"/>
  <c r="BA1748" i="1"/>
  <c r="AY1748" i="1"/>
  <c r="AW1748" i="1"/>
  <c r="AU1748" i="1"/>
  <c r="AS1748" i="1"/>
  <c r="AQ1748" i="1"/>
  <c r="AO1748" i="1"/>
  <c r="Z1748" i="1"/>
  <c r="Y1748" i="1"/>
  <c r="V1748" i="1"/>
  <c r="T1748" i="1"/>
  <c r="S1748" i="1"/>
  <c r="R1748" i="1"/>
  <c r="Q1748" i="1"/>
  <c r="P1748" i="1"/>
  <c r="O1748" i="1"/>
  <c r="M1748" i="1"/>
  <c r="L1748" i="1"/>
  <c r="K1748" i="1"/>
  <c r="F1748" i="1"/>
  <c r="D1748" i="1"/>
  <c r="D1749" i="1" s="1"/>
  <c r="D1750" i="1" s="1"/>
  <c r="D1751" i="1" s="1"/>
  <c r="D1752" i="1" s="1"/>
  <c r="C1748" i="1"/>
  <c r="BE1747" i="1"/>
  <c r="BD1747" i="1"/>
  <c r="BC1747" i="1"/>
  <c r="BA1747" i="1"/>
  <c r="AY1747" i="1"/>
  <c r="AW1747" i="1"/>
  <c r="AU1747" i="1"/>
  <c r="AS1747" i="1"/>
  <c r="AQ1747" i="1"/>
  <c r="AO1747" i="1"/>
  <c r="AJ1747" i="1"/>
  <c r="Z1747" i="1"/>
  <c r="Y1747" i="1"/>
  <c r="V1747" i="1"/>
  <c r="T1747" i="1"/>
  <c r="S1747" i="1"/>
  <c r="R1747" i="1"/>
  <c r="Q1747" i="1"/>
  <c r="P1747" i="1"/>
  <c r="O1747" i="1"/>
  <c r="M1747" i="1"/>
  <c r="L1747" i="1"/>
  <c r="K1747" i="1"/>
  <c r="H1747" i="1"/>
  <c r="F1747" i="1"/>
  <c r="BE1744" i="1"/>
  <c r="Z1744" i="1"/>
  <c r="BE1743" i="1"/>
  <c r="Z1743" i="1"/>
  <c r="BE1742" i="1"/>
  <c r="Z1742" i="1"/>
  <c r="BE1741" i="1"/>
  <c r="Z1741" i="1"/>
  <c r="BE1740" i="1"/>
  <c r="Z1740" i="1"/>
  <c r="BE1739" i="1"/>
  <c r="Z1739" i="1"/>
  <c r="BE1738" i="1"/>
  <c r="Z1738" i="1"/>
  <c r="BE1737" i="1"/>
  <c r="Z1737" i="1"/>
  <c r="BE1736" i="1"/>
  <c r="Z1736" i="1"/>
  <c r="BE1735" i="1"/>
  <c r="Z1735" i="1"/>
  <c r="BE1734" i="1"/>
  <c r="AA1734" i="1"/>
  <c r="AA1735" i="1" s="1"/>
  <c r="AA1736" i="1" s="1"/>
  <c r="AA1737" i="1" s="1"/>
  <c r="AA1738" i="1" s="1"/>
  <c r="AA1739" i="1" s="1"/>
  <c r="AA1740" i="1" s="1"/>
  <c r="AA1741" i="1" s="1"/>
  <c r="AA1742" i="1" s="1"/>
  <c r="AA1743" i="1" s="1"/>
  <c r="AA1744" i="1" s="1"/>
  <c r="Z1734" i="1"/>
  <c r="BE1733" i="1"/>
  <c r="Z1733" i="1"/>
  <c r="BE1729" i="1"/>
  <c r="BD1729" i="1"/>
  <c r="AZ1729" i="1"/>
  <c r="AX1729" i="1"/>
  <c r="BE1728" i="1"/>
  <c r="BD1728" i="1"/>
  <c r="BC1728" i="1"/>
  <c r="BA1728" i="1"/>
  <c r="AY1728" i="1"/>
  <c r="AW1728" i="1"/>
  <c r="AU1728" i="1"/>
  <c r="AS1728" i="1"/>
  <c r="AQ1728" i="1"/>
  <c r="AO1728" i="1"/>
  <c r="Z1728" i="1"/>
  <c r="Y1728" i="1"/>
  <c r="V1728" i="1"/>
  <c r="T1728" i="1"/>
  <c r="S1728" i="1"/>
  <c r="R1728" i="1"/>
  <c r="Q1728" i="1"/>
  <c r="P1728" i="1"/>
  <c r="O1728" i="1"/>
  <c r="M1728" i="1"/>
  <c r="L1728" i="1"/>
  <c r="K1728" i="1"/>
  <c r="I1728" i="1"/>
  <c r="F1728" i="1"/>
  <c r="BE1727" i="1"/>
  <c r="BD1727" i="1"/>
  <c r="BC1727" i="1"/>
  <c r="BA1727" i="1"/>
  <c r="AY1727" i="1"/>
  <c r="AW1727" i="1"/>
  <c r="AU1727" i="1"/>
  <c r="AS1727" i="1"/>
  <c r="AQ1727" i="1"/>
  <c r="AO1727" i="1"/>
  <c r="Z1727" i="1"/>
  <c r="Y1727" i="1"/>
  <c r="V1727" i="1"/>
  <c r="T1727" i="1"/>
  <c r="S1727" i="1"/>
  <c r="R1727" i="1"/>
  <c r="Q1727" i="1"/>
  <c r="P1727" i="1"/>
  <c r="O1727" i="1"/>
  <c r="M1727" i="1"/>
  <c r="L1727" i="1"/>
  <c r="K1727" i="1"/>
  <c r="F1727" i="1"/>
  <c r="BE1726" i="1"/>
  <c r="BD1726" i="1"/>
  <c r="BC1726" i="1"/>
  <c r="BA1726" i="1"/>
  <c r="AY1726" i="1"/>
  <c r="AW1726" i="1"/>
  <c r="AU1726" i="1"/>
  <c r="AS1726" i="1"/>
  <c r="AQ1726" i="1"/>
  <c r="AO1726" i="1"/>
  <c r="Z1726" i="1"/>
  <c r="Y1726" i="1"/>
  <c r="V1726" i="1"/>
  <c r="T1726" i="1"/>
  <c r="S1726" i="1"/>
  <c r="R1726" i="1"/>
  <c r="Q1726" i="1"/>
  <c r="P1726" i="1"/>
  <c r="O1726" i="1"/>
  <c r="M1726" i="1"/>
  <c r="L1726" i="1"/>
  <c r="K1726" i="1"/>
  <c r="F1726" i="1"/>
  <c r="BE1725" i="1"/>
  <c r="BD1725" i="1"/>
  <c r="BC1725" i="1"/>
  <c r="BA1725" i="1"/>
  <c r="AY1725" i="1"/>
  <c r="AW1725" i="1"/>
  <c r="AU1725" i="1"/>
  <c r="AS1725" i="1"/>
  <c r="AQ1725" i="1"/>
  <c r="AO1725" i="1"/>
  <c r="Z1725" i="1"/>
  <c r="Y1725" i="1"/>
  <c r="V1725" i="1"/>
  <c r="T1725" i="1"/>
  <c r="S1725" i="1"/>
  <c r="R1725" i="1"/>
  <c r="Q1725" i="1"/>
  <c r="P1725" i="1"/>
  <c r="O1725" i="1"/>
  <c r="M1725" i="1"/>
  <c r="L1725" i="1"/>
  <c r="K1725" i="1"/>
  <c r="F1725" i="1"/>
  <c r="BE1724" i="1"/>
  <c r="BD1724" i="1"/>
  <c r="BC1724" i="1"/>
  <c r="BA1724" i="1"/>
  <c r="AY1724" i="1"/>
  <c r="AW1724" i="1"/>
  <c r="AU1724" i="1"/>
  <c r="AS1724" i="1"/>
  <c r="AQ1724" i="1"/>
  <c r="AO1724" i="1"/>
  <c r="Z1724" i="1"/>
  <c r="Y1724" i="1"/>
  <c r="V1724" i="1"/>
  <c r="T1724" i="1"/>
  <c r="S1724" i="1"/>
  <c r="R1724" i="1"/>
  <c r="Q1724" i="1"/>
  <c r="P1724" i="1"/>
  <c r="O1724" i="1"/>
  <c r="M1724" i="1"/>
  <c r="L1724" i="1"/>
  <c r="K1724" i="1"/>
  <c r="F1724" i="1"/>
  <c r="D1724" i="1"/>
  <c r="D1725" i="1" s="1"/>
  <c r="D1726" i="1" s="1"/>
  <c r="D1727" i="1" s="1"/>
  <c r="D1728" i="1" s="1"/>
  <c r="C1724" i="1"/>
  <c r="BE1723" i="1"/>
  <c r="BD1723" i="1"/>
  <c r="BC1723" i="1"/>
  <c r="BA1723" i="1"/>
  <c r="AY1723" i="1"/>
  <c r="AW1723" i="1"/>
  <c r="AU1723" i="1"/>
  <c r="AS1723" i="1"/>
  <c r="AQ1723" i="1"/>
  <c r="AO1723" i="1"/>
  <c r="AJ1723" i="1"/>
  <c r="Z1723" i="1"/>
  <c r="Y1723" i="1"/>
  <c r="V1723" i="1"/>
  <c r="T1723" i="1"/>
  <c r="S1723" i="1"/>
  <c r="R1723" i="1"/>
  <c r="Q1723" i="1"/>
  <c r="P1723" i="1"/>
  <c r="O1723" i="1"/>
  <c r="M1723" i="1"/>
  <c r="L1723" i="1"/>
  <c r="K1723" i="1"/>
  <c r="H1723" i="1"/>
  <c r="F1723" i="1"/>
  <c r="BE1722" i="1"/>
  <c r="BE1721" i="1"/>
  <c r="BD1721" i="1"/>
  <c r="BC1721" i="1"/>
  <c r="BA1721" i="1"/>
  <c r="AY1721" i="1"/>
  <c r="AW1721" i="1"/>
  <c r="AU1721" i="1"/>
  <c r="AS1721" i="1"/>
  <c r="AQ1721" i="1"/>
  <c r="AO1721" i="1"/>
  <c r="Z1721" i="1"/>
  <c r="Y1721" i="1"/>
  <c r="V1721" i="1"/>
  <c r="T1721" i="1"/>
  <c r="S1721" i="1"/>
  <c r="R1721" i="1"/>
  <c r="Q1721" i="1"/>
  <c r="P1721" i="1"/>
  <c r="O1721" i="1"/>
  <c r="M1721" i="1"/>
  <c r="L1721" i="1"/>
  <c r="K1721" i="1"/>
  <c r="I1721" i="1"/>
  <c r="F1721" i="1"/>
  <c r="BE1720" i="1"/>
  <c r="BD1720" i="1"/>
  <c r="BC1720" i="1"/>
  <c r="BA1720" i="1"/>
  <c r="AY1720" i="1"/>
  <c r="AW1720" i="1"/>
  <c r="AU1720" i="1"/>
  <c r="AS1720" i="1"/>
  <c r="AQ1720" i="1"/>
  <c r="AO1720" i="1"/>
  <c r="Z1720" i="1"/>
  <c r="Y1720" i="1"/>
  <c r="V1720" i="1"/>
  <c r="T1720" i="1"/>
  <c r="S1720" i="1"/>
  <c r="R1720" i="1"/>
  <c r="Q1720" i="1"/>
  <c r="P1720" i="1"/>
  <c r="O1720" i="1"/>
  <c r="M1720" i="1"/>
  <c r="L1720" i="1"/>
  <c r="K1720" i="1"/>
  <c r="F1720" i="1"/>
  <c r="BE1719" i="1"/>
  <c r="BD1719" i="1"/>
  <c r="BC1719" i="1"/>
  <c r="BA1719" i="1"/>
  <c r="AY1719" i="1"/>
  <c r="AW1719" i="1"/>
  <c r="AU1719" i="1"/>
  <c r="AS1719" i="1"/>
  <c r="AQ1719" i="1"/>
  <c r="AO1719" i="1"/>
  <c r="Z1719" i="1"/>
  <c r="Y1719" i="1"/>
  <c r="V1719" i="1"/>
  <c r="T1719" i="1"/>
  <c r="S1719" i="1"/>
  <c r="R1719" i="1"/>
  <c r="Q1719" i="1"/>
  <c r="P1719" i="1"/>
  <c r="O1719" i="1"/>
  <c r="M1719" i="1"/>
  <c r="L1719" i="1"/>
  <c r="K1719" i="1"/>
  <c r="F1719" i="1"/>
  <c r="BE1718" i="1"/>
  <c r="BD1718" i="1"/>
  <c r="BC1718" i="1"/>
  <c r="BA1718" i="1"/>
  <c r="AY1718" i="1"/>
  <c r="AW1718" i="1"/>
  <c r="AU1718" i="1"/>
  <c r="AS1718" i="1"/>
  <c r="AQ1718" i="1"/>
  <c r="AO1718" i="1"/>
  <c r="Z1718" i="1"/>
  <c r="Y1718" i="1"/>
  <c r="V1718" i="1"/>
  <c r="T1718" i="1"/>
  <c r="S1718" i="1"/>
  <c r="R1718" i="1"/>
  <c r="Q1718" i="1"/>
  <c r="P1718" i="1"/>
  <c r="O1718" i="1"/>
  <c r="M1718" i="1"/>
  <c r="L1718" i="1"/>
  <c r="K1718" i="1"/>
  <c r="F1718" i="1"/>
  <c r="BE1717" i="1"/>
  <c r="BD1717" i="1"/>
  <c r="BC1717" i="1"/>
  <c r="BA1717" i="1"/>
  <c r="AY1717" i="1"/>
  <c r="AW1717" i="1"/>
  <c r="AU1717" i="1"/>
  <c r="AS1717" i="1"/>
  <c r="AQ1717" i="1"/>
  <c r="AO1717" i="1"/>
  <c r="Z1717" i="1"/>
  <c r="Y1717" i="1"/>
  <c r="V1717" i="1"/>
  <c r="T1717" i="1"/>
  <c r="S1717" i="1"/>
  <c r="R1717" i="1"/>
  <c r="Q1717" i="1"/>
  <c r="P1717" i="1"/>
  <c r="O1717" i="1"/>
  <c r="M1717" i="1"/>
  <c r="L1717" i="1"/>
  <c r="K1717" i="1"/>
  <c r="F1717" i="1"/>
  <c r="D1717" i="1"/>
  <c r="D1718" i="1" s="1"/>
  <c r="D1719" i="1" s="1"/>
  <c r="D1720" i="1" s="1"/>
  <c r="D1721" i="1" s="1"/>
  <c r="C1717" i="1"/>
  <c r="BE1716" i="1"/>
  <c r="BD1716" i="1"/>
  <c r="BC1716" i="1"/>
  <c r="BA1716" i="1"/>
  <c r="AY1716" i="1"/>
  <c r="AW1716" i="1"/>
  <c r="AU1716" i="1"/>
  <c r="AS1716" i="1"/>
  <c r="AQ1716" i="1"/>
  <c r="AO1716" i="1"/>
  <c r="AJ1716" i="1"/>
  <c r="Z1716" i="1"/>
  <c r="Y1716" i="1"/>
  <c r="V1716" i="1"/>
  <c r="T1716" i="1"/>
  <c r="S1716" i="1"/>
  <c r="R1716" i="1"/>
  <c r="Q1716" i="1"/>
  <c r="P1716" i="1"/>
  <c r="O1716" i="1"/>
  <c r="M1716" i="1"/>
  <c r="L1716" i="1"/>
  <c r="K1716" i="1"/>
  <c r="H1716" i="1"/>
  <c r="F1716" i="1"/>
  <c r="BE1713" i="1"/>
  <c r="Z1713" i="1"/>
  <c r="BE1712" i="1"/>
  <c r="Z1712" i="1"/>
  <c r="BE1711" i="1"/>
  <c r="Z1711" i="1"/>
  <c r="BE1710" i="1"/>
  <c r="Z1710" i="1"/>
  <c r="BE1709" i="1"/>
  <c r="Z1709" i="1"/>
  <c r="BE1708" i="1"/>
  <c r="Z1708" i="1"/>
  <c r="BE1707" i="1"/>
  <c r="Z1707" i="1"/>
  <c r="BE1706" i="1"/>
  <c r="Z1706" i="1"/>
  <c r="BE1705" i="1"/>
  <c r="Z1705" i="1"/>
  <c r="BE1704" i="1"/>
  <c r="Z1704" i="1"/>
  <c r="BE1703" i="1"/>
  <c r="AA1703" i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Z1703" i="1"/>
  <c r="BE1702" i="1"/>
  <c r="Z1702" i="1"/>
  <c r="BE1698" i="1"/>
  <c r="BD1698" i="1"/>
  <c r="AZ1698" i="1"/>
  <c r="AX1698" i="1"/>
  <c r="BE1697" i="1"/>
  <c r="BD1697" i="1"/>
  <c r="BC1697" i="1"/>
  <c r="BA1697" i="1"/>
  <c r="AY1697" i="1"/>
  <c r="AW1697" i="1"/>
  <c r="AU1697" i="1"/>
  <c r="AS1697" i="1"/>
  <c r="AQ1697" i="1"/>
  <c r="AO1697" i="1"/>
  <c r="Z1697" i="1"/>
  <c r="Y1697" i="1"/>
  <c r="V1697" i="1"/>
  <c r="T1697" i="1"/>
  <c r="S1697" i="1"/>
  <c r="R1697" i="1"/>
  <c r="Q1697" i="1"/>
  <c r="P1697" i="1"/>
  <c r="O1697" i="1"/>
  <c r="M1697" i="1"/>
  <c r="L1697" i="1"/>
  <c r="K1697" i="1"/>
  <c r="I1697" i="1"/>
  <c r="F1697" i="1"/>
  <c r="BE1696" i="1"/>
  <c r="BD1696" i="1"/>
  <c r="BC1696" i="1"/>
  <c r="BA1696" i="1"/>
  <c r="AY1696" i="1"/>
  <c r="AW1696" i="1"/>
  <c r="AU1696" i="1"/>
  <c r="AS1696" i="1"/>
  <c r="AQ1696" i="1"/>
  <c r="AO1696" i="1"/>
  <c r="Z1696" i="1"/>
  <c r="Y1696" i="1"/>
  <c r="V1696" i="1"/>
  <c r="T1696" i="1"/>
  <c r="S1696" i="1"/>
  <c r="R1696" i="1"/>
  <c r="Q1696" i="1"/>
  <c r="P1696" i="1"/>
  <c r="O1696" i="1"/>
  <c r="M1696" i="1"/>
  <c r="L1696" i="1"/>
  <c r="K1696" i="1"/>
  <c r="F1696" i="1"/>
  <c r="BE1695" i="1"/>
  <c r="BD1695" i="1"/>
  <c r="BC1695" i="1"/>
  <c r="BA1695" i="1"/>
  <c r="AY1695" i="1"/>
  <c r="AW1695" i="1"/>
  <c r="AU1695" i="1"/>
  <c r="AS1695" i="1"/>
  <c r="AQ1695" i="1"/>
  <c r="AO1695" i="1"/>
  <c r="Z1695" i="1"/>
  <c r="Y1695" i="1"/>
  <c r="V1695" i="1"/>
  <c r="T1695" i="1"/>
  <c r="S1695" i="1"/>
  <c r="R1695" i="1"/>
  <c r="Q1695" i="1"/>
  <c r="P1695" i="1"/>
  <c r="O1695" i="1"/>
  <c r="M1695" i="1"/>
  <c r="L1695" i="1"/>
  <c r="K1695" i="1"/>
  <c r="F1695" i="1"/>
  <c r="BE1694" i="1"/>
  <c r="BD1694" i="1"/>
  <c r="BC1694" i="1"/>
  <c r="BA1694" i="1"/>
  <c r="AY1694" i="1"/>
  <c r="AW1694" i="1"/>
  <c r="AU1694" i="1"/>
  <c r="AS1694" i="1"/>
  <c r="AQ1694" i="1"/>
  <c r="AO1694" i="1"/>
  <c r="Z1694" i="1"/>
  <c r="Y1694" i="1"/>
  <c r="V1694" i="1"/>
  <c r="T1694" i="1"/>
  <c r="S1694" i="1"/>
  <c r="R1694" i="1"/>
  <c r="Q1694" i="1"/>
  <c r="P1694" i="1"/>
  <c r="O1694" i="1"/>
  <c r="M1694" i="1"/>
  <c r="L1694" i="1"/>
  <c r="K1694" i="1"/>
  <c r="F1694" i="1"/>
  <c r="BE1693" i="1"/>
  <c r="BD1693" i="1"/>
  <c r="BC1693" i="1"/>
  <c r="BA1693" i="1"/>
  <c r="AY1693" i="1"/>
  <c r="AW1693" i="1"/>
  <c r="AU1693" i="1"/>
  <c r="AS1693" i="1"/>
  <c r="AQ1693" i="1"/>
  <c r="AO1693" i="1"/>
  <c r="Z1693" i="1"/>
  <c r="Y1693" i="1"/>
  <c r="V1693" i="1"/>
  <c r="T1693" i="1"/>
  <c r="S1693" i="1"/>
  <c r="R1693" i="1"/>
  <c r="Q1693" i="1"/>
  <c r="P1693" i="1"/>
  <c r="O1693" i="1"/>
  <c r="M1693" i="1"/>
  <c r="L1693" i="1"/>
  <c r="K1693" i="1"/>
  <c r="F1693" i="1"/>
  <c r="D1693" i="1"/>
  <c r="D1694" i="1" s="1"/>
  <c r="D1695" i="1" s="1"/>
  <c r="D1696" i="1" s="1"/>
  <c r="D1697" i="1" s="1"/>
  <c r="C1693" i="1"/>
  <c r="H1693" i="1" s="1"/>
  <c r="BE1692" i="1"/>
  <c r="BD1692" i="1"/>
  <c r="BC1692" i="1"/>
  <c r="BA1692" i="1"/>
  <c r="AY1692" i="1"/>
  <c r="AW1692" i="1"/>
  <c r="AU1692" i="1"/>
  <c r="AS1692" i="1"/>
  <c r="AQ1692" i="1"/>
  <c r="AO1692" i="1"/>
  <c r="AJ1692" i="1"/>
  <c r="Z1692" i="1"/>
  <c r="Y1692" i="1"/>
  <c r="V1692" i="1"/>
  <c r="T1692" i="1"/>
  <c r="S1692" i="1"/>
  <c r="R1692" i="1"/>
  <c r="Q1692" i="1"/>
  <c r="P1692" i="1"/>
  <c r="O1692" i="1"/>
  <c r="M1692" i="1"/>
  <c r="L1692" i="1"/>
  <c r="K1692" i="1"/>
  <c r="H1692" i="1"/>
  <c r="F1692" i="1"/>
  <c r="BE1691" i="1"/>
  <c r="BE1690" i="1"/>
  <c r="BD1690" i="1"/>
  <c r="BC1690" i="1"/>
  <c r="BA1690" i="1"/>
  <c r="AY1690" i="1"/>
  <c r="AW1690" i="1"/>
  <c r="AU1690" i="1"/>
  <c r="AS1690" i="1"/>
  <c r="AQ1690" i="1"/>
  <c r="AO1690" i="1"/>
  <c r="Z1690" i="1"/>
  <c r="Y1690" i="1"/>
  <c r="V1690" i="1"/>
  <c r="T1690" i="1"/>
  <c r="S1690" i="1"/>
  <c r="R1690" i="1"/>
  <c r="Q1690" i="1"/>
  <c r="P1690" i="1"/>
  <c r="O1690" i="1"/>
  <c r="M1690" i="1"/>
  <c r="L1690" i="1"/>
  <c r="K1690" i="1"/>
  <c r="I1690" i="1"/>
  <c r="F1690" i="1"/>
  <c r="BE1689" i="1"/>
  <c r="BD1689" i="1"/>
  <c r="BC1689" i="1"/>
  <c r="BA1689" i="1"/>
  <c r="AY1689" i="1"/>
  <c r="AW1689" i="1"/>
  <c r="AU1689" i="1"/>
  <c r="AS1689" i="1"/>
  <c r="AQ1689" i="1"/>
  <c r="AO1689" i="1"/>
  <c r="Z1689" i="1"/>
  <c r="Y1689" i="1"/>
  <c r="V1689" i="1"/>
  <c r="T1689" i="1"/>
  <c r="S1689" i="1"/>
  <c r="R1689" i="1"/>
  <c r="Q1689" i="1"/>
  <c r="P1689" i="1"/>
  <c r="O1689" i="1"/>
  <c r="M1689" i="1"/>
  <c r="L1689" i="1"/>
  <c r="K1689" i="1"/>
  <c r="F1689" i="1"/>
  <c r="BE1688" i="1"/>
  <c r="BD1688" i="1"/>
  <c r="BC1688" i="1"/>
  <c r="BA1688" i="1"/>
  <c r="AY1688" i="1"/>
  <c r="AW1688" i="1"/>
  <c r="AU1688" i="1"/>
  <c r="AS1688" i="1"/>
  <c r="AQ1688" i="1"/>
  <c r="AO1688" i="1"/>
  <c r="Z1688" i="1"/>
  <c r="Y1688" i="1"/>
  <c r="V1688" i="1"/>
  <c r="T1688" i="1"/>
  <c r="S1688" i="1"/>
  <c r="R1688" i="1"/>
  <c r="Q1688" i="1"/>
  <c r="P1688" i="1"/>
  <c r="O1688" i="1"/>
  <c r="M1688" i="1"/>
  <c r="L1688" i="1"/>
  <c r="K1688" i="1"/>
  <c r="F1688" i="1"/>
  <c r="BE1687" i="1"/>
  <c r="BD1687" i="1"/>
  <c r="BC1687" i="1"/>
  <c r="BA1687" i="1"/>
  <c r="AY1687" i="1"/>
  <c r="AW1687" i="1"/>
  <c r="AU1687" i="1"/>
  <c r="AS1687" i="1"/>
  <c r="AQ1687" i="1"/>
  <c r="AO1687" i="1"/>
  <c r="Z1687" i="1"/>
  <c r="Y1687" i="1"/>
  <c r="V1687" i="1"/>
  <c r="T1687" i="1"/>
  <c r="S1687" i="1"/>
  <c r="R1687" i="1"/>
  <c r="Q1687" i="1"/>
  <c r="P1687" i="1"/>
  <c r="O1687" i="1"/>
  <c r="M1687" i="1"/>
  <c r="L1687" i="1"/>
  <c r="K1687" i="1"/>
  <c r="F1687" i="1"/>
  <c r="C1687" i="1"/>
  <c r="BE1686" i="1"/>
  <c r="BD1686" i="1"/>
  <c r="BC1686" i="1"/>
  <c r="BA1686" i="1"/>
  <c r="AY1686" i="1"/>
  <c r="AW1686" i="1"/>
  <c r="AU1686" i="1"/>
  <c r="AS1686" i="1"/>
  <c r="AQ1686" i="1"/>
  <c r="AO1686" i="1"/>
  <c r="Z1686" i="1"/>
  <c r="Y1686" i="1"/>
  <c r="V1686" i="1"/>
  <c r="T1686" i="1"/>
  <c r="S1686" i="1"/>
  <c r="R1686" i="1"/>
  <c r="Q1686" i="1"/>
  <c r="P1686" i="1"/>
  <c r="O1686" i="1"/>
  <c r="M1686" i="1"/>
  <c r="L1686" i="1"/>
  <c r="K1686" i="1"/>
  <c r="F1686" i="1"/>
  <c r="D1686" i="1"/>
  <c r="D1687" i="1" s="1"/>
  <c r="D1688" i="1" s="1"/>
  <c r="D1689" i="1" s="1"/>
  <c r="D1690" i="1" s="1"/>
  <c r="C1686" i="1"/>
  <c r="H1686" i="1" s="1"/>
  <c r="BE1685" i="1"/>
  <c r="BD1685" i="1"/>
  <c r="BC1685" i="1"/>
  <c r="BA1685" i="1"/>
  <c r="AY1685" i="1"/>
  <c r="AW1685" i="1"/>
  <c r="AU1685" i="1"/>
  <c r="AS1685" i="1"/>
  <c r="AQ1685" i="1"/>
  <c r="AO1685" i="1"/>
  <c r="AJ1685" i="1"/>
  <c r="Z1685" i="1"/>
  <c r="Y1685" i="1"/>
  <c r="V1685" i="1"/>
  <c r="T1685" i="1"/>
  <c r="S1685" i="1"/>
  <c r="R1685" i="1"/>
  <c r="Q1685" i="1"/>
  <c r="P1685" i="1"/>
  <c r="O1685" i="1"/>
  <c r="M1685" i="1"/>
  <c r="L1685" i="1"/>
  <c r="K1685" i="1"/>
  <c r="H1685" i="1"/>
  <c r="F1685" i="1"/>
  <c r="BE1682" i="1"/>
  <c r="Z1682" i="1"/>
  <c r="BE1681" i="1"/>
  <c r="Z1681" i="1"/>
  <c r="BE1680" i="1"/>
  <c r="Z1680" i="1"/>
  <c r="BE1679" i="1"/>
  <c r="Z1679" i="1"/>
  <c r="BE1678" i="1"/>
  <c r="Z1678" i="1"/>
  <c r="BE1677" i="1"/>
  <c r="Z1677" i="1"/>
  <c r="BE1676" i="1"/>
  <c r="Z1676" i="1"/>
  <c r="BE1675" i="1"/>
  <c r="Z1675" i="1"/>
  <c r="BE1674" i="1"/>
  <c r="Z1674" i="1"/>
  <c r="BE1673" i="1"/>
  <c r="AA1673" i="1"/>
  <c r="AA1674" i="1" s="1"/>
  <c r="AA1675" i="1" s="1"/>
  <c r="AA1676" i="1" s="1"/>
  <c r="AA1677" i="1" s="1"/>
  <c r="AA1678" i="1" s="1"/>
  <c r="AA1679" i="1" s="1"/>
  <c r="AA1680" i="1" s="1"/>
  <c r="AA1681" i="1" s="1"/>
  <c r="AA1682" i="1" s="1"/>
  <c r="Z1673" i="1"/>
  <c r="BE1672" i="1"/>
  <c r="AA1672" i="1"/>
  <c r="Z1672" i="1"/>
  <c r="BE1671" i="1"/>
  <c r="Z1671" i="1"/>
  <c r="BE1667" i="1"/>
  <c r="BD1667" i="1"/>
  <c r="AZ1667" i="1"/>
  <c r="AX1667" i="1"/>
  <c r="BE1666" i="1"/>
  <c r="BD1666" i="1"/>
  <c r="BC1666" i="1"/>
  <c r="BA1666" i="1"/>
  <c r="AY1666" i="1"/>
  <c r="AW1666" i="1"/>
  <c r="AU1666" i="1"/>
  <c r="AS1666" i="1"/>
  <c r="AQ1666" i="1"/>
  <c r="AO1666" i="1"/>
  <c r="Z1666" i="1"/>
  <c r="Y1666" i="1"/>
  <c r="V1666" i="1"/>
  <c r="T1666" i="1"/>
  <c r="S1666" i="1"/>
  <c r="R1666" i="1"/>
  <c r="Q1666" i="1"/>
  <c r="P1666" i="1"/>
  <c r="O1666" i="1"/>
  <c r="M1666" i="1"/>
  <c r="L1666" i="1"/>
  <c r="K1666" i="1"/>
  <c r="I1666" i="1"/>
  <c r="F1666" i="1"/>
  <c r="BE1665" i="1"/>
  <c r="BD1665" i="1"/>
  <c r="BC1665" i="1"/>
  <c r="BA1665" i="1"/>
  <c r="AY1665" i="1"/>
  <c r="AW1665" i="1"/>
  <c r="AU1665" i="1"/>
  <c r="AS1665" i="1"/>
  <c r="AQ1665" i="1"/>
  <c r="AO1665" i="1"/>
  <c r="Z1665" i="1"/>
  <c r="Y1665" i="1"/>
  <c r="V1665" i="1"/>
  <c r="T1665" i="1"/>
  <c r="S1665" i="1"/>
  <c r="R1665" i="1"/>
  <c r="Q1665" i="1"/>
  <c r="P1665" i="1"/>
  <c r="O1665" i="1"/>
  <c r="M1665" i="1"/>
  <c r="L1665" i="1"/>
  <c r="K1665" i="1"/>
  <c r="F1665" i="1"/>
  <c r="BE1664" i="1"/>
  <c r="BD1664" i="1"/>
  <c r="BC1664" i="1"/>
  <c r="BA1664" i="1"/>
  <c r="AY1664" i="1"/>
  <c r="AW1664" i="1"/>
  <c r="AU1664" i="1"/>
  <c r="AS1664" i="1"/>
  <c r="AQ1664" i="1"/>
  <c r="AO1664" i="1"/>
  <c r="Z1664" i="1"/>
  <c r="Y1664" i="1"/>
  <c r="V1664" i="1"/>
  <c r="T1664" i="1"/>
  <c r="S1664" i="1"/>
  <c r="R1664" i="1"/>
  <c r="Q1664" i="1"/>
  <c r="P1664" i="1"/>
  <c r="O1664" i="1"/>
  <c r="M1664" i="1"/>
  <c r="L1664" i="1"/>
  <c r="K1664" i="1"/>
  <c r="F1664" i="1"/>
  <c r="BE1663" i="1"/>
  <c r="BD1663" i="1"/>
  <c r="BC1663" i="1"/>
  <c r="BA1663" i="1"/>
  <c r="AY1663" i="1"/>
  <c r="AW1663" i="1"/>
  <c r="AU1663" i="1"/>
  <c r="AS1663" i="1"/>
  <c r="AQ1663" i="1"/>
  <c r="AO1663" i="1"/>
  <c r="Z1663" i="1"/>
  <c r="Y1663" i="1"/>
  <c r="V1663" i="1"/>
  <c r="T1663" i="1"/>
  <c r="S1663" i="1"/>
  <c r="R1663" i="1"/>
  <c r="Q1663" i="1"/>
  <c r="P1663" i="1"/>
  <c r="O1663" i="1"/>
  <c r="M1663" i="1"/>
  <c r="L1663" i="1"/>
  <c r="K1663" i="1"/>
  <c r="F1663" i="1"/>
  <c r="BE1662" i="1"/>
  <c r="BD1662" i="1"/>
  <c r="BC1662" i="1"/>
  <c r="BA1662" i="1"/>
  <c r="AY1662" i="1"/>
  <c r="AW1662" i="1"/>
  <c r="AU1662" i="1"/>
  <c r="AS1662" i="1"/>
  <c r="AQ1662" i="1"/>
  <c r="AO1662" i="1"/>
  <c r="Z1662" i="1"/>
  <c r="Y1662" i="1"/>
  <c r="V1662" i="1"/>
  <c r="T1662" i="1"/>
  <c r="S1662" i="1"/>
  <c r="R1662" i="1"/>
  <c r="Q1662" i="1"/>
  <c r="P1662" i="1"/>
  <c r="O1662" i="1"/>
  <c r="M1662" i="1"/>
  <c r="L1662" i="1"/>
  <c r="K1662" i="1"/>
  <c r="F1662" i="1"/>
  <c r="D1662" i="1"/>
  <c r="D1663" i="1" s="1"/>
  <c r="D1664" i="1" s="1"/>
  <c r="D1665" i="1" s="1"/>
  <c r="D1666" i="1" s="1"/>
  <c r="C1662" i="1"/>
  <c r="BE1661" i="1"/>
  <c r="BD1661" i="1"/>
  <c r="BC1661" i="1"/>
  <c r="BA1661" i="1"/>
  <c r="AY1661" i="1"/>
  <c r="AW1661" i="1"/>
  <c r="AU1661" i="1"/>
  <c r="AS1661" i="1"/>
  <c r="AQ1661" i="1"/>
  <c r="AO1661" i="1"/>
  <c r="AJ1661" i="1"/>
  <c r="Z1661" i="1"/>
  <c r="Y1661" i="1"/>
  <c r="V1661" i="1"/>
  <c r="T1661" i="1"/>
  <c r="S1661" i="1"/>
  <c r="R1661" i="1"/>
  <c r="Q1661" i="1"/>
  <c r="P1661" i="1"/>
  <c r="O1661" i="1"/>
  <c r="M1661" i="1"/>
  <c r="L1661" i="1"/>
  <c r="K1661" i="1"/>
  <c r="H1661" i="1"/>
  <c r="F1661" i="1"/>
  <c r="BE1660" i="1"/>
  <c r="BE1659" i="1"/>
  <c r="BD1659" i="1"/>
  <c r="BC1659" i="1"/>
  <c r="BA1659" i="1"/>
  <c r="AY1659" i="1"/>
  <c r="AW1659" i="1"/>
  <c r="AU1659" i="1"/>
  <c r="AS1659" i="1"/>
  <c r="AQ1659" i="1"/>
  <c r="AO1659" i="1"/>
  <c r="Z1659" i="1"/>
  <c r="Y1659" i="1"/>
  <c r="V1659" i="1"/>
  <c r="T1659" i="1"/>
  <c r="S1659" i="1"/>
  <c r="R1659" i="1"/>
  <c r="Q1659" i="1"/>
  <c r="P1659" i="1"/>
  <c r="O1659" i="1"/>
  <c r="M1659" i="1"/>
  <c r="L1659" i="1"/>
  <c r="K1659" i="1"/>
  <c r="I1659" i="1"/>
  <c r="F1659" i="1"/>
  <c r="BE1658" i="1"/>
  <c r="BD1658" i="1"/>
  <c r="BC1658" i="1"/>
  <c r="BA1658" i="1"/>
  <c r="AY1658" i="1"/>
  <c r="AW1658" i="1"/>
  <c r="AU1658" i="1"/>
  <c r="AS1658" i="1"/>
  <c r="AQ1658" i="1"/>
  <c r="AO1658" i="1"/>
  <c r="Z1658" i="1"/>
  <c r="Y1658" i="1"/>
  <c r="V1658" i="1"/>
  <c r="T1658" i="1"/>
  <c r="S1658" i="1"/>
  <c r="R1658" i="1"/>
  <c r="Q1658" i="1"/>
  <c r="P1658" i="1"/>
  <c r="O1658" i="1"/>
  <c r="M1658" i="1"/>
  <c r="L1658" i="1"/>
  <c r="K1658" i="1"/>
  <c r="F1658" i="1"/>
  <c r="BE1657" i="1"/>
  <c r="BD1657" i="1"/>
  <c r="BC1657" i="1"/>
  <c r="BA1657" i="1"/>
  <c r="AY1657" i="1"/>
  <c r="AW1657" i="1"/>
  <c r="AU1657" i="1"/>
  <c r="AS1657" i="1"/>
  <c r="AQ1657" i="1"/>
  <c r="AO1657" i="1"/>
  <c r="Z1657" i="1"/>
  <c r="Y1657" i="1"/>
  <c r="V1657" i="1"/>
  <c r="T1657" i="1"/>
  <c r="S1657" i="1"/>
  <c r="R1657" i="1"/>
  <c r="Q1657" i="1"/>
  <c r="P1657" i="1"/>
  <c r="O1657" i="1"/>
  <c r="M1657" i="1"/>
  <c r="L1657" i="1"/>
  <c r="K1657" i="1"/>
  <c r="F1657" i="1"/>
  <c r="BE1656" i="1"/>
  <c r="BD1656" i="1"/>
  <c r="BC1656" i="1"/>
  <c r="BA1656" i="1"/>
  <c r="AY1656" i="1"/>
  <c r="AW1656" i="1"/>
  <c r="AU1656" i="1"/>
  <c r="AS1656" i="1"/>
  <c r="AQ1656" i="1"/>
  <c r="AO1656" i="1"/>
  <c r="Z1656" i="1"/>
  <c r="Y1656" i="1"/>
  <c r="V1656" i="1"/>
  <c r="T1656" i="1"/>
  <c r="S1656" i="1"/>
  <c r="R1656" i="1"/>
  <c r="Q1656" i="1"/>
  <c r="P1656" i="1"/>
  <c r="O1656" i="1"/>
  <c r="M1656" i="1"/>
  <c r="L1656" i="1"/>
  <c r="K1656" i="1"/>
  <c r="F1656" i="1"/>
  <c r="BE1655" i="1"/>
  <c r="BD1655" i="1"/>
  <c r="BC1655" i="1"/>
  <c r="BA1655" i="1"/>
  <c r="AY1655" i="1"/>
  <c r="AW1655" i="1"/>
  <c r="AU1655" i="1"/>
  <c r="AS1655" i="1"/>
  <c r="AQ1655" i="1"/>
  <c r="AO1655" i="1"/>
  <c r="Z1655" i="1"/>
  <c r="Y1655" i="1"/>
  <c r="V1655" i="1"/>
  <c r="T1655" i="1"/>
  <c r="S1655" i="1"/>
  <c r="R1655" i="1"/>
  <c r="Q1655" i="1"/>
  <c r="P1655" i="1"/>
  <c r="O1655" i="1"/>
  <c r="M1655" i="1"/>
  <c r="L1655" i="1"/>
  <c r="K1655" i="1"/>
  <c r="F1655" i="1"/>
  <c r="D1655" i="1"/>
  <c r="D1656" i="1" s="1"/>
  <c r="D1657" i="1" s="1"/>
  <c r="D1658" i="1" s="1"/>
  <c r="D1659" i="1" s="1"/>
  <c r="C1655" i="1"/>
  <c r="C1656" i="1" s="1"/>
  <c r="BE1654" i="1"/>
  <c r="BD1654" i="1"/>
  <c r="BC1654" i="1"/>
  <c r="BA1654" i="1"/>
  <c r="AY1654" i="1"/>
  <c r="AW1654" i="1"/>
  <c r="AU1654" i="1"/>
  <c r="AS1654" i="1"/>
  <c r="AQ1654" i="1"/>
  <c r="AO1654" i="1"/>
  <c r="AJ1654" i="1"/>
  <c r="Z1654" i="1"/>
  <c r="Y1654" i="1"/>
  <c r="V1654" i="1"/>
  <c r="T1654" i="1"/>
  <c r="S1654" i="1"/>
  <c r="R1654" i="1"/>
  <c r="Q1654" i="1"/>
  <c r="P1654" i="1"/>
  <c r="O1654" i="1"/>
  <c r="M1654" i="1"/>
  <c r="L1654" i="1"/>
  <c r="K1654" i="1"/>
  <c r="H1654" i="1"/>
  <c r="F1654" i="1"/>
  <c r="BE1651" i="1"/>
  <c r="Z1651" i="1"/>
  <c r="BE1650" i="1"/>
  <c r="Z1650" i="1"/>
  <c r="BE1649" i="1"/>
  <c r="Z1649" i="1"/>
  <c r="BE1648" i="1"/>
  <c r="Z1648" i="1"/>
  <c r="BE1647" i="1"/>
  <c r="Z1647" i="1"/>
  <c r="BE1646" i="1"/>
  <c r="Z1646" i="1"/>
  <c r="BE1645" i="1"/>
  <c r="Z1645" i="1"/>
  <c r="BE1644" i="1"/>
  <c r="Z1644" i="1"/>
  <c r="BE1643" i="1"/>
  <c r="Z1643" i="1"/>
  <c r="BE1642" i="1"/>
  <c r="Z1642" i="1"/>
  <c r="BE1641" i="1"/>
  <c r="AA1641" i="1"/>
  <c r="AA1642" i="1" s="1"/>
  <c r="AA1643" i="1" s="1"/>
  <c r="AA1644" i="1" s="1"/>
  <c r="AA1645" i="1" s="1"/>
  <c r="AA1646" i="1" s="1"/>
  <c r="AA1647" i="1" s="1"/>
  <c r="AA1648" i="1" s="1"/>
  <c r="AA1649" i="1" s="1"/>
  <c r="AA1650" i="1" s="1"/>
  <c r="AA1651" i="1" s="1"/>
  <c r="Z1641" i="1"/>
  <c r="BE1640" i="1"/>
  <c r="Z1640" i="1"/>
  <c r="BE1636" i="1"/>
  <c r="BD1636" i="1"/>
  <c r="AZ1636" i="1"/>
  <c r="AX1636" i="1"/>
  <c r="BE1635" i="1"/>
  <c r="BD1635" i="1"/>
  <c r="BC1635" i="1"/>
  <c r="BA1635" i="1"/>
  <c r="AY1635" i="1"/>
  <c r="AW1635" i="1"/>
  <c r="AU1635" i="1"/>
  <c r="AS1635" i="1"/>
  <c r="AQ1635" i="1"/>
  <c r="AO1635" i="1"/>
  <c r="Z1635" i="1"/>
  <c r="Y1635" i="1"/>
  <c r="V1635" i="1"/>
  <c r="T1635" i="1"/>
  <c r="S1635" i="1"/>
  <c r="R1635" i="1"/>
  <c r="Q1635" i="1"/>
  <c r="P1635" i="1"/>
  <c r="O1635" i="1"/>
  <c r="M1635" i="1"/>
  <c r="L1635" i="1"/>
  <c r="K1635" i="1"/>
  <c r="I1635" i="1"/>
  <c r="F1635" i="1"/>
  <c r="BE1634" i="1"/>
  <c r="BD1634" i="1"/>
  <c r="BC1634" i="1"/>
  <c r="BA1634" i="1"/>
  <c r="AY1634" i="1"/>
  <c r="AW1634" i="1"/>
  <c r="AU1634" i="1"/>
  <c r="AS1634" i="1"/>
  <c r="AQ1634" i="1"/>
  <c r="AO1634" i="1"/>
  <c r="Z1634" i="1"/>
  <c r="Y1634" i="1"/>
  <c r="V1634" i="1"/>
  <c r="T1634" i="1"/>
  <c r="S1634" i="1"/>
  <c r="R1634" i="1"/>
  <c r="Q1634" i="1"/>
  <c r="P1634" i="1"/>
  <c r="O1634" i="1"/>
  <c r="M1634" i="1"/>
  <c r="L1634" i="1"/>
  <c r="K1634" i="1"/>
  <c r="F1634" i="1"/>
  <c r="BE1633" i="1"/>
  <c r="BD1633" i="1"/>
  <c r="BC1633" i="1"/>
  <c r="BA1633" i="1"/>
  <c r="AY1633" i="1"/>
  <c r="AW1633" i="1"/>
  <c r="AU1633" i="1"/>
  <c r="AS1633" i="1"/>
  <c r="AQ1633" i="1"/>
  <c r="AO1633" i="1"/>
  <c r="Z1633" i="1"/>
  <c r="Y1633" i="1"/>
  <c r="V1633" i="1"/>
  <c r="T1633" i="1"/>
  <c r="S1633" i="1"/>
  <c r="R1633" i="1"/>
  <c r="Q1633" i="1"/>
  <c r="P1633" i="1"/>
  <c r="O1633" i="1"/>
  <c r="M1633" i="1"/>
  <c r="L1633" i="1"/>
  <c r="K1633" i="1"/>
  <c r="F1633" i="1"/>
  <c r="BE1632" i="1"/>
  <c r="BD1632" i="1"/>
  <c r="BC1632" i="1"/>
  <c r="BA1632" i="1"/>
  <c r="AY1632" i="1"/>
  <c r="AW1632" i="1"/>
  <c r="AU1632" i="1"/>
  <c r="AS1632" i="1"/>
  <c r="AQ1632" i="1"/>
  <c r="AO1632" i="1"/>
  <c r="Z1632" i="1"/>
  <c r="Y1632" i="1"/>
  <c r="V1632" i="1"/>
  <c r="T1632" i="1"/>
  <c r="S1632" i="1"/>
  <c r="R1632" i="1"/>
  <c r="Q1632" i="1"/>
  <c r="P1632" i="1"/>
  <c r="O1632" i="1"/>
  <c r="M1632" i="1"/>
  <c r="L1632" i="1"/>
  <c r="K1632" i="1"/>
  <c r="F1632" i="1"/>
  <c r="C1632" i="1"/>
  <c r="BE1631" i="1"/>
  <c r="BD1631" i="1"/>
  <c r="BC1631" i="1"/>
  <c r="BA1631" i="1"/>
  <c r="AY1631" i="1"/>
  <c r="AW1631" i="1"/>
  <c r="AU1631" i="1"/>
  <c r="AS1631" i="1"/>
  <c r="AQ1631" i="1"/>
  <c r="AO1631" i="1"/>
  <c r="Z1631" i="1"/>
  <c r="Y1631" i="1"/>
  <c r="V1631" i="1"/>
  <c r="T1631" i="1"/>
  <c r="S1631" i="1"/>
  <c r="R1631" i="1"/>
  <c r="Q1631" i="1"/>
  <c r="P1631" i="1"/>
  <c r="O1631" i="1"/>
  <c r="M1631" i="1"/>
  <c r="L1631" i="1"/>
  <c r="K1631" i="1"/>
  <c r="H1631" i="1"/>
  <c r="F1631" i="1"/>
  <c r="D1631" i="1"/>
  <c r="D1632" i="1" s="1"/>
  <c r="D1633" i="1" s="1"/>
  <c r="D1634" i="1" s="1"/>
  <c r="D1635" i="1" s="1"/>
  <c r="C1631" i="1"/>
  <c r="BE1630" i="1"/>
  <c r="BD1630" i="1"/>
  <c r="BC1630" i="1"/>
  <c r="BA1630" i="1"/>
  <c r="AY1630" i="1"/>
  <c r="AW1630" i="1"/>
  <c r="AU1630" i="1"/>
  <c r="AS1630" i="1"/>
  <c r="AQ1630" i="1"/>
  <c r="AO1630" i="1"/>
  <c r="AJ1630" i="1"/>
  <c r="Z1630" i="1"/>
  <c r="Y1630" i="1"/>
  <c r="V1630" i="1"/>
  <c r="T1630" i="1"/>
  <c r="S1630" i="1"/>
  <c r="R1630" i="1"/>
  <c r="Q1630" i="1"/>
  <c r="P1630" i="1"/>
  <c r="O1630" i="1"/>
  <c r="M1630" i="1"/>
  <c r="L1630" i="1"/>
  <c r="K1630" i="1"/>
  <c r="H1630" i="1"/>
  <c r="F1630" i="1"/>
  <c r="BE1629" i="1"/>
  <c r="BE1628" i="1"/>
  <c r="BD1628" i="1"/>
  <c r="BC1628" i="1"/>
  <c r="BA1628" i="1"/>
  <c r="AY1628" i="1"/>
  <c r="AW1628" i="1"/>
  <c r="AU1628" i="1"/>
  <c r="AS1628" i="1"/>
  <c r="AQ1628" i="1"/>
  <c r="AO1628" i="1"/>
  <c r="Z1628" i="1"/>
  <c r="Y1628" i="1"/>
  <c r="V1628" i="1"/>
  <c r="T1628" i="1"/>
  <c r="S1628" i="1"/>
  <c r="R1628" i="1"/>
  <c r="Q1628" i="1"/>
  <c r="P1628" i="1"/>
  <c r="O1628" i="1"/>
  <c r="M1628" i="1"/>
  <c r="L1628" i="1"/>
  <c r="K1628" i="1"/>
  <c r="I1628" i="1"/>
  <c r="F1628" i="1"/>
  <c r="BE1627" i="1"/>
  <c r="BD1627" i="1"/>
  <c r="BC1627" i="1"/>
  <c r="BA1627" i="1"/>
  <c r="AY1627" i="1"/>
  <c r="AW1627" i="1"/>
  <c r="AU1627" i="1"/>
  <c r="AS1627" i="1"/>
  <c r="AQ1627" i="1"/>
  <c r="AO1627" i="1"/>
  <c r="Z1627" i="1"/>
  <c r="Y1627" i="1"/>
  <c r="V1627" i="1"/>
  <c r="T1627" i="1"/>
  <c r="S1627" i="1"/>
  <c r="R1627" i="1"/>
  <c r="Q1627" i="1"/>
  <c r="P1627" i="1"/>
  <c r="O1627" i="1"/>
  <c r="M1627" i="1"/>
  <c r="L1627" i="1"/>
  <c r="K1627" i="1"/>
  <c r="F1627" i="1"/>
  <c r="BE1626" i="1"/>
  <c r="BD1626" i="1"/>
  <c r="BC1626" i="1"/>
  <c r="BA1626" i="1"/>
  <c r="AY1626" i="1"/>
  <c r="AW1626" i="1"/>
  <c r="AU1626" i="1"/>
  <c r="AS1626" i="1"/>
  <c r="AQ1626" i="1"/>
  <c r="AO1626" i="1"/>
  <c r="Z1626" i="1"/>
  <c r="Y1626" i="1"/>
  <c r="V1626" i="1"/>
  <c r="T1626" i="1"/>
  <c r="S1626" i="1"/>
  <c r="R1626" i="1"/>
  <c r="Q1626" i="1"/>
  <c r="P1626" i="1"/>
  <c r="O1626" i="1"/>
  <c r="M1626" i="1"/>
  <c r="L1626" i="1"/>
  <c r="K1626" i="1"/>
  <c r="F1626" i="1"/>
  <c r="BE1625" i="1"/>
  <c r="BD1625" i="1"/>
  <c r="BC1625" i="1"/>
  <c r="BA1625" i="1"/>
  <c r="AY1625" i="1"/>
  <c r="AW1625" i="1"/>
  <c r="AU1625" i="1"/>
  <c r="AS1625" i="1"/>
  <c r="AQ1625" i="1"/>
  <c r="AO1625" i="1"/>
  <c r="Z1625" i="1"/>
  <c r="Y1625" i="1"/>
  <c r="V1625" i="1"/>
  <c r="T1625" i="1"/>
  <c r="S1625" i="1"/>
  <c r="R1625" i="1"/>
  <c r="Q1625" i="1"/>
  <c r="P1625" i="1"/>
  <c r="O1625" i="1"/>
  <c r="M1625" i="1"/>
  <c r="L1625" i="1"/>
  <c r="K1625" i="1"/>
  <c r="F1625" i="1"/>
  <c r="BE1624" i="1"/>
  <c r="BD1624" i="1"/>
  <c r="BC1624" i="1"/>
  <c r="BA1624" i="1"/>
  <c r="AY1624" i="1"/>
  <c r="AW1624" i="1"/>
  <c r="AU1624" i="1"/>
  <c r="AS1624" i="1"/>
  <c r="AQ1624" i="1"/>
  <c r="AO1624" i="1"/>
  <c r="Z1624" i="1"/>
  <c r="Y1624" i="1"/>
  <c r="V1624" i="1"/>
  <c r="T1624" i="1"/>
  <c r="S1624" i="1"/>
  <c r="R1624" i="1"/>
  <c r="Q1624" i="1"/>
  <c r="P1624" i="1"/>
  <c r="O1624" i="1"/>
  <c r="M1624" i="1"/>
  <c r="L1624" i="1"/>
  <c r="K1624" i="1"/>
  <c r="F1624" i="1"/>
  <c r="D1624" i="1"/>
  <c r="D1625" i="1" s="1"/>
  <c r="D1626" i="1" s="1"/>
  <c r="D1627" i="1" s="1"/>
  <c r="D1628" i="1" s="1"/>
  <c r="C1624" i="1"/>
  <c r="H1624" i="1" s="1"/>
  <c r="BE1623" i="1"/>
  <c r="BD1623" i="1"/>
  <c r="BC1623" i="1"/>
  <c r="BA1623" i="1"/>
  <c r="AY1623" i="1"/>
  <c r="AW1623" i="1"/>
  <c r="AU1623" i="1"/>
  <c r="AS1623" i="1"/>
  <c r="AQ1623" i="1"/>
  <c r="AO1623" i="1"/>
  <c r="AJ1623" i="1"/>
  <c r="Z1623" i="1"/>
  <c r="Y1623" i="1"/>
  <c r="V1623" i="1"/>
  <c r="T1623" i="1"/>
  <c r="S1623" i="1"/>
  <c r="R1623" i="1"/>
  <c r="Q1623" i="1"/>
  <c r="P1623" i="1"/>
  <c r="O1623" i="1"/>
  <c r="M1623" i="1"/>
  <c r="L1623" i="1"/>
  <c r="K1623" i="1"/>
  <c r="H1623" i="1"/>
  <c r="F1623" i="1"/>
  <c r="BE1620" i="1"/>
  <c r="Z1620" i="1"/>
  <c r="BE1619" i="1"/>
  <c r="Z1619" i="1"/>
  <c r="BE1618" i="1"/>
  <c r="Z1618" i="1"/>
  <c r="BE1617" i="1"/>
  <c r="Z1617" i="1"/>
  <c r="BE1616" i="1"/>
  <c r="Z1616" i="1"/>
  <c r="BE1615" i="1"/>
  <c r="Z1615" i="1"/>
  <c r="BE1614" i="1"/>
  <c r="Z1614" i="1"/>
  <c r="BE1613" i="1"/>
  <c r="Z1613" i="1"/>
  <c r="BE1612" i="1"/>
  <c r="Z1612" i="1"/>
  <c r="BE1611" i="1"/>
  <c r="Z1611" i="1"/>
  <c r="BE1610" i="1"/>
  <c r="AA1610" i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Z1610" i="1"/>
  <c r="BE1609" i="1"/>
  <c r="Z1609" i="1"/>
  <c r="BE1605" i="1"/>
  <c r="BD1605" i="1"/>
  <c r="AZ1605" i="1"/>
  <c r="AX1605" i="1"/>
  <c r="BE1604" i="1"/>
  <c r="BD1604" i="1"/>
  <c r="BC1604" i="1"/>
  <c r="BA1604" i="1"/>
  <c r="AY1604" i="1"/>
  <c r="AW1604" i="1"/>
  <c r="AU1604" i="1"/>
  <c r="AS1604" i="1"/>
  <c r="AQ1604" i="1"/>
  <c r="AO1604" i="1"/>
  <c r="Z1604" i="1"/>
  <c r="Y1604" i="1"/>
  <c r="V1604" i="1"/>
  <c r="T1604" i="1"/>
  <c r="S1604" i="1"/>
  <c r="R1604" i="1"/>
  <c r="Q1604" i="1"/>
  <c r="P1604" i="1"/>
  <c r="O1604" i="1"/>
  <c r="M1604" i="1"/>
  <c r="L1604" i="1"/>
  <c r="K1604" i="1"/>
  <c r="I1604" i="1"/>
  <c r="F1604" i="1"/>
  <c r="BE1603" i="1"/>
  <c r="BD1603" i="1"/>
  <c r="BC1603" i="1"/>
  <c r="BA1603" i="1"/>
  <c r="AY1603" i="1"/>
  <c r="AW1603" i="1"/>
  <c r="AU1603" i="1"/>
  <c r="AS1603" i="1"/>
  <c r="AQ1603" i="1"/>
  <c r="AO1603" i="1"/>
  <c r="Z1603" i="1"/>
  <c r="Y1603" i="1"/>
  <c r="V1603" i="1"/>
  <c r="T1603" i="1"/>
  <c r="S1603" i="1"/>
  <c r="R1603" i="1"/>
  <c r="Q1603" i="1"/>
  <c r="P1603" i="1"/>
  <c r="O1603" i="1"/>
  <c r="M1603" i="1"/>
  <c r="L1603" i="1"/>
  <c r="K1603" i="1"/>
  <c r="F1603" i="1"/>
  <c r="BE1602" i="1"/>
  <c r="BD1602" i="1"/>
  <c r="BC1602" i="1"/>
  <c r="BA1602" i="1"/>
  <c r="AY1602" i="1"/>
  <c r="AW1602" i="1"/>
  <c r="AU1602" i="1"/>
  <c r="AS1602" i="1"/>
  <c r="AQ1602" i="1"/>
  <c r="AO1602" i="1"/>
  <c r="Z1602" i="1"/>
  <c r="Y1602" i="1"/>
  <c r="V1602" i="1"/>
  <c r="T1602" i="1"/>
  <c r="S1602" i="1"/>
  <c r="R1602" i="1"/>
  <c r="Q1602" i="1"/>
  <c r="P1602" i="1"/>
  <c r="O1602" i="1"/>
  <c r="M1602" i="1"/>
  <c r="L1602" i="1"/>
  <c r="K1602" i="1"/>
  <c r="F1602" i="1"/>
  <c r="BE1601" i="1"/>
  <c r="BD1601" i="1"/>
  <c r="BC1601" i="1"/>
  <c r="BA1601" i="1"/>
  <c r="AY1601" i="1"/>
  <c r="AW1601" i="1"/>
  <c r="AU1601" i="1"/>
  <c r="AS1601" i="1"/>
  <c r="AQ1601" i="1"/>
  <c r="AO1601" i="1"/>
  <c r="Z1601" i="1"/>
  <c r="Y1601" i="1"/>
  <c r="V1601" i="1"/>
  <c r="T1601" i="1"/>
  <c r="S1601" i="1"/>
  <c r="R1601" i="1"/>
  <c r="Q1601" i="1"/>
  <c r="P1601" i="1"/>
  <c r="O1601" i="1"/>
  <c r="M1601" i="1"/>
  <c r="L1601" i="1"/>
  <c r="K1601" i="1"/>
  <c r="F1601" i="1"/>
  <c r="BE1600" i="1"/>
  <c r="BD1600" i="1"/>
  <c r="BC1600" i="1"/>
  <c r="BA1600" i="1"/>
  <c r="AY1600" i="1"/>
  <c r="AW1600" i="1"/>
  <c r="AU1600" i="1"/>
  <c r="AS1600" i="1"/>
  <c r="AQ1600" i="1"/>
  <c r="AO1600" i="1"/>
  <c r="Z1600" i="1"/>
  <c r="Y1600" i="1"/>
  <c r="V1600" i="1"/>
  <c r="T1600" i="1"/>
  <c r="S1600" i="1"/>
  <c r="R1600" i="1"/>
  <c r="Q1600" i="1"/>
  <c r="P1600" i="1"/>
  <c r="O1600" i="1"/>
  <c r="M1600" i="1"/>
  <c r="L1600" i="1"/>
  <c r="K1600" i="1"/>
  <c r="F1600" i="1"/>
  <c r="D1600" i="1"/>
  <c r="D1601" i="1" s="1"/>
  <c r="D1602" i="1" s="1"/>
  <c r="D1603" i="1" s="1"/>
  <c r="D1604" i="1" s="1"/>
  <c r="C1600" i="1"/>
  <c r="C1601" i="1" s="1"/>
  <c r="BE1599" i="1"/>
  <c r="BD1599" i="1"/>
  <c r="BC1599" i="1"/>
  <c r="BA1599" i="1"/>
  <c r="AY1599" i="1"/>
  <c r="AW1599" i="1"/>
  <c r="AU1599" i="1"/>
  <c r="AS1599" i="1"/>
  <c r="AQ1599" i="1"/>
  <c r="AO1599" i="1"/>
  <c r="AJ1599" i="1"/>
  <c r="Z1599" i="1"/>
  <c r="Y1599" i="1"/>
  <c r="V1599" i="1"/>
  <c r="T1599" i="1"/>
  <c r="S1599" i="1"/>
  <c r="R1599" i="1"/>
  <c r="Q1599" i="1"/>
  <c r="P1599" i="1"/>
  <c r="O1599" i="1"/>
  <c r="M1599" i="1"/>
  <c r="L1599" i="1"/>
  <c r="K1599" i="1"/>
  <c r="H1599" i="1"/>
  <c r="F1599" i="1"/>
  <c r="BE1598" i="1"/>
  <c r="BE1597" i="1"/>
  <c r="BD1597" i="1"/>
  <c r="BC1597" i="1"/>
  <c r="BA1597" i="1"/>
  <c r="AY1597" i="1"/>
  <c r="AW1597" i="1"/>
  <c r="AU1597" i="1"/>
  <c r="AS1597" i="1"/>
  <c r="AQ1597" i="1"/>
  <c r="AO1597" i="1"/>
  <c r="Z1597" i="1"/>
  <c r="Y1597" i="1"/>
  <c r="V1597" i="1"/>
  <c r="T1597" i="1"/>
  <c r="S1597" i="1"/>
  <c r="R1597" i="1"/>
  <c r="Q1597" i="1"/>
  <c r="P1597" i="1"/>
  <c r="O1597" i="1"/>
  <c r="M1597" i="1"/>
  <c r="L1597" i="1"/>
  <c r="K1597" i="1"/>
  <c r="I1597" i="1"/>
  <c r="F1597" i="1"/>
  <c r="BE1596" i="1"/>
  <c r="BD1596" i="1"/>
  <c r="BC1596" i="1"/>
  <c r="BA1596" i="1"/>
  <c r="AY1596" i="1"/>
  <c r="AW1596" i="1"/>
  <c r="AU1596" i="1"/>
  <c r="AS1596" i="1"/>
  <c r="AQ1596" i="1"/>
  <c r="AO1596" i="1"/>
  <c r="Z1596" i="1"/>
  <c r="Y1596" i="1"/>
  <c r="V1596" i="1"/>
  <c r="T1596" i="1"/>
  <c r="S1596" i="1"/>
  <c r="R1596" i="1"/>
  <c r="Q1596" i="1"/>
  <c r="P1596" i="1"/>
  <c r="O1596" i="1"/>
  <c r="M1596" i="1"/>
  <c r="L1596" i="1"/>
  <c r="K1596" i="1"/>
  <c r="F1596" i="1"/>
  <c r="BE1595" i="1"/>
  <c r="BD1595" i="1"/>
  <c r="BC1595" i="1"/>
  <c r="BA1595" i="1"/>
  <c r="AY1595" i="1"/>
  <c r="AW1595" i="1"/>
  <c r="AU1595" i="1"/>
  <c r="AS1595" i="1"/>
  <c r="AQ1595" i="1"/>
  <c r="AO1595" i="1"/>
  <c r="Z1595" i="1"/>
  <c r="Y1595" i="1"/>
  <c r="V1595" i="1"/>
  <c r="T1595" i="1"/>
  <c r="S1595" i="1"/>
  <c r="R1595" i="1"/>
  <c r="Q1595" i="1"/>
  <c r="P1595" i="1"/>
  <c r="O1595" i="1"/>
  <c r="M1595" i="1"/>
  <c r="L1595" i="1"/>
  <c r="K1595" i="1"/>
  <c r="F1595" i="1"/>
  <c r="BE1594" i="1"/>
  <c r="BD1594" i="1"/>
  <c r="BC1594" i="1"/>
  <c r="BA1594" i="1"/>
  <c r="AY1594" i="1"/>
  <c r="AW1594" i="1"/>
  <c r="AU1594" i="1"/>
  <c r="AS1594" i="1"/>
  <c r="AQ1594" i="1"/>
  <c r="AO1594" i="1"/>
  <c r="Z1594" i="1"/>
  <c r="Y1594" i="1"/>
  <c r="V1594" i="1"/>
  <c r="T1594" i="1"/>
  <c r="S1594" i="1"/>
  <c r="R1594" i="1"/>
  <c r="Q1594" i="1"/>
  <c r="P1594" i="1"/>
  <c r="O1594" i="1"/>
  <c r="M1594" i="1"/>
  <c r="L1594" i="1"/>
  <c r="K1594" i="1"/>
  <c r="F1594" i="1"/>
  <c r="BE1593" i="1"/>
  <c r="BD1593" i="1"/>
  <c r="BC1593" i="1"/>
  <c r="BA1593" i="1"/>
  <c r="AY1593" i="1"/>
  <c r="AW1593" i="1"/>
  <c r="AU1593" i="1"/>
  <c r="AS1593" i="1"/>
  <c r="AQ1593" i="1"/>
  <c r="AO1593" i="1"/>
  <c r="Z1593" i="1"/>
  <c r="Y1593" i="1"/>
  <c r="V1593" i="1"/>
  <c r="T1593" i="1"/>
  <c r="S1593" i="1"/>
  <c r="R1593" i="1"/>
  <c r="Q1593" i="1"/>
  <c r="P1593" i="1"/>
  <c r="O1593" i="1"/>
  <c r="M1593" i="1"/>
  <c r="L1593" i="1"/>
  <c r="K1593" i="1"/>
  <c r="F1593" i="1"/>
  <c r="D1593" i="1"/>
  <c r="D1594" i="1" s="1"/>
  <c r="D1595" i="1" s="1"/>
  <c r="D1596" i="1" s="1"/>
  <c r="D1597" i="1" s="1"/>
  <c r="C1593" i="1"/>
  <c r="BE1592" i="1"/>
  <c r="BD1592" i="1"/>
  <c r="BC1592" i="1"/>
  <c r="BA1592" i="1"/>
  <c r="AY1592" i="1"/>
  <c r="AW1592" i="1"/>
  <c r="AU1592" i="1"/>
  <c r="AS1592" i="1"/>
  <c r="AQ1592" i="1"/>
  <c r="AO1592" i="1"/>
  <c r="AJ1592" i="1"/>
  <c r="Z1592" i="1"/>
  <c r="Y1592" i="1"/>
  <c r="V1592" i="1"/>
  <c r="T1592" i="1"/>
  <c r="S1592" i="1"/>
  <c r="R1592" i="1"/>
  <c r="Q1592" i="1"/>
  <c r="P1592" i="1"/>
  <c r="O1592" i="1"/>
  <c r="M1592" i="1"/>
  <c r="L1592" i="1"/>
  <c r="K1592" i="1"/>
  <c r="H1592" i="1"/>
  <c r="F1592" i="1"/>
  <c r="BE1589" i="1"/>
  <c r="Z1589" i="1"/>
  <c r="BE1588" i="1"/>
  <c r="Z1588" i="1"/>
  <c r="BE1587" i="1"/>
  <c r="Z1587" i="1"/>
  <c r="BE1586" i="1"/>
  <c r="Z1586" i="1"/>
  <c r="BE1585" i="1"/>
  <c r="Z1585" i="1"/>
  <c r="BE1584" i="1"/>
  <c r="Z1584" i="1"/>
  <c r="BE1583" i="1"/>
  <c r="Z1583" i="1"/>
  <c r="BE1582" i="1"/>
  <c r="Z1582" i="1"/>
  <c r="BE1581" i="1"/>
  <c r="Z1581" i="1"/>
  <c r="BE1580" i="1"/>
  <c r="Z1580" i="1"/>
  <c r="BE1579" i="1"/>
  <c r="AA1579" i="1"/>
  <c r="AA1580" i="1" s="1"/>
  <c r="AA1581" i="1" s="1"/>
  <c r="AA1582" i="1" s="1"/>
  <c r="AA1583" i="1" s="1"/>
  <c r="AA1584" i="1" s="1"/>
  <c r="AA1585" i="1" s="1"/>
  <c r="AA1586" i="1" s="1"/>
  <c r="AA1587" i="1" s="1"/>
  <c r="AA1588" i="1" s="1"/>
  <c r="AA1589" i="1" s="1"/>
  <c r="Z1579" i="1"/>
  <c r="BE1578" i="1"/>
  <c r="Z1578" i="1"/>
  <c r="BE1574" i="1"/>
  <c r="BD1574" i="1"/>
  <c r="AZ1574" i="1"/>
  <c r="AX1574" i="1"/>
  <c r="BE1573" i="1"/>
  <c r="BD1573" i="1"/>
  <c r="BC1573" i="1"/>
  <c r="BA1573" i="1"/>
  <c r="AY1573" i="1"/>
  <c r="AW1573" i="1"/>
  <c r="AU1573" i="1"/>
  <c r="AS1573" i="1"/>
  <c r="AQ1573" i="1"/>
  <c r="AO1573" i="1"/>
  <c r="Z1573" i="1"/>
  <c r="Y1573" i="1"/>
  <c r="V1573" i="1"/>
  <c r="T1573" i="1"/>
  <c r="S1573" i="1"/>
  <c r="R1573" i="1"/>
  <c r="Q1573" i="1"/>
  <c r="P1573" i="1"/>
  <c r="O1573" i="1"/>
  <c r="M1573" i="1"/>
  <c r="L1573" i="1"/>
  <c r="K1573" i="1"/>
  <c r="I1573" i="1"/>
  <c r="F1573" i="1"/>
  <c r="BE1572" i="1"/>
  <c r="BD1572" i="1"/>
  <c r="BC1572" i="1"/>
  <c r="BA1572" i="1"/>
  <c r="AY1572" i="1"/>
  <c r="AW1572" i="1"/>
  <c r="AU1572" i="1"/>
  <c r="AS1572" i="1"/>
  <c r="AQ1572" i="1"/>
  <c r="AO1572" i="1"/>
  <c r="Z1572" i="1"/>
  <c r="Y1572" i="1"/>
  <c r="V1572" i="1"/>
  <c r="T1572" i="1"/>
  <c r="S1572" i="1"/>
  <c r="R1572" i="1"/>
  <c r="Q1572" i="1"/>
  <c r="P1572" i="1"/>
  <c r="O1572" i="1"/>
  <c r="M1572" i="1"/>
  <c r="L1572" i="1"/>
  <c r="K1572" i="1"/>
  <c r="F1572" i="1"/>
  <c r="BE1571" i="1"/>
  <c r="BD1571" i="1"/>
  <c r="BC1571" i="1"/>
  <c r="BA1571" i="1"/>
  <c r="AY1571" i="1"/>
  <c r="AW1571" i="1"/>
  <c r="AU1571" i="1"/>
  <c r="AS1571" i="1"/>
  <c r="AQ1571" i="1"/>
  <c r="AO1571" i="1"/>
  <c r="Z1571" i="1"/>
  <c r="Y1571" i="1"/>
  <c r="V1571" i="1"/>
  <c r="T1571" i="1"/>
  <c r="S1571" i="1"/>
  <c r="R1571" i="1"/>
  <c r="Q1571" i="1"/>
  <c r="P1571" i="1"/>
  <c r="O1571" i="1"/>
  <c r="M1571" i="1"/>
  <c r="L1571" i="1"/>
  <c r="K1571" i="1"/>
  <c r="F1571" i="1"/>
  <c r="BE1570" i="1"/>
  <c r="BD1570" i="1"/>
  <c r="BC1570" i="1"/>
  <c r="BA1570" i="1"/>
  <c r="AY1570" i="1"/>
  <c r="AW1570" i="1"/>
  <c r="AU1570" i="1"/>
  <c r="AS1570" i="1"/>
  <c r="AQ1570" i="1"/>
  <c r="AO1570" i="1"/>
  <c r="Z1570" i="1"/>
  <c r="Y1570" i="1"/>
  <c r="V1570" i="1"/>
  <c r="T1570" i="1"/>
  <c r="S1570" i="1"/>
  <c r="R1570" i="1"/>
  <c r="Q1570" i="1"/>
  <c r="P1570" i="1"/>
  <c r="O1570" i="1"/>
  <c r="M1570" i="1"/>
  <c r="L1570" i="1"/>
  <c r="K1570" i="1"/>
  <c r="F1570" i="1"/>
  <c r="C1570" i="1"/>
  <c r="C1571" i="1" s="1"/>
  <c r="C1572" i="1" s="1"/>
  <c r="H1572" i="1" s="1"/>
  <c r="BE1569" i="1"/>
  <c r="BD1569" i="1"/>
  <c r="BC1569" i="1"/>
  <c r="BA1569" i="1"/>
  <c r="AY1569" i="1"/>
  <c r="AW1569" i="1"/>
  <c r="AU1569" i="1"/>
  <c r="AS1569" i="1"/>
  <c r="AQ1569" i="1"/>
  <c r="AO1569" i="1"/>
  <c r="Z1569" i="1"/>
  <c r="Y1569" i="1"/>
  <c r="V1569" i="1"/>
  <c r="T1569" i="1"/>
  <c r="S1569" i="1"/>
  <c r="R1569" i="1"/>
  <c r="Q1569" i="1"/>
  <c r="P1569" i="1"/>
  <c r="O1569" i="1"/>
  <c r="M1569" i="1"/>
  <c r="L1569" i="1"/>
  <c r="K1569" i="1"/>
  <c r="F1569" i="1"/>
  <c r="D1569" i="1"/>
  <c r="D1570" i="1" s="1"/>
  <c r="D1571" i="1" s="1"/>
  <c r="D1572" i="1" s="1"/>
  <c r="D1573" i="1" s="1"/>
  <c r="C1569" i="1"/>
  <c r="H1569" i="1" s="1"/>
  <c r="BE1568" i="1"/>
  <c r="BD1568" i="1"/>
  <c r="BC1568" i="1"/>
  <c r="BA1568" i="1"/>
  <c r="AY1568" i="1"/>
  <c r="AW1568" i="1"/>
  <c r="AU1568" i="1"/>
  <c r="AS1568" i="1"/>
  <c r="AQ1568" i="1"/>
  <c r="AO1568" i="1"/>
  <c r="AJ1568" i="1"/>
  <c r="Z1568" i="1"/>
  <c r="Y1568" i="1"/>
  <c r="V1568" i="1"/>
  <c r="T1568" i="1"/>
  <c r="S1568" i="1"/>
  <c r="R1568" i="1"/>
  <c r="Q1568" i="1"/>
  <c r="P1568" i="1"/>
  <c r="O1568" i="1"/>
  <c r="M1568" i="1"/>
  <c r="L1568" i="1"/>
  <c r="K1568" i="1"/>
  <c r="H1568" i="1"/>
  <c r="F1568" i="1"/>
  <c r="BE1567" i="1"/>
  <c r="BE1566" i="1"/>
  <c r="BD1566" i="1"/>
  <c r="BC1566" i="1"/>
  <c r="BA1566" i="1"/>
  <c r="AY1566" i="1"/>
  <c r="AW1566" i="1"/>
  <c r="AU1566" i="1"/>
  <c r="AS1566" i="1"/>
  <c r="AQ1566" i="1"/>
  <c r="AO1566" i="1"/>
  <c r="Z1566" i="1"/>
  <c r="Y1566" i="1"/>
  <c r="V1566" i="1"/>
  <c r="T1566" i="1"/>
  <c r="S1566" i="1"/>
  <c r="R1566" i="1"/>
  <c r="Q1566" i="1"/>
  <c r="P1566" i="1"/>
  <c r="O1566" i="1"/>
  <c r="M1566" i="1"/>
  <c r="L1566" i="1"/>
  <c r="K1566" i="1"/>
  <c r="I1566" i="1"/>
  <c r="F1566" i="1"/>
  <c r="BE1565" i="1"/>
  <c r="BD1565" i="1"/>
  <c r="BC1565" i="1"/>
  <c r="BA1565" i="1"/>
  <c r="AY1565" i="1"/>
  <c r="AW1565" i="1"/>
  <c r="AU1565" i="1"/>
  <c r="AS1565" i="1"/>
  <c r="AQ1565" i="1"/>
  <c r="AO1565" i="1"/>
  <c r="Z1565" i="1"/>
  <c r="Y1565" i="1"/>
  <c r="V1565" i="1"/>
  <c r="T1565" i="1"/>
  <c r="S1565" i="1"/>
  <c r="R1565" i="1"/>
  <c r="Q1565" i="1"/>
  <c r="P1565" i="1"/>
  <c r="O1565" i="1"/>
  <c r="M1565" i="1"/>
  <c r="L1565" i="1"/>
  <c r="K1565" i="1"/>
  <c r="F1565" i="1"/>
  <c r="BE1564" i="1"/>
  <c r="BD1564" i="1"/>
  <c r="BC1564" i="1"/>
  <c r="BA1564" i="1"/>
  <c r="AY1564" i="1"/>
  <c r="AW1564" i="1"/>
  <c r="AU1564" i="1"/>
  <c r="AS1564" i="1"/>
  <c r="AQ1564" i="1"/>
  <c r="AO1564" i="1"/>
  <c r="Z1564" i="1"/>
  <c r="Y1564" i="1"/>
  <c r="V1564" i="1"/>
  <c r="T1564" i="1"/>
  <c r="S1564" i="1"/>
  <c r="R1564" i="1"/>
  <c r="Q1564" i="1"/>
  <c r="P1564" i="1"/>
  <c r="O1564" i="1"/>
  <c r="M1564" i="1"/>
  <c r="L1564" i="1"/>
  <c r="K1564" i="1"/>
  <c r="F1564" i="1"/>
  <c r="BE1563" i="1"/>
  <c r="BD1563" i="1"/>
  <c r="BC1563" i="1"/>
  <c r="BA1563" i="1"/>
  <c r="AY1563" i="1"/>
  <c r="AW1563" i="1"/>
  <c r="AU1563" i="1"/>
  <c r="AS1563" i="1"/>
  <c r="AQ1563" i="1"/>
  <c r="AO1563" i="1"/>
  <c r="Z1563" i="1"/>
  <c r="Y1563" i="1"/>
  <c r="V1563" i="1"/>
  <c r="T1563" i="1"/>
  <c r="S1563" i="1"/>
  <c r="R1563" i="1"/>
  <c r="Q1563" i="1"/>
  <c r="P1563" i="1"/>
  <c r="O1563" i="1"/>
  <c r="M1563" i="1"/>
  <c r="L1563" i="1"/>
  <c r="K1563" i="1"/>
  <c r="F1563" i="1"/>
  <c r="BE1562" i="1"/>
  <c r="BD1562" i="1"/>
  <c r="BC1562" i="1"/>
  <c r="BA1562" i="1"/>
  <c r="AY1562" i="1"/>
  <c r="AW1562" i="1"/>
  <c r="AU1562" i="1"/>
  <c r="AS1562" i="1"/>
  <c r="AQ1562" i="1"/>
  <c r="AO1562" i="1"/>
  <c r="Z1562" i="1"/>
  <c r="Y1562" i="1"/>
  <c r="V1562" i="1"/>
  <c r="T1562" i="1"/>
  <c r="S1562" i="1"/>
  <c r="R1562" i="1"/>
  <c r="Q1562" i="1"/>
  <c r="P1562" i="1"/>
  <c r="O1562" i="1"/>
  <c r="M1562" i="1"/>
  <c r="L1562" i="1"/>
  <c r="K1562" i="1"/>
  <c r="F1562" i="1"/>
  <c r="D1562" i="1"/>
  <c r="D1563" i="1" s="1"/>
  <c r="D1564" i="1" s="1"/>
  <c r="D1565" i="1" s="1"/>
  <c r="D1566" i="1" s="1"/>
  <c r="C1562" i="1"/>
  <c r="C1563" i="1" s="1"/>
  <c r="C1564" i="1" s="1"/>
  <c r="H1564" i="1" s="1"/>
  <c r="BE1561" i="1"/>
  <c r="BD1561" i="1"/>
  <c r="BC1561" i="1"/>
  <c r="BA1561" i="1"/>
  <c r="AY1561" i="1"/>
  <c r="AW1561" i="1"/>
  <c r="AU1561" i="1"/>
  <c r="AS1561" i="1"/>
  <c r="AQ1561" i="1"/>
  <c r="AO1561" i="1"/>
  <c r="AJ1561" i="1"/>
  <c r="Z1561" i="1"/>
  <c r="Y1561" i="1"/>
  <c r="V1561" i="1"/>
  <c r="T1561" i="1"/>
  <c r="S1561" i="1"/>
  <c r="R1561" i="1"/>
  <c r="Q1561" i="1"/>
  <c r="P1561" i="1"/>
  <c r="O1561" i="1"/>
  <c r="M1561" i="1"/>
  <c r="L1561" i="1"/>
  <c r="K1561" i="1"/>
  <c r="H1561" i="1"/>
  <c r="F1561" i="1"/>
  <c r="BE1558" i="1"/>
  <c r="Z1558" i="1"/>
  <c r="BE1557" i="1"/>
  <c r="Z1557" i="1"/>
  <c r="BE1556" i="1"/>
  <c r="Z1556" i="1"/>
  <c r="BE1555" i="1"/>
  <c r="Z1555" i="1"/>
  <c r="BE1554" i="1"/>
  <c r="Z1554" i="1"/>
  <c r="BE1553" i="1"/>
  <c r="Z1553" i="1"/>
  <c r="BE1552" i="1"/>
  <c r="Z1552" i="1"/>
  <c r="BE1551" i="1"/>
  <c r="Z1551" i="1"/>
  <c r="BE1550" i="1"/>
  <c r="Z1550" i="1"/>
  <c r="BE1549" i="1"/>
  <c r="Z1549" i="1"/>
  <c r="BE1548" i="1"/>
  <c r="AA1548" i="1"/>
  <c r="AA1549" i="1" s="1"/>
  <c r="AA1550" i="1" s="1"/>
  <c r="AA1551" i="1" s="1"/>
  <c r="AA1552" i="1" s="1"/>
  <c r="AA1553" i="1" s="1"/>
  <c r="AA1554" i="1" s="1"/>
  <c r="AA1555" i="1" s="1"/>
  <c r="AA1556" i="1" s="1"/>
  <c r="AA1557" i="1" s="1"/>
  <c r="AA1558" i="1" s="1"/>
  <c r="Z1548" i="1"/>
  <c r="BE1547" i="1"/>
  <c r="Z1547" i="1"/>
  <c r="BE1543" i="1"/>
  <c r="BD1543" i="1"/>
  <c r="AZ1543" i="1"/>
  <c r="AX1543" i="1"/>
  <c r="BE1542" i="1"/>
  <c r="BD1542" i="1"/>
  <c r="BC1542" i="1"/>
  <c r="BA1542" i="1"/>
  <c r="AY1542" i="1"/>
  <c r="AW1542" i="1"/>
  <c r="AU1542" i="1"/>
  <c r="AS1542" i="1"/>
  <c r="AQ1542" i="1"/>
  <c r="AO1542" i="1"/>
  <c r="Z1542" i="1"/>
  <c r="Y1542" i="1"/>
  <c r="V1542" i="1"/>
  <c r="T1542" i="1"/>
  <c r="S1542" i="1"/>
  <c r="R1542" i="1"/>
  <c r="Q1542" i="1"/>
  <c r="P1542" i="1"/>
  <c r="O1542" i="1"/>
  <c r="M1542" i="1"/>
  <c r="L1542" i="1"/>
  <c r="K1542" i="1"/>
  <c r="I1542" i="1"/>
  <c r="F1542" i="1"/>
  <c r="BE1541" i="1"/>
  <c r="BD1541" i="1"/>
  <c r="BC1541" i="1"/>
  <c r="BA1541" i="1"/>
  <c r="AY1541" i="1"/>
  <c r="AW1541" i="1"/>
  <c r="AU1541" i="1"/>
  <c r="AS1541" i="1"/>
  <c r="AQ1541" i="1"/>
  <c r="AO1541" i="1"/>
  <c r="Z1541" i="1"/>
  <c r="Y1541" i="1"/>
  <c r="V1541" i="1"/>
  <c r="T1541" i="1"/>
  <c r="S1541" i="1"/>
  <c r="R1541" i="1"/>
  <c r="Q1541" i="1"/>
  <c r="P1541" i="1"/>
  <c r="O1541" i="1"/>
  <c r="M1541" i="1"/>
  <c r="L1541" i="1"/>
  <c r="K1541" i="1"/>
  <c r="F1541" i="1"/>
  <c r="BE1540" i="1"/>
  <c r="BD1540" i="1"/>
  <c r="BC1540" i="1"/>
  <c r="BA1540" i="1"/>
  <c r="AY1540" i="1"/>
  <c r="AW1540" i="1"/>
  <c r="AU1540" i="1"/>
  <c r="AS1540" i="1"/>
  <c r="AQ1540" i="1"/>
  <c r="AO1540" i="1"/>
  <c r="Z1540" i="1"/>
  <c r="Y1540" i="1"/>
  <c r="V1540" i="1"/>
  <c r="T1540" i="1"/>
  <c r="S1540" i="1"/>
  <c r="R1540" i="1"/>
  <c r="Q1540" i="1"/>
  <c r="P1540" i="1"/>
  <c r="O1540" i="1"/>
  <c r="M1540" i="1"/>
  <c r="L1540" i="1"/>
  <c r="K1540" i="1"/>
  <c r="F1540" i="1"/>
  <c r="BE1539" i="1"/>
  <c r="BD1539" i="1"/>
  <c r="BC1539" i="1"/>
  <c r="BA1539" i="1"/>
  <c r="AY1539" i="1"/>
  <c r="AW1539" i="1"/>
  <c r="AU1539" i="1"/>
  <c r="AS1539" i="1"/>
  <c r="AQ1539" i="1"/>
  <c r="AO1539" i="1"/>
  <c r="Z1539" i="1"/>
  <c r="Y1539" i="1"/>
  <c r="V1539" i="1"/>
  <c r="T1539" i="1"/>
  <c r="S1539" i="1"/>
  <c r="R1539" i="1"/>
  <c r="Q1539" i="1"/>
  <c r="P1539" i="1"/>
  <c r="O1539" i="1"/>
  <c r="M1539" i="1"/>
  <c r="L1539" i="1"/>
  <c r="K1539" i="1"/>
  <c r="F1539" i="1"/>
  <c r="BE1538" i="1"/>
  <c r="BD1538" i="1"/>
  <c r="BC1538" i="1"/>
  <c r="BA1538" i="1"/>
  <c r="AY1538" i="1"/>
  <c r="AW1538" i="1"/>
  <c r="AU1538" i="1"/>
  <c r="AS1538" i="1"/>
  <c r="AQ1538" i="1"/>
  <c r="AO1538" i="1"/>
  <c r="Z1538" i="1"/>
  <c r="Y1538" i="1"/>
  <c r="V1538" i="1"/>
  <c r="T1538" i="1"/>
  <c r="S1538" i="1"/>
  <c r="R1538" i="1"/>
  <c r="Q1538" i="1"/>
  <c r="P1538" i="1"/>
  <c r="O1538" i="1"/>
  <c r="M1538" i="1"/>
  <c r="L1538" i="1"/>
  <c r="K1538" i="1"/>
  <c r="F1538" i="1"/>
  <c r="D1538" i="1"/>
  <c r="D1539" i="1" s="1"/>
  <c r="D1540" i="1" s="1"/>
  <c r="D1541" i="1" s="1"/>
  <c r="D1542" i="1" s="1"/>
  <c r="C1538" i="1"/>
  <c r="BE1537" i="1"/>
  <c r="BD1537" i="1"/>
  <c r="BC1537" i="1"/>
  <c r="BA1537" i="1"/>
  <c r="AY1537" i="1"/>
  <c r="AW1537" i="1"/>
  <c r="AU1537" i="1"/>
  <c r="AS1537" i="1"/>
  <c r="AQ1537" i="1"/>
  <c r="AO1537" i="1"/>
  <c r="AJ1537" i="1"/>
  <c r="Z1537" i="1"/>
  <c r="Y1537" i="1"/>
  <c r="V1537" i="1"/>
  <c r="T1537" i="1"/>
  <c r="S1537" i="1"/>
  <c r="R1537" i="1"/>
  <c r="Q1537" i="1"/>
  <c r="P1537" i="1"/>
  <c r="O1537" i="1"/>
  <c r="M1537" i="1"/>
  <c r="L1537" i="1"/>
  <c r="K1537" i="1"/>
  <c r="H1537" i="1"/>
  <c r="F1537" i="1"/>
  <c r="BE1536" i="1"/>
  <c r="BE1535" i="1"/>
  <c r="BD1535" i="1"/>
  <c r="BC1535" i="1"/>
  <c r="BA1535" i="1"/>
  <c r="AY1535" i="1"/>
  <c r="AW1535" i="1"/>
  <c r="AU1535" i="1"/>
  <c r="AS1535" i="1"/>
  <c r="AQ1535" i="1"/>
  <c r="AO1535" i="1"/>
  <c r="Z1535" i="1"/>
  <c r="Y1535" i="1"/>
  <c r="V1535" i="1"/>
  <c r="T1535" i="1"/>
  <c r="S1535" i="1"/>
  <c r="R1535" i="1"/>
  <c r="Q1535" i="1"/>
  <c r="P1535" i="1"/>
  <c r="O1535" i="1"/>
  <c r="M1535" i="1"/>
  <c r="L1535" i="1"/>
  <c r="K1535" i="1"/>
  <c r="I1535" i="1"/>
  <c r="F1535" i="1"/>
  <c r="BE1534" i="1"/>
  <c r="BD1534" i="1"/>
  <c r="BC1534" i="1"/>
  <c r="BA1534" i="1"/>
  <c r="AY1534" i="1"/>
  <c r="AW1534" i="1"/>
  <c r="AU1534" i="1"/>
  <c r="AS1534" i="1"/>
  <c r="AQ1534" i="1"/>
  <c r="AO1534" i="1"/>
  <c r="Z1534" i="1"/>
  <c r="Y1534" i="1"/>
  <c r="V1534" i="1"/>
  <c r="T1534" i="1"/>
  <c r="S1534" i="1"/>
  <c r="R1534" i="1"/>
  <c r="Q1534" i="1"/>
  <c r="P1534" i="1"/>
  <c r="O1534" i="1"/>
  <c r="M1534" i="1"/>
  <c r="L1534" i="1"/>
  <c r="K1534" i="1"/>
  <c r="F1534" i="1"/>
  <c r="BE1533" i="1"/>
  <c r="BD1533" i="1"/>
  <c r="BC1533" i="1"/>
  <c r="BA1533" i="1"/>
  <c r="AY1533" i="1"/>
  <c r="AW1533" i="1"/>
  <c r="AU1533" i="1"/>
  <c r="AS1533" i="1"/>
  <c r="AQ1533" i="1"/>
  <c r="AO1533" i="1"/>
  <c r="Z1533" i="1"/>
  <c r="Y1533" i="1"/>
  <c r="V1533" i="1"/>
  <c r="T1533" i="1"/>
  <c r="S1533" i="1"/>
  <c r="R1533" i="1"/>
  <c r="Q1533" i="1"/>
  <c r="P1533" i="1"/>
  <c r="O1533" i="1"/>
  <c r="M1533" i="1"/>
  <c r="L1533" i="1"/>
  <c r="K1533" i="1"/>
  <c r="F1533" i="1"/>
  <c r="BE1532" i="1"/>
  <c r="BD1532" i="1"/>
  <c r="BC1532" i="1"/>
  <c r="BA1532" i="1"/>
  <c r="AY1532" i="1"/>
  <c r="AW1532" i="1"/>
  <c r="AU1532" i="1"/>
  <c r="AS1532" i="1"/>
  <c r="AQ1532" i="1"/>
  <c r="AO1532" i="1"/>
  <c r="Z1532" i="1"/>
  <c r="Y1532" i="1"/>
  <c r="V1532" i="1"/>
  <c r="T1532" i="1"/>
  <c r="S1532" i="1"/>
  <c r="R1532" i="1"/>
  <c r="Q1532" i="1"/>
  <c r="P1532" i="1"/>
  <c r="O1532" i="1"/>
  <c r="M1532" i="1"/>
  <c r="L1532" i="1"/>
  <c r="K1532" i="1"/>
  <c r="F1532" i="1"/>
  <c r="BE1531" i="1"/>
  <c r="BD1531" i="1"/>
  <c r="BC1531" i="1"/>
  <c r="BA1531" i="1"/>
  <c r="AY1531" i="1"/>
  <c r="AW1531" i="1"/>
  <c r="AU1531" i="1"/>
  <c r="AS1531" i="1"/>
  <c r="AQ1531" i="1"/>
  <c r="AO1531" i="1"/>
  <c r="Z1531" i="1"/>
  <c r="Y1531" i="1"/>
  <c r="V1531" i="1"/>
  <c r="T1531" i="1"/>
  <c r="S1531" i="1"/>
  <c r="R1531" i="1"/>
  <c r="Q1531" i="1"/>
  <c r="P1531" i="1"/>
  <c r="O1531" i="1"/>
  <c r="M1531" i="1"/>
  <c r="L1531" i="1"/>
  <c r="K1531" i="1"/>
  <c r="F1531" i="1"/>
  <c r="D1531" i="1"/>
  <c r="D1532" i="1" s="1"/>
  <c r="D1533" i="1" s="1"/>
  <c r="D1534" i="1" s="1"/>
  <c r="D1535" i="1" s="1"/>
  <c r="C1531" i="1"/>
  <c r="C1532" i="1" s="1"/>
  <c r="BE1530" i="1"/>
  <c r="BD1530" i="1"/>
  <c r="BC1530" i="1"/>
  <c r="BA1530" i="1"/>
  <c r="AY1530" i="1"/>
  <c r="AW1530" i="1"/>
  <c r="AU1530" i="1"/>
  <c r="AS1530" i="1"/>
  <c r="AQ1530" i="1"/>
  <c r="AO1530" i="1"/>
  <c r="AJ1530" i="1"/>
  <c r="Z1530" i="1"/>
  <c r="Y1530" i="1"/>
  <c r="V1530" i="1"/>
  <c r="T1530" i="1"/>
  <c r="S1530" i="1"/>
  <c r="R1530" i="1"/>
  <c r="Q1530" i="1"/>
  <c r="P1530" i="1"/>
  <c r="O1530" i="1"/>
  <c r="M1530" i="1"/>
  <c r="L1530" i="1"/>
  <c r="K1530" i="1"/>
  <c r="H1530" i="1"/>
  <c r="F1530" i="1"/>
  <c r="BE1527" i="1"/>
  <c r="Z1527" i="1"/>
  <c r="BE1526" i="1"/>
  <c r="Z1526" i="1"/>
  <c r="BE1525" i="1"/>
  <c r="Z1525" i="1"/>
  <c r="BE1524" i="1"/>
  <c r="Z1524" i="1"/>
  <c r="BE1523" i="1"/>
  <c r="Z1523" i="1"/>
  <c r="BE1522" i="1"/>
  <c r="Z1522" i="1"/>
  <c r="BE1521" i="1"/>
  <c r="Z1521" i="1"/>
  <c r="BE1520" i="1"/>
  <c r="Z1520" i="1"/>
  <c r="BE1519" i="1"/>
  <c r="Z1519" i="1"/>
  <c r="BE1518" i="1"/>
  <c r="Z1518" i="1"/>
  <c r="BE1517" i="1"/>
  <c r="AA1517" i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AA1527" i="1" s="1"/>
  <c r="Z1517" i="1"/>
  <c r="BE1516" i="1"/>
  <c r="Z1516" i="1"/>
  <c r="BE1512" i="1"/>
  <c r="BD1512" i="1"/>
  <c r="AZ1512" i="1"/>
  <c r="AX1512" i="1"/>
  <c r="BE1511" i="1"/>
  <c r="BD1511" i="1"/>
  <c r="BC1511" i="1"/>
  <c r="BA1511" i="1"/>
  <c r="AY1511" i="1"/>
  <c r="AW1511" i="1"/>
  <c r="AU1511" i="1"/>
  <c r="AS1511" i="1"/>
  <c r="AQ1511" i="1"/>
  <c r="AO1511" i="1"/>
  <c r="Z1511" i="1"/>
  <c r="Y1511" i="1"/>
  <c r="V1511" i="1"/>
  <c r="T1511" i="1"/>
  <c r="S1511" i="1"/>
  <c r="R1511" i="1"/>
  <c r="Q1511" i="1"/>
  <c r="P1511" i="1"/>
  <c r="O1511" i="1"/>
  <c r="M1511" i="1"/>
  <c r="L1511" i="1"/>
  <c r="K1511" i="1"/>
  <c r="I1511" i="1"/>
  <c r="F1511" i="1"/>
  <c r="BE1510" i="1"/>
  <c r="BD1510" i="1"/>
  <c r="BC1510" i="1"/>
  <c r="BA1510" i="1"/>
  <c r="AY1510" i="1"/>
  <c r="AW1510" i="1"/>
  <c r="AU1510" i="1"/>
  <c r="AS1510" i="1"/>
  <c r="AQ1510" i="1"/>
  <c r="AO1510" i="1"/>
  <c r="Z1510" i="1"/>
  <c r="Y1510" i="1"/>
  <c r="V1510" i="1"/>
  <c r="T1510" i="1"/>
  <c r="S1510" i="1"/>
  <c r="R1510" i="1"/>
  <c r="Q1510" i="1"/>
  <c r="P1510" i="1"/>
  <c r="O1510" i="1"/>
  <c r="M1510" i="1"/>
  <c r="L1510" i="1"/>
  <c r="K1510" i="1"/>
  <c r="F1510" i="1"/>
  <c r="BE1509" i="1"/>
  <c r="BD1509" i="1"/>
  <c r="BC1509" i="1"/>
  <c r="BA1509" i="1"/>
  <c r="AY1509" i="1"/>
  <c r="AW1509" i="1"/>
  <c r="AU1509" i="1"/>
  <c r="AS1509" i="1"/>
  <c r="AQ1509" i="1"/>
  <c r="AO1509" i="1"/>
  <c r="Z1509" i="1"/>
  <c r="Y1509" i="1"/>
  <c r="V1509" i="1"/>
  <c r="T1509" i="1"/>
  <c r="S1509" i="1"/>
  <c r="R1509" i="1"/>
  <c r="Q1509" i="1"/>
  <c r="P1509" i="1"/>
  <c r="O1509" i="1"/>
  <c r="M1509" i="1"/>
  <c r="L1509" i="1"/>
  <c r="K1509" i="1"/>
  <c r="F1509" i="1"/>
  <c r="BE1508" i="1"/>
  <c r="BD1508" i="1"/>
  <c r="BC1508" i="1"/>
  <c r="BA1508" i="1"/>
  <c r="AY1508" i="1"/>
  <c r="AW1508" i="1"/>
  <c r="AU1508" i="1"/>
  <c r="AS1508" i="1"/>
  <c r="AQ1508" i="1"/>
  <c r="AO1508" i="1"/>
  <c r="Z1508" i="1"/>
  <c r="Y1508" i="1"/>
  <c r="V1508" i="1"/>
  <c r="T1508" i="1"/>
  <c r="S1508" i="1"/>
  <c r="R1508" i="1"/>
  <c r="Q1508" i="1"/>
  <c r="P1508" i="1"/>
  <c r="O1508" i="1"/>
  <c r="M1508" i="1"/>
  <c r="L1508" i="1"/>
  <c r="K1508" i="1"/>
  <c r="F1508" i="1"/>
  <c r="C1508" i="1"/>
  <c r="BE1507" i="1"/>
  <c r="BD1507" i="1"/>
  <c r="BC1507" i="1"/>
  <c r="BA1507" i="1"/>
  <c r="AY1507" i="1"/>
  <c r="AW1507" i="1"/>
  <c r="AU1507" i="1"/>
  <c r="AS1507" i="1"/>
  <c r="AQ1507" i="1"/>
  <c r="AO1507" i="1"/>
  <c r="Z1507" i="1"/>
  <c r="Y1507" i="1"/>
  <c r="V1507" i="1"/>
  <c r="T1507" i="1"/>
  <c r="S1507" i="1"/>
  <c r="R1507" i="1"/>
  <c r="Q1507" i="1"/>
  <c r="P1507" i="1"/>
  <c r="O1507" i="1"/>
  <c r="M1507" i="1"/>
  <c r="L1507" i="1"/>
  <c r="K1507" i="1"/>
  <c r="F1507" i="1"/>
  <c r="D1507" i="1"/>
  <c r="D1508" i="1" s="1"/>
  <c r="D1509" i="1" s="1"/>
  <c r="D1510" i="1" s="1"/>
  <c r="D1511" i="1" s="1"/>
  <c r="C1507" i="1"/>
  <c r="H1507" i="1" s="1"/>
  <c r="BE1506" i="1"/>
  <c r="BD1506" i="1"/>
  <c r="BC1506" i="1"/>
  <c r="BA1506" i="1"/>
  <c r="AY1506" i="1"/>
  <c r="AW1506" i="1"/>
  <c r="AU1506" i="1"/>
  <c r="AS1506" i="1"/>
  <c r="AQ1506" i="1"/>
  <c r="AO1506" i="1"/>
  <c r="AJ1506" i="1"/>
  <c r="Z1506" i="1"/>
  <c r="Y1506" i="1"/>
  <c r="V1506" i="1"/>
  <c r="T1506" i="1"/>
  <c r="S1506" i="1"/>
  <c r="R1506" i="1"/>
  <c r="Q1506" i="1"/>
  <c r="P1506" i="1"/>
  <c r="O1506" i="1"/>
  <c r="M1506" i="1"/>
  <c r="L1506" i="1"/>
  <c r="K1506" i="1"/>
  <c r="H1506" i="1"/>
  <c r="F1506" i="1"/>
  <c r="BE1505" i="1"/>
  <c r="BE1504" i="1"/>
  <c r="BD1504" i="1"/>
  <c r="BC1504" i="1"/>
  <c r="BA1504" i="1"/>
  <c r="AY1504" i="1"/>
  <c r="AW1504" i="1"/>
  <c r="AU1504" i="1"/>
  <c r="AS1504" i="1"/>
  <c r="AQ1504" i="1"/>
  <c r="AO1504" i="1"/>
  <c r="Z1504" i="1"/>
  <c r="Y1504" i="1"/>
  <c r="V1504" i="1"/>
  <c r="T1504" i="1"/>
  <c r="S1504" i="1"/>
  <c r="R1504" i="1"/>
  <c r="Q1504" i="1"/>
  <c r="P1504" i="1"/>
  <c r="O1504" i="1"/>
  <c r="M1504" i="1"/>
  <c r="L1504" i="1"/>
  <c r="K1504" i="1"/>
  <c r="I1504" i="1"/>
  <c r="F1504" i="1"/>
  <c r="BE1503" i="1"/>
  <c r="BD1503" i="1"/>
  <c r="BC1503" i="1"/>
  <c r="BA1503" i="1"/>
  <c r="AY1503" i="1"/>
  <c r="AW1503" i="1"/>
  <c r="AU1503" i="1"/>
  <c r="AS1503" i="1"/>
  <c r="AQ1503" i="1"/>
  <c r="AO1503" i="1"/>
  <c r="Z1503" i="1"/>
  <c r="Y1503" i="1"/>
  <c r="V1503" i="1"/>
  <c r="T1503" i="1"/>
  <c r="S1503" i="1"/>
  <c r="R1503" i="1"/>
  <c r="Q1503" i="1"/>
  <c r="P1503" i="1"/>
  <c r="O1503" i="1"/>
  <c r="M1503" i="1"/>
  <c r="L1503" i="1"/>
  <c r="K1503" i="1"/>
  <c r="F1503" i="1"/>
  <c r="BE1502" i="1"/>
  <c r="BD1502" i="1"/>
  <c r="BC1502" i="1"/>
  <c r="BA1502" i="1"/>
  <c r="AY1502" i="1"/>
  <c r="AW1502" i="1"/>
  <c r="AU1502" i="1"/>
  <c r="AS1502" i="1"/>
  <c r="AQ1502" i="1"/>
  <c r="AO1502" i="1"/>
  <c r="Z1502" i="1"/>
  <c r="Y1502" i="1"/>
  <c r="V1502" i="1"/>
  <c r="T1502" i="1"/>
  <c r="S1502" i="1"/>
  <c r="R1502" i="1"/>
  <c r="Q1502" i="1"/>
  <c r="P1502" i="1"/>
  <c r="O1502" i="1"/>
  <c r="M1502" i="1"/>
  <c r="L1502" i="1"/>
  <c r="K1502" i="1"/>
  <c r="F1502" i="1"/>
  <c r="BE1501" i="1"/>
  <c r="BD1501" i="1"/>
  <c r="BC1501" i="1"/>
  <c r="BA1501" i="1"/>
  <c r="AY1501" i="1"/>
  <c r="AW1501" i="1"/>
  <c r="AU1501" i="1"/>
  <c r="AS1501" i="1"/>
  <c r="AQ1501" i="1"/>
  <c r="AO1501" i="1"/>
  <c r="Z1501" i="1"/>
  <c r="Y1501" i="1"/>
  <c r="V1501" i="1"/>
  <c r="T1501" i="1"/>
  <c r="S1501" i="1"/>
  <c r="R1501" i="1"/>
  <c r="Q1501" i="1"/>
  <c r="P1501" i="1"/>
  <c r="O1501" i="1"/>
  <c r="M1501" i="1"/>
  <c r="L1501" i="1"/>
  <c r="K1501" i="1"/>
  <c r="F1501" i="1"/>
  <c r="BE1500" i="1"/>
  <c r="BD1500" i="1"/>
  <c r="BC1500" i="1"/>
  <c r="BA1500" i="1"/>
  <c r="AY1500" i="1"/>
  <c r="AW1500" i="1"/>
  <c r="AU1500" i="1"/>
  <c r="AS1500" i="1"/>
  <c r="AQ1500" i="1"/>
  <c r="AO1500" i="1"/>
  <c r="Z1500" i="1"/>
  <c r="Y1500" i="1"/>
  <c r="V1500" i="1"/>
  <c r="T1500" i="1"/>
  <c r="S1500" i="1"/>
  <c r="R1500" i="1"/>
  <c r="Q1500" i="1"/>
  <c r="P1500" i="1"/>
  <c r="O1500" i="1"/>
  <c r="M1500" i="1"/>
  <c r="L1500" i="1"/>
  <c r="K1500" i="1"/>
  <c r="F1500" i="1"/>
  <c r="D1500" i="1"/>
  <c r="D1501" i="1" s="1"/>
  <c r="D1502" i="1" s="1"/>
  <c r="D1503" i="1" s="1"/>
  <c r="D1504" i="1" s="1"/>
  <c r="C1500" i="1"/>
  <c r="BE1499" i="1"/>
  <c r="BD1499" i="1"/>
  <c r="BC1499" i="1"/>
  <c r="BA1499" i="1"/>
  <c r="AY1499" i="1"/>
  <c r="AW1499" i="1"/>
  <c r="AU1499" i="1"/>
  <c r="AS1499" i="1"/>
  <c r="AQ1499" i="1"/>
  <c r="AO1499" i="1"/>
  <c r="AJ1499" i="1"/>
  <c r="Z1499" i="1"/>
  <c r="Y1499" i="1"/>
  <c r="V1499" i="1"/>
  <c r="T1499" i="1"/>
  <c r="S1499" i="1"/>
  <c r="R1499" i="1"/>
  <c r="Q1499" i="1"/>
  <c r="P1499" i="1"/>
  <c r="O1499" i="1"/>
  <c r="M1499" i="1"/>
  <c r="L1499" i="1"/>
  <c r="K1499" i="1"/>
  <c r="H1499" i="1"/>
  <c r="F1499" i="1"/>
  <c r="BE1496" i="1"/>
  <c r="Z1496" i="1"/>
  <c r="BE1495" i="1"/>
  <c r="Z1495" i="1"/>
  <c r="BE1494" i="1"/>
  <c r="Z1494" i="1"/>
  <c r="BE1493" i="1"/>
  <c r="Z1493" i="1"/>
  <c r="BE1492" i="1"/>
  <c r="Z1492" i="1"/>
  <c r="BE1491" i="1"/>
  <c r="Z1491" i="1"/>
  <c r="BE1490" i="1"/>
  <c r="Z1490" i="1"/>
  <c r="BE1489" i="1"/>
  <c r="Z1489" i="1"/>
  <c r="BE1488" i="1"/>
  <c r="Z1488" i="1"/>
  <c r="BE1487" i="1"/>
  <c r="Z1487" i="1"/>
  <c r="BE1486" i="1"/>
  <c r="AA1486" i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Z1486" i="1"/>
  <c r="BE1485" i="1"/>
  <c r="Z1485" i="1"/>
  <c r="BE1481" i="1"/>
  <c r="BD1481" i="1"/>
  <c r="AZ1481" i="1"/>
  <c r="AX1481" i="1"/>
  <c r="BE1480" i="1"/>
  <c r="BD1480" i="1"/>
  <c r="BC1480" i="1"/>
  <c r="BA1480" i="1"/>
  <c r="AY1480" i="1"/>
  <c r="AW1480" i="1"/>
  <c r="AU1480" i="1"/>
  <c r="AS1480" i="1"/>
  <c r="AQ1480" i="1"/>
  <c r="AO1480" i="1"/>
  <c r="Z1480" i="1"/>
  <c r="Y1480" i="1"/>
  <c r="V1480" i="1"/>
  <c r="T1480" i="1"/>
  <c r="S1480" i="1"/>
  <c r="R1480" i="1"/>
  <c r="Q1480" i="1"/>
  <c r="P1480" i="1"/>
  <c r="O1480" i="1"/>
  <c r="M1480" i="1"/>
  <c r="L1480" i="1"/>
  <c r="K1480" i="1"/>
  <c r="I1480" i="1"/>
  <c r="F1480" i="1"/>
  <c r="BE1479" i="1"/>
  <c r="BD1479" i="1"/>
  <c r="BC1479" i="1"/>
  <c r="BA1479" i="1"/>
  <c r="AY1479" i="1"/>
  <c r="AW1479" i="1"/>
  <c r="AU1479" i="1"/>
  <c r="AS1479" i="1"/>
  <c r="AQ1479" i="1"/>
  <c r="AO1479" i="1"/>
  <c r="Z1479" i="1"/>
  <c r="Y1479" i="1"/>
  <c r="V1479" i="1"/>
  <c r="T1479" i="1"/>
  <c r="S1479" i="1"/>
  <c r="R1479" i="1"/>
  <c r="Q1479" i="1"/>
  <c r="P1479" i="1"/>
  <c r="O1479" i="1"/>
  <c r="M1479" i="1"/>
  <c r="L1479" i="1"/>
  <c r="K1479" i="1"/>
  <c r="F1479" i="1"/>
  <c r="BE1478" i="1"/>
  <c r="BD1478" i="1"/>
  <c r="BC1478" i="1"/>
  <c r="BA1478" i="1"/>
  <c r="AY1478" i="1"/>
  <c r="AW1478" i="1"/>
  <c r="AU1478" i="1"/>
  <c r="AS1478" i="1"/>
  <c r="AQ1478" i="1"/>
  <c r="AO1478" i="1"/>
  <c r="Z1478" i="1"/>
  <c r="Y1478" i="1"/>
  <c r="V1478" i="1"/>
  <c r="T1478" i="1"/>
  <c r="S1478" i="1"/>
  <c r="R1478" i="1"/>
  <c r="Q1478" i="1"/>
  <c r="P1478" i="1"/>
  <c r="O1478" i="1"/>
  <c r="M1478" i="1"/>
  <c r="L1478" i="1"/>
  <c r="K1478" i="1"/>
  <c r="F1478" i="1"/>
  <c r="BE1477" i="1"/>
  <c r="BD1477" i="1"/>
  <c r="BC1477" i="1"/>
  <c r="BA1477" i="1"/>
  <c r="AY1477" i="1"/>
  <c r="AW1477" i="1"/>
  <c r="AU1477" i="1"/>
  <c r="AS1477" i="1"/>
  <c r="AQ1477" i="1"/>
  <c r="AO1477" i="1"/>
  <c r="Z1477" i="1"/>
  <c r="Y1477" i="1"/>
  <c r="V1477" i="1"/>
  <c r="T1477" i="1"/>
  <c r="S1477" i="1"/>
  <c r="R1477" i="1"/>
  <c r="Q1477" i="1"/>
  <c r="P1477" i="1"/>
  <c r="O1477" i="1"/>
  <c r="M1477" i="1"/>
  <c r="L1477" i="1"/>
  <c r="K1477" i="1"/>
  <c r="F1477" i="1"/>
  <c r="BE1476" i="1"/>
  <c r="BD1476" i="1"/>
  <c r="BC1476" i="1"/>
  <c r="BA1476" i="1"/>
  <c r="AY1476" i="1"/>
  <c r="AW1476" i="1"/>
  <c r="AU1476" i="1"/>
  <c r="AS1476" i="1"/>
  <c r="AQ1476" i="1"/>
  <c r="AO1476" i="1"/>
  <c r="Z1476" i="1"/>
  <c r="Y1476" i="1"/>
  <c r="V1476" i="1"/>
  <c r="T1476" i="1"/>
  <c r="S1476" i="1"/>
  <c r="R1476" i="1"/>
  <c r="Q1476" i="1"/>
  <c r="P1476" i="1"/>
  <c r="O1476" i="1"/>
  <c r="M1476" i="1"/>
  <c r="L1476" i="1"/>
  <c r="K1476" i="1"/>
  <c r="F1476" i="1"/>
  <c r="D1476" i="1"/>
  <c r="D1477" i="1" s="1"/>
  <c r="D1478" i="1" s="1"/>
  <c r="D1479" i="1" s="1"/>
  <c r="D1480" i="1" s="1"/>
  <c r="C1476" i="1"/>
  <c r="BE1475" i="1"/>
  <c r="BD1475" i="1"/>
  <c r="BC1475" i="1"/>
  <c r="BA1475" i="1"/>
  <c r="AY1475" i="1"/>
  <c r="AW1475" i="1"/>
  <c r="AU1475" i="1"/>
  <c r="AS1475" i="1"/>
  <c r="AQ1475" i="1"/>
  <c r="AO1475" i="1"/>
  <c r="AJ1475" i="1"/>
  <c r="Z1475" i="1"/>
  <c r="Y1475" i="1"/>
  <c r="V1475" i="1"/>
  <c r="T1475" i="1"/>
  <c r="S1475" i="1"/>
  <c r="R1475" i="1"/>
  <c r="Q1475" i="1"/>
  <c r="P1475" i="1"/>
  <c r="O1475" i="1"/>
  <c r="M1475" i="1"/>
  <c r="L1475" i="1"/>
  <c r="K1475" i="1"/>
  <c r="H1475" i="1"/>
  <c r="F1475" i="1"/>
  <c r="BE1474" i="1"/>
  <c r="BE1473" i="1"/>
  <c r="BD1473" i="1"/>
  <c r="BC1473" i="1"/>
  <c r="BA1473" i="1"/>
  <c r="AY1473" i="1"/>
  <c r="AW1473" i="1"/>
  <c r="AU1473" i="1"/>
  <c r="AS1473" i="1"/>
  <c r="AQ1473" i="1"/>
  <c r="AO1473" i="1"/>
  <c r="Z1473" i="1"/>
  <c r="Y1473" i="1"/>
  <c r="V1473" i="1"/>
  <c r="T1473" i="1"/>
  <c r="S1473" i="1"/>
  <c r="R1473" i="1"/>
  <c r="Q1473" i="1"/>
  <c r="P1473" i="1"/>
  <c r="O1473" i="1"/>
  <c r="M1473" i="1"/>
  <c r="L1473" i="1"/>
  <c r="K1473" i="1"/>
  <c r="I1473" i="1"/>
  <c r="F1473" i="1"/>
  <c r="BE1472" i="1"/>
  <c r="BD1472" i="1"/>
  <c r="BC1472" i="1"/>
  <c r="BA1472" i="1"/>
  <c r="AY1472" i="1"/>
  <c r="AW1472" i="1"/>
  <c r="AU1472" i="1"/>
  <c r="AS1472" i="1"/>
  <c r="AQ1472" i="1"/>
  <c r="AO1472" i="1"/>
  <c r="Z1472" i="1"/>
  <c r="Y1472" i="1"/>
  <c r="V1472" i="1"/>
  <c r="T1472" i="1"/>
  <c r="S1472" i="1"/>
  <c r="R1472" i="1"/>
  <c r="Q1472" i="1"/>
  <c r="P1472" i="1"/>
  <c r="O1472" i="1"/>
  <c r="M1472" i="1"/>
  <c r="L1472" i="1"/>
  <c r="K1472" i="1"/>
  <c r="F1472" i="1"/>
  <c r="BE1471" i="1"/>
  <c r="BD1471" i="1"/>
  <c r="BC1471" i="1"/>
  <c r="BA1471" i="1"/>
  <c r="AY1471" i="1"/>
  <c r="AW1471" i="1"/>
  <c r="AU1471" i="1"/>
  <c r="AS1471" i="1"/>
  <c r="AQ1471" i="1"/>
  <c r="AO1471" i="1"/>
  <c r="Z1471" i="1"/>
  <c r="Y1471" i="1"/>
  <c r="V1471" i="1"/>
  <c r="T1471" i="1"/>
  <c r="S1471" i="1"/>
  <c r="R1471" i="1"/>
  <c r="Q1471" i="1"/>
  <c r="P1471" i="1"/>
  <c r="O1471" i="1"/>
  <c r="M1471" i="1"/>
  <c r="L1471" i="1"/>
  <c r="K1471" i="1"/>
  <c r="F1471" i="1"/>
  <c r="BE1470" i="1"/>
  <c r="BD1470" i="1"/>
  <c r="BC1470" i="1"/>
  <c r="BA1470" i="1"/>
  <c r="AY1470" i="1"/>
  <c r="AW1470" i="1"/>
  <c r="AU1470" i="1"/>
  <c r="AS1470" i="1"/>
  <c r="AQ1470" i="1"/>
  <c r="AO1470" i="1"/>
  <c r="Z1470" i="1"/>
  <c r="Y1470" i="1"/>
  <c r="V1470" i="1"/>
  <c r="T1470" i="1"/>
  <c r="S1470" i="1"/>
  <c r="R1470" i="1"/>
  <c r="Q1470" i="1"/>
  <c r="P1470" i="1"/>
  <c r="O1470" i="1"/>
  <c r="M1470" i="1"/>
  <c r="L1470" i="1"/>
  <c r="K1470" i="1"/>
  <c r="F1470" i="1"/>
  <c r="BE1469" i="1"/>
  <c r="BD1469" i="1"/>
  <c r="BC1469" i="1"/>
  <c r="BA1469" i="1"/>
  <c r="AY1469" i="1"/>
  <c r="AW1469" i="1"/>
  <c r="AU1469" i="1"/>
  <c r="AS1469" i="1"/>
  <c r="AQ1469" i="1"/>
  <c r="AO1469" i="1"/>
  <c r="Z1469" i="1"/>
  <c r="Y1469" i="1"/>
  <c r="V1469" i="1"/>
  <c r="T1469" i="1"/>
  <c r="S1469" i="1"/>
  <c r="R1469" i="1"/>
  <c r="Q1469" i="1"/>
  <c r="P1469" i="1"/>
  <c r="O1469" i="1"/>
  <c r="M1469" i="1"/>
  <c r="L1469" i="1"/>
  <c r="K1469" i="1"/>
  <c r="F1469" i="1"/>
  <c r="D1469" i="1"/>
  <c r="D1470" i="1" s="1"/>
  <c r="D1471" i="1" s="1"/>
  <c r="D1472" i="1" s="1"/>
  <c r="D1473" i="1" s="1"/>
  <c r="C1469" i="1"/>
  <c r="H1469" i="1" s="1"/>
  <c r="BE1468" i="1"/>
  <c r="BD1468" i="1"/>
  <c r="BC1468" i="1"/>
  <c r="BA1468" i="1"/>
  <c r="AY1468" i="1"/>
  <c r="AW1468" i="1"/>
  <c r="AU1468" i="1"/>
  <c r="AS1468" i="1"/>
  <c r="AQ1468" i="1"/>
  <c r="AO1468" i="1"/>
  <c r="AJ1468" i="1"/>
  <c r="Z1468" i="1"/>
  <c r="Y1468" i="1"/>
  <c r="V1468" i="1"/>
  <c r="T1468" i="1"/>
  <c r="S1468" i="1"/>
  <c r="R1468" i="1"/>
  <c r="Q1468" i="1"/>
  <c r="P1468" i="1"/>
  <c r="O1468" i="1"/>
  <c r="M1468" i="1"/>
  <c r="L1468" i="1"/>
  <c r="K1468" i="1"/>
  <c r="H1468" i="1"/>
  <c r="F1468" i="1"/>
  <c r="BE1465" i="1"/>
  <c r="Z1465" i="1"/>
  <c r="BE1464" i="1"/>
  <c r="Z1464" i="1"/>
  <c r="BE1463" i="1"/>
  <c r="Z1463" i="1"/>
  <c r="BE1462" i="1"/>
  <c r="Z1462" i="1"/>
  <c r="BE1461" i="1"/>
  <c r="Z1461" i="1"/>
  <c r="BE1460" i="1"/>
  <c r="Z1460" i="1"/>
  <c r="BE1459" i="1"/>
  <c r="Z1459" i="1"/>
  <c r="BE1458" i="1"/>
  <c r="Z1458" i="1"/>
  <c r="BE1457" i="1"/>
  <c r="Z1457" i="1"/>
  <c r="BE1456" i="1"/>
  <c r="Z1456" i="1"/>
  <c r="BE1455" i="1"/>
  <c r="AA1455" i="1"/>
  <c r="AA1456" i="1" s="1"/>
  <c r="AA1457" i="1" s="1"/>
  <c r="AA1458" i="1" s="1"/>
  <c r="AA1459" i="1" s="1"/>
  <c r="AA1460" i="1" s="1"/>
  <c r="AA1461" i="1" s="1"/>
  <c r="AA1462" i="1" s="1"/>
  <c r="AA1463" i="1" s="1"/>
  <c r="AA1464" i="1" s="1"/>
  <c r="AA1465" i="1" s="1"/>
  <c r="Z1455" i="1"/>
  <c r="BE1454" i="1"/>
  <c r="Z1454" i="1"/>
  <c r="BE1450" i="1"/>
  <c r="BD1450" i="1"/>
  <c r="AZ1450" i="1"/>
  <c r="AX1450" i="1"/>
  <c r="BE1449" i="1"/>
  <c r="BD1449" i="1"/>
  <c r="BC1449" i="1"/>
  <c r="BA1449" i="1"/>
  <c r="AY1449" i="1"/>
  <c r="AW1449" i="1"/>
  <c r="AU1449" i="1"/>
  <c r="AS1449" i="1"/>
  <c r="AQ1449" i="1"/>
  <c r="AO1449" i="1"/>
  <c r="Z1449" i="1"/>
  <c r="Y1449" i="1"/>
  <c r="V1449" i="1"/>
  <c r="T1449" i="1"/>
  <c r="S1449" i="1"/>
  <c r="R1449" i="1"/>
  <c r="Q1449" i="1"/>
  <c r="P1449" i="1"/>
  <c r="O1449" i="1"/>
  <c r="M1449" i="1"/>
  <c r="L1449" i="1"/>
  <c r="K1449" i="1"/>
  <c r="I1449" i="1"/>
  <c r="F1449" i="1"/>
  <c r="BE1448" i="1"/>
  <c r="BD1448" i="1"/>
  <c r="BC1448" i="1"/>
  <c r="BA1448" i="1"/>
  <c r="AY1448" i="1"/>
  <c r="AW1448" i="1"/>
  <c r="AU1448" i="1"/>
  <c r="AS1448" i="1"/>
  <c r="AQ1448" i="1"/>
  <c r="AO1448" i="1"/>
  <c r="Z1448" i="1"/>
  <c r="Y1448" i="1"/>
  <c r="V1448" i="1"/>
  <c r="T1448" i="1"/>
  <c r="S1448" i="1"/>
  <c r="R1448" i="1"/>
  <c r="Q1448" i="1"/>
  <c r="P1448" i="1"/>
  <c r="O1448" i="1"/>
  <c r="M1448" i="1"/>
  <c r="L1448" i="1"/>
  <c r="K1448" i="1"/>
  <c r="F1448" i="1"/>
  <c r="BE1447" i="1"/>
  <c r="BD1447" i="1"/>
  <c r="BC1447" i="1"/>
  <c r="BA1447" i="1"/>
  <c r="AY1447" i="1"/>
  <c r="AW1447" i="1"/>
  <c r="AU1447" i="1"/>
  <c r="AS1447" i="1"/>
  <c r="AQ1447" i="1"/>
  <c r="AO1447" i="1"/>
  <c r="Z1447" i="1"/>
  <c r="Y1447" i="1"/>
  <c r="V1447" i="1"/>
  <c r="T1447" i="1"/>
  <c r="S1447" i="1"/>
  <c r="R1447" i="1"/>
  <c r="Q1447" i="1"/>
  <c r="P1447" i="1"/>
  <c r="O1447" i="1"/>
  <c r="M1447" i="1"/>
  <c r="L1447" i="1"/>
  <c r="K1447" i="1"/>
  <c r="F1447" i="1"/>
  <c r="BE1446" i="1"/>
  <c r="BD1446" i="1"/>
  <c r="BC1446" i="1"/>
  <c r="BA1446" i="1"/>
  <c r="AY1446" i="1"/>
  <c r="AW1446" i="1"/>
  <c r="AU1446" i="1"/>
  <c r="AS1446" i="1"/>
  <c r="AQ1446" i="1"/>
  <c r="AO1446" i="1"/>
  <c r="Z1446" i="1"/>
  <c r="Y1446" i="1"/>
  <c r="V1446" i="1"/>
  <c r="T1446" i="1"/>
  <c r="S1446" i="1"/>
  <c r="R1446" i="1"/>
  <c r="Q1446" i="1"/>
  <c r="P1446" i="1"/>
  <c r="O1446" i="1"/>
  <c r="M1446" i="1"/>
  <c r="L1446" i="1"/>
  <c r="K1446" i="1"/>
  <c r="F1446" i="1"/>
  <c r="BE1445" i="1"/>
  <c r="BD1445" i="1"/>
  <c r="BC1445" i="1"/>
  <c r="BA1445" i="1"/>
  <c r="AY1445" i="1"/>
  <c r="AW1445" i="1"/>
  <c r="AU1445" i="1"/>
  <c r="AS1445" i="1"/>
  <c r="AQ1445" i="1"/>
  <c r="AO1445" i="1"/>
  <c r="Z1445" i="1"/>
  <c r="Y1445" i="1"/>
  <c r="V1445" i="1"/>
  <c r="T1445" i="1"/>
  <c r="S1445" i="1"/>
  <c r="R1445" i="1"/>
  <c r="Q1445" i="1"/>
  <c r="P1445" i="1"/>
  <c r="O1445" i="1"/>
  <c r="M1445" i="1"/>
  <c r="L1445" i="1"/>
  <c r="K1445" i="1"/>
  <c r="F1445" i="1"/>
  <c r="D1445" i="1"/>
  <c r="D1446" i="1" s="1"/>
  <c r="D1447" i="1" s="1"/>
  <c r="D1448" i="1" s="1"/>
  <c r="D1449" i="1" s="1"/>
  <c r="C1445" i="1"/>
  <c r="BE1444" i="1"/>
  <c r="BD1444" i="1"/>
  <c r="BC1444" i="1"/>
  <c r="BA1444" i="1"/>
  <c r="AY1444" i="1"/>
  <c r="AW1444" i="1"/>
  <c r="AU1444" i="1"/>
  <c r="AS1444" i="1"/>
  <c r="AQ1444" i="1"/>
  <c r="AO1444" i="1"/>
  <c r="AJ1444" i="1"/>
  <c r="Z1444" i="1"/>
  <c r="Y1444" i="1"/>
  <c r="V1444" i="1"/>
  <c r="T1444" i="1"/>
  <c r="S1444" i="1"/>
  <c r="R1444" i="1"/>
  <c r="Q1444" i="1"/>
  <c r="P1444" i="1"/>
  <c r="O1444" i="1"/>
  <c r="M1444" i="1"/>
  <c r="L1444" i="1"/>
  <c r="K1444" i="1"/>
  <c r="H1444" i="1"/>
  <c r="F1444" i="1"/>
  <c r="BE1443" i="1"/>
  <c r="BE1442" i="1"/>
  <c r="BD1442" i="1"/>
  <c r="BC1442" i="1"/>
  <c r="BA1442" i="1"/>
  <c r="AY1442" i="1"/>
  <c r="AW1442" i="1"/>
  <c r="AU1442" i="1"/>
  <c r="AS1442" i="1"/>
  <c r="AQ1442" i="1"/>
  <c r="AO1442" i="1"/>
  <c r="Z1442" i="1"/>
  <c r="Y1442" i="1"/>
  <c r="V1442" i="1"/>
  <c r="T1442" i="1"/>
  <c r="S1442" i="1"/>
  <c r="R1442" i="1"/>
  <c r="Q1442" i="1"/>
  <c r="P1442" i="1"/>
  <c r="O1442" i="1"/>
  <c r="M1442" i="1"/>
  <c r="L1442" i="1"/>
  <c r="K1442" i="1"/>
  <c r="I1442" i="1"/>
  <c r="F1442" i="1"/>
  <c r="BE1441" i="1"/>
  <c r="BD1441" i="1"/>
  <c r="BC1441" i="1"/>
  <c r="BA1441" i="1"/>
  <c r="AY1441" i="1"/>
  <c r="AW1441" i="1"/>
  <c r="AU1441" i="1"/>
  <c r="AS1441" i="1"/>
  <c r="AQ1441" i="1"/>
  <c r="AO1441" i="1"/>
  <c r="Z1441" i="1"/>
  <c r="Y1441" i="1"/>
  <c r="V1441" i="1"/>
  <c r="T1441" i="1"/>
  <c r="S1441" i="1"/>
  <c r="R1441" i="1"/>
  <c r="Q1441" i="1"/>
  <c r="P1441" i="1"/>
  <c r="O1441" i="1"/>
  <c r="M1441" i="1"/>
  <c r="L1441" i="1"/>
  <c r="K1441" i="1"/>
  <c r="F1441" i="1"/>
  <c r="BE1440" i="1"/>
  <c r="BD1440" i="1"/>
  <c r="BC1440" i="1"/>
  <c r="BA1440" i="1"/>
  <c r="AY1440" i="1"/>
  <c r="AW1440" i="1"/>
  <c r="AU1440" i="1"/>
  <c r="AS1440" i="1"/>
  <c r="AQ1440" i="1"/>
  <c r="AO1440" i="1"/>
  <c r="Z1440" i="1"/>
  <c r="Y1440" i="1"/>
  <c r="V1440" i="1"/>
  <c r="T1440" i="1"/>
  <c r="S1440" i="1"/>
  <c r="R1440" i="1"/>
  <c r="Q1440" i="1"/>
  <c r="P1440" i="1"/>
  <c r="O1440" i="1"/>
  <c r="M1440" i="1"/>
  <c r="L1440" i="1"/>
  <c r="K1440" i="1"/>
  <c r="F1440" i="1"/>
  <c r="BE1439" i="1"/>
  <c r="BD1439" i="1"/>
  <c r="BC1439" i="1"/>
  <c r="BA1439" i="1"/>
  <c r="AY1439" i="1"/>
  <c r="AW1439" i="1"/>
  <c r="AU1439" i="1"/>
  <c r="AS1439" i="1"/>
  <c r="AQ1439" i="1"/>
  <c r="AO1439" i="1"/>
  <c r="Z1439" i="1"/>
  <c r="Y1439" i="1"/>
  <c r="V1439" i="1"/>
  <c r="T1439" i="1"/>
  <c r="S1439" i="1"/>
  <c r="R1439" i="1"/>
  <c r="Q1439" i="1"/>
  <c r="P1439" i="1"/>
  <c r="O1439" i="1"/>
  <c r="M1439" i="1"/>
  <c r="L1439" i="1"/>
  <c r="K1439" i="1"/>
  <c r="F1439" i="1"/>
  <c r="BE1438" i="1"/>
  <c r="BD1438" i="1"/>
  <c r="BC1438" i="1"/>
  <c r="BA1438" i="1"/>
  <c r="AY1438" i="1"/>
  <c r="AW1438" i="1"/>
  <c r="AU1438" i="1"/>
  <c r="AS1438" i="1"/>
  <c r="AQ1438" i="1"/>
  <c r="AO1438" i="1"/>
  <c r="Z1438" i="1"/>
  <c r="Y1438" i="1"/>
  <c r="V1438" i="1"/>
  <c r="T1438" i="1"/>
  <c r="S1438" i="1"/>
  <c r="R1438" i="1"/>
  <c r="Q1438" i="1"/>
  <c r="P1438" i="1"/>
  <c r="O1438" i="1"/>
  <c r="M1438" i="1"/>
  <c r="L1438" i="1"/>
  <c r="K1438" i="1"/>
  <c r="F1438" i="1"/>
  <c r="D1438" i="1"/>
  <c r="D1439" i="1" s="1"/>
  <c r="D1440" i="1" s="1"/>
  <c r="D1441" i="1" s="1"/>
  <c r="D1442" i="1" s="1"/>
  <c r="C1438" i="1"/>
  <c r="BE1437" i="1"/>
  <c r="BD1437" i="1"/>
  <c r="BC1437" i="1"/>
  <c r="BA1437" i="1"/>
  <c r="AY1437" i="1"/>
  <c r="AW1437" i="1"/>
  <c r="AU1437" i="1"/>
  <c r="AS1437" i="1"/>
  <c r="AQ1437" i="1"/>
  <c r="AO1437" i="1"/>
  <c r="AJ1437" i="1"/>
  <c r="Z1437" i="1"/>
  <c r="Y1437" i="1"/>
  <c r="V1437" i="1"/>
  <c r="T1437" i="1"/>
  <c r="S1437" i="1"/>
  <c r="R1437" i="1"/>
  <c r="Q1437" i="1"/>
  <c r="P1437" i="1"/>
  <c r="O1437" i="1"/>
  <c r="M1437" i="1"/>
  <c r="L1437" i="1"/>
  <c r="K1437" i="1"/>
  <c r="H1437" i="1"/>
  <c r="F1437" i="1"/>
  <c r="BE1434" i="1"/>
  <c r="Z1434" i="1"/>
  <c r="BE1433" i="1"/>
  <c r="Z1433" i="1"/>
  <c r="BE1432" i="1"/>
  <c r="Z1432" i="1"/>
  <c r="BE1431" i="1"/>
  <c r="Z1431" i="1"/>
  <c r="BE1430" i="1"/>
  <c r="Z1430" i="1"/>
  <c r="BE1429" i="1"/>
  <c r="Z1429" i="1"/>
  <c r="BE1428" i="1"/>
  <c r="Z1428" i="1"/>
  <c r="BE1427" i="1"/>
  <c r="Z1427" i="1"/>
  <c r="BE1426" i="1"/>
  <c r="Z1426" i="1"/>
  <c r="BE1425" i="1"/>
  <c r="Z1425" i="1"/>
  <c r="BE1424" i="1"/>
  <c r="AA1424" i="1"/>
  <c r="AA1425" i="1" s="1"/>
  <c r="AA1426" i="1" s="1"/>
  <c r="AA1427" i="1" s="1"/>
  <c r="AA1428" i="1" s="1"/>
  <c r="AA1429" i="1" s="1"/>
  <c r="AA1430" i="1" s="1"/>
  <c r="AA1431" i="1" s="1"/>
  <c r="AA1432" i="1" s="1"/>
  <c r="AA1433" i="1" s="1"/>
  <c r="AA1434" i="1" s="1"/>
  <c r="Z1424" i="1"/>
  <c r="BE1423" i="1"/>
  <c r="Z1423" i="1"/>
  <c r="BE1419" i="1"/>
  <c r="BD1419" i="1"/>
  <c r="AZ1419" i="1"/>
  <c r="AX1419" i="1"/>
  <c r="BE1418" i="1"/>
  <c r="BD1418" i="1"/>
  <c r="BC1418" i="1"/>
  <c r="BA1418" i="1"/>
  <c r="AY1418" i="1"/>
  <c r="AW1418" i="1"/>
  <c r="AU1418" i="1"/>
  <c r="AS1418" i="1"/>
  <c r="AQ1418" i="1"/>
  <c r="AO1418" i="1"/>
  <c r="Z1418" i="1"/>
  <c r="Y1418" i="1"/>
  <c r="V1418" i="1"/>
  <c r="T1418" i="1"/>
  <c r="S1418" i="1"/>
  <c r="R1418" i="1"/>
  <c r="Q1418" i="1"/>
  <c r="P1418" i="1"/>
  <c r="O1418" i="1"/>
  <c r="M1418" i="1"/>
  <c r="L1418" i="1"/>
  <c r="K1418" i="1"/>
  <c r="I1418" i="1"/>
  <c r="F1418" i="1"/>
  <c r="BE1417" i="1"/>
  <c r="BD1417" i="1"/>
  <c r="BC1417" i="1"/>
  <c r="BA1417" i="1"/>
  <c r="AY1417" i="1"/>
  <c r="AW1417" i="1"/>
  <c r="AU1417" i="1"/>
  <c r="AS1417" i="1"/>
  <c r="AQ1417" i="1"/>
  <c r="AO1417" i="1"/>
  <c r="Z1417" i="1"/>
  <c r="Y1417" i="1"/>
  <c r="V1417" i="1"/>
  <c r="T1417" i="1"/>
  <c r="S1417" i="1"/>
  <c r="R1417" i="1"/>
  <c r="Q1417" i="1"/>
  <c r="P1417" i="1"/>
  <c r="O1417" i="1"/>
  <c r="M1417" i="1"/>
  <c r="L1417" i="1"/>
  <c r="K1417" i="1"/>
  <c r="F1417" i="1"/>
  <c r="BE1416" i="1"/>
  <c r="BD1416" i="1"/>
  <c r="BC1416" i="1"/>
  <c r="BA1416" i="1"/>
  <c r="AY1416" i="1"/>
  <c r="AW1416" i="1"/>
  <c r="AU1416" i="1"/>
  <c r="AS1416" i="1"/>
  <c r="AQ1416" i="1"/>
  <c r="AO1416" i="1"/>
  <c r="Z1416" i="1"/>
  <c r="Y1416" i="1"/>
  <c r="V1416" i="1"/>
  <c r="T1416" i="1"/>
  <c r="S1416" i="1"/>
  <c r="R1416" i="1"/>
  <c r="Q1416" i="1"/>
  <c r="P1416" i="1"/>
  <c r="O1416" i="1"/>
  <c r="M1416" i="1"/>
  <c r="L1416" i="1"/>
  <c r="K1416" i="1"/>
  <c r="F1416" i="1"/>
  <c r="BE1415" i="1"/>
  <c r="BD1415" i="1"/>
  <c r="BC1415" i="1"/>
  <c r="BA1415" i="1"/>
  <c r="AY1415" i="1"/>
  <c r="AW1415" i="1"/>
  <c r="AU1415" i="1"/>
  <c r="AS1415" i="1"/>
  <c r="AQ1415" i="1"/>
  <c r="AO1415" i="1"/>
  <c r="Z1415" i="1"/>
  <c r="Y1415" i="1"/>
  <c r="V1415" i="1"/>
  <c r="T1415" i="1"/>
  <c r="S1415" i="1"/>
  <c r="R1415" i="1"/>
  <c r="Q1415" i="1"/>
  <c r="P1415" i="1"/>
  <c r="O1415" i="1"/>
  <c r="M1415" i="1"/>
  <c r="L1415" i="1"/>
  <c r="K1415" i="1"/>
  <c r="F1415" i="1"/>
  <c r="BE1414" i="1"/>
  <c r="BD1414" i="1"/>
  <c r="BC1414" i="1"/>
  <c r="BA1414" i="1"/>
  <c r="AY1414" i="1"/>
  <c r="AW1414" i="1"/>
  <c r="AU1414" i="1"/>
  <c r="AS1414" i="1"/>
  <c r="AQ1414" i="1"/>
  <c r="AO1414" i="1"/>
  <c r="Z1414" i="1"/>
  <c r="Y1414" i="1"/>
  <c r="V1414" i="1"/>
  <c r="T1414" i="1"/>
  <c r="S1414" i="1"/>
  <c r="R1414" i="1"/>
  <c r="Q1414" i="1"/>
  <c r="P1414" i="1"/>
  <c r="O1414" i="1"/>
  <c r="M1414" i="1"/>
  <c r="L1414" i="1"/>
  <c r="K1414" i="1"/>
  <c r="F1414" i="1"/>
  <c r="D1414" i="1"/>
  <c r="D1415" i="1" s="1"/>
  <c r="D1416" i="1" s="1"/>
  <c r="D1417" i="1" s="1"/>
  <c r="D1418" i="1" s="1"/>
  <c r="C1414" i="1"/>
  <c r="BE1413" i="1"/>
  <c r="BD1413" i="1"/>
  <c r="BC1413" i="1"/>
  <c r="BA1413" i="1"/>
  <c r="AY1413" i="1"/>
  <c r="AW1413" i="1"/>
  <c r="AU1413" i="1"/>
  <c r="AS1413" i="1"/>
  <c r="AQ1413" i="1"/>
  <c r="AO1413" i="1"/>
  <c r="AJ1413" i="1"/>
  <c r="Z1413" i="1"/>
  <c r="Y1413" i="1"/>
  <c r="V1413" i="1"/>
  <c r="T1413" i="1"/>
  <c r="S1413" i="1"/>
  <c r="R1413" i="1"/>
  <c r="Q1413" i="1"/>
  <c r="P1413" i="1"/>
  <c r="O1413" i="1"/>
  <c r="M1413" i="1"/>
  <c r="L1413" i="1"/>
  <c r="K1413" i="1"/>
  <c r="H1413" i="1"/>
  <c r="F1413" i="1"/>
  <c r="BE1412" i="1"/>
  <c r="BE1411" i="1"/>
  <c r="BD1411" i="1"/>
  <c r="BC1411" i="1"/>
  <c r="BA1411" i="1"/>
  <c r="AY1411" i="1"/>
  <c r="AW1411" i="1"/>
  <c r="AU1411" i="1"/>
  <c r="AS1411" i="1"/>
  <c r="AQ1411" i="1"/>
  <c r="AO1411" i="1"/>
  <c r="Z1411" i="1"/>
  <c r="Y1411" i="1"/>
  <c r="V1411" i="1"/>
  <c r="T1411" i="1"/>
  <c r="S1411" i="1"/>
  <c r="R1411" i="1"/>
  <c r="Q1411" i="1"/>
  <c r="P1411" i="1"/>
  <c r="O1411" i="1"/>
  <c r="M1411" i="1"/>
  <c r="L1411" i="1"/>
  <c r="K1411" i="1"/>
  <c r="I1411" i="1"/>
  <c r="F1411" i="1"/>
  <c r="BE1410" i="1"/>
  <c r="BD1410" i="1"/>
  <c r="BC1410" i="1"/>
  <c r="BA1410" i="1"/>
  <c r="AY1410" i="1"/>
  <c r="AW1410" i="1"/>
  <c r="AU1410" i="1"/>
  <c r="AS1410" i="1"/>
  <c r="AQ1410" i="1"/>
  <c r="AO1410" i="1"/>
  <c r="Z1410" i="1"/>
  <c r="Y1410" i="1"/>
  <c r="V1410" i="1"/>
  <c r="T1410" i="1"/>
  <c r="S1410" i="1"/>
  <c r="R1410" i="1"/>
  <c r="Q1410" i="1"/>
  <c r="P1410" i="1"/>
  <c r="O1410" i="1"/>
  <c r="M1410" i="1"/>
  <c r="L1410" i="1"/>
  <c r="K1410" i="1"/>
  <c r="F1410" i="1"/>
  <c r="BE1409" i="1"/>
  <c r="BD1409" i="1"/>
  <c r="BC1409" i="1"/>
  <c r="BA1409" i="1"/>
  <c r="AY1409" i="1"/>
  <c r="AW1409" i="1"/>
  <c r="AU1409" i="1"/>
  <c r="AS1409" i="1"/>
  <c r="AQ1409" i="1"/>
  <c r="AO1409" i="1"/>
  <c r="Z1409" i="1"/>
  <c r="Y1409" i="1"/>
  <c r="V1409" i="1"/>
  <c r="T1409" i="1"/>
  <c r="S1409" i="1"/>
  <c r="R1409" i="1"/>
  <c r="Q1409" i="1"/>
  <c r="P1409" i="1"/>
  <c r="O1409" i="1"/>
  <c r="M1409" i="1"/>
  <c r="L1409" i="1"/>
  <c r="K1409" i="1"/>
  <c r="F1409" i="1"/>
  <c r="BE1408" i="1"/>
  <c r="BD1408" i="1"/>
  <c r="BC1408" i="1"/>
  <c r="BA1408" i="1"/>
  <c r="AY1408" i="1"/>
  <c r="AW1408" i="1"/>
  <c r="AU1408" i="1"/>
  <c r="AS1408" i="1"/>
  <c r="AQ1408" i="1"/>
  <c r="AO1408" i="1"/>
  <c r="Z1408" i="1"/>
  <c r="Y1408" i="1"/>
  <c r="V1408" i="1"/>
  <c r="T1408" i="1"/>
  <c r="S1408" i="1"/>
  <c r="R1408" i="1"/>
  <c r="Q1408" i="1"/>
  <c r="P1408" i="1"/>
  <c r="O1408" i="1"/>
  <c r="M1408" i="1"/>
  <c r="L1408" i="1"/>
  <c r="K1408" i="1"/>
  <c r="F1408" i="1"/>
  <c r="BE1407" i="1"/>
  <c r="BD1407" i="1"/>
  <c r="BC1407" i="1"/>
  <c r="BA1407" i="1"/>
  <c r="AY1407" i="1"/>
  <c r="AW1407" i="1"/>
  <c r="AU1407" i="1"/>
  <c r="AS1407" i="1"/>
  <c r="AQ1407" i="1"/>
  <c r="AO1407" i="1"/>
  <c r="Z1407" i="1"/>
  <c r="Y1407" i="1"/>
  <c r="V1407" i="1"/>
  <c r="T1407" i="1"/>
  <c r="S1407" i="1"/>
  <c r="R1407" i="1"/>
  <c r="Q1407" i="1"/>
  <c r="P1407" i="1"/>
  <c r="O1407" i="1"/>
  <c r="M1407" i="1"/>
  <c r="L1407" i="1"/>
  <c r="K1407" i="1"/>
  <c r="F1407" i="1"/>
  <c r="D1407" i="1"/>
  <c r="D1408" i="1" s="1"/>
  <c r="D1409" i="1" s="1"/>
  <c r="D1410" i="1" s="1"/>
  <c r="D1411" i="1" s="1"/>
  <c r="C1407" i="1"/>
  <c r="C1408" i="1" s="1"/>
  <c r="BE1406" i="1"/>
  <c r="BD1406" i="1"/>
  <c r="BC1406" i="1"/>
  <c r="BA1406" i="1"/>
  <c r="AY1406" i="1"/>
  <c r="AW1406" i="1"/>
  <c r="AU1406" i="1"/>
  <c r="AS1406" i="1"/>
  <c r="AQ1406" i="1"/>
  <c r="AO1406" i="1"/>
  <c r="AJ1406" i="1"/>
  <c r="Z1406" i="1"/>
  <c r="Y1406" i="1"/>
  <c r="V1406" i="1"/>
  <c r="T1406" i="1"/>
  <c r="S1406" i="1"/>
  <c r="R1406" i="1"/>
  <c r="Q1406" i="1"/>
  <c r="P1406" i="1"/>
  <c r="O1406" i="1"/>
  <c r="M1406" i="1"/>
  <c r="L1406" i="1"/>
  <c r="K1406" i="1"/>
  <c r="H1406" i="1"/>
  <c r="F1406" i="1"/>
  <c r="BE1403" i="1"/>
  <c r="Z1403" i="1"/>
  <c r="BE1402" i="1"/>
  <c r="Z1402" i="1"/>
  <c r="BE1401" i="1"/>
  <c r="Z1401" i="1"/>
  <c r="BE1400" i="1"/>
  <c r="Z1400" i="1"/>
  <c r="BE1399" i="1"/>
  <c r="Z1399" i="1"/>
  <c r="BE1398" i="1"/>
  <c r="Z1398" i="1"/>
  <c r="BE1397" i="1"/>
  <c r="Z1397" i="1"/>
  <c r="BE1396" i="1"/>
  <c r="Z1396" i="1"/>
  <c r="BE1395" i="1"/>
  <c r="Z1395" i="1"/>
  <c r="BE1394" i="1"/>
  <c r="Z1394" i="1"/>
  <c r="BE1393" i="1"/>
  <c r="AA1393" i="1"/>
  <c r="AA1394" i="1" s="1"/>
  <c r="AA1395" i="1" s="1"/>
  <c r="AA1396" i="1" s="1"/>
  <c r="AA1397" i="1" s="1"/>
  <c r="AA1398" i="1" s="1"/>
  <c r="AA1399" i="1" s="1"/>
  <c r="AA1400" i="1" s="1"/>
  <c r="AA1401" i="1" s="1"/>
  <c r="AA1402" i="1" s="1"/>
  <c r="AA1403" i="1" s="1"/>
  <c r="Z1393" i="1"/>
  <c r="BE1392" i="1"/>
  <c r="Z1392" i="1"/>
  <c r="BE1388" i="1"/>
  <c r="BD1388" i="1"/>
  <c r="AZ1388" i="1"/>
  <c r="AX1388" i="1"/>
  <c r="BE1387" i="1"/>
  <c r="BD1387" i="1"/>
  <c r="BC1387" i="1"/>
  <c r="BA1387" i="1"/>
  <c r="AY1387" i="1"/>
  <c r="AW1387" i="1"/>
  <c r="AU1387" i="1"/>
  <c r="AS1387" i="1"/>
  <c r="AQ1387" i="1"/>
  <c r="AO1387" i="1"/>
  <c r="Z1387" i="1"/>
  <c r="Y1387" i="1"/>
  <c r="V1387" i="1"/>
  <c r="T1387" i="1"/>
  <c r="S1387" i="1"/>
  <c r="R1387" i="1"/>
  <c r="Q1387" i="1"/>
  <c r="P1387" i="1"/>
  <c r="O1387" i="1"/>
  <c r="M1387" i="1"/>
  <c r="L1387" i="1"/>
  <c r="K1387" i="1"/>
  <c r="I1387" i="1"/>
  <c r="F1387" i="1"/>
  <c r="BE1386" i="1"/>
  <c r="BD1386" i="1"/>
  <c r="BC1386" i="1"/>
  <c r="BA1386" i="1"/>
  <c r="AY1386" i="1"/>
  <c r="AW1386" i="1"/>
  <c r="AU1386" i="1"/>
  <c r="AS1386" i="1"/>
  <c r="AQ1386" i="1"/>
  <c r="AO1386" i="1"/>
  <c r="Z1386" i="1"/>
  <c r="Y1386" i="1"/>
  <c r="V1386" i="1"/>
  <c r="T1386" i="1"/>
  <c r="S1386" i="1"/>
  <c r="R1386" i="1"/>
  <c r="Q1386" i="1"/>
  <c r="P1386" i="1"/>
  <c r="O1386" i="1"/>
  <c r="M1386" i="1"/>
  <c r="L1386" i="1"/>
  <c r="K1386" i="1"/>
  <c r="F1386" i="1"/>
  <c r="BE1385" i="1"/>
  <c r="BD1385" i="1"/>
  <c r="BC1385" i="1"/>
  <c r="BA1385" i="1"/>
  <c r="AY1385" i="1"/>
  <c r="AW1385" i="1"/>
  <c r="AU1385" i="1"/>
  <c r="AS1385" i="1"/>
  <c r="AQ1385" i="1"/>
  <c r="AO1385" i="1"/>
  <c r="Z1385" i="1"/>
  <c r="Y1385" i="1"/>
  <c r="V1385" i="1"/>
  <c r="T1385" i="1"/>
  <c r="S1385" i="1"/>
  <c r="R1385" i="1"/>
  <c r="Q1385" i="1"/>
  <c r="P1385" i="1"/>
  <c r="O1385" i="1"/>
  <c r="M1385" i="1"/>
  <c r="L1385" i="1"/>
  <c r="K1385" i="1"/>
  <c r="F1385" i="1"/>
  <c r="BE1384" i="1"/>
  <c r="BD1384" i="1"/>
  <c r="BC1384" i="1"/>
  <c r="BA1384" i="1"/>
  <c r="AY1384" i="1"/>
  <c r="AW1384" i="1"/>
  <c r="AU1384" i="1"/>
  <c r="AS1384" i="1"/>
  <c r="AQ1384" i="1"/>
  <c r="AO1384" i="1"/>
  <c r="Z1384" i="1"/>
  <c r="Y1384" i="1"/>
  <c r="V1384" i="1"/>
  <c r="T1384" i="1"/>
  <c r="S1384" i="1"/>
  <c r="R1384" i="1"/>
  <c r="Q1384" i="1"/>
  <c r="P1384" i="1"/>
  <c r="O1384" i="1"/>
  <c r="M1384" i="1"/>
  <c r="L1384" i="1"/>
  <c r="K1384" i="1"/>
  <c r="F1384" i="1"/>
  <c r="BE1383" i="1"/>
  <c r="BD1383" i="1"/>
  <c r="BC1383" i="1"/>
  <c r="BA1383" i="1"/>
  <c r="AY1383" i="1"/>
  <c r="AW1383" i="1"/>
  <c r="AU1383" i="1"/>
  <c r="AS1383" i="1"/>
  <c r="AQ1383" i="1"/>
  <c r="AO1383" i="1"/>
  <c r="Z1383" i="1"/>
  <c r="Y1383" i="1"/>
  <c r="V1383" i="1"/>
  <c r="T1383" i="1"/>
  <c r="S1383" i="1"/>
  <c r="R1383" i="1"/>
  <c r="Q1383" i="1"/>
  <c r="P1383" i="1"/>
  <c r="O1383" i="1"/>
  <c r="M1383" i="1"/>
  <c r="L1383" i="1"/>
  <c r="K1383" i="1"/>
  <c r="F1383" i="1"/>
  <c r="D1383" i="1"/>
  <c r="D1384" i="1" s="1"/>
  <c r="D1385" i="1" s="1"/>
  <c r="D1386" i="1" s="1"/>
  <c r="D1387" i="1" s="1"/>
  <c r="C1383" i="1"/>
  <c r="BE1382" i="1"/>
  <c r="BD1382" i="1"/>
  <c r="BC1382" i="1"/>
  <c r="BA1382" i="1"/>
  <c r="AY1382" i="1"/>
  <c r="AW1382" i="1"/>
  <c r="AU1382" i="1"/>
  <c r="AS1382" i="1"/>
  <c r="AQ1382" i="1"/>
  <c r="AO1382" i="1"/>
  <c r="AJ1382" i="1"/>
  <c r="Z1382" i="1"/>
  <c r="Y1382" i="1"/>
  <c r="V1382" i="1"/>
  <c r="T1382" i="1"/>
  <c r="S1382" i="1"/>
  <c r="R1382" i="1"/>
  <c r="Q1382" i="1"/>
  <c r="P1382" i="1"/>
  <c r="O1382" i="1"/>
  <c r="M1382" i="1"/>
  <c r="L1382" i="1"/>
  <c r="K1382" i="1"/>
  <c r="H1382" i="1"/>
  <c r="F1382" i="1"/>
  <c r="BE1381" i="1"/>
  <c r="BE1380" i="1"/>
  <c r="BD1380" i="1"/>
  <c r="BC1380" i="1"/>
  <c r="BA1380" i="1"/>
  <c r="AY1380" i="1"/>
  <c r="AW1380" i="1"/>
  <c r="AU1380" i="1"/>
  <c r="AS1380" i="1"/>
  <c r="AQ1380" i="1"/>
  <c r="AO1380" i="1"/>
  <c r="Z1380" i="1"/>
  <c r="Y1380" i="1"/>
  <c r="V1380" i="1"/>
  <c r="T1380" i="1"/>
  <c r="S1380" i="1"/>
  <c r="R1380" i="1"/>
  <c r="Q1380" i="1"/>
  <c r="P1380" i="1"/>
  <c r="O1380" i="1"/>
  <c r="M1380" i="1"/>
  <c r="L1380" i="1"/>
  <c r="K1380" i="1"/>
  <c r="I1380" i="1"/>
  <c r="F1380" i="1"/>
  <c r="BE1379" i="1"/>
  <c r="BD1379" i="1"/>
  <c r="BC1379" i="1"/>
  <c r="BA1379" i="1"/>
  <c r="AY1379" i="1"/>
  <c r="AW1379" i="1"/>
  <c r="AU1379" i="1"/>
  <c r="AS1379" i="1"/>
  <c r="AQ1379" i="1"/>
  <c r="AO1379" i="1"/>
  <c r="Z1379" i="1"/>
  <c r="Y1379" i="1"/>
  <c r="V1379" i="1"/>
  <c r="T1379" i="1"/>
  <c r="S1379" i="1"/>
  <c r="R1379" i="1"/>
  <c r="Q1379" i="1"/>
  <c r="P1379" i="1"/>
  <c r="O1379" i="1"/>
  <c r="M1379" i="1"/>
  <c r="L1379" i="1"/>
  <c r="K1379" i="1"/>
  <c r="F1379" i="1"/>
  <c r="BE1378" i="1"/>
  <c r="BD1378" i="1"/>
  <c r="BC1378" i="1"/>
  <c r="BA1378" i="1"/>
  <c r="AY1378" i="1"/>
  <c r="AW1378" i="1"/>
  <c r="AU1378" i="1"/>
  <c r="AS1378" i="1"/>
  <c r="AQ1378" i="1"/>
  <c r="AO1378" i="1"/>
  <c r="Z1378" i="1"/>
  <c r="Y1378" i="1"/>
  <c r="V1378" i="1"/>
  <c r="T1378" i="1"/>
  <c r="S1378" i="1"/>
  <c r="R1378" i="1"/>
  <c r="Q1378" i="1"/>
  <c r="P1378" i="1"/>
  <c r="O1378" i="1"/>
  <c r="M1378" i="1"/>
  <c r="L1378" i="1"/>
  <c r="K1378" i="1"/>
  <c r="F1378" i="1"/>
  <c r="BE1377" i="1"/>
  <c r="BD1377" i="1"/>
  <c r="BC1377" i="1"/>
  <c r="BA1377" i="1"/>
  <c r="AY1377" i="1"/>
  <c r="AW1377" i="1"/>
  <c r="AU1377" i="1"/>
  <c r="AS1377" i="1"/>
  <c r="AQ1377" i="1"/>
  <c r="AO1377" i="1"/>
  <c r="Z1377" i="1"/>
  <c r="Y1377" i="1"/>
  <c r="V1377" i="1"/>
  <c r="T1377" i="1"/>
  <c r="S1377" i="1"/>
  <c r="R1377" i="1"/>
  <c r="Q1377" i="1"/>
  <c r="P1377" i="1"/>
  <c r="O1377" i="1"/>
  <c r="M1377" i="1"/>
  <c r="L1377" i="1"/>
  <c r="K1377" i="1"/>
  <c r="F1377" i="1"/>
  <c r="BE1376" i="1"/>
  <c r="BD1376" i="1"/>
  <c r="BC1376" i="1"/>
  <c r="BA1376" i="1"/>
  <c r="AY1376" i="1"/>
  <c r="AW1376" i="1"/>
  <c r="AU1376" i="1"/>
  <c r="AS1376" i="1"/>
  <c r="AQ1376" i="1"/>
  <c r="AO1376" i="1"/>
  <c r="Z1376" i="1"/>
  <c r="Y1376" i="1"/>
  <c r="V1376" i="1"/>
  <c r="T1376" i="1"/>
  <c r="S1376" i="1"/>
  <c r="R1376" i="1"/>
  <c r="Q1376" i="1"/>
  <c r="P1376" i="1"/>
  <c r="O1376" i="1"/>
  <c r="M1376" i="1"/>
  <c r="L1376" i="1"/>
  <c r="K1376" i="1"/>
  <c r="F1376" i="1"/>
  <c r="D1376" i="1"/>
  <c r="D1377" i="1" s="1"/>
  <c r="D1378" i="1" s="1"/>
  <c r="D1379" i="1" s="1"/>
  <c r="D1380" i="1" s="1"/>
  <c r="C1376" i="1"/>
  <c r="BE1375" i="1"/>
  <c r="BD1375" i="1"/>
  <c r="BC1375" i="1"/>
  <c r="BA1375" i="1"/>
  <c r="AY1375" i="1"/>
  <c r="AW1375" i="1"/>
  <c r="AU1375" i="1"/>
  <c r="AS1375" i="1"/>
  <c r="AQ1375" i="1"/>
  <c r="AO1375" i="1"/>
  <c r="AJ1375" i="1"/>
  <c r="Z1375" i="1"/>
  <c r="Y1375" i="1"/>
  <c r="V1375" i="1"/>
  <c r="T1375" i="1"/>
  <c r="S1375" i="1"/>
  <c r="R1375" i="1"/>
  <c r="Q1375" i="1"/>
  <c r="P1375" i="1"/>
  <c r="O1375" i="1"/>
  <c r="M1375" i="1"/>
  <c r="L1375" i="1"/>
  <c r="K1375" i="1"/>
  <c r="H1375" i="1"/>
  <c r="F1375" i="1"/>
  <c r="BE1372" i="1"/>
  <c r="Z1372" i="1"/>
  <c r="BE1371" i="1"/>
  <c r="Z1371" i="1"/>
  <c r="BE1370" i="1"/>
  <c r="Z1370" i="1"/>
  <c r="BE1369" i="1"/>
  <c r="Z1369" i="1"/>
  <c r="BE1368" i="1"/>
  <c r="Z1368" i="1"/>
  <c r="BE1367" i="1"/>
  <c r="Z1367" i="1"/>
  <c r="BE1366" i="1"/>
  <c r="Z1366" i="1"/>
  <c r="BE1365" i="1"/>
  <c r="Z1365" i="1"/>
  <c r="BE1364" i="1"/>
  <c r="AA1364" i="1"/>
  <c r="AA1365" i="1" s="1"/>
  <c r="AA1366" i="1" s="1"/>
  <c r="AA1367" i="1" s="1"/>
  <c r="AA1368" i="1" s="1"/>
  <c r="AA1369" i="1" s="1"/>
  <c r="AA1370" i="1" s="1"/>
  <c r="AA1371" i="1" s="1"/>
  <c r="AA1372" i="1" s="1"/>
  <c r="Z1364" i="1"/>
  <c r="BE1363" i="1"/>
  <c r="Z1363" i="1"/>
  <c r="BE1362" i="1"/>
  <c r="AA1362" i="1"/>
  <c r="AA1363" i="1" s="1"/>
  <c r="Z1362" i="1"/>
  <c r="BE1361" i="1"/>
  <c r="Z1361" i="1"/>
  <c r="BE1357" i="1"/>
  <c r="BD1357" i="1"/>
  <c r="AZ1357" i="1"/>
  <c r="AX1357" i="1"/>
  <c r="BE1356" i="1"/>
  <c r="BD1356" i="1"/>
  <c r="BC1356" i="1"/>
  <c r="BA1356" i="1"/>
  <c r="AY1356" i="1"/>
  <c r="AW1356" i="1"/>
  <c r="AU1356" i="1"/>
  <c r="AS1356" i="1"/>
  <c r="AQ1356" i="1"/>
  <c r="AO1356" i="1"/>
  <c r="Z1356" i="1"/>
  <c r="Y1356" i="1"/>
  <c r="V1356" i="1"/>
  <c r="T1356" i="1"/>
  <c r="S1356" i="1"/>
  <c r="R1356" i="1"/>
  <c r="Q1356" i="1"/>
  <c r="P1356" i="1"/>
  <c r="O1356" i="1"/>
  <c r="M1356" i="1"/>
  <c r="L1356" i="1"/>
  <c r="K1356" i="1"/>
  <c r="I1356" i="1"/>
  <c r="F1356" i="1"/>
  <c r="BE1355" i="1"/>
  <c r="BD1355" i="1"/>
  <c r="BC1355" i="1"/>
  <c r="BA1355" i="1"/>
  <c r="AY1355" i="1"/>
  <c r="AW1355" i="1"/>
  <c r="AU1355" i="1"/>
  <c r="AS1355" i="1"/>
  <c r="AQ1355" i="1"/>
  <c r="AO1355" i="1"/>
  <c r="Z1355" i="1"/>
  <c r="Y1355" i="1"/>
  <c r="V1355" i="1"/>
  <c r="T1355" i="1"/>
  <c r="S1355" i="1"/>
  <c r="R1355" i="1"/>
  <c r="Q1355" i="1"/>
  <c r="P1355" i="1"/>
  <c r="O1355" i="1"/>
  <c r="M1355" i="1"/>
  <c r="L1355" i="1"/>
  <c r="K1355" i="1"/>
  <c r="F1355" i="1"/>
  <c r="BE1354" i="1"/>
  <c r="BD1354" i="1"/>
  <c r="BC1354" i="1"/>
  <c r="BA1354" i="1"/>
  <c r="AY1354" i="1"/>
  <c r="AW1354" i="1"/>
  <c r="AU1354" i="1"/>
  <c r="AS1354" i="1"/>
  <c r="AQ1354" i="1"/>
  <c r="AO1354" i="1"/>
  <c r="Z1354" i="1"/>
  <c r="Y1354" i="1"/>
  <c r="V1354" i="1"/>
  <c r="T1354" i="1"/>
  <c r="S1354" i="1"/>
  <c r="R1354" i="1"/>
  <c r="Q1354" i="1"/>
  <c r="P1354" i="1"/>
  <c r="O1354" i="1"/>
  <c r="M1354" i="1"/>
  <c r="L1354" i="1"/>
  <c r="K1354" i="1"/>
  <c r="F1354" i="1"/>
  <c r="BE1353" i="1"/>
  <c r="BD1353" i="1"/>
  <c r="BC1353" i="1"/>
  <c r="BA1353" i="1"/>
  <c r="AY1353" i="1"/>
  <c r="AW1353" i="1"/>
  <c r="AU1353" i="1"/>
  <c r="AS1353" i="1"/>
  <c r="AQ1353" i="1"/>
  <c r="AO1353" i="1"/>
  <c r="Z1353" i="1"/>
  <c r="Y1353" i="1"/>
  <c r="V1353" i="1"/>
  <c r="T1353" i="1"/>
  <c r="S1353" i="1"/>
  <c r="R1353" i="1"/>
  <c r="Q1353" i="1"/>
  <c r="P1353" i="1"/>
  <c r="O1353" i="1"/>
  <c r="M1353" i="1"/>
  <c r="L1353" i="1"/>
  <c r="K1353" i="1"/>
  <c r="F1353" i="1"/>
  <c r="BE1352" i="1"/>
  <c r="BD1352" i="1"/>
  <c r="BC1352" i="1"/>
  <c r="BA1352" i="1"/>
  <c r="AY1352" i="1"/>
  <c r="AW1352" i="1"/>
  <c r="AU1352" i="1"/>
  <c r="AS1352" i="1"/>
  <c r="AQ1352" i="1"/>
  <c r="AO1352" i="1"/>
  <c r="Z1352" i="1"/>
  <c r="Y1352" i="1"/>
  <c r="V1352" i="1"/>
  <c r="T1352" i="1"/>
  <c r="S1352" i="1"/>
  <c r="R1352" i="1"/>
  <c r="Q1352" i="1"/>
  <c r="P1352" i="1"/>
  <c r="O1352" i="1"/>
  <c r="M1352" i="1"/>
  <c r="L1352" i="1"/>
  <c r="K1352" i="1"/>
  <c r="F1352" i="1"/>
  <c r="D1352" i="1"/>
  <c r="D1353" i="1" s="1"/>
  <c r="D1354" i="1" s="1"/>
  <c r="D1355" i="1" s="1"/>
  <c r="D1356" i="1" s="1"/>
  <c r="C1352" i="1"/>
  <c r="H1352" i="1" s="1"/>
  <c r="BE1351" i="1"/>
  <c r="BD1351" i="1"/>
  <c r="BC1351" i="1"/>
  <c r="BA1351" i="1"/>
  <c r="AY1351" i="1"/>
  <c r="AW1351" i="1"/>
  <c r="AU1351" i="1"/>
  <c r="AS1351" i="1"/>
  <c r="AQ1351" i="1"/>
  <c r="AO1351" i="1"/>
  <c r="AJ1351" i="1"/>
  <c r="Z1351" i="1"/>
  <c r="Y1351" i="1"/>
  <c r="V1351" i="1"/>
  <c r="T1351" i="1"/>
  <c r="S1351" i="1"/>
  <c r="R1351" i="1"/>
  <c r="Q1351" i="1"/>
  <c r="P1351" i="1"/>
  <c r="O1351" i="1"/>
  <c r="M1351" i="1"/>
  <c r="L1351" i="1"/>
  <c r="K1351" i="1"/>
  <c r="H1351" i="1"/>
  <c r="F1351" i="1"/>
  <c r="BE1350" i="1"/>
  <c r="BE1349" i="1"/>
  <c r="BD1349" i="1"/>
  <c r="BC1349" i="1"/>
  <c r="BA1349" i="1"/>
  <c r="AY1349" i="1"/>
  <c r="AW1349" i="1"/>
  <c r="AU1349" i="1"/>
  <c r="AS1349" i="1"/>
  <c r="AQ1349" i="1"/>
  <c r="AO1349" i="1"/>
  <c r="Z1349" i="1"/>
  <c r="Y1349" i="1"/>
  <c r="V1349" i="1"/>
  <c r="T1349" i="1"/>
  <c r="S1349" i="1"/>
  <c r="R1349" i="1"/>
  <c r="Q1349" i="1"/>
  <c r="P1349" i="1"/>
  <c r="O1349" i="1"/>
  <c r="M1349" i="1"/>
  <c r="L1349" i="1"/>
  <c r="K1349" i="1"/>
  <c r="I1349" i="1"/>
  <c r="F1349" i="1"/>
  <c r="BE1348" i="1"/>
  <c r="BD1348" i="1"/>
  <c r="BC1348" i="1"/>
  <c r="BA1348" i="1"/>
  <c r="AY1348" i="1"/>
  <c r="AW1348" i="1"/>
  <c r="AU1348" i="1"/>
  <c r="AS1348" i="1"/>
  <c r="AQ1348" i="1"/>
  <c r="AO1348" i="1"/>
  <c r="Z1348" i="1"/>
  <c r="Y1348" i="1"/>
  <c r="V1348" i="1"/>
  <c r="T1348" i="1"/>
  <c r="S1348" i="1"/>
  <c r="R1348" i="1"/>
  <c r="Q1348" i="1"/>
  <c r="P1348" i="1"/>
  <c r="O1348" i="1"/>
  <c r="M1348" i="1"/>
  <c r="L1348" i="1"/>
  <c r="K1348" i="1"/>
  <c r="F1348" i="1"/>
  <c r="BE1347" i="1"/>
  <c r="BD1347" i="1"/>
  <c r="BC1347" i="1"/>
  <c r="BA1347" i="1"/>
  <c r="AY1347" i="1"/>
  <c r="AW1347" i="1"/>
  <c r="AU1347" i="1"/>
  <c r="AS1347" i="1"/>
  <c r="AQ1347" i="1"/>
  <c r="AO1347" i="1"/>
  <c r="Z1347" i="1"/>
  <c r="Y1347" i="1"/>
  <c r="V1347" i="1"/>
  <c r="T1347" i="1"/>
  <c r="S1347" i="1"/>
  <c r="R1347" i="1"/>
  <c r="Q1347" i="1"/>
  <c r="P1347" i="1"/>
  <c r="O1347" i="1"/>
  <c r="M1347" i="1"/>
  <c r="L1347" i="1"/>
  <c r="K1347" i="1"/>
  <c r="F1347" i="1"/>
  <c r="BE1346" i="1"/>
  <c r="BD1346" i="1"/>
  <c r="BC1346" i="1"/>
  <c r="BA1346" i="1"/>
  <c r="AY1346" i="1"/>
  <c r="AW1346" i="1"/>
  <c r="AU1346" i="1"/>
  <c r="AS1346" i="1"/>
  <c r="AQ1346" i="1"/>
  <c r="AO1346" i="1"/>
  <c r="Z1346" i="1"/>
  <c r="Y1346" i="1"/>
  <c r="V1346" i="1"/>
  <c r="T1346" i="1"/>
  <c r="S1346" i="1"/>
  <c r="R1346" i="1"/>
  <c r="Q1346" i="1"/>
  <c r="P1346" i="1"/>
  <c r="O1346" i="1"/>
  <c r="M1346" i="1"/>
  <c r="L1346" i="1"/>
  <c r="K1346" i="1"/>
  <c r="F1346" i="1"/>
  <c r="BE1345" i="1"/>
  <c r="BD1345" i="1"/>
  <c r="BC1345" i="1"/>
  <c r="BA1345" i="1"/>
  <c r="AY1345" i="1"/>
  <c r="AW1345" i="1"/>
  <c r="AU1345" i="1"/>
  <c r="AS1345" i="1"/>
  <c r="AQ1345" i="1"/>
  <c r="AO1345" i="1"/>
  <c r="Z1345" i="1"/>
  <c r="Y1345" i="1"/>
  <c r="V1345" i="1"/>
  <c r="T1345" i="1"/>
  <c r="S1345" i="1"/>
  <c r="R1345" i="1"/>
  <c r="Q1345" i="1"/>
  <c r="P1345" i="1"/>
  <c r="O1345" i="1"/>
  <c r="M1345" i="1"/>
  <c r="L1345" i="1"/>
  <c r="K1345" i="1"/>
  <c r="F1345" i="1"/>
  <c r="D1345" i="1"/>
  <c r="D1346" i="1" s="1"/>
  <c r="D1347" i="1" s="1"/>
  <c r="D1348" i="1" s="1"/>
  <c r="D1349" i="1" s="1"/>
  <c r="C1345" i="1"/>
  <c r="BE1344" i="1"/>
  <c r="BD1344" i="1"/>
  <c r="BC1344" i="1"/>
  <c r="BA1344" i="1"/>
  <c r="AY1344" i="1"/>
  <c r="AW1344" i="1"/>
  <c r="AU1344" i="1"/>
  <c r="AS1344" i="1"/>
  <c r="AQ1344" i="1"/>
  <c r="AO1344" i="1"/>
  <c r="AJ1344" i="1"/>
  <c r="Z1344" i="1"/>
  <c r="Y1344" i="1"/>
  <c r="V1344" i="1"/>
  <c r="T1344" i="1"/>
  <c r="S1344" i="1"/>
  <c r="R1344" i="1"/>
  <c r="Q1344" i="1"/>
  <c r="P1344" i="1"/>
  <c r="O1344" i="1"/>
  <c r="M1344" i="1"/>
  <c r="L1344" i="1"/>
  <c r="K1344" i="1"/>
  <c r="H1344" i="1"/>
  <c r="F1344" i="1"/>
  <c r="BE1341" i="1"/>
  <c r="Z1341" i="1"/>
  <c r="BE1340" i="1"/>
  <c r="Z1340" i="1"/>
  <c r="BE1339" i="1"/>
  <c r="Z1339" i="1"/>
  <c r="BE1338" i="1"/>
  <c r="Z1338" i="1"/>
  <c r="BE1337" i="1"/>
  <c r="Z1337" i="1"/>
  <c r="BE1336" i="1"/>
  <c r="Z1336" i="1"/>
  <c r="BE1335" i="1"/>
  <c r="Z1335" i="1"/>
  <c r="BE1334" i="1"/>
  <c r="Z1334" i="1"/>
  <c r="BE1333" i="1"/>
  <c r="Z1333" i="1"/>
  <c r="BE1332" i="1"/>
  <c r="Z1332" i="1"/>
  <c r="BE1331" i="1"/>
  <c r="AA1331" i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Z1331" i="1"/>
  <c r="BE1330" i="1"/>
  <c r="Z1330" i="1"/>
  <c r="BE1326" i="1"/>
  <c r="BD1326" i="1"/>
  <c r="AZ1326" i="1"/>
  <c r="AX1326" i="1"/>
  <c r="BE1325" i="1"/>
  <c r="BD1325" i="1"/>
  <c r="BC1325" i="1"/>
  <c r="BA1325" i="1"/>
  <c r="AY1325" i="1"/>
  <c r="AW1325" i="1"/>
  <c r="AU1325" i="1"/>
  <c r="AS1325" i="1"/>
  <c r="AQ1325" i="1"/>
  <c r="AO1325" i="1"/>
  <c r="Z1325" i="1"/>
  <c r="Y1325" i="1"/>
  <c r="V1325" i="1"/>
  <c r="T1325" i="1"/>
  <c r="S1325" i="1"/>
  <c r="R1325" i="1"/>
  <c r="Q1325" i="1"/>
  <c r="P1325" i="1"/>
  <c r="O1325" i="1"/>
  <c r="M1325" i="1"/>
  <c r="L1325" i="1"/>
  <c r="K1325" i="1"/>
  <c r="I1325" i="1"/>
  <c r="F1325" i="1"/>
  <c r="BE1324" i="1"/>
  <c r="BD1324" i="1"/>
  <c r="BC1324" i="1"/>
  <c r="BA1324" i="1"/>
  <c r="AY1324" i="1"/>
  <c r="AW1324" i="1"/>
  <c r="AU1324" i="1"/>
  <c r="AS1324" i="1"/>
  <c r="AQ1324" i="1"/>
  <c r="AO1324" i="1"/>
  <c r="Z1324" i="1"/>
  <c r="Y1324" i="1"/>
  <c r="V1324" i="1"/>
  <c r="T1324" i="1"/>
  <c r="S1324" i="1"/>
  <c r="R1324" i="1"/>
  <c r="Q1324" i="1"/>
  <c r="P1324" i="1"/>
  <c r="O1324" i="1"/>
  <c r="M1324" i="1"/>
  <c r="L1324" i="1"/>
  <c r="K1324" i="1"/>
  <c r="F1324" i="1"/>
  <c r="BE1323" i="1"/>
  <c r="BD1323" i="1"/>
  <c r="BC1323" i="1"/>
  <c r="BA1323" i="1"/>
  <c r="AY1323" i="1"/>
  <c r="AW1323" i="1"/>
  <c r="AU1323" i="1"/>
  <c r="AS1323" i="1"/>
  <c r="AQ1323" i="1"/>
  <c r="AO1323" i="1"/>
  <c r="Z1323" i="1"/>
  <c r="Y1323" i="1"/>
  <c r="V1323" i="1"/>
  <c r="T1323" i="1"/>
  <c r="S1323" i="1"/>
  <c r="R1323" i="1"/>
  <c r="Q1323" i="1"/>
  <c r="P1323" i="1"/>
  <c r="O1323" i="1"/>
  <c r="M1323" i="1"/>
  <c r="L1323" i="1"/>
  <c r="K1323" i="1"/>
  <c r="F1323" i="1"/>
  <c r="BE1322" i="1"/>
  <c r="BD1322" i="1"/>
  <c r="BC1322" i="1"/>
  <c r="BA1322" i="1"/>
  <c r="AY1322" i="1"/>
  <c r="AW1322" i="1"/>
  <c r="AU1322" i="1"/>
  <c r="AS1322" i="1"/>
  <c r="AQ1322" i="1"/>
  <c r="AO1322" i="1"/>
  <c r="Z1322" i="1"/>
  <c r="Y1322" i="1"/>
  <c r="V1322" i="1"/>
  <c r="T1322" i="1"/>
  <c r="S1322" i="1"/>
  <c r="R1322" i="1"/>
  <c r="Q1322" i="1"/>
  <c r="P1322" i="1"/>
  <c r="O1322" i="1"/>
  <c r="M1322" i="1"/>
  <c r="L1322" i="1"/>
  <c r="K1322" i="1"/>
  <c r="F1322" i="1"/>
  <c r="BE1321" i="1"/>
  <c r="BD1321" i="1"/>
  <c r="BC1321" i="1"/>
  <c r="BA1321" i="1"/>
  <c r="AY1321" i="1"/>
  <c r="AW1321" i="1"/>
  <c r="AU1321" i="1"/>
  <c r="AS1321" i="1"/>
  <c r="AQ1321" i="1"/>
  <c r="AO1321" i="1"/>
  <c r="Z1321" i="1"/>
  <c r="Y1321" i="1"/>
  <c r="V1321" i="1"/>
  <c r="T1321" i="1"/>
  <c r="S1321" i="1"/>
  <c r="R1321" i="1"/>
  <c r="Q1321" i="1"/>
  <c r="P1321" i="1"/>
  <c r="O1321" i="1"/>
  <c r="M1321" i="1"/>
  <c r="L1321" i="1"/>
  <c r="K1321" i="1"/>
  <c r="F1321" i="1"/>
  <c r="D1321" i="1"/>
  <c r="D1322" i="1" s="1"/>
  <c r="D1323" i="1" s="1"/>
  <c r="D1324" i="1" s="1"/>
  <c r="D1325" i="1" s="1"/>
  <c r="C1321" i="1"/>
  <c r="C1322" i="1" s="1"/>
  <c r="BE1320" i="1"/>
  <c r="BD1320" i="1"/>
  <c r="BC1320" i="1"/>
  <c r="BA1320" i="1"/>
  <c r="AY1320" i="1"/>
  <c r="AW1320" i="1"/>
  <c r="AU1320" i="1"/>
  <c r="AS1320" i="1"/>
  <c r="AQ1320" i="1"/>
  <c r="AO1320" i="1"/>
  <c r="AJ1320" i="1"/>
  <c r="Z1320" i="1"/>
  <c r="Y1320" i="1"/>
  <c r="V1320" i="1"/>
  <c r="T1320" i="1"/>
  <c r="S1320" i="1"/>
  <c r="R1320" i="1"/>
  <c r="Q1320" i="1"/>
  <c r="P1320" i="1"/>
  <c r="O1320" i="1"/>
  <c r="M1320" i="1"/>
  <c r="L1320" i="1"/>
  <c r="K1320" i="1"/>
  <c r="H1320" i="1"/>
  <c r="F1320" i="1"/>
  <c r="BE1319" i="1"/>
  <c r="BE1318" i="1"/>
  <c r="BD1318" i="1"/>
  <c r="BC1318" i="1"/>
  <c r="BA1318" i="1"/>
  <c r="AY1318" i="1"/>
  <c r="AW1318" i="1"/>
  <c r="AU1318" i="1"/>
  <c r="AS1318" i="1"/>
  <c r="AQ1318" i="1"/>
  <c r="AO1318" i="1"/>
  <c r="Z1318" i="1"/>
  <c r="Y1318" i="1"/>
  <c r="V1318" i="1"/>
  <c r="T1318" i="1"/>
  <c r="S1318" i="1"/>
  <c r="R1318" i="1"/>
  <c r="Q1318" i="1"/>
  <c r="P1318" i="1"/>
  <c r="O1318" i="1"/>
  <c r="M1318" i="1"/>
  <c r="L1318" i="1"/>
  <c r="K1318" i="1"/>
  <c r="I1318" i="1"/>
  <c r="F1318" i="1"/>
  <c r="BE1317" i="1"/>
  <c r="BD1317" i="1"/>
  <c r="BC1317" i="1"/>
  <c r="BA1317" i="1"/>
  <c r="AY1317" i="1"/>
  <c r="AW1317" i="1"/>
  <c r="AU1317" i="1"/>
  <c r="AS1317" i="1"/>
  <c r="AQ1317" i="1"/>
  <c r="AO1317" i="1"/>
  <c r="Z1317" i="1"/>
  <c r="Y1317" i="1"/>
  <c r="V1317" i="1"/>
  <c r="T1317" i="1"/>
  <c r="S1317" i="1"/>
  <c r="R1317" i="1"/>
  <c r="Q1317" i="1"/>
  <c r="P1317" i="1"/>
  <c r="O1317" i="1"/>
  <c r="M1317" i="1"/>
  <c r="L1317" i="1"/>
  <c r="K1317" i="1"/>
  <c r="F1317" i="1"/>
  <c r="BE1316" i="1"/>
  <c r="BD1316" i="1"/>
  <c r="BC1316" i="1"/>
  <c r="BA1316" i="1"/>
  <c r="AY1316" i="1"/>
  <c r="AW1316" i="1"/>
  <c r="AU1316" i="1"/>
  <c r="AS1316" i="1"/>
  <c r="AQ1316" i="1"/>
  <c r="AO1316" i="1"/>
  <c r="Z1316" i="1"/>
  <c r="Y1316" i="1"/>
  <c r="V1316" i="1"/>
  <c r="T1316" i="1"/>
  <c r="S1316" i="1"/>
  <c r="R1316" i="1"/>
  <c r="Q1316" i="1"/>
  <c r="P1316" i="1"/>
  <c r="O1316" i="1"/>
  <c r="M1316" i="1"/>
  <c r="L1316" i="1"/>
  <c r="K1316" i="1"/>
  <c r="F1316" i="1"/>
  <c r="BE1315" i="1"/>
  <c r="BD1315" i="1"/>
  <c r="BC1315" i="1"/>
  <c r="BA1315" i="1"/>
  <c r="AY1315" i="1"/>
  <c r="AW1315" i="1"/>
  <c r="AU1315" i="1"/>
  <c r="AS1315" i="1"/>
  <c r="AQ1315" i="1"/>
  <c r="AO1315" i="1"/>
  <c r="Z1315" i="1"/>
  <c r="Y1315" i="1"/>
  <c r="V1315" i="1"/>
  <c r="T1315" i="1"/>
  <c r="S1315" i="1"/>
  <c r="R1315" i="1"/>
  <c r="Q1315" i="1"/>
  <c r="P1315" i="1"/>
  <c r="O1315" i="1"/>
  <c r="M1315" i="1"/>
  <c r="L1315" i="1"/>
  <c r="K1315" i="1"/>
  <c r="F1315" i="1"/>
  <c r="BE1314" i="1"/>
  <c r="BD1314" i="1"/>
  <c r="BC1314" i="1"/>
  <c r="BA1314" i="1"/>
  <c r="AY1314" i="1"/>
  <c r="AW1314" i="1"/>
  <c r="AU1314" i="1"/>
  <c r="AS1314" i="1"/>
  <c r="AQ1314" i="1"/>
  <c r="AO1314" i="1"/>
  <c r="Z1314" i="1"/>
  <c r="Y1314" i="1"/>
  <c r="V1314" i="1"/>
  <c r="T1314" i="1"/>
  <c r="S1314" i="1"/>
  <c r="R1314" i="1"/>
  <c r="Q1314" i="1"/>
  <c r="P1314" i="1"/>
  <c r="O1314" i="1"/>
  <c r="M1314" i="1"/>
  <c r="L1314" i="1"/>
  <c r="K1314" i="1"/>
  <c r="H1314" i="1"/>
  <c r="F1314" i="1"/>
  <c r="D1314" i="1"/>
  <c r="D1315" i="1" s="1"/>
  <c r="D1316" i="1" s="1"/>
  <c r="D1317" i="1" s="1"/>
  <c r="D1318" i="1" s="1"/>
  <c r="C1314" i="1"/>
  <c r="C1315" i="1" s="1"/>
  <c r="BE1313" i="1"/>
  <c r="BD1313" i="1"/>
  <c r="BC1313" i="1"/>
  <c r="BA1313" i="1"/>
  <c r="AY1313" i="1"/>
  <c r="AW1313" i="1"/>
  <c r="AU1313" i="1"/>
  <c r="AS1313" i="1"/>
  <c r="AQ1313" i="1"/>
  <c r="AO1313" i="1"/>
  <c r="AJ1313" i="1"/>
  <c r="Z1313" i="1"/>
  <c r="Y1313" i="1"/>
  <c r="V1313" i="1"/>
  <c r="T1313" i="1"/>
  <c r="S1313" i="1"/>
  <c r="R1313" i="1"/>
  <c r="Q1313" i="1"/>
  <c r="P1313" i="1"/>
  <c r="O1313" i="1"/>
  <c r="M1313" i="1"/>
  <c r="L1313" i="1"/>
  <c r="K1313" i="1"/>
  <c r="H1313" i="1"/>
  <c r="F1313" i="1"/>
  <c r="BE1248" i="1"/>
  <c r="Z1248" i="1"/>
  <c r="BE1247" i="1"/>
  <c r="Z1247" i="1"/>
  <c r="BE1246" i="1"/>
  <c r="Z1246" i="1"/>
  <c r="BE1245" i="1"/>
  <c r="Z1245" i="1"/>
  <c r="BE1244" i="1"/>
  <c r="Z1244" i="1"/>
  <c r="BE1243" i="1"/>
  <c r="Z1243" i="1"/>
  <c r="BE1242" i="1"/>
  <c r="Z1242" i="1"/>
  <c r="BE1241" i="1"/>
  <c r="Z1241" i="1"/>
  <c r="BE1240" i="1"/>
  <c r="Z1240" i="1"/>
  <c r="BE1239" i="1"/>
  <c r="Z1239" i="1"/>
  <c r="BE1238" i="1"/>
  <c r="AA1238" i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Z1238" i="1"/>
  <c r="BE1237" i="1"/>
  <c r="Z1237" i="1"/>
  <c r="BE1233" i="1"/>
  <c r="BD1233" i="1"/>
  <c r="AZ1233" i="1"/>
  <c r="AX1233" i="1"/>
  <c r="BE1232" i="1"/>
  <c r="BD1232" i="1"/>
  <c r="BC1232" i="1"/>
  <c r="BA1232" i="1"/>
  <c r="AY1232" i="1"/>
  <c r="AW1232" i="1"/>
  <c r="AU1232" i="1"/>
  <c r="AS1232" i="1"/>
  <c r="AQ1232" i="1"/>
  <c r="AO1232" i="1"/>
  <c r="Z1232" i="1"/>
  <c r="Y1232" i="1"/>
  <c r="V1232" i="1"/>
  <c r="T1232" i="1"/>
  <c r="S1232" i="1"/>
  <c r="R1232" i="1"/>
  <c r="Q1232" i="1"/>
  <c r="P1232" i="1"/>
  <c r="O1232" i="1"/>
  <c r="M1232" i="1"/>
  <c r="L1232" i="1"/>
  <c r="K1232" i="1"/>
  <c r="I1232" i="1"/>
  <c r="F1232" i="1"/>
  <c r="BE1231" i="1"/>
  <c r="BD1231" i="1"/>
  <c r="BC1231" i="1"/>
  <c r="BA1231" i="1"/>
  <c r="AY1231" i="1"/>
  <c r="AW1231" i="1"/>
  <c r="AU1231" i="1"/>
  <c r="AS1231" i="1"/>
  <c r="AQ1231" i="1"/>
  <c r="AO1231" i="1"/>
  <c r="Z1231" i="1"/>
  <c r="Y1231" i="1"/>
  <c r="V1231" i="1"/>
  <c r="T1231" i="1"/>
  <c r="S1231" i="1"/>
  <c r="R1231" i="1"/>
  <c r="Q1231" i="1"/>
  <c r="P1231" i="1"/>
  <c r="O1231" i="1"/>
  <c r="M1231" i="1"/>
  <c r="L1231" i="1"/>
  <c r="K1231" i="1"/>
  <c r="F1231" i="1"/>
  <c r="BE1230" i="1"/>
  <c r="BD1230" i="1"/>
  <c r="BC1230" i="1"/>
  <c r="BA1230" i="1"/>
  <c r="AY1230" i="1"/>
  <c r="AW1230" i="1"/>
  <c r="AU1230" i="1"/>
  <c r="AS1230" i="1"/>
  <c r="AQ1230" i="1"/>
  <c r="AO1230" i="1"/>
  <c r="Z1230" i="1"/>
  <c r="Y1230" i="1"/>
  <c r="V1230" i="1"/>
  <c r="T1230" i="1"/>
  <c r="S1230" i="1"/>
  <c r="R1230" i="1"/>
  <c r="Q1230" i="1"/>
  <c r="P1230" i="1"/>
  <c r="O1230" i="1"/>
  <c r="M1230" i="1"/>
  <c r="L1230" i="1"/>
  <c r="K1230" i="1"/>
  <c r="F1230" i="1"/>
  <c r="BE1229" i="1"/>
  <c r="BD1229" i="1"/>
  <c r="BC1229" i="1"/>
  <c r="BA1229" i="1"/>
  <c r="AY1229" i="1"/>
  <c r="AW1229" i="1"/>
  <c r="AU1229" i="1"/>
  <c r="AS1229" i="1"/>
  <c r="AQ1229" i="1"/>
  <c r="AO1229" i="1"/>
  <c r="Z1229" i="1"/>
  <c r="Y1229" i="1"/>
  <c r="V1229" i="1"/>
  <c r="T1229" i="1"/>
  <c r="S1229" i="1"/>
  <c r="R1229" i="1"/>
  <c r="Q1229" i="1"/>
  <c r="P1229" i="1"/>
  <c r="O1229" i="1"/>
  <c r="M1229" i="1"/>
  <c r="L1229" i="1"/>
  <c r="K1229" i="1"/>
  <c r="F1229" i="1"/>
  <c r="BE1228" i="1"/>
  <c r="BD1228" i="1"/>
  <c r="BC1228" i="1"/>
  <c r="BA1228" i="1"/>
  <c r="AY1228" i="1"/>
  <c r="AW1228" i="1"/>
  <c r="AU1228" i="1"/>
  <c r="AS1228" i="1"/>
  <c r="AQ1228" i="1"/>
  <c r="AO1228" i="1"/>
  <c r="Z1228" i="1"/>
  <c r="Y1228" i="1"/>
  <c r="V1228" i="1"/>
  <c r="T1228" i="1"/>
  <c r="S1228" i="1"/>
  <c r="R1228" i="1"/>
  <c r="Q1228" i="1"/>
  <c r="P1228" i="1"/>
  <c r="O1228" i="1"/>
  <c r="M1228" i="1"/>
  <c r="L1228" i="1"/>
  <c r="K1228" i="1"/>
  <c r="F1228" i="1"/>
  <c r="D1228" i="1"/>
  <c r="D1229" i="1" s="1"/>
  <c r="D1230" i="1" s="1"/>
  <c r="D1231" i="1" s="1"/>
  <c r="D1232" i="1" s="1"/>
  <c r="C1228" i="1"/>
  <c r="BE1227" i="1"/>
  <c r="BD1227" i="1"/>
  <c r="BC1227" i="1"/>
  <c r="BA1227" i="1"/>
  <c r="AY1227" i="1"/>
  <c r="AW1227" i="1"/>
  <c r="AU1227" i="1"/>
  <c r="AS1227" i="1"/>
  <c r="AQ1227" i="1"/>
  <c r="AO1227" i="1"/>
  <c r="AJ1227" i="1"/>
  <c r="Z1227" i="1"/>
  <c r="Y1227" i="1"/>
  <c r="V1227" i="1"/>
  <c r="T1227" i="1"/>
  <c r="S1227" i="1"/>
  <c r="R1227" i="1"/>
  <c r="Q1227" i="1"/>
  <c r="P1227" i="1"/>
  <c r="O1227" i="1"/>
  <c r="M1227" i="1"/>
  <c r="L1227" i="1"/>
  <c r="K1227" i="1"/>
  <c r="H1227" i="1"/>
  <c r="F1227" i="1"/>
  <c r="BE1226" i="1"/>
  <c r="BE1225" i="1"/>
  <c r="BD1225" i="1"/>
  <c r="BC1225" i="1"/>
  <c r="BA1225" i="1"/>
  <c r="AY1225" i="1"/>
  <c r="AW1225" i="1"/>
  <c r="AU1225" i="1"/>
  <c r="AS1225" i="1"/>
  <c r="AQ1225" i="1"/>
  <c r="AO1225" i="1"/>
  <c r="Z1225" i="1"/>
  <c r="Y1225" i="1"/>
  <c r="V1225" i="1"/>
  <c r="T1225" i="1"/>
  <c r="S1225" i="1"/>
  <c r="R1225" i="1"/>
  <c r="Q1225" i="1"/>
  <c r="P1225" i="1"/>
  <c r="O1225" i="1"/>
  <c r="M1225" i="1"/>
  <c r="L1225" i="1"/>
  <c r="K1225" i="1"/>
  <c r="I1225" i="1"/>
  <c r="F1225" i="1"/>
  <c r="BE1224" i="1"/>
  <c r="BD1224" i="1"/>
  <c r="BC1224" i="1"/>
  <c r="BA1224" i="1"/>
  <c r="AY1224" i="1"/>
  <c r="AW1224" i="1"/>
  <c r="AU1224" i="1"/>
  <c r="AS1224" i="1"/>
  <c r="AQ1224" i="1"/>
  <c r="AO1224" i="1"/>
  <c r="Z1224" i="1"/>
  <c r="Y1224" i="1"/>
  <c r="V1224" i="1"/>
  <c r="T1224" i="1"/>
  <c r="S1224" i="1"/>
  <c r="R1224" i="1"/>
  <c r="Q1224" i="1"/>
  <c r="P1224" i="1"/>
  <c r="O1224" i="1"/>
  <c r="M1224" i="1"/>
  <c r="L1224" i="1"/>
  <c r="K1224" i="1"/>
  <c r="F1224" i="1"/>
  <c r="BE1223" i="1"/>
  <c r="BD1223" i="1"/>
  <c r="BC1223" i="1"/>
  <c r="BA1223" i="1"/>
  <c r="AY1223" i="1"/>
  <c r="AW1223" i="1"/>
  <c r="AU1223" i="1"/>
  <c r="AS1223" i="1"/>
  <c r="AQ1223" i="1"/>
  <c r="AO1223" i="1"/>
  <c r="Z1223" i="1"/>
  <c r="Y1223" i="1"/>
  <c r="V1223" i="1"/>
  <c r="T1223" i="1"/>
  <c r="S1223" i="1"/>
  <c r="R1223" i="1"/>
  <c r="Q1223" i="1"/>
  <c r="P1223" i="1"/>
  <c r="O1223" i="1"/>
  <c r="M1223" i="1"/>
  <c r="L1223" i="1"/>
  <c r="K1223" i="1"/>
  <c r="F1223" i="1"/>
  <c r="BE1222" i="1"/>
  <c r="BD1222" i="1"/>
  <c r="BC1222" i="1"/>
  <c r="BA1222" i="1"/>
  <c r="AY1222" i="1"/>
  <c r="AW1222" i="1"/>
  <c r="AU1222" i="1"/>
  <c r="AS1222" i="1"/>
  <c r="AQ1222" i="1"/>
  <c r="AO1222" i="1"/>
  <c r="Z1222" i="1"/>
  <c r="Y1222" i="1"/>
  <c r="V1222" i="1"/>
  <c r="T1222" i="1"/>
  <c r="S1222" i="1"/>
  <c r="R1222" i="1"/>
  <c r="Q1222" i="1"/>
  <c r="P1222" i="1"/>
  <c r="O1222" i="1"/>
  <c r="M1222" i="1"/>
  <c r="L1222" i="1"/>
  <c r="K1222" i="1"/>
  <c r="F1222" i="1"/>
  <c r="C1222" i="1"/>
  <c r="H1222" i="1" s="1"/>
  <c r="BE1221" i="1"/>
  <c r="BD1221" i="1"/>
  <c r="BC1221" i="1"/>
  <c r="BA1221" i="1"/>
  <c r="AY1221" i="1"/>
  <c r="AW1221" i="1"/>
  <c r="AU1221" i="1"/>
  <c r="AS1221" i="1"/>
  <c r="AQ1221" i="1"/>
  <c r="AO1221" i="1"/>
  <c r="Z1221" i="1"/>
  <c r="Y1221" i="1"/>
  <c r="V1221" i="1"/>
  <c r="T1221" i="1"/>
  <c r="S1221" i="1"/>
  <c r="R1221" i="1"/>
  <c r="Q1221" i="1"/>
  <c r="P1221" i="1"/>
  <c r="O1221" i="1"/>
  <c r="M1221" i="1"/>
  <c r="L1221" i="1"/>
  <c r="K1221" i="1"/>
  <c r="F1221" i="1"/>
  <c r="D1221" i="1"/>
  <c r="D1222" i="1" s="1"/>
  <c r="D1223" i="1" s="1"/>
  <c r="D1224" i="1" s="1"/>
  <c r="D1225" i="1" s="1"/>
  <c r="C1221" i="1"/>
  <c r="H1221" i="1" s="1"/>
  <c r="BE1220" i="1"/>
  <c r="BD1220" i="1"/>
  <c r="BC1220" i="1"/>
  <c r="BA1220" i="1"/>
  <c r="AY1220" i="1"/>
  <c r="AW1220" i="1"/>
  <c r="AU1220" i="1"/>
  <c r="AS1220" i="1"/>
  <c r="AQ1220" i="1"/>
  <c r="AO1220" i="1"/>
  <c r="AJ1220" i="1"/>
  <c r="Z1220" i="1"/>
  <c r="Y1220" i="1"/>
  <c r="V1220" i="1"/>
  <c r="T1220" i="1"/>
  <c r="S1220" i="1"/>
  <c r="R1220" i="1"/>
  <c r="Q1220" i="1"/>
  <c r="P1220" i="1"/>
  <c r="O1220" i="1"/>
  <c r="M1220" i="1"/>
  <c r="L1220" i="1"/>
  <c r="K1220" i="1"/>
  <c r="H1220" i="1"/>
  <c r="F1220" i="1"/>
  <c r="BE1217" i="1"/>
  <c r="Z1217" i="1"/>
  <c r="BE1216" i="1"/>
  <c r="Z1216" i="1"/>
  <c r="BE1215" i="1"/>
  <c r="Z1215" i="1"/>
  <c r="BE1214" i="1"/>
  <c r="Z1214" i="1"/>
  <c r="BE1213" i="1"/>
  <c r="Z1213" i="1"/>
  <c r="BE1212" i="1"/>
  <c r="Z1212" i="1"/>
  <c r="BE1211" i="1"/>
  <c r="Z1211" i="1"/>
  <c r="BE1210" i="1"/>
  <c r="Z1210" i="1"/>
  <c r="BE1209" i="1"/>
  <c r="Z1209" i="1"/>
  <c r="BE1208" i="1"/>
  <c r="Z1208" i="1"/>
  <c r="BE1207" i="1"/>
  <c r="AA1207" i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Z1207" i="1"/>
  <c r="BE1206" i="1"/>
  <c r="Z1206" i="1"/>
  <c r="BE1202" i="1"/>
  <c r="BD1202" i="1"/>
  <c r="AZ1202" i="1"/>
  <c r="AX1202" i="1"/>
  <c r="BE1201" i="1"/>
  <c r="BD1201" i="1"/>
  <c r="BC1201" i="1"/>
  <c r="BA1201" i="1"/>
  <c r="AY1201" i="1"/>
  <c r="AW1201" i="1"/>
  <c r="AU1201" i="1"/>
  <c r="AS1201" i="1"/>
  <c r="AQ1201" i="1"/>
  <c r="AO1201" i="1"/>
  <c r="Z1201" i="1"/>
  <c r="Y1201" i="1"/>
  <c r="V1201" i="1"/>
  <c r="T1201" i="1"/>
  <c r="S1201" i="1"/>
  <c r="R1201" i="1"/>
  <c r="Q1201" i="1"/>
  <c r="P1201" i="1"/>
  <c r="O1201" i="1"/>
  <c r="M1201" i="1"/>
  <c r="L1201" i="1"/>
  <c r="K1201" i="1"/>
  <c r="I1201" i="1"/>
  <c r="F1201" i="1"/>
  <c r="BE1200" i="1"/>
  <c r="BD1200" i="1"/>
  <c r="BC1200" i="1"/>
  <c r="BA1200" i="1"/>
  <c r="AY1200" i="1"/>
  <c r="AW1200" i="1"/>
  <c r="AU1200" i="1"/>
  <c r="AS1200" i="1"/>
  <c r="AQ1200" i="1"/>
  <c r="AO1200" i="1"/>
  <c r="Z1200" i="1"/>
  <c r="Y1200" i="1"/>
  <c r="V1200" i="1"/>
  <c r="T1200" i="1"/>
  <c r="S1200" i="1"/>
  <c r="R1200" i="1"/>
  <c r="Q1200" i="1"/>
  <c r="P1200" i="1"/>
  <c r="O1200" i="1"/>
  <c r="M1200" i="1"/>
  <c r="L1200" i="1"/>
  <c r="K1200" i="1"/>
  <c r="F1200" i="1"/>
  <c r="BE1199" i="1"/>
  <c r="BD1199" i="1"/>
  <c r="BC1199" i="1"/>
  <c r="BA1199" i="1"/>
  <c r="AY1199" i="1"/>
  <c r="AW1199" i="1"/>
  <c r="AU1199" i="1"/>
  <c r="AS1199" i="1"/>
  <c r="AQ1199" i="1"/>
  <c r="AO1199" i="1"/>
  <c r="Z1199" i="1"/>
  <c r="Y1199" i="1"/>
  <c r="V1199" i="1"/>
  <c r="T1199" i="1"/>
  <c r="S1199" i="1"/>
  <c r="R1199" i="1"/>
  <c r="Q1199" i="1"/>
  <c r="P1199" i="1"/>
  <c r="O1199" i="1"/>
  <c r="M1199" i="1"/>
  <c r="L1199" i="1"/>
  <c r="K1199" i="1"/>
  <c r="F1199" i="1"/>
  <c r="BE1198" i="1"/>
  <c r="BD1198" i="1"/>
  <c r="BC1198" i="1"/>
  <c r="BA1198" i="1"/>
  <c r="AY1198" i="1"/>
  <c r="AW1198" i="1"/>
  <c r="AU1198" i="1"/>
  <c r="AS1198" i="1"/>
  <c r="AQ1198" i="1"/>
  <c r="AO1198" i="1"/>
  <c r="Z1198" i="1"/>
  <c r="Y1198" i="1"/>
  <c r="V1198" i="1"/>
  <c r="T1198" i="1"/>
  <c r="S1198" i="1"/>
  <c r="R1198" i="1"/>
  <c r="Q1198" i="1"/>
  <c r="P1198" i="1"/>
  <c r="O1198" i="1"/>
  <c r="M1198" i="1"/>
  <c r="L1198" i="1"/>
  <c r="K1198" i="1"/>
  <c r="F1198" i="1"/>
  <c r="BE1197" i="1"/>
  <c r="BD1197" i="1"/>
  <c r="BC1197" i="1"/>
  <c r="BA1197" i="1"/>
  <c r="AY1197" i="1"/>
  <c r="AW1197" i="1"/>
  <c r="AU1197" i="1"/>
  <c r="AS1197" i="1"/>
  <c r="AQ1197" i="1"/>
  <c r="AO1197" i="1"/>
  <c r="Z1197" i="1"/>
  <c r="Y1197" i="1"/>
  <c r="V1197" i="1"/>
  <c r="T1197" i="1"/>
  <c r="S1197" i="1"/>
  <c r="R1197" i="1"/>
  <c r="Q1197" i="1"/>
  <c r="P1197" i="1"/>
  <c r="O1197" i="1"/>
  <c r="M1197" i="1"/>
  <c r="L1197" i="1"/>
  <c r="K1197" i="1"/>
  <c r="F1197" i="1"/>
  <c r="D1197" i="1"/>
  <c r="D1198" i="1" s="1"/>
  <c r="D1199" i="1" s="1"/>
  <c r="D1200" i="1" s="1"/>
  <c r="D1201" i="1" s="1"/>
  <c r="C1197" i="1"/>
  <c r="BE1196" i="1"/>
  <c r="BD1196" i="1"/>
  <c r="BC1196" i="1"/>
  <c r="BA1196" i="1"/>
  <c r="AY1196" i="1"/>
  <c r="AW1196" i="1"/>
  <c r="AU1196" i="1"/>
  <c r="AS1196" i="1"/>
  <c r="AQ1196" i="1"/>
  <c r="AO1196" i="1"/>
  <c r="AJ1196" i="1"/>
  <c r="Z1196" i="1"/>
  <c r="Y1196" i="1"/>
  <c r="V1196" i="1"/>
  <c r="T1196" i="1"/>
  <c r="S1196" i="1"/>
  <c r="R1196" i="1"/>
  <c r="Q1196" i="1"/>
  <c r="P1196" i="1"/>
  <c r="O1196" i="1"/>
  <c r="M1196" i="1"/>
  <c r="L1196" i="1"/>
  <c r="K1196" i="1"/>
  <c r="H1196" i="1"/>
  <c r="F1196" i="1"/>
  <c r="BE1195" i="1"/>
  <c r="BE1194" i="1"/>
  <c r="BD1194" i="1"/>
  <c r="BC1194" i="1"/>
  <c r="BA1194" i="1"/>
  <c r="AY1194" i="1"/>
  <c r="AW1194" i="1"/>
  <c r="AU1194" i="1"/>
  <c r="AS1194" i="1"/>
  <c r="AQ1194" i="1"/>
  <c r="AO1194" i="1"/>
  <c r="Z1194" i="1"/>
  <c r="Y1194" i="1"/>
  <c r="V1194" i="1"/>
  <c r="T1194" i="1"/>
  <c r="S1194" i="1"/>
  <c r="R1194" i="1"/>
  <c r="Q1194" i="1"/>
  <c r="P1194" i="1"/>
  <c r="O1194" i="1"/>
  <c r="M1194" i="1"/>
  <c r="L1194" i="1"/>
  <c r="K1194" i="1"/>
  <c r="I1194" i="1"/>
  <c r="F1194" i="1"/>
  <c r="BE1193" i="1"/>
  <c r="BD1193" i="1"/>
  <c r="BC1193" i="1"/>
  <c r="BA1193" i="1"/>
  <c r="AY1193" i="1"/>
  <c r="AW1193" i="1"/>
  <c r="AU1193" i="1"/>
  <c r="AS1193" i="1"/>
  <c r="AQ1193" i="1"/>
  <c r="AO1193" i="1"/>
  <c r="Z1193" i="1"/>
  <c r="Y1193" i="1"/>
  <c r="V1193" i="1"/>
  <c r="T1193" i="1"/>
  <c r="S1193" i="1"/>
  <c r="R1193" i="1"/>
  <c r="Q1193" i="1"/>
  <c r="P1193" i="1"/>
  <c r="O1193" i="1"/>
  <c r="M1193" i="1"/>
  <c r="L1193" i="1"/>
  <c r="K1193" i="1"/>
  <c r="F1193" i="1"/>
  <c r="BE1192" i="1"/>
  <c r="BD1192" i="1"/>
  <c r="BC1192" i="1"/>
  <c r="BA1192" i="1"/>
  <c r="AY1192" i="1"/>
  <c r="AW1192" i="1"/>
  <c r="AU1192" i="1"/>
  <c r="AS1192" i="1"/>
  <c r="AQ1192" i="1"/>
  <c r="AO1192" i="1"/>
  <c r="Z1192" i="1"/>
  <c r="Y1192" i="1"/>
  <c r="V1192" i="1"/>
  <c r="T1192" i="1"/>
  <c r="S1192" i="1"/>
  <c r="R1192" i="1"/>
  <c r="Q1192" i="1"/>
  <c r="P1192" i="1"/>
  <c r="O1192" i="1"/>
  <c r="M1192" i="1"/>
  <c r="L1192" i="1"/>
  <c r="K1192" i="1"/>
  <c r="F1192" i="1"/>
  <c r="BE1191" i="1"/>
  <c r="BD1191" i="1"/>
  <c r="BC1191" i="1"/>
  <c r="BA1191" i="1"/>
  <c r="AY1191" i="1"/>
  <c r="AW1191" i="1"/>
  <c r="AU1191" i="1"/>
  <c r="AS1191" i="1"/>
  <c r="AQ1191" i="1"/>
  <c r="AO1191" i="1"/>
  <c r="Z1191" i="1"/>
  <c r="Y1191" i="1"/>
  <c r="V1191" i="1"/>
  <c r="T1191" i="1"/>
  <c r="S1191" i="1"/>
  <c r="R1191" i="1"/>
  <c r="Q1191" i="1"/>
  <c r="P1191" i="1"/>
  <c r="O1191" i="1"/>
  <c r="M1191" i="1"/>
  <c r="L1191" i="1"/>
  <c r="K1191" i="1"/>
  <c r="F1191" i="1"/>
  <c r="BE1190" i="1"/>
  <c r="BD1190" i="1"/>
  <c r="BC1190" i="1"/>
  <c r="BA1190" i="1"/>
  <c r="AY1190" i="1"/>
  <c r="AW1190" i="1"/>
  <c r="AU1190" i="1"/>
  <c r="AS1190" i="1"/>
  <c r="AQ1190" i="1"/>
  <c r="AO1190" i="1"/>
  <c r="Z1190" i="1"/>
  <c r="Y1190" i="1"/>
  <c r="V1190" i="1"/>
  <c r="T1190" i="1"/>
  <c r="S1190" i="1"/>
  <c r="R1190" i="1"/>
  <c r="Q1190" i="1"/>
  <c r="P1190" i="1"/>
  <c r="O1190" i="1"/>
  <c r="M1190" i="1"/>
  <c r="L1190" i="1"/>
  <c r="K1190" i="1"/>
  <c r="F1190" i="1"/>
  <c r="D1190" i="1"/>
  <c r="D1191" i="1" s="1"/>
  <c r="D1192" i="1" s="1"/>
  <c r="D1193" i="1" s="1"/>
  <c r="D1194" i="1" s="1"/>
  <c r="C1190" i="1"/>
  <c r="C1191" i="1" s="1"/>
  <c r="BE1189" i="1"/>
  <c r="BD1189" i="1"/>
  <c r="BC1189" i="1"/>
  <c r="BA1189" i="1"/>
  <c r="AY1189" i="1"/>
  <c r="AW1189" i="1"/>
  <c r="AU1189" i="1"/>
  <c r="AS1189" i="1"/>
  <c r="AQ1189" i="1"/>
  <c r="AO1189" i="1"/>
  <c r="AJ1189" i="1"/>
  <c r="Z1189" i="1"/>
  <c r="Y1189" i="1"/>
  <c r="V1189" i="1"/>
  <c r="T1189" i="1"/>
  <c r="S1189" i="1"/>
  <c r="R1189" i="1"/>
  <c r="Q1189" i="1"/>
  <c r="P1189" i="1"/>
  <c r="O1189" i="1"/>
  <c r="M1189" i="1"/>
  <c r="L1189" i="1"/>
  <c r="K1189" i="1"/>
  <c r="H1189" i="1"/>
  <c r="F1189" i="1"/>
  <c r="BE1186" i="1"/>
  <c r="Z1186" i="1"/>
  <c r="BE1185" i="1"/>
  <c r="Z1185" i="1"/>
  <c r="BE1184" i="1"/>
  <c r="Z1184" i="1"/>
  <c r="BE1183" i="1"/>
  <c r="Z1183" i="1"/>
  <c r="BE1182" i="1"/>
  <c r="Z1182" i="1"/>
  <c r="BE1181" i="1"/>
  <c r="Z1181" i="1"/>
  <c r="BE1180" i="1"/>
  <c r="Z1180" i="1"/>
  <c r="BE1179" i="1"/>
  <c r="Z1179" i="1"/>
  <c r="BE1178" i="1"/>
  <c r="Z1178" i="1"/>
  <c r="BE1177" i="1"/>
  <c r="Z1177" i="1"/>
  <c r="BE1176" i="1"/>
  <c r="AA1176" i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Z1176" i="1"/>
  <c r="BE1175" i="1"/>
  <c r="Z1175" i="1"/>
  <c r="BE1171" i="1"/>
  <c r="BD1171" i="1"/>
  <c r="AZ1171" i="1"/>
  <c r="AX1171" i="1"/>
  <c r="BE1170" i="1"/>
  <c r="BD1170" i="1"/>
  <c r="BC1170" i="1"/>
  <c r="BA1170" i="1"/>
  <c r="AY1170" i="1"/>
  <c r="AW1170" i="1"/>
  <c r="AU1170" i="1"/>
  <c r="AS1170" i="1"/>
  <c r="AQ1170" i="1"/>
  <c r="AO1170" i="1"/>
  <c r="Z1170" i="1"/>
  <c r="Y1170" i="1"/>
  <c r="V1170" i="1"/>
  <c r="T1170" i="1"/>
  <c r="S1170" i="1"/>
  <c r="R1170" i="1"/>
  <c r="Q1170" i="1"/>
  <c r="P1170" i="1"/>
  <c r="O1170" i="1"/>
  <c r="M1170" i="1"/>
  <c r="L1170" i="1"/>
  <c r="K1170" i="1"/>
  <c r="I1170" i="1"/>
  <c r="F1170" i="1"/>
  <c r="BE1169" i="1"/>
  <c r="BD1169" i="1"/>
  <c r="BC1169" i="1"/>
  <c r="BA1169" i="1"/>
  <c r="AY1169" i="1"/>
  <c r="AW1169" i="1"/>
  <c r="AU1169" i="1"/>
  <c r="AS1169" i="1"/>
  <c r="AQ1169" i="1"/>
  <c r="AO1169" i="1"/>
  <c r="Z1169" i="1"/>
  <c r="Y1169" i="1"/>
  <c r="V1169" i="1"/>
  <c r="T1169" i="1"/>
  <c r="S1169" i="1"/>
  <c r="R1169" i="1"/>
  <c r="Q1169" i="1"/>
  <c r="P1169" i="1"/>
  <c r="O1169" i="1"/>
  <c r="M1169" i="1"/>
  <c r="L1169" i="1"/>
  <c r="K1169" i="1"/>
  <c r="F1169" i="1"/>
  <c r="BE1168" i="1"/>
  <c r="BD1168" i="1"/>
  <c r="BC1168" i="1"/>
  <c r="BA1168" i="1"/>
  <c r="AY1168" i="1"/>
  <c r="AW1168" i="1"/>
  <c r="AU1168" i="1"/>
  <c r="AS1168" i="1"/>
  <c r="AQ1168" i="1"/>
  <c r="AO1168" i="1"/>
  <c r="Z1168" i="1"/>
  <c r="Y1168" i="1"/>
  <c r="V1168" i="1"/>
  <c r="T1168" i="1"/>
  <c r="S1168" i="1"/>
  <c r="R1168" i="1"/>
  <c r="Q1168" i="1"/>
  <c r="P1168" i="1"/>
  <c r="O1168" i="1"/>
  <c r="M1168" i="1"/>
  <c r="L1168" i="1"/>
  <c r="K1168" i="1"/>
  <c r="F1168" i="1"/>
  <c r="BE1167" i="1"/>
  <c r="BD1167" i="1"/>
  <c r="BC1167" i="1"/>
  <c r="BA1167" i="1"/>
  <c r="AY1167" i="1"/>
  <c r="AW1167" i="1"/>
  <c r="AU1167" i="1"/>
  <c r="AS1167" i="1"/>
  <c r="AQ1167" i="1"/>
  <c r="AO1167" i="1"/>
  <c r="Z1167" i="1"/>
  <c r="Y1167" i="1"/>
  <c r="V1167" i="1"/>
  <c r="T1167" i="1"/>
  <c r="S1167" i="1"/>
  <c r="R1167" i="1"/>
  <c r="Q1167" i="1"/>
  <c r="P1167" i="1"/>
  <c r="O1167" i="1"/>
  <c r="M1167" i="1"/>
  <c r="L1167" i="1"/>
  <c r="K1167" i="1"/>
  <c r="F1167" i="1"/>
  <c r="BE1166" i="1"/>
  <c r="BD1166" i="1"/>
  <c r="BC1166" i="1"/>
  <c r="BA1166" i="1"/>
  <c r="AY1166" i="1"/>
  <c r="AW1166" i="1"/>
  <c r="AU1166" i="1"/>
  <c r="AS1166" i="1"/>
  <c r="AQ1166" i="1"/>
  <c r="AO1166" i="1"/>
  <c r="Z1166" i="1"/>
  <c r="Y1166" i="1"/>
  <c r="V1166" i="1"/>
  <c r="T1166" i="1"/>
  <c r="S1166" i="1"/>
  <c r="R1166" i="1"/>
  <c r="Q1166" i="1"/>
  <c r="P1166" i="1"/>
  <c r="O1166" i="1"/>
  <c r="M1166" i="1"/>
  <c r="L1166" i="1"/>
  <c r="K1166" i="1"/>
  <c r="F1166" i="1"/>
  <c r="D1166" i="1"/>
  <c r="D1167" i="1" s="1"/>
  <c r="D1168" i="1" s="1"/>
  <c r="D1169" i="1" s="1"/>
  <c r="D1170" i="1" s="1"/>
  <c r="C1166" i="1"/>
  <c r="H1166" i="1" s="1"/>
  <c r="BE1165" i="1"/>
  <c r="BD1165" i="1"/>
  <c r="BC1165" i="1"/>
  <c r="BA1165" i="1"/>
  <c r="AY1165" i="1"/>
  <c r="AW1165" i="1"/>
  <c r="AU1165" i="1"/>
  <c r="AS1165" i="1"/>
  <c r="AQ1165" i="1"/>
  <c r="AO1165" i="1"/>
  <c r="AJ1165" i="1"/>
  <c r="Z1165" i="1"/>
  <c r="Y1165" i="1"/>
  <c r="V1165" i="1"/>
  <c r="T1165" i="1"/>
  <c r="S1165" i="1"/>
  <c r="R1165" i="1"/>
  <c r="Q1165" i="1"/>
  <c r="P1165" i="1"/>
  <c r="O1165" i="1"/>
  <c r="M1165" i="1"/>
  <c r="L1165" i="1"/>
  <c r="K1165" i="1"/>
  <c r="H1165" i="1"/>
  <c r="F1165" i="1"/>
  <c r="BE1164" i="1"/>
  <c r="BE1163" i="1"/>
  <c r="BD1163" i="1"/>
  <c r="BC1163" i="1"/>
  <c r="BA1163" i="1"/>
  <c r="AY1163" i="1"/>
  <c r="AW1163" i="1"/>
  <c r="AU1163" i="1"/>
  <c r="AS1163" i="1"/>
  <c r="AQ1163" i="1"/>
  <c r="AO1163" i="1"/>
  <c r="Z1163" i="1"/>
  <c r="Y1163" i="1"/>
  <c r="V1163" i="1"/>
  <c r="T1163" i="1"/>
  <c r="S1163" i="1"/>
  <c r="R1163" i="1"/>
  <c r="Q1163" i="1"/>
  <c r="P1163" i="1"/>
  <c r="O1163" i="1"/>
  <c r="M1163" i="1"/>
  <c r="L1163" i="1"/>
  <c r="K1163" i="1"/>
  <c r="I1163" i="1"/>
  <c r="F1163" i="1"/>
  <c r="BE1162" i="1"/>
  <c r="BD1162" i="1"/>
  <c r="BC1162" i="1"/>
  <c r="BA1162" i="1"/>
  <c r="AY1162" i="1"/>
  <c r="AW1162" i="1"/>
  <c r="AU1162" i="1"/>
  <c r="AS1162" i="1"/>
  <c r="AQ1162" i="1"/>
  <c r="AO1162" i="1"/>
  <c r="Z1162" i="1"/>
  <c r="Y1162" i="1"/>
  <c r="V1162" i="1"/>
  <c r="T1162" i="1"/>
  <c r="S1162" i="1"/>
  <c r="R1162" i="1"/>
  <c r="Q1162" i="1"/>
  <c r="P1162" i="1"/>
  <c r="O1162" i="1"/>
  <c r="M1162" i="1"/>
  <c r="L1162" i="1"/>
  <c r="K1162" i="1"/>
  <c r="F1162" i="1"/>
  <c r="BE1161" i="1"/>
  <c r="BD1161" i="1"/>
  <c r="BC1161" i="1"/>
  <c r="BA1161" i="1"/>
  <c r="AY1161" i="1"/>
  <c r="AW1161" i="1"/>
  <c r="AU1161" i="1"/>
  <c r="AS1161" i="1"/>
  <c r="AQ1161" i="1"/>
  <c r="AO1161" i="1"/>
  <c r="Z1161" i="1"/>
  <c r="Y1161" i="1"/>
  <c r="V1161" i="1"/>
  <c r="T1161" i="1"/>
  <c r="S1161" i="1"/>
  <c r="R1161" i="1"/>
  <c r="Q1161" i="1"/>
  <c r="P1161" i="1"/>
  <c r="O1161" i="1"/>
  <c r="M1161" i="1"/>
  <c r="L1161" i="1"/>
  <c r="K1161" i="1"/>
  <c r="F1161" i="1"/>
  <c r="BE1160" i="1"/>
  <c r="BD1160" i="1"/>
  <c r="BC1160" i="1"/>
  <c r="BA1160" i="1"/>
  <c r="AY1160" i="1"/>
  <c r="AW1160" i="1"/>
  <c r="AU1160" i="1"/>
  <c r="AS1160" i="1"/>
  <c r="AQ1160" i="1"/>
  <c r="AO1160" i="1"/>
  <c r="Z1160" i="1"/>
  <c r="Y1160" i="1"/>
  <c r="V1160" i="1"/>
  <c r="T1160" i="1"/>
  <c r="S1160" i="1"/>
  <c r="R1160" i="1"/>
  <c r="Q1160" i="1"/>
  <c r="P1160" i="1"/>
  <c r="O1160" i="1"/>
  <c r="M1160" i="1"/>
  <c r="L1160" i="1"/>
  <c r="K1160" i="1"/>
  <c r="F1160" i="1"/>
  <c r="BE1159" i="1"/>
  <c r="BD1159" i="1"/>
  <c r="BC1159" i="1"/>
  <c r="BA1159" i="1"/>
  <c r="AY1159" i="1"/>
  <c r="AW1159" i="1"/>
  <c r="AU1159" i="1"/>
  <c r="AS1159" i="1"/>
  <c r="AQ1159" i="1"/>
  <c r="AO1159" i="1"/>
  <c r="Z1159" i="1"/>
  <c r="Y1159" i="1"/>
  <c r="V1159" i="1"/>
  <c r="T1159" i="1"/>
  <c r="S1159" i="1"/>
  <c r="R1159" i="1"/>
  <c r="Q1159" i="1"/>
  <c r="P1159" i="1"/>
  <c r="O1159" i="1"/>
  <c r="M1159" i="1"/>
  <c r="L1159" i="1"/>
  <c r="K1159" i="1"/>
  <c r="F1159" i="1"/>
  <c r="D1159" i="1"/>
  <c r="D1160" i="1" s="1"/>
  <c r="D1161" i="1" s="1"/>
  <c r="D1162" i="1" s="1"/>
  <c r="D1163" i="1" s="1"/>
  <c r="C1159" i="1"/>
  <c r="BE1158" i="1"/>
  <c r="BD1158" i="1"/>
  <c r="BC1158" i="1"/>
  <c r="BA1158" i="1"/>
  <c r="AY1158" i="1"/>
  <c r="AW1158" i="1"/>
  <c r="AU1158" i="1"/>
  <c r="AS1158" i="1"/>
  <c r="AQ1158" i="1"/>
  <c r="AO1158" i="1"/>
  <c r="AJ1158" i="1"/>
  <c r="Z1158" i="1"/>
  <c r="Y1158" i="1"/>
  <c r="V1158" i="1"/>
  <c r="T1158" i="1"/>
  <c r="S1158" i="1"/>
  <c r="R1158" i="1"/>
  <c r="Q1158" i="1"/>
  <c r="P1158" i="1"/>
  <c r="O1158" i="1"/>
  <c r="M1158" i="1"/>
  <c r="L1158" i="1"/>
  <c r="K1158" i="1"/>
  <c r="H1158" i="1"/>
  <c r="F1158" i="1"/>
  <c r="BE1155" i="1"/>
  <c r="Z1155" i="1"/>
  <c r="BE1154" i="1"/>
  <c r="Z1154" i="1"/>
  <c r="BE1153" i="1"/>
  <c r="Z1153" i="1"/>
  <c r="BE1152" i="1"/>
  <c r="Z1152" i="1"/>
  <c r="BE1151" i="1"/>
  <c r="Z1151" i="1"/>
  <c r="BE1150" i="1"/>
  <c r="Z1150" i="1"/>
  <c r="BE1149" i="1"/>
  <c r="Z1149" i="1"/>
  <c r="BE1148" i="1"/>
  <c r="Z1148" i="1"/>
  <c r="BE1147" i="1"/>
  <c r="Z1147" i="1"/>
  <c r="BE1146" i="1"/>
  <c r="Z1146" i="1"/>
  <c r="BE1145" i="1"/>
  <c r="AA1145" i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Z1145" i="1"/>
  <c r="BE1144" i="1"/>
  <c r="Z1144" i="1"/>
  <c r="BE1140" i="1"/>
  <c r="BD1140" i="1"/>
  <c r="AZ1140" i="1"/>
  <c r="AX1140" i="1"/>
  <c r="BE1139" i="1"/>
  <c r="BD1139" i="1"/>
  <c r="BC1139" i="1"/>
  <c r="BA1139" i="1"/>
  <c r="AY1139" i="1"/>
  <c r="AW1139" i="1"/>
  <c r="AU1139" i="1"/>
  <c r="AS1139" i="1"/>
  <c r="AQ1139" i="1"/>
  <c r="AO1139" i="1"/>
  <c r="Z1139" i="1"/>
  <c r="Y1139" i="1"/>
  <c r="V1139" i="1"/>
  <c r="T1139" i="1"/>
  <c r="S1139" i="1"/>
  <c r="R1139" i="1"/>
  <c r="Q1139" i="1"/>
  <c r="P1139" i="1"/>
  <c r="O1139" i="1"/>
  <c r="M1139" i="1"/>
  <c r="L1139" i="1"/>
  <c r="K1139" i="1"/>
  <c r="I1139" i="1"/>
  <c r="F1139" i="1"/>
  <c r="BE1138" i="1"/>
  <c r="BD1138" i="1"/>
  <c r="BC1138" i="1"/>
  <c r="BA1138" i="1"/>
  <c r="AY1138" i="1"/>
  <c r="AW1138" i="1"/>
  <c r="AU1138" i="1"/>
  <c r="AS1138" i="1"/>
  <c r="AQ1138" i="1"/>
  <c r="AO1138" i="1"/>
  <c r="Z1138" i="1"/>
  <c r="Y1138" i="1"/>
  <c r="V1138" i="1"/>
  <c r="T1138" i="1"/>
  <c r="S1138" i="1"/>
  <c r="R1138" i="1"/>
  <c r="Q1138" i="1"/>
  <c r="P1138" i="1"/>
  <c r="O1138" i="1"/>
  <c r="M1138" i="1"/>
  <c r="L1138" i="1"/>
  <c r="K1138" i="1"/>
  <c r="F1138" i="1"/>
  <c r="BE1137" i="1"/>
  <c r="BD1137" i="1"/>
  <c r="BC1137" i="1"/>
  <c r="BA1137" i="1"/>
  <c r="AY1137" i="1"/>
  <c r="AW1137" i="1"/>
  <c r="AU1137" i="1"/>
  <c r="AS1137" i="1"/>
  <c r="AQ1137" i="1"/>
  <c r="AO1137" i="1"/>
  <c r="Z1137" i="1"/>
  <c r="Y1137" i="1"/>
  <c r="V1137" i="1"/>
  <c r="T1137" i="1"/>
  <c r="S1137" i="1"/>
  <c r="R1137" i="1"/>
  <c r="Q1137" i="1"/>
  <c r="P1137" i="1"/>
  <c r="O1137" i="1"/>
  <c r="M1137" i="1"/>
  <c r="L1137" i="1"/>
  <c r="K1137" i="1"/>
  <c r="F1137" i="1"/>
  <c r="BE1136" i="1"/>
  <c r="BD1136" i="1"/>
  <c r="BC1136" i="1"/>
  <c r="BA1136" i="1"/>
  <c r="AY1136" i="1"/>
  <c r="AW1136" i="1"/>
  <c r="AU1136" i="1"/>
  <c r="AS1136" i="1"/>
  <c r="AQ1136" i="1"/>
  <c r="AO1136" i="1"/>
  <c r="Z1136" i="1"/>
  <c r="Y1136" i="1"/>
  <c r="V1136" i="1"/>
  <c r="T1136" i="1"/>
  <c r="S1136" i="1"/>
  <c r="R1136" i="1"/>
  <c r="Q1136" i="1"/>
  <c r="P1136" i="1"/>
  <c r="O1136" i="1"/>
  <c r="M1136" i="1"/>
  <c r="L1136" i="1"/>
  <c r="K1136" i="1"/>
  <c r="F1136" i="1"/>
  <c r="C1136" i="1"/>
  <c r="BE1135" i="1"/>
  <c r="BD1135" i="1"/>
  <c r="BC1135" i="1"/>
  <c r="BA1135" i="1"/>
  <c r="AY1135" i="1"/>
  <c r="AW1135" i="1"/>
  <c r="AU1135" i="1"/>
  <c r="AS1135" i="1"/>
  <c r="AQ1135" i="1"/>
  <c r="AO1135" i="1"/>
  <c r="Z1135" i="1"/>
  <c r="Y1135" i="1"/>
  <c r="V1135" i="1"/>
  <c r="T1135" i="1"/>
  <c r="S1135" i="1"/>
  <c r="R1135" i="1"/>
  <c r="Q1135" i="1"/>
  <c r="P1135" i="1"/>
  <c r="O1135" i="1"/>
  <c r="M1135" i="1"/>
  <c r="L1135" i="1"/>
  <c r="K1135" i="1"/>
  <c r="F1135" i="1"/>
  <c r="D1135" i="1"/>
  <c r="D1136" i="1" s="1"/>
  <c r="D1137" i="1" s="1"/>
  <c r="D1138" i="1" s="1"/>
  <c r="D1139" i="1" s="1"/>
  <c r="C1135" i="1"/>
  <c r="H1135" i="1" s="1"/>
  <c r="BE1134" i="1"/>
  <c r="BD1134" i="1"/>
  <c r="BC1134" i="1"/>
  <c r="BA1134" i="1"/>
  <c r="AY1134" i="1"/>
  <c r="AW1134" i="1"/>
  <c r="AU1134" i="1"/>
  <c r="AS1134" i="1"/>
  <c r="AQ1134" i="1"/>
  <c r="AO1134" i="1"/>
  <c r="AJ1134" i="1"/>
  <c r="Z1134" i="1"/>
  <c r="Y1134" i="1"/>
  <c r="V1134" i="1"/>
  <c r="T1134" i="1"/>
  <c r="S1134" i="1"/>
  <c r="R1134" i="1"/>
  <c r="Q1134" i="1"/>
  <c r="P1134" i="1"/>
  <c r="O1134" i="1"/>
  <c r="M1134" i="1"/>
  <c r="L1134" i="1"/>
  <c r="K1134" i="1"/>
  <c r="H1134" i="1"/>
  <c r="F1134" i="1"/>
  <c r="BE1133" i="1"/>
  <c r="BE1132" i="1"/>
  <c r="BD1132" i="1"/>
  <c r="BC1132" i="1"/>
  <c r="BA1132" i="1"/>
  <c r="AY1132" i="1"/>
  <c r="AW1132" i="1"/>
  <c r="AU1132" i="1"/>
  <c r="AS1132" i="1"/>
  <c r="AQ1132" i="1"/>
  <c r="AO1132" i="1"/>
  <c r="Z1132" i="1"/>
  <c r="Y1132" i="1"/>
  <c r="V1132" i="1"/>
  <c r="T1132" i="1"/>
  <c r="S1132" i="1"/>
  <c r="R1132" i="1"/>
  <c r="Q1132" i="1"/>
  <c r="P1132" i="1"/>
  <c r="O1132" i="1"/>
  <c r="M1132" i="1"/>
  <c r="L1132" i="1"/>
  <c r="K1132" i="1"/>
  <c r="I1132" i="1"/>
  <c r="F1132" i="1"/>
  <c r="BE1131" i="1"/>
  <c r="BD1131" i="1"/>
  <c r="BC1131" i="1"/>
  <c r="BA1131" i="1"/>
  <c r="AY1131" i="1"/>
  <c r="AW1131" i="1"/>
  <c r="AU1131" i="1"/>
  <c r="AS1131" i="1"/>
  <c r="AQ1131" i="1"/>
  <c r="AO1131" i="1"/>
  <c r="Z1131" i="1"/>
  <c r="Y1131" i="1"/>
  <c r="V1131" i="1"/>
  <c r="T1131" i="1"/>
  <c r="S1131" i="1"/>
  <c r="R1131" i="1"/>
  <c r="Q1131" i="1"/>
  <c r="P1131" i="1"/>
  <c r="O1131" i="1"/>
  <c r="M1131" i="1"/>
  <c r="L1131" i="1"/>
  <c r="K1131" i="1"/>
  <c r="F1131" i="1"/>
  <c r="BE1130" i="1"/>
  <c r="BD1130" i="1"/>
  <c r="BC1130" i="1"/>
  <c r="BA1130" i="1"/>
  <c r="AY1130" i="1"/>
  <c r="AW1130" i="1"/>
  <c r="AU1130" i="1"/>
  <c r="AS1130" i="1"/>
  <c r="AQ1130" i="1"/>
  <c r="AO1130" i="1"/>
  <c r="Z1130" i="1"/>
  <c r="Y1130" i="1"/>
  <c r="V1130" i="1"/>
  <c r="T1130" i="1"/>
  <c r="S1130" i="1"/>
  <c r="R1130" i="1"/>
  <c r="Q1130" i="1"/>
  <c r="P1130" i="1"/>
  <c r="O1130" i="1"/>
  <c r="M1130" i="1"/>
  <c r="L1130" i="1"/>
  <c r="K1130" i="1"/>
  <c r="F1130" i="1"/>
  <c r="BE1129" i="1"/>
  <c r="BD1129" i="1"/>
  <c r="BC1129" i="1"/>
  <c r="BA1129" i="1"/>
  <c r="AY1129" i="1"/>
  <c r="AW1129" i="1"/>
  <c r="AU1129" i="1"/>
  <c r="AS1129" i="1"/>
  <c r="AQ1129" i="1"/>
  <c r="AO1129" i="1"/>
  <c r="Z1129" i="1"/>
  <c r="Y1129" i="1"/>
  <c r="V1129" i="1"/>
  <c r="T1129" i="1"/>
  <c r="S1129" i="1"/>
  <c r="R1129" i="1"/>
  <c r="Q1129" i="1"/>
  <c r="P1129" i="1"/>
  <c r="O1129" i="1"/>
  <c r="M1129" i="1"/>
  <c r="L1129" i="1"/>
  <c r="K1129" i="1"/>
  <c r="F1129" i="1"/>
  <c r="BE1128" i="1"/>
  <c r="BD1128" i="1"/>
  <c r="BC1128" i="1"/>
  <c r="BA1128" i="1"/>
  <c r="AY1128" i="1"/>
  <c r="AW1128" i="1"/>
  <c r="AU1128" i="1"/>
  <c r="AS1128" i="1"/>
  <c r="AQ1128" i="1"/>
  <c r="AO1128" i="1"/>
  <c r="Z1128" i="1"/>
  <c r="Y1128" i="1"/>
  <c r="V1128" i="1"/>
  <c r="T1128" i="1"/>
  <c r="S1128" i="1"/>
  <c r="R1128" i="1"/>
  <c r="Q1128" i="1"/>
  <c r="P1128" i="1"/>
  <c r="O1128" i="1"/>
  <c r="M1128" i="1"/>
  <c r="L1128" i="1"/>
  <c r="K1128" i="1"/>
  <c r="F1128" i="1"/>
  <c r="D1128" i="1"/>
  <c r="D1129" i="1" s="1"/>
  <c r="D1130" i="1" s="1"/>
  <c r="D1131" i="1" s="1"/>
  <c r="D1132" i="1" s="1"/>
  <c r="C1128" i="1"/>
  <c r="BE1127" i="1"/>
  <c r="BD1127" i="1"/>
  <c r="BC1127" i="1"/>
  <c r="BA1127" i="1"/>
  <c r="AY1127" i="1"/>
  <c r="AW1127" i="1"/>
  <c r="AU1127" i="1"/>
  <c r="AS1127" i="1"/>
  <c r="AQ1127" i="1"/>
  <c r="AO1127" i="1"/>
  <c r="AJ1127" i="1"/>
  <c r="Z1127" i="1"/>
  <c r="Y1127" i="1"/>
  <c r="V1127" i="1"/>
  <c r="T1127" i="1"/>
  <c r="S1127" i="1"/>
  <c r="R1127" i="1"/>
  <c r="Q1127" i="1"/>
  <c r="P1127" i="1"/>
  <c r="O1127" i="1"/>
  <c r="M1127" i="1"/>
  <c r="L1127" i="1"/>
  <c r="K1127" i="1"/>
  <c r="H1127" i="1"/>
  <c r="F1127" i="1"/>
  <c r="BE1124" i="1"/>
  <c r="Z1124" i="1"/>
  <c r="BE1123" i="1"/>
  <c r="Z1123" i="1"/>
  <c r="BE1122" i="1"/>
  <c r="Z1122" i="1"/>
  <c r="BE1121" i="1"/>
  <c r="Z1121" i="1"/>
  <c r="BE1120" i="1"/>
  <c r="Z1120" i="1"/>
  <c r="BE1119" i="1"/>
  <c r="Z1119" i="1"/>
  <c r="BE1118" i="1"/>
  <c r="Z1118" i="1"/>
  <c r="BE1117" i="1"/>
  <c r="Z1117" i="1"/>
  <c r="BE1116" i="1"/>
  <c r="Z1116" i="1"/>
  <c r="BE1115" i="1"/>
  <c r="Z1115" i="1"/>
  <c r="BE1114" i="1"/>
  <c r="AA1114" i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Z1114" i="1"/>
  <c r="BE1113" i="1"/>
  <c r="Z1113" i="1"/>
  <c r="BE1109" i="1"/>
  <c r="BD1109" i="1"/>
  <c r="AZ1109" i="1"/>
  <c r="AX1109" i="1"/>
  <c r="BE1108" i="1"/>
  <c r="BD1108" i="1"/>
  <c r="BC1108" i="1"/>
  <c r="BA1108" i="1"/>
  <c r="AY1108" i="1"/>
  <c r="AW1108" i="1"/>
  <c r="AU1108" i="1"/>
  <c r="AS1108" i="1"/>
  <c r="AQ1108" i="1"/>
  <c r="AO1108" i="1"/>
  <c r="Z1108" i="1"/>
  <c r="Y1108" i="1"/>
  <c r="V1108" i="1"/>
  <c r="T1108" i="1"/>
  <c r="S1108" i="1"/>
  <c r="R1108" i="1"/>
  <c r="Q1108" i="1"/>
  <c r="P1108" i="1"/>
  <c r="O1108" i="1"/>
  <c r="M1108" i="1"/>
  <c r="L1108" i="1"/>
  <c r="K1108" i="1"/>
  <c r="I1108" i="1"/>
  <c r="F1108" i="1"/>
  <c r="BE1107" i="1"/>
  <c r="BD1107" i="1"/>
  <c r="BC1107" i="1"/>
  <c r="BA1107" i="1"/>
  <c r="AY1107" i="1"/>
  <c r="AW1107" i="1"/>
  <c r="AU1107" i="1"/>
  <c r="AS1107" i="1"/>
  <c r="AQ1107" i="1"/>
  <c r="AO1107" i="1"/>
  <c r="Z1107" i="1"/>
  <c r="Y1107" i="1"/>
  <c r="V1107" i="1"/>
  <c r="T1107" i="1"/>
  <c r="S1107" i="1"/>
  <c r="R1107" i="1"/>
  <c r="Q1107" i="1"/>
  <c r="P1107" i="1"/>
  <c r="O1107" i="1"/>
  <c r="M1107" i="1"/>
  <c r="L1107" i="1"/>
  <c r="K1107" i="1"/>
  <c r="F1107" i="1"/>
  <c r="BE1106" i="1"/>
  <c r="BD1106" i="1"/>
  <c r="BC1106" i="1"/>
  <c r="BA1106" i="1"/>
  <c r="AY1106" i="1"/>
  <c r="AW1106" i="1"/>
  <c r="AU1106" i="1"/>
  <c r="AS1106" i="1"/>
  <c r="AQ1106" i="1"/>
  <c r="AO1106" i="1"/>
  <c r="Z1106" i="1"/>
  <c r="Y1106" i="1"/>
  <c r="V1106" i="1"/>
  <c r="T1106" i="1"/>
  <c r="S1106" i="1"/>
  <c r="R1106" i="1"/>
  <c r="Q1106" i="1"/>
  <c r="P1106" i="1"/>
  <c r="O1106" i="1"/>
  <c r="M1106" i="1"/>
  <c r="L1106" i="1"/>
  <c r="K1106" i="1"/>
  <c r="F1106" i="1"/>
  <c r="BE1105" i="1"/>
  <c r="BD1105" i="1"/>
  <c r="BC1105" i="1"/>
  <c r="BA1105" i="1"/>
  <c r="AY1105" i="1"/>
  <c r="AW1105" i="1"/>
  <c r="AU1105" i="1"/>
  <c r="AS1105" i="1"/>
  <c r="AQ1105" i="1"/>
  <c r="AO1105" i="1"/>
  <c r="Z1105" i="1"/>
  <c r="Y1105" i="1"/>
  <c r="V1105" i="1"/>
  <c r="T1105" i="1"/>
  <c r="S1105" i="1"/>
  <c r="R1105" i="1"/>
  <c r="Q1105" i="1"/>
  <c r="P1105" i="1"/>
  <c r="O1105" i="1"/>
  <c r="M1105" i="1"/>
  <c r="L1105" i="1"/>
  <c r="K1105" i="1"/>
  <c r="F1105" i="1"/>
  <c r="BE1104" i="1"/>
  <c r="BD1104" i="1"/>
  <c r="BC1104" i="1"/>
  <c r="BA1104" i="1"/>
  <c r="AY1104" i="1"/>
  <c r="AW1104" i="1"/>
  <c r="AU1104" i="1"/>
  <c r="AS1104" i="1"/>
  <c r="AQ1104" i="1"/>
  <c r="AO1104" i="1"/>
  <c r="Z1104" i="1"/>
  <c r="Y1104" i="1"/>
  <c r="V1104" i="1"/>
  <c r="T1104" i="1"/>
  <c r="S1104" i="1"/>
  <c r="R1104" i="1"/>
  <c r="Q1104" i="1"/>
  <c r="P1104" i="1"/>
  <c r="O1104" i="1"/>
  <c r="M1104" i="1"/>
  <c r="L1104" i="1"/>
  <c r="K1104" i="1"/>
  <c r="F1104" i="1"/>
  <c r="D1104" i="1"/>
  <c r="D1105" i="1" s="1"/>
  <c r="D1106" i="1" s="1"/>
  <c r="D1107" i="1" s="1"/>
  <c r="D1108" i="1" s="1"/>
  <c r="C1104" i="1"/>
  <c r="BE1103" i="1"/>
  <c r="BD1103" i="1"/>
  <c r="BC1103" i="1"/>
  <c r="BA1103" i="1"/>
  <c r="AY1103" i="1"/>
  <c r="AW1103" i="1"/>
  <c r="AU1103" i="1"/>
  <c r="AS1103" i="1"/>
  <c r="AQ1103" i="1"/>
  <c r="AO1103" i="1"/>
  <c r="AJ1103" i="1"/>
  <c r="Z1103" i="1"/>
  <c r="Y1103" i="1"/>
  <c r="V1103" i="1"/>
  <c r="T1103" i="1"/>
  <c r="S1103" i="1"/>
  <c r="R1103" i="1"/>
  <c r="Q1103" i="1"/>
  <c r="P1103" i="1"/>
  <c r="O1103" i="1"/>
  <c r="M1103" i="1"/>
  <c r="L1103" i="1"/>
  <c r="K1103" i="1"/>
  <c r="H1103" i="1"/>
  <c r="F1103" i="1"/>
  <c r="BE1102" i="1"/>
  <c r="BE1101" i="1"/>
  <c r="BD1101" i="1"/>
  <c r="BC1101" i="1"/>
  <c r="BA1101" i="1"/>
  <c r="AY1101" i="1"/>
  <c r="AW1101" i="1"/>
  <c r="AU1101" i="1"/>
  <c r="AS1101" i="1"/>
  <c r="AQ1101" i="1"/>
  <c r="AO1101" i="1"/>
  <c r="Z1101" i="1"/>
  <c r="Y1101" i="1"/>
  <c r="V1101" i="1"/>
  <c r="T1101" i="1"/>
  <c r="S1101" i="1"/>
  <c r="R1101" i="1"/>
  <c r="Q1101" i="1"/>
  <c r="P1101" i="1"/>
  <c r="O1101" i="1"/>
  <c r="M1101" i="1"/>
  <c r="L1101" i="1"/>
  <c r="K1101" i="1"/>
  <c r="I1101" i="1"/>
  <c r="F1101" i="1"/>
  <c r="BE1100" i="1"/>
  <c r="BD1100" i="1"/>
  <c r="BC1100" i="1"/>
  <c r="BA1100" i="1"/>
  <c r="AY1100" i="1"/>
  <c r="AW1100" i="1"/>
  <c r="AU1100" i="1"/>
  <c r="AS1100" i="1"/>
  <c r="AQ1100" i="1"/>
  <c r="AO1100" i="1"/>
  <c r="Z1100" i="1"/>
  <c r="Y1100" i="1"/>
  <c r="V1100" i="1"/>
  <c r="T1100" i="1"/>
  <c r="S1100" i="1"/>
  <c r="R1100" i="1"/>
  <c r="Q1100" i="1"/>
  <c r="P1100" i="1"/>
  <c r="O1100" i="1"/>
  <c r="M1100" i="1"/>
  <c r="L1100" i="1"/>
  <c r="K1100" i="1"/>
  <c r="F1100" i="1"/>
  <c r="BE1099" i="1"/>
  <c r="BD1099" i="1"/>
  <c r="BC1099" i="1"/>
  <c r="BA1099" i="1"/>
  <c r="AY1099" i="1"/>
  <c r="AW1099" i="1"/>
  <c r="AU1099" i="1"/>
  <c r="AS1099" i="1"/>
  <c r="AQ1099" i="1"/>
  <c r="AO1099" i="1"/>
  <c r="Z1099" i="1"/>
  <c r="Y1099" i="1"/>
  <c r="V1099" i="1"/>
  <c r="T1099" i="1"/>
  <c r="S1099" i="1"/>
  <c r="R1099" i="1"/>
  <c r="Q1099" i="1"/>
  <c r="P1099" i="1"/>
  <c r="O1099" i="1"/>
  <c r="M1099" i="1"/>
  <c r="L1099" i="1"/>
  <c r="K1099" i="1"/>
  <c r="F1099" i="1"/>
  <c r="BE1098" i="1"/>
  <c r="BD1098" i="1"/>
  <c r="BC1098" i="1"/>
  <c r="BA1098" i="1"/>
  <c r="AY1098" i="1"/>
  <c r="AW1098" i="1"/>
  <c r="AU1098" i="1"/>
  <c r="AS1098" i="1"/>
  <c r="AQ1098" i="1"/>
  <c r="AO1098" i="1"/>
  <c r="Z1098" i="1"/>
  <c r="Y1098" i="1"/>
  <c r="V1098" i="1"/>
  <c r="T1098" i="1"/>
  <c r="S1098" i="1"/>
  <c r="R1098" i="1"/>
  <c r="Q1098" i="1"/>
  <c r="P1098" i="1"/>
  <c r="O1098" i="1"/>
  <c r="M1098" i="1"/>
  <c r="L1098" i="1"/>
  <c r="K1098" i="1"/>
  <c r="F1098" i="1"/>
  <c r="BE1097" i="1"/>
  <c r="BD1097" i="1"/>
  <c r="BC1097" i="1"/>
  <c r="BA1097" i="1"/>
  <c r="AY1097" i="1"/>
  <c r="AW1097" i="1"/>
  <c r="AU1097" i="1"/>
  <c r="AS1097" i="1"/>
  <c r="AQ1097" i="1"/>
  <c r="AO1097" i="1"/>
  <c r="Z1097" i="1"/>
  <c r="Y1097" i="1"/>
  <c r="V1097" i="1"/>
  <c r="T1097" i="1"/>
  <c r="S1097" i="1"/>
  <c r="R1097" i="1"/>
  <c r="Q1097" i="1"/>
  <c r="P1097" i="1"/>
  <c r="O1097" i="1"/>
  <c r="M1097" i="1"/>
  <c r="L1097" i="1"/>
  <c r="K1097" i="1"/>
  <c r="H1097" i="1"/>
  <c r="F1097" i="1"/>
  <c r="D1097" i="1"/>
  <c r="D1098" i="1" s="1"/>
  <c r="D1099" i="1" s="1"/>
  <c r="D1100" i="1" s="1"/>
  <c r="D1101" i="1" s="1"/>
  <c r="C1097" i="1"/>
  <c r="C1098" i="1" s="1"/>
  <c r="C1099" i="1" s="1"/>
  <c r="H1099" i="1" s="1"/>
  <c r="BE1096" i="1"/>
  <c r="BD1096" i="1"/>
  <c r="BC1096" i="1"/>
  <c r="BA1096" i="1"/>
  <c r="AY1096" i="1"/>
  <c r="AW1096" i="1"/>
  <c r="AU1096" i="1"/>
  <c r="AS1096" i="1"/>
  <c r="AQ1096" i="1"/>
  <c r="AO1096" i="1"/>
  <c r="AJ1096" i="1"/>
  <c r="Z1096" i="1"/>
  <c r="Y1096" i="1"/>
  <c r="V1096" i="1"/>
  <c r="T1096" i="1"/>
  <c r="S1096" i="1"/>
  <c r="R1096" i="1"/>
  <c r="Q1096" i="1"/>
  <c r="P1096" i="1"/>
  <c r="O1096" i="1"/>
  <c r="M1096" i="1"/>
  <c r="L1096" i="1"/>
  <c r="K1096" i="1"/>
  <c r="H1096" i="1"/>
  <c r="F1096" i="1"/>
  <c r="BE1093" i="1"/>
  <c r="Z1093" i="1"/>
  <c r="BE1092" i="1"/>
  <c r="Z1092" i="1"/>
  <c r="BE1091" i="1"/>
  <c r="Z1091" i="1"/>
  <c r="BE1090" i="1"/>
  <c r="Z1090" i="1"/>
  <c r="BE1089" i="1"/>
  <c r="Z1089" i="1"/>
  <c r="BE1088" i="1"/>
  <c r="Z1088" i="1"/>
  <c r="BE1087" i="1"/>
  <c r="Z1087" i="1"/>
  <c r="BE1086" i="1"/>
  <c r="Z1086" i="1"/>
  <c r="BE1085" i="1"/>
  <c r="AA1085" i="1"/>
  <c r="AA1086" i="1" s="1"/>
  <c r="AA1087" i="1" s="1"/>
  <c r="AA1088" i="1" s="1"/>
  <c r="AA1089" i="1" s="1"/>
  <c r="AA1090" i="1" s="1"/>
  <c r="AA1091" i="1" s="1"/>
  <c r="AA1092" i="1" s="1"/>
  <c r="AA1093" i="1" s="1"/>
  <c r="Z1085" i="1"/>
  <c r="BE1084" i="1"/>
  <c r="Z1084" i="1"/>
  <c r="BE1083" i="1"/>
  <c r="AA1083" i="1"/>
  <c r="AA1084" i="1" s="1"/>
  <c r="Z1083" i="1"/>
  <c r="BE1082" i="1"/>
  <c r="Z1082" i="1"/>
  <c r="BE1078" i="1"/>
  <c r="BD1078" i="1"/>
  <c r="AZ1078" i="1"/>
  <c r="AX1078" i="1"/>
  <c r="BE1077" i="1"/>
  <c r="BD1077" i="1"/>
  <c r="BC1077" i="1"/>
  <c r="BA1077" i="1"/>
  <c r="AY1077" i="1"/>
  <c r="AW1077" i="1"/>
  <c r="AU1077" i="1"/>
  <c r="AS1077" i="1"/>
  <c r="AQ1077" i="1"/>
  <c r="AO1077" i="1"/>
  <c r="Z1077" i="1"/>
  <c r="Y1077" i="1"/>
  <c r="V1077" i="1"/>
  <c r="T1077" i="1"/>
  <c r="S1077" i="1"/>
  <c r="R1077" i="1"/>
  <c r="Q1077" i="1"/>
  <c r="P1077" i="1"/>
  <c r="O1077" i="1"/>
  <c r="M1077" i="1"/>
  <c r="L1077" i="1"/>
  <c r="K1077" i="1"/>
  <c r="I1077" i="1"/>
  <c r="F1077" i="1"/>
  <c r="BE1076" i="1"/>
  <c r="BD1076" i="1"/>
  <c r="BC1076" i="1"/>
  <c r="BA1076" i="1"/>
  <c r="AY1076" i="1"/>
  <c r="AW1076" i="1"/>
  <c r="AU1076" i="1"/>
  <c r="AS1076" i="1"/>
  <c r="AQ1076" i="1"/>
  <c r="AO1076" i="1"/>
  <c r="Z1076" i="1"/>
  <c r="Y1076" i="1"/>
  <c r="V1076" i="1"/>
  <c r="T1076" i="1"/>
  <c r="S1076" i="1"/>
  <c r="R1076" i="1"/>
  <c r="Q1076" i="1"/>
  <c r="P1076" i="1"/>
  <c r="O1076" i="1"/>
  <c r="M1076" i="1"/>
  <c r="L1076" i="1"/>
  <c r="K1076" i="1"/>
  <c r="F1076" i="1"/>
  <c r="BE1075" i="1"/>
  <c r="BD1075" i="1"/>
  <c r="BC1075" i="1"/>
  <c r="BA1075" i="1"/>
  <c r="AY1075" i="1"/>
  <c r="AW1075" i="1"/>
  <c r="AU1075" i="1"/>
  <c r="AS1075" i="1"/>
  <c r="AQ1075" i="1"/>
  <c r="AO1075" i="1"/>
  <c r="Z1075" i="1"/>
  <c r="Y1075" i="1"/>
  <c r="V1075" i="1"/>
  <c r="T1075" i="1"/>
  <c r="S1075" i="1"/>
  <c r="R1075" i="1"/>
  <c r="Q1075" i="1"/>
  <c r="P1075" i="1"/>
  <c r="O1075" i="1"/>
  <c r="M1075" i="1"/>
  <c r="L1075" i="1"/>
  <c r="K1075" i="1"/>
  <c r="F1075" i="1"/>
  <c r="BE1074" i="1"/>
  <c r="BD1074" i="1"/>
  <c r="BC1074" i="1"/>
  <c r="BA1074" i="1"/>
  <c r="AY1074" i="1"/>
  <c r="AW1074" i="1"/>
  <c r="AU1074" i="1"/>
  <c r="AS1074" i="1"/>
  <c r="AQ1074" i="1"/>
  <c r="AO1074" i="1"/>
  <c r="Z1074" i="1"/>
  <c r="Y1074" i="1"/>
  <c r="V1074" i="1"/>
  <c r="T1074" i="1"/>
  <c r="S1074" i="1"/>
  <c r="R1074" i="1"/>
  <c r="Q1074" i="1"/>
  <c r="P1074" i="1"/>
  <c r="O1074" i="1"/>
  <c r="M1074" i="1"/>
  <c r="L1074" i="1"/>
  <c r="K1074" i="1"/>
  <c r="F1074" i="1"/>
  <c r="C1074" i="1"/>
  <c r="BE1073" i="1"/>
  <c r="BD1073" i="1"/>
  <c r="BC1073" i="1"/>
  <c r="BA1073" i="1"/>
  <c r="AY1073" i="1"/>
  <c r="AW1073" i="1"/>
  <c r="AU1073" i="1"/>
  <c r="AS1073" i="1"/>
  <c r="AQ1073" i="1"/>
  <c r="AO1073" i="1"/>
  <c r="Z1073" i="1"/>
  <c r="Y1073" i="1"/>
  <c r="V1073" i="1"/>
  <c r="T1073" i="1"/>
  <c r="S1073" i="1"/>
  <c r="R1073" i="1"/>
  <c r="Q1073" i="1"/>
  <c r="P1073" i="1"/>
  <c r="O1073" i="1"/>
  <c r="M1073" i="1"/>
  <c r="L1073" i="1"/>
  <c r="K1073" i="1"/>
  <c r="H1073" i="1"/>
  <c r="F1073" i="1"/>
  <c r="D1073" i="1"/>
  <c r="D1074" i="1" s="1"/>
  <c r="D1075" i="1" s="1"/>
  <c r="D1076" i="1" s="1"/>
  <c r="D1077" i="1" s="1"/>
  <c r="C1073" i="1"/>
  <c r="BE1072" i="1"/>
  <c r="BD1072" i="1"/>
  <c r="BC1072" i="1"/>
  <c r="BA1072" i="1"/>
  <c r="AY1072" i="1"/>
  <c r="AW1072" i="1"/>
  <c r="AU1072" i="1"/>
  <c r="AS1072" i="1"/>
  <c r="AQ1072" i="1"/>
  <c r="AO1072" i="1"/>
  <c r="AJ1072" i="1"/>
  <c r="Z1072" i="1"/>
  <c r="Y1072" i="1"/>
  <c r="V1072" i="1"/>
  <c r="T1072" i="1"/>
  <c r="S1072" i="1"/>
  <c r="R1072" i="1"/>
  <c r="Q1072" i="1"/>
  <c r="P1072" i="1"/>
  <c r="O1072" i="1"/>
  <c r="M1072" i="1"/>
  <c r="L1072" i="1"/>
  <c r="K1072" i="1"/>
  <c r="H1072" i="1"/>
  <c r="F1072" i="1"/>
  <c r="BE1071" i="1"/>
  <c r="BE1070" i="1"/>
  <c r="BD1070" i="1"/>
  <c r="BC1070" i="1"/>
  <c r="BA1070" i="1"/>
  <c r="AY1070" i="1"/>
  <c r="AW1070" i="1"/>
  <c r="AU1070" i="1"/>
  <c r="AS1070" i="1"/>
  <c r="AQ1070" i="1"/>
  <c r="AO1070" i="1"/>
  <c r="Z1070" i="1"/>
  <c r="Y1070" i="1"/>
  <c r="V1070" i="1"/>
  <c r="T1070" i="1"/>
  <c r="S1070" i="1"/>
  <c r="R1070" i="1"/>
  <c r="Q1070" i="1"/>
  <c r="P1070" i="1"/>
  <c r="O1070" i="1"/>
  <c r="M1070" i="1"/>
  <c r="L1070" i="1"/>
  <c r="K1070" i="1"/>
  <c r="I1070" i="1"/>
  <c r="F1070" i="1"/>
  <c r="BE1069" i="1"/>
  <c r="BD1069" i="1"/>
  <c r="BC1069" i="1"/>
  <c r="BA1069" i="1"/>
  <c r="AY1069" i="1"/>
  <c r="AW1069" i="1"/>
  <c r="AU1069" i="1"/>
  <c r="AS1069" i="1"/>
  <c r="AQ1069" i="1"/>
  <c r="AO1069" i="1"/>
  <c r="Z1069" i="1"/>
  <c r="Y1069" i="1"/>
  <c r="V1069" i="1"/>
  <c r="T1069" i="1"/>
  <c r="S1069" i="1"/>
  <c r="R1069" i="1"/>
  <c r="Q1069" i="1"/>
  <c r="P1069" i="1"/>
  <c r="O1069" i="1"/>
  <c r="M1069" i="1"/>
  <c r="L1069" i="1"/>
  <c r="K1069" i="1"/>
  <c r="F1069" i="1"/>
  <c r="BE1068" i="1"/>
  <c r="BD1068" i="1"/>
  <c r="BC1068" i="1"/>
  <c r="BA1068" i="1"/>
  <c r="AY1068" i="1"/>
  <c r="AW1068" i="1"/>
  <c r="AU1068" i="1"/>
  <c r="AS1068" i="1"/>
  <c r="AQ1068" i="1"/>
  <c r="AO1068" i="1"/>
  <c r="Z1068" i="1"/>
  <c r="Y1068" i="1"/>
  <c r="V1068" i="1"/>
  <c r="T1068" i="1"/>
  <c r="S1068" i="1"/>
  <c r="R1068" i="1"/>
  <c r="Q1068" i="1"/>
  <c r="P1068" i="1"/>
  <c r="O1068" i="1"/>
  <c r="M1068" i="1"/>
  <c r="L1068" i="1"/>
  <c r="K1068" i="1"/>
  <c r="F1068" i="1"/>
  <c r="BE1067" i="1"/>
  <c r="BD1067" i="1"/>
  <c r="BC1067" i="1"/>
  <c r="BA1067" i="1"/>
  <c r="AY1067" i="1"/>
  <c r="AW1067" i="1"/>
  <c r="AU1067" i="1"/>
  <c r="AS1067" i="1"/>
  <c r="AQ1067" i="1"/>
  <c r="AO1067" i="1"/>
  <c r="Z1067" i="1"/>
  <c r="Y1067" i="1"/>
  <c r="V1067" i="1"/>
  <c r="T1067" i="1"/>
  <c r="S1067" i="1"/>
  <c r="R1067" i="1"/>
  <c r="Q1067" i="1"/>
  <c r="P1067" i="1"/>
  <c r="O1067" i="1"/>
  <c r="M1067" i="1"/>
  <c r="L1067" i="1"/>
  <c r="K1067" i="1"/>
  <c r="F1067" i="1"/>
  <c r="BE1066" i="1"/>
  <c r="BD1066" i="1"/>
  <c r="BC1066" i="1"/>
  <c r="BA1066" i="1"/>
  <c r="AY1066" i="1"/>
  <c r="AW1066" i="1"/>
  <c r="AU1066" i="1"/>
  <c r="AS1066" i="1"/>
  <c r="AQ1066" i="1"/>
  <c r="AO1066" i="1"/>
  <c r="Z1066" i="1"/>
  <c r="Y1066" i="1"/>
  <c r="V1066" i="1"/>
  <c r="T1066" i="1"/>
  <c r="S1066" i="1"/>
  <c r="R1066" i="1"/>
  <c r="Q1066" i="1"/>
  <c r="P1066" i="1"/>
  <c r="O1066" i="1"/>
  <c r="M1066" i="1"/>
  <c r="L1066" i="1"/>
  <c r="K1066" i="1"/>
  <c r="F1066" i="1"/>
  <c r="D1066" i="1"/>
  <c r="D1067" i="1" s="1"/>
  <c r="D1068" i="1" s="1"/>
  <c r="D1069" i="1" s="1"/>
  <c r="D1070" i="1" s="1"/>
  <c r="C1066" i="1"/>
  <c r="BE1065" i="1"/>
  <c r="BD1065" i="1"/>
  <c r="BC1065" i="1"/>
  <c r="BA1065" i="1"/>
  <c r="AY1065" i="1"/>
  <c r="AW1065" i="1"/>
  <c r="AU1065" i="1"/>
  <c r="AS1065" i="1"/>
  <c r="AQ1065" i="1"/>
  <c r="AO1065" i="1"/>
  <c r="AJ1065" i="1"/>
  <c r="Z1065" i="1"/>
  <c r="Y1065" i="1"/>
  <c r="V1065" i="1"/>
  <c r="T1065" i="1"/>
  <c r="S1065" i="1"/>
  <c r="R1065" i="1"/>
  <c r="Q1065" i="1"/>
  <c r="P1065" i="1"/>
  <c r="O1065" i="1"/>
  <c r="M1065" i="1"/>
  <c r="L1065" i="1"/>
  <c r="K1065" i="1"/>
  <c r="H1065" i="1"/>
  <c r="F1065" i="1"/>
  <c r="BE1062" i="1"/>
  <c r="Z1062" i="1"/>
  <c r="BE1061" i="1"/>
  <c r="Z1061" i="1"/>
  <c r="BE1060" i="1"/>
  <c r="Z1060" i="1"/>
  <c r="BE1059" i="1"/>
  <c r="Z1059" i="1"/>
  <c r="BE1058" i="1"/>
  <c r="Z1058" i="1"/>
  <c r="BE1057" i="1"/>
  <c r="Z1057" i="1"/>
  <c r="BE1056" i="1"/>
  <c r="Z1056" i="1"/>
  <c r="BE1055" i="1"/>
  <c r="Z1055" i="1"/>
  <c r="BE1054" i="1"/>
  <c r="Z1054" i="1"/>
  <c r="BE1053" i="1"/>
  <c r="AA1053" i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Z1053" i="1"/>
  <c r="BE1052" i="1"/>
  <c r="AA1052" i="1"/>
  <c r="Z1052" i="1"/>
  <c r="BE1051" i="1"/>
  <c r="Z1051" i="1"/>
  <c r="BE1047" i="1"/>
  <c r="BD1047" i="1"/>
  <c r="AZ1047" i="1"/>
  <c r="AX1047" i="1"/>
  <c r="BE1046" i="1"/>
  <c r="BD1046" i="1"/>
  <c r="BC1046" i="1"/>
  <c r="BA1046" i="1"/>
  <c r="AY1046" i="1"/>
  <c r="AW1046" i="1"/>
  <c r="AU1046" i="1"/>
  <c r="AS1046" i="1"/>
  <c r="AQ1046" i="1"/>
  <c r="AO1046" i="1"/>
  <c r="Z1046" i="1"/>
  <c r="Y1046" i="1"/>
  <c r="V1046" i="1"/>
  <c r="T1046" i="1"/>
  <c r="S1046" i="1"/>
  <c r="R1046" i="1"/>
  <c r="Q1046" i="1"/>
  <c r="P1046" i="1"/>
  <c r="O1046" i="1"/>
  <c r="M1046" i="1"/>
  <c r="L1046" i="1"/>
  <c r="K1046" i="1"/>
  <c r="I1046" i="1"/>
  <c r="F1046" i="1"/>
  <c r="BE1045" i="1"/>
  <c r="BD1045" i="1"/>
  <c r="BC1045" i="1"/>
  <c r="BA1045" i="1"/>
  <c r="AY1045" i="1"/>
  <c r="AW1045" i="1"/>
  <c r="AU1045" i="1"/>
  <c r="AS1045" i="1"/>
  <c r="AQ1045" i="1"/>
  <c r="AO1045" i="1"/>
  <c r="Z1045" i="1"/>
  <c r="Y1045" i="1"/>
  <c r="V1045" i="1"/>
  <c r="T1045" i="1"/>
  <c r="S1045" i="1"/>
  <c r="R1045" i="1"/>
  <c r="Q1045" i="1"/>
  <c r="P1045" i="1"/>
  <c r="O1045" i="1"/>
  <c r="M1045" i="1"/>
  <c r="L1045" i="1"/>
  <c r="K1045" i="1"/>
  <c r="F1045" i="1"/>
  <c r="BE1044" i="1"/>
  <c r="BD1044" i="1"/>
  <c r="BC1044" i="1"/>
  <c r="BA1044" i="1"/>
  <c r="AY1044" i="1"/>
  <c r="AW1044" i="1"/>
  <c r="AU1044" i="1"/>
  <c r="AS1044" i="1"/>
  <c r="AQ1044" i="1"/>
  <c r="AO1044" i="1"/>
  <c r="Z1044" i="1"/>
  <c r="Y1044" i="1"/>
  <c r="V1044" i="1"/>
  <c r="T1044" i="1"/>
  <c r="S1044" i="1"/>
  <c r="R1044" i="1"/>
  <c r="Q1044" i="1"/>
  <c r="P1044" i="1"/>
  <c r="O1044" i="1"/>
  <c r="M1044" i="1"/>
  <c r="L1044" i="1"/>
  <c r="K1044" i="1"/>
  <c r="F1044" i="1"/>
  <c r="BE1043" i="1"/>
  <c r="BD1043" i="1"/>
  <c r="BC1043" i="1"/>
  <c r="BA1043" i="1"/>
  <c r="AY1043" i="1"/>
  <c r="AW1043" i="1"/>
  <c r="AU1043" i="1"/>
  <c r="AS1043" i="1"/>
  <c r="AQ1043" i="1"/>
  <c r="AO1043" i="1"/>
  <c r="Z1043" i="1"/>
  <c r="Y1043" i="1"/>
  <c r="V1043" i="1"/>
  <c r="T1043" i="1"/>
  <c r="S1043" i="1"/>
  <c r="R1043" i="1"/>
  <c r="Q1043" i="1"/>
  <c r="P1043" i="1"/>
  <c r="O1043" i="1"/>
  <c r="M1043" i="1"/>
  <c r="L1043" i="1"/>
  <c r="K1043" i="1"/>
  <c r="F1043" i="1"/>
  <c r="BE1042" i="1"/>
  <c r="BD1042" i="1"/>
  <c r="BC1042" i="1"/>
  <c r="BA1042" i="1"/>
  <c r="AY1042" i="1"/>
  <c r="AW1042" i="1"/>
  <c r="AU1042" i="1"/>
  <c r="AS1042" i="1"/>
  <c r="AQ1042" i="1"/>
  <c r="AO1042" i="1"/>
  <c r="Z1042" i="1"/>
  <c r="Y1042" i="1"/>
  <c r="V1042" i="1"/>
  <c r="T1042" i="1"/>
  <c r="S1042" i="1"/>
  <c r="R1042" i="1"/>
  <c r="Q1042" i="1"/>
  <c r="P1042" i="1"/>
  <c r="O1042" i="1"/>
  <c r="M1042" i="1"/>
  <c r="L1042" i="1"/>
  <c r="K1042" i="1"/>
  <c r="F1042" i="1"/>
  <c r="D1042" i="1"/>
  <c r="D1043" i="1" s="1"/>
  <c r="D1044" i="1" s="1"/>
  <c r="D1045" i="1" s="1"/>
  <c r="D1046" i="1" s="1"/>
  <c r="C1042" i="1"/>
  <c r="BE1041" i="1"/>
  <c r="BD1041" i="1"/>
  <c r="BC1041" i="1"/>
  <c r="BA1041" i="1"/>
  <c r="AY1041" i="1"/>
  <c r="AW1041" i="1"/>
  <c r="AU1041" i="1"/>
  <c r="AS1041" i="1"/>
  <c r="AQ1041" i="1"/>
  <c r="AO1041" i="1"/>
  <c r="AJ1041" i="1"/>
  <c r="Z1041" i="1"/>
  <c r="Y1041" i="1"/>
  <c r="V1041" i="1"/>
  <c r="T1041" i="1"/>
  <c r="S1041" i="1"/>
  <c r="R1041" i="1"/>
  <c r="Q1041" i="1"/>
  <c r="P1041" i="1"/>
  <c r="O1041" i="1"/>
  <c r="M1041" i="1"/>
  <c r="L1041" i="1"/>
  <c r="K1041" i="1"/>
  <c r="H1041" i="1"/>
  <c r="F1041" i="1"/>
  <c r="BE1040" i="1"/>
  <c r="BE1039" i="1"/>
  <c r="BD1039" i="1"/>
  <c r="BC1039" i="1"/>
  <c r="BA1039" i="1"/>
  <c r="AY1039" i="1"/>
  <c r="AW1039" i="1"/>
  <c r="AU1039" i="1"/>
  <c r="AS1039" i="1"/>
  <c r="AQ1039" i="1"/>
  <c r="AO1039" i="1"/>
  <c r="Z1039" i="1"/>
  <c r="Y1039" i="1"/>
  <c r="V1039" i="1"/>
  <c r="T1039" i="1"/>
  <c r="S1039" i="1"/>
  <c r="R1039" i="1"/>
  <c r="Q1039" i="1"/>
  <c r="P1039" i="1"/>
  <c r="O1039" i="1"/>
  <c r="M1039" i="1"/>
  <c r="L1039" i="1"/>
  <c r="K1039" i="1"/>
  <c r="I1039" i="1"/>
  <c r="F1039" i="1"/>
  <c r="BE1038" i="1"/>
  <c r="BD1038" i="1"/>
  <c r="BC1038" i="1"/>
  <c r="BA1038" i="1"/>
  <c r="AY1038" i="1"/>
  <c r="AW1038" i="1"/>
  <c r="AU1038" i="1"/>
  <c r="AS1038" i="1"/>
  <c r="AQ1038" i="1"/>
  <c r="AO1038" i="1"/>
  <c r="Z1038" i="1"/>
  <c r="Y1038" i="1"/>
  <c r="V1038" i="1"/>
  <c r="T1038" i="1"/>
  <c r="S1038" i="1"/>
  <c r="R1038" i="1"/>
  <c r="Q1038" i="1"/>
  <c r="P1038" i="1"/>
  <c r="O1038" i="1"/>
  <c r="M1038" i="1"/>
  <c r="L1038" i="1"/>
  <c r="K1038" i="1"/>
  <c r="F1038" i="1"/>
  <c r="BE1037" i="1"/>
  <c r="BD1037" i="1"/>
  <c r="BC1037" i="1"/>
  <c r="BA1037" i="1"/>
  <c r="AY1037" i="1"/>
  <c r="AW1037" i="1"/>
  <c r="AU1037" i="1"/>
  <c r="AS1037" i="1"/>
  <c r="AQ1037" i="1"/>
  <c r="AO1037" i="1"/>
  <c r="Z1037" i="1"/>
  <c r="Y1037" i="1"/>
  <c r="V1037" i="1"/>
  <c r="T1037" i="1"/>
  <c r="S1037" i="1"/>
  <c r="R1037" i="1"/>
  <c r="Q1037" i="1"/>
  <c r="P1037" i="1"/>
  <c r="O1037" i="1"/>
  <c r="M1037" i="1"/>
  <c r="L1037" i="1"/>
  <c r="K1037" i="1"/>
  <c r="F1037" i="1"/>
  <c r="BE1036" i="1"/>
  <c r="BD1036" i="1"/>
  <c r="BC1036" i="1"/>
  <c r="BA1036" i="1"/>
  <c r="AY1036" i="1"/>
  <c r="AW1036" i="1"/>
  <c r="AU1036" i="1"/>
  <c r="AS1036" i="1"/>
  <c r="AQ1036" i="1"/>
  <c r="AO1036" i="1"/>
  <c r="Z1036" i="1"/>
  <c r="Y1036" i="1"/>
  <c r="V1036" i="1"/>
  <c r="T1036" i="1"/>
  <c r="S1036" i="1"/>
  <c r="R1036" i="1"/>
  <c r="Q1036" i="1"/>
  <c r="P1036" i="1"/>
  <c r="O1036" i="1"/>
  <c r="M1036" i="1"/>
  <c r="L1036" i="1"/>
  <c r="K1036" i="1"/>
  <c r="F1036" i="1"/>
  <c r="BE1035" i="1"/>
  <c r="BD1035" i="1"/>
  <c r="BC1035" i="1"/>
  <c r="BA1035" i="1"/>
  <c r="AY1035" i="1"/>
  <c r="AW1035" i="1"/>
  <c r="AU1035" i="1"/>
  <c r="AS1035" i="1"/>
  <c r="AQ1035" i="1"/>
  <c r="AO1035" i="1"/>
  <c r="Z1035" i="1"/>
  <c r="Y1035" i="1"/>
  <c r="V1035" i="1"/>
  <c r="T1035" i="1"/>
  <c r="S1035" i="1"/>
  <c r="R1035" i="1"/>
  <c r="Q1035" i="1"/>
  <c r="P1035" i="1"/>
  <c r="O1035" i="1"/>
  <c r="M1035" i="1"/>
  <c r="L1035" i="1"/>
  <c r="K1035" i="1"/>
  <c r="F1035" i="1"/>
  <c r="D1035" i="1"/>
  <c r="D1036" i="1" s="1"/>
  <c r="D1037" i="1" s="1"/>
  <c r="D1038" i="1" s="1"/>
  <c r="D1039" i="1" s="1"/>
  <c r="C1035" i="1"/>
  <c r="BE1034" i="1"/>
  <c r="BD1034" i="1"/>
  <c r="BC1034" i="1"/>
  <c r="BA1034" i="1"/>
  <c r="AY1034" i="1"/>
  <c r="AW1034" i="1"/>
  <c r="AU1034" i="1"/>
  <c r="AS1034" i="1"/>
  <c r="AQ1034" i="1"/>
  <c r="AO1034" i="1"/>
  <c r="AJ1034" i="1"/>
  <c r="Z1034" i="1"/>
  <c r="Y1034" i="1"/>
  <c r="V1034" i="1"/>
  <c r="T1034" i="1"/>
  <c r="S1034" i="1"/>
  <c r="R1034" i="1"/>
  <c r="Q1034" i="1"/>
  <c r="P1034" i="1"/>
  <c r="O1034" i="1"/>
  <c r="M1034" i="1"/>
  <c r="L1034" i="1"/>
  <c r="K1034" i="1"/>
  <c r="H1034" i="1"/>
  <c r="F1034" i="1"/>
  <c r="BE1031" i="1"/>
  <c r="Z1031" i="1"/>
  <c r="BE1030" i="1"/>
  <c r="Z1030" i="1"/>
  <c r="BE1029" i="1"/>
  <c r="Z1029" i="1"/>
  <c r="BE1028" i="1"/>
  <c r="Z1028" i="1"/>
  <c r="BE1027" i="1"/>
  <c r="Z1027" i="1"/>
  <c r="BE1026" i="1"/>
  <c r="Z1026" i="1"/>
  <c r="BE1025" i="1"/>
  <c r="Z1025" i="1"/>
  <c r="BE1024" i="1"/>
  <c r="Z1024" i="1"/>
  <c r="BE1023" i="1"/>
  <c r="Z1023" i="1"/>
  <c r="BE1022" i="1"/>
  <c r="Z1022" i="1"/>
  <c r="BE1021" i="1"/>
  <c r="AA1021" i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Z1021" i="1"/>
  <c r="BE1020" i="1"/>
  <c r="Z1020" i="1"/>
  <c r="BE1016" i="1"/>
  <c r="BD1016" i="1"/>
  <c r="AZ1016" i="1"/>
  <c r="AX1016" i="1"/>
  <c r="BE1015" i="1"/>
  <c r="BD1015" i="1"/>
  <c r="BC1015" i="1"/>
  <c r="BA1015" i="1"/>
  <c r="AY1015" i="1"/>
  <c r="AW1015" i="1"/>
  <c r="AU1015" i="1"/>
  <c r="AS1015" i="1"/>
  <c r="AQ1015" i="1"/>
  <c r="AO1015" i="1"/>
  <c r="Z1015" i="1"/>
  <c r="Y1015" i="1"/>
  <c r="V1015" i="1"/>
  <c r="T1015" i="1"/>
  <c r="S1015" i="1"/>
  <c r="R1015" i="1"/>
  <c r="Q1015" i="1"/>
  <c r="P1015" i="1"/>
  <c r="O1015" i="1"/>
  <c r="M1015" i="1"/>
  <c r="L1015" i="1"/>
  <c r="K1015" i="1"/>
  <c r="I1015" i="1"/>
  <c r="F1015" i="1"/>
  <c r="BE1014" i="1"/>
  <c r="BD1014" i="1"/>
  <c r="BC1014" i="1"/>
  <c r="BA1014" i="1"/>
  <c r="AY1014" i="1"/>
  <c r="AW1014" i="1"/>
  <c r="AU1014" i="1"/>
  <c r="AS1014" i="1"/>
  <c r="AQ1014" i="1"/>
  <c r="AO1014" i="1"/>
  <c r="Z1014" i="1"/>
  <c r="Y1014" i="1"/>
  <c r="V1014" i="1"/>
  <c r="T1014" i="1"/>
  <c r="S1014" i="1"/>
  <c r="R1014" i="1"/>
  <c r="Q1014" i="1"/>
  <c r="P1014" i="1"/>
  <c r="O1014" i="1"/>
  <c r="M1014" i="1"/>
  <c r="L1014" i="1"/>
  <c r="K1014" i="1"/>
  <c r="F1014" i="1"/>
  <c r="BE1013" i="1"/>
  <c r="BD1013" i="1"/>
  <c r="BC1013" i="1"/>
  <c r="BA1013" i="1"/>
  <c r="AY1013" i="1"/>
  <c r="AW1013" i="1"/>
  <c r="AU1013" i="1"/>
  <c r="AS1013" i="1"/>
  <c r="AQ1013" i="1"/>
  <c r="AO1013" i="1"/>
  <c r="Z1013" i="1"/>
  <c r="Y1013" i="1"/>
  <c r="V1013" i="1"/>
  <c r="T1013" i="1"/>
  <c r="S1013" i="1"/>
  <c r="R1013" i="1"/>
  <c r="Q1013" i="1"/>
  <c r="P1013" i="1"/>
  <c r="O1013" i="1"/>
  <c r="M1013" i="1"/>
  <c r="L1013" i="1"/>
  <c r="K1013" i="1"/>
  <c r="F1013" i="1"/>
  <c r="BE1012" i="1"/>
  <c r="BD1012" i="1"/>
  <c r="BC1012" i="1"/>
  <c r="BA1012" i="1"/>
  <c r="AY1012" i="1"/>
  <c r="AW1012" i="1"/>
  <c r="AU1012" i="1"/>
  <c r="AS1012" i="1"/>
  <c r="AQ1012" i="1"/>
  <c r="AO1012" i="1"/>
  <c r="Z1012" i="1"/>
  <c r="Y1012" i="1"/>
  <c r="V1012" i="1"/>
  <c r="T1012" i="1"/>
  <c r="S1012" i="1"/>
  <c r="R1012" i="1"/>
  <c r="Q1012" i="1"/>
  <c r="P1012" i="1"/>
  <c r="O1012" i="1"/>
  <c r="M1012" i="1"/>
  <c r="L1012" i="1"/>
  <c r="K1012" i="1"/>
  <c r="F1012" i="1"/>
  <c r="BE1011" i="1"/>
  <c r="BD1011" i="1"/>
  <c r="BC1011" i="1"/>
  <c r="BA1011" i="1"/>
  <c r="AY1011" i="1"/>
  <c r="AW1011" i="1"/>
  <c r="AU1011" i="1"/>
  <c r="AS1011" i="1"/>
  <c r="AQ1011" i="1"/>
  <c r="AO1011" i="1"/>
  <c r="Z1011" i="1"/>
  <c r="Y1011" i="1"/>
  <c r="V1011" i="1"/>
  <c r="T1011" i="1"/>
  <c r="S1011" i="1"/>
  <c r="R1011" i="1"/>
  <c r="Q1011" i="1"/>
  <c r="P1011" i="1"/>
  <c r="O1011" i="1"/>
  <c r="M1011" i="1"/>
  <c r="L1011" i="1"/>
  <c r="K1011" i="1"/>
  <c r="F1011" i="1"/>
  <c r="D1011" i="1"/>
  <c r="D1012" i="1" s="1"/>
  <c r="D1013" i="1" s="1"/>
  <c r="D1014" i="1" s="1"/>
  <c r="D1015" i="1" s="1"/>
  <c r="C1011" i="1"/>
  <c r="H1011" i="1" s="1"/>
  <c r="BE1010" i="1"/>
  <c r="BD1010" i="1"/>
  <c r="BC1010" i="1"/>
  <c r="BA1010" i="1"/>
  <c r="AY1010" i="1"/>
  <c r="AW1010" i="1"/>
  <c r="AU1010" i="1"/>
  <c r="AS1010" i="1"/>
  <c r="AQ1010" i="1"/>
  <c r="AO1010" i="1"/>
  <c r="AJ1010" i="1"/>
  <c r="Z1010" i="1"/>
  <c r="Y1010" i="1"/>
  <c r="V1010" i="1"/>
  <c r="T1010" i="1"/>
  <c r="S1010" i="1"/>
  <c r="R1010" i="1"/>
  <c r="Q1010" i="1"/>
  <c r="P1010" i="1"/>
  <c r="O1010" i="1"/>
  <c r="M1010" i="1"/>
  <c r="L1010" i="1"/>
  <c r="K1010" i="1"/>
  <c r="H1010" i="1"/>
  <c r="F1010" i="1"/>
  <c r="BE1009" i="1"/>
  <c r="BE1008" i="1"/>
  <c r="BD1008" i="1"/>
  <c r="BC1008" i="1"/>
  <c r="BA1008" i="1"/>
  <c r="AY1008" i="1"/>
  <c r="AW1008" i="1"/>
  <c r="AU1008" i="1"/>
  <c r="AS1008" i="1"/>
  <c r="AQ1008" i="1"/>
  <c r="AO1008" i="1"/>
  <c r="Z1008" i="1"/>
  <c r="Y1008" i="1"/>
  <c r="V1008" i="1"/>
  <c r="T1008" i="1"/>
  <c r="S1008" i="1"/>
  <c r="R1008" i="1"/>
  <c r="Q1008" i="1"/>
  <c r="P1008" i="1"/>
  <c r="O1008" i="1"/>
  <c r="M1008" i="1"/>
  <c r="L1008" i="1"/>
  <c r="K1008" i="1"/>
  <c r="I1008" i="1"/>
  <c r="F1008" i="1"/>
  <c r="BE1007" i="1"/>
  <c r="BD1007" i="1"/>
  <c r="BC1007" i="1"/>
  <c r="BA1007" i="1"/>
  <c r="AY1007" i="1"/>
  <c r="AW1007" i="1"/>
  <c r="AU1007" i="1"/>
  <c r="AS1007" i="1"/>
  <c r="AQ1007" i="1"/>
  <c r="AO1007" i="1"/>
  <c r="Z1007" i="1"/>
  <c r="Y1007" i="1"/>
  <c r="V1007" i="1"/>
  <c r="T1007" i="1"/>
  <c r="S1007" i="1"/>
  <c r="R1007" i="1"/>
  <c r="Q1007" i="1"/>
  <c r="P1007" i="1"/>
  <c r="O1007" i="1"/>
  <c r="M1007" i="1"/>
  <c r="L1007" i="1"/>
  <c r="K1007" i="1"/>
  <c r="F1007" i="1"/>
  <c r="BE1006" i="1"/>
  <c r="BD1006" i="1"/>
  <c r="BC1006" i="1"/>
  <c r="BA1006" i="1"/>
  <c r="AY1006" i="1"/>
  <c r="AW1006" i="1"/>
  <c r="AU1006" i="1"/>
  <c r="AS1006" i="1"/>
  <c r="AQ1006" i="1"/>
  <c r="AO1006" i="1"/>
  <c r="Z1006" i="1"/>
  <c r="Y1006" i="1"/>
  <c r="V1006" i="1"/>
  <c r="T1006" i="1"/>
  <c r="S1006" i="1"/>
  <c r="R1006" i="1"/>
  <c r="Q1006" i="1"/>
  <c r="P1006" i="1"/>
  <c r="O1006" i="1"/>
  <c r="M1006" i="1"/>
  <c r="L1006" i="1"/>
  <c r="K1006" i="1"/>
  <c r="F1006" i="1"/>
  <c r="BE1005" i="1"/>
  <c r="BD1005" i="1"/>
  <c r="BC1005" i="1"/>
  <c r="BA1005" i="1"/>
  <c r="AY1005" i="1"/>
  <c r="AW1005" i="1"/>
  <c r="AU1005" i="1"/>
  <c r="AS1005" i="1"/>
  <c r="AQ1005" i="1"/>
  <c r="AO1005" i="1"/>
  <c r="Z1005" i="1"/>
  <c r="Y1005" i="1"/>
  <c r="V1005" i="1"/>
  <c r="T1005" i="1"/>
  <c r="S1005" i="1"/>
  <c r="R1005" i="1"/>
  <c r="Q1005" i="1"/>
  <c r="P1005" i="1"/>
  <c r="O1005" i="1"/>
  <c r="M1005" i="1"/>
  <c r="L1005" i="1"/>
  <c r="K1005" i="1"/>
  <c r="F1005" i="1"/>
  <c r="BE1004" i="1"/>
  <c r="BD1004" i="1"/>
  <c r="BC1004" i="1"/>
  <c r="BA1004" i="1"/>
  <c r="AY1004" i="1"/>
  <c r="AW1004" i="1"/>
  <c r="AU1004" i="1"/>
  <c r="AS1004" i="1"/>
  <c r="AQ1004" i="1"/>
  <c r="AO1004" i="1"/>
  <c r="Z1004" i="1"/>
  <c r="Y1004" i="1"/>
  <c r="V1004" i="1"/>
  <c r="T1004" i="1"/>
  <c r="S1004" i="1"/>
  <c r="R1004" i="1"/>
  <c r="Q1004" i="1"/>
  <c r="P1004" i="1"/>
  <c r="O1004" i="1"/>
  <c r="M1004" i="1"/>
  <c r="L1004" i="1"/>
  <c r="K1004" i="1"/>
  <c r="F1004" i="1"/>
  <c r="D1004" i="1"/>
  <c r="D1005" i="1" s="1"/>
  <c r="D1006" i="1" s="1"/>
  <c r="D1007" i="1" s="1"/>
  <c r="D1008" i="1" s="1"/>
  <c r="C1004" i="1"/>
  <c r="BE1003" i="1"/>
  <c r="BD1003" i="1"/>
  <c r="BC1003" i="1"/>
  <c r="BA1003" i="1"/>
  <c r="AY1003" i="1"/>
  <c r="AW1003" i="1"/>
  <c r="AU1003" i="1"/>
  <c r="AS1003" i="1"/>
  <c r="AQ1003" i="1"/>
  <c r="AO1003" i="1"/>
  <c r="AJ1003" i="1"/>
  <c r="Z1003" i="1"/>
  <c r="Y1003" i="1"/>
  <c r="V1003" i="1"/>
  <c r="T1003" i="1"/>
  <c r="S1003" i="1"/>
  <c r="R1003" i="1"/>
  <c r="Q1003" i="1"/>
  <c r="P1003" i="1"/>
  <c r="O1003" i="1"/>
  <c r="M1003" i="1"/>
  <c r="L1003" i="1"/>
  <c r="K1003" i="1"/>
  <c r="H1003" i="1"/>
  <c r="F1003" i="1"/>
  <c r="BE1000" i="1"/>
  <c r="Z1000" i="1"/>
  <c r="BE999" i="1"/>
  <c r="Z999" i="1"/>
  <c r="BE998" i="1"/>
  <c r="Z998" i="1"/>
  <c r="BE997" i="1"/>
  <c r="Z997" i="1"/>
  <c r="BE996" i="1"/>
  <c r="Z996" i="1"/>
  <c r="BE995" i="1"/>
  <c r="Z995" i="1"/>
  <c r="BE994" i="1"/>
  <c r="Z994" i="1"/>
  <c r="BE993" i="1"/>
  <c r="Z993" i="1"/>
  <c r="BE992" i="1"/>
  <c r="Z992" i="1"/>
  <c r="BE991" i="1"/>
  <c r="Z991" i="1"/>
  <c r="BE990" i="1"/>
  <c r="AA990" i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Z990" i="1"/>
  <c r="BE989" i="1"/>
  <c r="Z989" i="1"/>
  <c r="BE985" i="1"/>
  <c r="BD985" i="1"/>
  <c r="AZ985" i="1"/>
  <c r="AX985" i="1"/>
  <c r="BE984" i="1"/>
  <c r="BD984" i="1"/>
  <c r="BC984" i="1"/>
  <c r="BA984" i="1"/>
  <c r="AY984" i="1"/>
  <c r="AW984" i="1"/>
  <c r="AU984" i="1"/>
  <c r="AS984" i="1"/>
  <c r="AQ984" i="1"/>
  <c r="AO984" i="1"/>
  <c r="Z984" i="1"/>
  <c r="Y984" i="1"/>
  <c r="V984" i="1"/>
  <c r="T984" i="1"/>
  <c r="S984" i="1"/>
  <c r="R984" i="1"/>
  <c r="Q984" i="1"/>
  <c r="P984" i="1"/>
  <c r="O984" i="1"/>
  <c r="M984" i="1"/>
  <c r="L984" i="1"/>
  <c r="K984" i="1"/>
  <c r="I984" i="1"/>
  <c r="F984" i="1"/>
  <c r="BE983" i="1"/>
  <c r="BD983" i="1"/>
  <c r="BC983" i="1"/>
  <c r="BA983" i="1"/>
  <c r="AY983" i="1"/>
  <c r="AW983" i="1"/>
  <c r="AU983" i="1"/>
  <c r="AS983" i="1"/>
  <c r="AQ983" i="1"/>
  <c r="AO983" i="1"/>
  <c r="Z983" i="1"/>
  <c r="Y983" i="1"/>
  <c r="V983" i="1"/>
  <c r="T983" i="1"/>
  <c r="S983" i="1"/>
  <c r="R983" i="1"/>
  <c r="Q983" i="1"/>
  <c r="P983" i="1"/>
  <c r="O983" i="1"/>
  <c r="M983" i="1"/>
  <c r="L983" i="1"/>
  <c r="K983" i="1"/>
  <c r="F983" i="1"/>
  <c r="BE982" i="1"/>
  <c r="BD982" i="1"/>
  <c r="BC982" i="1"/>
  <c r="BA982" i="1"/>
  <c r="AY982" i="1"/>
  <c r="AW982" i="1"/>
  <c r="AU982" i="1"/>
  <c r="AS982" i="1"/>
  <c r="AQ982" i="1"/>
  <c r="AO982" i="1"/>
  <c r="Z982" i="1"/>
  <c r="Y982" i="1"/>
  <c r="V982" i="1"/>
  <c r="T982" i="1"/>
  <c r="S982" i="1"/>
  <c r="R982" i="1"/>
  <c r="Q982" i="1"/>
  <c r="P982" i="1"/>
  <c r="O982" i="1"/>
  <c r="M982" i="1"/>
  <c r="L982" i="1"/>
  <c r="K982" i="1"/>
  <c r="F982" i="1"/>
  <c r="BE981" i="1"/>
  <c r="BD981" i="1"/>
  <c r="BC981" i="1"/>
  <c r="BA981" i="1"/>
  <c r="AY981" i="1"/>
  <c r="AW981" i="1"/>
  <c r="AU981" i="1"/>
  <c r="AS981" i="1"/>
  <c r="AQ981" i="1"/>
  <c r="AO981" i="1"/>
  <c r="Z981" i="1"/>
  <c r="Y981" i="1"/>
  <c r="V981" i="1"/>
  <c r="T981" i="1"/>
  <c r="S981" i="1"/>
  <c r="R981" i="1"/>
  <c r="Q981" i="1"/>
  <c r="P981" i="1"/>
  <c r="O981" i="1"/>
  <c r="M981" i="1"/>
  <c r="L981" i="1"/>
  <c r="K981" i="1"/>
  <c r="F981" i="1"/>
  <c r="BE980" i="1"/>
  <c r="BD980" i="1"/>
  <c r="BC980" i="1"/>
  <c r="BA980" i="1"/>
  <c r="AY980" i="1"/>
  <c r="AW980" i="1"/>
  <c r="AU980" i="1"/>
  <c r="AS980" i="1"/>
  <c r="AQ980" i="1"/>
  <c r="AO980" i="1"/>
  <c r="Z980" i="1"/>
  <c r="Y980" i="1"/>
  <c r="V980" i="1"/>
  <c r="T980" i="1"/>
  <c r="S980" i="1"/>
  <c r="R980" i="1"/>
  <c r="Q980" i="1"/>
  <c r="P980" i="1"/>
  <c r="O980" i="1"/>
  <c r="M980" i="1"/>
  <c r="L980" i="1"/>
  <c r="K980" i="1"/>
  <c r="F980" i="1"/>
  <c r="D980" i="1"/>
  <c r="D981" i="1" s="1"/>
  <c r="D982" i="1" s="1"/>
  <c r="D983" i="1" s="1"/>
  <c r="D984" i="1" s="1"/>
  <c r="C980" i="1"/>
  <c r="BE979" i="1"/>
  <c r="BD979" i="1"/>
  <c r="BC979" i="1"/>
  <c r="BA979" i="1"/>
  <c r="AY979" i="1"/>
  <c r="AW979" i="1"/>
  <c r="AU979" i="1"/>
  <c r="AS979" i="1"/>
  <c r="AQ979" i="1"/>
  <c r="AO979" i="1"/>
  <c r="AJ979" i="1"/>
  <c r="Z979" i="1"/>
  <c r="Y979" i="1"/>
  <c r="V979" i="1"/>
  <c r="T979" i="1"/>
  <c r="S979" i="1"/>
  <c r="R979" i="1"/>
  <c r="Q979" i="1"/>
  <c r="P979" i="1"/>
  <c r="O979" i="1"/>
  <c r="M979" i="1"/>
  <c r="L979" i="1"/>
  <c r="K979" i="1"/>
  <c r="H979" i="1"/>
  <c r="F979" i="1"/>
  <c r="BE978" i="1"/>
  <c r="BE977" i="1"/>
  <c r="BD977" i="1"/>
  <c r="BC977" i="1"/>
  <c r="BA977" i="1"/>
  <c r="AY977" i="1"/>
  <c r="AW977" i="1"/>
  <c r="AU977" i="1"/>
  <c r="AS977" i="1"/>
  <c r="AQ977" i="1"/>
  <c r="AO977" i="1"/>
  <c r="Z977" i="1"/>
  <c r="Y977" i="1"/>
  <c r="V977" i="1"/>
  <c r="T977" i="1"/>
  <c r="S977" i="1"/>
  <c r="R977" i="1"/>
  <c r="Q977" i="1"/>
  <c r="P977" i="1"/>
  <c r="O977" i="1"/>
  <c r="M977" i="1"/>
  <c r="L977" i="1"/>
  <c r="K977" i="1"/>
  <c r="I977" i="1"/>
  <c r="F977" i="1"/>
  <c r="BE976" i="1"/>
  <c r="BD976" i="1"/>
  <c r="BC976" i="1"/>
  <c r="BA976" i="1"/>
  <c r="AY976" i="1"/>
  <c r="AW976" i="1"/>
  <c r="AU976" i="1"/>
  <c r="AS976" i="1"/>
  <c r="AQ976" i="1"/>
  <c r="AO976" i="1"/>
  <c r="Z976" i="1"/>
  <c r="Y976" i="1"/>
  <c r="V976" i="1"/>
  <c r="T976" i="1"/>
  <c r="S976" i="1"/>
  <c r="R976" i="1"/>
  <c r="Q976" i="1"/>
  <c r="P976" i="1"/>
  <c r="O976" i="1"/>
  <c r="M976" i="1"/>
  <c r="L976" i="1"/>
  <c r="K976" i="1"/>
  <c r="F976" i="1"/>
  <c r="BE975" i="1"/>
  <c r="BD975" i="1"/>
  <c r="BC975" i="1"/>
  <c r="BA975" i="1"/>
  <c r="AY975" i="1"/>
  <c r="AW975" i="1"/>
  <c r="AU975" i="1"/>
  <c r="AS975" i="1"/>
  <c r="AQ975" i="1"/>
  <c r="AO975" i="1"/>
  <c r="Z975" i="1"/>
  <c r="Y975" i="1"/>
  <c r="V975" i="1"/>
  <c r="T975" i="1"/>
  <c r="S975" i="1"/>
  <c r="R975" i="1"/>
  <c r="Q975" i="1"/>
  <c r="P975" i="1"/>
  <c r="O975" i="1"/>
  <c r="M975" i="1"/>
  <c r="L975" i="1"/>
  <c r="K975" i="1"/>
  <c r="F975" i="1"/>
  <c r="BE974" i="1"/>
  <c r="BD974" i="1"/>
  <c r="BC974" i="1"/>
  <c r="BA974" i="1"/>
  <c r="AY974" i="1"/>
  <c r="AW974" i="1"/>
  <c r="AU974" i="1"/>
  <c r="AS974" i="1"/>
  <c r="AQ974" i="1"/>
  <c r="AO974" i="1"/>
  <c r="Z974" i="1"/>
  <c r="Y974" i="1"/>
  <c r="V974" i="1"/>
  <c r="T974" i="1"/>
  <c r="S974" i="1"/>
  <c r="R974" i="1"/>
  <c r="Q974" i="1"/>
  <c r="P974" i="1"/>
  <c r="O974" i="1"/>
  <c r="M974" i="1"/>
  <c r="L974" i="1"/>
  <c r="K974" i="1"/>
  <c r="F974" i="1"/>
  <c r="BE973" i="1"/>
  <c r="BD973" i="1"/>
  <c r="BC973" i="1"/>
  <c r="BA973" i="1"/>
  <c r="AY973" i="1"/>
  <c r="AW973" i="1"/>
  <c r="AU973" i="1"/>
  <c r="AS973" i="1"/>
  <c r="AQ973" i="1"/>
  <c r="AO973" i="1"/>
  <c r="Z973" i="1"/>
  <c r="Y973" i="1"/>
  <c r="V973" i="1"/>
  <c r="T973" i="1"/>
  <c r="S973" i="1"/>
  <c r="R973" i="1"/>
  <c r="Q973" i="1"/>
  <c r="P973" i="1"/>
  <c r="O973" i="1"/>
  <c r="M973" i="1"/>
  <c r="L973" i="1"/>
  <c r="K973" i="1"/>
  <c r="F973" i="1"/>
  <c r="D973" i="1"/>
  <c r="D974" i="1" s="1"/>
  <c r="D975" i="1" s="1"/>
  <c r="D976" i="1" s="1"/>
  <c r="D977" i="1" s="1"/>
  <c r="C973" i="1"/>
  <c r="H973" i="1" s="1"/>
  <c r="BE972" i="1"/>
  <c r="BD972" i="1"/>
  <c r="BC972" i="1"/>
  <c r="BA972" i="1"/>
  <c r="AY972" i="1"/>
  <c r="AW972" i="1"/>
  <c r="AU972" i="1"/>
  <c r="AS972" i="1"/>
  <c r="AQ972" i="1"/>
  <c r="AO972" i="1"/>
  <c r="AJ972" i="1"/>
  <c r="Z972" i="1"/>
  <c r="Y972" i="1"/>
  <c r="V972" i="1"/>
  <c r="T972" i="1"/>
  <c r="S972" i="1"/>
  <c r="R972" i="1"/>
  <c r="Q972" i="1"/>
  <c r="P972" i="1"/>
  <c r="O972" i="1"/>
  <c r="M972" i="1"/>
  <c r="L972" i="1"/>
  <c r="K972" i="1"/>
  <c r="H972" i="1"/>
  <c r="F972" i="1"/>
  <c r="BE969" i="1"/>
  <c r="Z969" i="1"/>
  <c r="BE968" i="1"/>
  <c r="Z968" i="1"/>
  <c r="BE967" i="1"/>
  <c r="Z967" i="1"/>
  <c r="BE966" i="1"/>
  <c r="Z966" i="1"/>
  <c r="BE965" i="1"/>
  <c r="Z965" i="1"/>
  <c r="BE964" i="1"/>
  <c r="Z964" i="1"/>
  <c r="BE963" i="1"/>
  <c r="Z963" i="1"/>
  <c r="BE962" i="1"/>
  <c r="Z962" i="1"/>
  <c r="BE961" i="1"/>
  <c r="Z961" i="1"/>
  <c r="BE960" i="1"/>
  <c r="Z960" i="1"/>
  <c r="BE959" i="1"/>
  <c r="AA959" i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Z959" i="1"/>
  <c r="BE958" i="1"/>
  <c r="Z958" i="1"/>
  <c r="BE954" i="1"/>
  <c r="BD954" i="1"/>
  <c r="AZ954" i="1"/>
  <c r="AX954" i="1"/>
  <c r="BE953" i="1"/>
  <c r="BD953" i="1"/>
  <c r="BC953" i="1"/>
  <c r="BA953" i="1"/>
  <c r="AY953" i="1"/>
  <c r="AW953" i="1"/>
  <c r="AU953" i="1"/>
  <c r="AS953" i="1"/>
  <c r="AQ953" i="1"/>
  <c r="AO953" i="1"/>
  <c r="Z953" i="1"/>
  <c r="Y953" i="1"/>
  <c r="V953" i="1"/>
  <c r="T953" i="1"/>
  <c r="S953" i="1"/>
  <c r="R953" i="1"/>
  <c r="Q953" i="1"/>
  <c r="P953" i="1"/>
  <c r="O953" i="1"/>
  <c r="M953" i="1"/>
  <c r="L953" i="1"/>
  <c r="K953" i="1"/>
  <c r="I953" i="1"/>
  <c r="F953" i="1"/>
  <c r="BE952" i="1"/>
  <c r="BD952" i="1"/>
  <c r="BC952" i="1"/>
  <c r="BA952" i="1"/>
  <c r="AY952" i="1"/>
  <c r="AW952" i="1"/>
  <c r="AU952" i="1"/>
  <c r="AS952" i="1"/>
  <c r="AQ952" i="1"/>
  <c r="AO952" i="1"/>
  <c r="Z952" i="1"/>
  <c r="Y952" i="1"/>
  <c r="V952" i="1"/>
  <c r="T952" i="1"/>
  <c r="S952" i="1"/>
  <c r="R952" i="1"/>
  <c r="Q952" i="1"/>
  <c r="P952" i="1"/>
  <c r="O952" i="1"/>
  <c r="M952" i="1"/>
  <c r="L952" i="1"/>
  <c r="K952" i="1"/>
  <c r="F952" i="1"/>
  <c r="BE951" i="1"/>
  <c r="BD951" i="1"/>
  <c r="BC951" i="1"/>
  <c r="BA951" i="1"/>
  <c r="AY951" i="1"/>
  <c r="AW951" i="1"/>
  <c r="AU951" i="1"/>
  <c r="AS951" i="1"/>
  <c r="AQ951" i="1"/>
  <c r="AO951" i="1"/>
  <c r="Z951" i="1"/>
  <c r="Y951" i="1"/>
  <c r="V951" i="1"/>
  <c r="T951" i="1"/>
  <c r="S951" i="1"/>
  <c r="R951" i="1"/>
  <c r="Q951" i="1"/>
  <c r="P951" i="1"/>
  <c r="O951" i="1"/>
  <c r="M951" i="1"/>
  <c r="L951" i="1"/>
  <c r="K951" i="1"/>
  <c r="F951" i="1"/>
  <c r="BE950" i="1"/>
  <c r="BD950" i="1"/>
  <c r="BC950" i="1"/>
  <c r="BA950" i="1"/>
  <c r="AY950" i="1"/>
  <c r="AW950" i="1"/>
  <c r="AU950" i="1"/>
  <c r="AS950" i="1"/>
  <c r="AQ950" i="1"/>
  <c r="AO950" i="1"/>
  <c r="Z950" i="1"/>
  <c r="Y950" i="1"/>
  <c r="V950" i="1"/>
  <c r="T950" i="1"/>
  <c r="S950" i="1"/>
  <c r="R950" i="1"/>
  <c r="Q950" i="1"/>
  <c r="P950" i="1"/>
  <c r="O950" i="1"/>
  <c r="M950" i="1"/>
  <c r="L950" i="1"/>
  <c r="K950" i="1"/>
  <c r="F950" i="1"/>
  <c r="C950" i="1"/>
  <c r="BE949" i="1"/>
  <c r="BD949" i="1"/>
  <c r="BC949" i="1"/>
  <c r="BA949" i="1"/>
  <c r="AY949" i="1"/>
  <c r="AW949" i="1"/>
  <c r="AU949" i="1"/>
  <c r="AS949" i="1"/>
  <c r="AQ949" i="1"/>
  <c r="AO949" i="1"/>
  <c r="Z949" i="1"/>
  <c r="Y949" i="1"/>
  <c r="V949" i="1"/>
  <c r="T949" i="1"/>
  <c r="S949" i="1"/>
  <c r="R949" i="1"/>
  <c r="Q949" i="1"/>
  <c r="P949" i="1"/>
  <c r="O949" i="1"/>
  <c r="M949" i="1"/>
  <c r="L949" i="1"/>
  <c r="K949" i="1"/>
  <c r="H949" i="1"/>
  <c r="F949" i="1"/>
  <c r="D949" i="1"/>
  <c r="D950" i="1" s="1"/>
  <c r="D951" i="1" s="1"/>
  <c r="D952" i="1" s="1"/>
  <c r="D953" i="1" s="1"/>
  <c r="C949" i="1"/>
  <c r="BE948" i="1"/>
  <c r="BD948" i="1"/>
  <c r="BC948" i="1"/>
  <c r="BA948" i="1"/>
  <c r="AY948" i="1"/>
  <c r="AW948" i="1"/>
  <c r="AU948" i="1"/>
  <c r="AS948" i="1"/>
  <c r="AQ948" i="1"/>
  <c r="AO948" i="1"/>
  <c r="AJ948" i="1"/>
  <c r="Z948" i="1"/>
  <c r="Y948" i="1"/>
  <c r="V948" i="1"/>
  <c r="T948" i="1"/>
  <c r="S948" i="1"/>
  <c r="R948" i="1"/>
  <c r="Q948" i="1"/>
  <c r="P948" i="1"/>
  <c r="O948" i="1"/>
  <c r="M948" i="1"/>
  <c r="L948" i="1"/>
  <c r="K948" i="1"/>
  <c r="H948" i="1"/>
  <c r="F948" i="1"/>
  <c r="BE947" i="1"/>
  <c r="BE946" i="1"/>
  <c r="BD946" i="1"/>
  <c r="BC946" i="1"/>
  <c r="BA946" i="1"/>
  <c r="AY946" i="1"/>
  <c r="AW946" i="1"/>
  <c r="AU946" i="1"/>
  <c r="AS946" i="1"/>
  <c r="AQ946" i="1"/>
  <c r="AO946" i="1"/>
  <c r="Z946" i="1"/>
  <c r="Y946" i="1"/>
  <c r="V946" i="1"/>
  <c r="T946" i="1"/>
  <c r="S946" i="1"/>
  <c r="R946" i="1"/>
  <c r="Q946" i="1"/>
  <c r="P946" i="1"/>
  <c r="O946" i="1"/>
  <c r="M946" i="1"/>
  <c r="L946" i="1"/>
  <c r="K946" i="1"/>
  <c r="I946" i="1"/>
  <c r="F946" i="1"/>
  <c r="BE945" i="1"/>
  <c r="BD945" i="1"/>
  <c r="BC945" i="1"/>
  <c r="BA945" i="1"/>
  <c r="AY945" i="1"/>
  <c r="AW945" i="1"/>
  <c r="AU945" i="1"/>
  <c r="AS945" i="1"/>
  <c r="AQ945" i="1"/>
  <c r="AO945" i="1"/>
  <c r="Z945" i="1"/>
  <c r="Y945" i="1"/>
  <c r="V945" i="1"/>
  <c r="T945" i="1"/>
  <c r="S945" i="1"/>
  <c r="R945" i="1"/>
  <c r="Q945" i="1"/>
  <c r="P945" i="1"/>
  <c r="O945" i="1"/>
  <c r="M945" i="1"/>
  <c r="L945" i="1"/>
  <c r="K945" i="1"/>
  <c r="F945" i="1"/>
  <c r="D945" i="1"/>
  <c r="D946" i="1" s="1"/>
  <c r="BE944" i="1"/>
  <c r="BD944" i="1"/>
  <c r="BC944" i="1"/>
  <c r="BA944" i="1"/>
  <c r="AY944" i="1"/>
  <c r="AW944" i="1"/>
  <c r="AU944" i="1"/>
  <c r="AS944" i="1"/>
  <c r="AQ944" i="1"/>
  <c r="AO944" i="1"/>
  <c r="Z944" i="1"/>
  <c r="Y944" i="1"/>
  <c r="V944" i="1"/>
  <c r="T944" i="1"/>
  <c r="S944" i="1"/>
  <c r="R944" i="1"/>
  <c r="Q944" i="1"/>
  <c r="P944" i="1"/>
  <c r="O944" i="1"/>
  <c r="M944" i="1"/>
  <c r="L944" i="1"/>
  <c r="K944" i="1"/>
  <c r="F944" i="1"/>
  <c r="BE943" i="1"/>
  <c r="BD943" i="1"/>
  <c r="BC943" i="1"/>
  <c r="BA943" i="1"/>
  <c r="AY943" i="1"/>
  <c r="AW943" i="1"/>
  <c r="AU943" i="1"/>
  <c r="AS943" i="1"/>
  <c r="AQ943" i="1"/>
  <c r="AO943" i="1"/>
  <c r="Z943" i="1"/>
  <c r="Y943" i="1"/>
  <c r="V943" i="1"/>
  <c r="T943" i="1"/>
  <c r="S943" i="1"/>
  <c r="R943" i="1"/>
  <c r="Q943" i="1"/>
  <c r="P943" i="1"/>
  <c r="O943" i="1"/>
  <c r="M943" i="1"/>
  <c r="L943" i="1"/>
  <c r="K943" i="1"/>
  <c r="F943" i="1"/>
  <c r="BE942" i="1"/>
  <c r="BD942" i="1"/>
  <c r="BC942" i="1"/>
  <c r="BA942" i="1"/>
  <c r="AY942" i="1"/>
  <c r="AW942" i="1"/>
  <c r="AU942" i="1"/>
  <c r="AS942" i="1"/>
  <c r="AQ942" i="1"/>
  <c r="AO942" i="1"/>
  <c r="Z942" i="1"/>
  <c r="Y942" i="1"/>
  <c r="V942" i="1"/>
  <c r="T942" i="1"/>
  <c r="S942" i="1"/>
  <c r="R942" i="1"/>
  <c r="Q942" i="1"/>
  <c r="P942" i="1"/>
  <c r="O942" i="1"/>
  <c r="M942" i="1"/>
  <c r="L942" i="1"/>
  <c r="K942" i="1"/>
  <c r="F942" i="1"/>
  <c r="D942" i="1"/>
  <c r="D943" i="1" s="1"/>
  <c r="D944" i="1" s="1"/>
  <c r="C942" i="1"/>
  <c r="BE941" i="1"/>
  <c r="BD941" i="1"/>
  <c r="BC941" i="1"/>
  <c r="BA941" i="1"/>
  <c r="AY941" i="1"/>
  <c r="AW941" i="1"/>
  <c r="AU941" i="1"/>
  <c r="AS941" i="1"/>
  <c r="AQ941" i="1"/>
  <c r="AO941" i="1"/>
  <c r="AJ941" i="1"/>
  <c r="Z941" i="1"/>
  <c r="Y941" i="1"/>
  <c r="V941" i="1"/>
  <c r="T941" i="1"/>
  <c r="S941" i="1"/>
  <c r="R941" i="1"/>
  <c r="Q941" i="1"/>
  <c r="P941" i="1"/>
  <c r="O941" i="1"/>
  <c r="M941" i="1"/>
  <c r="L941" i="1"/>
  <c r="K941" i="1"/>
  <c r="H941" i="1"/>
  <c r="F941" i="1"/>
  <c r="BE938" i="1"/>
  <c r="Z938" i="1"/>
  <c r="BE937" i="1"/>
  <c r="Z937" i="1"/>
  <c r="BE936" i="1"/>
  <c r="Z936" i="1"/>
  <c r="BE935" i="1"/>
  <c r="Z935" i="1"/>
  <c r="BE934" i="1"/>
  <c r="Z934" i="1"/>
  <c r="BE933" i="1"/>
  <c r="Z933" i="1"/>
  <c r="BE932" i="1"/>
  <c r="Z932" i="1"/>
  <c r="BE931" i="1"/>
  <c r="Z931" i="1"/>
  <c r="BE930" i="1"/>
  <c r="Z930" i="1"/>
  <c r="BE929" i="1"/>
  <c r="Z929" i="1"/>
  <c r="BE928" i="1"/>
  <c r="AA928" i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Z928" i="1"/>
  <c r="BE927" i="1"/>
  <c r="Z927" i="1"/>
  <c r="BE923" i="1"/>
  <c r="BD923" i="1"/>
  <c r="AZ923" i="1"/>
  <c r="AX923" i="1"/>
  <c r="BE922" i="1"/>
  <c r="BD922" i="1"/>
  <c r="BC922" i="1"/>
  <c r="BA922" i="1"/>
  <c r="AY922" i="1"/>
  <c r="AW922" i="1"/>
  <c r="AU922" i="1"/>
  <c r="AS922" i="1"/>
  <c r="AQ922" i="1"/>
  <c r="AO922" i="1"/>
  <c r="Z922" i="1"/>
  <c r="Y922" i="1"/>
  <c r="V922" i="1"/>
  <c r="T922" i="1"/>
  <c r="S922" i="1"/>
  <c r="R922" i="1"/>
  <c r="Q922" i="1"/>
  <c r="P922" i="1"/>
  <c r="O922" i="1"/>
  <c r="M922" i="1"/>
  <c r="L922" i="1"/>
  <c r="K922" i="1"/>
  <c r="I922" i="1"/>
  <c r="F922" i="1"/>
  <c r="BE921" i="1"/>
  <c r="BD921" i="1"/>
  <c r="BC921" i="1"/>
  <c r="BA921" i="1"/>
  <c r="AY921" i="1"/>
  <c r="AW921" i="1"/>
  <c r="AU921" i="1"/>
  <c r="AS921" i="1"/>
  <c r="AQ921" i="1"/>
  <c r="AO921" i="1"/>
  <c r="Z921" i="1"/>
  <c r="Y921" i="1"/>
  <c r="V921" i="1"/>
  <c r="T921" i="1"/>
  <c r="S921" i="1"/>
  <c r="R921" i="1"/>
  <c r="Q921" i="1"/>
  <c r="P921" i="1"/>
  <c r="O921" i="1"/>
  <c r="M921" i="1"/>
  <c r="L921" i="1"/>
  <c r="K921" i="1"/>
  <c r="F921" i="1"/>
  <c r="BE920" i="1"/>
  <c r="BD920" i="1"/>
  <c r="BC920" i="1"/>
  <c r="BA920" i="1"/>
  <c r="AY920" i="1"/>
  <c r="AW920" i="1"/>
  <c r="AU920" i="1"/>
  <c r="AS920" i="1"/>
  <c r="AQ920" i="1"/>
  <c r="AO920" i="1"/>
  <c r="Z920" i="1"/>
  <c r="Y920" i="1"/>
  <c r="V920" i="1"/>
  <c r="T920" i="1"/>
  <c r="S920" i="1"/>
  <c r="R920" i="1"/>
  <c r="Q920" i="1"/>
  <c r="P920" i="1"/>
  <c r="O920" i="1"/>
  <c r="M920" i="1"/>
  <c r="L920" i="1"/>
  <c r="K920" i="1"/>
  <c r="F920" i="1"/>
  <c r="BE919" i="1"/>
  <c r="BD919" i="1"/>
  <c r="BC919" i="1"/>
  <c r="BA919" i="1"/>
  <c r="AY919" i="1"/>
  <c r="AW919" i="1"/>
  <c r="AU919" i="1"/>
  <c r="AS919" i="1"/>
  <c r="AQ919" i="1"/>
  <c r="AO919" i="1"/>
  <c r="Z919" i="1"/>
  <c r="Y919" i="1"/>
  <c r="V919" i="1"/>
  <c r="T919" i="1"/>
  <c r="S919" i="1"/>
  <c r="R919" i="1"/>
  <c r="Q919" i="1"/>
  <c r="P919" i="1"/>
  <c r="O919" i="1"/>
  <c r="M919" i="1"/>
  <c r="L919" i="1"/>
  <c r="K919" i="1"/>
  <c r="F919" i="1"/>
  <c r="BE918" i="1"/>
  <c r="BD918" i="1"/>
  <c r="BC918" i="1"/>
  <c r="BA918" i="1"/>
  <c r="AY918" i="1"/>
  <c r="AW918" i="1"/>
  <c r="AU918" i="1"/>
  <c r="AS918" i="1"/>
  <c r="AQ918" i="1"/>
  <c r="AO918" i="1"/>
  <c r="Z918" i="1"/>
  <c r="Y918" i="1"/>
  <c r="V918" i="1"/>
  <c r="T918" i="1"/>
  <c r="S918" i="1"/>
  <c r="R918" i="1"/>
  <c r="Q918" i="1"/>
  <c r="P918" i="1"/>
  <c r="O918" i="1"/>
  <c r="M918" i="1"/>
  <c r="L918" i="1"/>
  <c r="K918" i="1"/>
  <c r="F918" i="1"/>
  <c r="D918" i="1"/>
  <c r="D919" i="1" s="1"/>
  <c r="D920" i="1" s="1"/>
  <c r="D921" i="1" s="1"/>
  <c r="D922" i="1" s="1"/>
  <c r="C918" i="1"/>
  <c r="C919" i="1" s="1"/>
  <c r="BE917" i="1"/>
  <c r="BD917" i="1"/>
  <c r="BC917" i="1"/>
  <c r="BA917" i="1"/>
  <c r="AY917" i="1"/>
  <c r="AW917" i="1"/>
  <c r="AU917" i="1"/>
  <c r="AS917" i="1"/>
  <c r="AQ917" i="1"/>
  <c r="AO917" i="1"/>
  <c r="AJ917" i="1"/>
  <c r="Z917" i="1"/>
  <c r="Y917" i="1"/>
  <c r="V917" i="1"/>
  <c r="T917" i="1"/>
  <c r="S917" i="1"/>
  <c r="R917" i="1"/>
  <c r="Q917" i="1"/>
  <c r="P917" i="1"/>
  <c r="O917" i="1"/>
  <c r="M917" i="1"/>
  <c r="L917" i="1"/>
  <c r="K917" i="1"/>
  <c r="H917" i="1"/>
  <c r="F917" i="1"/>
  <c r="BE916" i="1"/>
  <c r="BE915" i="1"/>
  <c r="BD915" i="1"/>
  <c r="BC915" i="1"/>
  <c r="BA915" i="1"/>
  <c r="AY915" i="1"/>
  <c r="AW915" i="1"/>
  <c r="AU915" i="1"/>
  <c r="AS915" i="1"/>
  <c r="AQ915" i="1"/>
  <c r="AO915" i="1"/>
  <c r="Z915" i="1"/>
  <c r="Y915" i="1"/>
  <c r="V915" i="1"/>
  <c r="T915" i="1"/>
  <c r="S915" i="1"/>
  <c r="R915" i="1"/>
  <c r="Q915" i="1"/>
  <c r="P915" i="1"/>
  <c r="O915" i="1"/>
  <c r="M915" i="1"/>
  <c r="L915" i="1"/>
  <c r="K915" i="1"/>
  <c r="I915" i="1"/>
  <c r="F915" i="1"/>
  <c r="BE914" i="1"/>
  <c r="BD914" i="1"/>
  <c r="BC914" i="1"/>
  <c r="BA914" i="1"/>
  <c r="AY914" i="1"/>
  <c r="AW914" i="1"/>
  <c r="AU914" i="1"/>
  <c r="AS914" i="1"/>
  <c r="AQ914" i="1"/>
  <c r="AO914" i="1"/>
  <c r="Z914" i="1"/>
  <c r="Y914" i="1"/>
  <c r="V914" i="1"/>
  <c r="T914" i="1"/>
  <c r="S914" i="1"/>
  <c r="R914" i="1"/>
  <c r="Q914" i="1"/>
  <c r="P914" i="1"/>
  <c r="O914" i="1"/>
  <c r="M914" i="1"/>
  <c r="L914" i="1"/>
  <c r="K914" i="1"/>
  <c r="F914" i="1"/>
  <c r="BE913" i="1"/>
  <c r="BD913" i="1"/>
  <c r="BC913" i="1"/>
  <c r="BA913" i="1"/>
  <c r="AY913" i="1"/>
  <c r="AW913" i="1"/>
  <c r="AU913" i="1"/>
  <c r="AS913" i="1"/>
  <c r="AQ913" i="1"/>
  <c r="AO913" i="1"/>
  <c r="Z913" i="1"/>
  <c r="Y913" i="1"/>
  <c r="V913" i="1"/>
  <c r="T913" i="1"/>
  <c r="S913" i="1"/>
  <c r="R913" i="1"/>
  <c r="Q913" i="1"/>
  <c r="P913" i="1"/>
  <c r="O913" i="1"/>
  <c r="M913" i="1"/>
  <c r="L913" i="1"/>
  <c r="K913" i="1"/>
  <c r="F913" i="1"/>
  <c r="BE912" i="1"/>
  <c r="BD912" i="1"/>
  <c r="BC912" i="1"/>
  <c r="BA912" i="1"/>
  <c r="AY912" i="1"/>
  <c r="AW912" i="1"/>
  <c r="AU912" i="1"/>
  <c r="AS912" i="1"/>
  <c r="AQ912" i="1"/>
  <c r="AO912" i="1"/>
  <c r="Z912" i="1"/>
  <c r="Y912" i="1"/>
  <c r="V912" i="1"/>
  <c r="T912" i="1"/>
  <c r="S912" i="1"/>
  <c r="R912" i="1"/>
  <c r="Q912" i="1"/>
  <c r="P912" i="1"/>
  <c r="O912" i="1"/>
  <c r="M912" i="1"/>
  <c r="L912" i="1"/>
  <c r="K912" i="1"/>
  <c r="F912" i="1"/>
  <c r="C912" i="1"/>
  <c r="BE911" i="1"/>
  <c r="BD911" i="1"/>
  <c r="BC911" i="1"/>
  <c r="BA911" i="1"/>
  <c r="AY911" i="1"/>
  <c r="AW911" i="1"/>
  <c r="AU911" i="1"/>
  <c r="AS911" i="1"/>
  <c r="AQ911" i="1"/>
  <c r="AO911" i="1"/>
  <c r="Z911" i="1"/>
  <c r="Y911" i="1"/>
  <c r="V911" i="1"/>
  <c r="T911" i="1"/>
  <c r="S911" i="1"/>
  <c r="R911" i="1"/>
  <c r="Q911" i="1"/>
  <c r="P911" i="1"/>
  <c r="O911" i="1"/>
  <c r="M911" i="1"/>
  <c r="L911" i="1"/>
  <c r="K911" i="1"/>
  <c r="F911" i="1"/>
  <c r="D911" i="1"/>
  <c r="D912" i="1" s="1"/>
  <c r="D913" i="1" s="1"/>
  <c r="D914" i="1" s="1"/>
  <c r="D915" i="1" s="1"/>
  <c r="C911" i="1"/>
  <c r="H911" i="1" s="1"/>
  <c r="BE910" i="1"/>
  <c r="BD910" i="1"/>
  <c r="BC910" i="1"/>
  <c r="BA910" i="1"/>
  <c r="AY910" i="1"/>
  <c r="AW910" i="1"/>
  <c r="AU910" i="1"/>
  <c r="AS910" i="1"/>
  <c r="AQ910" i="1"/>
  <c r="AO910" i="1"/>
  <c r="AJ910" i="1"/>
  <c r="Z910" i="1"/>
  <c r="Y910" i="1"/>
  <c r="V910" i="1"/>
  <c r="T910" i="1"/>
  <c r="S910" i="1"/>
  <c r="R910" i="1"/>
  <c r="Q910" i="1"/>
  <c r="P910" i="1"/>
  <c r="O910" i="1"/>
  <c r="M910" i="1"/>
  <c r="L910" i="1"/>
  <c r="K910" i="1"/>
  <c r="H910" i="1"/>
  <c r="F910" i="1"/>
  <c r="BE907" i="1"/>
  <c r="Z907" i="1"/>
  <c r="BE906" i="1"/>
  <c r="Z906" i="1"/>
  <c r="BE905" i="1"/>
  <c r="Z905" i="1"/>
  <c r="BE904" i="1"/>
  <c r="Z904" i="1"/>
  <c r="BE903" i="1"/>
  <c r="Z903" i="1"/>
  <c r="BE902" i="1"/>
  <c r="Z902" i="1"/>
  <c r="BE901" i="1"/>
  <c r="Z901" i="1"/>
  <c r="BE900" i="1"/>
  <c r="Z900" i="1"/>
  <c r="BE899" i="1"/>
  <c r="Z899" i="1"/>
  <c r="BE898" i="1"/>
  <c r="Z898" i="1"/>
  <c r="BE897" i="1"/>
  <c r="AA897" i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Z897" i="1"/>
  <c r="BE896" i="1"/>
  <c r="Z896" i="1"/>
  <c r="BE892" i="1"/>
  <c r="BD892" i="1"/>
  <c r="AZ892" i="1"/>
  <c r="AX892" i="1"/>
  <c r="BE891" i="1"/>
  <c r="BD891" i="1"/>
  <c r="BC891" i="1"/>
  <c r="BA891" i="1"/>
  <c r="AY891" i="1"/>
  <c r="AW891" i="1"/>
  <c r="AU891" i="1"/>
  <c r="AS891" i="1"/>
  <c r="AQ891" i="1"/>
  <c r="AO891" i="1"/>
  <c r="Z891" i="1"/>
  <c r="Y891" i="1"/>
  <c r="V891" i="1"/>
  <c r="T891" i="1"/>
  <c r="S891" i="1"/>
  <c r="R891" i="1"/>
  <c r="Q891" i="1"/>
  <c r="P891" i="1"/>
  <c r="O891" i="1"/>
  <c r="M891" i="1"/>
  <c r="L891" i="1"/>
  <c r="K891" i="1"/>
  <c r="I891" i="1"/>
  <c r="F891" i="1"/>
  <c r="BE890" i="1"/>
  <c r="BD890" i="1"/>
  <c r="BC890" i="1"/>
  <c r="BA890" i="1"/>
  <c r="AY890" i="1"/>
  <c r="AW890" i="1"/>
  <c r="AU890" i="1"/>
  <c r="AS890" i="1"/>
  <c r="AQ890" i="1"/>
  <c r="AO890" i="1"/>
  <c r="Z890" i="1"/>
  <c r="Y890" i="1"/>
  <c r="V890" i="1"/>
  <c r="T890" i="1"/>
  <c r="S890" i="1"/>
  <c r="R890" i="1"/>
  <c r="Q890" i="1"/>
  <c r="P890" i="1"/>
  <c r="O890" i="1"/>
  <c r="M890" i="1"/>
  <c r="L890" i="1"/>
  <c r="K890" i="1"/>
  <c r="F890" i="1"/>
  <c r="BE889" i="1"/>
  <c r="BD889" i="1"/>
  <c r="BC889" i="1"/>
  <c r="BA889" i="1"/>
  <c r="AY889" i="1"/>
  <c r="AW889" i="1"/>
  <c r="AU889" i="1"/>
  <c r="AS889" i="1"/>
  <c r="AQ889" i="1"/>
  <c r="AO889" i="1"/>
  <c r="Z889" i="1"/>
  <c r="Y889" i="1"/>
  <c r="V889" i="1"/>
  <c r="T889" i="1"/>
  <c r="S889" i="1"/>
  <c r="R889" i="1"/>
  <c r="Q889" i="1"/>
  <c r="P889" i="1"/>
  <c r="O889" i="1"/>
  <c r="M889" i="1"/>
  <c r="L889" i="1"/>
  <c r="K889" i="1"/>
  <c r="F889" i="1"/>
  <c r="BE888" i="1"/>
  <c r="BD888" i="1"/>
  <c r="BC888" i="1"/>
  <c r="BA888" i="1"/>
  <c r="AY888" i="1"/>
  <c r="AW888" i="1"/>
  <c r="AU888" i="1"/>
  <c r="AS888" i="1"/>
  <c r="AQ888" i="1"/>
  <c r="AO888" i="1"/>
  <c r="Z888" i="1"/>
  <c r="Y888" i="1"/>
  <c r="V888" i="1"/>
  <c r="T888" i="1"/>
  <c r="S888" i="1"/>
  <c r="R888" i="1"/>
  <c r="Q888" i="1"/>
  <c r="P888" i="1"/>
  <c r="O888" i="1"/>
  <c r="M888" i="1"/>
  <c r="L888" i="1"/>
  <c r="K888" i="1"/>
  <c r="F888" i="1"/>
  <c r="BE887" i="1"/>
  <c r="BD887" i="1"/>
  <c r="BC887" i="1"/>
  <c r="BA887" i="1"/>
  <c r="AY887" i="1"/>
  <c r="AW887" i="1"/>
  <c r="AU887" i="1"/>
  <c r="AS887" i="1"/>
  <c r="AQ887" i="1"/>
  <c r="AO887" i="1"/>
  <c r="Z887" i="1"/>
  <c r="Y887" i="1"/>
  <c r="V887" i="1"/>
  <c r="T887" i="1"/>
  <c r="S887" i="1"/>
  <c r="R887" i="1"/>
  <c r="Q887" i="1"/>
  <c r="P887" i="1"/>
  <c r="O887" i="1"/>
  <c r="M887" i="1"/>
  <c r="L887" i="1"/>
  <c r="K887" i="1"/>
  <c r="H887" i="1"/>
  <c r="F887" i="1"/>
  <c r="D887" i="1"/>
  <c r="D888" i="1" s="1"/>
  <c r="D889" i="1" s="1"/>
  <c r="D890" i="1" s="1"/>
  <c r="D891" i="1" s="1"/>
  <c r="C887" i="1"/>
  <c r="C888" i="1" s="1"/>
  <c r="C889" i="1" s="1"/>
  <c r="H889" i="1" s="1"/>
  <c r="BE886" i="1"/>
  <c r="BD886" i="1"/>
  <c r="BC886" i="1"/>
  <c r="BA886" i="1"/>
  <c r="AY886" i="1"/>
  <c r="AW886" i="1"/>
  <c r="AU886" i="1"/>
  <c r="AS886" i="1"/>
  <c r="AQ886" i="1"/>
  <c r="AO886" i="1"/>
  <c r="AJ886" i="1"/>
  <c r="Z886" i="1"/>
  <c r="Y886" i="1"/>
  <c r="V886" i="1"/>
  <c r="T886" i="1"/>
  <c r="S886" i="1"/>
  <c r="R886" i="1"/>
  <c r="Q886" i="1"/>
  <c r="P886" i="1"/>
  <c r="O886" i="1"/>
  <c r="M886" i="1"/>
  <c r="L886" i="1"/>
  <c r="K886" i="1"/>
  <c r="H886" i="1"/>
  <c r="F886" i="1"/>
  <c r="BE885" i="1"/>
  <c r="BE884" i="1"/>
  <c r="BD884" i="1"/>
  <c r="BC884" i="1"/>
  <c r="BA884" i="1"/>
  <c r="AY884" i="1"/>
  <c r="AW884" i="1"/>
  <c r="AU884" i="1"/>
  <c r="AS884" i="1"/>
  <c r="AQ884" i="1"/>
  <c r="AO884" i="1"/>
  <c r="Z884" i="1"/>
  <c r="Y884" i="1"/>
  <c r="V884" i="1"/>
  <c r="T884" i="1"/>
  <c r="S884" i="1"/>
  <c r="R884" i="1"/>
  <c r="Q884" i="1"/>
  <c r="P884" i="1"/>
  <c r="O884" i="1"/>
  <c r="M884" i="1"/>
  <c r="L884" i="1"/>
  <c r="K884" i="1"/>
  <c r="I884" i="1"/>
  <c r="F884" i="1"/>
  <c r="BE883" i="1"/>
  <c r="BD883" i="1"/>
  <c r="BC883" i="1"/>
  <c r="BA883" i="1"/>
  <c r="AY883" i="1"/>
  <c r="AW883" i="1"/>
  <c r="AU883" i="1"/>
  <c r="AS883" i="1"/>
  <c r="AQ883" i="1"/>
  <c r="AO883" i="1"/>
  <c r="Z883" i="1"/>
  <c r="Y883" i="1"/>
  <c r="V883" i="1"/>
  <c r="T883" i="1"/>
  <c r="S883" i="1"/>
  <c r="R883" i="1"/>
  <c r="Q883" i="1"/>
  <c r="P883" i="1"/>
  <c r="O883" i="1"/>
  <c r="M883" i="1"/>
  <c r="L883" i="1"/>
  <c r="K883" i="1"/>
  <c r="F883" i="1"/>
  <c r="BE882" i="1"/>
  <c r="BD882" i="1"/>
  <c r="BC882" i="1"/>
  <c r="BA882" i="1"/>
  <c r="AY882" i="1"/>
  <c r="AW882" i="1"/>
  <c r="AU882" i="1"/>
  <c r="AS882" i="1"/>
  <c r="AQ882" i="1"/>
  <c r="AO882" i="1"/>
  <c r="Z882" i="1"/>
  <c r="Y882" i="1"/>
  <c r="V882" i="1"/>
  <c r="T882" i="1"/>
  <c r="S882" i="1"/>
  <c r="R882" i="1"/>
  <c r="Q882" i="1"/>
  <c r="P882" i="1"/>
  <c r="O882" i="1"/>
  <c r="M882" i="1"/>
  <c r="L882" i="1"/>
  <c r="K882" i="1"/>
  <c r="F882" i="1"/>
  <c r="BE881" i="1"/>
  <c r="BD881" i="1"/>
  <c r="BC881" i="1"/>
  <c r="BA881" i="1"/>
  <c r="AY881" i="1"/>
  <c r="AW881" i="1"/>
  <c r="AU881" i="1"/>
  <c r="AS881" i="1"/>
  <c r="AQ881" i="1"/>
  <c r="AO881" i="1"/>
  <c r="Z881" i="1"/>
  <c r="Y881" i="1"/>
  <c r="V881" i="1"/>
  <c r="T881" i="1"/>
  <c r="S881" i="1"/>
  <c r="R881" i="1"/>
  <c r="Q881" i="1"/>
  <c r="P881" i="1"/>
  <c r="O881" i="1"/>
  <c r="M881" i="1"/>
  <c r="L881" i="1"/>
  <c r="K881" i="1"/>
  <c r="F881" i="1"/>
  <c r="BE880" i="1"/>
  <c r="BD880" i="1"/>
  <c r="BC880" i="1"/>
  <c r="BA880" i="1"/>
  <c r="AY880" i="1"/>
  <c r="AW880" i="1"/>
  <c r="AU880" i="1"/>
  <c r="AS880" i="1"/>
  <c r="AQ880" i="1"/>
  <c r="AO880" i="1"/>
  <c r="Z880" i="1"/>
  <c r="Y880" i="1"/>
  <c r="V880" i="1"/>
  <c r="T880" i="1"/>
  <c r="S880" i="1"/>
  <c r="R880" i="1"/>
  <c r="Q880" i="1"/>
  <c r="P880" i="1"/>
  <c r="O880" i="1"/>
  <c r="M880" i="1"/>
  <c r="L880" i="1"/>
  <c r="K880" i="1"/>
  <c r="F880" i="1"/>
  <c r="D880" i="1"/>
  <c r="D881" i="1" s="1"/>
  <c r="D882" i="1" s="1"/>
  <c r="D883" i="1" s="1"/>
  <c r="D884" i="1" s="1"/>
  <c r="C880" i="1"/>
  <c r="C881" i="1" s="1"/>
  <c r="C882" i="1" s="1"/>
  <c r="BE879" i="1"/>
  <c r="BD879" i="1"/>
  <c r="BC879" i="1"/>
  <c r="BA879" i="1"/>
  <c r="AY879" i="1"/>
  <c r="AW879" i="1"/>
  <c r="AU879" i="1"/>
  <c r="AS879" i="1"/>
  <c r="AQ879" i="1"/>
  <c r="AO879" i="1"/>
  <c r="AJ879" i="1"/>
  <c r="Z879" i="1"/>
  <c r="Y879" i="1"/>
  <c r="V879" i="1"/>
  <c r="T879" i="1"/>
  <c r="S879" i="1"/>
  <c r="R879" i="1"/>
  <c r="Q879" i="1"/>
  <c r="P879" i="1"/>
  <c r="O879" i="1"/>
  <c r="M879" i="1"/>
  <c r="L879" i="1"/>
  <c r="K879" i="1"/>
  <c r="H879" i="1"/>
  <c r="F879" i="1"/>
  <c r="BE876" i="1"/>
  <c r="Z876" i="1"/>
  <c r="BE875" i="1"/>
  <c r="Z875" i="1"/>
  <c r="BE874" i="1"/>
  <c r="Z874" i="1"/>
  <c r="BE873" i="1"/>
  <c r="Z873" i="1"/>
  <c r="BE872" i="1"/>
  <c r="Z872" i="1"/>
  <c r="BE871" i="1"/>
  <c r="Z871" i="1"/>
  <c r="BE870" i="1"/>
  <c r="Z870" i="1"/>
  <c r="BE869" i="1"/>
  <c r="Z869" i="1"/>
  <c r="BE868" i="1"/>
  <c r="Z868" i="1"/>
  <c r="BE867" i="1"/>
  <c r="Z867" i="1"/>
  <c r="BE866" i="1"/>
  <c r="AA866" i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Z866" i="1"/>
  <c r="BE865" i="1"/>
  <c r="Z865" i="1"/>
  <c r="BE861" i="1"/>
  <c r="BD861" i="1"/>
  <c r="AZ861" i="1"/>
  <c r="AX861" i="1"/>
  <c r="BE860" i="1"/>
  <c r="BD860" i="1"/>
  <c r="BC860" i="1"/>
  <c r="BA860" i="1"/>
  <c r="AY860" i="1"/>
  <c r="AW860" i="1"/>
  <c r="AU860" i="1"/>
  <c r="AS860" i="1"/>
  <c r="AQ860" i="1"/>
  <c r="AO860" i="1"/>
  <c r="Z860" i="1"/>
  <c r="Y860" i="1"/>
  <c r="V860" i="1"/>
  <c r="T860" i="1"/>
  <c r="S860" i="1"/>
  <c r="R860" i="1"/>
  <c r="Q860" i="1"/>
  <c r="P860" i="1"/>
  <c r="O860" i="1"/>
  <c r="M860" i="1"/>
  <c r="L860" i="1"/>
  <c r="K860" i="1"/>
  <c r="I860" i="1"/>
  <c r="F860" i="1"/>
  <c r="BE859" i="1"/>
  <c r="BD859" i="1"/>
  <c r="BC859" i="1"/>
  <c r="BA859" i="1"/>
  <c r="AY859" i="1"/>
  <c r="AW859" i="1"/>
  <c r="AU859" i="1"/>
  <c r="AS859" i="1"/>
  <c r="AQ859" i="1"/>
  <c r="AO859" i="1"/>
  <c r="Z859" i="1"/>
  <c r="Y859" i="1"/>
  <c r="V859" i="1"/>
  <c r="T859" i="1"/>
  <c r="S859" i="1"/>
  <c r="R859" i="1"/>
  <c r="Q859" i="1"/>
  <c r="P859" i="1"/>
  <c r="O859" i="1"/>
  <c r="M859" i="1"/>
  <c r="L859" i="1"/>
  <c r="K859" i="1"/>
  <c r="F859" i="1"/>
  <c r="BE858" i="1"/>
  <c r="BD858" i="1"/>
  <c r="BC858" i="1"/>
  <c r="BA858" i="1"/>
  <c r="AY858" i="1"/>
  <c r="AW858" i="1"/>
  <c r="AU858" i="1"/>
  <c r="AS858" i="1"/>
  <c r="AQ858" i="1"/>
  <c r="AO858" i="1"/>
  <c r="Z858" i="1"/>
  <c r="Y858" i="1"/>
  <c r="V858" i="1"/>
  <c r="T858" i="1"/>
  <c r="S858" i="1"/>
  <c r="R858" i="1"/>
  <c r="Q858" i="1"/>
  <c r="P858" i="1"/>
  <c r="O858" i="1"/>
  <c r="M858" i="1"/>
  <c r="L858" i="1"/>
  <c r="K858" i="1"/>
  <c r="F858" i="1"/>
  <c r="BE857" i="1"/>
  <c r="BD857" i="1"/>
  <c r="BC857" i="1"/>
  <c r="BA857" i="1"/>
  <c r="AY857" i="1"/>
  <c r="AW857" i="1"/>
  <c r="AU857" i="1"/>
  <c r="AS857" i="1"/>
  <c r="AQ857" i="1"/>
  <c r="AO857" i="1"/>
  <c r="Z857" i="1"/>
  <c r="Y857" i="1"/>
  <c r="V857" i="1"/>
  <c r="T857" i="1"/>
  <c r="S857" i="1"/>
  <c r="R857" i="1"/>
  <c r="Q857" i="1"/>
  <c r="P857" i="1"/>
  <c r="O857" i="1"/>
  <c r="M857" i="1"/>
  <c r="L857" i="1"/>
  <c r="K857" i="1"/>
  <c r="F857" i="1"/>
  <c r="BE856" i="1"/>
  <c r="BD856" i="1"/>
  <c r="BC856" i="1"/>
  <c r="BA856" i="1"/>
  <c r="AY856" i="1"/>
  <c r="AW856" i="1"/>
  <c r="AU856" i="1"/>
  <c r="AS856" i="1"/>
  <c r="AQ856" i="1"/>
  <c r="AO856" i="1"/>
  <c r="Z856" i="1"/>
  <c r="Y856" i="1"/>
  <c r="V856" i="1"/>
  <c r="T856" i="1"/>
  <c r="S856" i="1"/>
  <c r="R856" i="1"/>
  <c r="Q856" i="1"/>
  <c r="P856" i="1"/>
  <c r="O856" i="1"/>
  <c r="M856" i="1"/>
  <c r="L856" i="1"/>
  <c r="K856" i="1"/>
  <c r="H856" i="1"/>
  <c r="F856" i="1"/>
  <c r="D856" i="1"/>
  <c r="D857" i="1" s="1"/>
  <c r="D858" i="1" s="1"/>
  <c r="D859" i="1" s="1"/>
  <c r="D860" i="1" s="1"/>
  <c r="C856" i="1"/>
  <c r="C857" i="1" s="1"/>
  <c r="BE855" i="1"/>
  <c r="BD855" i="1"/>
  <c r="BC855" i="1"/>
  <c r="BA855" i="1"/>
  <c r="AY855" i="1"/>
  <c r="AW855" i="1"/>
  <c r="AU855" i="1"/>
  <c r="AS855" i="1"/>
  <c r="AQ855" i="1"/>
  <c r="AO855" i="1"/>
  <c r="AJ855" i="1"/>
  <c r="Z855" i="1"/>
  <c r="Y855" i="1"/>
  <c r="V855" i="1"/>
  <c r="T855" i="1"/>
  <c r="S855" i="1"/>
  <c r="R855" i="1"/>
  <c r="Q855" i="1"/>
  <c r="P855" i="1"/>
  <c r="O855" i="1"/>
  <c r="M855" i="1"/>
  <c r="L855" i="1"/>
  <c r="K855" i="1"/>
  <c r="H855" i="1"/>
  <c r="F855" i="1"/>
  <c r="BE854" i="1"/>
  <c r="BE853" i="1"/>
  <c r="BD853" i="1"/>
  <c r="BC853" i="1"/>
  <c r="BA853" i="1"/>
  <c r="AY853" i="1"/>
  <c r="AW853" i="1"/>
  <c r="AU853" i="1"/>
  <c r="AS853" i="1"/>
  <c r="AQ853" i="1"/>
  <c r="AO853" i="1"/>
  <c r="Z853" i="1"/>
  <c r="Y853" i="1"/>
  <c r="V853" i="1"/>
  <c r="T853" i="1"/>
  <c r="S853" i="1"/>
  <c r="R853" i="1"/>
  <c r="Q853" i="1"/>
  <c r="P853" i="1"/>
  <c r="O853" i="1"/>
  <c r="M853" i="1"/>
  <c r="L853" i="1"/>
  <c r="K853" i="1"/>
  <c r="I853" i="1"/>
  <c r="F853" i="1"/>
  <c r="BE852" i="1"/>
  <c r="BD852" i="1"/>
  <c r="BC852" i="1"/>
  <c r="BA852" i="1"/>
  <c r="AY852" i="1"/>
  <c r="AW852" i="1"/>
  <c r="AU852" i="1"/>
  <c r="AS852" i="1"/>
  <c r="AQ852" i="1"/>
  <c r="AO852" i="1"/>
  <c r="Z852" i="1"/>
  <c r="Y852" i="1"/>
  <c r="V852" i="1"/>
  <c r="T852" i="1"/>
  <c r="S852" i="1"/>
  <c r="R852" i="1"/>
  <c r="Q852" i="1"/>
  <c r="P852" i="1"/>
  <c r="O852" i="1"/>
  <c r="M852" i="1"/>
  <c r="L852" i="1"/>
  <c r="K852" i="1"/>
  <c r="F852" i="1"/>
  <c r="BE851" i="1"/>
  <c r="BD851" i="1"/>
  <c r="BC851" i="1"/>
  <c r="BA851" i="1"/>
  <c r="AY851" i="1"/>
  <c r="AW851" i="1"/>
  <c r="AU851" i="1"/>
  <c r="AS851" i="1"/>
  <c r="AQ851" i="1"/>
  <c r="AO851" i="1"/>
  <c r="Z851" i="1"/>
  <c r="Y851" i="1"/>
  <c r="V851" i="1"/>
  <c r="T851" i="1"/>
  <c r="S851" i="1"/>
  <c r="R851" i="1"/>
  <c r="Q851" i="1"/>
  <c r="P851" i="1"/>
  <c r="O851" i="1"/>
  <c r="M851" i="1"/>
  <c r="L851" i="1"/>
  <c r="K851" i="1"/>
  <c r="F851" i="1"/>
  <c r="BE850" i="1"/>
  <c r="BD850" i="1"/>
  <c r="BC850" i="1"/>
  <c r="BA850" i="1"/>
  <c r="AY850" i="1"/>
  <c r="AW850" i="1"/>
  <c r="AU850" i="1"/>
  <c r="AS850" i="1"/>
  <c r="AQ850" i="1"/>
  <c r="AO850" i="1"/>
  <c r="Z850" i="1"/>
  <c r="Y850" i="1"/>
  <c r="V850" i="1"/>
  <c r="T850" i="1"/>
  <c r="S850" i="1"/>
  <c r="R850" i="1"/>
  <c r="Q850" i="1"/>
  <c r="P850" i="1"/>
  <c r="O850" i="1"/>
  <c r="M850" i="1"/>
  <c r="L850" i="1"/>
  <c r="K850" i="1"/>
  <c r="F850" i="1"/>
  <c r="BE849" i="1"/>
  <c r="BD849" i="1"/>
  <c r="BC849" i="1"/>
  <c r="BA849" i="1"/>
  <c r="AY849" i="1"/>
  <c r="AW849" i="1"/>
  <c r="AU849" i="1"/>
  <c r="AS849" i="1"/>
  <c r="AQ849" i="1"/>
  <c r="AO849" i="1"/>
  <c r="Z849" i="1"/>
  <c r="Y849" i="1"/>
  <c r="V849" i="1"/>
  <c r="T849" i="1"/>
  <c r="S849" i="1"/>
  <c r="R849" i="1"/>
  <c r="Q849" i="1"/>
  <c r="P849" i="1"/>
  <c r="O849" i="1"/>
  <c r="M849" i="1"/>
  <c r="L849" i="1"/>
  <c r="K849" i="1"/>
  <c r="F849" i="1"/>
  <c r="D849" i="1"/>
  <c r="D850" i="1" s="1"/>
  <c r="D851" i="1" s="1"/>
  <c r="D852" i="1" s="1"/>
  <c r="D853" i="1" s="1"/>
  <c r="C849" i="1"/>
  <c r="BE848" i="1"/>
  <c r="BD848" i="1"/>
  <c r="BC848" i="1"/>
  <c r="BA848" i="1"/>
  <c r="AY848" i="1"/>
  <c r="AW848" i="1"/>
  <c r="AU848" i="1"/>
  <c r="AS848" i="1"/>
  <c r="AQ848" i="1"/>
  <c r="AO848" i="1"/>
  <c r="AJ848" i="1"/>
  <c r="Z848" i="1"/>
  <c r="Y848" i="1"/>
  <c r="V848" i="1"/>
  <c r="T848" i="1"/>
  <c r="S848" i="1"/>
  <c r="R848" i="1"/>
  <c r="Q848" i="1"/>
  <c r="P848" i="1"/>
  <c r="O848" i="1"/>
  <c r="M848" i="1"/>
  <c r="L848" i="1"/>
  <c r="K848" i="1"/>
  <c r="H848" i="1"/>
  <c r="F848" i="1"/>
  <c r="BE845" i="1"/>
  <c r="Z845" i="1"/>
  <c r="BE844" i="1"/>
  <c r="Z844" i="1"/>
  <c r="BE843" i="1"/>
  <c r="Z843" i="1"/>
  <c r="BE842" i="1"/>
  <c r="Z842" i="1"/>
  <c r="BE841" i="1"/>
  <c r="Z841" i="1"/>
  <c r="BE840" i="1"/>
  <c r="Z840" i="1"/>
  <c r="BE839" i="1"/>
  <c r="Z839" i="1"/>
  <c r="BE838" i="1"/>
  <c r="Z838" i="1"/>
  <c r="BE837" i="1"/>
  <c r="Z837" i="1"/>
  <c r="BE836" i="1"/>
  <c r="Z836" i="1"/>
  <c r="BE835" i="1"/>
  <c r="AA835" i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Z835" i="1"/>
  <c r="BE834" i="1"/>
  <c r="Z834" i="1"/>
  <c r="BE830" i="1"/>
  <c r="BD830" i="1"/>
  <c r="AZ830" i="1"/>
  <c r="AX830" i="1"/>
  <c r="BE829" i="1"/>
  <c r="BD829" i="1"/>
  <c r="BC829" i="1"/>
  <c r="BA829" i="1"/>
  <c r="AY829" i="1"/>
  <c r="AW829" i="1"/>
  <c r="AU829" i="1"/>
  <c r="AS829" i="1"/>
  <c r="AQ829" i="1"/>
  <c r="AO829" i="1"/>
  <c r="Z829" i="1"/>
  <c r="Y829" i="1"/>
  <c r="V829" i="1"/>
  <c r="T829" i="1"/>
  <c r="S829" i="1"/>
  <c r="R829" i="1"/>
  <c r="Q829" i="1"/>
  <c r="P829" i="1"/>
  <c r="O829" i="1"/>
  <c r="M829" i="1"/>
  <c r="L829" i="1"/>
  <c r="K829" i="1"/>
  <c r="I829" i="1"/>
  <c r="F829" i="1"/>
  <c r="BE828" i="1"/>
  <c r="BD828" i="1"/>
  <c r="BC828" i="1"/>
  <c r="BA828" i="1"/>
  <c r="AY828" i="1"/>
  <c r="AW828" i="1"/>
  <c r="AU828" i="1"/>
  <c r="AS828" i="1"/>
  <c r="AQ828" i="1"/>
  <c r="AO828" i="1"/>
  <c r="Z828" i="1"/>
  <c r="Y828" i="1"/>
  <c r="V828" i="1"/>
  <c r="T828" i="1"/>
  <c r="S828" i="1"/>
  <c r="R828" i="1"/>
  <c r="Q828" i="1"/>
  <c r="P828" i="1"/>
  <c r="O828" i="1"/>
  <c r="M828" i="1"/>
  <c r="L828" i="1"/>
  <c r="K828" i="1"/>
  <c r="F828" i="1"/>
  <c r="BE827" i="1"/>
  <c r="BD827" i="1"/>
  <c r="BC827" i="1"/>
  <c r="BA827" i="1"/>
  <c r="AY827" i="1"/>
  <c r="AW827" i="1"/>
  <c r="AU827" i="1"/>
  <c r="AS827" i="1"/>
  <c r="AQ827" i="1"/>
  <c r="AO827" i="1"/>
  <c r="Z827" i="1"/>
  <c r="Y827" i="1"/>
  <c r="V827" i="1"/>
  <c r="T827" i="1"/>
  <c r="S827" i="1"/>
  <c r="R827" i="1"/>
  <c r="Q827" i="1"/>
  <c r="P827" i="1"/>
  <c r="O827" i="1"/>
  <c r="M827" i="1"/>
  <c r="L827" i="1"/>
  <c r="K827" i="1"/>
  <c r="F827" i="1"/>
  <c r="BE826" i="1"/>
  <c r="BD826" i="1"/>
  <c r="BC826" i="1"/>
  <c r="BA826" i="1"/>
  <c r="AY826" i="1"/>
  <c r="AW826" i="1"/>
  <c r="AU826" i="1"/>
  <c r="AS826" i="1"/>
  <c r="AQ826" i="1"/>
  <c r="AO826" i="1"/>
  <c r="Z826" i="1"/>
  <c r="Y826" i="1"/>
  <c r="V826" i="1"/>
  <c r="T826" i="1"/>
  <c r="S826" i="1"/>
  <c r="R826" i="1"/>
  <c r="Q826" i="1"/>
  <c r="P826" i="1"/>
  <c r="O826" i="1"/>
  <c r="M826" i="1"/>
  <c r="L826" i="1"/>
  <c r="K826" i="1"/>
  <c r="F826" i="1"/>
  <c r="BE825" i="1"/>
  <c r="BD825" i="1"/>
  <c r="BC825" i="1"/>
  <c r="BA825" i="1"/>
  <c r="AY825" i="1"/>
  <c r="AW825" i="1"/>
  <c r="AU825" i="1"/>
  <c r="AS825" i="1"/>
  <c r="AQ825" i="1"/>
  <c r="AO825" i="1"/>
  <c r="Z825" i="1"/>
  <c r="Y825" i="1"/>
  <c r="V825" i="1"/>
  <c r="T825" i="1"/>
  <c r="S825" i="1"/>
  <c r="R825" i="1"/>
  <c r="Q825" i="1"/>
  <c r="P825" i="1"/>
  <c r="O825" i="1"/>
  <c r="M825" i="1"/>
  <c r="L825" i="1"/>
  <c r="K825" i="1"/>
  <c r="F825" i="1"/>
  <c r="D825" i="1"/>
  <c r="D826" i="1" s="1"/>
  <c r="D827" i="1" s="1"/>
  <c r="D828" i="1" s="1"/>
  <c r="D829" i="1" s="1"/>
  <c r="C825" i="1"/>
  <c r="BE824" i="1"/>
  <c r="BD824" i="1"/>
  <c r="BC824" i="1"/>
  <c r="BA824" i="1"/>
  <c r="AY824" i="1"/>
  <c r="AW824" i="1"/>
  <c r="AU824" i="1"/>
  <c r="AS824" i="1"/>
  <c r="AQ824" i="1"/>
  <c r="AO824" i="1"/>
  <c r="AJ824" i="1"/>
  <c r="Z824" i="1"/>
  <c r="Y824" i="1"/>
  <c r="V824" i="1"/>
  <c r="T824" i="1"/>
  <c r="S824" i="1"/>
  <c r="R824" i="1"/>
  <c r="Q824" i="1"/>
  <c r="P824" i="1"/>
  <c r="O824" i="1"/>
  <c r="M824" i="1"/>
  <c r="L824" i="1"/>
  <c r="K824" i="1"/>
  <c r="H824" i="1"/>
  <c r="F824" i="1"/>
  <c r="BE823" i="1"/>
  <c r="BE822" i="1"/>
  <c r="BD822" i="1"/>
  <c r="BC822" i="1"/>
  <c r="BA822" i="1"/>
  <c r="AY822" i="1"/>
  <c r="AW822" i="1"/>
  <c r="AU822" i="1"/>
  <c r="AS822" i="1"/>
  <c r="AQ822" i="1"/>
  <c r="AO822" i="1"/>
  <c r="Z822" i="1"/>
  <c r="Y822" i="1"/>
  <c r="V822" i="1"/>
  <c r="T822" i="1"/>
  <c r="S822" i="1"/>
  <c r="R822" i="1"/>
  <c r="Q822" i="1"/>
  <c r="P822" i="1"/>
  <c r="O822" i="1"/>
  <c r="M822" i="1"/>
  <c r="L822" i="1"/>
  <c r="K822" i="1"/>
  <c r="I822" i="1"/>
  <c r="F822" i="1"/>
  <c r="BE821" i="1"/>
  <c r="BD821" i="1"/>
  <c r="BC821" i="1"/>
  <c r="BA821" i="1"/>
  <c r="AY821" i="1"/>
  <c r="AW821" i="1"/>
  <c r="AU821" i="1"/>
  <c r="AS821" i="1"/>
  <c r="AQ821" i="1"/>
  <c r="AO821" i="1"/>
  <c r="Z821" i="1"/>
  <c r="Y821" i="1"/>
  <c r="V821" i="1"/>
  <c r="T821" i="1"/>
  <c r="S821" i="1"/>
  <c r="R821" i="1"/>
  <c r="Q821" i="1"/>
  <c r="P821" i="1"/>
  <c r="O821" i="1"/>
  <c r="M821" i="1"/>
  <c r="L821" i="1"/>
  <c r="K821" i="1"/>
  <c r="F821" i="1"/>
  <c r="BE820" i="1"/>
  <c r="BD820" i="1"/>
  <c r="BC820" i="1"/>
  <c r="BA820" i="1"/>
  <c r="AY820" i="1"/>
  <c r="AW820" i="1"/>
  <c r="AU820" i="1"/>
  <c r="AS820" i="1"/>
  <c r="AQ820" i="1"/>
  <c r="AO820" i="1"/>
  <c r="Z820" i="1"/>
  <c r="Y820" i="1"/>
  <c r="V820" i="1"/>
  <c r="T820" i="1"/>
  <c r="S820" i="1"/>
  <c r="R820" i="1"/>
  <c r="Q820" i="1"/>
  <c r="P820" i="1"/>
  <c r="O820" i="1"/>
  <c r="M820" i="1"/>
  <c r="L820" i="1"/>
  <c r="K820" i="1"/>
  <c r="F820" i="1"/>
  <c r="BE819" i="1"/>
  <c r="BD819" i="1"/>
  <c r="BC819" i="1"/>
  <c r="BA819" i="1"/>
  <c r="AY819" i="1"/>
  <c r="AW819" i="1"/>
  <c r="AU819" i="1"/>
  <c r="AS819" i="1"/>
  <c r="AQ819" i="1"/>
  <c r="AO819" i="1"/>
  <c r="Z819" i="1"/>
  <c r="Y819" i="1"/>
  <c r="V819" i="1"/>
  <c r="T819" i="1"/>
  <c r="S819" i="1"/>
  <c r="R819" i="1"/>
  <c r="Q819" i="1"/>
  <c r="P819" i="1"/>
  <c r="O819" i="1"/>
  <c r="M819" i="1"/>
  <c r="L819" i="1"/>
  <c r="K819" i="1"/>
  <c r="F819" i="1"/>
  <c r="BE818" i="1"/>
  <c r="BD818" i="1"/>
  <c r="BC818" i="1"/>
  <c r="BA818" i="1"/>
  <c r="AY818" i="1"/>
  <c r="AW818" i="1"/>
  <c r="AU818" i="1"/>
  <c r="AS818" i="1"/>
  <c r="AQ818" i="1"/>
  <c r="AO818" i="1"/>
  <c r="Z818" i="1"/>
  <c r="Y818" i="1"/>
  <c r="V818" i="1"/>
  <c r="T818" i="1"/>
  <c r="S818" i="1"/>
  <c r="R818" i="1"/>
  <c r="Q818" i="1"/>
  <c r="P818" i="1"/>
  <c r="O818" i="1"/>
  <c r="M818" i="1"/>
  <c r="L818" i="1"/>
  <c r="K818" i="1"/>
  <c r="F818" i="1"/>
  <c r="D818" i="1"/>
  <c r="D819" i="1" s="1"/>
  <c r="D820" i="1" s="1"/>
  <c r="D821" i="1" s="1"/>
  <c r="D822" i="1" s="1"/>
  <c r="C818" i="1"/>
  <c r="C819" i="1" s="1"/>
  <c r="BE817" i="1"/>
  <c r="BD817" i="1"/>
  <c r="BC817" i="1"/>
  <c r="BA817" i="1"/>
  <c r="AY817" i="1"/>
  <c r="AW817" i="1"/>
  <c r="AU817" i="1"/>
  <c r="AS817" i="1"/>
  <c r="AQ817" i="1"/>
  <c r="AO817" i="1"/>
  <c r="AJ817" i="1"/>
  <c r="Z817" i="1"/>
  <c r="Y817" i="1"/>
  <c r="V817" i="1"/>
  <c r="T817" i="1"/>
  <c r="S817" i="1"/>
  <c r="R817" i="1"/>
  <c r="Q817" i="1"/>
  <c r="P817" i="1"/>
  <c r="O817" i="1"/>
  <c r="M817" i="1"/>
  <c r="L817" i="1"/>
  <c r="K817" i="1"/>
  <c r="H817" i="1"/>
  <c r="F817" i="1"/>
  <c r="BE814" i="1"/>
  <c r="Z814" i="1"/>
  <c r="BE813" i="1"/>
  <c r="Z813" i="1"/>
  <c r="BE812" i="1"/>
  <c r="Z812" i="1"/>
  <c r="BE811" i="1"/>
  <c r="Z811" i="1"/>
  <c r="BE810" i="1"/>
  <c r="Z810" i="1"/>
  <c r="BE809" i="1"/>
  <c r="Z809" i="1"/>
  <c r="BE808" i="1"/>
  <c r="Z808" i="1"/>
  <c r="BE807" i="1"/>
  <c r="Z807" i="1"/>
  <c r="BE806" i="1"/>
  <c r="Z806" i="1"/>
  <c r="BE805" i="1"/>
  <c r="Z805" i="1"/>
  <c r="BE804" i="1"/>
  <c r="AA804" i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Z804" i="1"/>
  <c r="BE803" i="1"/>
  <c r="Z803" i="1"/>
  <c r="BE799" i="1"/>
  <c r="BD799" i="1"/>
  <c r="AZ799" i="1"/>
  <c r="AX799" i="1"/>
  <c r="BE798" i="1"/>
  <c r="BD798" i="1"/>
  <c r="BC798" i="1"/>
  <c r="BA798" i="1"/>
  <c r="AY798" i="1"/>
  <c r="AW798" i="1"/>
  <c r="AU798" i="1"/>
  <c r="AS798" i="1"/>
  <c r="AQ798" i="1"/>
  <c r="AO798" i="1"/>
  <c r="Z798" i="1"/>
  <c r="Y798" i="1"/>
  <c r="V798" i="1"/>
  <c r="T798" i="1"/>
  <c r="S798" i="1"/>
  <c r="R798" i="1"/>
  <c r="Q798" i="1"/>
  <c r="P798" i="1"/>
  <c r="O798" i="1"/>
  <c r="M798" i="1"/>
  <c r="L798" i="1"/>
  <c r="K798" i="1"/>
  <c r="I798" i="1"/>
  <c r="F798" i="1"/>
  <c r="BE797" i="1"/>
  <c r="BD797" i="1"/>
  <c r="BC797" i="1"/>
  <c r="BA797" i="1"/>
  <c r="AY797" i="1"/>
  <c r="AW797" i="1"/>
  <c r="AU797" i="1"/>
  <c r="AS797" i="1"/>
  <c r="AQ797" i="1"/>
  <c r="AO797" i="1"/>
  <c r="Z797" i="1"/>
  <c r="Y797" i="1"/>
  <c r="V797" i="1"/>
  <c r="T797" i="1"/>
  <c r="S797" i="1"/>
  <c r="R797" i="1"/>
  <c r="Q797" i="1"/>
  <c r="P797" i="1"/>
  <c r="O797" i="1"/>
  <c r="M797" i="1"/>
  <c r="L797" i="1"/>
  <c r="K797" i="1"/>
  <c r="F797" i="1"/>
  <c r="BE796" i="1"/>
  <c r="BD796" i="1"/>
  <c r="BC796" i="1"/>
  <c r="BA796" i="1"/>
  <c r="AY796" i="1"/>
  <c r="AW796" i="1"/>
  <c r="AU796" i="1"/>
  <c r="AS796" i="1"/>
  <c r="AQ796" i="1"/>
  <c r="AO796" i="1"/>
  <c r="Z796" i="1"/>
  <c r="Y796" i="1"/>
  <c r="V796" i="1"/>
  <c r="T796" i="1"/>
  <c r="S796" i="1"/>
  <c r="R796" i="1"/>
  <c r="Q796" i="1"/>
  <c r="P796" i="1"/>
  <c r="O796" i="1"/>
  <c r="M796" i="1"/>
  <c r="L796" i="1"/>
  <c r="K796" i="1"/>
  <c r="F796" i="1"/>
  <c r="BE795" i="1"/>
  <c r="BD795" i="1"/>
  <c r="BC795" i="1"/>
  <c r="BA795" i="1"/>
  <c r="AY795" i="1"/>
  <c r="AW795" i="1"/>
  <c r="AU795" i="1"/>
  <c r="AS795" i="1"/>
  <c r="AQ795" i="1"/>
  <c r="AO795" i="1"/>
  <c r="Z795" i="1"/>
  <c r="Y795" i="1"/>
  <c r="V795" i="1"/>
  <c r="T795" i="1"/>
  <c r="S795" i="1"/>
  <c r="R795" i="1"/>
  <c r="Q795" i="1"/>
  <c r="P795" i="1"/>
  <c r="O795" i="1"/>
  <c r="M795" i="1"/>
  <c r="L795" i="1"/>
  <c r="K795" i="1"/>
  <c r="F795" i="1"/>
  <c r="BE794" i="1"/>
  <c r="BD794" i="1"/>
  <c r="BC794" i="1"/>
  <c r="BA794" i="1"/>
  <c r="AY794" i="1"/>
  <c r="AW794" i="1"/>
  <c r="AU794" i="1"/>
  <c r="AS794" i="1"/>
  <c r="AQ794" i="1"/>
  <c r="AO794" i="1"/>
  <c r="Z794" i="1"/>
  <c r="Y794" i="1"/>
  <c r="V794" i="1"/>
  <c r="T794" i="1"/>
  <c r="S794" i="1"/>
  <c r="R794" i="1"/>
  <c r="Q794" i="1"/>
  <c r="P794" i="1"/>
  <c r="O794" i="1"/>
  <c r="M794" i="1"/>
  <c r="L794" i="1"/>
  <c r="K794" i="1"/>
  <c r="F794" i="1"/>
  <c r="D794" i="1"/>
  <c r="D795" i="1" s="1"/>
  <c r="D796" i="1" s="1"/>
  <c r="D797" i="1" s="1"/>
  <c r="D798" i="1" s="1"/>
  <c r="C794" i="1"/>
  <c r="BE793" i="1"/>
  <c r="BD793" i="1"/>
  <c r="BC793" i="1"/>
  <c r="BA793" i="1"/>
  <c r="AY793" i="1"/>
  <c r="AW793" i="1"/>
  <c r="AU793" i="1"/>
  <c r="AS793" i="1"/>
  <c r="AQ793" i="1"/>
  <c r="AO793" i="1"/>
  <c r="AJ793" i="1"/>
  <c r="Z793" i="1"/>
  <c r="Y793" i="1"/>
  <c r="V793" i="1"/>
  <c r="T793" i="1"/>
  <c r="S793" i="1"/>
  <c r="R793" i="1"/>
  <c r="Q793" i="1"/>
  <c r="P793" i="1"/>
  <c r="O793" i="1"/>
  <c r="M793" i="1"/>
  <c r="L793" i="1"/>
  <c r="K793" i="1"/>
  <c r="H793" i="1"/>
  <c r="F793" i="1"/>
  <c r="BE792" i="1"/>
  <c r="BE791" i="1"/>
  <c r="BD791" i="1"/>
  <c r="BC791" i="1"/>
  <c r="BA791" i="1"/>
  <c r="AY791" i="1"/>
  <c r="AW791" i="1"/>
  <c r="AU791" i="1"/>
  <c r="AS791" i="1"/>
  <c r="AQ791" i="1"/>
  <c r="AO791" i="1"/>
  <c r="Z791" i="1"/>
  <c r="Y791" i="1"/>
  <c r="V791" i="1"/>
  <c r="T791" i="1"/>
  <c r="S791" i="1"/>
  <c r="R791" i="1"/>
  <c r="Q791" i="1"/>
  <c r="P791" i="1"/>
  <c r="O791" i="1"/>
  <c r="M791" i="1"/>
  <c r="L791" i="1"/>
  <c r="K791" i="1"/>
  <c r="I791" i="1"/>
  <c r="F791" i="1"/>
  <c r="BE790" i="1"/>
  <c r="BD790" i="1"/>
  <c r="BC790" i="1"/>
  <c r="BA790" i="1"/>
  <c r="AY790" i="1"/>
  <c r="AW790" i="1"/>
  <c r="AU790" i="1"/>
  <c r="AS790" i="1"/>
  <c r="AQ790" i="1"/>
  <c r="AO790" i="1"/>
  <c r="Z790" i="1"/>
  <c r="Y790" i="1"/>
  <c r="V790" i="1"/>
  <c r="T790" i="1"/>
  <c r="S790" i="1"/>
  <c r="R790" i="1"/>
  <c r="Q790" i="1"/>
  <c r="P790" i="1"/>
  <c r="O790" i="1"/>
  <c r="M790" i="1"/>
  <c r="L790" i="1"/>
  <c r="K790" i="1"/>
  <c r="F790" i="1"/>
  <c r="BE789" i="1"/>
  <c r="BD789" i="1"/>
  <c r="BC789" i="1"/>
  <c r="BA789" i="1"/>
  <c r="AY789" i="1"/>
  <c r="AW789" i="1"/>
  <c r="AU789" i="1"/>
  <c r="AS789" i="1"/>
  <c r="AQ789" i="1"/>
  <c r="AO789" i="1"/>
  <c r="Z789" i="1"/>
  <c r="Y789" i="1"/>
  <c r="V789" i="1"/>
  <c r="T789" i="1"/>
  <c r="S789" i="1"/>
  <c r="R789" i="1"/>
  <c r="Q789" i="1"/>
  <c r="P789" i="1"/>
  <c r="O789" i="1"/>
  <c r="M789" i="1"/>
  <c r="L789" i="1"/>
  <c r="K789" i="1"/>
  <c r="F789" i="1"/>
  <c r="BE788" i="1"/>
  <c r="BD788" i="1"/>
  <c r="BC788" i="1"/>
  <c r="BA788" i="1"/>
  <c r="AY788" i="1"/>
  <c r="AW788" i="1"/>
  <c r="AU788" i="1"/>
  <c r="AS788" i="1"/>
  <c r="AQ788" i="1"/>
  <c r="AO788" i="1"/>
  <c r="Z788" i="1"/>
  <c r="Y788" i="1"/>
  <c r="V788" i="1"/>
  <c r="T788" i="1"/>
  <c r="S788" i="1"/>
  <c r="R788" i="1"/>
  <c r="Q788" i="1"/>
  <c r="P788" i="1"/>
  <c r="O788" i="1"/>
  <c r="M788" i="1"/>
  <c r="L788" i="1"/>
  <c r="K788" i="1"/>
  <c r="F788" i="1"/>
  <c r="BE787" i="1"/>
  <c r="BD787" i="1"/>
  <c r="BC787" i="1"/>
  <c r="BA787" i="1"/>
  <c r="AY787" i="1"/>
  <c r="AW787" i="1"/>
  <c r="AU787" i="1"/>
  <c r="AS787" i="1"/>
  <c r="AQ787" i="1"/>
  <c r="AO787" i="1"/>
  <c r="Z787" i="1"/>
  <c r="Y787" i="1"/>
  <c r="V787" i="1"/>
  <c r="T787" i="1"/>
  <c r="S787" i="1"/>
  <c r="R787" i="1"/>
  <c r="Q787" i="1"/>
  <c r="P787" i="1"/>
  <c r="O787" i="1"/>
  <c r="M787" i="1"/>
  <c r="L787" i="1"/>
  <c r="K787" i="1"/>
  <c r="F787" i="1"/>
  <c r="D787" i="1"/>
  <c r="D788" i="1" s="1"/>
  <c r="D789" i="1" s="1"/>
  <c r="D790" i="1" s="1"/>
  <c r="D791" i="1" s="1"/>
  <c r="C787" i="1"/>
  <c r="H787" i="1" s="1"/>
  <c r="BE786" i="1"/>
  <c r="BD786" i="1"/>
  <c r="BC786" i="1"/>
  <c r="BA786" i="1"/>
  <c r="AY786" i="1"/>
  <c r="AW786" i="1"/>
  <c r="AU786" i="1"/>
  <c r="AS786" i="1"/>
  <c r="AQ786" i="1"/>
  <c r="AO786" i="1"/>
  <c r="AJ786" i="1"/>
  <c r="Z786" i="1"/>
  <c r="Y786" i="1"/>
  <c r="V786" i="1"/>
  <c r="T786" i="1"/>
  <c r="S786" i="1"/>
  <c r="R786" i="1"/>
  <c r="Q786" i="1"/>
  <c r="P786" i="1"/>
  <c r="O786" i="1"/>
  <c r="M786" i="1"/>
  <c r="L786" i="1"/>
  <c r="K786" i="1"/>
  <c r="H786" i="1"/>
  <c r="F786" i="1"/>
  <c r="BE783" i="1"/>
  <c r="Z783" i="1"/>
  <c r="BE782" i="1"/>
  <c r="Z782" i="1"/>
  <c r="BE781" i="1"/>
  <c r="Z781" i="1"/>
  <c r="BE780" i="1"/>
  <c r="Z780" i="1"/>
  <c r="BE779" i="1"/>
  <c r="Z779" i="1"/>
  <c r="BE778" i="1"/>
  <c r="Z778" i="1"/>
  <c r="BE777" i="1"/>
  <c r="Z777" i="1"/>
  <c r="BE776" i="1"/>
  <c r="Z776" i="1"/>
  <c r="BE775" i="1"/>
  <c r="Z775" i="1"/>
  <c r="BE774" i="1"/>
  <c r="AA774" i="1"/>
  <c r="AA775" i="1" s="1"/>
  <c r="AA776" i="1" s="1"/>
  <c r="AA777" i="1" s="1"/>
  <c r="AA778" i="1" s="1"/>
  <c r="AA779" i="1" s="1"/>
  <c r="AA780" i="1" s="1"/>
  <c r="AA781" i="1" s="1"/>
  <c r="AA782" i="1" s="1"/>
  <c r="AA783" i="1" s="1"/>
  <c r="Z774" i="1"/>
  <c r="BE773" i="1"/>
  <c r="AA773" i="1"/>
  <c r="Z773" i="1"/>
  <c r="BE772" i="1"/>
  <c r="Z772" i="1"/>
  <c r="BE768" i="1"/>
  <c r="BD768" i="1"/>
  <c r="AZ768" i="1"/>
  <c r="AX768" i="1"/>
  <c r="BE767" i="1"/>
  <c r="BD767" i="1"/>
  <c r="BC767" i="1"/>
  <c r="BA767" i="1"/>
  <c r="AY767" i="1"/>
  <c r="AW767" i="1"/>
  <c r="AU767" i="1"/>
  <c r="AS767" i="1"/>
  <c r="AQ767" i="1"/>
  <c r="AO767" i="1"/>
  <c r="Z767" i="1"/>
  <c r="Y767" i="1"/>
  <c r="V767" i="1"/>
  <c r="T767" i="1"/>
  <c r="S767" i="1"/>
  <c r="R767" i="1"/>
  <c r="Q767" i="1"/>
  <c r="P767" i="1"/>
  <c r="O767" i="1"/>
  <c r="M767" i="1"/>
  <c r="L767" i="1"/>
  <c r="K767" i="1"/>
  <c r="I767" i="1"/>
  <c r="F767" i="1"/>
  <c r="BE766" i="1"/>
  <c r="BD766" i="1"/>
  <c r="BC766" i="1"/>
  <c r="BA766" i="1"/>
  <c r="AY766" i="1"/>
  <c r="AW766" i="1"/>
  <c r="AU766" i="1"/>
  <c r="AS766" i="1"/>
  <c r="AQ766" i="1"/>
  <c r="AO766" i="1"/>
  <c r="Z766" i="1"/>
  <c r="Y766" i="1"/>
  <c r="V766" i="1"/>
  <c r="T766" i="1"/>
  <c r="S766" i="1"/>
  <c r="R766" i="1"/>
  <c r="Q766" i="1"/>
  <c r="P766" i="1"/>
  <c r="O766" i="1"/>
  <c r="M766" i="1"/>
  <c r="L766" i="1"/>
  <c r="K766" i="1"/>
  <c r="F766" i="1"/>
  <c r="BE765" i="1"/>
  <c r="BD765" i="1"/>
  <c r="BC765" i="1"/>
  <c r="BA765" i="1"/>
  <c r="AY765" i="1"/>
  <c r="AW765" i="1"/>
  <c r="AU765" i="1"/>
  <c r="AS765" i="1"/>
  <c r="AQ765" i="1"/>
  <c r="AO765" i="1"/>
  <c r="Z765" i="1"/>
  <c r="Y765" i="1"/>
  <c r="V765" i="1"/>
  <c r="T765" i="1"/>
  <c r="S765" i="1"/>
  <c r="R765" i="1"/>
  <c r="Q765" i="1"/>
  <c r="P765" i="1"/>
  <c r="O765" i="1"/>
  <c r="M765" i="1"/>
  <c r="L765" i="1"/>
  <c r="K765" i="1"/>
  <c r="F765" i="1"/>
  <c r="BE764" i="1"/>
  <c r="BD764" i="1"/>
  <c r="BC764" i="1"/>
  <c r="BA764" i="1"/>
  <c r="AY764" i="1"/>
  <c r="AW764" i="1"/>
  <c r="AU764" i="1"/>
  <c r="AS764" i="1"/>
  <c r="AQ764" i="1"/>
  <c r="AO764" i="1"/>
  <c r="Z764" i="1"/>
  <c r="Y764" i="1"/>
  <c r="V764" i="1"/>
  <c r="T764" i="1"/>
  <c r="S764" i="1"/>
  <c r="R764" i="1"/>
  <c r="Q764" i="1"/>
  <c r="P764" i="1"/>
  <c r="O764" i="1"/>
  <c r="M764" i="1"/>
  <c r="L764" i="1"/>
  <c r="K764" i="1"/>
  <c r="F764" i="1"/>
  <c r="BE763" i="1"/>
  <c r="BD763" i="1"/>
  <c r="BC763" i="1"/>
  <c r="BA763" i="1"/>
  <c r="AY763" i="1"/>
  <c r="AW763" i="1"/>
  <c r="AU763" i="1"/>
  <c r="AS763" i="1"/>
  <c r="AQ763" i="1"/>
  <c r="AO763" i="1"/>
  <c r="Z763" i="1"/>
  <c r="Y763" i="1"/>
  <c r="V763" i="1"/>
  <c r="T763" i="1"/>
  <c r="S763" i="1"/>
  <c r="R763" i="1"/>
  <c r="Q763" i="1"/>
  <c r="P763" i="1"/>
  <c r="O763" i="1"/>
  <c r="M763" i="1"/>
  <c r="L763" i="1"/>
  <c r="K763" i="1"/>
  <c r="F763" i="1"/>
  <c r="D763" i="1"/>
  <c r="D764" i="1" s="1"/>
  <c r="D765" i="1" s="1"/>
  <c r="D766" i="1" s="1"/>
  <c r="D767" i="1" s="1"/>
  <c r="C763" i="1"/>
  <c r="C764" i="1" s="1"/>
  <c r="H764" i="1" s="1"/>
  <c r="BE762" i="1"/>
  <c r="BD762" i="1"/>
  <c r="BC762" i="1"/>
  <c r="BA762" i="1"/>
  <c r="AY762" i="1"/>
  <c r="AW762" i="1"/>
  <c r="AU762" i="1"/>
  <c r="AS762" i="1"/>
  <c r="AQ762" i="1"/>
  <c r="AO762" i="1"/>
  <c r="AJ762" i="1"/>
  <c r="Z762" i="1"/>
  <c r="Y762" i="1"/>
  <c r="V762" i="1"/>
  <c r="T762" i="1"/>
  <c r="S762" i="1"/>
  <c r="R762" i="1"/>
  <c r="Q762" i="1"/>
  <c r="P762" i="1"/>
  <c r="O762" i="1"/>
  <c r="M762" i="1"/>
  <c r="L762" i="1"/>
  <c r="K762" i="1"/>
  <c r="H762" i="1"/>
  <c r="F762" i="1"/>
  <c r="BE761" i="1"/>
  <c r="BE760" i="1"/>
  <c r="BD760" i="1"/>
  <c r="BC760" i="1"/>
  <c r="BA760" i="1"/>
  <c r="AY760" i="1"/>
  <c r="AW760" i="1"/>
  <c r="AU760" i="1"/>
  <c r="AS760" i="1"/>
  <c r="AQ760" i="1"/>
  <c r="AO760" i="1"/>
  <c r="Z760" i="1"/>
  <c r="Y760" i="1"/>
  <c r="V760" i="1"/>
  <c r="T760" i="1"/>
  <c r="S760" i="1"/>
  <c r="R760" i="1"/>
  <c r="Q760" i="1"/>
  <c r="P760" i="1"/>
  <c r="O760" i="1"/>
  <c r="M760" i="1"/>
  <c r="L760" i="1"/>
  <c r="K760" i="1"/>
  <c r="I760" i="1"/>
  <c r="F760" i="1"/>
  <c r="BE759" i="1"/>
  <c r="BD759" i="1"/>
  <c r="BC759" i="1"/>
  <c r="BA759" i="1"/>
  <c r="AY759" i="1"/>
  <c r="AW759" i="1"/>
  <c r="AU759" i="1"/>
  <c r="AS759" i="1"/>
  <c r="AQ759" i="1"/>
  <c r="AO759" i="1"/>
  <c r="Z759" i="1"/>
  <c r="Y759" i="1"/>
  <c r="V759" i="1"/>
  <c r="T759" i="1"/>
  <c r="S759" i="1"/>
  <c r="R759" i="1"/>
  <c r="Q759" i="1"/>
  <c r="P759" i="1"/>
  <c r="O759" i="1"/>
  <c r="M759" i="1"/>
  <c r="L759" i="1"/>
  <c r="K759" i="1"/>
  <c r="F759" i="1"/>
  <c r="BE758" i="1"/>
  <c r="BD758" i="1"/>
  <c r="BC758" i="1"/>
  <c r="BA758" i="1"/>
  <c r="AY758" i="1"/>
  <c r="AW758" i="1"/>
  <c r="AU758" i="1"/>
  <c r="AS758" i="1"/>
  <c r="AQ758" i="1"/>
  <c r="AO758" i="1"/>
  <c r="Z758" i="1"/>
  <c r="Y758" i="1"/>
  <c r="V758" i="1"/>
  <c r="T758" i="1"/>
  <c r="S758" i="1"/>
  <c r="R758" i="1"/>
  <c r="Q758" i="1"/>
  <c r="P758" i="1"/>
  <c r="O758" i="1"/>
  <c r="M758" i="1"/>
  <c r="L758" i="1"/>
  <c r="K758" i="1"/>
  <c r="F758" i="1"/>
  <c r="BE757" i="1"/>
  <c r="BD757" i="1"/>
  <c r="BC757" i="1"/>
  <c r="BA757" i="1"/>
  <c r="AY757" i="1"/>
  <c r="AW757" i="1"/>
  <c r="AU757" i="1"/>
  <c r="AS757" i="1"/>
  <c r="AQ757" i="1"/>
  <c r="AO757" i="1"/>
  <c r="Z757" i="1"/>
  <c r="Y757" i="1"/>
  <c r="V757" i="1"/>
  <c r="T757" i="1"/>
  <c r="S757" i="1"/>
  <c r="R757" i="1"/>
  <c r="Q757" i="1"/>
  <c r="P757" i="1"/>
  <c r="O757" i="1"/>
  <c r="M757" i="1"/>
  <c r="L757" i="1"/>
  <c r="K757" i="1"/>
  <c r="F757" i="1"/>
  <c r="BE756" i="1"/>
  <c r="BD756" i="1"/>
  <c r="BC756" i="1"/>
  <c r="BA756" i="1"/>
  <c r="AY756" i="1"/>
  <c r="AW756" i="1"/>
  <c r="AU756" i="1"/>
  <c r="AS756" i="1"/>
  <c r="AQ756" i="1"/>
  <c r="AO756" i="1"/>
  <c r="Z756" i="1"/>
  <c r="Y756" i="1"/>
  <c r="V756" i="1"/>
  <c r="T756" i="1"/>
  <c r="S756" i="1"/>
  <c r="R756" i="1"/>
  <c r="Q756" i="1"/>
  <c r="P756" i="1"/>
  <c r="O756" i="1"/>
  <c r="M756" i="1"/>
  <c r="L756" i="1"/>
  <c r="K756" i="1"/>
  <c r="F756" i="1"/>
  <c r="D756" i="1"/>
  <c r="D757" i="1" s="1"/>
  <c r="D758" i="1" s="1"/>
  <c r="D759" i="1" s="1"/>
  <c r="D760" i="1" s="1"/>
  <c r="C756" i="1"/>
  <c r="C757" i="1" s="1"/>
  <c r="BE755" i="1"/>
  <c r="BD755" i="1"/>
  <c r="BC755" i="1"/>
  <c r="BA755" i="1"/>
  <c r="AY755" i="1"/>
  <c r="AW755" i="1"/>
  <c r="AU755" i="1"/>
  <c r="AS755" i="1"/>
  <c r="AQ755" i="1"/>
  <c r="AO755" i="1"/>
  <c r="AJ755" i="1"/>
  <c r="Z755" i="1"/>
  <c r="Y755" i="1"/>
  <c r="V755" i="1"/>
  <c r="T755" i="1"/>
  <c r="S755" i="1"/>
  <c r="R755" i="1"/>
  <c r="Q755" i="1"/>
  <c r="P755" i="1"/>
  <c r="O755" i="1"/>
  <c r="M755" i="1"/>
  <c r="L755" i="1"/>
  <c r="K755" i="1"/>
  <c r="H755" i="1"/>
  <c r="F755" i="1"/>
  <c r="BE690" i="1"/>
  <c r="Z690" i="1"/>
  <c r="BE689" i="1"/>
  <c r="Z689" i="1"/>
  <c r="BE688" i="1"/>
  <c r="Z688" i="1"/>
  <c r="BE687" i="1"/>
  <c r="Z687" i="1"/>
  <c r="BE686" i="1"/>
  <c r="Z686" i="1"/>
  <c r="BE685" i="1"/>
  <c r="Z685" i="1"/>
  <c r="BE684" i="1"/>
  <c r="Z684" i="1"/>
  <c r="BE683" i="1"/>
  <c r="Z683" i="1"/>
  <c r="BE682" i="1"/>
  <c r="Z682" i="1"/>
  <c r="BE681" i="1"/>
  <c r="Z681" i="1"/>
  <c r="BE680" i="1"/>
  <c r="AA680" i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Z680" i="1"/>
  <c r="BE679" i="1"/>
  <c r="Z679" i="1"/>
  <c r="BE675" i="1"/>
  <c r="BD675" i="1"/>
  <c r="AZ675" i="1"/>
  <c r="AX675" i="1"/>
  <c r="BE674" i="1"/>
  <c r="BD674" i="1"/>
  <c r="BC674" i="1"/>
  <c r="BA674" i="1"/>
  <c r="AY674" i="1"/>
  <c r="AW674" i="1"/>
  <c r="AU674" i="1"/>
  <c r="AS674" i="1"/>
  <c r="AQ674" i="1"/>
  <c r="AO674" i="1"/>
  <c r="Z674" i="1"/>
  <c r="Y674" i="1"/>
  <c r="V674" i="1"/>
  <c r="T674" i="1"/>
  <c r="S674" i="1"/>
  <c r="R674" i="1"/>
  <c r="Q674" i="1"/>
  <c r="P674" i="1"/>
  <c r="O674" i="1"/>
  <c r="M674" i="1"/>
  <c r="L674" i="1"/>
  <c r="K674" i="1"/>
  <c r="I674" i="1"/>
  <c r="F674" i="1"/>
  <c r="BE673" i="1"/>
  <c r="BD673" i="1"/>
  <c r="BC673" i="1"/>
  <c r="BA673" i="1"/>
  <c r="AY673" i="1"/>
  <c r="AW673" i="1"/>
  <c r="AU673" i="1"/>
  <c r="AS673" i="1"/>
  <c r="AQ673" i="1"/>
  <c r="AO673" i="1"/>
  <c r="Z673" i="1"/>
  <c r="Y673" i="1"/>
  <c r="V673" i="1"/>
  <c r="T673" i="1"/>
  <c r="S673" i="1"/>
  <c r="R673" i="1"/>
  <c r="Q673" i="1"/>
  <c r="P673" i="1"/>
  <c r="O673" i="1"/>
  <c r="M673" i="1"/>
  <c r="L673" i="1"/>
  <c r="K673" i="1"/>
  <c r="F673" i="1"/>
  <c r="BE672" i="1"/>
  <c r="BD672" i="1"/>
  <c r="BC672" i="1"/>
  <c r="BA672" i="1"/>
  <c r="AY672" i="1"/>
  <c r="AW672" i="1"/>
  <c r="AU672" i="1"/>
  <c r="AS672" i="1"/>
  <c r="AQ672" i="1"/>
  <c r="AO672" i="1"/>
  <c r="Z672" i="1"/>
  <c r="Y672" i="1"/>
  <c r="V672" i="1"/>
  <c r="T672" i="1"/>
  <c r="S672" i="1"/>
  <c r="R672" i="1"/>
  <c r="Q672" i="1"/>
  <c r="P672" i="1"/>
  <c r="O672" i="1"/>
  <c r="M672" i="1"/>
  <c r="L672" i="1"/>
  <c r="K672" i="1"/>
  <c r="F672" i="1"/>
  <c r="BE671" i="1"/>
  <c r="BD671" i="1"/>
  <c r="BC671" i="1"/>
  <c r="BA671" i="1"/>
  <c r="AY671" i="1"/>
  <c r="AW671" i="1"/>
  <c r="AU671" i="1"/>
  <c r="AS671" i="1"/>
  <c r="AQ671" i="1"/>
  <c r="AO671" i="1"/>
  <c r="Z671" i="1"/>
  <c r="Y671" i="1"/>
  <c r="V671" i="1"/>
  <c r="T671" i="1"/>
  <c r="S671" i="1"/>
  <c r="R671" i="1"/>
  <c r="Q671" i="1"/>
  <c r="P671" i="1"/>
  <c r="O671" i="1"/>
  <c r="M671" i="1"/>
  <c r="L671" i="1"/>
  <c r="K671" i="1"/>
  <c r="F671" i="1"/>
  <c r="BE670" i="1"/>
  <c r="BD670" i="1"/>
  <c r="BC670" i="1"/>
  <c r="BA670" i="1"/>
  <c r="AY670" i="1"/>
  <c r="AW670" i="1"/>
  <c r="AU670" i="1"/>
  <c r="AS670" i="1"/>
  <c r="AQ670" i="1"/>
  <c r="AO670" i="1"/>
  <c r="Z670" i="1"/>
  <c r="Y670" i="1"/>
  <c r="V670" i="1"/>
  <c r="T670" i="1"/>
  <c r="S670" i="1"/>
  <c r="R670" i="1"/>
  <c r="Q670" i="1"/>
  <c r="P670" i="1"/>
  <c r="O670" i="1"/>
  <c r="M670" i="1"/>
  <c r="L670" i="1"/>
  <c r="K670" i="1"/>
  <c r="F670" i="1"/>
  <c r="D670" i="1"/>
  <c r="D671" i="1" s="1"/>
  <c r="D672" i="1" s="1"/>
  <c r="D673" i="1" s="1"/>
  <c r="D674" i="1" s="1"/>
  <c r="C670" i="1"/>
  <c r="C671" i="1" s="1"/>
  <c r="BE669" i="1"/>
  <c r="BD669" i="1"/>
  <c r="BC669" i="1"/>
  <c r="BA669" i="1"/>
  <c r="AY669" i="1"/>
  <c r="AW669" i="1"/>
  <c r="AU669" i="1"/>
  <c r="AS669" i="1"/>
  <c r="AQ669" i="1"/>
  <c r="AO669" i="1"/>
  <c r="AJ669" i="1"/>
  <c r="Z669" i="1"/>
  <c r="Y669" i="1"/>
  <c r="V669" i="1"/>
  <c r="T669" i="1"/>
  <c r="S669" i="1"/>
  <c r="R669" i="1"/>
  <c r="Q669" i="1"/>
  <c r="P669" i="1"/>
  <c r="O669" i="1"/>
  <c r="M669" i="1"/>
  <c r="L669" i="1"/>
  <c r="K669" i="1"/>
  <c r="H669" i="1"/>
  <c r="F669" i="1"/>
  <c r="BE668" i="1"/>
  <c r="BE667" i="1"/>
  <c r="BD667" i="1"/>
  <c r="BC667" i="1"/>
  <c r="BA667" i="1"/>
  <c r="AY667" i="1"/>
  <c r="AW667" i="1"/>
  <c r="AU667" i="1"/>
  <c r="AS667" i="1"/>
  <c r="AQ667" i="1"/>
  <c r="AO667" i="1"/>
  <c r="Z667" i="1"/>
  <c r="Y667" i="1"/>
  <c r="V667" i="1"/>
  <c r="T667" i="1"/>
  <c r="S667" i="1"/>
  <c r="R667" i="1"/>
  <c r="Q667" i="1"/>
  <c r="P667" i="1"/>
  <c r="O667" i="1"/>
  <c r="M667" i="1"/>
  <c r="L667" i="1"/>
  <c r="K667" i="1"/>
  <c r="I667" i="1"/>
  <c r="F667" i="1"/>
  <c r="BE666" i="1"/>
  <c r="BD666" i="1"/>
  <c r="BC666" i="1"/>
  <c r="BA666" i="1"/>
  <c r="AY666" i="1"/>
  <c r="AW666" i="1"/>
  <c r="AU666" i="1"/>
  <c r="AS666" i="1"/>
  <c r="AQ666" i="1"/>
  <c r="AO666" i="1"/>
  <c r="Z666" i="1"/>
  <c r="Y666" i="1"/>
  <c r="V666" i="1"/>
  <c r="T666" i="1"/>
  <c r="S666" i="1"/>
  <c r="R666" i="1"/>
  <c r="Q666" i="1"/>
  <c r="P666" i="1"/>
  <c r="O666" i="1"/>
  <c r="M666" i="1"/>
  <c r="L666" i="1"/>
  <c r="K666" i="1"/>
  <c r="F666" i="1"/>
  <c r="BE665" i="1"/>
  <c r="BD665" i="1"/>
  <c r="BC665" i="1"/>
  <c r="BA665" i="1"/>
  <c r="AY665" i="1"/>
  <c r="AW665" i="1"/>
  <c r="AU665" i="1"/>
  <c r="AS665" i="1"/>
  <c r="AQ665" i="1"/>
  <c r="AO665" i="1"/>
  <c r="Z665" i="1"/>
  <c r="Y665" i="1"/>
  <c r="V665" i="1"/>
  <c r="T665" i="1"/>
  <c r="S665" i="1"/>
  <c r="R665" i="1"/>
  <c r="Q665" i="1"/>
  <c r="P665" i="1"/>
  <c r="O665" i="1"/>
  <c r="M665" i="1"/>
  <c r="L665" i="1"/>
  <c r="K665" i="1"/>
  <c r="F665" i="1"/>
  <c r="BE664" i="1"/>
  <c r="BD664" i="1"/>
  <c r="BC664" i="1"/>
  <c r="BA664" i="1"/>
  <c r="AY664" i="1"/>
  <c r="AW664" i="1"/>
  <c r="AU664" i="1"/>
  <c r="AS664" i="1"/>
  <c r="AQ664" i="1"/>
  <c r="AO664" i="1"/>
  <c r="Z664" i="1"/>
  <c r="Y664" i="1"/>
  <c r="V664" i="1"/>
  <c r="T664" i="1"/>
  <c r="S664" i="1"/>
  <c r="R664" i="1"/>
  <c r="Q664" i="1"/>
  <c r="P664" i="1"/>
  <c r="O664" i="1"/>
  <c r="M664" i="1"/>
  <c r="L664" i="1"/>
  <c r="K664" i="1"/>
  <c r="F664" i="1"/>
  <c r="BE663" i="1"/>
  <c r="BD663" i="1"/>
  <c r="BC663" i="1"/>
  <c r="BA663" i="1"/>
  <c r="AY663" i="1"/>
  <c r="AW663" i="1"/>
  <c r="AU663" i="1"/>
  <c r="AS663" i="1"/>
  <c r="AQ663" i="1"/>
  <c r="AO663" i="1"/>
  <c r="Z663" i="1"/>
  <c r="Y663" i="1"/>
  <c r="V663" i="1"/>
  <c r="T663" i="1"/>
  <c r="S663" i="1"/>
  <c r="R663" i="1"/>
  <c r="Q663" i="1"/>
  <c r="P663" i="1"/>
  <c r="O663" i="1"/>
  <c r="M663" i="1"/>
  <c r="L663" i="1"/>
  <c r="K663" i="1"/>
  <c r="F663" i="1"/>
  <c r="D663" i="1"/>
  <c r="D664" i="1" s="1"/>
  <c r="D665" i="1" s="1"/>
  <c r="D666" i="1" s="1"/>
  <c r="D667" i="1" s="1"/>
  <c r="C663" i="1"/>
  <c r="C664" i="1" s="1"/>
  <c r="BE662" i="1"/>
  <c r="BD662" i="1"/>
  <c r="BC662" i="1"/>
  <c r="BA662" i="1"/>
  <c r="AY662" i="1"/>
  <c r="AW662" i="1"/>
  <c r="AU662" i="1"/>
  <c r="AS662" i="1"/>
  <c r="AQ662" i="1"/>
  <c r="AO662" i="1"/>
  <c r="AJ662" i="1"/>
  <c r="Z662" i="1"/>
  <c r="Y662" i="1"/>
  <c r="V662" i="1"/>
  <c r="T662" i="1"/>
  <c r="S662" i="1"/>
  <c r="R662" i="1"/>
  <c r="Q662" i="1"/>
  <c r="P662" i="1"/>
  <c r="O662" i="1"/>
  <c r="M662" i="1"/>
  <c r="L662" i="1"/>
  <c r="K662" i="1"/>
  <c r="H662" i="1"/>
  <c r="F662" i="1"/>
  <c r="BE659" i="1"/>
  <c r="Z659" i="1"/>
  <c r="BE658" i="1"/>
  <c r="Z658" i="1"/>
  <c r="BE657" i="1"/>
  <c r="Z657" i="1"/>
  <c r="BE656" i="1"/>
  <c r="Z656" i="1"/>
  <c r="BE655" i="1"/>
  <c r="Z655" i="1"/>
  <c r="BE654" i="1"/>
  <c r="Z654" i="1"/>
  <c r="BE653" i="1"/>
  <c r="Z653" i="1"/>
  <c r="BE652" i="1"/>
  <c r="Z652" i="1"/>
  <c r="BE651" i="1"/>
  <c r="AA651" i="1"/>
  <c r="AA652" i="1" s="1"/>
  <c r="AA653" i="1" s="1"/>
  <c r="AA654" i="1" s="1"/>
  <c r="AA655" i="1" s="1"/>
  <c r="AA656" i="1" s="1"/>
  <c r="AA657" i="1" s="1"/>
  <c r="AA658" i="1" s="1"/>
  <c r="AA659" i="1" s="1"/>
  <c r="Z651" i="1"/>
  <c r="BE650" i="1"/>
  <c r="Z650" i="1"/>
  <c r="BE649" i="1"/>
  <c r="AA649" i="1"/>
  <c r="AA650" i="1" s="1"/>
  <c r="Z649" i="1"/>
  <c r="BE648" i="1"/>
  <c r="Z648" i="1"/>
  <c r="BE644" i="1"/>
  <c r="BD644" i="1"/>
  <c r="AZ644" i="1"/>
  <c r="AX644" i="1"/>
  <c r="BE643" i="1"/>
  <c r="BD643" i="1"/>
  <c r="BC643" i="1"/>
  <c r="BA643" i="1"/>
  <c r="AY643" i="1"/>
  <c r="AW643" i="1"/>
  <c r="AU643" i="1"/>
  <c r="AS643" i="1"/>
  <c r="AQ643" i="1"/>
  <c r="AO643" i="1"/>
  <c r="Z643" i="1"/>
  <c r="Y643" i="1"/>
  <c r="V643" i="1"/>
  <c r="T643" i="1"/>
  <c r="S643" i="1"/>
  <c r="R643" i="1"/>
  <c r="Q643" i="1"/>
  <c r="P643" i="1"/>
  <c r="O643" i="1"/>
  <c r="M643" i="1"/>
  <c r="L643" i="1"/>
  <c r="K643" i="1"/>
  <c r="I643" i="1"/>
  <c r="F643" i="1"/>
  <c r="BE642" i="1"/>
  <c r="BD642" i="1"/>
  <c r="BC642" i="1"/>
  <c r="BA642" i="1"/>
  <c r="AY642" i="1"/>
  <c r="AW642" i="1"/>
  <c r="AU642" i="1"/>
  <c r="AS642" i="1"/>
  <c r="AQ642" i="1"/>
  <c r="AO642" i="1"/>
  <c r="Z642" i="1"/>
  <c r="Y642" i="1"/>
  <c r="V642" i="1"/>
  <c r="T642" i="1"/>
  <c r="S642" i="1"/>
  <c r="R642" i="1"/>
  <c r="Q642" i="1"/>
  <c r="P642" i="1"/>
  <c r="O642" i="1"/>
  <c r="M642" i="1"/>
  <c r="L642" i="1"/>
  <c r="K642" i="1"/>
  <c r="F642" i="1"/>
  <c r="BE641" i="1"/>
  <c r="BD641" i="1"/>
  <c r="BC641" i="1"/>
  <c r="BA641" i="1"/>
  <c r="AY641" i="1"/>
  <c r="AW641" i="1"/>
  <c r="AU641" i="1"/>
  <c r="AS641" i="1"/>
  <c r="AQ641" i="1"/>
  <c r="AO641" i="1"/>
  <c r="Z641" i="1"/>
  <c r="Y641" i="1"/>
  <c r="V641" i="1"/>
  <c r="T641" i="1"/>
  <c r="S641" i="1"/>
  <c r="R641" i="1"/>
  <c r="Q641" i="1"/>
  <c r="P641" i="1"/>
  <c r="O641" i="1"/>
  <c r="M641" i="1"/>
  <c r="L641" i="1"/>
  <c r="K641" i="1"/>
  <c r="F641" i="1"/>
  <c r="BE640" i="1"/>
  <c r="BD640" i="1"/>
  <c r="BC640" i="1"/>
  <c r="BA640" i="1"/>
  <c r="AY640" i="1"/>
  <c r="AW640" i="1"/>
  <c r="AU640" i="1"/>
  <c r="AS640" i="1"/>
  <c r="AQ640" i="1"/>
  <c r="AO640" i="1"/>
  <c r="Z640" i="1"/>
  <c r="Y640" i="1"/>
  <c r="V640" i="1"/>
  <c r="T640" i="1"/>
  <c r="S640" i="1"/>
  <c r="R640" i="1"/>
  <c r="Q640" i="1"/>
  <c r="P640" i="1"/>
  <c r="O640" i="1"/>
  <c r="M640" i="1"/>
  <c r="L640" i="1"/>
  <c r="K640" i="1"/>
  <c r="F640" i="1"/>
  <c r="BE639" i="1"/>
  <c r="BD639" i="1"/>
  <c r="BC639" i="1"/>
  <c r="BA639" i="1"/>
  <c r="AY639" i="1"/>
  <c r="AW639" i="1"/>
  <c r="AU639" i="1"/>
  <c r="AS639" i="1"/>
  <c r="AQ639" i="1"/>
  <c r="AO639" i="1"/>
  <c r="Z639" i="1"/>
  <c r="Y639" i="1"/>
  <c r="V639" i="1"/>
  <c r="T639" i="1"/>
  <c r="S639" i="1"/>
  <c r="R639" i="1"/>
  <c r="Q639" i="1"/>
  <c r="P639" i="1"/>
  <c r="O639" i="1"/>
  <c r="M639" i="1"/>
  <c r="L639" i="1"/>
  <c r="K639" i="1"/>
  <c r="F639" i="1"/>
  <c r="D639" i="1"/>
  <c r="D640" i="1" s="1"/>
  <c r="D641" i="1" s="1"/>
  <c r="D642" i="1" s="1"/>
  <c r="D643" i="1" s="1"/>
  <c r="C639" i="1"/>
  <c r="C640" i="1" s="1"/>
  <c r="BE638" i="1"/>
  <c r="BD638" i="1"/>
  <c r="BC638" i="1"/>
  <c r="BA638" i="1"/>
  <c r="AY638" i="1"/>
  <c r="AW638" i="1"/>
  <c r="AU638" i="1"/>
  <c r="AS638" i="1"/>
  <c r="AQ638" i="1"/>
  <c r="AO638" i="1"/>
  <c r="AJ638" i="1"/>
  <c r="Z638" i="1"/>
  <c r="Y638" i="1"/>
  <c r="V638" i="1"/>
  <c r="T638" i="1"/>
  <c r="S638" i="1"/>
  <c r="R638" i="1"/>
  <c r="Q638" i="1"/>
  <c r="P638" i="1"/>
  <c r="O638" i="1"/>
  <c r="M638" i="1"/>
  <c r="L638" i="1"/>
  <c r="K638" i="1"/>
  <c r="H638" i="1"/>
  <c r="F638" i="1"/>
  <c r="BE637" i="1"/>
  <c r="BE636" i="1"/>
  <c r="BD636" i="1"/>
  <c r="BC636" i="1"/>
  <c r="BA636" i="1"/>
  <c r="AY636" i="1"/>
  <c r="AW636" i="1"/>
  <c r="AU636" i="1"/>
  <c r="AS636" i="1"/>
  <c r="AQ636" i="1"/>
  <c r="AO636" i="1"/>
  <c r="Z636" i="1"/>
  <c r="Y636" i="1"/>
  <c r="V636" i="1"/>
  <c r="T636" i="1"/>
  <c r="S636" i="1"/>
  <c r="R636" i="1"/>
  <c r="Q636" i="1"/>
  <c r="P636" i="1"/>
  <c r="O636" i="1"/>
  <c r="M636" i="1"/>
  <c r="L636" i="1"/>
  <c r="K636" i="1"/>
  <c r="I636" i="1"/>
  <c r="F636" i="1"/>
  <c r="BE635" i="1"/>
  <c r="BD635" i="1"/>
  <c r="BC635" i="1"/>
  <c r="BA635" i="1"/>
  <c r="AY635" i="1"/>
  <c r="AW635" i="1"/>
  <c r="AU635" i="1"/>
  <c r="AS635" i="1"/>
  <c r="AQ635" i="1"/>
  <c r="AO635" i="1"/>
  <c r="Z635" i="1"/>
  <c r="Y635" i="1"/>
  <c r="V635" i="1"/>
  <c r="T635" i="1"/>
  <c r="S635" i="1"/>
  <c r="R635" i="1"/>
  <c r="Q635" i="1"/>
  <c r="P635" i="1"/>
  <c r="O635" i="1"/>
  <c r="M635" i="1"/>
  <c r="L635" i="1"/>
  <c r="K635" i="1"/>
  <c r="F635" i="1"/>
  <c r="BE634" i="1"/>
  <c r="BD634" i="1"/>
  <c r="BC634" i="1"/>
  <c r="BA634" i="1"/>
  <c r="AY634" i="1"/>
  <c r="AW634" i="1"/>
  <c r="AU634" i="1"/>
  <c r="AS634" i="1"/>
  <c r="AQ634" i="1"/>
  <c r="AO634" i="1"/>
  <c r="Z634" i="1"/>
  <c r="Y634" i="1"/>
  <c r="V634" i="1"/>
  <c r="T634" i="1"/>
  <c r="S634" i="1"/>
  <c r="R634" i="1"/>
  <c r="Q634" i="1"/>
  <c r="P634" i="1"/>
  <c r="O634" i="1"/>
  <c r="M634" i="1"/>
  <c r="L634" i="1"/>
  <c r="K634" i="1"/>
  <c r="F634" i="1"/>
  <c r="BE633" i="1"/>
  <c r="BD633" i="1"/>
  <c r="BC633" i="1"/>
  <c r="BA633" i="1"/>
  <c r="AY633" i="1"/>
  <c r="AW633" i="1"/>
  <c r="AU633" i="1"/>
  <c r="AS633" i="1"/>
  <c r="AQ633" i="1"/>
  <c r="AO633" i="1"/>
  <c r="Z633" i="1"/>
  <c r="Y633" i="1"/>
  <c r="V633" i="1"/>
  <c r="T633" i="1"/>
  <c r="S633" i="1"/>
  <c r="R633" i="1"/>
  <c r="Q633" i="1"/>
  <c r="P633" i="1"/>
  <c r="O633" i="1"/>
  <c r="M633" i="1"/>
  <c r="L633" i="1"/>
  <c r="K633" i="1"/>
  <c r="F633" i="1"/>
  <c r="BE632" i="1"/>
  <c r="BD632" i="1"/>
  <c r="BC632" i="1"/>
  <c r="BA632" i="1"/>
  <c r="AY632" i="1"/>
  <c r="AW632" i="1"/>
  <c r="AU632" i="1"/>
  <c r="AS632" i="1"/>
  <c r="AQ632" i="1"/>
  <c r="AO632" i="1"/>
  <c r="Z632" i="1"/>
  <c r="Y632" i="1"/>
  <c r="V632" i="1"/>
  <c r="T632" i="1"/>
  <c r="S632" i="1"/>
  <c r="R632" i="1"/>
  <c r="Q632" i="1"/>
  <c r="P632" i="1"/>
  <c r="O632" i="1"/>
  <c r="M632" i="1"/>
  <c r="L632" i="1"/>
  <c r="K632" i="1"/>
  <c r="F632" i="1"/>
  <c r="D632" i="1"/>
  <c r="D633" i="1" s="1"/>
  <c r="D634" i="1" s="1"/>
  <c r="D635" i="1" s="1"/>
  <c r="D636" i="1" s="1"/>
  <c r="C632" i="1"/>
  <c r="C633" i="1" s="1"/>
  <c r="BE631" i="1"/>
  <c r="BD631" i="1"/>
  <c r="BC631" i="1"/>
  <c r="BA631" i="1"/>
  <c r="AY631" i="1"/>
  <c r="AW631" i="1"/>
  <c r="AU631" i="1"/>
  <c r="AS631" i="1"/>
  <c r="AQ631" i="1"/>
  <c r="AO631" i="1"/>
  <c r="AJ631" i="1"/>
  <c r="Z631" i="1"/>
  <c r="Y631" i="1"/>
  <c r="V631" i="1"/>
  <c r="T631" i="1"/>
  <c r="S631" i="1"/>
  <c r="R631" i="1"/>
  <c r="Q631" i="1"/>
  <c r="P631" i="1"/>
  <c r="O631" i="1"/>
  <c r="M631" i="1"/>
  <c r="L631" i="1"/>
  <c r="K631" i="1"/>
  <c r="H631" i="1"/>
  <c r="F631" i="1"/>
  <c r="BE628" i="1"/>
  <c r="Z628" i="1"/>
  <c r="BE627" i="1"/>
  <c r="Z627" i="1"/>
  <c r="BE626" i="1"/>
  <c r="Z626" i="1"/>
  <c r="BE625" i="1"/>
  <c r="Z625" i="1"/>
  <c r="BE624" i="1"/>
  <c r="Z624" i="1"/>
  <c r="BE623" i="1"/>
  <c r="Z623" i="1"/>
  <c r="BE622" i="1"/>
  <c r="Z622" i="1"/>
  <c r="BE621" i="1"/>
  <c r="Z621" i="1"/>
  <c r="BE620" i="1"/>
  <c r="Z620" i="1"/>
  <c r="BE619" i="1"/>
  <c r="Z619" i="1"/>
  <c r="BE618" i="1"/>
  <c r="AA618" i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Z618" i="1"/>
  <c r="BE617" i="1"/>
  <c r="Z617" i="1"/>
  <c r="BE613" i="1"/>
  <c r="BD613" i="1"/>
  <c r="AZ613" i="1"/>
  <c r="AX613" i="1"/>
  <c r="BE612" i="1"/>
  <c r="BD612" i="1"/>
  <c r="BC612" i="1"/>
  <c r="BA612" i="1"/>
  <c r="AY612" i="1"/>
  <c r="AW612" i="1"/>
  <c r="AU612" i="1"/>
  <c r="AS612" i="1"/>
  <c r="AQ612" i="1"/>
  <c r="AO612" i="1"/>
  <c r="Z612" i="1"/>
  <c r="Y612" i="1"/>
  <c r="V612" i="1"/>
  <c r="T612" i="1"/>
  <c r="S612" i="1"/>
  <c r="R612" i="1"/>
  <c r="Q612" i="1"/>
  <c r="P612" i="1"/>
  <c r="O612" i="1"/>
  <c r="M612" i="1"/>
  <c r="L612" i="1"/>
  <c r="K612" i="1"/>
  <c r="I612" i="1"/>
  <c r="F612" i="1"/>
  <c r="BE611" i="1"/>
  <c r="BD611" i="1"/>
  <c r="BC611" i="1"/>
  <c r="BA611" i="1"/>
  <c r="AY611" i="1"/>
  <c r="AW611" i="1"/>
  <c r="AU611" i="1"/>
  <c r="AS611" i="1"/>
  <c r="AQ611" i="1"/>
  <c r="AO611" i="1"/>
  <c r="Z611" i="1"/>
  <c r="Y611" i="1"/>
  <c r="V611" i="1"/>
  <c r="T611" i="1"/>
  <c r="S611" i="1"/>
  <c r="R611" i="1"/>
  <c r="Q611" i="1"/>
  <c r="P611" i="1"/>
  <c r="O611" i="1"/>
  <c r="M611" i="1"/>
  <c r="L611" i="1"/>
  <c r="K611" i="1"/>
  <c r="F611" i="1"/>
  <c r="BE610" i="1"/>
  <c r="BD610" i="1"/>
  <c r="BC610" i="1"/>
  <c r="BA610" i="1"/>
  <c r="AY610" i="1"/>
  <c r="AW610" i="1"/>
  <c r="AU610" i="1"/>
  <c r="AS610" i="1"/>
  <c r="AQ610" i="1"/>
  <c r="AO610" i="1"/>
  <c r="Z610" i="1"/>
  <c r="Y610" i="1"/>
  <c r="V610" i="1"/>
  <c r="T610" i="1"/>
  <c r="S610" i="1"/>
  <c r="R610" i="1"/>
  <c r="Q610" i="1"/>
  <c r="P610" i="1"/>
  <c r="O610" i="1"/>
  <c r="M610" i="1"/>
  <c r="L610" i="1"/>
  <c r="K610" i="1"/>
  <c r="F610" i="1"/>
  <c r="BE609" i="1"/>
  <c r="BD609" i="1"/>
  <c r="BC609" i="1"/>
  <c r="BA609" i="1"/>
  <c r="AY609" i="1"/>
  <c r="AW609" i="1"/>
  <c r="AU609" i="1"/>
  <c r="AS609" i="1"/>
  <c r="AQ609" i="1"/>
  <c r="AO609" i="1"/>
  <c r="Z609" i="1"/>
  <c r="Y609" i="1"/>
  <c r="V609" i="1"/>
  <c r="T609" i="1"/>
  <c r="S609" i="1"/>
  <c r="R609" i="1"/>
  <c r="Q609" i="1"/>
  <c r="P609" i="1"/>
  <c r="O609" i="1"/>
  <c r="M609" i="1"/>
  <c r="L609" i="1"/>
  <c r="K609" i="1"/>
  <c r="F609" i="1"/>
  <c r="BE608" i="1"/>
  <c r="BD608" i="1"/>
  <c r="BC608" i="1"/>
  <c r="BA608" i="1"/>
  <c r="AY608" i="1"/>
  <c r="AW608" i="1"/>
  <c r="AU608" i="1"/>
  <c r="AS608" i="1"/>
  <c r="AQ608" i="1"/>
  <c r="AO608" i="1"/>
  <c r="Z608" i="1"/>
  <c r="Y608" i="1"/>
  <c r="V608" i="1"/>
  <c r="T608" i="1"/>
  <c r="S608" i="1"/>
  <c r="R608" i="1"/>
  <c r="Q608" i="1"/>
  <c r="P608" i="1"/>
  <c r="O608" i="1"/>
  <c r="M608" i="1"/>
  <c r="L608" i="1"/>
  <c r="K608" i="1"/>
  <c r="F608" i="1"/>
  <c r="D608" i="1"/>
  <c r="D609" i="1" s="1"/>
  <c r="D610" i="1" s="1"/>
  <c r="D611" i="1" s="1"/>
  <c r="D612" i="1" s="1"/>
  <c r="C608" i="1"/>
  <c r="H608" i="1" s="1"/>
  <c r="BE607" i="1"/>
  <c r="BD607" i="1"/>
  <c r="BC607" i="1"/>
  <c r="BA607" i="1"/>
  <c r="AY607" i="1"/>
  <c r="AW607" i="1"/>
  <c r="AU607" i="1"/>
  <c r="AS607" i="1"/>
  <c r="AQ607" i="1"/>
  <c r="AO607" i="1"/>
  <c r="AJ607" i="1"/>
  <c r="Z607" i="1"/>
  <c r="Y607" i="1"/>
  <c r="V607" i="1"/>
  <c r="T607" i="1"/>
  <c r="S607" i="1"/>
  <c r="R607" i="1"/>
  <c r="Q607" i="1"/>
  <c r="P607" i="1"/>
  <c r="O607" i="1"/>
  <c r="M607" i="1"/>
  <c r="L607" i="1"/>
  <c r="K607" i="1"/>
  <c r="H607" i="1"/>
  <c r="F607" i="1"/>
  <c r="BE606" i="1"/>
  <c r="BE605" i="1"/>
  <c r="BD605" i="1"/>
  <c r="BC605" i="1"/>
  <c r="BA605" i="1"/>
  <c r="AY605" i="1"/>
  <c r="AW605" i="1"/>
  <c r="AU605" i="1"/>
  <c r="AS605" i="1"/>
  <c r="AQ605" i="1"/>
  <c r="AO605" i="1"/>
  <c r="Z605" i="1"/>
  <c r="Y605" i="1"/>
  <c r="V605" i="1"/>
  <c r="T605" i="1"/>
  <c r="S605" i="1"/>
  <c r="R605" i="1"/>
  <c r="Q605" i="1"/>
  <c r="P605" i="1"/>
  <c r="O605" i="1"/>
  <c r="M605" i="1"/>
  <c r="L605" i="1"/>
  <c r="K605" i="1"/>
  <c r="I605" i="1"/>
  <c r="F605" i="1"/>
  <c r="BE604" i="1"/>
  <c r="BD604" i="1"/>
  <c r="BC604" i="1"/>
  <c r="BA604" i="1"/>
  <c r="AY604" i="1"/>
  <c r="AW604" i="1"/>
  <c r="AU604" i="1"/>
  <c r="AS604" i="1"/>
  <c r="AQ604" i="1"/>
  <c r="AO604" i="1"/>
  <c r="Z604" i="1"/>
  <c r="Y604" i="1"/>
  <c r="V604" i="1"/>
  <c r="T604" i="1"/>
  <c r="S604" i="1"/>
  <c r="R604" i="1"/>
  <c r="Q604" i="1"/>
  <c r="P604" i="1"/>
  <c r="O604" i="1"/>
  <c r="M604" i="1"/>
  <c r="L604" i="1"/>
  <c r="K604" i="1"/>
  <c r="F604" i="1"/>
  <c r="BE603" i="1"/>
  <c r="BD603" i="1"/>
  <c r="BC603" i="1"/>
  <c r="BA603" i="1"/>
  <c r="AY603" i="1"/>
  <c r="AW603" i="1"/>
  <c r="AU603" i="1"/>
  <c r="AS603" i="1"/>
  <c r="AQ603" i="1"/>
  <c r="AO603" i="1"/>
  <c r="Z603" i="1"/>
  <c r="Y603" i="1"/>
  <c r="V603" i="1"/>
  <c r="T603" i="1"/>
  <c r="S603" i="1"/>
  <c r="R603" i="1"/>
  <c r="Q603" i="1"/>
  <c r="P603" i="1"/>
  <c r="O603" i="1"/>
  <c r="M603" i="1"/>
  <c r="L603" i="1"/>
  <c r="K603" i="1"/>
  <c r="F603" i="1"/>
  <c r="BE602" i="1"/>
  <c r="BD602" i="1"/>
  <c r="BC602" i="1"/>
  <c r="BA602" i="1"/>
  <c r="AY602" i="1"/>
  <c r="AW602" i="1"/>
  <c r="AU602" i="1"/>
  <c r="AS602" i="1"/>
  <c r="AQ602" i="1"/>
  <c r="AO602" i="1"/>
  <c r="Z602" i="1"/>
  <c r="Y602" i="1"/>
  <c r="V602" i="1"/>
  <c r="T602" i="1"/>
  <c r="S602" i="1"/>
  <c r="R602" i="1"/>
  <c r="Q602" i="1"/>
  <c r="P602" i="1"/>
  <c r="O602" i="1"/>
  <c r="M602" i="1"/>
  <c r="L602" i="1"/>
  <c r="K602" i="1"/>
  <c r="F602" i="1"/>
  <c r="BE601" i="1"/>
  <c r="BD601" i="1"/>
  <c r="BC601" i="1"/>
  <c r="BA601" i="1"/>
  <c r="AY601" i="1"/>
  <c r="AW601" i="1"/>
  <c r="AU601" i="1"/>
  <c r="AS601" i="1"/>
  <c r="AQ601" i="1"/>
  <c r="AO601" i="1"/>
  <c r="Z601" i="1"/>
  <c r="Y601" i="1"/>
  <c r="V601" i="1"/>
  <c r="T601" i="1"/>
  <c r="S601" i="1"/>
  <c r="R601" i="1"/>
  <c r="Q601" i="1"/>
  <c r="P601" i="1"/>
  <c r="O601" i="1"/>
  <c r="M601" i="1"/>
  <c r="L601" i="1"/>
  <c r="K601" i="1"/>
  <c r="F601" i="1"/>
  <c r="D601" i="1"/>
  <c r="D602" i="1" s="1"/>
  <c r="D603" i="1" s="1"/>
  <c r="D604" i="1" s="1"/>
  <c r="D605" i="1" s="1"/>
  <c r="C601" i="1"/>
  <c r="H601" i="1" s="1"/>
  <c r="BE600" i="1"/>
  <c r="BD600" i="1"/>
  <c r="BC600" i="1"/>
  <c r="BA600" i="1"/>
  <c r="AY600" i="1"/>
  <c r="AW600" i="1"/>
  <c r="AU600" i="1"/>
  <c r="AS600" i="1"/>
  <c r="AQ600" i="1"/>
  <c r="AO600" i="1"/>
  <c r="AJ600" i="1"/>
  <c r="Z600" i="1"/>
  <c r="Y600" i="1"/>
  <c r="V600" i="1"/>
  <c r="T600" i="1"/>
  <c r="S600" i="1"/>
  <c r="R600" i="1"/>
  <c r="Q600" i="1"/>
  <c r="P600" i="1"/>
  <c r="O600" i="1"/>
  <c r="M600" i="1"/>
  <c r="L600" i="1"/>
  <c r="K600" i="1"/>
  <c r="H600" i="1"/>
  <c r="F600" i="1"/>
  <c r="BE597" i="1"/>
  <c r="Z597" i="1"/>
  <c r="BE596" i="1"/>
  <c r="Z596" i="1"/>
  <c r="BE595" i="1"/>
  <c r="Z595" i="1"/>
  <c r="BE594" i="1"/>
  <c r="Z594" i="1"/>
  <c r="BE593" i="1"/>
  <c r="Z593" i="1"/>
  <c r="BE592" i="1"/>
  <c r="Z592" i="1"/>
  <c r="BE591" i="1"/>
  <c r="Z591" i="1"/>
  <c r="BE590" i="1"/>
  <c r="Z590" i="1"/>
  <c r="BE589" i="1"/>
  <c r="Z589" i="1"/>
  <c r="BE588" i="1"/>
  <c r="Z588" i="1"/>
  <c r="BE587" i="1"/>
  <c r="AA587" i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Z587" i="1"/>
  <c r="BE586" i="1"/>
  <c r="Z586" i="1"/>
  <c r="BE582" i="1"/>
  <c r="BD582" i="1"/>
  <c r="AZ582" i="1"/>
  <c r="AX582" i="1"/>
  <c r="BE581" i="1"/>
  <c r="BD581" i="1"/>
  <c r="BC581" i="1"/>
  <c r="BA581" i="1"/>
  <c r="AY581" i="1"/>
  <c r="AW581" i="1"/>
  <c r="AU581" i="1"/>
  <c r="AS581" i="1"/>
  <c r="AQ581" i="1"/>
  <c r="AO581" i="1"/>
  <c r="Z581" i="1"/>
  <c r="Y581" i="1"/>
  <c r="V581" i="1"/>
  <c r="T581" i="1"/>
  <c r="S581" i="1"/>
  <c r="R581" i="1"/>
  <c r="Q581" i="1"/>
  <c r="P581" i="1"/>
  <c r="O581" i="1"/>
  <c r="M581" i="1"/>
  <c r="L581" i="1"/>
  <c r="K581" i="1"/>
  <c r="I581" i="1"/>
  <c r="F581" i="1"/>
  <c r="BE580" i="1"/>
  <c r="BD580" i="1"/>
  <c r="BC580" i="1"/>
  <c r="BA580" i="1"/>
  <c r="AY580" i="1"/>
  <c r="AW580" i="1"/>
  <c r="AU580" i="1"/>
  <c r="AS580" i="1"/>
  <c r="AQ580" i="1"/>
  <c r="AO580" i="1"/>
  <c r="Z580" i="1"/>
  <c r="Y580" i="1"/>
  <c r="V580" i="1"/>
  <c r="T580" i="1"/>
  <c r="S580" i="1"/>
  <c r="R580" i="1"/>
  <c r="Q580" i="1"/>
  <c r="P580" i="1"/>
  <c r="O580" i="1"/>
  <c r="M580" i="1"/>
  <c r="L580" i="1"/>
  <c r="K580" i="1"/>
  <c r="F580" i="1"/>
  <c r="BE579" i="1"/>
  <c r="BD579" i="1"/>
  <c r="BC579" i="1"/>
  <c r="BA579" i="1"/>
  <c r="AY579" i="1"/>
  <c r="AW579" i="1"/>
  <c r="AU579" i="1"/>
  <c r="AS579" i="1"/>
  <c r="AQ579" i="1"/>
  <c r="AO579" i="1"/>
  <c r="Z579" i="1"/>
  <c r="Y579" i="1"/>
  <c r="V579" i="1"/>
  <c r="T579" i="1"/>
  <c r="S579" i="1"/>
  <c r="R579" i="1"/>
  <c r="Q579" i="1"/>
  <c r="P579" i="1"/>
  <c r="O579" i="1"/>
  <c r="M579" i="1"/>
  <c r="L579" i="1"/>
  <c r="K579" i="1"/>
  <c r="F579" i="1"/>
  <c r="BE578" i="1"/>
  <c r="BD578" i="1"/>
  <c r="BC578" i="1"/>
  <c r="BA578" i="1"/>
  <c r="AY578" i="1"/>
  <c r="AW578" i="1"/>
  <c r="AU578" i="1"/>
  <c r="AS578" i="1"/>
  <c r="AQ578" i="1"/>
  <c r="AO578" i="1"/>
  <c r="Z578" i="1"/>
  <c r="Y578" i="1"/>
  <c r="V578" i="1"/>
  <c r="T578" i="1"/>
  <c r="S578" i="1"/>
  <c r="R578" i="1"/>
  <c r="Q578" i="1"/>
  <c r="P578" i="1"/>
  <c r="O578" i="1"/>
  <c r="M578" i="1"/>
  <c r="L578" i="1"/>
  <c r="K578" i="1"/>
  <c r="F578" i="1"/>
  <c r="BE577" i="1"/>
  <c r="BD577" i="1"/>
  <c r="BC577" i="1"/>
  <c r="BA577" i="1"/>
  <c r="AY577" i="1"/>
  <c r="AW577" i="1"/>
  <c r="AU577" i="1"/>
  <c r="AS577" i="1"/>
  <c r="AQ577" i="1"/>
  <c r="AO577" i="1"/>
  <c r="Z577" i="1"/>
  <c r="Y577" i="1"/>
  <c r="V577" i="1"/>
  <c r="T577" i="1"/>
  <c r="S577" i="1"/>
  <c r="R577" i="1"/>
  <c r="Q577" i="1"/>
  <c r="P577" i="1"/>
  <c r="O577" i="1"/>
  <c r="M577" i="1"/>
  <c r="L577" i="1"/>
  <c r="K577" i="1"/>
  <c r="H577" i="1"/>
  <c r="F577" i="1"/>
  <c r="D577" i="1"/>
  <c r="D578" i="1" s="1"/>
  <c r="D579" i="1" s="1"/>
  <c r="D580" i="1" s="1"/>
  <c r="D581" i="1" s="1"/>
  <c r="C577" i="1"/>
  <c r="C578" i="1" s="1"/>
  <c r="H578" i="1" s="1"/>
  <c r="BE576" i="1"/>
  <c r="BD576" i="1"/>
  <c r="BC576" i="1"/>
  <c r="BA576" i="1"/>
  <c r="AY576" i="1"/>
  <c r="AW576" i="1"/>
  <c r="AU576" i="1"/>
  <c r="AS576" i="1"/>
  <c r="AQ576" i="1"/>
  <c r="AO576" i="1"/>
  <c r="AJ576" i="1"/>
  <c r="Z576" i="1"/>
  <c r="Y576" i="1"/>
  <c r="V576" i="1"/>
  <c r="T576" i="1"/>
  <c r="S576" i="1"/>
  <c r="R576" i="1"/>
  <c r="Q576" i="1"/>
  <c r="P576" i="1"/>
  <c r="O576" i="1"/>
  <c r="M576" i="1"/>
  <c r="L576" i="1"/>
  <c r="K576" i="1"/>
  <c r="H576" i="1"/>
  <c r="F576" i="1"/>
  <c r="BE575" i="1"/>
  <c r="BE574" i="1"/>
  <c r="BD574" i="1"/>
  <c r="BC574" i="1"/>
  <c r="BA574" i="1"/>
  <c r="AY574" i="1"/>
  <c r="AW574" i="1"/>
  <c r="AU574" i="1"/>
  <c r="AS574" i="1"/>
  <c r="AQ574" i="1"/>
  <c r="AO574" i="1"/>
  <c r="Z574" i="1"/>
  <c r="Y574" i="1"/>
  <c r="V574" i="1"/>
  <c r="T574" i="1"/>
  <c r="S574" i="1"/>
  <c r="R574" i="1"/>
  <c r="Q574" i="1"/>
  <c r="P574" i="1"/>
  <c r="O574" i="1"/>
  <c r="M574" i="1"/>
  <c r="L574" i="1"/>
  <c r="K574" i="1"/>
  <c r="I574" i="1"/>
  <c r="F574" i="1"/>
  <c r="BE573" i="1"/>
  <c r="BD573" i="1"/>
  <c r="BC573" i="1"/>
  <c r="BA573" i="1"/>
  <c r="AY573" i="1"/>
  <c r="AW573" i="1"/>
  <c r="AU573" i="1"/>
  <c r="AS573" i="1"/>
  <c r="AQ573" i="1"/>
  <c r="AO573" i="1"/>
  <c r="Z573" i="1"/>
  <c r="Y573" i="1"/>
  <c r="V573" i="1"/>
  <c r="T573" i="1"/>
  <c r="S573" i="1"/>
  <c r="R573" i="1"/>
  <c r="Q573" i="1"/>
  <c r="P573" i="1"/>
  <c r="O573" i="1"/>
  <c r="M573" i="1"/>
  <c r="L573" i="1"/>
  <c r="K573" i="1"/>
  <c r="F573" i="1"/>
  <c r="BE572" i="1"/>
  <c r="BD572" i="1"/>
  <c r="BC572" i="1"/>
  <c r="BA572" i="1"/>
  <c r="AY572" i="1"/>
  <c r="AW572" i="1"/>
  <c r="AU572" i="1"/>
  <c r="AS572" i="1"/>
  <c r="AQ572" i="1"/>
  <c r="AO572" i="1"/>
  <c r="Z572" i="1"/>
  <c r="Y572" i="1"/>
  <c r="V572" i="1"/>
  <c r="T572" i="1"/>
  <c r="S572" i="1"/>
  <c r="R572" i="1"/>
  <c r="Q572" i="1"/>
  <c r="P572" i="1"/>
  <c r="O572" i="1"/>
  <c r="M572" i="1"/>
  <c r="L572" i="1"/>
  <c r="K572" i="1"/>
  <c r="F572" i="1"/>
  <c r="BE571" i="1"/>
  <c r="BD571" i="1"/>
  <c r="BC571" i="1"/>
  <c r="BA571" i="1"/>
  <c r="AY571" i="1"/>
  <c r="AW571" i="1"/>
  <c r="AU571" i="1"/>
  <c r="AS571" i="1"/>
  <c r="AQ571" i="1"/>
  <c r="AO571" i="1"/>
  <c r="Z571" i="1"/>
  <c r="Y571" i="1"/>
  <c r="V571" i="1"/>
  <c r="T571" i="1"/>
  <c r="S571" i="1"/>
  <c r="R571" i="1"/>
  <c r="Q571" i="1"/>
  <c r="P571" i="1"/>
  <c r="O571" i="1"/>
  <c r="M571" i="1"/>
  <c r="L571" i="1"/>
  <c r="K571" i="1"/>
  <c r="F571" i="1"/>
  <c r="C571" i="1"/>
  <c r="H571" i="1" s="1"/>
  <c r="BE570" i="1"/>
  <c r="BD570" i="1"/>
  <c r="BC570" i="1"/>
  <c r="BA570" i="1"/>
  <c r="AY570" i="1"/>
  <c r="AW570" i="1"/>
  <c r="AU570" i="1"/>
  <c r="AS570" i="1"/>
  <c r="AQ570" i="1"/>
  <c r="AO570" i="1"/>
  <c r="Z570" i="1"/>
  <c r="Y570" i="1"/>
  <c r="V570" i="1"/>
  <c r="T570" i="1"/>
  <c r="S570" i="1"/>
  <c r="R570" i="1"/>
  <c r="Q570" i="1"/>
  <c r="P570" i="1"/>
  <c r="O570" i="1"/>
  <c r="M570" i="1"/>
  <c r="L570" i="1"/>
  <c r="K570" i="1"/>
  <c r="F570" i="1"/>
  <c r="D570" i="1"/>
  <c r="D571" i="1" s="1"/>
  <c r="D572" i="1" s="1"/>
  <c r="D573" i="1" s="1"/>
  <c r="D574" i="1" s="1"/>
  <c r="C570" i="1"/>
  <c r="H570" i="1" s="1"/>
  <c r="BE569" i="1"/>
  <c r="BD569" i="1"/>
  <c r="BC569" i="1"/>
  <c r="BA569" i="1"/>
  <c r="AY569" i="1"/>
  <c r="AW569" i="1"/>
  <c r="AU569" i="1"/>
  <c r="AS569" i="1"/>
  <c r="AQ569" i="1"/>
  <c r="AO569" i="1"/>
  <c r="AJ569" i="1"/>
  <c r="Z569" i="1"/>
  <c r="Y569" i="1"/>
  <c r="V569" i="1"/>
  <c r="T569" i="1"/>
  <c r="S569" i="1"/>
  <c r="R569" i="1"/>
  <c r="Q569" i="1"/>
  <c r="P569" i="1"/>
  <c r="O569" i="1"/>
  <c r="M569" i="1"/>
  <c r="L569" i="1"/>
  <c r="K569" i="1"/>
  <c r="H569" i="1"/>
  <c r="F569" i="1"/>
  <c r="BE566" i="1"/>
  <c r="Z566" i="1"/>
  <c r="BE565" i="1"/>
  <c r="Z565" i="1"/>
  <c r="BE564" i="1"/>
  <c r="Z564" i="1"/>
  <c r="BE563" i="1"/>
  <c r="Z563" i="1"/>
  <c r="BE562" i="1"/>
  <c r="Z562" i="1"/>
  <c r="BE561" i="1"/>
  <c r="Z561" i="1"/>
  <c r="BE560" i="1"/>
  <c r="Z560" i="1"/>
  <c r="BE559" i="1"/>
  <c r="Z559" i="1"/>
  <c r="BE558" i="1"/>
  <c r="Z558" i="1"/>
  <c r="BE557" i="1"/>
  <c r="Z557" i="1"/>
  <c r="BE556" i="1"/>
  <c r="AA556" i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Z556" i="1"/>
  <c r="BE555" i="1"/>
  <c r="Z555" i="1"/>
  <c r="BE551" i="1"/>
  <c r="BD551" i="1"/>
  <c r="AZ551" i="1"/>
  <c r="AX551" i="1"/>
  <c r="BE550" i="1"/>
  <c r="BD550" i="1"/>
  <c r="BC550" i="1"/>
  <c r="BA550" i="1"/>
  <c r="AY550" i="1"/>
  <c r="AW550" i="1"/>
  <c r="AU550" i="1"/>
  <c r="AS550" i="1"/>
  <c r="AQ550" i="1"/>
  <c r="AO550" i="1"/>
  <c r="Z550" i="1"/>
  <c r="Y550" i="1"/>
  <c r="V550" i="1"/>
  <c r="T550" i="1"/>
  <c r="S550" i="1"/>
  <c r="R550" i="1"/>
  <c r="Q550" i="1"/>
  <c r="P550" i="1"/>
  <c r="O550" i="1"/>
  <c r="M550" i="1"/>
  <c r="L550" i="1"/>
  <c r="K550" i="1"/>
  <c r="I550" i="1"/>
  <c r="F550" i="1"/>
  <c r="BE549" i="1"/>
  <c r="BD549" i="1"/>
  <c r="BC549" i="1"/>
  <c r="BA549" i="1"/>
  <c r="AY549" i="1"/>
  <c r="AW549" i="1"/>
  <c r="AU549" i="1"/>
  <c r="AS549" i="1"/>
  <c r="AQ549" i="1"/>
  <c r="AO549" i="1"/>
  <c r="Z549" i="1"/>
  <c r="Y549" i="1"/>
  <c r="V549" i="1"/>
  <c r="T549" i="1"/>
  <c r="S549" i="1"/>
  <c r="R549" i="1"/>
  <c r="Q549" i="1"/>
  <c r="P549" i="1"/>
  <c r="O549" i="1"/>
  <c r="M549" i="1"/>
  <c r="L549" i="1"/>
  <c r="K549" i="1"/>
  <c r="F549" i="1"/>
  <c r="BE548" i="1"/>
  <c r="BD548" i="1"/>
  <c r="BC548" i="1"/>
  <c r="BA548" i="1"/>
  <c r="AY548" i="1"/>
  <c r="AW548" i="1"/>
  <c r="AU548" i="1"/>
  <c r="AS548" i="1"/>
  <c r="AQ548" i="1"/>
  <c r="AO548" i="1"/>
  <c r="Z548" i="1"/>
  <c r="Y548" i="1"/>
  <c r="V548" i="1"/>
  <c r="T548" i="1"/>
  <c r="S548" i="1"/>
  <c r="R548" i="1"/>
  <c r="Q548" i="1"/>
  <c r="P548" i="1"/>
  <c r="O548" i="1"/>
  <c r="M548" i="1"/>
  <c r="L548" i="1"/>
  <c r="K548" i="1"/>
  <c r="F548" i="1"/>
  <c r="BE547" i="1"/>
  <c r="BD547" i="1"/>
  <c r="BC547" i="1"/>
  <c r="BA547" i="1"/>
  <c r="AY547" i="1"/>
  <c r="AW547" i="1"/>
  <c r="AU547" i="1"/>
  <c r="AS547" i="1"/>
  <c r="AQ547" i="1"/>
  <c r="AO547" i="1"/>
  <c r="Z547" i="1"/>
  <c r="Y547" i="1"/>
  <c r="V547" i="1"/>
  <c r="T547" i="1"/>
  <c r="S547" i="1"/>
  <c r="R547" i="1"/>
  <c r="Q547" i="1"/>
  <c r="P547" i="1"/>
  <c r="O547" i="1"/>
  <c r="M547" i="1"/>
  <c r="L547" i="1"/>
  <c r="K547" i="1"/>
  <c r="F547" i="1"/>
  <c r="BE546" i="1"/>
  <c r="BD546" i="1"/>
  <c r="BC546" i="1"/>
  <c r="BA546" i="1"/>
  <c r="AY546" i="1"/>
  <c r="AW546" i="1"/>
  <c r="AU546" i="1"/>
  <c r="AS546" i="1"/>
  <c r="AQ546" i="1"/>
  <c r="AO546" i="1"/>
  <c r="Z546" i="1"/>
  <c r="Y546" i="1"/>
  <c r="V546" i="1"/>
  <c r="T546" i="1"/>
  <c r="S546" i="1"/>
  <c r="R546" i="1"/>
  <c r="Q546" i="1"/>
  <c r="P546" i="1"/>
  <c r="O546" i="1"/>
  <c r="M546" i="1"/>
  <c r="L546" i="1"/>
  <c r="K546" i="1"/>
  <c r="F546" i="1"/>
  <c r="D546" i="1"/>
  <c r="D547" i="1" s="1"/>
  <c r="D548" i="1" s="1"/>
  <c r="D549" i="1" s="1"/>
  <c r="D550" i="1" s="1"/>
  <c r="C546" i="1"/>
  <c r="BE545" i="1"/>
  <c r="BD545" i="1"/>
  <c r="BC545" i="1"/>
  <c r="BA545" i="1"/>
  <c r="AY545" i="1"/>
  <c r="AW545" i="1"/>
  <c r="AU545" i="1"/>
  <c r="AS545" i="1"/>
  <c r="AQ545" i="1"/>
  <c r="AO545" i="1"/>
  <c r="AJ545" i="1"/>
  <c r="Z545" i="1"/>
  <c r="Y545" i="1"/>
  <c r="V545" i="1"/>
  <c r="T545" i="1"/>
  <c r="S545" i="1"/>
  <c r="R545" i="1"/>
  <c r="Q545" i="1"/>
  <c r="P545" i="1"/>
  <c r="O545" i="1"/>
  <c r="M545" i="1"/>
  <c r="L545" i="1"/>
  <c r="K545" i="1"/>
  <c r="H545" i="1"/>
  <c r="F545" i="1"/>
  <c r="BE544" i="1"/>
  <c r="BE543" i="1"/>
  <c r="BD543" i="1"/>
  <c r="BC543" i="1"/>
  <c r="BA543" i="1"/>
  <c r="AY543" i="1"/>
  <c r="AW543" i="1"/>
  <c r="AU543" i="1"/>
  <c r="AS543" i="1"/>
  <c r="AQ543" i="1"/>
  <c r="AO543" i="1"/>
  <c r="Z543" i="1"/>
  <c r="Y543" i="1"/>
  <c r="V543" i="1"/>
  <c r="T543" i="1"/>
  <c r="S543" i="1"/>
  <c r="R543" i="1"/>
  <c r="Q543" i="1"/>
  <c r="P543" i="1"/>
  <c r="O543" i="1"/>
  <c r="M543" i="1"/>
  <c r="L543" i="1"/>
  <c r="K543" i="1"/>
  <c r="I543" i="1"/>
  <c r="F543" i="1"/>
  <c r="BE542" i="1"/>
  <c r="BD542" i="1"/>
  <c r="BC542" i="1"/>
  <c r="BA542" i="1"/>
  <c r="AY542" i="1"/>
  <c r="AW542" i="1"/>
  <c r="AU542" i="1"/>
  <c r="AS542" i="1"/>
  <c r="AQ542" i="1"/>
  <c r="AO542" i="1"/>
  <c r="Z542" i="1"/>
  <c r="Y542" i="1"/>
  <c r="V542" i="1"/>
  <c r="T542" i="1"/>
  <c r="S542" i="1"/>
  <c r="R542" i="1"/>
  <c r="Q542" i="1"/>
  <c r="P542" i="1"/>
  <c r="O542" i="1"/>
  <c r="M542" i="1"/>
  <c r="L542" i="1"/>
  <c r="K542" i="1"/>
  <c r="F542" i="1"/>
  <c r="BE541" i="1"/>
  <c r="BD541" i="1"/>
  <c r="BC541" i="1"/>
  <c r="BA541" i="1"/>
  <c r="AY541" i="1"/>
  <c r="AW541" i="1"/>
  <c r="AU541" i="1"/>
  <c r="AS541" i="1"/>
  <c r="AQ541" i="1"/>
  <c r="AO541" i="1"/>
  <c r="Z541" i="1"/>
  <c r="Y541" i="1"/>
  <c r="V541" i="1"/>
  <c r="T541" i="1"/>
  <c r="S541" i="1"/>
  <c r="R541" i="1"/>
  <c r="Q541" i="1"/>
  <c r="P541" i="1"/>
  <c r="O541" i="1"/>
  <c r="M541" i="1"/>
  <c r="L541" i="1"/>
  <c r="K541" i="1"/>
  <c r="F541" i="1"/>
  <c r="BE540" i="1"/>
  <c r="BD540" i="1"/>
  <c r="BC540" i="1"/>
  <c r="BA540" i="1"/>
  <c r="AY540" i="1"/>
  <c r="AW540" i="1"/>
  <c r="AU540" i="1"/>
  <c r="AS540" i="1"/>
  <c r="AQ540" i="1"/>
  <c r="AO540" i="1"/>
  <c r="Z540" i="1"/>
  <c r="Y540" i="1"/>
  <c r="V540" i="1"/>
  <c r="T540" i="1"/>
  <c r="S540" i="1"/>
  <c r="R540" i="1"/>
  <c r="Q540" i="1"/>
  <c r="P540" i="1"/>
  <c r="O540" i="1"/>
  <c r="M540" i="1"/>
  <c r="L540" i="1"/>
  <c r="K540" i="1"/>
  <c r="F540" i="1"/>
  <c r="BE539" i="1"/>
  <c r="BD539" i="1"/>
  <c r="BC539" i="1"/>
  <c r="BA539" i="1"/>
  <c r="AY539" i="1"/>
  <c r="AW539" i="1"/>
  <c r="AU539" i="1"/>
  <c r="AS539" i="1"/>
  <c r="AQ539" i="1"/>
  <c r="AO539" i="1"/>
  <c r="Z539" i="1"/>
  <c r="Y539" i="1"/>
  <c r="V539" i="1"/>
  <c r="T539" i="1"/>
  <c r="S539" i="1"/>
  <c r="R539" i="1"/>
  <c r="Q539" i="1"/>
  <c r="P539" i="1"/>
  <c r="O539" i="1"/>
  <c r="M539" i="1"/>
  <c r="L539" i="1"/>
  <c r="K539" i="1"/>
  <c r="F539" i="1"/>
  <c r="D539" i="1"/>
  <c r="D540" i="1" s="1"/>
  <c r="D541" i="1" s="1"/>
  <c r="D542" i="1" s="1"/>
  <c r="D543" i="1" s="1"/>
  <c r="C539" i="1"/>
  <c r="C540" i="1" s="1"/>
  <c r="BE538" i="1"/>
  <c r="BD538" i="1"/>
  <c r="BC538" i="1"/>
  <c r="BA538" i="1"/>
  <c r="AY538" i="1"/>
  <c r="AW538" i="1"/>
  <c r="AU538" i="1"/>
  <c r="AS538" i="1"/>
  <c r="AQ538" i="1"/>
  <c r="AO538" i="1"/>
  <c r="AJ538" i="1"/>
  <c r="Z538" i="1"/>
  <c r="Y538" i="1"/>
  <c r="V538" i="1"/>
  <c r="T538" i="1"/>
  <c r="S538" i="1"/>
  <c r="R538" i="1"/>
  <c r="Q538" i="1"/>
  <c r="P538" i="1"/>
  <c r="O538" i="1"/>
  <c r="M538" i="1"/>
  <c r="L538" i="1"/>
  <c r="K538" i="1"/>
  <c r="H538" i="1"/>
  <c r="F538" i="1"/>
  <c r="BE535" i="1"/>
  <c r="Z535" i="1"/>
  <c r="BE534" i="1"/>
  <c r="Z534" i="1"/>
  <c r="BE533" i="1"/>
  <c r="Z533" i="1"/>
  <c r="BE532" i="1"/>
  <c r="Z532" i="1"/>
  <c r="BE531" i="1"/>
  <c r="Z531" i="1"/>
  <c r="BE530" i="1"/>
  <c r="Z530" i="1"/>
  <c r="BE529" i="1"/>
  <c r="Z529" i="1"/>
  <c r="BE528" i="1"/>
  <c r="Z528" i="1"/>
  <c r="BE527" i="1"/>
  <c r="Z527" i="1"/>
  <c r="BE526" i="1"/>
  <c r="Z526" i="1"/>
  <c r="BE525" i="1"/>
  <c r="AA525" i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Z525" i="1"/>
  <c r="BE524" i="1"/>
  <c r="Z524" i="1"/>
  <c r="BE520" i="1"/>
  <c r="BD520" i="1"/>
  <c r="AZ520" i="1"/>
  <c r="AX520" i="1"/>
  <c r="BE519" i="1"/>
  <c r="BD519" i="1"/>
  <c r="BC519" i="1"/>
  <c r="BA519" i="1"/>
  <c r="AY519" i="1"/>
  <c r="AW519" i="1"/>
  <c r="AU519" i="1"/>
  <c r="AS519" i="1"/>
  <c r="AQ519" i="1"/>
  <c r="AO519" i="1"/>
  <c r="Z519" i="1"/>
  <c r="Y519" i="1"/>
  <c r="V519" i="1"/>
  <c r="T519" i="1"/>
  <c r="S519" i="1"/>
  <c r="R519" i="1"/>
  <c r="Q519" i="1"/>
  <c r="P519" i="1"/>
  <c r="O519" i="1"/>
  <c r="M519" i="1"/>
  <c r="L519" i="1"/>
  <c r="K519" i="1"/>
  <c r="I519" i="1"/>
  <c r="F519" i="1"/>
  <c r="BE518" i="1"/>
  <c r="BD518" i="1"/>
  <c r="BC518" i="1"/>
  <c r="BA518" i="1"/>
  <c r="AY518" i="1"/>
  <c r="AW518" i="1"/>
  <c r="AU518" i="1"/>
  <c r="AS518" i="1"/>
  <c r="AQ518" i="1"/>
  <c r="AO518" i="1"/>
  <c r="Z518" i="1"/>
  <c r="Y518" i="1"/>
  <c r="V518" i="1"/>
  <c r="T518" i="1"/>
  <c r="S518" i="1"/>
  <c r="R518" i="1"/>
  <c r="Q518" i="1"/>
  <c r="P518" i="1"/>
  <c r="O518" i="1"/>
  <c r="M518" i="1"/>
  <c r="L518" i="1"/>
  <c r="K518" i="1"/>
  <c r="F518" i="1"/>
  <c r="BE517" i="1"/>
  <c r="BD517" i="1"/>
  <c r="BC517" i="1"/>
  <c r="BA517" i="1"/>
  <c r="AY517" i="1"/>
  <c r="AW517" i="1"/>
  <c r="AU517" i="1"/>
  <c r="AS517" i="1"/>
  <c r="AQ517" i="1"/>
  <c r="AO517" i="1"/>
  <c r="Z517" i="1"/>
  <c r="Y517" i="1"/>
  <c r="V517" i="1"/>
  <c r="T517" i="1"/>
  <c r="S517" i="1"/>
  <c r="R517" i="1"/>
  <c r="Q517" i="1"/>
  <c r="P517" i="1"/>
  <c r="O517" i="1"/>
  <c r="M517" i="1"/>
  <c r="L517" i="1"/>
  <c r="K517" i="1"/>
  <c r="F517" i="1"/>
  <c r="BE516" i="1"/>
  <c r="BD516" i="1"/>
  <c r="BC516" i="1"/>
  <c r="BA516" i="1"/>
  <c r="AY516" i="1"/>
  <c r="AW516" i="1"/>
  <c r="AU516" i="1"/>
  <c r="AS516" i="1"/>
  <c r="AQ516" i="1"/>
  <c r="AO516" i="1"/>
  <c r="Z516" i="1"/>
  <c r="Y516" i="1"/>
  <c r="V516" i="1"/>
  <c r="T516" i="1"/>
  <c r="S516" i="1"/>
  <c r="R516" i="1"/>
  <c r="Q516" i="1"/>
  <c r="P516" i="1"/>
  <c r="O516" i="1"/>
  <c r="M516" i="1"/>
  <c r="L516" i="1"/>
  <c r="K516" i="1"/>
  <c r="F516" i="1"/>
  <c r="BE515" i="1"/>
  <c r="BD515" i="1"/>
  <c r="BC515" i="1"/>
  <c r="BA515" i="1"/>
  <c r="AY515" i="1"/>
  <c r="AW515" i="1"/>
  <c r="AU515" i="1"/>
  <c r="AS515" i="1"/>
  <c r="AQ515" i="1"/>
  <c r="AO515" i="1"/>
  <c r="Z515" i="1"/>
  <c r="Y515" i="1"/>
  <c r="V515" i="1"/>
  <c r="T515" i="1"/>
  <c r="S515" i="1"/>
  <c r="R515" i="1"/>
  <c r="Q515" i="1"/>
  <c r="P515" i="1"/>
  <c r="O515" i="1"/>
  <c r="M515" i="1"/>
  <c r="L515" i="1"/>
  <c r="K515" i="1"/>
  <c r="F515" i="1"/>
  <c r="D515" i="1"/>
  <c r="D516" i="1" s="1"/>
  <c r="D517" i="1" s="1"/>
  <c r="D518" i="1" s="1"/>
  <c r="D519" i="1" s="1"/>
  <c r="C515" i="1"/>
  <c r="H515" i="1" s="1"/>
  <c r="BE514" i="1"/>
  <c r="BD514" i="1"/>
  <c r="BC514" i="1"/>
  <c r="BA514" i="1"/>
  <c r="AY514" i="1"/>
  <c r="AW514" i="1"/>
  <c r="AU514" i="1"/>
  <c r="AS514" i="1"/>
  <c r="AQ514" i="1"/>
  <c r="AO514" i="1"/>
  <c r="AJ514" i="1"/>
  <c r="Z514" i="1"/>
  <c r="Y514" i="1"/>
  <c r="V514" i="1"/>
  <c r="T514" i="1"/>
  <c r="S514" i="1"/>
  <c r="R514" i="1"/>
  <c r="Q514" i="1"/>
  <c r="P514" i="1"/>
  <c r="O514" i="1"/>
  <c r="M514" i="1"/>
  <c r="L514" i="1"/>
  <c r="K514" i="1"/>
  <c r="H514" i="1"/>
  <c r="F514" i="1"/>
  <c r="BE513" i="1"/>
  <c r="BE512" i="1"/>
  <c r="BD512" i="1"/>
  <c r="BC512" i="1"/>
  <c r="BA512" i="1"/>
  <c r="AY512" i="1"/>
  <c r="AW512" i="1"/>
  <c r="AU512" i="1"/>
  <c r="AS512" i="1"/>
  <c r="AQ512" i="1"/>
  <c r="AO512" i="1"/>
  <c r="Z512" i="1"/>
  <c r="Y512" i="1"/>
  <c r="V512" i="1"/>
  <c r="T512" i="1"/>
  <c r="S512" i="1"/>
  <c r="R512" i="1"/>
  <c r="Q512" i="1"/>
  <c r="P512" i="1"/>
  <c r="O512" i="1"/>
  <c r="M512" i="1"/>
  <c r="L512" i="1"/>
  <c r="K512" i="1"/>
  <c r="I512" i="1"/>
  <c r="F512" i="1"/>
  <c r="BE511" i="1"/>
  <c r="BD511" i="1"/>
  <c r="BC511" i="1"/>
  <c r="BA511" i="1"/>
  <c r="AY511" i="1"/>
  <c r="AW511" i="1"/>
  <c r="AU511" i="1"/>
  <c r="AS511" i="1"/>
  <c r="AQ511" i="1"/>
  <c r="AO511" i="1"/>
  <c r="Z511" i="1"/>
  <c r="Y511" i="1"/>
  <c r="V511" i="1"/>
  <c r="T511" i="1"/>
  <c r="S511" i="1"/>
  <c r="R511" i="1"/>
  <c r="Q511" i="1"/>
  <c r="P511" i="1"/>
  <c r="O511" i="1"/>
  <c r="M511" i="1"/>
  <c r="L511" i="1"/>
  <c r="K511" i="1"/>
  <c r="F511" i="1"/>
  <c r="BE510" i="1"/>
  <c r="BD510" i="1"/>
  <c r="BC510" i="1"/>
  <c r="BA510" i="1"/>
  <c r="AY510" i="1"/>
  <c r="AW510" i="1"/>
  <c r="AU510" i="1"/>
  <c r="AS510" i="1"/>
  <c r="AQ510" i="1"/>
  <c r="AO510" i="1"/>
  <c r="Z510" i="1"/>
  <c r="Y510" i="1"/>
  <c r="V510" i="1"/>
  <c r="T510" i="1"/>
  <c r="S510" i="1"/>
  <c r="R510" i="1"/>
  <c r="Q510" i="1"/>
  <c r="P510" i="1"/>
  <c r="O510" i="1"/>
  <c r="M510" i="1"/>
  <c r="L510" i="1"/>
  <c r="K510" i="1"/>
  <c r="F510" i="1"/>
  <c r="BE509" i="1"/>
  <c r="BD509" i="1"/>
  <c r="BC509" i="1"/>
  <c r="BA509" i="1"/>
  <c r="AY509" i="1"/>
  <c r="AW509" i="1"/>
  <c r="AU509" i="1"/>
  <c r="AS509" i="1"/>
  <c r="AQ509" i="1"/>
  <c r="AO509" i="1"/>
  <c r="Z509" i="1"/>
  <c r="Y509" i="1"/>
  <c r="V509" i="1"/>
  <c r="T509" i="1"/>
  <c r="S509" i="1"/>
  <c r="R509" i="1"/>
  <c r="Q509" i="1"/>
  <c r="P509" i="1"/>
  <c r="O509" i="1"/>
  <c r="M509" i="1"/>
  <c r="L509" i="1"/>
  <c r="K509" i="1"/>
  <c r="F509" i="1"/>
  <c r="BE508" i="1"/>
  <c r="BD508" i="1"/>
  <c r="BC508" i="1"/>
  <c r="BA508" i="1"/>
  <c r="AY508" i="1"/>
  <c r="AW508" i="1"/>
  <c r="AU508" i="1"/>
  <c r="AS508" i="1"/>
  <c r="AQ508" i="1"/>
  <c r="AO508" i="1"/>
  <c r="Z508" i="1"/>
  <c r="Y508" i="1"/>
  <c r="V508" i="1"/>
  <c r="T508" i="1"/>
  <c r="S508" i="1"/>
  <c r="R508" i="1"/>
  <c r="Q508" i="1"/>
  <c r="P508" i="1"/>
  <c r="O508" i="1"/>
  <c r="M508" i="1"/>
  <c r="L508" i="1"/>
  <c r="K508" i="1"/>
  <c r="F508" i="1"/>
  <c r="D508" i="1"/>
  <c r="D509" i="1" s="1"/>
  <c r="D510" i="1" s="1"/>
  <c r="D511" i="1" s="1"/>
  <c r="D512" i="1" s="1"/>
  <c r="C508" i="1"/>
  <c r="H508" i="1" s="1"/>
  <c r="BE507" i="1"/>
  <c r="BD507" i="1"/>
  <c r="BC507" i="1"/>
  <c r="BA507" i="1"/>
  <c r="AY507" i="1"/>
  <c r="AW507" i="1"/>
  <c r="AU507" i="1"/>
  <c r="AS507" i="1"/>
  <c r="AQ507" i="1"/>
  <c r="AO507" i="1"/>
  <c r="AJ507" i="1"/>
  <c r="Z507" i="1"/>
  <c r="Y507" i="1"/>
  <c r="V507" i="1"/>
  <c r="T507" i="1"/>
  <c r="S507" i="1"/>
  <c r="R507" i="1"/>
  <c r="Q507" i="1"/>
  <c r="P507" i="1"/>
  <c r="O507" i="1"/>
  <c r="M507" i="1"/>
  <c r="L507" i="1"/>
  <c r="K507" i="1"/>
  <c r="H507" i="1"/>
  <c r="F507" i="1"/>
  <c r="BE504" i="1"/>
  <c r="Z504" i="1"/>
  <c r="BE503" i="1"/>
  <c r="Z503" i="1"/>
  <c r="BE502" i="1"/>
  <c r="Z502" i="1"/>
  <c r="BE501" i="1"/>
  <c r="Z501" i="1"/>
  <c r="BE500" i="1"/>
  <c r="Z500" i="1"/>
  <c r="BE499" i="1"/>
  <c r="Z499" i="1"/>
  <c r="BE498" i="1"/>
  <c r="Z498" i="1"/>
  <c r="BE497" i="1"/>
  <c r="Z497" i="1"/>
  <c r="BE496" i="1"/>
  <c r="Z496" i="1"/>
  <c r="BE495" i="1"/>
  <c r="Z495" i="1"/>
  <c r="BE494" i="1"/>
  <c r="AA494" i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Z494" i="1"/>
  <c r="BE493" i="1"/>
  <c r="Z493" i="1"/>
  <c r="BE489" i="1"/>
  <c r="BD489" i="1"/>
  <c r="AZ489" i="1"/>
  <c r="AX489" i="1"/>
  <c r="BE488" i="1"/>
  <c r="BD488" i="1"/>
  <c r="BC488" i="1"/>
  <c r="BA488" i="1"/>
  <c r="AY488" i="1"/>
  <c r="AW488" i="1"/>
  <c r="AU488" i="1"/>
  <c r="AS488" i="1"/>
  <c r="AQ488" i="1"/>
  <c r="AO488" i="1"/>
  <c r="Z488" i="1"/>
  <c r="Y488" i="1"/>
  <c r="V488" i="1"/>
  <c r="T488" i="1"/>
  <c r="S488" i="1"/>
  <c r="R488" i="1"/>
  <c r="Q488" i="1"/>
  <c r="P488" i="1"/>
  <c r="O488" i="1"/>
  <c r="M488" i="1"/>
  <c r="L488" i="1"/>
  <c r="K488" i="1"/>
  <c r="I488" i="1"/>
  <c r="F488" i="1"/>
  <c r="BE487" i="1"/>
  <c r="BD487" i="1"/>
  <c r="BC487" i="1"/>
  <c r="BA487" i="1"/>
  <c r="AY487" i="1"/>
  <c r="AW487" i="1"/>
  <c r="AU487" i="1"/>
  <c r="AS487" i="1"/>
  <c r="AQ487" i="1"/>
  <c r="AO487" i="1"/>
  <c r="Z487" i="1"/>
  <c r="Y487" i="1"/>
  <c r="V487" i="1"/>
  <c r="T487" i="1"/>
  <c r="S487" i="1"/>
  <c r="R487" i="1"/>
  <c r="Q487" i="1"/>
  <c r="P487" i="1"/>
  <c r="O487" i="1"/>
  <c r="M487" i="1"/>
  <c r="L487" i="1"/>
  <c r="K487" i="1"/>
  <c r="F487" i="1"/>
  <c r="BE486" i="1"/>
  <c r="BD486" i="1"/>
  <c r="BC486" i="1"/>
  <c r="BA486" i="1"/>
  <c r="AY486" i="1"/>
  <c r="AW486" i="1"/>
  <c r="AU486" i="1"/>
  <c r="AS486" i="1"/>
  <c r="AQ486" i="1"/>
  <c r="AO486" i="1"/>
  <c r="Z486" i="1"/>
  <c r="Y486" i="1"/>
  <c r="V486" i="1"/>
  <c r="T486" i="1"/>
  <c r="S486" i="1"/>
  <c r="R486" i="1"/>
  <c r="Q486" i="1"/>
  <c r="P486" i="1"/>
  <c r="O486" i="1"/>
  <c r="M486" i="1"/>
  <c r="L486" i="1"/>
  <c r="K486" i="1"/>
  <c r="F486" i="1"/>
  <c r="BE485" i="1"/>
  <c r="BD485" i="1"/>
  <c r="BC485" i="1"/>
  <c r="BA485" i="1"/>
  <c r="AY485" i="1"/>
  <c r="AW485" i="1"/>
  <c r="AU485" i="1"/>
  <c r="AS485" i="1"/>
  <c r="AQ485" i="1"/>
  <c r="AO485" i="1"/>
  <c r="Z485" i="1"/>
  <c r="Y485" i="1"/>
  <c r="V485" i="1"/>
  <c r="T485" i="1"/>
  <c r="S485" i="1"/>
  <c r="R485" i="1"/>
  <c r="Q485" i="1"/>
  <c r="P485" i="1"/>
  <c r="O485" i="1"/>
  <c r="M485" i="1"/>
  <c r="L485" i="1"/>
  <c r="K485" i="1"/>
  <c r="F485" i="1"/>
  <c r="BE484" i="1"/>
  <c r="BD484" i="1"/>
  <c r="BC484" i="1"/>
  <c r="BA484" i="1"/>
  <c r="AY484" i="1"/>
  <c r="AW484" i="1"/>
  <c r="AU484" i="1"/>
  <c r="AS484" i="1"/>
  <c r="AQ484" i="1"/>
  <c r="AO484" i="1"/>
  <c r="Z484" i="1"/>
  <c r="Y484" i="1"/>
  <c r="V484" i="1"/>
  <c r="T484" i="1"/>
  <c r="S484" i="1"/>
  <c r="R484" i="1"/>
  <c r="Q484" i="1"/>
  <c r="P484" i="1"/>
  <c r="O484" i="1"/>
  <c r="M484" i="1"/>
  <c r="L484" i="1"/>
  <c r="K484" i="1"/>
  <c r="F484" i="1"/>
  <c r="D484" i="1"/>
  <c r="D485" i="1" s="1"/>
  <c r="D486" i="1" s="1"/>
  <c r="D487" i="1" s="1"/>
  <c r="D488" i="1" s="1"/>
  <c r="C484" i="1"/>
  <c r="BE483" i="1"/>
  <c r="BD483" i="1"/>
  <c r="BC483" i="1"/>
  <c r="BA483" i="1"/>
  <c r="AY483" i="1"/>
  <c r="AW483" i="1"/>
  <c r="AU483" i="1"/>
  <c r="AS483" i="1"/>
  <c r="AQ483" i="1"/>
  <c r="AO483" i="1"/>
  <c r="AJ483" i="1"/>
  <c r="Z483" i="1"/>
  <c r="Y483" i="1"/>
  <c r="V483" i="1"/>
  <c r="T483" i="1"/>
  <c r="S483" i="1"/>
  <c r="R483" i="1"/>
  <c r="Q483" i="1"/>
  <c r="P483" i="1"/>
  <c r="O483" i="1"/>
  <c r="M483" i="1"/>
  <c r="L483" i="1"/>
  <c r="K483" i="1"/>
  <c r="H483" i="1"/>
  <c r="F483" i="1"/>
  <c r="BE482" i="1"/>
  <c r="BE481" i="1"/>
  <c r="BD481" i="1"/>
  <c r="BC481" i="1"/>
  <c r="BA481" i="1"/>
  <c r="AY481" i="1"/>
  <c r="AW481" i="1"/>
  <c r="AU481" i="1"/>
  <c r="AS481" i="1"/>
  <c r="AQ481" i="1"/>
  <c r="AO481" i="1"/>
  <c r="Z481" i="1"/>
  <c r="Y481" i="1"/>
  <c r="V481" i="1"/>
  <c r="T481" i="1"/>
  <c r="S481" i="1"/>
  <c r="R481" i="1"/>
  <c r="Q481" i="1"/>
  <c r="P481" i="1"/>
  <c r="O481" i="1"/>
  <c r="M481" i="1"/>
  <c r="L481" i="1"/>
  <c r="K481" i="1"/>
  <c r="I481" i="1"/>
  <c r="F481" i="1"/>
  <c r="BE480" i="1"/>
  <c r="BD480" i="1"/>
  <c r="BC480" i="1"/>
  <c r="BA480" i="1"/>
  <c r="AY480" i="1"/>
  <c r="AW480" i="1"/>
  <c r="AU480" i="1"/>
  <c r="AS480" i="1"/>
  <c r="AQ480" i="1"/>
  <c r="AO480" i="1"/>
  <c r="Z480" i="1"/>
  <c r="Y480" i="1"/>
  <c r="V480" i="1"/>
  <c r="T480" i="1"/>
  <c r="S480" i="1"/>
  <c r="R480" i="1"/>
  <c r="Q480" i="1"/>
  <c r="P480" i="1"/>
  <c r="O480" i="1"/>
  <c r="M480" i="1"/>
  <c r="L480" i="1"/>
  <c r="K480" i="1"/>
  <c r="F480" i="1"/>
  <c r="BE479" i="1"/>
  <c r="BD479" i="1"/>
  <c r="BC479" i="1"/>
  <c r="BA479" i="1"/>
  <c r="AY479" i="1"/>
  <c r="AW479" i="1"/>
  <c r="AU479" i="1"/>
  <c r="AS479" i="1"/>
  <c r="AQ479" i="1"/>
  <c r="AO479" i="1"/>
  <c r="Z479" i="1"/>
  <c r="Y479" i="1"/>
  <c r="V479" i="1"/>
  <c r="T479" i="1"/>
  <c r="S479" i="1"/>
  <c r="R479" i="1"/>
  <c r="Q479" i="1"/>
  <c r="P479" i="1"/>
  <c r="O479" i="1"/>
  <c r="M479" i="1"/>
  <c r="L479" i="1"/>
  <c r="K479" i="1"/>
  <c r="F479" i="1"/>
  <c r="BE478" i="1"/>
  <c r="BD478" i="1"/>
  <c r="BC478" i="1"/>
  <c r="BA478" i="1"/>
  <c r="AY478" i="1"/>
  <c r="AW478" i="1"/>
  <c r="AU478" i="1"/>
  <c r="AS478" i="1"/>
  <c r="AQ478" i="1"/>
  <c r="AO478" i="1"/>
  <c r="Z478" i="1"/>
  <c r="Y478" i="1"/>
  <c r="V478" i="1"/>
  <c r="T478" i="1"/>
  <c r="S478" i="1"/>
  <c r="R478" i="1"/>
  <c r="Q478" i="1"/>
  <c r="P478" i="1"/>
  <c r="O478" i="1"/>
  <c r="M478" i="1"/>
  <c r="L478" i="1"/>
  <c r="K478" i="1"/>
  <c r="F478" i="1"/>
  <c r="BE477" i="1"/>
  <c r="BD477" i="1"/>
  <c r="BC477" i="1"/>
  <c r="BA477" i="1"/>
  <c r="AY477" i="1"/>
  <c r="AW477" i="1"/>
  <c r="AU477" i="1"/>
  <c r="AS477" i="1"/>
  <c r="AQ477" i="1"/>
  <c r="AO477" i="1"/>
  <c r="Z477" i="1"/>
  <c r="Y477" i="1"/>
  <c r="V477" i="1"/>
  <c r="T477" i="1"/>
  <c r="S477" i="1"/>
  <c r="R477" i="1"/>
  <c r="Q477" i="1"/>
  <c r="P477" i="1"/>
  <c r="O477" i="1"/>
  <c r="M477" i="1"/>
  <c r="L477" i="1"/>
  <c r="K477" i="1"/>
  <c r="F477" i="1"/>
  <c r="D477" i="1"/>
  <c r="D478" i="1" s="1"/>
  <c r="D479" i="1" s="1"/>
  <c r="D480" i="1" s="1"/>
  <c r="D481" i="1" s="1"/>
  <c r="C477" i="1"/>
  <c r="BE476" i="1"/>
  <c r="BD476" i="1"/>
  <c r="BC476" i="1"/>
  <c r="BA476" i="1"/>
  <c r="AY476" i="1"/>
  <c r="AW476" i="1"/>
  <c r="AU476" i="1"/>
  <c r="AS476" i="1"/>
  <c r="AQ476" i="1"/>
  <c r="AO476" i="1"/>
  <c r="AJ476" i="1"/>
  <c r="Z476" i="1"/>
  <c r="Y476" i="1"/>
  <c r="V476" i="1"/>
  <c r="T476" i="1"/>
  <c r="S476" i="1"/>
  <c r="R476" i="1"/>
  <c r="Q476" i="1"/>
  <c r="P476" i="1"/>
  <c r="O476" i="1"/>
  <c r="M476" i="1"/>
  <c r="L476" i="1"/>
  <c r="K476" i="1"/>
  <c r="H476" i="1"/>
  <c r="F476" i="1"/>
  <c r="BE473" i="1"/>
  <c r="Z473" i="1"/>
  <c r="BE472" i="1"/>
  <c r="Z472" i="1"/>
  <c r="BE471" i="1"/>
  <c r="Z471" i="1"/>
  <c r="BE470" i="1"/>
  <c r="Z470" i="1"/>
  <c r="BE469" i="1"/>
  <c r="Z469" i="1"/>
  <c r="BE468" i="1"/>
  <c r="Z468" i="1"/>
  <c r="BE467" i="1"/>
  <c r="Z467" i="1"/>
  <c r="BE466" i="1"/>
  <c r="Z466" i="1"/>
  <c r="BE465" i="1"/>
  <c r="Z465" i="1"/>
  <c r="BE464" i="1"/>
  <c r="Z464" i="1"/>
  <c r="BE463" i="1"/>
  <c r="AA463" i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Z463" i="1"/>
  <c r="BE462" i="1"/>
  <c r="Z462" i="1"/>
  <c r="BE458" i="1"/>
  <c r="BD458" i="1"/>
  <c r="AZ458" i="1"/>
  <c r="AX458" i="1"/>
  <c r="BE457" i="1"/>
  <c r="BD457" i="1"/>
  <c r="BC457" i="1"/>
  <c r="BA457" i="1"/>
  <c r="AY457" i="1"/>
  <c r="AW457" i="1"/>
  <c r="AU457" i="1"/>
  <c r="AS457" i="1"/>
  <c r="AQ457" i="1"/>
  <c r="AO457" i="1"/>
  <c r="Z457" i="1"/>
  <c r="Y457" i="1"/>
  <c r="V457" i="1"/>
  <c r="T457" i="1"/>
  <c r="S457" i="1"/>
  <c r="R457" i="1"/>
  <c r="Q457" i="1"/>
  <c r="P457" i="1"/>
  <c r="O457" i="1"/>
  <c r="M457" i="1"/>
  <c r="L457" i="1"/>
  <c r="K457" i="1"/>
  <c r="I457" i="1"/>
  <c r="F457" i="1"/>
  <c r="BE456" i="1"/>
  <c r="BD456" i="1"/>
  <c r="BC456" i="1"/>
  <c r="BA456" i="1"/>
  <c r="AY456" i="1"/>
  <c r="AW456" i="1"/>
  <c r="AU456" i="1"/>
  <c r="AS456" i="1"/>
  <c r="AQ456" i="1"/>
  <c r="AO456" i="1"/>
  <c r="Z456" i="1"/>
  <c r="Y456" i="1"/>
  <c r="V456" i="1"/>
  <c r="T456" i="1"/>
  <c r="S456" i="1"/>
  <c r="R456" i="1"/>
  <c r="Q456" i="1"/>
  <c r="P456" i="1"/>
  <c r="O456" i="1"/>
  <c r="M456" i="1"/>
  <c r="L456" i="1"/>
  <c r="K456" i="1"/>
  <c r="F456" i="1"/>
  <c r="BE455" i="1"/>
  <c r="BD455" i="1"/>
  <c r="BC455" i="1"/>
  <c r="BA455" i="1"/>
  <c r="AY455" i="1"/>
  <c r="AW455" i="1"/>
  <c r="AU455" i="1"/>
  <c r="AS455" i="1"/>
  <c r="AQ455" i="1"/>
  <c r="AO455" i="1"/>
  <c r="Z455" i="1"/>
  <c r="Y455" i="1"/>
  <c r="V455" i="1"/>
  <c r="T455" i="1"/>
  <c r="S455" i="1"/>
  <c r="R455" i="1"/>
  <c r="Q455" i="1"/>
  <c r="P455" i="1"/>
  <c r="O455" i="1"/>
  <c r="M455" i="1"/>
  <c r="L455" i="1"/>
  <c r="K455" i="1"/>
  <c r="F455" i="1"/>
  <c r="BE454" i="1"/>
  <c r="BD454" i="1"/>
  <c r="BC454" i="1"/>
  <c r="BA454" i="1"/>
  <c r="AY454" i="1"/>
  <c r="AW454" i="1"/>
  <c r="AU454" i="1"/>
  <c r="AS454" i="1"/>
  <c r="AQ454" i="1"/>
  <c r="AO454" i="1"/>
  <c r="Z454" i="1"/>
  <c r="Y454" i="1"/>
  <c r="V454" i="1"/>
  <c r="T454" i="1"/>
  <c r="S454" i="1"/>
  <c r="R454" i="1"/>
  <c r="Q454" i="1"/>
  <c r="P454" i="1"/>
  <c r="O454" i="1"/>
  <c r="M454" i="1"/>
  <c r="L454" i="1"/>
  <c r="K454" i="1"/>
  <c r="F454" i="1"/>
  <c r="BE453" i="1"/>
  <c r="BD453" i="1"/>
  <c r="BC453" i="1"/>
  <c r="BA453" i="1"/>
  <c r="AY453" i="1"/>
  <c r="AW453" i="1"/>
  <c r="AU453" i="1"/>
  <c r="AS453" i="1"/>
  <c r="AQ453" i="1"/>
  <c r="AO453" i="1"/>
  <c r="Z453" i="1"/>
  <c r="Y453" i="1"/>
  <c r="V453" i="1"/>
  <c r="T453" i="1"/>
  <c r="S453" i="1"/>
  <c r="R453" i="1"/>
  <c r="Q453" i="1"/>
  <c r="P453" i="1"/>
  <c r="O453" i="1"/>
  <c r="M453" i="1"/>
  <c r="L453" i="1"/>
  <c r="K453" i="1"/>
  <c r="H453" i="1"/>
  <c r="F453" i="1"/>
  <c r="D453" i="1"/>
  <c r="D454" i="1" s="1"/>
  <c r="D455" i="1" s="1"/>
  <c r="D456" i="1" s="1"/>
  <c r="D457" i="1" s="1"/>
  <c r="C453" i="1"/>
  <c r="C454" i="1" s="1"/>
  <c r="H454" i="1" s="1"/>
  <c r="BE452" i="1"/>
  <c r="BD452" i="1"/>
  <c r="BC452" i="1"/>
  <c r="BA452" i="1"/>
  <c r="AY452" i="1"/>
  <c r="AW452" i="1"/>
  <c r="AU452" i="1"/>
  <c r="AS452" i="1"/>
  <c r="AQ452" i="1"/>
  <c r="AO452" i="1"/>
  <c r="AJ452" i="1"/>
  <c r="Z452" i="1"/>
  <c r="Y452" i="1"/>
  <c r="V452" i="1"/>
  <c r="T452" i="1"/>
  <c r="S452" i="1"/>
  <c r="R452" i="1"/>
  <c r="Q452" i="1"/>
  <c r="P452" i="1"/>
  <c r="O452" i="1"/>
  <c r="M452" i="1"/>
  <c r="L452" i="1"/>
  <c r="K452" i="1"/>
  <c r="H452" i="1"/>
  <c r="F452" i="1"/>
  <c r="BE451" i="1"/>
  <c r="BE450" i="1"/>
  <c r="BD450" i="1"/>
  <c r="BC450" i="1"/>
  <c r="BA450" i="1"/>
  <c r="AY450" i="1"/>
  <c r="AW450" i="1"/>
  <c r="AU450" i="1"/>
  <c r="AS450" i="1"/>
  <c r="AQ450" i="1"/>
  <c r="AO450" i="1"/>
  <c r="Z450" i="1"/>
  <c r="Y450" i="1"/>
  <c r="V450" i="1"/>
  <c r="T450" i="1"/>
  <c r="S450" i="1"/>
  <c r="R450" i="1"/>
  <c r="Q450" i="1"/>
  <c r="P450" i="1"/>
  <c r="O450" i="1"/>
  <c r="M450" i="1"/>
  <c r="L450" i="1"/>
  <c r="K450" i="1"/>
  <c r="I450" i="1"/>
  <c r="F450" i="1"/>
  <c r="BE449" i="1"/>
  <c r="BD449" i="1"/>
  <c r="BC449" i="1"/>
  <c r="BA449" i="1"/>
  <c r="AY449" i="1"/>
  <c r="AW449" i="1"/>
  <c r="AU449" i="1"/>
  <c r="AS449" i="1"/>
  <c r="AQ449" i="1"/>
  <c r="AO449" i="1"/>
  <c r="Z449" i="1"/>
  <c r="Y449" i="1"/>
  <c r="V449" i="1"/>
  <c r="T449" i="1"/>
  <c r="S449" i="1"/>
  <c r="R449" i="1"/>
  <c r="Q449" i="1"/>
  <c r="P449" i="1"/>
  <c r="O449" i="1"/>
  <c r="M449" i="1"/>
  <c r="L449" i="1"/>
  <c r="K449" i="1"/>
  <c r="F449" i="1"/>
  <c r="BE448" i="1"/>
  <c r="BD448" i="1"/>
  <c r="BC448" i="1"/>
  <c r="BA448" i="1"/>
  <c r="AY448" i="1"/>
  <c r="AW448" i="1"/>
  <c r="AU448" i="1"/>
  <c r="AS448" i="1"/>
  <c r="AQ448" i="1"/>
  <c r="AO448" i="1"/>
  <c r="Z448" i="1"/>
  <c r="Y448" i="1"/>
  <c r="V448" i="1"/>
  <c r="T448" i="1"/>
  <c r="S448" i="1"/>
  <c r="R448" i="1"/>
  <c r="Q448" i="1"/>
  <c r="P448" i="1"/>
  <c r="O448" i="1"/>
  <c r="M448" i="1"/>
  <c r="L448" i="1"/>
  <c r="K448" i="1"/>
  <c r="F448" i="1"/>
  <c r="BE447" i="1"/>
  <c r="BD447" i="1"/>
  <c r="BC447" i="1"/>
  <c r="BA447" i="1"/>
  <c r="AY447" i="1"/>
  <c r="AW447" i="1"/>
  <c r="AU447" i="1"/>
  <c r="AS447" i="1"/>
  <c r="AQ447" i="1"/>
  <c r="AO447" i="1"/>
  <c r="Z447" i="1"/>
  <c r="Y447" i="1"/>
  <c r="V447" i="1"/>
  <c r="T447" i="1"/>
  <c r="S447" i="1"/>
  <c r="R447" i="1"/>
  <c r="Q447" i="1"/>
  <c r="P447" i="1"/>
  <c r="O447" i="1"/>
  <c r="M447" i="1"/>
  <c r="L447" i="1"/>
  <c r="K447" i="1"/>
  <c r="F447" i="1"/>
  <c r="D447" i="1"/>
  <c r="D448" i="1" s="1"/>
  <c r="D449" i="1" s="1"/>
  <c r="D450" i="1" s="1"/>
  <c r="BE446" i="1"/>
  <c r="BD446" i="1"/>
  <c r="BC446" i="1"/>
  <c r="BA446" i="1"/>
  <c r="AY446" i="1"/>
  <c r="AW446" i="1"/>
  <c r="AU446" i="1"/>
  <c r="AS446" i="1"/>
  <c r="AQ446" i="1"/>
  <c r="AO446" i="1"/>
  <c r="Z446" i="1"/>
  <c r="Y446" i="1"/>
  <c r="V446" i="1"/>
  <c r="T446" i="1"/>
  <c r="S446" i="1"/>
  <c r="R446" i="1"/>
  <c r="Q446" i="1"/>
  <c r="P446" i="1"/>
  <c r="O446" i="1"/>
  <c r="M446" i="1"/>
  <c r="L446" i="1"/>
  <c r="K446" i="1"/>
  <c r="F446" i="1"/>
  <c r="D446" i="1"/>
  <c r="C446" i="1"/>
  <c r="H446" i="1" s="1"/>
  <c r="BE445" i="1"/>
  <c r="BD445" i="1"/>
  <c r="BC445" i="1"/>
  <c r="BA445" i="1"/>
  <c r="AY445" i="1"/>
  <c r="AW445" i="1"/>
  <c r="AU445" i="1"/>
  <c r="AS445" i="1"/>
  <c r="AQ445" i="1"/>
  <c r="AO445" i="1"/>
  <c r="AJ445" i="1"/>
  <c r="Z445" i="1"/>
  <c r="Y445" i="1"/>
  <c r="V445" i="1"/>
  <c r="T445" i="1"/>
  <c r="S445" i="1"/>
  <c r="R445" i="1"/>
  <c r="Q445" i="1"/>
  <c r="P445" i="1"/>
  <c r="O445" i="1"/>
  <c r="M445" i="1"/>
  <c r="L445" i="1"/>
  <c r="K445" i="1"/>
  <c r="H445" i="1"/>
  <c r="F445" i="1"/>
  <c r="BE442" i="1"/>
  <c r="Z442" i="1"/>
  <c r="BE441" i="1"/>
  <c r="Z441" i="1"/>
  <c r="BE440" i="1"/>
  <c r="Z440" i="1"/>
  <c r="BE439" i="1"/>
  <c r="Z439" i="1"/>
  <c r="BE438" i="1"/>
  <c r="Z438" i="1"/>
  <c r="BE437" i="1"/>
  <c r="Z437" i="1"/>
  <c r="BE436" i="1"/>
  <c r="Z436" i="1"/>
  <c r="BE435" i="1"/>
  <c r="Z435" i="1"/>
  <c r="BE434" i="1"/>
  <c r="Z434" i="1"/>
  <c r="BE433" i="1"/>
  <c r="Z433" i="1"/>
  <c r="BE432" i="1"/>
  <c r="AA432" i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Z432" i="1"/>
  <c r="BE431" i="1"/>
  <c r="Z431" i="1"/>
  <c r="BE427" i="1"/>
  <c r="BD427" i="1"/>
  <c r="AZ427" i="1"/>
  <c r="AX427" i="1"/>
  <c r="BE426" i="1"/>
  <c r="BD426" i="1"/>
  <c r="BC426" i="1"/>
  <c r="BA426" i="1"/>
  <c r="AY426" i="1"/>
  <c r="AW426" i="1"/>
  <c r="AU426" i="1"/>
  <c r="AS426" i="1"/>
  <c r="AQ426" i="1"/>
  <c r="AO426" i="1"/>
  <c r="Z426" i="1"/>
  <c r="Y426" i="1"/>
  <c r="V426" i="1"/>
  <c r="T426" i="1"/>
  <c r="S426" i="1"/>
  <c r="R426" i="1"/>
  <c r="Q426" i="1"/>
  <c r="P426" i="1"/>
  <c r="O426" i="1"/>
  <c r="M426" i="1"/>
  <c r="L426" i="1"/>
  <c r="K426" i="1"/>
  <c r="I426" i="1"/>
  <c r="F426" i="1"/>
  <c r="BE425" i="1"/>
  <c r="BD425" i="1"/>
  <c r="BC425" i="1"/>
  <c r="BA425" i="1"/>
  <c r="AY425" i="1"/>
  <c r="AW425" i="1"/>
  <c r="AU425" i="1"/>
  <c r="AS425" i="1"/>
  <c r="AQ425" i="1"/>
  <c r="AO425" i="1"/>
  <c r="Z425" i="1"/>
  <c r="Y425" i="1"/>
  <c r="V425" i="1"/>
  <c r="T425" i="1"/>
  <c r="S425" i="1"/>
  <c r="R425" i="1"/>
  <c r="Q425" i="1"/>
  <c r="P425" i="1"/>
  <c r="O425" i="1"/>
  <c r="M425" i="1"/>
  <c r="L425" i="1"/>
  <c r="K425" i="1"/>
  <c r="F425" i="1"/>
  <c r="BE424" i="1"/>
  <c r="BD424" i="1"/>
  <c r="BC424" i="1"/>
  <c r="BA424" i="1"/>
  <c r="AY424" i="1"/>
  <c r="AW424" i="1"/>
  <c r="AU424" i="1"/>
  <c r="AS424" i="1"/>
  <c r="AQ424" i="1"/>
  <c r="AO424" i="1"/>
  <c r="Z424" i="1"/>
  <c r="Y424" i="1"/>
  <c r="V424" i="1"/>
  <c r="T424" i="1"/>
  <c r="S424" i="1"/>
  <c r="R424" i="1"/>
  <c r="Q424" i="1"/>
  <c r="P424" i="1"/>
  <c r="O424" i="1"/>
  <c r="M424" i="1"/>
  <c r="L424" i="1"/>
  <c r="K424" i="1"/>
  <c r="F424" i="1"/>
  <c r="BE423" i="1"/>
  <c r="BD423" i="1"/>
  <c r="BC423" i="1"/>
  <c r="BA423" i="1"/>
  <c r="AY423" i="1"/>
  <c r="AW423" i="1"/>
  <c r="AU423" i="1"/>
  <c r="AS423" i="1"/>
  <c r="AQ423" i="1"/>
  <c r="AO423" i="1"/>
  <c r="Z423" i="1"/>
  <c r="Y423" i="1"/>
  <c r="V423" i="1"/>
  <c r="T423" i="1"/>
  <c r="S423" i="1"/>
  <c r="R423" i="1"/>
  <c r="Q423" i="1"/>
  <c r="P423" i="1"/>
  <c r="O423" i="1"/>
  <c r="M423" i="1"/>
  <c r="L423" i="1"/>
  <c r="K423" i="1"/>
  <c r="F423" i="1"/>
  <c r="BE422" i="1"/>
  <c r="BD422" i="1"/>
  <c r="BC422" i="1"/>
  <c r="BA422" i="1"/>
  <c r="AY422" i="1"/>
  <c r="AW422" i="1"/>
  <c r="AU422" i="1"/>
  <c r="AS422" i="1"/>
  <c r="AQ422" i="1"/>
  <c r="AO422" i="1"/>
  <c r="Z422" i="1"/>
  <c r="Y422" i="1"/>
  <c r="V422" i="1"/>
  <c r="T422" i="1"/>
  <c r="S422" i="1"/>
  <c r="R422" i="1"/>
  <c r="Q422" i="1"/>
  <c r="P422" i="1"/>
  <c r="O422" i="1"/>
  <c r="M422" i="1"/>
  <c r="L422" i="1"/>
  <c r="K422" i="1"/>
  <c r="F422" i="1"/>
  <c r="D422" i="1"/>
  <c r="D423" i="1" s="1"/>
  <c r="D424" i="1" s="1"/>
  <c r="D425" i="1" s="1"/>
  <c r="D426" i="1" s="1"/>
  <c r="C422" i="1"/>
  <c r="H422" i="1" s="1"/>
  <c r="BE421" i="1"/>
  <c r="BD421" i="1"/>
  <c r="BC421" i="1"/>
  <c r="BA421" i="1"/>
  <c r="AY421" i="1"/>
  <c r="AW421" i="1"/>
  <c r="AU421" i="1"/>
  <c r="AS421" i="1"/>
  <c r="AQ421" i="1"/>
  <c r="AO421" i="1"/>
  <c r="AJ421" i="1"/>
  <c r="Z421" i="1"/>
  <c r="Y421" i="1"/>
  <c r="V421" i="1"/>
  <c r="T421" i="1"/>
  <c r="S421" i="1"/>
  <c r="R421" i="1"/>
  <c r="Q421" i="1"/>
  <c r="P421" i="1"/>
  <c r="O421" i="1"/>
  <c r="M421" i="1"/>
  <c r="L421" i="1"/>
  <c r="K421" i="1"/>
  <c r="H421" i="1"/>
  <c r="F421" i="1"/>
  <c r="BE420" i="1"/>
  <c r="BE419" i="1"/>
  <c r="BD419" i="1"/>
  <c r="BC419" i="1"/>
  <c r="BA419" i="1"/>
  <c r="AY419" i="1"/>
  <c r="AW419" i="1"/>
  <c r="AU419" i="1"/>
  <c r="AS419" i="1"/>
  <c r="AQ419" i="1"/>
  <c r="AO419" i="1"/>
  <c r="Z419" i="1"/>
  <c r="Y419" i="1"/>
  <c r="V419" i="1"/>
  <c r="T419" i="1"/>
  <c r="S419" i="1"/>
  <c r="R419" i="1"/>
  <c r="Q419" i="1"/>
  <c r="P419" i="1"/>
  <c r="O419" i="1"/>
  <c r="M419" i="1"/>
  <c r="L419" i="1"/>
  <c r="K419" i="1"/>
  <c r="I419" i="1"/>
  <c r="F419" i="1"/>
  <c r="BE418" i="1"/>
  <c r="BD418" i="1"/>
  <c r="BC418" i="1"/>
  <c r="BA418" i="1"/>
  <c r="AY418" i="1"/>
  <c r="AW418" i="1"/>
  <c r="AU418" i="1"/>
  <c r="AS418" i="1"/>
  <c r="AQ418" i="1"/>
  <c r="AO418" i="1"/>
  <c r="Z418" i="1"/>
  <c r="Y418" i="1"/>
  <c r="V418" i="1"/>
  <c r="T418" i="1"/>
  <c r="S418" i="1"/>
  <c r="R418" i="1"/>
  <c r="Q418" i="1"/>
  <c r="P418" i="1"/>
  <c r="O418" i="1"/>
  <c r="M418" i="1"/>
  <c r="L418" i="1"/>
  <c r="K418" i="1"/>
  <c r="F418" i="1"/>
  <c r="BE417" i="1"/>
  <c r="BD417" i="1"/>
  <c r="BC417" i="1"/>
  <c r="BA417" i="1"/>
  <c r="AY417" i="1"/>
  <c r="AW417" i="1"/>
  <c r="AU417" i="1"/>
  <c r="AS417" i="1"/>
  <c r="AQ417" i="1"/>
  <c r="AO417" i="1"/>
  <c r="Z417" i="1"/>
  <c r="Y417" i="1"/>
  <c r="V417" i="1"/>
  <c r="T417" i="1"/>
  <c r="S417" i="1"/>
  <c r="R417" i="1"/>
  <c r="Q417" i="1"/>
  <c r="P417" i="1"/>
  <c r="O417" i="1"/>
  <c r="M417" i="1"/>
  <c r="L417" i="1"/>
  <c r="K417" i="1"/>
  <c r="F417" i="1"/>
  <c r="BE416" i="1"/>
  <c r="BD416" i="1"/>
  <c r="BC416" i="1"/>
  <c r="BA416" i="1"/>
  <c r="AY416" i="1"/>
  <c r="AW416" i="1"/>
  <c r="AU416" i="1"/>
  <c r="AS416" i="1"/>
  <c r="AQ416" i="1"/>
  <c r="AO416" i="1"/>
  <c r="Z416" i="1"/>
  <c r="Y416" i="1"/>
  <c r="V416" i="1"/>
  <c r="T416" i="1"/>
  <c r="S416" i="1"/>
  <c r="R416" i="1"/>
  <c r="Q416" i="1"/>
  <c r="P416" i="1"/>
  <c r="O416" i="1"/>
  <c r="M416" i="1"/>
  <c r="L416" i="1"/>
  <c r="K416" i="1"/>
  <c r="F416" i="1"/>
  <c r="BE415" i="1"/>
  <c r="BD415" i="1"/>
  <c r="BC415" i="1"/>
  <c r="BA415" i="1"/>
  <c r="AY415" i="1"/>
  <c r="AW415" i="1"/>
  <c r="AU415" i="1"/>
  <c r="AS415" i="1"/>
  <c r="AQ415" i="1"/>
  <c r="AO415" i="1"/>
  <c r="Z415" i="1"/>
  <c r="Y415" i="1"/>
  <c r="V415" i="1"/>
  <c r="T415" i="1"/>
  <c r="S415" i="1"/>
  <c r="R415" i="1"/>
  <c r="Q415" i="1"/>
  <c r="P415" i="1"/>
  <c r="O415" i="1"/>
  <c r="M415" i="1"/>
  <c r="L415" i="1"/>
  <c r="K415" i="1"/>
  <c r="H415" i="1"/>
  <c r="F415" i="1"/>
  <c r="D415" i="1"/>
  <c r="D416" i="1" s="1"/>
  <c r="D417" i="1" s="1"/>
  <c r="D418" i="1" s="1"/>
  <c r="D419" i="1" s="1"/>
  <c r="C415" i="1"/>
  <c r="C416" i="1" s="1"/>
  <c r="BE414" i="1"/>
  <c r="BD414" i="1"/>
  <c r="BC414" i="1"/>
  <c r="BA414" i="1"/>
  <c r="AY414" i="1"/>
  <c r="AW414" i="1"/>
  <c r="AU414" i="1"/>
  <c r="AS414" i="1"/>
  <c r="AQ414" i="1"/>
  <c r="AO414" i="1"/>
  <c r="AJ414" i="1"/>
  <c r="Z414" i="1"/>
  <c r="Y414" i="1"/>
  <c r="V414" i="1"/>
  <c r="T414" i="1"/>
  <c r="S414" i="1"/>
  <c r="R414" i="1"/>
  <c r="Q414" i="1"/>
  <c r="P414" i="1"/>
  <c r="O414" i="1"/>
  <c r="M414" i="1"/>
  <c r="L414" i="1"/>
  <c r="K414" i="1"/>
  <c r="H414" i="1"/>
  <c r="F414" i="1"/>
  <c r="BE411" i="1"/>
  <c r="Z411" i="1"/>
  <c r="BE410" i="1"/>
  <c r="Z410" i="1"/>
  <c r="BE409" i="1"/>
  <c r="Z409" i="1"/>
  <c r="BE408" i="1"/>
  <c r="Z408" i="1"/>
  <c r="BE407" i="1"/>
  <c r="Z407" i="1"/>
  <c r="BE406" i="1"/>
  <c r="Z406" i="1"/>
  <c r="BE405" i="1"/>
  <c r="Z405" i="1"/>
  <c r="BE404" i="1"/>
  <c r="Z404" i="1"/>
  <c r="BE403" i="1"/>
  <c r="Z403" i="1"/>
  <c r="BE402" i="1"/>
  <c r="AA402" i="1"/>
  <c r="AA403" i="1" s="1"/>
  <c r="AA404" i="1" s="1"/>
  <c r="AA405" i="1" s="1"/>
  <c r="AA406" i="1" s="1"/>
  <c r="AA407" i="1" s="1"/>
  <c r="AA408" i="1" s="1"/>
  <c r="AA409" i="1" s="1"/>
  <c r="AA410" i="1" s="1"/>
  <c r="AA411" i="1" s="1"/>
  <c r="Z402" i="1"/>
  <c r="BE401" i="1"/>
  <c r="AA401" i="1"/>
  <c r="Z401" i="1"/>
  <c r="BE400" i="1"/>
  <c r="Z400" i="1"/>
  <c r="BE396" i="1"/>
  <c r="BD396" i="1"/>
  <c r="AZ396" i="1"/>
  <c r="AX396" i="1"/>
  <c r="BE395" i="1"/>
  <c r="BD395" i="1"/>
  <c r="BC395" i="1"/>
  <c r="BA395" i="1"/>
  <c r="AY395" i="1"/>
  <c r="AW395" i="1"/>
  <c r="AU395" i="1"/>
  <c r="AS395" i="1"/>
  <c r="AQ395" i="1"/>
  <c r="AO395" i="1"/>
  <c r="Z395" i="1"/>
  <c r="Y395" i="1"/>
  <c r="V395" i="1"/>
  <c r="T395" i="1"/>
  <c r="S395" i="1"/>
  <c r="R395" i="1"/>
  <c r="Q395" i="1"/>
  <c r="P395" i="1"/>
  <c r="O395" i="1"/>
  <c r="M395" i="1"/>
  <c r="L395" i="1"/>
  <c r="K395" i="1"/>
  <c r="I395" i="1"/>
  <c r="F395" i="1"/>
  <c r="BE394" i="1"/>
  <c r="BD394" i="1"/>
  <c r="BC394" i="1"/>
  <c r="BA394" i="1"/>
  <c r="AY394" i="1"/>
  <c r="AW394" i="1"/>
  <c r="AU394" i="1"/>
  <c r="AS394" i="1"/>
  <c r="AQ394" i="1"/>
  <c r="AO394" i="1"/>
  <c r="Z394" i="1"/>
  <c r="Y394" i="1"/>
  <c r="V394" i="1"/>
  <c r="T394" i="1"/>
  <c r="S394" i="1"/>
  <c r="R394" i="1"/>
  <c r="Q394" i="1"/>
  <c r="P394" i="1"/>
  <c r="O394" i="1"/>
  <c r="M394" i="1"/>
  <c r="L394" i="1"/>
  <c r="K394" i="1"/>
  <c r="F394" i="1"/>
  <c r="BE393" i="1"/>
  <c r="BD393" i="1"/>
  <c r="BC393" i="1"/>
  <c r="BA393" i="1"/>
  <c r="AY393" i="1"/>
  <c r="AW393" i="1"/>
  <c r="AU393" i="1"/>
  <c r="AS393" i="1"/>
  <c r="AQ393" i="1"/>
  <c r="AO393" i="1"/>
  <c r="Z393" i="1"/>
  <c r="Y393" i="1"/>
  <c r="V393" i="1"/>
  <c r="T393" i="1"/>
  <c r="S393" i="1"/>
  <c r="R393" i="1"/>
  <c r="Q393" i="1"/>
  <c r="P393" i="1"/>
  <c r="O393" i="1"/>
  <c r="M393" i="1"/>
  <c r="L393" i="1"/>
  <c r="K393" i="1"/>
  <c r="F393" i="1"/>
  <c r="BE392" i="1"/>
  <c r="BD392" i="1"/>
  <c r="BC392" i="1"/>
  <c r="BA392" i="1"/>
  <c r="AY392" i="1"/>
  <c r="AW392" i="1"/>
  <c r="AU392" i="1"/>
  <c r="AS392" i="1"/>
  <c r="AQ392" i="1"/>
  <c r="AO392" i="1"/>
  <c r="Z392" i="1"/>
  <c r="Y392" i="1"/>
  <c r="V392" i="1"/>
  <c r="T392" i="1"/>
  <c r="S392" i="1"/>
  <c r="R392" i="1"/>
  <c r="Q392" i="1"/>
  <c r="P392" i="1"/>
  <c r="O392" i="1"/>
  <c r="M392" i="1"/>
  <c r="L392" i="1"/>
  <c r="K392" i="1"/>
  <c r="F392" i="1"/>
  <c r="BE391" i="1"/>
  <c r="BD391" i="1"/>
  <c r="BC391" i="1"/>
  <c r="BA391" i="1"/>
  <c r="AY391" i="1"/>
  <c r="AW391" i="1"/>
  <c r="AU391" i="1"/>
  <c r="AS391" i="1"/>
  <c r="AQ391" i="1"/>
  <c r="AO391" i="1"/>
  <c r="Z391" i="1"/>
  <c r="Y391" i="1"/>
  <c r="V391" i="1"/>
  <c r="T391" i="1"/>
  <c r="S391" i="1"/>
  <c r="R391" i="1"/>
  <c r="Q391" i="1"/>
  <c r="P391" i="1"/>
  <c r="O391" i="1"/>
  <c r="M391" i="1"/>
  <c r="L391" i="1"/>
  <c r="K391" i="1"/>
  <c r="F391" i="1"/>
  <c r="D391" i="1"/>
  <c r="D392" i="1" s="1"/>
  <c r="D393" i="1" s="1"/>
  <c r="D394" i="1" s="1"/>
  <c r="D395" i="1" s="1"/>
  <c r="C391" i="1"/>
  <c r="H391" i="1" s="1"/>
  <c r="BE390" i="1"/>
  <c r="BD390" i="1"/>
  <c r="BC390" i="1"/>
  <c r="BA390" i="1"/>
  <c r="AY390" i="1"/>
  <c r="AW390" i="1"/>
  <c r="AU390" i="1"/>
  <c r="AS390" i="1"/>
  <c r="AQ390" i="1"/>
  <c r="AO390" i="1"/>
  <c r="AJ390" i="1"/>
  <c r="Z390" i="1"/>
  <c r="Y390" i="1"/>
  <c r="V390" i="1"/>
  <c r="T390" i="1"/>
  <c r="S390" i="1"/>
  <c r="R390" i="1"/>
  <c r="Q390" i="1"/>
  <c r="P390" i="1"/>
  <c r="O390" i="1"/>
  <c r="M390" i="1"/>
  <c r="L390" i="1"/>
  <c r="K390" i="1"/>
  <c r="H390" i="1"/>
  <c r="F390" i="1"/>
  <c r="BE389" i="1"/>
  <c r="BE388" i="1"/>
  <c r="BD388" i="1"/>
  <c r="BC388" i="1"/>
  <c r="BA388" i="1"/>
  <c r="AY388" i="1"/>
  <c r="AW388" i="1"/>
  <c r="AU388" i="1"/>
  <c r="AS388" i="1"/>
  <c r="AQ388" i="1"/>
  <c r="AO388" i="1"/>
  <c r="Z388" i="1"/>
  <c r="Y388" i="1"/>
  <c r="V388" i="1"/>
  <c r="T388" i="1"/>
  <c r="S388" i="1"/>
  <c r="R388" i="1"/>
  <c r="Q388" i="1"/>
  <c r="P388" i="1"/>
  <c r="O388" i="1"/>
  <c r="M388" i="1"/>
  <c r="L388" i="1"/>
  <c r="K388" i="1"/>
  <c r="I388" i="1"/>
  <c r="F388" i="1"/>
  <c r="BE387" i="1"/>
  <c r="BD387" i="1"/>
  <c r="BC387" i="1"/>
  <c r="BA387" i="1"/>
  <c r="AY387" i="1"/>
  <c r="AW387" i="1"/>
  <c r="AU387" i="1"/>
  <c r="AS387" i="1"/>
  <c r="AQ387" i="1"/>
  <c r="AO387" i="1"/>
  <c r="Z387" i="1"/>
  <c r="Y387" i="1"/>
  <c r="V387" i="1"/>
  <c r="T387" i="1"/>
  <c r="S387" i="1"/>
  <c r="R387" i="1"/>
  <c r="Q387" i="1"/>
  <c r="P387" i="1"/>
  <c r="O387" i="1"/>
  <c r="M387" i="1"/>
  <c r="L387" i="1"/>
  <c r="K387" i="1"/>
  <c r="F387" i="1"/>
  <c r="BE386" i="1"/>
  <c r="BD386" i="1"/>
  <c r="BC386" i="1"/>
  <c r="BA386" i="1"/>
  <c r="AY386" i="1"/>
  <c r="AW386" i="1"/>
  <c r="AU386" i="1"/>
  <c r="AS386" i="1"/>
  <c r="AQ386" i="1"/>
  <c r="AO386" i="1"/>
  <c r="Z386" i="1"/>
  <c r="Y386" i="1"/>
  <c r="V386" i="1"/>
  <c r="T386" i="1"/>
  <c r="S386" i="1"/>
  <c r="R386" i="1"/>
  <c r="Q386" i="1"/>
  <c r="P386" i="1"/>
  <c r="O386" i="1"/>
  <c r="M386" i="1"/>
  <c r="L386" i="1"/>
  <c r="K386" i="1"/>
  <c r="F386" i="1"/>
  <c r="BE385" i="1"/>
  <c r="BD385" i="1"/>
  <c r="BC385" i="1"/>
  <c r="BA385" i="1"/>
  <c r="AY385" i="1"/>
  <c r="AW385" i="1"/>
  <c r="AU385" i="1"/>
  <c r="AS385" i="1"/>
  <c r="AQ385" i="1"/>
  <c r="AO385" i="1"/>
  <c r="Z385" i="1"/>
  <c r="Y385" i="1"/>
  <c r="V385" i="1"/>
  <c r="T385" i="1"/>
  <c r="S385" i="1"/>
  <c r="R385" i="1"/>
  <c r="Q385" i="1"/>
  <c r="P385" i="1"/>
  <c r="O385" i="1"/>
  <c r="M385" i="1"/>
  <c r="L385" i="1"/>
  <c r="K385" i="1"/>
  <c r="F385" i="1"/>
  <c r="BE384" i="1"/>
  <c r="BD384" i="1"/>
  <c r="BC384" i="1"/>
  <c r="BA384" i="1"/>
  <c r="AY384" i="1"/>
  <c r="AW384" i="1"/>
  <c r="AU384" i="1"/>
  <c r="AS384" i="1"/>
  <c r="AQ384" i="1"/>
  <c r="AO384" i="1"/>
  <c r="Z384" i="1"/>
  <c r="Y384" i="1"/>
  <c r="V384" i="1"/>
  <c r="T384" i="1"/>
  <c r="S384" i="1"/>
  <c r="R384" i="1"/>
  <c r="Q384" i="1"/>
  <c r="P384" i="1"/>
  <c r="O384" i="1"/>
  <c r="M384" i="1"/>
  <c r="L384" i="1"/>
  <c r="K384" i="1"/>
  <c r="F384" i="1"/>
  <c r="D384" i="1"/>
  <c r="D385" i="1" s="1"/>
  <c r="D386" i="1" s="1"/>
  <c r="D387" i="1" s="1"/>
  <c r="D388" i="1" s="1"/>
  <c r="C384" i="1"/>
  <c r="H384" i="1" s="1"/>
  <c r="BE383" i="1"/>
  <c r="BD383" i="1"/>
  <c r="BC383" i="1"/>
  <c r="BA383" i="1"/>
  <c r="AY383" i="1"/>
  <c r="AW383" i="1"/>
  <c r="AU383" i="1"/>
  <c r="AS383" i="1"/>
  <c r="AQ383" i="1"/>
  <c r="AO383" i="1"/>
  <c r="AJ383" i="1"/>
  <c r="Z383" i="1"/>
  <c r="Y383" i="1"/>
  <c r="V383" i="1"/>
  <c r="T383" i="1"/>
  <c r="S383" i="1"/>
  <c r="R383" i="1"/>
  <c r="Q383" i="1"/>
  <c r="P383" i="1"/>
  <c r="O383" i="1"/>
  <c r="M383" i="1"/>
  <c r="L383" i="1"/>
  <c r="K383" i="1"/>
  <c r="H383" i="1"/>
  <c r="F383" i="1"/>
  <c r="BE380" i="1"/>
  <c r="Z380" i="1"/>
  <c r="BE379" i="1"/>
  <c r="Z379" i="1"/>
  <c r="BE378" i="1"/>
  <c r="Z378" i="1"/>
  <c r="BE377" i="1"/>
  <c r="Z377" i="1"/>
  <c r="BE376" i="1"/>
  <c r="Z376" i="1"/>
  <c r="BE375" i="1"/>
  <c r="Z375" i="1"/>
  <c r="BE374" i="1"/>
  <c r="Z374" i="1"/>
  <c r="BE373" i="1"/>
  <c r="Z373" i="1"/>
  <c r="BE372" i="1"/>
  <c r="Z372" i="1"/>
  <c r="BE371" i="1"/>
  <c r="Z371" i="1"/>
  <c r="BE370" i="1"/>
  <c r="AA370" i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Z370" i="1"/>
  <c r="BE369" i="1"/>
  <c r="Z369" i="1"/>
  <c r="BE365" i="1"/>
  <c r="BD365" i="1"/>
  <c r="AZ365" i="1"/>
  <c r="AX365" i="1"/>
  <c r="BE364" i="1"/>
  <c r="BD364" i="1"/>
  <c r="BC364" i="1"/>
  <c r="BA364" i="1"/>
  <c r="AY364" i="1"/>
  <c r="AW364" i="1"/>
  <c r="AU364" i="1"/>
  <c r="AS364" i="1"/>
  <c r="AQ364" i="1"/>
  <c r="AO364" i="1"/>
  <c r="Z364" i="1"/>
  <c r="Y364" i="1"/>
  <c r="V364" i="1"/>
  <c r="T364" i="1"/>
  <c r="S364" i="1"/>
  <c r="R364" i="1"/>
  <c r="Q364" i="1"/>
  <c r="P364" i="1"/>
  <c r="O364" i="1"/>
  <c r="M364" i="1"/>
  <c r="L364" i="1"/>
  <c r="K364" i="1"/>
  <c r="I364" i="1"/>
  <c r="F364" i="1"/>
  <c r="BE363" i="1"/>
  <c r="BD363" i="1"/>
  <c r="BC363" i="1"/>
  <c r="BA363" i="1"/>
  <c r="AY363" i="1"/>
  <c r="AW363" i="1"/>
  <c r="AU363" i="1"/>
  <c r="AS363" i="1"/>
  <c r="AQ363" i="1"/>
  <c r="AO363" i="1"/>
  <c r="Z363" i="1"/>
  <c r="Y363" i="1"/>
  <c r="V363" i="1"/>
  <c r="T363" i="1"/>
  <c r="S363" i="1"/>
  <c r="R363" i="1"/>
  <c r="Q363" i="1"/>
  <c r="P363" i="1"/>
  <c r="O363" i="1"/>
  <c r="M363" i="1"/>
  <c r="L363" i="1"/>
  <c r="K363" i="1"/>
  <c r="F363" i="1"/>
  <c r="BE362" i="1"/>
  <c r="BD362" i="1"/>
  <c r="BC362" i="1"/>
  <c r="BA362" i="1"/>
  <c r="AY362" i="1"/>
  <c r="AW362" i="1"/>
  <c r="AU362" i="1"/>
  <c r="AS362" i="1"/>
  <c r="AQ362" i="1"/>
  <c r="AO362" i="1"/>
  <c r="Z362" i="1"/>
  <c r="Y362" i="1"/>
  <c r="V362" i="1"/>
  <c r="T362" i="1"/>
  <c r="S362" i="1"/>
  <c r="R362" i="1"/>
  <c r="Q362" i="1"/>
  <c r="P362" i="1"/>
  <c r="O362" i="1"/>
  <c r="M362" i="1"/>
  <c r="L362" i="1"/>
  <c r="K362" i="1"/>
  <c r="F362" i="1"/>
  <c r="BE361" i="1"/>
  <c r="BD361" i="1"/>
  <c r="BC361" i="1"/>
  <c r="BA361" i="1"/>
  <c r="AY361" i="1"/>
  <c r="AW361" i="1"/>
  <c r="AU361" i="1"/>
  <c r="AS361" i="1"/>
  <c r="AQ361" i="1"/>
  <c r="AO361" i="1"/>
  <c r="Z361" i="1"/>
  <c r="Y361" i="1"/>
  <c r="V361" i="1"/>
  <c r="T361" i="1"/>
  <c r="S361" i="1"/>
  <c r="R361" i="1"/>
  <c r="Q361" i="1"/>
  <c r="P361" i="1"/>
  <c r="O361" i="1"/>
  <c r="M361" i="1"/>
  <c r="L361" i="1"/>
  <c r="K361" i="1"/>
  <c r="F361" i="1"/>
  <c r="BE360" i="1"/>
  <c r="BD360" i="1"/>
  <c r="BC360" i="1"/>
  <c r="BA360" i="1"/>
  <c r="AY360" i="1"/>
  <c r="AW360" i="1"/>
  <c r="AU360" i="1"/>
  <c r="AS360" i="1"/>
  <c r="AQ360" i="1"/>
  <c r="AO360" i="1"/>
  <c r="Z360" i="1"/>
  <c r="Y360" i="1"/>
  <c r="V360" i="1"/>
  <c r="T360" i="1"/>
  <c r="S360" i="1"/>
  <c r="R360" i="1"/>
  <c r="Q360" i="1"/>
  <c r="P360" i="1"/>
  <c r="O360" i="1"/>
  <c r="M360" i="1"/>
  <c r="L360" i="1"/>
  <c r="K360" i="1"/>
  <c r="F360" i="1"/>
  <c r="D360" i="1"/>
  <c r="D361" i="1" s="1"/>
  <c r="D362" i="1" s="1"/>
  <c r="D363" i="1" s="1"/>
  <c r="D364" i="1" s="1"/>
  <c r="C360" i="1"/>
  <c r="C361" i="1" s="1"/>
  <c r="BE359" i="1"/>
  <c r="BD359" i="1"/>
  <c r="BC359" i="1"/>
  <c r="BA359" i="1"/>
  <c r="AY359" i="1"/>
  <c r="AW359" i="1"/>
  <c r="AU359" i="1"/>
  <c r="AS359" i="1"/>
  <c r="AQ359" i="1"/>
  <c r="AO359" i="1"/>
  <c r="AJ359" i="1"/>
  <c r="Z359" i="1"/>
  <c r="Y359" i="1"/>
  <c r="V359" i="1"/>
  <c r="T359" i="1"/>
  <c r="S359" i="1"/>
  <c r="R359" i="1"/>
  <c r="Q359" i="1"/>
  <c r="P359" i="1"/>
  <c r="O359" i="1"/>
  <c r="M359" i="1"/>
  <c r="L359" i="1"/>
  <c r="K359" i="1"/>
  <c r="H359" i="1"/>
  <c r="F359" i="1"/>
  <c r="BE358" i="1"/>
  <c r="BE357" i="1"/>
  <c r="BD357" i="1"/>
  <c r="BC357" i="1"/>
  <c r="BA357" i="1"/>
  <c r="AY357" i="1"/>
  <c r="AW357" i="1"/>
  <c r="AU357" i="1"/>
  <c r="AS357" i="1"/>
  <c r="AQ357" i="1"/>
  <c r="AO357" i="1"/>
  <c r="Z357" i="1"/>
  <c r="Y357" i="1"/>
  <c r="V357" i="1"/>
  <c r="T357" i="1"/>
  <c r="S357" i="1"/>
  <c r="R357" i="1"/>
  <c r="Q357" i="1"/>
  <c r="P357" i="1"/>
  <c r="O357" i="1"/>
  <c r="M357" i="1"/>
  <c r="L357" i="1"/>
  <c r="K357" i="1"/>
  <c r="I357" i="1"/>
  <c r="F357" i="1"/>
  <c r="BE356" i="1"/>
  <c r="BD356" i="1"/>
  <c r="BC356" i="1"/>
  <c r="BA356" i="1"/>
  <c r="AY356" i="1"/>
  <c r="AW356" i="1"/>
  <c r="AU356" i="1"/>
  <c r="AS356" i="1"/>
  <c r="AQ356" i="1"/>
  <c r="AO356" i="1"/>
  <c r="Z356" i="1"/>
  <c r="Y356" i="1"/>
  <c r="V356" i="1"/>
  <c r="T356" i="1"/>
  <c r="S356" i="1"/>
  <c r="R356" i="1"/>
  <c r="Q356" i="1"/>
  <c r="P356" i="1"/>
  <c r="O356" i="1"/>
  <c r="M356" i="1"/>
  <c r="L356" i="1"/>
  <c r="K356" i="1"/>
  <c r="F356" i="1"/>
  <c r="BE355" i="1"/>
  <c r="BD355" i="1"/>
  <c r="BC355" i="1"/>
  <c r="BA355" i="1"/>
  <c r="AY355" i="1"/>
  <c r="AW355" i="1"/>
  <c r="AU355" i="1"/>
  <c r="AS355" i="1"/>
  <c r="AQ355" i="1"/>
  <c r="AO355" i="1"/>
  <c r="Z355" i="1"/>
  <c r="Y355" i="1"/>
  <c r="V355" i="1"/>
  <c r="T355" i="1"/>
  <c r="S355" i="1"/>
  <c r="R355" i="1"/>
  <c r="Q355" i="1"/>
  <c r="P355" i="1"/>
  <c r="O355" i="1"/>
  <c r="M355" i="1"/>
  <c r="L355" i="1"/>
  <c r="K355" i="1"/>
  <c r="F355" i="1"/>
  <c r="BE354" i="1"/>
  <c r="BD354" i="1"/>
  <c r="BC354" i="1"/>
  <c r="BA354" i="1"/>
  <c r="AY354" i="1"/>
  <c r="AW354" i="1"/>
  <c r="AU354" i="1"/>
  <c r="AS354" i="1"/>
  <c r="AQ354" i="1"/>
  <c r="AO354" i="1"/>
  <c r="Z354" i="1"/>
  <c r="Y354" i="1"/>
  <c r="V354" i="1"/>
  <c r="T354" i="1"/>
  <c r="S354" i="1"/>
  <c r="R354" i="1"/>
  <c r="Q354" i="1"/>
  <c r="P354" i="1"/>
  <c r="O354" i="1"/>
  <c r="M354" i="1"/>
  <c r="L354" i="1"/>
  <c r="K354" i="1"/>
  <c r="F354" i="1"/>
  <c r="BE353" i="1"/>
  <c r="BD353" i="1"/>
  <c r="BC353" i="1"/>
  <c r="BA353" i="1"/>
  <c r="AY353" i="1"/>
  <c r="AW353" i="1"/>
  <c r="AU353" i="1"/>
  <c r="AS353" i="1"/>
  <c r="AQ353" i="1"/>
  <c r="AO353" i="1"/>
  <c r="Z353" i="1"/>
  <c r="Y353" i="1"/>
  <c r="V353" i="1"/>
  <c r="T353" i="1"/>
  <c r="S353" i="1"/>
  <c r="R353" i="1"/>
  <c r="Q353" i="1"/>
  <c r="P353" i="1"/>
  <c r="O353" i="1"/>
  <c r="M353" i="1"/>
  <c r="L353" i="1"/>
  <c r="K353" i="1"/>
  <c r="F353" i="1"/>
  <c r="D353" i="1"/>
  <c r="D354" i="1" s="1"/>
  <c r="D355" i="1" s="1"/>
  <c r="D356" i="1" s="1"/>
  <c r="D357" i="1" s="1"/>
  <c r="C353" i="1"/>
  <c r="H353" i="1" s="1"/>
  <c r="BE352" i="1"/>
  <c r="BD352" i="1"/>
  <c r="BC352" i="1"/>
  <c r="BA352" i="1"/>
  <c r="AY352" i="1"/>
  <c r="AW352" i="1"/>
  <c r="AU352" i="1"/>
  <c r="AS352" i="1"/>
  <c r="AQ352" i="1"/>
  <c r="AO352" i="1"/>
  <c r="AJ352" i="1"/>
  <c r="Z352" i="1"/>
  <c r="Y352" i="1"/>
  <c r="V352" i="1"/>
  <c r="T352" i="1"/>
  <c r="S352" i="1"/>
  <c r="R352" i="1"/>
  <c r="Q352" i="1"/>
  <c r="P352" i="1"/>
  <c r="O352" i="1"/>
  <c r="M352" i="1"/>
  <c r="L352" i="1"/>
  <c r="K352" i="1"/>
  <c r="H352" i="1"/>
  <c r="F352" i="1"/>
  <c r="BE349" i="1"/>
  <c r="Z349" i="1"/>
  <c r="BE348" i="1"/>
  <c r="Z348" i="1"/>
  <c r="BE347" i="1"/>
  <c r="Z347" i="1"/>
  <c r="BE346" i="1"/>
  <c r="Z346" i="1"/>
  <c r="BE345" i="1"/>
  <c r="Z345" i="1"/>
  <c r="BE344" i="1"/>
  <c r="Z344" i="1"/>
  <c r="BE343" i="1"/>
  <c r="Z343" i="1"/>
  <c r="BE342" i="1"/>
  <c r="Z342" i="1"/>
  <c r="BE341" i="1"/>
  <c r="Z341" i="1"/>
  <c r="BE340" i="1"/>
  <c r="Z340" i="1"/>
  <c r="BE339" i="1"/>
  <c r="AA339" i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Z339" i="1"/>
  <c r="BE338" i="1"/>
  <c r="Z338" i="1"/>
  <c r="BE334" i="1"/>
  <c r="BD334" i="1"/>
  <c r="AZ334" i="1"/>
  <c r="AX334" i="1"/>
  <c r="BE333" i="1"/>
  <c r="BD333" i="1"/>
  <c r="BC333" i="1"/>
  <c r="BA333" i="1"/>
  <c r="AY333" i="1"/>
  <c r="AW333" i="1"/>
  <c r="AU333" i="1"/>
  <c r="AS333" i="1"/>
  <c r="AQ333" i="1"/>
  <c r="AO333" i="1"/>
  <c r="Z333" i="1"/>
  <c r="Y333" i="1"/>
  <c r="V333" i="1"/>
  <c r="T333" i="1"/>
  <c r="S333" i="1"/>
  <c r="R333" i="1"/>
  <c r="Q333" i="1"/>
  <c r="P333" i="1"/>
  <c r="O333" i="1"/>
  <c r="M333" i="1"/>
  <c r="L333" i="1"/>
  <c r="K333" i="1"/>
  <c r="I333" i="1"/>
  <c r="F333" i="1"/>
  <c r="BE332" i="1"/>
  <c r="BD332" i="1"/>
  <c r="BC332" i="1"/>
  <c r="BA332" i="1"/>
  <c r="AY332" i="1"/>
  <c r="AW332" i="1"/>
  <c r="AU332" i="1"/>
  <c r="AS332" i="1"/>
  <c r="AQ332" i="1"/>
  <c r="AO332" i="1"/>
  <c r="Z332" i="1"/>
  <c r="Y332" i="1"/>
  <c r="V332" i="1"/>
  <c r="T332" i="1"/>
  <c r="S332" i="1"/>
  <c r="R332" i="1"/>
  <c r="Q332" i="1"/>
  <c r="P332" i="1"/>
  <c r="O332" i="1"/>
  <c r="M332" i="1"/>
  <c r="L332" i="1"/>
  <c r="K332" i="1"/>
  <c r="F332" i="1"/>
  <c r="BE331" i="1"/>
  <c r="BD331" i="1"/>
  <c r="BC331" i="1"/>
  <c r="BA331" i="1"/>
  <c r="AY331" i="1"/>
  <c r="AW331" i="1"/>
  <c r="AU331" i="1"/>
  <c r="AS331" i="1"/>
  <c r="AQ331" i="1"/>
  <c r="AO331" i="1"/>
  <c r="Z331" i="1"/>
  <c r="Y331" i="1"/>
  <c r="V331" i="1"/>
  <c r="T331" i="1"/>
  <c r="S331" i="1"/>
  <c r="R331" i="1"/>
  <c r="Q331" i="1"/>
  <c r="P331" i="1"/>
  <c r="O331" i="1"/>
  <c r="M331" i="1"/>
  <c r="L331" i="1"/>
  <c r="K331" i="1"/>
  <c r="F331" i="1"/>
  <c r="BE330" i="1"/>
  <c r="BD330" i="1"/>
  <c r="BC330" i="1"/>
  <c r="BA330" i="1"/>
  <c r="AY330" i="1"/>
  <c r="AW330" i="1"/>
  <c r="AU330" i="1"/>
  <c r="AS330" i="1"/>
  <c r="AQ330" i="1"/>
  <c r="AO330" i="1"/>
  <c r="Z330" i="1"/>
  <c r="Y330" i="1"/>
  <c r="V330" i="1"/>
  <c r="T330" i="1"/>
  <c r="S330" i="1"/>
  <c r="R330" i="1"/>
  <c r="Q330" i="1"/>
  <c r="P330" i="1"/>
  <c r="O330" i="1"/>
  <c r="M330" i="1"/>
  <c r="L330" i="1"/>
  <c r="K330" i="1"/>
  <c r="F330" i="1"/>
  <c r="BE329" i="1"/>
  <c r="BD329" i="1"/>
  <c r="BC329" i="1"/>
  <c r="BA329" i="1"/>
  <c r="AY329" i="1"/>
  <c r="AW329" i="1"/>
  <c r="AU329" i="1"/>
  <c r="AS329" i="1"/>
  <c r="AQ329" i="1"/>
  <c r="AO329" i="1"/>
  <c r="Z329" i="1"/>
  <c r="Y329" i="1"/>
  <c r="V329" i="1"/>
  <c r="T329" i="1"/>
  <c r="S329" i="1"/>
  <c r="R329" i="1"/>
  <c r="Q329" i="1"/>
  <c r="P329" i="1"/>
  <c r="O329" i="1"/>
  <c r="M329" i="1"/>
  <c r="L329" i="1"/>
  <c r="K329" i="1"/>
  <c r="H329" i="1"/>
  <c r="F329" i="1"/>
  <c r="D329" i="1"/>
  <c r="D330" i="1" s="1"/>
  <c r="D331" i="1" s="1"/>
  <c r="D332" i="1" s="1"/>
  <c r="D333" i="1" s="1"/>
  <c r="C329" i="1"/>
  <c r="C330" i="1" s="1"/>
  <c r="BE328" i="1"/>
  <c r="BD328" i="1"/>
  <c r="BC328" i="1"/>
  <c r="BA328" i="1"/>
  <c r="AY328" i="1"/>
  <c r="AW328" i="1"/>
  <c r="AU328" i="1"/>
  <c r="AS328" i="1"/>
  <c r="AQ328" i="1"/>
  <c r="AO328" i="1"/>
  <c r="AJ328" i="1"/>
  <c r="Z328" i="1"/>
  <c r="Y328" i="1"/>
  <c r="V328" i="1"/>
  <c r="T328" i="1"/>
  <c r="S328" i="1"/>
  <c r="R328" i="1"/>
  <c r="Q328" i="1"/>
  <c r="P328" i="1"/>
  <c r="O328" i="1"/>
  <c r="M328" i="1"/>
  <c r="L328" i="1"/>
  <c r="K328" i="1"/>
  <c r="H328" i="1"/>
  <c r="F328" i="1"/>
  <c r="BE327" i="1"/>
  <c r="BE326" i="1"/>
  <c r="BD326" i="1"/>
  <c r="BC326" i="1"/>
  <c r="BA326" i="1"/>
  <c r="AY326" i="1"/>
  <c r="AW326" i="1"/>
  <c r="AU326" i="1"/>
  <c r="AS326" i="1"/>
  <c r="AQ326" i="1"/>
  <c r="AO326" i="1"/>
  <c r="Z326" i="1"/>
  <c r="Y326" i="1"/>
  <c r="V326" i="1"/>
  <c r="T326" i="1"/>
  <c r="S326" i="1"/>
  <c r="R326" i="1"/>
  <c r="Q326" i="1"/>
  <c r="P326" i="1"/>
  <c r="O326" i="1"/>
  <c r="M326" i="1"/>
  <c r="L326" i="1"/>
  <c r="K326" i="1"/>
  <c r="I326" i="1"/>
  <c r="F326" i="1"/>
  <c r="BE325" i="1"/>
  <c r="BD325" i="1"/>
  <c r="BC325" i="1"/>
  <c r="BA325" i="1"/>
  <c r="AY325" i="1"/>
  <c r="AW325" i="1"/>
  <c r="AU325" i="1"/>
  <c r="AS325" i="1"/>
  <c r="AQ325" i="1"/>
  <c r="AO325" i="1"/>
  <c r="Z325" i="1"/>
  <c r="Y325" i="1"/>
  <c r="V325" i="1"/>
  <c r="T325" i="1"/>
  <c r="S325" i="1"/>
  <c r="R325" i="1"/>
  <c r="Q325" i="1"/>
  <c r="P325" i="1"/>
  <c r="O325" i="1"/>
  <c r="M325" i="1"/>
  <c r="L325" i="1"/>
  <c r="K325" i="1"/>
  <c r="F325" i="1"/>
  <c r="BE324" i="1"/>
  <c r="BD324" i="1"/>
  <c r="BC324" i="1"/>
  <c r="BA324" i="1"/>
  <c r="AY324" i="1"/>
  <c r="AW324" i="1"/>
  <c r="AU324" i="1"/>
  <c r="AS324" i="1"/>
  <c r="AQ324" i="1"/>
  <c r="AO324" i="1"/>
  <c r="Z324" i="1"/>
  <c r="Y324" i="1"/>
  <c r="V324" i="1"/>
  <c r="T324" i="1"/>
  <c r="S324" i="1"/>
  <c r="R324" i="1"/>
  <c r="Q324" i="1"/>
  <c r="P324" i="1"/>
  <c r="O324" i="1"/>
  <c r="M324" i="1"/>
  <c r="L324" i="1"/>
  <c r="K324" i="1"/>
  <c r="F324" i="1"/>
  <c r="BE323" i="1"/>
  <c r="BD323" i="1"/>
  <c r="BC323" i="1"/>
  <c r="BA323" i="1"/>
  <c r="AY323" i="1"/>
  <c r="AW323" i="1"/>
  <c r="AU323" i="1"/>
  <c r="AS323" i="1"/>
  <c r="AQ323" i="1"/>
  <c r="AO323" i="1"/>
  <c r="Z323" i="1"/>
  <c r="Y323" i="1"/>
  <c r="V323" i="1"/>
  <c r="T323" i="1"/>
  <c r="S323" i="1"/>
  <c r="R323" i="1"/>
  <c r="Q323" i="1"/>
  <c r="P323" i="1"/>
  <c r="O323" i="1"/>
  <c r="M323" i="1"/>
  <c r="L323" i="1"/>
  <c r="K323" i="1"/>
  <c r="F323" i="1"/>
  <c r="BE322" i="1"/>
  <c r="BD322" i="1"/>
  <c r="BC322" i="1"/>
  <c r="BA322" i="1"/>
  <c r="AY322" i="1"/>
  <c r="AW322" i="1"/>
  <c r="AU322" i="1"/>
  <c r="AS322" i="1"/>
  <c r="AQ322" i="1"/>
  <c r="AO322" i="1"/>
  <c r="Z322" i="1"/>
  <c r="Y322" i="1"/>
  <c r="V322" i="1"/>
  <c r="T322" i="1"/>
  <c r="S322" i="1"/>
  <c r="R322" i="1"/>
  <c r="Q322" i="1"/>
  <c r="P322" i="1"/>
  <c r="O322" i="1"/>
  <c r="M322" i="1"/>
  <c r="L322" i="1"/>
  <c r="K322" i="1"/>
  <c r="F322" i="1"/>
  <c r="D322" i="1"/>
  <c r="D323" i="1" s="1"/>
  <c r="D324" i="1" s="1"/>
  <c r="D325" i="1" s="1"/>
  <c r="D326" i="1" s="1"/>
  <c r="C322" i="1"/>
  <c r="H322" i="1" s="1"/>
  <c r="BE321" i="1"/>
  <c r="BD321" i="1"/>
  <c r="BC321" i="1"/>
  <c r="BA321" i="1"/>
  <c r="AY321" i="1"/>
  <c r="AW321" i="1"/>
  <c r="AU321" i="1"/>
  <c r="AS321" i="1"/>
  <c r="AQ321" i="1"/>
  <c r="AO321" i="1"/>
  <c r="AJ321" i="1"/>
  <c r="Z321" i="1"/>
  <c r="Y321" i="1"/>
  <c r="V321" i="1"/>
  <c r="T321" i="1"/>
  <c r="S321" i="1"/>
  <c r="R321" i="1"/>
  <c r="Q321" i="1"/>
  <c r="P321" i="1"/>
  <c r="O321" i="1"/>
  <c r="M321" i="1"/>
  <c r="L321" i="1"/>
  <c r="K321" i="1"/>
  <c r="H321" i="1"/>
  <c r="F321" i="1"/>
  <c r="BE132" i="1"/>
  <c r="Z132" i="1"/>
  <c r="BE131" i="1"/>
  <c r="Z131" i="1"/>
  <c r="BE130" i="1"/>
  <c r="Z130" i="1"/>
  <c r="BE129" i="1"/>
  <c r="Z129" i="1"/>
  <c r="BE128" i="1"/>
  <c r="Z128" i="1"/>
  <c r="BE127" i="1"/>
  <c r="Z127" i="1"/>
  <c r="BE126" i="1"/>
  <c r="Z126" i="1"/>
  <c r="BE125" i="1"/>
  <c r="Z125" i="1"/>
  <c r="BE124" i="1"/>
  <c r="Z124" i="1"/>
  <c r="BE123" i="1"/>
  <c r="AA123" i="1"/>
  <c r="AA124" i="1" s="1"/>
  <c r="AA125" i="1" s="1"/>
  <c r="AA126" i="1" s="1"/>
  <c r="AA127" i="1" s="1"/>
  <c r="AA128" i="1" s="1"/>
  <c r="AA129" i="1" s="1"/>
  <c r="AA130" i="1" s="1"/>
  <c r="AA131" i="1" s="1"/>
  <c r="AA132" i="1" s="1"/>
  <c r="Z123" i="1"/>
  <c r="BE122" i="1"/>
  <c r="AA122" i="1"/>
  <c r="Z122" i="1"/>
  <c r="BE121" i="1"/>
  <c r="Z121" i="1"/>
  <c r="BE117" i="1"/>
  <c r="BD117" i="1"/>
  <c r="AZ117" i="1"/>
  <c r="AX117" i="1"/>
  <c r="BE116" i="1"/>
  <c r="BD116" i="1"/>
  <c r="BC116" i="1"/>
  <c r="BA116" i="1"/>
  <c r="AY116" i="1"/>
  <c r="AW116" i="1"/>
  <c r="AU116" i="1"/>
  <c r="AS116" i="1"/>
  <c r="AQ116" i="1"/>
  <c r="AO116" i="1"/>
  <c r="Z116" i="1"/>
  <c r="Y116" i="1"/>
  <c r="V116" i="1"/>
  <c r="T116" i="1"/>
  <c r="S116" i="1"/>
  <c r="R116" i="1"/>
  <c r="Q116" i="1"/>
  <c r="P116" i="1"/>
  <c r="O116" i="1"/>
  <c r="M116" i="1"/>
  <c r="L116" i="1"/>
  <c r="K116" i="1"/>
  <c r="I116" i="1"/>
  <c r="F116" i="1"/>
  <c r="BE115" i="1"/>
  <c r="BD115" i="1"/>
  <c r="BC115" i="1"/>
  <c r="BA115" i="1"/>
  <c r="AY115" i="1"/>
  <c r="AW115" i="1"/>
  <c r="AU115" i="1"/>
  <c r="AS115" i="1"/>
  <c r="AQ115" i="1"/>
  <c r="AO115" i="1"/>
  <c r="Z115" i="1"/>
  <c r="Y115" i="1"/>
  <c r="V115" i="1"/>
  <c r="T115" i="1"/>
  <c r="S115" i="1"/>
  <c r="R115" i="1"/>
  <c r="Q115" i="1"/>
  <c r="P115" i="1"/>
  <c r="O115" i="1"/>
  <c r="M115" i="1"/>
  <c r="L115" i="1"/>
  <c r="K115" i="1"/>
  <c r="F115" i="1"/>
  <c r="BE114" i="1"/>
  <c r="BD114" i="1"/>
  <c r="BC114" i="1"/>
  <c r="BA114" i="1"/>
  <c r="AY114" i="1"/>
  <c r="AW114" i="1"/>
  <c r="AU114" i="1"/>
  <c r="AS114" i="1"/>
  <c r="AQ114" i="1"/>
  <c r="AO114" i="1"/>
  <c r="Z114" i="1"/>
  <c r="Y114" i="1"/>
  <c r="V114" i="1"/>
  <c r="T114" i="1"/>
  <c r="S114" i="1"/>
  <c r="R114" i="1"/>
  <c r="Q114" i="1"/>
  <c r="P114" i="1"/>
  <c r="O114" i="1"/>
  <c r="M114" i="1"/>
  <c r="L114" i="1"/>
  <c r="K114" i="1"/>
  <c r="F114" i="1"/>
  <c r="BE113" i="1"/>
  <c r="BD113" i="1"/>
  <c r="BC113" i="1"/>
  <c r="BA113" i="1"/>
  <c r="AY113" i="1"/>
  <c r="AW113" i="1"/>
  <c r="AU113" i="1"/>
  <c r="AS113" i="1"/>
  <c r="AQ113" i="1"/>
  <c r="AO113" i="1"/>
  <c r="Z113" i="1"/>
  <c r="Y113" i="1"/>
  <c r="V113" i="1"/>
  <c r="T113" i="1"/>
  <c r="S113" i="1"/>
  <c r="R113" i="1"/>
  <c r="Q113" i="1"/>
  <c r="P113" i="1"/>
  <c r="O113" i="1"/>
  <c r="M113" i="1"/>
  <c r="L113" i="1"/>
  <c r="K113" i="1"/>
  <c r="F113" i="1"/>
  <c r="BE112" i="1"/>
  <c r="BD112" i="1"/>
  <c r="BC112" i="1"/>
  <c r="BA112" i="1"/>
  <c r="AY112" i="1"/>
  <c r="AW112" i="1"/>
  <c r="AU112" i="1"/>
  <c r="AS112" i="1"/>
  <c r="AQ112" i="1"/>
  <c r="AO112" i="1"/>
  <c r="Z112" i="1"/>
  <c r="Y112" i="1"/>
  <c r="V112" i="1"/>
  <c r="T112" i="1"/>
  <c r="S112" i="1"/>
  <c r="R112" i="1"/>
  <c r="Q112" i="1"/>
  <c r="P112" i="1"/>
  <c r="O112" i="1"/>
  <c r="M112" i="1"/>
  <c r="L112" i="1"/>
  <c r="K112" i="1"/>
  <c r="F112" i="1"/>
  <c r="D112" i="1"/>
  <c r="D113" i="1" s="1"/>
  <c r="D114" i="1" s="1"/>
  <c r="D115" i="1" s="1"/>
  <c r="D116" i="1" s="1"/>
  <c r="C112" i="1"/>
  <c r="BE111" i="1"/>
  <c r="BD111" i="1"/>
  <c r="BC111" i="1"/>
  <c r="BA111" i="1"/>
  <c r="AY111" i="1"/>
  <c r="AW111" i="1"/>
  <c r="AU111" i="1"/>
  <c r="AS111" i="1"/>
  <c r="AQ111" i="1"/>
  <c r="AO111" i="1"/>
  <c r="AJ111" i="1"/>
  <c r="Z111" i="1"/>
  <c r="Y111" i="1"/>
  <c r="V111" i="1"/>
  <c r="T111" i="1"/>
  <c r="S111" i="1"/>
  <c r="R111" i="1"/>
  <c r="Q111" i="1"/>
  <c r="P111" i="1"/>
  <c r="O111" i="1"/>
  <c r="M111" i="1"/>
  <c r="L111" i="1"/>
  <c r="K111" i="1"/>
  <c r="H111" i="1"/>
  <c r="F111" i="1"/>
  <c r="BE110" i="1"/>
  <c r="BE109" i="1"/>
  <c r="BD109" i="1"/>
  <c r="BC109" i="1"/>
  <c r="BA109" i="1"/>
  <c r="AY109" i="1"/>
  <c r="AW109" i="1"/>
  <c r="AU109" i="1"/>
  <c r="AS109" i="1"/>
  <c r="AQ109" i="1"/>
  <c r="AO109" i="1"/>
  <c r="Z109" i="1"/>
  <c r="Y109" i="1"/>
  <c r="V109" i="1"/>
  <c r="T109" i="1"/>
  <c r="S109" i="1"/>
  <c r="R109" i="1"/>
  <c r="Q109" i="1"/>
  <c r="P109" i="1"/>
  <c r="O109" i="1"/>
  <c r="M109" i="1"/>
  <c r="L109" i="1"/>
  <c r="K109" i="1"/>
  <c r="I109" i="1"/>
  <c r="F109" i="1"/>
  <c r="BE108" i="1"/>
  <c r="BD108" i="1"/>
  <c r="BC108" i="1"/>
  <c r="BA108" i="1"/>
  <c r="AY108" i="1"/>
  <c r="AW108" i="1"/>
  <c r="AU108" i="1"/>
  <c r="AS108" i="1"/>
  <c r="AQ108" i="1"/>
  <c r="AO108" i="1"/>
  <c r="Z108" i="1"/>
  <c r="Y108" i="1"/>
  <c r="V108" i="1"/>
  <c r="T108" i="1"/>
  <c r="S108" i="1"/>
  <c r="R108" i="1"/>
  <c r="Q108" i="1"/>
  <c r="P108" i="1"/>
  <c r="O108" i="1"/>
  <c r="M108" i="1"/>
  <c r="L108" i="1"/>
  <c r="K108" i="1"/>
  <c r="F108" i="1"/>
  <c r="BE107" i="1"/>
  <c r="BD107" i="1"/>
  <c r="BC107" i="1"/>
  <c r="BA107" i="1"/>
  <c r="AY107" i="1"/>
  <c r="AW107" i="1"/>
  <c r="AU107" i="1"/>
  <c r="AS107" i="1"/>
  <c r="AQ107" i="1"/>
  <c r="AO107" i="1"/>
  <c r="Z107" i="1"/>
  <c r="Y107" i="1"/>
  <c r="V107" i="1"/>
  <c r="T107" i="1"/>
  <c r="S107" i="1"/>
  <c r="R107" i="1"/>
  <c r="Q107" i="1"/>
  <c r="P107" i="1"/>
  <c r="O107" i="1"/>
  <c r="M107" i="1"/>
  <c r="L107" i="1"/>
  <c r="K107" i="1"/>
  <c r="F107" i="1"/>
  <c r="BE106" i="1"/>
  <c r="BD106" i="1"/>
  <c r="BC106" i="1"/>
  <c r="BA106" i="1"/>
  <c r="AY106" i="1"/>
  <c r="AW106" i="1"/>
  <c r="AU106" i="1"/>
  <c r="AS106" i="1"/>
  <c r="AQ106" i="1"/>
  <c r="AO106" i="1"/>
  <c r="Z106" i="1"/>
  <c r="Y106" i="1"/>
  <c r="V106" i="1"/>
  <c r="T106" i="1"/>
  <c r="S106" i="1"/>
  <c r="R106" i="1"/>
  <c r="Q106" i="1"/>
  <c r="P106" i="1"/>
  <c r="O106" i="1"/>
  <c r="M106" i="1"/>
  <c r="L106" i="1"/>
  <c r="K106" i="1"/>
  <c r="F106" i="1"/>
  <c r="BE105" i="1"/>
  <c r="BD105" i="1"/>
  <c r="BC105" i="1"/>
  <c r="BA105" i="1"/>
  <c r="AY105" i="1"/>
  <c r="AW105" i="1"/>
  <c r="AU105" i="1"/>
  <c r="AS105" i="1"/>
  <c r="AQ105" i="1"/>
  <c r="AO105" i="1"/>
  <c r="Z105" i="1"/>
  <c r="Y105" i="1"/>
  <c r="V105" i="1"/>
  <c r="T105" i="1"/>
  <c r="S105" i="1"/>
  <c r="R105" i="1"/>
  <c r="Q105" i="1"/>
  <c r="P105" i="1"/>
  <c r="O105" i="1"/>
  <c r="M105" i="1"/>
  <c r="L105" i="1"/>
  <c r="K105" i="1"/>
  <c r="F105" i="1"/>
  <c r="D105" i="1"/>
  <c r="D106" i="1" s="1"/>
  <c r="D107" i="1" s="1"/>
  <c r="D108" i="1" s="1"/>
  <c r="D109" i="1" s="1"/>
  <c r="C105" i="1"/>
  <c r="C106" i="1" s="1"/>
  <c r="BE104" i="1"/>
  <c r="BD104" i="1"/>
  <c r="BC104" i="1"/>
  <c r="BA104" i="1"/>
  <c r="AY104" i="1"/>
  <c r="AW104" i="1"/>
  <c r="AU104" i="1"/>
  <c r="AS104" i="1"/>
  <c r="AQ104" i="1"/>
  <c r="AO104" i="1"/>
  <c r="AJ104" i="1"/>
  <c r="Z104" i="1"/>
  <c r="Y104" i="1"/>
  <c r="V104" i="1"/>
  <c r="T104" i="1"/>
  <c r="S104" i="1"/>
  <c r="R104" i="1"/>
  <c r="Q104" i="1"/>
  <c r="P104" i="1"/>
  <c r="O104" i="1"/>
  <c r="M104" i="1"/>
  <c r="L104" i="1"/>
  <c r="K104" i="1"/>
  <c r="H104" i="1"/>
  <c r="F104" i="1"/>
  <c r="BE101" i="1"/>
  <c r="Z101" i="1"/>
  <c r="BE100" i="1"/>
  <c r="Z100" i="1"/>
  <c r="BE99" i="1"/>
  <c r="Z99" i="1"/>
  <c r="BE98" i="1"/>
  <c r="Z98" i="1"/>
  <c r="BE97" i="1"/>
  <c r="Z97" i="1"/>
  <c r="BE96" i="1"/>
  <c r="Z96" i="1"/>
  <c r="BE95" i="1"/>
  <c r="Z95" i="1"/>
  <c r="BE94" i="1"/>
  <c r="Z94" i="1"/>
  <c r="BE93" i="1"/>
  <c r="Z93" i="1"/>
  <c r="BE92" i="1"/>
  <c r="Z92" i="1"/>
  <c r="BE91" i="1"/>
  <c r="AA91" i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Z91" i="1"/>
  <c r="BE90" i="1"/>
  <c r="Z90" i="1"/>
  <c r="BE86" i="1"/>
  <c r="BD86" i="1"/>
  <c r="AZ86" i="1"/>
  <c r="AX86" i="1"/>
  <c r="BE85" i="1"/>
  <c r="BD85" i="1"/>
  <c r="BC85" i="1"/>
  <c r="BA85" i="1"/>
  <c r="AY85" i="1"/>
  <c r="AW85" i="1"/>
  <c r="AU85" i="1"/>
  <c r="AS85" i="1"/>
  <c r="AQ85" i="1"/>
  <c r="AO85" i="1"/>
  <c r="Z85" i="1"/>
  <c r="Y85" i="1"/>
  <c r="V85" i="1"/>
  <c r="T85" i="1"/>
  <c r="S85" i="1"/>
  <c r="R85" i="1"/>
  <c r="Q85" i="1"/>
  <c r="P85" i="1"/>
  <c r="O85" i="1"/>
  <c r="M85" i="1"/>
  <c r="L85" i="1"/>
  <c r="K85" i="1"/>
  <c r="I85" i="1"/>
  <c r="F85" i="1"/>
  <c r="BE84" i="1"/>
  <c r="BD84" i="1"/>
  <c r="BC84" i="1"/>
  <c r="BA84" i="1"/>
  <c r="AY84" i="1"/>
  <c r="AW84" i="1"/>
  <c r="AU84" i="1"/>
  <c r="AS84" i="1"/>
  <c r="AQ84" i="1"/>
  <c r="AO84" i="1"/>
  <c r="Z84" i="1"/>
  <c r="Y84" i="1"/>
  <c r="V84" i="1"/>
  <c r="T84" i="1"/>
  <c r="S84" i="1"/>
  <c r="R84" i="1"/>
  <c r="Q84" i="1"/>
  <c r="P84" i="1"/>
  <c r="O84" i="1"/>
  <c r="M84" i="1"/>
  <c r="L84" i="1"/>
  <c r="K84" i="1"/>
  <c r="F84" i="1"/>
  <c r="BE83" i="1"/>
  <c r="BD83" i="1"/>
  <c r="BC83" i="1"/>
  <c r="BA83" i="1"/>
  <c r="AY83" i="1"/>
  <c r="AW83" i="1"/>
  <c r="AU83" i="1"/>
  <c r="AS83" i="1"/>
  <c r="AQ83" i="1"/>
  <c r="AO83" i="1"/>
  <c r="Z83" i="1"/>
  <c r="Y83" i="1"/>
  <c r="V83" i="1"/>
  <c r="T83" i="1"/>
  <c r="S83" i="1"/>
  <c r="R83" i="1"/>
  <c r="Q83" i="1"/>
  <c r="P83" i="1"/>
  <c r="O83" i="1"/>
  <c r="M83" i="1"/>
  <c r="L83" i="1"/>
  <c r="K83" i="1"/>
  <c r="F83" i="1"/>
  <c r="BE82" i="1"/>
  <c r="BD82" i="1"/>
  <c r="BC82" i="1"/>
  <c r="BA82" i="1"/>
  <c r="AY82" i="1"/>
  <c r="AW82" i="1"/>
  <c r="AU82" i="1"/>
  <c r="AS82" i="1"/>
  <c r="AQ82" i="1"/>
  <c r="AO82" i="1"/>
  <c r="Z82" i="1"/>
  <c r="Y82" i="1"/>
  <c r="V82" i="1"/>
  <c r="T82" i="1"/>
  <c r="S82" i="1"/>
  <c r="R82" i="1"/>
  <c r="Q82" i="1"/>
  <c r="P82" i="1"/>
  <c r="O82" i="1"/>
  <c r="M82" i="1"/>
  <c r="L82" i="1"/>
  <c r="K82" i="1"/>
  <c r="F82" i="1"/>
  <c r="BE81" i="1"/>
  <c r="BD81" i="1"/>
  <c r="BC81" i="1"/>
  <c r="BA81" i="1"/>
  <c r="AY81" i="1"/>
  <c r="AW81" i="1"/>
  <c r="AU81" i="1"/>
  <c r="AS81" i="1"/>
  <c r="AQ81" i="1"/>
  <c r="AO81" i="1"/>
  <c r="Z81" i="1"/>
  <c r="Y81" i="1"/>
  <c r="V81" i="1"/>
  <c r="T81" i="1"/>
  <c r="S81" i="1"/>
  <c r="R81" i="1"/>
  <c r="Q81" i="1"/>
  <c r="P81" i="1"/>
  <c r="O81" i="1"/>
  <c r="M81" i="1"/>
  <c r="L81" i="1"/>
  <c r="K81" i="1"/>
  <c r="F81" i="1"/>
  <c r="D81" i="1"/>
  <c r="D82" i="1" s="1"/>
  <c r="D83" i="1" s="1"/>
  <c r="D84" i="1" s="1"/>
  <c r="D85" i="1" s="1"/>
  <c r="C81" i="1"/>
  <c r="H81" i="1" s="1"/>
  <c r="BE80" i="1"/>
  <c r="BD80" i="1"/>
  <c r="BC80" i="1"/>
  <c r="BA80" i="1"/>
  <c r="AY80" i="1"/>
  <c r="AW80" i="1"/>
  <c r="AU80" i="1"/>
  <c r="AS80" i="1"/>
  <c r="AQ80" i="1"/>
  <c r="AO80" i="1"/>
  <c r="AJ80" i="1"/>
  <c r="Z80" i="1"/>
  <c r="Y80" i="1"/>
  <c r="V80" i="1"/>
  <c r="T80" i="1"/>
  <c r="S80" i="1"/>
  <c r="R80" i="1"/>
  <c r="Q80" i="1"/>
  <c r="P80" i="1"/>
  <c r="O80" i="1"/>
  <c r="M80" i="1"/>
  <c r="L80" i="1"/>
  <c r="K80" i="1"/>
  <c r="H80" i="1"/>
  <c r="F80" i="1"/>
  <c r="BE79" i="1"/>
  <c r="BE78" i="1"/>
  <c r="BD78" i="1"/>
  <c r="BC78" i="1"/>
  <c r="BA78" i="1"/>
  <c r="AY78" i="1"/>
  <c r="AW78" i="1"/>
  <c r="AU78" i="1"/>
  <c r="AS78" i="1"/>
  <c r="AQ78" i="1"/>
  <c r="AO78" i="1"/>
  <c r="Z78" i="1"/>
  <c r="Y78" i="1"/>
  <c r="V78" i="1"/>
  <c r="T78" i="1"/>
  <c r="S78" i="1"/>
  <c r="R78" i="1"/>
  <c r="Q78" i="1"/>
  <c r="P78" i="1"/>
  <c r="O78" i="1"/>
  <c r="M78" i="1"/>
  <c r="L78" i="1"/>
  <c r="K78" i="1"/>
  <c r="I78" i="1"/>
  <c r="F78" i="1"/>
  <c r="BE77" i="1"/>
  <c r="BD77" i="1"/>
  <c r="BC77" i="1"/>
  <c r="BA77" i="1"/>
  <c r="AY77" i="1"/>
  <c r="AW77" i="1"/>
  <c r="AU77" i="1"/>
  <c r="AS77" i="1"/>
  <c r="AQ77" i="1"/>
  <c r="AO77" i="1"/>
  <c r="Z77" i="1"/>
  <c r="Y77" i="1"/>
  <c r="V77" i="1"/>
  <c r="T77" i="1"/>
  <c r="S77" i="1"/>
  <c r="R77" i="1"/>
  <c r="Q77" i="1"/>
  <c r="P77" i="1"/>
  <c r="O77" i="1"/>
  <c r="M77" i="1"/>
  <c r="L77" i="1"/>
  <c r="K77" i="1"/>
  <c r="F77" i="1"/>
  <c r="BE76" i="1"/>
  <c r="BD76" i="1"/>
  <c r="BC76" i="1"/>
  <c r="BA76" i="1"/>
  <c r="AY76" i="1"/>
  <c r="AW76" i="1"/>
  <c r="AU76" i="1"/>
  <c r="AS76" i="1"/>
  <c r="AQ76" i="1"/>
  <c r="AO76" i="1"/>
  <c r="Z76" i="1"/>
  <c r="Y76" i="1"/>
  <c r="V76" i="1"/>
  <c r="T76" i="1"/>
  <c r="S76" i="1"/>
  <c r="R76" i="1"/>
  <c r="Q76" i="1"/>
  <c r="P76" i="1"/>
  <c r="O76" i="1"/>
  <c r="M76" i="1"/>
  <c r="L76" i="1"/>
  <c r="K76" i="1"/>
  <c r="F76" i="1"/>
  <c r="BE75" i="1"/>
  <c r="BD75" i="1"/>
  <c r="BC75" i="1"/>
  <c r="BA75" i="1"/>
  <c r="AY75" i="1"/>
  <c r="AW75" i="1"/>
  <c r="AU75" i="1"/>
  <c r="AS75" i="1"/>
  <c r="AQ75" i="1"/>
  <c r="AO75" i="1"/>
  <c r="Z75" i="1"/>
  <c r="Y75" i="1"/>
  <c r="V75" i="1"/>
  <c r="T75" i="1"/>
  <c r="S75" i="1"/>
  <c r="R75" i="1"/>
  <c r="Q75" i="1"/>
  <c r="P75" i="1"/>
  <c r="O75" i="1"/>
  <c r="M75" i="1"/>
  <c r="L75" i="1"/>
  <c r="K75" i="1"/>
  <c r="F75" i="1"/>
  <c r="BE74" i="1"/>
  <c r="BD74" i="1"/>
  <c r="BC74" i="1"/>
  <c r="BA74" i="1"/>
  <c r="AY74" i="1"/>
  <c r="AW74" i="1"/>
  <c r="AU74" i="1"/>
  <c r="AS74" i="1"/>
  <c r="AQ74" i="1"/>
  <c r="AO74" i="1"/>
  <c r="Z74" i="1"/>
  <c r="Y74" i="1"/>
  <c r="V74" i="1"/>
  <c r="T74" i="1"/>
  <c r="S74" i="1"/>
  <c r="R74" i="1"/>
  <c r="Q74" i="1"/>
  <c r="P74" i="1"/>
  <c r="O74" i="1"/>
  <c r="M74" i="1"/>
  <c r="L74" i="1"/>
  <c r="K74" i="1"/>
  <c r="F74" i="1"/>
  <c r="D74" i="1"/>
  <c r="D75" i="1" s="1"/>
  <c r="D76" i="1" s="1"/>
  <c r="D77" i="1" s="1"/>
  <c r="D78" i="1" s="1"/>
  <c r="C74" i="1"/>
  <c r="H74" i="1" s="1"/>
  <c r="BE73" i="1"/>
  <c r="BD73" i="1"/>
  <c r="BC73" i="1"/>
  <c r="BA73" i="1"/>
  <c r="AY73" i="1"/>
  <c r="AW73" i="1"/>
  <c r="AU73" i="1"/>
  <c r="AS73" i="1"/>
  <c r="AQ73" i="1"/>
  <c r="AO73" i="1"/>
  <c r="AJ73" i="1"/>
  <c r="Z73" i="1"/>
  <c r="Y73" i="1"/>
  <c r="V73" i="1"/>
  <c r="T73" i="1"/>
  <c r="S73" i="1"/>
  <c r="R73" i="1"/>
  <c r="Q73" i="1"/>
  <c r="P73" i="1"/>
  <c r="O73" i="1"/>
  <c r="M73" i="1"/>
  <c r="L73" i="1"/>
  <c r="K73" i="1"/>
  <c r="H73" i="1"/>
  <c r="F73" i="1"/>
  <c r="BE70" i="1"/>
  <c r="Z70" i="1"/>
  <c r="BE69" i="1"/>
  <c r="Z69" i="1"/>
  <c r="BE68" i="1"/>
  <c r="Z68" i="1"/>
  <c r="BE67" i="1"/>
  <c r="Z67" i="1"/>
  <c r="BE66" i="1"/>
  <c r="Z66" i="1"/>
  <c r="BE65" i="1"/>
  <c r="Z65" i="1"/>
  <c r="BE64" i="1"/>
  <c r="Z64" i="1"/>
  <c r="BE63" i="1"/>
  <c r="Z63" i="1"/>
  <c r="BE62" i="1"/>
  <c r="Z62" i="1"/>
  <c r="BE61" i="1"/>
  <c r="Z61" i="1"/>
  <c r="BE60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Z60" i="1"/>
  <c r="BE59" i="1"/>
  <c r="Z59" i="1"/>
  <c r="BE55" i="1"/>
  <c r="BD55" i="1"/>
  <c r="AZ55" i="1"/>
  <c r="AX55" i="1"/>
  <c r="BE54" i="1"/>
  <c r="BD54" i="1"/>
  <c r="BC54" i="1"/>
  <c r="BA54" i="1"/>
  <c r="AY54" i="1"/>
  <c r="AW54" i="1"/>
  <c r="AU54" i="1"/>
  <c r="AS54" i="1"/>
  <c r="AQ54" i="1"/>
  <c r="AO54" i="1"/>
  <c r="Z54" i="1"/>
  <c r="Y54" i="1"/>
  <c r="V54" i="1"/>
  <c r="T54" i="1"/>
  <c r="S54" i="1"/>
  <c r="R54" i="1"/>
  <c r="Q54" i="1"/>
  <c r="P54" i="1"/>
  <c r="O54" i="1"/>
  <c r="M54" i="1"/>
  <c r="L54" i="1"/>
  <c r="K54" i="1"/>
  <c r="I54" i="1"/>
  <c r="F54" i="1"/>
  <c r="BE53" i="1"/>
  <c r="BD53" i="1"/>
  <c r="BC53" i="1"/>
  <c r="BA53" i="1"/>
  <c r="AY53" i="1"/>
  <c r="AW53" i="1"/>
  <c r="AU53" i="1"/>
  <c r="AS53" i="1"/>
  <c r="AQ53" i="1"/>
  <c r="AO53" i="1"/>
  <c r="Z53" i="1"/>
  <c r="Y53" i="1"/>
  <c r="V53" i="1"/>
  <c r="T53" i="1"/>
  <c r="S53" i="1"/>
  <c r="R53" i="1"/>
  <c r="Q53" i="1"/>
  <c r="P53" i="1"/>
  <c r="O53" i="1"/>
  <c r="M53" i="1"/>
  <c r="L53" i="1"/>
  <c r="K53" i="1"/>
  <c r="F53" i="1"/>
  <c r="BE52" i="1"/>
  <c r="BD52" i="1"/>
  <c r="BC52" i="1"/>
  <c r="BA52" i="1"/>
  <c r="AY52" i="1"/>
  <c r="AW52" i="1"/>
  <c r="AU52" i="1"/>
  <c r="AS52" i="1"/>
  <c r="AQ52" i="1"/>
  <c r="AO52" i="1"/>
  <c r="Z52" i="1"/>
  <c r="Y52" i="1"/>
  <c r="V52" i="1"/>
  <c r="T52" i="1"/>
  <c r="S52" i="1"/>
  <c r="R52" i="1"/>
  <c r="Q52" i="1"/>
  <c r="P52" i="1"/>
  <c r="O52" i="1"/>
  <c r="M52" i="1"/>
  <c r="L52" i="1"/>
  <c r="K52" i="1"/>
  <c r="F52" i="1"/>
  <c r="BE51" i="1"/>
  <c r="BD51" i="1"/>
  <c r="BC51" i="1"/>
  <c r="BA51" i="1"/>
  <c r="AY51" i="1"/>
  <c r="AW51" i="1"/>
  <c r="AU51" i="1"/>
  <c r="AS51" i="1"/>
  <c r="AQ51" i="1"/>
  <c r="AO51" i="1"/>
  <c r="Z51" i="1"/>
  <c r="Y51" i="1"/>
  <c r="V51" i="1"/>
  <c r="T51" i="1"/>
  <c r="S51" i="1"/>
  <c r="R51" i="1"/>
  <c r="Q51" i="1"/>
  <c r="P51" i="1"/>
  <c r="O51" i="1"/>
  <c r="M51" i="1"/>
  <c r="L51" i="1"/>
  <c r="K51" i="1"/>
  <c r="F51" i="1"/>
  <c r="BE50" i="1"/>
  <c r="BD50" i="1"/>
  <c r="BC50" i="1"/>
  <c r="BA50" i="1"/>
  <c r="AY50" i="1"/>
  <c r="AW50" i="1"/>
  <c r="AU50" i="1"/>
  <c r="AS50" i="1"/>
  <c r="AQ50" i="1"/>
  <c r="AO50" i="1"/>
  <c r="Z50" i="1"/>
  <c r="Y50" i="1"/>
  <c r="V50" i="1"/>
  <c r="T50" i="1"/>
  <c r="S50" i="1"/>
  <c r="R50" i="1"/>
  <c r="Q50" i="1"/>
  <c r="P50" i="1"/>
  <c r="O50" i="1"/>
  <c r="M50" i="1"/>
  <c r="L50" i="1"/>
  <c r="K50" i="1"/>
  <c r="F50" i="1"/>
  <c r="D50" i="1"/>
  <c r="D51" i="1" s="1"/>
  <c r="D52" i="1" s="1"/>
  <c r="D53" i="1" s="1"/>
  <c r="D54" i="1" s="1"/>
  <c r="C50" i="1"/>
  <c r="BE49" i="1"/>
  <c r="BD49" i="1"/>
  <c r="BC49" i="1"/>
  <c r="BA49" i="1"/>
  <c r="AY49" i="1"/>
  <c r="AW49" i="1"/>
  <c r="AU49" i="1"/>
  <c r="AS49" i="1"/>
  <c r="AQ49" i="1"/>
  <c r="AO49" i="1"/>
  <c r="AJ49" i="1"/>
  <c r="Z49" i="1"/>
  <c r="Y49" i="1"/>
  <c r="V49" i="1"/>
  <c r="T49" i="1"/>
  <c r="S49" i="1"/>
  <c r="R49" i="1"/>
  <c r="Q49" i="1"/>
  <c r="P49" i="1"/>
  <c r="O49" i="1"/>
  <c r="M49" i="1"/>
  <c r="L49" i="1"/>
  <c r="K49" i="1"/>
  <c r="H49" i="1"/>
  <c r="F49" i="1"/>
  <c r="BE48" i="1"/>
  <c r="BE47" i="1"/>
  <c r="BD47" i="1"/>
  <c r="BC47" i="1"/>
  <c r="BA47" i="1"/>
  <c r="AY47" i="1"/>
  <c r="AW47" i="1"/>
  <c r="AU47" i="1"/>
  <c r="AS47" i="1"/>
  <c r="AQ47" i="1"/>
  <c r="AO47" i="1"/>
  <c r="Z47" i="1"/>
  <c r="Y47" i="1"/>
  <c r="V47" i="1"/>
  <c r="T47" i="1"/>
  <c r="S47" i="1"/>
  <c r="R47" i="1"/>
  <c r="Q47" i="1"/>
  <c r="P47" i="1"/>
  <c r="O47" i="1"/>
  <c r="M47" i="1"/>
  <c r="L47" i="1"/>
  <c r="K47" i="1"/>
  <c r="I47" i="1"/>
  <c r="F47" i="1"/>
  <c r="BE46" i="1"/>
  <c r="BD46" i="1"/>
  <c r="BC46" i="1"/>
  <c r="BA46" i="1"/>
  <c r="AY46" i="1"/>
  <c r="AW46" i="1"/>
  <c r="AU46" i="1"/>
  <c r="AS46" i="1"/>
  <c r="AQ46" i="1"/>
  <c r="AO46" i="1"/>
  <c r="Z46" i="1"/>
  <c r="Y46" i="1"/>
  <c r="V46" i="1"/>
  <c r="T46" i="1"/>
  <c r="S46" i="1"/>
  <c r="R46" i="1"/>
  <c r="Q46" i="1"/>
  <c r="P46" i="1"/>
  <c r="O46" i="1"/>
  <c r="M46" i="1"/>
  <c r="L46" i="1"/>
  <c r="K46" i="1"/>
  <c r="F46" i="1"/>
  <c r="BE45" i="1"/>
  <c r="BD45" i="1"/>
  <c r="BC45" i="1"/>
  <c r="BA45" i="1"/>
  <c r="AY45" i="1"/>
  <c r="AW45" i="1"/>
  <c r="AU45" i="1"/>
  <c r="AS45" i="1"/>
  <c r="AQ45" i="1"/>
  <c r="AO45" i="1"/>
  <c r="Z45" i="1"/>
  <c r="Y45" i="1"/>
  <c r="V45" i="1"/>
  <c r="T45" i="1"/>
  <c r="S45" i="1"/>
  <c r="R45" i="1"/>
  <c r="Q45" i="1"/>
  <c r="P45" i="1"/>
  <c r="O45" i="1"/>
  <c r="M45" i="1"/>
  <c r="L45" i="1"/>
  <c r="K45" i="1"/>
  <c r="F45" i="1"/>
  <c r="BE44" i="1"/>
  <c r="BD44" i="1"/>
  <c r="BC44" i="1"/>
  <c r="BA44" i="1"/>
  <c r="AY44" i="1"/>
  <c r="AW44" i="1"/>
  <c r="AU44" i="1"/>
  <c r="AS44" i="1"/>
  <c r="AQ44" i="1"/>
  <c r="AO44" i="1"/>
  <c r="Z44" i="1"/>
  <c r="Y44" i="1"/>
  <c r="V44" i="1"/>
  <c r="T44" i="1"/>
  <c r="S44" i="1"/>
  <c r="R44" i="1"/>
  <c r="Q44" i="1"/>
  <c r="P44" i="1"/>
  <c r="O44" i="1"/>
  <c r="M44" i="1"/>
  <c r="L44" i="1"/>
  <c r="K44" i="1"/>
  <c r="F44" i="1"/>
  <c r="BE43" i="1"/>
  <c r="BD43" i="1"/>
  <c r="BC43" i="1"/>
  <c r="BA43" i="1"/>
  <c r="AY43" i="1"/>
  <c r="AW43" i="1"/>
  <c r="AU43" i="1"/>
  <c r="AS43" i="1"/>
  <c r="AQ43" i="1"/>
  <c r="AO43" i="1"/>
  <c r="Z43" i="1"/>
  <c r="Y43" i="1"/>
  <c r="V43" i="1"/>
  <c r="T43" i="1"/>
  <c r="S43" i="1"/>
  <c r="R43" i="1"/>
  <c r="Q43" i="1"/>
  <c r="P43" i="1"/>
  <c r="O43" i="1"/>
  <c r="M43" i="1"/>
  <c r="L43" i="1"/>
  <c r="K43" i="1"/>
  <c r="H43" i="1"/>
  <c r="F43" i="1"/>
  <c r="D43" i="1"/>
  <c r="D44" i="1" s="1"/>
  <c r="D45" i="1" s="1"/>
  <c r="D46" i="1" s="1"/>
  <c r="D47" i="1" s="1"/>
  <c r="C43" i="1"/>
  <c r="C44" i="1" s="1"/>
  <c r="BE42" i="1"/>
  <c r="BD42" i="1"/>
  <c r="BC42" i="1"/>
  <c r="BA42" i="1"/>
  <c r="AY42" i="1"/>
  <c r="AW42" i="1"/>
  <c r="AU42" i="1"/>
  <c r="AS42" i="1"/>
  <c r="AQ42" i="1"/>
  <c r="AO42" i="1"/>
  <c r="AJ42" i="1"/>
  <c r="Z42" i="1"/>
  <c r="Y42" i="1"/>
  <c r="V42" i="1"/>
  <c r="T42" i="1"/>
  <c r="S42" i="1"/>
  <c r="R42" i="1"/>
  <c r="Q42" i="1"/>
  <c r="P42" i="1"/>
  <c r="O42" i="1"/>
  <c r="M42" i="1"/>
  <c r="L42" i="1"/>
  <c r="K42" i="1"/>
  <c r="H42" i="1"/>
  <c r="F42" i="1"/>
  <c r="BE39" i="1"/>
  <c r="Z39" i="1"/>
  <c r="BE38" i="1"/>
  <c r="Z38" i="1"/>
  <c r="BE37" i="1"/>
  <c r="Z37" i="1"/>
  <c r="BE36" i="1"/>
  <c r="Z36" i="1"/>
  <c r="BE35" i="1"/>
  <c r="Z35" i="1"/>
  <c r="BE34" i="1"/>
  <c r="Z34" i="1"/>
  <c r="BE33" i="1"/>
  <c r="Z33" i="1"/>
  <c r="BE32" i="1"/>
  <c r="Z32" i="1"/>
  <c r="BE31" i="1"/>
  <c r="Z31" i="1"/>
  <c r="BE30" i="1"/>
  <c r="AA30" i="1"/>
  <c r="AA31" i="1" s="1"/>
  <c r="AA32" i="1" s="1"/>
  <c r="AA33" i="1" s="1"/>
  <c r="AA34" i="1" s="1"/>
  <c r="AA35" i="1" s="1"/>
  <c r="AA36" i="1" s="1"/>
  <c r="AA37" i="1" s="1"/>
  <c r="AA38" i="1" s="1"/>
  <c r="AA39" i="1" s="1"/>
  <c r="Z30" i="1"/>
  <c r="BE29" i="1"/>
  <c r="AA29" i="1"/>
  <c r="Z29" i="1"/>
  <c r="BE28" i="1"/>
  <c r="Z28" i="1"/>
  <c r="BE24" i="1"/>
  <c r="BD24" i="1"/>
  <c r="AZ24" i="1"/>
  <c r="AX24" i="1"/>
  <c r="BE23" i="1"/>
  <c r="BD23" i="1"/>
  <c r="BC23" i="1"/>
  <c r="BA23" i="1"/>
  <c r="AY23" i="1"/>
  <c r="AW23" i="1"/>
  <c r="AU23" i="1"/>
  <c r="AS23" i="1"/>
  <c r="AQ23" i="1"/>
  <c r="AO23" i="1"/>
  <c r="Z23" i="1"/>
  <c r="Y23" i="1"/>
  <c r="V23" i="1"/>
  <c r="T23" i="1"/>
  <c r="S23" i="1"/>
  <c r="R23" i="1"/>
  <c r="Q23" i="1"/>
  <c r="P23" i="1"/>
  <c r="O23" i="1"/>
  <c r="M23" i="1"/>
  <c r="L23" i="1"/>
  <c r="K23" i="1"/>
  <c r="I23" i="1"/>
  <c r="F23" i="1"/>
  <c r="BE22" i="1"/>
  <c r="BD22" i="1"/>
  <c r="BC22" i="1"/>
  <c r="BA22" i="1"/>
  <c r="AY22" i="1"/>
  <c r="AW22" i="1"/>
  <c r="AU22" i="1"/>
  <c r="AS22" i="1"/>
  <c r="AQ22" i="1"/>
  <c r="AO22" i="1"/>
  <c r="Z22" i="1"/>
  <c r="Y22" i="1"/>
  <c r="V22" i="1"/>
  <c r="T22" i="1"/>
  <c r="S22" i="1"/>
  <c r="R22" i="1"/>
  <c r="Q22" i="1"/>
  <c r="P22" i="1"/>
  <c r="O22" i="1"/>
  <c r="M22" i="1"/>
  <c r="L22" i="1"/>
  <c r="K22" i="1"/>
  <c r="F22" i="1"/>
  <c r="BE21" i="1"/>
  <c r="BD21" i="1"/>
  <c r="BC21" i="1"/>
  <c r="BA21" i="1"/>
  <c r="AY21" i="1"/>
  <c r="AW21" i="1"/>
  <c r="AU21" i="1"/>
  <c r="AS21" i="1"/>
  <c r="AQ21" i="1"/>
  <c r="AO21" i="1"/>
  <c r="Z21" i="1"/>
  <c r="Y21" i="1"/>
  <c r="V21" i="1"/>
  <c r="T21" i="1"/>
  <c r="S21" i="1"/>
  <c r="R21" i="1"/>
  <c r="Q21" i="1"/>
  <c r="P21" i="1"/>
  <c r="O21" i="1"/>
  <c r="M21" i="1"/>
  <c r="L21" i="1"/>
  <c r="K21" i="1"/>
  <c r="F21" i="1"/>
  <c r="BE20" i="1"/>
  <c r="BD20" i="1"/>
  <c r="BC20" i="1"/>
  <c r="BA20" i="1"/>
  <c r="AY20" i="1"/>
  <c r="AW20" i="1"/>
  <c r="AU20" i="1"/>
  <c r="AS20" i="1"/>
  <c r="AQ20" i="1"/>
  <c r="AO20" i="1"/>
  <c r="Z20" i="1"/>
  <c r="Y20" i="1"/>
  <c r="V20" i="1"/>
  <c r="T20" i="1"/>
  <c r="S20" i="1"/>
  <c r="R20" i="1"/>
  <c r="Q20" i="1"/>
  <c r="P20" i="1"/>
  <c r="O20" i="1"/>
  <c r="M20" i="1"/>
  <c r="L20" i="1"/>
  <c r="K20" i="1"/>
  <c r="F20" i="1"/>
  <c r="BE19" i="1"/>
  <c r="BD19" i="1"/>
  <c r="BC19" i="1"/>
  <c r="BA19" i="1"/>
  <c r="AY19" i="1"/>
  <c r="AW19" i="1"/>
  <c r="AU19" i="1"/>
  <c r="AS19" i="1"/>
  <c r="AQ19" i="1"/>
  <c r="AO19" i="1"/>
  <c r="Z19" i="1"/>
  <c r="Y19" i="1"/>
  <c r="V19" i="1"/>
  <c r="T19" i="1"/>
  <c r="S19" i="1"/>
  <c r="R19" i="1"/>
  <c r="Q19" i="1"/>
  <c r="P19" i="1"/>
  <c r="O19" i="1"/>
  <c r="M19" i="1"/>
  <c r="L19" i="1"/>
  <c r="K19" i="1"/>
  <c r="F19" i="1"/>
  <c r="D19" i="1"/>
  <c r="D20" i="1" s="1"/>
  <c r="D21" i="1" s="1"/>
  <c r="D22" i="1" s="1"/>
  <c r="D23" i="1" s="1"/>
  <c r="C19" i="1"/>
  <c r="BE18" i="1"/>
  <c r="BD18" i="1"/>
  <c r="BC18" i="1"/>
  <c r="BA18" i="1"/>
  <c r="AY18" i="1"/>
  <c r="AW18" i="1"/>
  <c r="AU18" i="1"/>
  <c r="AS18" i="1"/>
  <c r="AQ18" i="1"/>
  <c r="AO18" i="1"/>
  <c r="AJ18" i="1"/>
  <c r="Z18" i="1"/>
  <c r="Y18" i="1"/>
  <c r="V18" i="1"/>
  <c r="T18" i="1"/>
  <c r="S18" i="1"/>
  <c r="R18" i="1"/>
  <c r="Q18" i="1"/>
  <c r="P18" i="1"/>
  <c r="O18" i="1"/>
  <c r="M18" i="1"/>
  <c r="L18" i="1"/>
  <c r="K18" i="1"/>
  <c r="H18" i="1"/>
  <c r="F18" i="1"/>
  <c r="BE17" i="1"/>
  <c r="BE16" i="1"/>
  <c r="BD16" i="1"/>
  <c r="BC16" i="1"/>
  <c r="BA16" i="1"/>
  <c r="AY16" i="1"/>
  <c r="AW16" i="1"/>
  <c r="AU16" i="1"/>
  <c r="AS16" i="1"/>
  <c r="AQ16" i="1"/>
  <c r="AO16" i="1"/>
  <c r="Z16" i="1"/>
  <c r="Y16" i="1"/>
  <c r="V16" i="1"/>
  <c r="T16" i="1"/>
  <c r="S16" i="1"/>
  <c r="R16" i="1"/>
  <c r="Q16" i="1"/>
  <c r="P16" i="1"/>
  <c r="O16" i="1"/>
  <c r="M16" i="1"/>
  <c r="L16" i="1"/>
  <c r="K16" i="1"/>
  <c r="I16" i="1"/>
  <c r="F16" i="1"/>
  <c r="BE15" i="1"/>
  <c r="BD15" i="1"/>
  <c r="BC15" i="1"/>
  <c r="BA15" i="1"/>
  <c r="AY15" i="1"/>
  <c r="AW15" i="1"/>
  <c r="AU15" i="1"/>
  <c r="AS15" i="1"/>
  <c r="AQ15" i="1"/>
  <c r="AO15" i="1"/>
  <c r="Z15" i="1"/>
  <c r="Y15" i="1"/>
  <c r="V15" i="1"/>
  <c r="T15" i="1"/>
  <c r="S15" i="1"/>
  <c r="R15" i="1"/>
  <c r="Q15" i="1"/>
  <c r="P15" i="1"/>
  <c r="O15" i="1"/>
  <c r="M15" i="1"/>
  <c r="L15" i="1"/>
  <c r="K15" i="1"/>
  <c r="F15" i="1"/>
  <c r="BE14" i="1"/>
  <c r="BD14" i="1"/>
  <c r="BC14" i="1"/>
  <c r="BA14" i="1"/>
  <c r="AY14" i="1"/>
  <c r="AW14" i="1"/>
  <c r="AU14" i="1"/>
  <c r="AS14" i="1"/>
  <c r="AQ14" i="1"/>
  <c r="AO14" i="1"/>
  <c r="Z14" i="1"/>
  <c r="Y14" i="1"/>
  <c r="V14" i="1"/>
  <c r="T14" i="1"/>
  <c r="S14" i="1"/>
  <c r="R14" i="1"/>
  <c r="Q14" i="1"/>
  <c r="P14" i="1"/>
  <c r="O14" i="1"/>
  <c r="M14" i="1"/>
  <c r="L14" i="1"/>
  <c r="K14" i="1"/>
  <c r="F14" i="1"/>
  <c r="BE13" i="1"/>
  <c r="BD13" i="1"/>
  <c r="BC13" i="1"/>
  <c r="BA13" i="1"/>
  <c r="AY13" i="1"/>
  <c r="AW13" i="1"/>
  <c r="AU13" i="1"/>
  <c r="AS13" i="1"/>
  <c r="AQ13" i="1"/>
  <c r="AO13" i="1"/>
  <c r="Z13" i="1"/>
  <c r="Y13" i="1"/>
  <c r="V13" i="1"/>
  <c r="T13" i="1"/>
  <c r="S13" i="1"/>
  <c r="R13" i="1"/>
  <c r="Q13" i="1"/>
  <c r="P13" i="1"/>
  <c r="O13" i="1"/>
  <c r="M13" i="1"/>
  <c r="L13" i="1"/>
  <c r="K13" i="1"/>
  <c r="F13" i="1"/>
  <c r="BE12" i="1"/>
  <c r="BD12" i="1"/>
  <c r="BC12" i="1"/>
  <c r="BA12" i="1"/>
  <c r="AY12" i="1"/>
  <c r="AW12" i="1"/>
  <c r="AU12" i="1"/>
  <c r="AS12" i="1"/>
  <c r="AQ12" i="1"/>
  <c r="AO12" i="1"/>
  <c r="Z12" i="1"/>
  <c r="Y12" i="1"/>
  <c r="V12" i="1"/>
  <c r="T12" i="1"/>
  <c r="S12" i="1"/>
  <c r="R12" i="1"/>
  <c r="Q12" i="1"/>
  <c r="P12" i="1"/>
  <c r="O12" i="1"/>
  <c r="M12" i="1"/>
  <c r="L12" i="1"/>
  <c r="K12" i="1"/>
  <c r="F12" i="1"/>
  <c r="D12" i="1"/>
  <c r="D13" i="1" s="1"/>
  <c r="D14" i="1" s="1"/>
  <c r="D15" i="1" s="1"/>
  <c r="D16" i="1" s="1"/>
  <c r="C12" i="1"/>
  <c r="BE11" i="1"/>
  <c r="BD11" i="1"/>
  <c r="AJ11" i="1"/>
  <c r="T11" i="1"/>
  <c r="S11" i="1"/>
  <c r="R11" i="1"/>
  <c r="Q11" i="1"/>
  <c r="P11" i="1"/>
  <c r="O11" i="1"/>
  <c r="M11" i="1"/>
  <c r="L11" i="1"/>
  <c r="K11" i="1"/>
  <c r="H11" i="1"/>
  <c r="F11" i="1"/>
  <c r="AF24" i="1"/>
  <c r="AF41" i="1" s="1"/>
  <c r="AF55" i="1" s="1"/>
  <c r="AF72" i="1" s="1"/>
  <c r="AF86" i="1" s="1"/>
  <c r="AF103" i="1" s="1"/>
  <c r="AF117" i="1" s="1"/>
  <c r="AF134" i="1" s="1"/>
  <c r="AF148" i="1" s="1"/>
  <c r="AF165" i="1" s="1"/>
  <c r="AF179" i="1" s="1"/>
  <c r="AE24" i="1"/>
  <c r="AE41" i="1" s="1"/>
  <c r="AE55" i="1" s="1"/>
  <c r="AE72" i="1" s="1"/>
  <c r="AE86" i="1" s="1"/>
  <c r="AE103" i="1" s="1"/>
  <c r="AE117" i="1" s="1"/>
  <c r="AE134" i="1" s="1"/>
  <c r="AE148" i="1" s="1"/>
  <c r="AE165" i="1" s="1"/>
  <c r="AE179" i="1" s="1"/>
  <c r="AD24" i="1"/>
  <c r="AD41" i="1" s="1"/>
  <c r="AD55" i="1" s="1"/>
  <c r="AD72" i="1" s="1"/>
  <c r="AD86" i="1" s="1"/>
  <c r="AD103" i="1" s="1"/>
  <c r="AD117" i="1" s="1"/>
  <c r="AD134" i="1" s="1"/>
  <c r="AD148" i="1" s="1"/>
  <c r="AD165" i="1" s="1"/>
  <c r="AD179" i="1" s="1"/>
  <c r="AC24" i="1"/>
  <c r="AC41" i="1" s="1"/>
  <c r="AC55" i="1" s="1"/>
  <c r="AC72" i="1" s="1"/>
  <c r="AC86" i="1" s="1"/>
  <c r="AC103" i="1" s="1"/>
  <c r="AC117" i="1" s="1"/>
  <c r="AC134" i="1" s="1"/>
  <c r="AC148" i="1" s="1"/>
  <c r="AC165" i="1" s="1"/>
  <c r="AC179" i="1" s="1"/>
  <c r="AB24" i="1"/>
  <c r="AB41" i="1" s="1"/>
  <c r="AB55" i="1" s="1"/>
  <c r="AB72" i="1" s="1"/>
  <c r="AB86" i="1" s="1"/>
  <c r="AB103" i="1" s="1"/>
  <c r="AB117" i="1" s="1"/>
  <c r="AB134" i="1" s="1"/>
  <c r="AB148" i="1" s="1"/>
  <c r="AB165" i="1" s="1"/>
  <c r="AB179" i="1" s="1"/>
  <c r="AA24" i="1"/>
  <c r="AA41" i="1" s="1"/>
  <c r="AA55" i="1" s="1"/>
  <c r="AA72" i="1" s="1"/>
  <c r="AA86" i="1" s="1"/>
  <c r="AA103" i="1" s="1"/>
  <c r="AA117" i="1" s="1"/>
  <c r="AA134" i="1" s="1"/>
  <c r="AA148" i="1" s="1"/>
  <c r="AA165" i="1" s="1"/>
  <c r="AA179" i="1" s="1"/>
  <c r="BE256" i="1"/>
  <c r="Z256" i="1"/>
  <c r="BE255" i="1"/>
  <c r="Z255" i="1"/>
  <c r="BE254" i="1"/>
  <c r="Z254" i="1"/>
  <c r="BE253" i="1"/>
  <c r="Z253" i="1"/>
  <c r="BE252" i="1"/>
  <c r="Z252" i="1"/>
  <c r="BE251" i="1"/>
  <c r="Z251" i="1"/>
  <c r="BE250" i="1"/>
  <c r="Z250" i="1"/>
  <c r="BE249" i="1"/>
  <c r="Z249" i="1"/>
  <c r="BE248" i="1"/>
  <c r="Z248" i="1"/>
  <c r="BE247" i="1"/>
  <c r="Z247" i="1"/>
  <c r="BE246" i="1"/>
  <c r="AA246" i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Z246" i="1"/>
  <c r="BE245" i="1"/>
  <c r="Z245" i="1"/>
  <c r="BE241" i="1"/>
  <c r="BD241" i="1"/>
  <c r="AZ241" i="1"/>
  <c r="AX241" i="1"/>
  <c r="BE240" i="1"/>
  <c r="BD240" i="1"/>
  <c r="BC240" i="1"/>
  <c r="BA240" i="1"/>
  <c r="AY240" i="1"/>
  <c r="AW240" i="1"/>
  <c r="AU240" i="1"/>
  <c r="AS240" i="1"/>
  <c r="AQ240" i="1"/>
  <c r="AO240" i="1"/>
  <c r="Z240" i="1"/>
  <c r="Y240" i="1"/>
  <c r="V240" i="1"/>
  <c r="T240" i="1"/>
  <c r="S240" i="1"/>
  <c r="R240" i="1"/>
  <c r="Q240" i="1"/>
  <c r="P240" i="1"/>
  <c r="O240" i="1"/>
  <c r="M240" i="1"/>
  <c r="L240" i="1"/>
  <c r="K240" i="1"/>
  <c r="I240" i="1"/>
  <c r="F240" i="1"/>
  <c r="BE239" i="1"/>
  <c r="BD239" i="1"/>
  <c r="BC239" i="1"/>
  <c r="BA239" i="1"/>
  <c r="AY239" i="1"/>
  <c r="AW239" i="1"/>
  <c r="AU239" i="1"/>
  <c r="AS239" i="1"/>
  <c r="AQ239" i="1"/>
  <c r="AO239" i="1"/>
  <c r="Z239" i="1"/>
  <c r="Y239" i="1"/>
  <c r="V239" i="1"/>
  <c r="T239" i="1"/>
  <c r="S239" i="1"/>
  <c r="R239" i="1"/>
  <c r="Q239" i="1"/>
  <c r="P239" i="1"/>
  <c r="O239" i="1"/>
  <c r="M239" i="1"/>
  <c r="L239" i="1"/>
  <c r="K239" i="1"/>
  <c r="F239" i="1"/>
  <c r="BE238" i="1"/>
  <c r="BD238" i="1"/>
  <c r="BC238" i="1"/>
  <c r="BA238" i="1"/>
  <c r="AY238" i="1"/>
  <c r="AW238" i="1"/>
  <c r="AU238" i="1"/>
  <c r="AS238" i="1"/>
  <c r="AQ238" i="1"/>
  <c r="AO238" i="1"/>
  <c r="Z238" i="1"/>
  <c r="Y238" i="1"/>
  <c r="V238" i="1"/>
  <c r="T238" i="1"/>
  <c r="S238" i="1"/>
  <c r="R238" i="1"/>
  <c r="Q238" i="1"/>
  <c r="P238" i="1"/>
  <c r="O238" i="1"/>
  <c r="M238" i="1"/>
  <c r="L238" i="1"/>
  <c r="K238" i="1"/>
  <c r="F238" i="1"/>
  <c r="BE237" i="1"/>
  <c r="BD237" i="1"/>
  <c r="BC237" i="1"/>
  <c r="BA237" i="1"/>
  <c r="AY237" i="1"/>
  <c r="AW237" i="1"/>
  <c r="AU237" i="1"/>
  <c r="AS237" i="1"/>
  <c r="AQ237" i="1"/>
  <c r="AO237" i="1"/>
  <c r="Z237" i="1"/>
  <c r="Y237" i="1"/>
  <c r="V237" i="1"/>
  <c r="T237" i="1"/>
  <c r="S237" i="1"/>
  <c r="R237" i="1"/>
  <c r="Q237" i="1"/>
  <c r="P237" i="1"/>
  <c r="O237" i="1"/>
  <c r="M237" i="1"/>
  <c r="L237" i="1"/>
  <c r="K237" i="1"/>
  <c r="F237" i="1"/>
  <c r="BE236" i="1"/>
  <c r="BD236" i="1"/>
  <c r="BC236" i="1"/>
  <c r="BA236" i="1"/>
  <c r="AY236" i="1"/>
  <c r="AW236" i="1"/>
  <c r="AU236" i="1"/>
  <c r="AS236" i="1"/>
  <c r="AQ236" i="1"/>
  <c r="AO236" i="1"/>
  <c r="Z236" i="1"/>
  <c r="Y236" i="1"/>
  <c r="V236" i="1"/>
  <c r="T236" i="1"/>
  <c r="S236" i="1"/>
  <c r="R236" i="1"/>
  <c r="Q236" i="1"/>
  <c r="P236" i="1"/>
  <c r="O236" i="1"/>
  <c r="M236" i="1"/>
  <c r="L236" i="1"/>
  <c r="K236" i="1"/>
  <c r="F236" i="1"/>
  <c r="D236" i="1"/>
  <c r="D237" i="1" s="1"/>
  <c r="D238" i="1" s="1"/>
  <c r="D239" i="1" s="1"/>
  <c r="D240" i="1" s="1"/>
  <c r="C236" i="1"/>
  <c r="BE235" i="1"/>
  <c r="BD235" i="1"/>
  <c r="BC235" i="1"/>
  <c r="BA235" i="1"/>
  <c r="AY235" i="1"/>
  <c r="AW235" i="1"/>
  <c r="AU235" i="1"/>
  <c r="AS235" i="1"/>
  <c r="AQ235" i="1"/>
  <c r="AO235" i="1"/>
  <c r="AJ235" i="1"/>
  <c r="Z235" i="1"/>
  <c r="Y235" i="1"/>
  <c r="V235" i="1"/>
  <c r="T235" i="1"/>
  <c r="S235" i="1"/>
  <c r="R235" i="1"/>
  <c r="Q235" i="1"/>
  <c r="P235" i="1"/>
  <c r="O235" i="1"/>
  <c r="M235" i="1"/>
  <c r="L235" i="1"/>
  <c r="K235" i="1"/>
  <c r="H235" i="1"/>
  <c r="F235" i="1"/>
  <c r="BE234" i="1"/>
  <c r="BE233" i="1"/>
  <c r="BD233" i="1"/>
  <c r="BC233" i="1"/>
  <c r="BA233" i="1"/>
  <c r="AY233" i="1"/>
  <c r="AW233" i="1"/>
  <c r="AU233" i="1"/>
  <c r="AS233" i="1"/>
  <c r="AQ233" i="1"/>
  <c r="AO233" i="1"/>
  <c r="Z233" i="1"/>
  <c r="Y233" i="1"/>
  <c r="V233" i="1"/>
  <c r="T233" i="1"/>
  <c r="S233" i="1"/>
  <c r="R233" i="1"/>
  <c r="Q233" i="1"/>
  <c r="P233" i="1"/>
  <c r="O233" i="1"/>
  <c r="M233" i="1"/>
  <c r="L233" i="1"/>
  <c r="K233" i="1"/>
  <c r="I233" i="1"/>
  <c r="F233" i="1"/>
  <c r="BE232" i="1"/>
  <c r="BD232" i="1"/>
  <c r="BC232" i="1"/>
  <c r="BA232" i="1"/>
  <c r="AY232" i="1"/>
  <c r="AW232" i="1"/>
  <c r="AU232" i="1"/>
  <c r="AS232" i="1"/>
  <c r="AQ232" i="1"/>
  <c r="AO232" i="1"/>
  <c r="Z232" i="1"/>
  <c r="Y232" i="1"/>
  <c r="V232" i="1"/>
  <c r="T232" i="1"/>
  <c r="S232" i="1"/>
  <c r="R232" i="1"/>
  <c r="Q232" i="1"/>
  <c r="P232" i="1"/>
  <c r="O232" i="1"/>
  <c r="M232" i="1"/>
  <c r="L232" i="1"/>
  <c r="K232" i="1"/>
  <c r="F232" i="1"/>
  <c r="BE231" i="1"/>
  <c r="BD231" i="1"/>
  <c r="BC231" i="1"/>
  <c r="BA231" i="1"/>
  <c r="AY231" i="1"/>
  <c r="AW231" i="1"/>
  <c r="AU231" i="1"/>
  <c r="AS231" i="1"/>
  <c r="AQ231" i="1"/>
  <c r="AO231" i="1"/>
  <c r="Z231" i="1"/>
  <c r="Y231" i="1"/>
  <c r="V231" i="1"/>
  <c r="T231" i="1"/>
  <c r="S231" i="1"/>
  <c r="R231" i="1"/>
  <c r="Q231" i="1"/>
  <c r="P231" i="1"/>
  <c r="O231" i="1"/>
  <c r="M231" i="1"/>
  <c r="L231" i="1"/>
  <c r="K231" i="1"/>
  <c r="F231" i="1"/>
  <c r="BE230" i="1"/>
  <c r="BD230" i="1"/>
  <c r="BC230" i="1"/>
  <c r="BA230" i="1"/>
  <c r="AY230" i="1"/>
  <c r="AW230" i="1"/>
  <c r="AU230" i="1"/>
  <c r="AS230" i="1"/>
  <c r="AQ230" i="1"/>
  <c r="AO230" i="1"/>
  <c r="Z230" i="1"/>
  <c r="Y230" i="1"/>
  <c r="V230" i="1"/>
  <c r="T230" i="1"/>
  <c r="S230" i="1"/>
  <c r="R230" i="1"/>
  <c r="Q230" i="1"/>
  <c r="P230" i="1"/>
  <c r="O230" i="1"/>
  <c r="M230" i="1"/>
  <c r="L230" i="1"/>
  <c r="K230" i="1"/>
  <c r="F230" i="1"/>
  <c r="D230" i="1"/>
  <c r="D231" i="1" s="1"/>
  <c r="D232" i="1" s="1"/>
  <c r="D233" i="1" s="1"/>
  <c r="BE229" i="1"/>
  <c r="BD229" i="1"/>
  <c r="BC229" i="1"/>
  <c r="BA229" i="1"/>
  <c r="AY229" i="1"/>
  <c r="AW229" i="1"/>
  <c r="AU229" i="1"/>
  <c r="AS229" i="1"/>
  <c r="AQ229" i="1"/>
  <c r="AO229" i="1"/>
  <c r="Z229" i="1"/>
  <c r="Y229" i="1"/>
  <c r="V229" i="1"/>
  <c r="T229" i="1"/>
  <c r="S229" i="1"/>
  <c r="R229" i="1"/>
  <c r="Q229" i="1"/>
  <c r="P229" i="1"/>
  <c r="O229" i="1"/>
  <c r="M229" i="1"/>
  <c r="L229" i="1"/>
  <c r="K229" i="1"/>
  <c r="F229" i="1"/>
  <c r="D229" i="1"/>
  <c r="C229" i="1"/>
  <c r="C230" i="1" s="1"/>
  <c r="BE228" i="1"/>
  <c r="BD228" i="1"/>
  <c r="BC228" i="1"/>
  <c r="BA228" i="1"/>
  <c r="AY228" i="1"/>
  <c r="AW228" i="1"/>
  <c r="AU228" i="1"/>
  <c r="AS228" i="1"/>
  <c r="AQ228" i="1"/>
  <c r="AO228" i="1"/>
  <c r="AJ228" i="1"/>
  <c r="Z228" i="1"/>
  <c r="Y228" i="1"/>
  <c r="V228" i="1"/>
  <c r="T228" i="1"/>
  <c r="S228" i="1"/>
  <c r="R228" i="1"/>
  <c r="Q228" i="1"/>
  <c r="P228" i="1"/>
  <c r="O228" i="1"/>
  <c r="M228" i="1"/>
  <c r="L228" i="1"/>
  <c r="K228" i="1"/>
  <c r="H228" i="1"/>
  <c r="F228" i="1"/>
  <c r="BE225" i="1"/>
  <c r="Z225" i="1"/>
  <c r="BE224" i="1"/>
  <c r="Z224" i="1"/>
  <c r="BE223" i="1"/>
  <c r="Z223" i="1"/>
  <c r="BE222" i="1"/>
  <c r="Z222" i="1"/>
  <c r="BE221" i="1"/>
  <c r="Z221" i="1"/>
  <c r="BE220" i="1"/>
  <c r="Z220" i="1"/>
  <c r="BE219" i="1"/>
  <c r="Z219" i="1"/>
  <c r="BE218" i="1"/>
  <c r="Z218" i="1"/>
  <c r="BE217" i="1"/>
  <c r="AA217" i="1"/>
  <c r="AA218" i="1" s="1"/>
  <c r="AA219" i="1" s="1"/>
  <c r="AA220" i="1" s="1"/>
  <c r="AA221" i="1" s="1"/>
  <c r="AA222" i="1" s="1"/>
  <c r="AA223" i="1" s="1"/>
  <c r="AA224" i="1" s="1"/>
  <c r="AA225" i="1" s="1"/>
  <c r="Z217" i="1"/>
  <c r="BE216" i="1"/>
  <c r="AA216" i="1"/>
  <c r="Z216" i="1"/>
  <c r="BE215" i="1"/>
  <c r="AA215" i="1"/>
  <c r="Z215" i="1"/>
  <c r="BE214" i="1"/>
  <c r="Z214" i="1"/>
  <c r="BE210" i="1"/>
  <c r="BD210" i="1"/>
  <c r="AZ210" i="1"/>
  <c r="AX210" i="1"/>
  <c r="BE209" i="1"/>
  <c r="BD209" i="1"/>
  <c r="BC209" i="1"/>
  <c r="BA209" i="1"/>
  <c r="AY209" i="1"/>
  <c r="AW209" i="1"/>
  <c r="AU209" i="1"/>
  <c r="AS209" i="1"/>
  <c r="AQ209" i="1"/>
  <c r="AO209" i="1"/>
  <c r="Z209" i="1"/>
  <c r="Y209" i="1"/>
  <c r="V209" i="1"/>
  <c r="T209" i="1"/>
  <c r="S209" i="1"/>
  <c r="R209" i="1"/>
  <c r="Q209" i="1"/>
  <c r="P209" i="1"/>
  <c r="O209" i="1"/>
  <c r="M209" i="1"/>
  <c r="L209" i="1"/>
  <c r="K209" i="1"/>
  <c r="I209" i="1"/>
  <c r="F209" i="1"/>
  <c r="BE208" i="1"/>
  <c r="BD208" i="1"/>
  <c r="BC208" i="1"/>
  <c r="BA208" i="1"/>
  <c r="AY208" i="1"/>
  <c r="AW208" i="1"/>
  <c r="AU208" i="1"/>
  <c r="AS208" i="1"/>
  <c r="AQ208" i="1"/>
  <c r="AO208" i="1"/>
  <c r="Z208" i="1"/>
  <c r="Y208" i="1"/>
  <c r="V208" i="1"/>
  <c r="T208" i="1"/>
  <c r="S208" i="1"/>
  <c r="R208" i="1"/>
  <c r="Q208" i="1"/>
  <c r="P208" i="1"/>
  <c r="O208" i="1"/>
  <c r="M208" i="1"/>
  <c r="L208" i="1"/>
  <c r="K208" i="1"/>
  <c r="F208" i="1"/>
  <c r="BE207" i="1"/>
  <c r="BD207" i="1"/>
  <c r="BC207" i="1"/>
  <c r="BA207" i="1"/>
  <c r="AY207" i="1"/>
  <c r="AW207" i="1"/>
  <c r="AU207" i="1"/>
  <c r="AS207" i="1"/>
  <c r="AQ207" i="1"/>
  <c r="AO207" i="1"/>
  <c r="Z207" i="1"/>
  <c r="Y207" i="1"/>
  <c r="V207" i="1"/>
  <c r="T207" i="1"/>
  <c r="S207" i="1"/>
  <c r="R207" i="1"/>
  <c r="Q207" i="1"/>
  <c r="P207" i="1"/>
  <c r="O207" i="1"/>
  <c r="M207" i="1"/>
  <c r="L207" i="1"/>
  <c r="K207" i="1"/>
  <c r="F207" i="1"/>
  <c r="BE206" i="1"/>
  <c r="BD206" i="1"/>
  <c r="BC206" i="1"/>
  <c r="BA206" i="1"/>
  <c r="AY206" i="1"/>
  <c r="AW206" i="1"/>
  <c r="AU206" i="1"/>
  <c r="AS206" i="1"/>
  <c r="AQ206" i="1"/>
  <c r="AO206" i="1"/>
  <c r="Z206" i="1"/>
  <c r="Y206" i="1"/>
  <c r="V206" i="1"/>
  <c r="T206" i="1"/>
  <c r="S206" i="1"/>
  <c r="R206" i="1"/>
  <c r="Q206" i="1"/>
  <c r="P206" i="1"/>
  <c r="O206" i="1"/>
  <c r="M206" i="1"/>
  <c r="L206" i="1"/>
  <c r="K206" i="1"/>
  <c r="F206" i="1"/>
  <c r="C206" i="1"/>
  <c r="BE205" i="1"/>
  <c r="BD205" i="1"/>
  <c r="BC205" i="1"/>
  <c r="BA205" i="1"/>
  <c r="AY205" i="1"/>
  <c r="AW205" i="1"/>
  <c r="AU205" i="1"/>
  <c r="AS205" i="1"/>
  <c r="AQ205" i="1"/>
  <c r="AO205" i="1"/>
  <c r="Z205" i="1"/>
  <c r="Y205" i="1"/>
  <c r="V205" i="1"/>
  <c r="T205" i="1"/>
  <c r="S205" i="1"/>
  <c r="R205" i="1"/>
  <c r="Q205" i="1"/>
  <c r="P205" i="1"/>
  <c r="O205" i="1"/>
  <c r="M205" i="1"/>
  <c r="L205" i="1"/>
  <c r="K205" i="1"/>
  <c r="F205" i="1"/>
  <c r="D205" i="1"/>
  <c r="D206" i="1" s="1"/>
  <c r="D207" i="1" s="1"/>
  <c r="D208" i="1" s="1"/>
  <c r="D209" i="1" s="1"/>
  <c r="C205" i="1"/>
  <c r="H205" i="1" s="1"/>
  <c r="BE204" i="1"/>
  <c r="BD204" i="1"/>
  <c r="BC204" i="1"/>
  <c r="BA204" i="1"/>
  <c r="AY204" i="1"/>
  <c r="AW204" i="1"/>
  <c r="AU204" i="1"/>
  <c r="AS204" i="1"/>
  <c r="AQ204" i="1"/>
  <c r="AO204" i="1"/>
  <c r="AJ204" i="1"/>
  <c r="Z204" i="1"/>
  <c r="Y204" i="1"/>
  <c r="V204" i="1"/>
  <c r="T204" i="1"/>
  <c r="S204" i="1"/>
  <c r="R204" i="1"/>
  <c r="Q204" i="1"/>
  <c r="P204" i="1"/>
  <c r="O204" i="1"/>
  <c r="M204" i="1"/>
  <c r="L204" i="1"/>
  <c r="K204" i="1"/>
  <c r="H204" i="1"/>
  <c r="F204" i="1"/>
  <c r="BE203" i="1"/>
  <c r="BE202" i="1"/>
  <c r="BD202" i="1"/>
  <c r="BC202" i="1"/>
  <c r="BA202" i="1"/>
  <c r="AY202" i="1"/>
  <c r="AW202" i="1"/>
  <c r="AU202" i="1"/>
  <c r="AS202" i="1"/>
  <c r="AQ202" i="1"/>
  <c r="AO202" i="1"/>
  <c r="Z202" i="1"/>
  <c r="Y202" i="1"/>
  <c r="V202" i="1"/>
  <c r="T202" i="1"/>
  <c r="S202" i="1"/>
  <c r="R202" i="1"/>
  <c r="Q202" i="1"/>
  <c r="P202" i="1"/>
  <c r="O202" i="1"/>
  <c r="M202" i="1"/>
  <c r="L202" i="1"/>
  <c r="K202" i="1"/>
  <c r="I202" i="1"/>
  <c r="F202" i="1"/>
  <c r="BE201" i="1"/>
  <c r="BD201" i="1"/>
  <c r="BC201" i="1"/>
  <c r="BA201" i="1"/>
  <c r="AY201" i="1"/>
  <c r="AW201" i="1"/>
  <c r="AU201" i="1"/>
  <c r="AS201" i="1"/>
  <c r="AQ201" i="1"/>
  <c r="AO201" i="1"/>
  <c r="Z201" i="1"/>
  <c r="Y201" i="1"/>
  <c r="V201" i="1"/>
  <c r="T201" i="1"/>
  <c r="S201" i="1"/>
  <c r="R201" i="1"/>
  <c r="Q201" i="1"/>
  <c r="P201" i="1"/>
  <c r="O201" i="1"/>
  <c r="M201" i="1"/>
  <c r="L201" i="1"/>
  <c r="K201" i="1"/>
  <c r="F201" i="1"/>
  <c r="BE200" i="1"/>
  <c r="BD200" i="1"/>
  <c r="BC200" i="1"/>
  <c r="BA200" i="1"/>
  <c r="AY200" i="1"/>
  <c r="AW200" i="1"/>
  <c r="AU200" i="1"/>
  <c r="AS200" i="1"/>
  <c r="AQ200" i="1"/>
  <c r="AO200" i="1"/>
  <c r="Z200" i="1"/>
  <c r="Y200" i="1"/>
  <c r="V200" i="1"/>
  <c r="T200" i="1"/>
  <c r="S200" i="1"/>
  <c r="R200" i="1"/>
  <c r="Q200" i="1"/>
  <c r="P200" i="1"/>
  <c r="O200" i="1"/>
  <c r="M200" i="1"/>
  <c r="L200" i="1"/>
  <c r="K200" i="1"/>
  <c r="F200" i="1"/>
  <c r="BE199" i="1"/>
  <c r="BD199" i="1"/>
  <c r="BC199" i="1"/>
  <c r="BA199" i="1"/>
  <c r="AY199" i="1"/>
  <c r="AW199" i="1"/>
  <c r="AU199" i="1"/>
  <c r="AS199" i="1"/>
  <c r="AQ199" i="1"/>
  <c r="AO199" i="1"/>
  <c r="Z199" i="1"/>
  <c r="Y199" i="1"/>
  <c r="V199" i="1"/>
  <c r="T199" i="1"/>
  <c r="S199" i="1"/>
  <c r="R199" i="1"/>
  <c r="Q199" i="1"/>
  <c r="P199" i="1"/>
  <c r="O199" i="1"/>
  <c r="M199" i="1"/>
  <c r="L199" i="1"/>
  <c r="K199" i="1"/>
  <c r="F199" i="1"/>
  <c r="BE198" i="1"/>
  <c r="BD198" i="1"/>
  <c r="BC198" i="1"/>
  <c r="BA198" i="1"/>
  <c r="AY198" i="1"/>
  <c r="AW198" i="1"/>
  <c r="AU198" i="1"/>
  <c r="AS198" i="1"/>
  <c r="AQ198" i="1"/>
  <c r="AO198" i="1"/>
  <c r="Z198" i="1"/>
  <c r="Y198" i="1"/>
  <c r="V198" i="1"/>
  <c r="T198" i="1"/>
  <c r="S198" i="1"/>
  <c r="R198" i="1"/>
  <c r="Q198" i="1"/>
  <c r="P198" i="1"/>
  <c r="O198" i="1"/>
  <c r="M198" i="1"/>
  <c r="L198" i="1"/>
  <c r="K198" i="1"/>
  <c r="F198" i="1"/>
  <c r="D198" i="1"/>
  <c r="D199" i="1" s="1"/>
  <c r="D200" i="1" s="1"/>
  <c r="D201" i="1" s="1"/>
  <c r="D202" i="1" s="1"/>
  <c r="C198" i="1"/>
  <c r="C199" i="1" s="1"/>
  <c r="C200" i="1" s="1"/>
  <c r="BE197" i="1"/>
  <c r="BD197" i="1"/>
  <c r="BC197" i="1"/>
  <c r="BA197" i="1"/>
  <c r="AY197" i="1"/>
  <c r="AW197" i="1"/>
  <c r="AU197" i="1"/>
  <c r="AS197" i="1"/>
  <c r="AQ197" i="1"/>
  <c r="AO197" i="1"/>
  <c r="AJ197" i="1"/>
  <c r="Z197" i="1"/>
  <c r="Y197" i="1"/>
  <c r="V197" i="1"/>
  <c r="T197" i="1"/>
  <c r="S197" i="1"/>
  <c r="R197" i="1"/>
  <c r="Q197" i="1"/>
  <c r="P197" i="1"/>
  <c r="O197" i="1"/>
  <c r="M197" i="1"/>
  <c r="L197" i="1"/>
  <c r="K197" i="1"/>
  <c r="H197" i="1"/>
  <c r="F197" i="1"/>
  <c r="BE318" i="1"/>
  <c r="Z318" i="1"/>
  <c r="BE317" i="1"/>
  <c r="Z317" i="1"/>
  <c r="BE316" i="1"/>
  <c r="Z316" i="1"/>
  <c r="BE315" i="1"/>
  <c r="Z315" i="1"/>
  <c r="BE314" i="1"/>
  <c r="Z314" i="1"/>
  <c r="BE313" i="1"/>
  <c r="Z313" i="1"/>
  <c r="BE312" i="1"/>
  <c r="Z312" i="1"/>
  <c r="BE311" i="1"/>
  <c r="Z311" i="1"/>
  <c r="BE310" i="1"/>
  <c r="Z310" i="1"/>
  <c r="BE309" i="1"/>
  <c r="AA309" i="1"/>
  <c r="AA310" i="1" s="1"/>
  <c r="AA311" i="1" s="1"/>
  <c r="AA312" i="1" s="1"/>
  <c r="AA313" i="1" s="1"/>
  <c r="AA314" i="1" s="1"/>
  <c r="AA315" i="1" s="1"/>
  <c r="AA316" i="1" s="1"/>
  <c r="AA317" i="1" s="1"/>
  <c r="AA318" i="1" s="1"/>
  <c r="Z309" i="1"/>
  <c r="BE308" i="1"/>
  <c r="AA308" i="1"/>
  <c r="Z308" i="1"/>
  <c r="BE307" i="1"/>
  <c r="Z307" i="1"/>
  <c r="BE303" i="1"/>
  <c r="BD303" i="1"/>
  <c r="AZ303" i="1"/>
  <c r="AX303" i="1"/>
  <c r="BE302" i="1"/>
  <c r="BD302" i="1"/>
  <c r="BC302" i="1"/>
  <c r="BA302" i="1"/>
  <c r="AY302" i="1"/>
  <c r="AW302" i="1"/>
  <c r="AU302" i="1"/>
  <c r="AS302" i="1"/>
  <c r="AQ302" i="1"/>
  <c r="AO302" i="1"/>
  <c r="Z302" i="1"/>
  <c r="Y302" i="1"/>
  <c r="V302" i="1"/>
  <c r="T302" i="1"/>
  <c r="S302" i="1"/>
  <c r="R302" i="1"/>
  <c r="Q302" i="1"/>
  <c r="P302" i="1"/>
  <c r="O302" i="1"/>
  <c r="M302" i="1"/>
  <c r="L302" i="1"/>
  <c r="K302" i="1"/>
  <c r="I302" i="1"/>
  <c r="F302" i="1"/>
  <c r="BE301" i="1"/>
  <c r="BD301" i="1"/>
  <c r="BC301" i="1"/>
  <c r="BA301" i="1"/>
  <c r="AY301" i="1"/>
  <c r="AW301" i="1"/>
  <c r="AU301" i="1"/>
  <c r="AS301" i="1"/>
  <c r="AQ301" i="1"/>
  <c r="AO301" i="1"/>
  <c r="Z301" i="1"/>
  <c r="Y301" i="1"/>
  <c r="V301" i="1"/>
  <c r="T301" i="1"/>
  <c r="S301" i="1"/>
  <c r="R301" i="1"/>
  <c r="Q301" i="1"/>
  <c r="P301" i="1"/>
  <c r="O301" i="1"/>
  <c r="M301" i="1"/>
  <c r="L301" i="1"/>
  <c r="K301" i="1"/>
  <c r="F301" i="1"/>
  <c r="BE300" i="1"/>
  <c r="BD300" i="1"/>
  <c r="BC300" i="1"/>
  <c r="BA300" i="1"/>
  <c r="AY300" i="1"/>
  <c r="AW300" i="1"/>
  <c r="AU300" i="1"/>
  <c r="AS300" i="1"/>
  <c r="AQ300" i="1"/>
  <c r="AO300" i="1"/>
  <c r="Z300" i="1"/>
  <c r="Y300" i="1"/>
  <c r="V300" i="1"/>
  <c r="T300" i="1"/>
  <c r="S300" i="1"/>
  <c r="R300" i="1"/>
  <c r="Q300" i="1"/>
  <c r="P300" i="1"/>
  <c r="O300" i="1"/>
  <c r="M300" i="1"/>
  <c r="L300" i="1"/>
  <c r="K300" i="1"/>
  <c r="F300" i="1"/>
  <c r="BE299" i="1"/>
  <c r="BD299" i="1"/>
  <c r="BC299" i="1"/>
  <c r="BA299" i="1"/>
  <c r="AY299" i="1"/>
  <c r="AW299" i="1"/>
  <c r="AU299" i="1"/>
  <c r="AS299" i="1"/>
  <c r="AQ299" i="1"/>
  <c r="AO299" i="1"/>
  <c r="Z299" i="1"/>
  <c r="Y299" i="1"/>
  <c r="V299" i="1"/>
  <c r="T299" i="1"/>
  <c r="S299" i="1"/>
  <c r="R299" i="1"/>
  <c r="Q299" i="1"/>
  <c r="P299" i="1"/>
  <c r="O299" i="1"/>
  <c r="M299" i="1"/>
  <c r="L299" i="1"/>
  <c r="K299" i="1"/>
  <c r="F299" i="1"/>
  <c r="BE298" i="1"/>
  <c r="BD298" i="1"/>
  <c r="BC298" i="1"/>
  <c r="BA298" i="1"/>
  <c r="AY298" i="1"/>
  <c r="AW298" i="1"/>
  <c r="AU298" i="1"/>
  <c r="AS298" i="1"/>
  <c r="AQ298" i="1"/>
  <c r="AO298" i="1"/>
  <c r="Z298" i="1"/>
  <c r="Y298" i="1"/>
  <c r="V298" i="1"/>
  <c r="T298" i="1"/>
  <c r="S298" i="1"/>
  <c r="R298" i="1"/>
  <c r="Q298" i="1"/>
  <c r="P298" i="1"/>
  <c r="O298" i="1"/>
  <c r="M298" i="1"/>
  <c r="L298" i="1"/>
  <c r="K298" i="1"/>
  <c r="F298" i="1"/>
  <c r="D298" i="1"/>
  <c r="D299" i="1" s="1"/>
  <c r="D300" i="1" s="1"/>
  <c r="D301" i="1" s="1"/>
  <c r="D302" i="1" s="1"/>
  <c r="C298" i="1"/>
  <c r="H298" i="1" s="1"/>
  <c r="BE297" i="1"/>
  <c r="BD297" i="1"/>
  <c r="BC297" i="1"/>
  <c r="BA297" i="1"/>
  <c r="AY297" i="1"/>
  <c r="AW297" i="1"/>
  <c r="AU297" i="1"/>
  <c r="AS297" i="1"/>
  <c r="AQ297" i="1"/>
  <c r="AO297" i="1"/>
  <c r="AJ297" i="1"/>
  <c r="Z297" i="1"/>
  <c r="Y297" i="1"/>
  <c r="V297" i="1"/>
  <c r="T297" i="1"/>
  <c r="S297" i="1"/>
  <c r="R297" i="1"/>
  <c r="Q297" i="1"/>
  <c r="P297" i="1"/>
  <c r="O297" i="1"/>
  <c r="M297" i="1"/>
  <c r="L297" i="1"/>
  <c r="K297" i="1"/>
  <c r="H297" i="1"/>
  <c r="F297" i="1"/>
  <c r="BE296" i="1"/>
  <c r="BE295" i="1"/>
  <c r="BD295" i="1"/>
  <c r="BC295" i="1"/>
  <c r="BA295" i="1"/>
  <c r="AY295" i="1"/>
  <c r="AW295" i="1"/>
  <c r="AU295" i="1"/>
  <c r="AS295" i="1"/>
  <c r="AQ295" i="1"/>
  <c r="AO295" i="1"/>
  <c r="Z295" i="1"/>
  <c r="Y295" i="1"/>
  <c r="V295" i="1"/>
  <c r="T295" i="1"/>
  <c r="S295" i="1"/>
  <c r="R295" i="1"/>
  <c r="Q295" i="1"/>
  <c r="P295" i="1"/>
  <c r="O295" i="1"/>
  <c r="M295" i="1"/>
  <c r="L295" i="1"/>
  <c r="K295" i="1"/>
  <c r="I295" i="1"/>
  <c r="F295" i="1"/>
  <c r="BE294" i="1"/>
  <c r="BD294" i="1"/>
  <c r="BC294" i="1"/>
  <c r="BA294" i="1"/>
  <c r="AY294" i="1"/>
  <c r="AW294" i="1"/>
  <c r="AU294" i="1"/>
  <c r="AS294" i="1"/>
  <c r="AQ294" i="1"/>
  <c r="AO294" i="1"/>
  <c r="Z294" i="1"/>
  <c r="Y294" i="1"/>
  <c r="V294" i="1"/>
  <c r="T294" i="1"/>
  <c r="S294" i="1"/>
  <c r="R294" i="1"/>
  <c r="Q294" i="1"/>
  <c r="P294" i="1"/>
  <c r="O294" i="1"/>
  <c r="M294" i="1"/>
  <c r="L294" i="1"/>
  <c r="K294" i="1"/>
  <c r="F294" i="1"/>
  <c r="BE293" i="1"/>
  <c r="BD293" i="1"/>
  <c r="BC293" i="1"/>
  <c r="BA293" i="1"/>
  <c r="AY293" i="1"/>
  <c r="AW293" i="1"/>
  <c r="AU293" i="1"/>
  <c r="AS293" i="1"/>
  <c r="AQ293" i="1"/>
  <c r="AO293" i="1"/>
  <c r="Z293" i="1"/>
  <c r="Y293" i="1"/>
  <c r="V293" i="1"/>
  <c r="T293" i="1"/>
  <c r="S293" i="1"/>
  <c r="R293" i="1"/>
  <c r="Q293" i="1"/>
  <c r="P293" i="1"/>
  <c r="O293" i="1"/>
  <c r="M293" i="1"/>
  <c r="L293" i="1"/>
  <c r="K293" i="1"/>
  <c r="F293" i="1"/>
  <c r="BE292" i="1"/>
  <c r="BD292" i="1"/>
  <c r="BC292" i="1"/>
  <c r="BA292" i="1"/>
  <c r="AY292" i="1"/>
  <c r="AW292" i="1"/>
  <c r="AU292" i="1"/>
  <c r="AS292" i="1"/>
  <c r="AQ292" i="1"/>
  <c r="AO292" i="1"/>
  <c r="Z292" i="1"/>
  <c r="Y292" i="1"/>
  <c r="V292" i="1"/>
  <c r="T292" i="1"/>
  <c r="S292" i="1"/>
  <c r="R292" i="1"/>
  <c r="Q292" i="1"/>
  <c r="P292" i="1"/>
  <c r="O292" i="1"/>
  <c r="M292" i="1"/>
  <c r="L292" i="1"/>
  <c r="K292" i="1"/>
  <c r="F292" i="1"/>
  <c r="BE291" i="1"/>
  <c r="BD291" i="1"/>
  <c r="BC291" i="1"/>
  <c r="BA291" i="1"/>
  <c r="AY291" i="1"/>
  <c r="AW291" i="1"/>
  <c r="AU291" i="1"/>
  <c r="AS291" i="1"/>
  <c r="AQ291" i="1"/>
  <c r="AO291" i="1"/>
  <c r="Z291" i="1"/>
  <c r="Y291" i="1"/>
  <c r="V291" i="1"/>
  <c r="T291" i="1"/>
  <c r="S291" i="1"/>
  <c r="R291" i="1"/>
  <c r="Q291" i="1"/>
  <c r="P291" i="1"/>
  <c r="O291" i="1"/>
  <c r="M291" i="1"/>
  <c r="L291" i="1"/>
  <c r="K291" i="1"/>
  <c r="F291" i="1"/>
  <c r="D291" i="1"/>
  <c r="D292" i="1" s="1"/>
  <c r="D293" i="1" s="1"/>
  <c r="D294" i="1" s="1"/>
  <c r="D295" i="1" s="1"/>
  <c r="C291" i="1"/>
  <c r="C292" i="1" s="1"/>
  <c r="BE290" i="1"/>
  <c r="BD290" i="1"/>
  <c r="BC290" i="1"/>
  <c r="BA290" i="1"/>
  <c r="AY290" i="1"/>
  <c r="AW290" i="1"/>
  <c r="AU290" i="1"/>
  <c r="AS290" i="1"/>
  <c r="AQ290" i="1"/>
  <c r="AO290" i="1"/>
  <c r="AJ290" i="1"/>
  <c r="Z290" i="1"/>
  <c r="Y290" i="1"/>
  <c r="V290" i="1"/>
  <c r="T290" i="1"/>
  <c r="S290" i="1"/>
  <c r="R290" i="1"/>
  <c r="Q290" i="1"/>
  <c r="P290" i="1"/>
  <c r="O290" i="1"/>
  <c r="M290" i="1"/>
  <c r="L290" i="1"/>
  <c r="K290" i="1"/>
  <c r="H290" i="1"/>
  <c r="F290" i="1"/>
  <c r="BE287" i="1"/>
  <c r="Z287" i="1"/>
  <c r="BE286" i="1"/>
  <c r="Z286" i="1"/>
  <c r="BE285" i="1"/>
  <c r="Z285" i="1"/>
  <c r="BE284" i="1"/>
  <c r="Z284" i="1"/>
  <c r="BE283" i="1"/>
  <c r="Z283" i="1"/>
  <c r="BE282" i="1"/>
  <c r="Z282" i="1"/>
  <c r="BE281" i="1"/>
  <c r="Z281" i="1"/>
  <c r="BE280" i="1"/>
  <c r="Z280" i="1"/>
  <c r="BE279" i="1"/>
  <c r="Z279" i="1"/>
  <c r="BE278" i="1"/>
  <c r="Z278" i="1"/>
  <c r="BE277" i="1"/>
  <c r="AA277" i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Z277" i="1"/>
  <c r="BE276" i="1"/>
  <c r="Z276" i="1"/>
  <c r="BE272" i="1"/>
  <c r="BD272" i="1"/>
  <c r="AZ272" i="1"/>
  <c r="AX272" i="1"/>
  <c r="BE271" i="1"/>
  <c r="BD271" i="1"/>
  <c r="BC271" i="1"/>
  <c r="BA271" i="1"/>
  <c r="AY271" i="1"/>
  <c r="AW271" i="1"/>
  <c r="AU271" i="1"/>
  <c r="AS271" i="1"/>
  <c r="AQ271" i="1"/>
  <c r="AO271" i="1"/>
  <c r="Z271" i="1"/>
  <c r="Y271" i="1"/>
  <c r="V271" i="1"/>
  <c r="T271" i="1"/>
  <c r="S271" i="1"/>
  <c r="R271" i="1"/>
  <c r="Q271" i="1"/>
  <c r="P271" i="1"/>
  <c r="O271" i="1"/>
  <c r="M271" i="1"/>
  <c r="L271" i="1"/>
  <c r="K271" i="1"/>
  <c r="I271" i="1"/>
  <c r="F271" i="1"/>
  <c r="BE270" i="1"/>
  <c r="BD270" i="1"/>
  <c r="BC270" i="1"/>
  <c r="BA270" i="1"/>
  <c r="AY270" i="1"/>
  <c r="AW270" i="1"/>
  <c r="AU270" i="1"/>
  <c r="AS270" i="1"/>
  <c r="AQ270" i="1"/>
  <c r="AO270" i="1"/>
  <c r="Z270" i="1"/>
  <c r="Y270" i="1"/>
  <c r="V270" i="1"/>
  <c r="T270" i="1"/>
  <c r="S270" i="1"/>
  <c r="R270" i="1"/>
  <c r="Q270" i="1"/>
  <c r="P270" i="1"/>
  <c r="O270" i="1"/>
  <c r="M270" i="1"/>
  <c r="L270" i="1"/>
  <c r="K270" i="1"/>
  <c r="F270" i="1"/>
  <c r="BE269" i="1"/>
  <c r="BD269" i="1"/>
  <c r="BC269" i="1"/>
  <c r="BA269" i="1"/>
  <c r="AY269" i="1"/>
  <c r="AW269" i="1"/>
  <c r="AU269" i="1"/>
  <c r="AS269" i="1"/>
  <c r="AQ269" i="1"/>
  <c r="AO269" i="1"/>
  <c r="Z269" i="1"/>
  <c r="Y269" i="1"/>
  <c r="V269" i="1"/>
  <c r="T269" i="1"/>
  <c r="S269" i="1"/>
  <c r="R269" i="1"/>
  <c r="Q269" i="1"/>
  <c r="P269" i="1"/>
  <c r="O269" i="1"/>
  <c r="M269" i="1"/>
  <c r="L269" i="1"/>
  <c r="K269" i="1"/>
  <c r="F269" i="1"/>
  <c r="BE268" i="1"/>
  <c r="BD268" i="1"/>
  <c r="BC268" i="1"/>
  <c r="BA268" i="1"/>
  <c r="AY268" i="1"/>
  <c r="AW268" i="1"/>
  <c r="AU268" i="1"/>
  <c r="AS268" i="1"/>
  <c r="AQ268" i="1"/>
  <c r="AO268" i="1"/>
  <c r="Z268" i="1"/>
  <c r="Y268" i="1"/>
  <c r="V268" i="1"/>
  <c r="T268" i="1"/>
  <c r="S268" i="1"/>
  <c r="R268" i="1"/>
  <c r="Q268" i="1"/>
  <c r="P268" i="1"/>
  <c r="O268" i="1"/>
  <c r="M268" i="1"/>
  <c r="L268" i="1"/>
  <c r="K268" i="1"/>
  <c r="F268" i="1"/>
  <c r="BE267" i="1"/>
  <c r="BD267" i="1"/>
  <c r="Z267" i="1"/>
  <c r="T267" i="1"/>
  <c r="S267" i="1"/>
  <c r="R267" i="1"/>
  <c r="Q267" i="1"/>
  <c r="P267" i="1"/>
  <c r="O267" i="1"/>
  <c r="M267" i="1"/>
  <c r="L267" i="1"/>
  <c r="K267" i="1"/>
  <c r="F267" i="1"/>
  <c r="D267" i="1"/>
  <c r="D268" i="1" s="1"/>
  <c r="D269" i="1" s="1"/>
  <c r="D270" i="1" s="1"/>
  <c r="D271" i="1" s="1"/>
  <c r="BE266" i="1"/>
  <c r="BD266" i="1"/>
  <c r="AJ266" i="1"/>
  <c r="Z266" i="1"/>
  <c r="T266" i="1"/>
  <c r="S266" i="1"/>
  <c r="R266" i="1"/>
  <c r="Q266" i="1"/>
  <c r="P266" i="1"/>
  <c r="O266" i="1"/>
  <c r="M266" i="1"/>
  <c r="L266" i="1"/>
  <c r="K266" i="1"/>
  <c r="F266" i="1"/>
  <c r="H266" i="1"/>
  <c r="BE265" i="1"/>
  <c r="BE264" i="1"/>
  <c r="BD264" i="1"/>
  <c r="BC264" i="1"/>
  <c r="BA264" i="1"/>
  <c r="AY264" i="1"/>
  <c r="AW264" i="1"/>
  <c r="AU264" i="1"/>
  <c r="AS264" i="1"/>
  <c r="AQ264" i="1"/>
  <c r="AO264" i="1"/>
  <c r="Z264" i="1"/>
  <c r="Y264" i="1"/>
  <c r="V264" i="1"/>
  <c r="T264" i="1"/>
  <c r="S264" i="1"/>
  <c r="R264" i="1"/>
  <c r="Q264" i="1"/>
  <c r="P264" i="1"/>
  <c r="O264" i="1"/>
  <c r="M264" i="1"/>
  <c r="L264" i="1"/>
  <c r="K264" i="1"/>
  <c r="I264" i="1"/>
  <c r="F264" i="1"/>
  <c r="BE263" i="1"/>
  <c r="BD263" i="1"/>
  <c r="BC263" i="1"/>
  <c r="BA263" i="1"/>
  <c r="AY263" i="1"/>
  <c r="AW263" i="1"/>
  <c r="AU263" i="1"/>
  <c r="AS263" i="1"/>
  <c r="AQ263" i="1"/>
  <c r="AO263" i="1"/>
  <c r="Z263" i="1"/>
  <c r="Y263" i="1"/>
  <c r="V263" i="1"/>
  <c r="T263" i="1"/>
  <c r="S263" i="1"/>
  <c r="R263" i="1"/>
  <c r="Q263" i="1"/>
  <c r="P263" i="1"/>
  <c r="O263" i="1"/>
  <c r="M263" i="1"/>
  <c r="L263" i="1"/>
  <c r="K263" i="1"/>
  <c r="F263" i="1"/>
  <c r="BE262" i="1"/>
  <c r="BD262" i="1"/>
  <c r="BC262" i="1"/>
  <c r="BA262" i="1"/>
  <c r="AY262" i="1"/>
  <c r="AW262" i="1"/>
  <c r="AU262" i="1"/>
  <c r="AS262" i="1"/>
  <c r="AQ262" i="1"/>
  <c r="AO262" i="1"/>
  <c r="Z262" i="1"/>
  <c r="Y262" i="1"/>
  <c r="V262" i="1"/>
  <c r="T262" i="1"/>
  <c r="S262" i="1"/>
  <c r="R262" i="1"/>
  <c r="Q262" i="1"/>
  <c r="P262" i="1"/>
  <c r="O262" i="1"/>
  <c r="M262" i="1"/>
  <c r="L262" i="1"/>
  <c r="K262" i="1"/>
  <c r="F262" i="1"/>
  <c r="BE261" i="1"/>
  <c r="BD261" i="1"/>
  <c r="BC261" i="1"/>
  <c r="BA261" i="1"/>
  <c r="AY261" i="1"/>
  <c r="AW261" i="1"/>
  <c r="AU261" i="1"/>
  <c r="AS261" i="1"/>
  <c r="AQ261" i="1"/>
  <c r="AO261" i="1"/>
  <c r="Z261" i="1"/>
  <c r="Y261" i="1"/>
  <c r="V261" i="1"/>
  <c r="T261" i="1"/>
  <c r="S261" i="1"/>
  <c r="R261" i="1"/>
  <c r="Q261" i="1"/>
  <c r="P261" i="1"/>
  <c r="O261" i="1"/>
  <c r="M261" i="1"/>
  <c r="L261" i="1"/>
  <c r="K261" i="1"/>
  <c r="F261" i="1"/>
  <c r="BE260" i="1"/>
  <c r="BD260" i="1"/>
  <c r="Z260" i="1"/>
  <c r="T260" i="1"/>
  <c r="S260" i="1"/>
  <c r="R260" i="1"/>
  <c r="Q260" i="1"/>
  <c r="P260" i="1"/>
  <c r="O260" i="1"/>
  <c r="M260" i="1"/>
  <c r="L260" i="1"/>
  <c r="K260" i="1"/>
  <c r="F260" i="1"/>
  <c r="D260" i="1"/>
  <c r="D261" i="1" s="1"/>
  <c r="D262" i="1" s="1"/>
  <c r="D263" i="1" s="1"/>
  <c r="D264" i="1" s="1"/>
  <c r="BE259" i="1"/>
  <c r="BD259" i="1"/>
  <c r="AJ259" i="1"/>
  <c r="Z259" i="1"/>
  <c r="T259" i="1"/>
  <c r="S259" i="1"/>
  <c r="R259" i="1"/>
  <c r="Q259" i="1"/>
  <c r="P259" i="1"/>
  <c r="O259" i="1"/>
  <c r="M259" i="1"/>
  <c r="L259" i="1"/>
  <c r="K259" i="1"/>
  <c r="F259" i="1"/>
  <c r="H259" i="1"/>
  <c r="B22" i="7" l="1"/>
  <c r="D22" i="7"/>
  <c r="F22" i="7"/>
  <c r="AT20" i="4"/>
  <c r="AY20" i="4" s="1"/>
  <c r="BF22" i="4"/>
  <c r="BD22" i="4"/>
  <c r="BE22" i="4"/>
  <c r="AY22" i="4"/>
  <c r="AX22" i="4"/>
  <c r="AW22" i="4"/>
  <c r="AV22" i="4"/>
  <c r="AU22" i="4"/>
  <c r="J22" i="4"/>
  <c r="I22" i="4"/>
  <c r="D22" i="4"/>
  <c r="BH22" i="4"/>
  <c r="K22" i="4"/>
  <c r="C22" i="4"/>
  <c r="H22" i="4"/>
  <c r="G22" i="4"/>
  <c r="BC22" i="4"/>
  <c r="BA22" i="4"/>
  <c r="F22" i="4"/>
  <c r="BB22" i="4"/>
  <c r="E22" i="4"/>
  <c r="BI22" i="4"/>
  <c r="AT17" i="4"/>
  <c r="AY17" i="4" s="1"/>
  <c r="AL17" i="4"/>
  <c r="BD17" i="4" s="1"/>
  <c r="AZ17" i="4"/>
  <c r="AQ20" i="4"/>
  <c r="M20" i="4" s="1"/>
  <c r="AL20" i="4" s="1"/>
  <c r="AJ19" i="4"/>
  <c r="AJ20" i="4"/>
  <c r="AX20" i="4"/>
  <c r="AT18" i="4"/>
  <c r="AY18" i="4" s="1"/>
  <c r="AJ16" i="4"/>
  <c r="AT16" i="4"/>
  <c r="AV16" i="4" s="1"/>
  <c r="AL16" i="4"/>
  <c r="BG16" i="4" s="1"/>
  <c r="AZ16" i="4"/>
  <c r="AJ21" i="4"/>
  <c r="AQ21" i="4"/>
  <c r="M21" i="4" s="1"/>
  <c r="AL21" i="4" s="1"/>
  <c r="BE21" i="4" s="1"/>
  <c r="AT21" i="4"/>
  <c r="AT19" i="4"/>
  <c r="AY19" i="4" s="1"/>
  <c r="AL19" i="4"/>
  <c r="BD19" i="4" s="1"/>
  <c r="AZ19" i="4"/>
  <c r="AQ18" i="4"/>
  <c r="M18" i="4" s="1"/>
  <c r="AL18" i="4" s="1"/>
  <c r="BD18" i="4" s="1"/>
  <c r="AJ18" i="4"/>
  <c r="H1811" i="1"/>
  <c r="H1812" i="1"/>
  <c r="C702" i="1"/>
  <c r="C447" i="1"/>
  <c r="H447" i="1" s="1"/>
  <c r="C974" i="1"/>
  <c r="C975" i="1" s="1"/>
  <c r="H1562" i="1"/>
  <c r="H1283" i="1"/>
  <c r="C1353" i="1"/>
  <c r="H1353" i="1" s="1"/>
  <c r="C1625" i="1"/>
  <c r="C1012" i="1"/>
  <c r="H539" i="1"/>
  <c r="C1167" i="1"/>
  <c r="C1223" i="1"/>
  <c r="H1655" i="1"/>
  <c r="H1841" i="1"/>
  <c r="H229" i="1"/>
  <c r="C323" i="1"/>
  <c r="H323" i="1" s="1"/>
  <c r="H880" i="1"/>
  <c r="H1190" i="1"/>
  <c r="AR1258" i="1"/>
  <c r="Z17" i="1"/>
  <c r="AR694" i="1"/>
  <c r="AR1165" i="1"/>
  <c r="AR1719" i="1"/>
  <c r="AT1747" i="1"/>
  <c r="AR204" i="1"/>
  <c r="AT1259" i="1"/>
  <c r="AT1283" i="1"/>
  <c r="AV696" i="1"/>
  <c r="Z1288" i="1"/>
  <c r="AR1282" i="1"/>
  <c r="AV1283" i="1"/>
  <c r="AV1292" i="1"/>
  <c r="Z699" i="1"/>
  <c r="AW148" i="1"/>
  <c r="AR144" i="1"/>
  <c r="AR167" i="1"/>
  <c r="AT170" i="1"/>
  <c r="AV1564" i="1"/>
  <c r="AV1098" i="1"/>
  <c r="AT1469" i="1"/>
  <c r="AT1844" i="1"/>
  <c r="AV1842" i="1"/>
  <c r="AW210" i="1"/>
  <c r="AO210" i="1"/>
  <c r="AV390" i="1"/>
  <c r="AV882" i="1"/>
  <c r="AV910" i="1"/>
  <c r="AR918" i="1"/>
  <c r="AT920" i="1"/>
  <c r="Z947" i="1"/>
  <c r="Z954" i="1"/>
  <c r="AU954" i="1"/>
  <c r="AV951" i="1"/>
  <c r="AY985" i="1"/>
  <c r="AV1010" i="1"/>
  <c r="AV1034" i="1"/>
  <c r="AO1078" i="1"/>
  <c r="AV1075" i="1"/>
  <c r="AT1097" i="1"/>
  <c r="Z1195" i="1"/>
  <c r="AR1189" i="1"/>
  <c r="AV1190" i="1"/>
  <c r="AT1227" i="1"/>
  <c r="AR1406" i="1"/>
  <c r="AV73" i="1"/>
  <c r="AV329" i="1"/>
  <c r="AV1685" i="1"/>
  <c r="AR1693" i="1"/>
  <c r="AT1810" i="1"/>
  <c r="AO706" i="1"/>
  <c r="AV138" i="1"/>
  <c r="AT174" i="1"/>
  <c r="AR485" i="1"/>
  <c r="AS303" i="1"/>
  <c r="AT82" i="1"/>
  <c r="AT662" i="1"/>
  <c r="AO675" i="1"/>
  <c r="AV756" i="1"/>
  <c r="AO768" i="1"/>
  <c r="AV1416" i="1"/>
  <c r="AT702" i="1"/>
  <c r="AV294" i="1"/>
  <c r="Z303" i="1"/>
  <c r="AV301" i="1"/>
  <c r="AT205" i="1"/>
  <c r="AT228" i="1"/>
  <c r="AR52" i="1"/>
  <c r="AR77" i="1"/>
  <c r="AO334" i="1"/>
  <c r="AV445" i="1"/>
  <c r="AR540" i="1"/>
  <c r="AY551" i="1"/>
  <c r="AV670" i="1"/>
  <c r="AR673" i="1"/>
  <c r="AT763" i="1"/>
  <c r="AT786" i="1"/>
  <c r="AR981" i="1"/>
  <c r="AR1004" i="1"/>
  <c r="AR228" i="1"/>
  <c r="AV330" i="1"/>
  <c r="AV357" i="1"/>
  <c r="AT353" i="1"/>
  <c r="AO365" i="1"/>
  <c r="AV359" i="1"/>
  <c r="AR363" i="1"/>
  <c r="AR486" i="1"/>
  <c r="AT605" i="1"/>
  <c r="AV974" i="1"/>
  <c r="AV980" i="1"/>
  <c r="AR1379" i="1"/>
  <c r="AV1448" i="1"/>
  <c r="Z1474" i="1"/>
  <c r="AR1468" i="1"/>
  <c r="AT1662" i="1"/>
  <c r="AY1760" i="1"/>
  <c r="AT1782" i="1"/>
  <c r="AY1791" i="1"/>
  <c r="AO1791" i="1"/>
  <c r="AV1786" i="1"/>
  <c r="AV1816" i="1"/>
  <c r="AT1840" i="1"/>
  <c r="AT1848" i="1"/>
  <c r="AT1252" i="1"/>
  <c r="AV1253" i="1"/>
  <c r="AO1295" i="1"/>
  <c r="AW1295" i="1"/>
  <c r="AV702" i="1"/>
  <c r="AT724" i="1"/>
  <c r="AT732" i="1"/>
  <c r="AV136" i="1"/>
  <c r="AR142" i="1"/>
  <c r="AU148" i="1"/>
  <c r="Z179" i="1"/>
  <c r="AS179" i="1"/>
  <c r="Z1512" i="1"/>
  <c r="AT1658" i="1"/>
  <c r="Y1822" i="1"/>
  <c r="N1816" i="1" s="1"/>
  <c r="AY1822" i="1"/>
  <c r="AU1822" i="1"/>
  <c r="AR1842" i="1"/>
  <c r="AY706" i="1"/>
  <c r="AR724" i="1"/>
  <c r="AV725" i="1"/>
  <c r="AT728" i="1"/>
  <c r="AY737" i="1"/>
  <c r="AR135" i="1"/>
  <c r="AR146" i="1"/>
  <c r="Z172" i="1"/>
  <c r="AV105" i="1"/>
  <c r="AT108" i="1"/>
  <c r="AU334" i="1"/>
  <c r="AY458" i="1"/>
  <c r="AT476" i="1"/>
  <c r="AV856" i="1"/>
  <c r="AV890" i="1"/>
  <c r="AR1100" i="1"/>
  <c r="AV1229" i="1"/>
  <c r="AV1377" i="1"/>
  <c r="AR1407" i="1"/>
  <c r="AO1574" i="1"/>
  <c r="AT1569" i="1"/>
  <c r="AT1659" i="1"/>
  <c r="AU1729" i="1"/>
  <c r="AR1809" i="1"/>
  <c r="AS1822" i="1"/>
  <c r="Z1853" i="1"/>
  <c r="AS1853" i="1"/>
  <c r="Z1257" i="1"/>
  <c r="AR1251" i="1"/>
  <c r="AW1264" i="1"/>
  <c r="AO1264" i="1"/>
  <c r="AT700" i="1"/>
  <c r="AV704" i="1"/>
  <c r="Z737" i="1"/>
  <c r="AS737" i="1"/>
  <c r="AY148" i="1"/>
  <c r="AT171" i="1"/>
  <c r="AT571" i="1"/>
  <c r="Z234" i="1"/>
  <c r="AV229" i="1"/>
  <c r="AV238" i="1"/>
  <c r="AT18" i="1"/>
  <c r="AT42" i="1"/>
  <c r="AT74" i="1"/>
  <c r="AV78" i="1"/>
  <c r="AT104" i="1"/>
  <c r="AR106" i="1"/>
  <c r="AT107" i="1"/>
  <c r="AY117" i="1"/>
  <c r="AV321" i="1"/>
  <c r="AR329" i="1"/>
  <c r="AR330" i="1"/>
  <c r="AV383" i="1"/>
  <c r="Y396" i="1"/>
  <c r="AN395" i="1" s="1"/>
  <c r="AT417" i="1"/>
  <c r="AV418" i="1"/>
  <c r="Z427" i="1"/>
  <c r="AS427" i="1"/>
  <c r="AV425" i="1"/>
  <c r="AR445" i="1"/>
  <c r="AV446" i="1"/>
  <c r="AV453" i="1"/>
  <c r="AV476" i="1"/>
  <c r="AT483" i="1"/>
  <c r="AV512" i="1"/>
  <c r="AV579" i="1"/>
  <c r="AR638" i="1"/>
  <c r="AV794" i="1"/>
  <c r="AT197" i="1"/>
  <c r="AR198" i="1"/>
  <c r="AO241" i="1"/>
  <c r="AW241" i="1"/>
  <c r="AR321" i="1"/>
  <c r="AR357" i="1"/>
  <c r="AR387" i="1"/>
  <c r="AV448" i="1"/>
  <c r="AV477" i="1"/>
  <c r="AT508" i="1"/>
  <c r="AV510" i="1"/>
  <c r="AT546" i="1"/>
  <c r="AY582" i="1"/>
  <c r="AT577" i="1"/>
  <c r="AV600" i="1"/>
  <c r="AO613" i="1"/>
  <c r="AW613" i="1"/>
  <c r="AT632" i="1"/>
  <c r="AT642" i="1"/>
  <c r="AT295" i="1"/>
  <c r="AV233" i="1"/>
  <c r="AV44" i="1"/>
  <c r="AO55" i="1"/>
  <c r="AT112" i="1"/>
  <c r="AV449" i="1"/>
  <c r="AR487" i="1"/>
  <c r="AV507" i="1"/>
  <c r="AT540" i="1"/>
  <c r="AR543" i="1"/>
  <c r="AR795" i="1"/>
  <c r="Z823" i="1"/>
  <c r="AV914" i="1"/>
  <c r="AV1232" i="1"/>
  <c r="AV1411" i="1"/>
  <c r="AR1416" i="1"/>
  <c r="AO1450" i="1"/>
  <c r="AV1444" i="1"/>
  <c r="AV1532" i="1"/>
  <c r="AR1535" i="1"/>
  <c r="AT1597" i="1"/>
  <c r="AR1750" i="1"/>
  <c r="Z1822" i="1"/>
  <c r="AT1818" i="1"/>
  <c r="AR1851" i="1"/>
  <c r="Z1264" i="1"/>
  <c r="AV1261" i="1"/>
  <c r="AT1284" i="1"/>
  <c r="AT1287" i="1"/>
  <c r="AV1291" i="1"/>
  <c r="AV705" i="1"/>
  <c r="AT727" i="1"/>
  <c r="AR145" i="1"/>
  <c r="AR177" i="1"/>
  <c r="AR857" i="1"/>
  <c r="Y885" i="1"/>
  <c r="N879" i="1" s="1"/>
  <c r="AT942" i="1"/>
  <c r="AV977" i="1"/>
  <c r="AY1016" i="1"/>
  <c r="Y1047" i="1"/>
  <c r="U1045" i="1" s="1"/>
  <c r="AR1044" i="1"/>
  <c r="AR1076" i="1"/>
  <c r="Z1102" i="1"/>
  <c r="AR1128" i="1"/>
  <c r="AR1321" i="1"/>
  <c r="AT1375" i="1"/>
  <c r="AV1380" i="1"/>
  <c r="Z1388" i="1"/>
  <c r="AR1386" i="1"/>
  <c r="AV1406" i="1"/>
  <c r="AV1408" i="1"/>
  <c r="AR1411" i="1"/>
  <c r="AR1414" i="1"/>
  <c r="Y1443" i="1"/>
  <c r="N1439" i="1" s="1"/>
  <c r="AV1563" i="1"/>
  <c r="AV1717" i="1"/>
  <c r="AV1723" i="1"/>
  <c r="AR1727" i="1"/>
  <c r="AT1749" i="1"/>
  <c r="Y1815" i="1"/>
  <c r="N1809" i="1" s="1"/>
  <c r="AV1813" i="1"/>
  <c r="AT1819" i="1"/>
  <c r="AO1822" i="1"/>
  <c r="AV1819" i="1"/>
  <c r="AT1843" i="1"/>
  <c r="AR1849" i="1"/>
  <c r="AT1850" i="1"/>
  <c r="AR1255" i="1"/>
  <c r="AT1282" i="1"/>
  <c r="AV1284" i="1"/>
  <c r="AT1285" i="1"/>
  <c r="AV1286" i="1"/>
  <c r="AV1287" i="1"/>
  <c r="AT697" i="1"/>
  <c r="AV700" i="1"/>
  <c r="AR703" i="1"/>
  <c r="AT704" i="1"/>
  <c r="AV726" i="1"/>
  <c r="AR735" i="1"/>
  <c r="Z141" i="1"/>
  <c r="AS148" i="1"/>
  <c r="Z148" i="1"/>
  <c r="AT144" i="1"/>
  <c r="AR147" i="1"/>
  <c r="AR168" i="1"/>
  <c r="AR175" i="1"/>
  <c r="Z582" i="1"/>
  <c r="AS582" i="1"/>
  <c r="Y606" i="1"/>
  <c r="AN604" i="1" s="1"/>
  <c r="AV601" i="1"/>
  <c r="AR635" i="1"/>
  <c r="AO644" i="1"/>
  <c r="AV642" i="1"/>
  <c r="Z761" i="1"/>
  <c r="AR756" i="1"/>
  <c r="Z768" i="1"/>
  <c r="AR763" i="1"/>
  <c r="Y792" i="1"/>
  <c r="N790" i="1" s="1"/>
  <c r="AR789" i="1"/>
  <c r="AV795" i="1"/>
  <c r="AT825" i="1"/>
  <c r="AV855" i="1"/>
  <c r="AV891" i="1"/>
  <c r="AO1016" i="1"/>
  <c r="AV1038" i="1"/>
  <c r="AW1047" i="1"/>
  <c r="AT1065" i="1"/>
  <c r="AU1078" i="1"/>
  <c r="AT1221" i="1"/>
  <c r="Z1412" i="1"/>
  <c r="AV1407" i="1"/>
  <c r="AR1500" i="1"/>
  <c r="AR1530" i="1"/>
  <c r="Z1574" i="1"/>
  <c r="AO1605" i="1"/>
  <c r="AR1603" i="1"/>
  <c r="AT1632" i="1"/>
  <c r="AY1667" i="1"/>
  <c r="AT1687" i="1"/>
  <c r="AT1689" i="1"/>
  <c r="AV1748" i="1"/>
  <c r="AS1760" i="1"/>
  <c r="AT1756" i="1"/>
  <c r="AT1813" i="1"/>
  <c r="AT1845" i="1"/>
  <c r="AV1843" i="1"/>
  <c r="AV1852" i="1"/>
  <c r="AR1252" i="1"/>
  <c r="AR1253" i="1"/>
  <c r="AT1254" i="1"/>
  <c r="AT1255" i="1"/>
  <c r="AS1264" i="1"/>
  <c r="AY1264" i="1"/>
  <c r="AR1261" i="1"/>
  <c r="Z1295" i="1"/>
  <c r="AS1295" i="1"/>
  <c r="AR1291" i="1"/>
  <c r="AT1293" i="1"/>
  <c r="AV698" i="1"/>
  <c r="Y706" i="1"/>
  <c r="N700" i="1" s="1"/>
  <c r="AW706" i="1"/>
  <c r="Z706" i="1"/>
  <c r="AT701" i="1"/>
  <c r="AT729" i="1"/>
  <c r="AR726" i="1"/>
  <c r="AT135" i="1"/>
  <c r="AT145" i="1"/>
  <c r="AV144" i="1"/>
  <c r="AO148" i="1"/>
  <c r="AV145" i="1"/>
  <c r="AV146" i="1"/>
  <c r="AR166" i="1"/>
  <c r="AT167" i="1"/>
  <c r="AV178" i="1"/>
  <c r="AT576" i="1"/>
  <c r="AR600" i="1"/>
  <c r="AS613" i="1"/>
  <c r="AV798" i="1"/>
  <c r="AT798" i="1"/>
  <c r="AV818" i="1"/>
  <c r="AY861" i="1"/>
  <c r="AV857" i="1"/>
  <c r="AR859" i="1"/>
  <c r="AY923" i="1"/>
  <c r="Y947" i="1"/>
  <c r="N946" i="1" s="1"/>
  <c r="AV1006" i="1"/>
  <c r="AT1007" i="1"/>
  <c r="AV1101" i="1"/>
  <c r="Z1109" i="1"/>
  <c r="AS1109" i="1"/>
  <c r="AR1161" i="1"/>
  <c r="Z1171" i="1"/>
  <c r="AT1166" i="1"/>
  <c r="AO1171" i="1"/>
  <c r="AT1189" i="1"/>
  <c r="AR1227" i="1"/>
  <c r="AV1318" i="1"/>
  <c r="AR1314" i="1"/>
  <c r="AR1410" i="1"/>
  <c r="AV1410" i="1"/>
  <c r="AV1414" i="1"/>
  <c r="AT1438" i="1"/>
  <c r="AV1440" i="1"/>
  <c r="AV1476" i="1"/>
  <c r="AW1512" i="1"/>
  <c r="AO1512" i="1"/>
  <c r="AT1530" i="1"/>
  <c r="AV1540" i="1"/>
  <c r="AT1561" i="1"/>
  <c r="AR1570" i="1"/>
  <c r="AO1636" i="1"/>
  <c r="Z1667" i="1"/>
  <c r="AO1760" i="1"/>
  <c r="AV1754" i="1"/>
  <c r="AT1786" i="1"/>
  <c r="AR1813" i="1"/>
  <c r="AT1811" i="1"/>
  <c r="AR1819" i="1"/>
  <c r="AT1820" i="1"/>
  <c r="Y1846" i="1"/>
  <c r="N1841" i="1" s="1"/>
  <c r="AY1853" i="1"/>
  <c r="AV1255" i="1"/>
  <c r="Y1264" i="1"/>
  <c r="AN1258" i="1" s="1"/>
  <c r="AR1260" i="1"/>
  <c r="AV1282" i="1"/>
  <c r="AR1283" i="1"/>
  <c r="AV1293" i="1"/>
  <c r="AV703" i="1"/>
  <c r="AR725" i="1"/>
  <c r="AV736" i="1"/>
  <c r="AV135" i="1"/>
  <c r="AV142" i="1"/>
  <c r="AT166" i="1"/>
  <c r="AV167" i="1"/>
  <c r="AT168" i="1"/>
  <c r="AT169" i="1"/>
  <c r="AY179" i="1"/>
  <c r="AD196" i="1"/>
  <c r="AD210" i="1" s="1"/>
  <c r="AD227" i="1" s="1"/>
  <c r="AD241" i="1" s="1"/>
  <c r="AF196" i="1"/>
  <c r="AF210" i="1" s="1"/>
  <c r="AF227" i="1" s="1"/>
  <c r="AF241" i="1" s="1"/>
  <c r="AR137" i="1"/>
  <c r="AR139" i="1"/>
  <c r="AV140" i="1"/>
  <c r="AT143" i="1"/>
  <c r="AT142" i="1"/>
  <c r="AT147" i="1"/>
  <c r="AV166" i="1"/>
  <c r="H174" i="1"/>
  <c r="C175" i="1"/>
  <c r="AV176" i="1"/>
  <c r="AT177" i="1"/>
  <c r="AR136" i="1"/>
  <c r="AT140" i="1"/>
  <c r="H144" i="1"/>
  <c r="C145" i="1"/>
  <c r="AT136" i="1"/>
  <c r="AT137" i="1"/>
  <c r="AT138" i="1"/>
  <c r="AT139" i="1"/>
  <c r="Y148" i="1"/>
  <c r="N144" i="1" s="1"/>
  <c r="AT146" i="1"/>
  <c r="AR169" i="1"/>
  <c r="AV170" i="1"/>
  <c r="AV171" i="1"/>
  <c r="AT173" i="1"/>
  <c r="AT176" i="1"/>
  <c r="AU179" i="1"/>
  <c r="AT178" i="1"/>
  <c r="AT175" i="1"/>
  <c r="AR176" i="1"/>
  <c r="AV177" i="1"/>
  <c r="AR178" i="1"/>
  <c r="Y179" i="1"/>
  <c r="AB196" i="1"/>
  <c r="AB210" i="1" s="1"/>
  <c r="AB227" i="1" s="1"/>
  <c r="AB241" i="1" s="1"/>
  <c r="H136" i="1"/>
  <c r="C137" i="1"/>
  <c r="AR138" i="1"/>
  <c r="AV169" i="1"/>
  <c r="AA196" i="1"/>
  <c r="AA210" i="1" s="1"/>
  <c r="AA227" i="1" s="1"/>
  <c r="AA241" i="1" s="1"/>
  <c r="AV137" i="1"/>
  <c r="AV139" i="1"/>
  <c r="AR140" i="1"/>
  <c r="Y141" i="1"/>
  <c r="AP135" i="1" s="1"/>
  <c r="AP146" i="1"/>
  <c r="AV147" i="1"/>
  <c r="C169" i="1"/>
  <c r="H168" i="1"/>
  <c r="AV168" i="1"/>
  <c r="AR170" i="1"/>
  <c r="AR171" i="1"/>
  <c r="AO179" i="1"/>
  <c r="AW179" i="1"/>
  <c r="AV175" i="1"/>
  <c r="AE196" i="1"/>
  <c r="AE210" i="1" s="1"/>
  <c r="AE227" i="1" s="1"/>
  <c r="AE241" i="1" s="1"/>
  <c r="AR143" i="1"/>
  <c r="AV143" i="1"/>
  <c r="Y172" i="1"/>
  <c r="N170" i="1" s="1"/>
  <c r="AR173" i="1"/>
  <c r="AV173" i="1"/>
  <c r="AR174" i="1"/>
  <c r="AV174" i="1"/>
  <c r="AC196" i="1"/>
  <c r="AC210" i="1" s="1"/>
  <c r="AC227" i="1" s="1"/>
  <c r="AC241" i="1" s="1"/>
  <c r="AC258" i="1" s="1"/>
  <c r="AC272" i="1" s="1"/>
  <c r="AR695" i="1"/>
  <c r="AR693" i="1"/>
  <c r="C727" i="1"/>
  <c r="H726" i="1"/>
  <c r="AT693" i="1"/>
  <c r="AT696" i="1"/>
  <c r="AT698" i="1"/>
  <c r="AT695" i="1"/>
  <c r="AR696" i="1"/>
  <c r="AR698" i="1"/>
  <c r="Y699" i="1"/>
  <c r="AP698" i="1" s="1"/>
  <c r="H702" i="1"/>
  <c r="C703" i="1"/>
  <c r="AR704" i="1"/>
  <c r="AR705" i="1"/>
  <c r="AU706" i="1"/>
  <c r="H732" i="1"/>
  <c r="C733" i="1"/>
  <c r="AR733" i="1"/>
  <c r="AR731" i="1"/>
  <c r="AV734" i="1"/>
  <c r="AT735" i="1"/>
  <c r="AV694" i="1"/>
  <c r="AV695" i="1"/>
  <c r="AV693" i="1"/>
  <c r="AR700" i="1"/>
  <c r="AR702" i="1"/>
  <c r="AT705" i="1"/>
  <c r="Z730" i="1"/>
  <c r="AV724" i="1"/>
  <c r="AT726" i="1"/>
  <c r="AV728" i="1"/>
  <c r="AV729" i="1"/>
  <c r="AT731" i="1"/>
  <c r="AT734" i="1"/>
  <c r="AU737" i="1"/>
  <c r="AT736" i="1"/>
  <c r="AT733" i="1"/>
  <c r="AR734" i="1"/>
  <c r="AV735" i="1"/>
  <c r="AR736" i="1"/>
  <c r="Y737" i="1"/>
  <c r="AP735" i="1" s="1"/>
  <c r="H694" i="1"/>
  <c r="C695" i="1"/>
  <c r="AT694" i="1"/>
  <c r="AS706" i="1"/>
  <c r="AR728" i="1"/>
  <c r="AR729" i="1"/>
  <c r="AO737" i="1"/>
  <c r="AW737" i="1"/>
  <c r="AV733" i="1"/>
  <c r="AV731" i="1"/>
  <c r="AR697" i="1"/>
  <c r="AV697" i="1"/>
  <c r="AR701" i="1"/>
  <c r="AV701" i="1"/>
  <c r="AT703" i="1"/>
  <c r="AT725" i="1"/>
  <c r="AR727" i="1"/>
  <c r="AV727" i="1"/>
  <c r="Y730" i="1"/>
  <c r="AN724" i="1" s="1"/>
  <c r="AR732" i="1"/>
  <c r="AV732" i="1"/>
  <c r="H1290" i="1"/>
  <c r="C1291" i="1"/>
  <c r="AV1256" i="1"/>
  <c r="AT1260" i="1"/>
  <c r="AT1262" i="1"/>
  <c r="AR1285" i="1"/>
  <c r="AT1289" i="1"/>
  <c r="AT1292" i="1"/>
  <c r="AU1295" i="1"/>
  <c r="AT1294" i="1"/>
  <c r="AT1291" i="1"/>
  <c r="AR1292" i="1"/>
  <c r="AR1294" i="1"/>
  <c r="Y1295" i="1"/>
  <c r="AP1291" i="1" s="1"/>
  <c r="AT1263" i="1"/>
  <c r="H1252" i="1"/>
  <c r="C1253" i="1"/>
  <c r="AV1254" i="1"/>
  <c r="AT1258" i="1"/>
  <c r="AV1262" i="1"/>
  <c r="AV1263" i="1"/>
  <c r="C1285" i="1"/>
  <c r="H1284" i="1"/>
  <c r="AR1286" i="1"/>
  <c r="AR1287" i="1"/>
  <c r="AR1290" i="1"/>
  <c r="AT1251" i="1"/>
  <c r="AT1256" i="1"/>
  <c r="AT1253" i="1"/>
  <c r="AV1252" i="1"/>
  <c r="AR1254" i="1"/>
  <c r="AR1256" i="1"/>
  <c r="Y1257" i="1"/>
  <c r="N1255" i="1" s="1"/>
  <c r="AV1258" i="1"/>
  <c r="H1260" i="1"/>
  <c r="C1261" i="1"/>
  <c r="AV1260" i="1"/>
  <c r="AR1262" i="1"/>
  <c r="AR1263" i="1"/>
  <c r="AU1264" i="1"/>
  <c r="AR1284" i="1"/>
  <c r="AV1285" i="1"/>
  <c r="AT1286" i="1"/>
  <c r="AY1295" i="1"/>
  <c r="AT1290" i="1"/>
  <c r="AR1293" i="1"/>
  <c r="AV1294" i="1"/>
  <c r="AV1251" i="1"/>
  <c r="AR1259" i="1"/>
  <c r="AV1259" i="1"/>
  <c r="AT1261" i="1"/>
  <c r="Y1288" i="1"/>
  <c r="AP1283" i="1" s="1"/>
  <c r="AR1289" i="1"/>
  <c r="AV1289" i="1"/>
  <c r="AV1290" i="1"/>
  <c r="AV1811" i="1"/>
  <c r="C1843" i="1"/>
  <c r="H1842" i="1"/>
  <c r="AR1811" i="1"/>
  <c r="AR1812" i="1"/>
  <c r="AR1814" i="1"/>
  <c r="AV1820" i="1"/>
  <c r="AV1841" i="1"/>
  <c r="AV1840" i="1"/>
  <c r="H1848" i="1"/>
  <c r="C1849" i="1"/>
  <c r="AV1850" i="1"/>
  <c r="AT1851" i="1"/>
  <c r="AV1812" i="1"/>
  <c r="AT1809" i="1"/>
  <c r="AT1812" i="1"/>
  <c r="AT1814" i="1"/>
  <c r="AR1810" i="1"/>
  <c r="AV1810" i="1"/>
  <c r="AR1816" i="1"/>
  <c r="AW1822" i="1"/>
  <c r="H1818" i="1"/>
  <c r="C1819" i="1"/>
  <c r="AR1820" i="1"/>
  <c r="Z1846" i="1"/>
  <c r="AV1844" i="1"/>
  <c r="AR1843" i="1"/>
  <c r="AV1845" i="1"/>
  <c r="AT1847" i="1"/>
  <c r="AU1853" i="1"/>
  <c r="AT1852" i="1"/>
  <c r="AT1849" i="1"/>
  <c r="AR1850" i="1"/>
  <c r="AV1851" i="1"/>
  <c r="AR1852" i="1"/>
  <c r="Y1853" i="1"/>
  <c r="AP1850" i="1" s="1"/>
  <c r="Z1815" i="1"/>
  <c r="AV1809" i="1"/>
  <c r="C1814" i="1"/>
  <c r="H1814" i="1" s="1"/>
  <c r="AV1814" i="1"/>
  <c r="AT1817" i="1"/>
  <c r="AT1816" i="1"/>
  <c r="AT1821" i="1"/>
  <c r="AR1841" i="1"/>
  <c r="AR1840" i="1"/>
  <c r="AR1844" i="1"/>
  <c r="AR1845" i="1"/>
  <c r="AO1853" i="1"/>
  <c r="AW1853" i="1"/>
  <c r="AV1849" i="1"/>
  <c r="AR1817" i="1"/>
  <c r="AV1817" i="1"/>
  <c r="AT1841" i="1"/>
  <c r="AR1847" i="1"/>
  <c r="AV1847" i="1"/>
  <c r="AR1818" i="1"/>
  <c r="AV1818" i="1"/>
  <c r="AR1821" i="1"/>
  <c r="AV1821" i="1"/>
  <c r="AT1842" i="1"/>
  <c r="AR1848" i="1"/>
  <c r="AV1848" i="1"/>
  <c r="Z210" i="1"/>
  <c r="AV207" i="1"/>
  <c r="AT230" i="1"/>
  <c r="AT233" i="1"/>
  <c r="AV237" i="1"/>
  <c r="AT293" i="1"/>
  <c r="AV293" i="1"/>
  <c r="AR291" i="1"/>
  <c r="AT292" i="1"/>
  <c r="AT297" i="1"/>
  <c r="AV199" i="1"/>
  <c r="AV230" i="1"/>
  <c r="AT231" i="1"/>
  <c r="AV232" i="1"/>
  <c r="AV236" i="1"/>
  <c r="C13" i="1"/>
  <c r="H12" i="1"/>
  <c r="AT44" i="1"/>
  <c r="AV47" i="1"/>
  <c r="Z55" i="1"/>
  <c r="AR78" i="1"/>
  <c r="AT81" i="1"/>
  <c r="AV302" i="1"/>
  <c r="Z296" i="1"/>
  <c r="AR290" i="1"/>
  <c r="H291" i="1"/>
  <c r="AR294" i="1"/>
  <c r="AO303" i="1"/>
  <c r="AW303" i="1"/>
  <c r="AV299" i="1"/>
  <c r="AR301" i="1"/>
  <c r="AR302" i="1"/>
  <c r="Z203" i="1"/>
  <c r="AS210" i="1"/>
  <c r="AY210" i="1"/>
  <c r="AR207" i="1"/>
  <c r="Z241" i="1"/>
  <c r="AS241" i="1"/>
  <c r="AR237" i="1"/>
  <c r="AT239" i="1"/>
  <c r="Z24" i="1"/>
  <c r="AT23" i="1"/>
  <c r="AR73" i="1"/>
  <c r="AT77" i="1"/>
  <c r="AR299" i="1"/>
  <c r="AT290" i="1"/>
  <c r="AV291" i="1"/>
  <c r="AY303" i="1"/>
  <c r="AT301" i="1"/>
  <c r="AR199" i="1"/>
  <c r="Y210" i="1"/>
  <c r="AP209" i="1" s="1"/>
  <c r="AR206" i="1"/>
  <c r="AV228" i="1"/>
  <c r="AR229" i="1"/>
  <c r="AV239" i="1"/>
  <c r="C20" i="1"/>
  <c r="H19" i="1"/>
  <c r="AV22" i="1"/>
  <c r="AR42" i="1"/>
  <c r="AW55" i="1"/>
  <c r="AR75" i="1"/>
  <c r="AY86" i="1"/>
  <c r="AR76" i="1"/>
  <c r="AR105" i="1"/>
  <c r="AR323" i="1"/>
  <c r="AY334" i="1"/>
  <c r="Y358" i="1"/>
  <c r="AN353" i="1" s="1"/>
  <c r="AT355" i="1"/>
  <c r="AR354" i="1"/>
  <c r="Z365" i="1"/>
  <c r="AR359" i="1"/>
  <c r="AR361" i="1"/>
  <c r="AV363" i="1"/>
  <c r="AR384" i="1"/>
  <c r="AR393" i="1"/>
  <c r="AY396" i="1"/>
  <c r="AT394" i="1"/>
  <c r="Z420" i="1"/>
  <c r="AR415" i="1"/>
  <c r="AT415" i="1"/>
  <c r="AR418" i="1"/>
  <c r="AO427" i="1"/>
  <c r="AW427" i="1"/>
  <c r="AV423" i="1"/>
  <c r="AR425" i="1"/>
  <c r="AR426" i="1"/>
  <c r="AV455" i="1"/>
  <c r="AT477" i="1"/>
  <c r="C509" i="1"/>
  <c r="AT543" i="1"/>
  <c r="AV573" i="1"/>
  <c r="AV574" i="1"/>
  <c r="AT578" i="1"/>
  <c r="AT609" i="1"/>
  <c r="AV633" i="1"/>
  <c r="AV669" i="1"/>
  <c r="AR674" i="1"/>
  <c r="AR757" i="1"/>
  <c r="AT791" i="1"/>
  <c r="H919" i="1"/>
  <c r="C920" i="1"/>
  <c r="AY24" i="1"/>
  <c r="AR19" i="1"/>
  <c r="Y24" i="1"/>
  <c r="U18" i="1" s="1"/>
  <c r="AV42" i="1"/>
  <c r="AR43" i="1"/>
  <c r="AT50" i="1"/>
  <c r="AT75" i="1"/>
  <c r="Z79" i="1"/>
  <c r="AO86" i="1"/>
  <c r="AV85" i="1"/>
  <c r="AR108" i="1"/>
  <c r="H105" i="1"/>
  <c r="AS117" i="1"/>
  <c r="Z327" i="1"/>
  <c r="AT322" i="1"/>
  <c r="AV324" i="1"/>
  <c r="AT328" i="1"/>
  <c r="Z358" i="1"/>
  <c r="AR352" i="1"/>
  <c r="AV352" i="1"/>
  <c r="AV355" i="1"/>
  <c r="AU365" i="1"/>
  <c r="AT361" i="1"/>
  <c r="Z389" i="1"/>
  <c r="AR383" i="1"/>
  <c r="AV384" i="1"/>
  <c r="AV385" i="1"/>
  <c r="AR388" i="1"/>
  <c r="AO396" i="1"/>
  <c r="AT391" i="1"/>
  <c r="AR392" i="1"/>
  <c r="AV395" i="1"/>
  <c r="AT414" i="1"/>
  <c r="AR417" i="1"/>
  <c r="AY427" i="1"/>
  <c r="AT425" i="1"/>
  <c r="Z451" i="1"/>
  <c r="AT446" i="1"/>
  <c r="C455" i="1"/>
  <c r="Z482" i="1"/>
  <c r="AV478" i="1"/>
  <c r="AO489" i="1"/>
  <c r="AU489" i="1"/>
  <c r="AT488" i="1"/>
  <c r="Z513" i="1"/>
  <c r="Z544" i="1"/>
  <c r="AR538" i="1"/>
  <c r="AR542" i="1"/>
  <c r="AS551" i="1"/>
  <c r="Z575" i="1"/>
  <c r="AR570" i="1"/>
  <c r="AV571" i="1"/>
  <c r="AV572" i="1"/>
  <c r="AV577" i="1"/>
  <c r="AR580" i="1"/>
  <c r="Z606" i="1"/>
  <c r="AR603" i="1"/>
  <c r="AY613" i="1"/>
  <c r="AV609" i="1"/>
  <c r="AR611" i="1"/>
  <c r="AR612" i="1"/>
  <c r="Z637" i="1"/>
  <c r="AR631" i="1"/>
  <c r="AT635" i="1"/>
  <c r="AT636" i="1"/>
  <c r="AV638" i="1"/>
  <c r="AR639" i="1"/>
  <c r="AT640" i="1"/>
  <c r="AT667" i="1"/>
  <c r="AV662" i="1"/>
  <c r="AY675" i="1"/>
  <c r="AT673" i="1"/>
  <c r="AT758" i="1"/>
  <c r="AT757" i="1"/>
  <c r="AU768" i="1"/>
  <c r="Z792" i="1"/>
  <c r="AR787" i="1"/>
  <c r="AV790" i="1"/>
  <c r="Z799" i="1"/>
  <c r="AS799" i="1"/>
  <c r="C795" i="1"/>
  <c r="H795" i="1" s="1"/>
  <c r="H794" i="1"/>
  <c r="AV797" i="1"/>
  <c r="AT849" i="1"/>
  <c r="AR853" i="1"/>
  <c r="AT888" i="1"/>
  <c r="AT886" i="1"/>
  <c r="Z916" i="1"/>
  <c r="AV913" i="1"/>
  <c r="AO954" i="1"/>
  <c r="AV948" i="1"/>
  <c r="AV952" i="1"/>
  <c r="Z1009" i="1"/>
  <c r="AT115" i="1"/>
  <c r="AV323" i="1"/>
  <c r="AV361" i="1"/>
  <c r="AR364" i="1"/>
  <c r="AR423" i="1"/>
  <c r="AV426" i="1"/>
  <c r="AT457" i="1"/>
  <c r="AV509" i="1"/>
  <c r="AT542" i="1"/>
  <c r="AT549" i="1"/>
  <c r="AT569" i="1"/>
  <c r="AR573" i="1"/>
  <c r="AR574" i="1"/>
  <c r="AO582" i="1"/>
  <c r="AT580" i="1"/>
  <c r="AR579" i="1"/>
  <c r="AR604" i="1"/>
  <c r="AV604" i="1"/>
  <c r="AR601" i="1"/>
  <c r="C602" i="1"/>
  <c r="C603" i="1" s="1"/>
  <c r="H603" i="1" s="1"/>
  <c r="AT603" i="1"/>
  <c r="Z613" i="1"/>
  <c r="AT611" i="1"/>
  <c r="AT612" i="1"/>
  <c r="AR633" i="1"/>
  <c r="AV635" i="1"/>
  <c r="Z644" i="1"/>
  <c r="Y668" i="1"/>
  <c r="N663" i="1" s="1"/>
  <c r="AV666" i="1"/>
  <c r="AT666" i="1"/>
  <c r="Z675" i="1"/>
  <c r="AR670" i="1"/>
  <c r="AR669" i="1"/>
  <c r="AV673" i="1"/>
  <c r="AV674" i="1"/>
  <c r="AV757" i="1"/>
  <c r="AT764" i="1"/>
  <c r="AT788" i="1"/>
  <c r="AV789" i="1"/>
  <c r="AR797" i="1"/>
  <c r="AV817" i="1"/>
  <c r="AT856" i="1"/>
  <c r="AR890" i="1"/>
  <c r="AV919" i="1"/>
  <c r="H975" i="1"/>
  <c r="C976" i="1"/>
  <c r="AU24" i="1"/>
  <c r="AO24" i="1"/>
  <c r="AV19" i="1"/>
  <c r="AV43" i="1"/>
  <c r="AT45" i="1"/>
  <c r="AV46" i="1"/>
  <c r="AV50" i="1"/>
  <c r="AR54" i="1"/>
  <c r="C75" i="1"/>
  <c r="Z86" i="1"/>
  <c r="C82" i="1"/>
  <c r="AT109" i="1"/>
  <c r="AT321" i="1"/>
  <c r="AR324" i="1"/>
  <c r="AT325" i="1"/>
  <c r="AT326" i="1"/>
  <c r="AV332" i="1"/>
  <c r="AV333" i="1"/>
  <c r="AT352" i="1"/>
  <c r="AR355" i="1"/>
  <c r="AT356" i="1"/>
  <c r="AY365" i="1"/>
  <c r="AT363" i="1"/>
  <c r="AT364" i="1"/>
  <c r="AR385" i="1"/>
  <c r="AV388" i="1"/>
  <c r="Z396" i="1"/>
  <c r="AR390" i="1"/>
  <c r="AV393" i="1"/>
  <c r="AV392" i="1"/>
  <c r="AR395" i="1"/>
  <c r="AV415" i="1"/>
  <c r="AT416" i="1"/>
  <c r="AV417" i="1"/>
  <c r="AT421" i="1"/>
  <c r="AT423" i="1"/>
  <c r="AO458" i="1"/>
  <c r="AV456" i="1"/>
  <c r="AR481" i="1"/>
  <c r="AV488" i="1"/>
  <c r="AV485" i="1"/>
  <c r="C516" i="1"/>
  <c r="AR519" i="1"/>
  <c r="AV570" i="1"/>
  <c r="AT570" i="1"/>
  <c r="AR571" i="1"/>
  <c r="C572" i="1"/>
  <c r="C573" i="1" s="1"/>
  <c r="AR572" i="1"/>
  <c r="AT573" i="1"/>
  <c r="AT574" i="1"/>
  <c r="Y582" i="1"/>
  <c r="AP580" i="1" s="1"/>
  <c r="AW582" i="1"/>
  <c r="AR577" i="1"/>
  <c r="AT579" i="1"/>
  <c r="AV580" i="1"/>
  <c r="AT600" i="1"/>
  <c r="AT601" i="1"/>
  <c r="AV603" i="1"/>
  <c r="AT607" i="1"/>
  <c r="AR609" i="1"/>
  <c r="AV611" i="1"/>
  <c r="AV612" i="1"/>
  <c r="AV631" i="1"/>
  <c r="AT633" i="1"/>
  <c r="AR642" i="1"/>
  <c r="AY644" i="1"/>
  <c r="AV639" i="1"/>
  <c r="Z668" i="1"/>
  <c r="AR666" i="1"/>
  <c r="H663" i="1"/>
  <c r="AR662" i="1"/>
  <c r="AT672" i="1"/>
  <c r="Y761" i="1"/>
  <c r="AN756" i="1" s="1"/>
  <c r="AT759" i="1"/>
  <c r="AV787" i="1"/>
  <c r="AV788" i="1"/>
  <c r="AR790" i="1"/>
  <c r="AO799" i="1"/>
  <c r="AR798" i="1"/>
  <c r="H818" i="1"/>
  <c r="AT818" i="1"/>
  <c r="AV819" i="1"/>
  <c r="AT827" i="1"/>
  <c r="AS861" i="1"/>
  <c r="AR855" i="1"/>
  <c r="AO861" i="1"/>
  <c r="AT859" i="1"/>
  <c r="AR891" i="1"/>
  <c r="AR977" i="1"/>
  <c r="AT972" i="1"/>
  <c r="AT975" i="1"/>
  <c r="AY1140" i="1"/>
  <c r="AW1171" i="1"/>
  <c r="AV1165" i="1"/>
  <c r="AV1168" i="1"/>
  <c r="AT1191" i="1"/>
  <c r="AT1194" i="1"/>
  <c r="AW799" i="1"/>
  <c r="AR794" i="1"/>
  <c r="AT795" i="1"/>
  <c r="AT796" i="1"/>
  <c r="AO830" i="1"/>
  <c r="AR826" i="1"/>
  <c r="AV848" i="1"/>
  <c r="Y861" i="1"/>
  <c r="U857" i="1" s="1"/>
  <c r="Z885" i="1"/>
  <c r="AV888" i="1"/>
  <c r="AW892" i="1"/>
  <c r="AU923" i="1"/>
  <c r="AR946" i="1"/>
  <c r="Y978" i="1"/>
  <c r="AP973" i="1" s="1"/>
  <c r="AT973" i="1"/>
  <c r="AV976" i="1"/>
  <c r="AV981" i="1"/>
  <c r="Y1016" i="1"/>
  <c r="N1010" i="1" s="1"/>
  <c r="AW1016" i="1"/>
  <c r="Z1016" i="1"/>
  <c r="AT1011" i="1"/>
  <c r="AV1014" i="1"/>
  <c r="AV1036" i="1"/>
  <c r="AV1039" i="1"/>
  <c r="AY1047" i="1"/>
  <c r="AR1046" i="1"/>
  <c r="Z1071" i="1"/>
  <c r="AY1078" i="1"/>
  <c r="AR1075" i="1"/>
  <c r="AT1096" i="1"/>
  <c r="H1136" i="1"/>
  <c r="C1137" i="1"/>
  <c r="AT1137" i="1"/>
  <c r="AV1167" i="1"/>
  <c r="AV1191" i="1"/>
  <c r="AT1192" i="1"/>
  <c r="AV1193" i="1"/>
  <c r="AV1194" i="1"/>
  <c r="AY1202" i="1"/>
  <c r="AO1202" i="1"/>
  <c r="AW1202" i="1"/>
  <c r="AT1223" i="1"/>
  <c r="AW1233" i="1"/>
  <c r="AT1314" i="1"/>
  <c r="H1322" i="1"/>
  <c r="C1323" i="1"/>
  <c r="AY1357" i="1"/>
  <c r="AR1354" i="1"/>
  <c r="AV1385" i="1"/>
  <c r="AY799" i="1"/>
  <c r="AT797" i="1"/>
  <c r="AR818" i="1"/>
  <c r="AT826" i="1"/>
  <c r="AT850" i="1"/>
  <c r="Z861" i="1"/>
  <c r="AW861" i="1"/>
  <c r="AR856" i="1"/>
  <c r="AO892" i="1"/>
  <c r="AO923" i="1"/>
  <c r="AR919" i="1"/>
  <c r="AV942" i="1"/>
  <c r="AT943" i="1"/>
  <c r="AV945" i="1"/>
  <c r="AY954" i="1"/>
  <c r="Z978" i="1"/>
  <c r="AT977" i="1"/>
  <c r="AT983" i="1"/>
  <c r="AT984" i="1"/>
  <c r="AV1004" i="1"/>
  <c r="AV1005" i="1"/>
  <c r="AV1013" i="1"/>
  <c r="AV1035" i="1"/>
  <c r="Z1047" i="1"/>
  <c r="AT1070" i="1"/>
  <c r="AW1078" i="1"/>
  <c r="AR1073" i="1"/>
  <c r="AR1074" i="1"/>
  <c r="AT1075" i="1"/>
  <c r="AR1127" i="1"/>
  <c r="AR1130" i="1"/>
  <c r="AO1140" i="1"/>
  <c r="AT1159" i="1"/>
  <c r="AS1171" i="1"/>
  <c r="C1229" i="1"/>
  <c r="H1228" i="1"/>
  <c r="Z1319" i="1"/>
  <c r="AR1318" i="1"/>
  <c r="H1376" i="1"/>
  <c r="C1377" i="1"/>
  <c r="C1378" i="1" s="1"/>
  <c r="H1378" i="1" s="1"/>
  <c r="AO1388" i="1"/>
  <c r="AT884" i="1"/>
  <c r="AS892" i="1"/>
  <c r="AT921" i="1"/>
  <c r="AT922" i="1"/>
  <c r="AV946" i="1"/>
  <c r="AO985" i="1"/>
  <c r="AT1010" i="1"/>
  <c r="AV1046" i="1"/>
  <c r="AT1068" i="1"/>
  <c r="AR1072" i="1"/>
  <c r="Z1078" i="1"/>
  <c r="AT1099" i="1"/>
  <c r="AR1107" i="1"/>
  <c r="H1128" i="1"/>
  <c r="C1129" i="1"/>
  <c r="AV1160" i="1"/>
  <c r="AV1199" i="1"/>
  <c r="AR1224" i="1"/>
  <c r="AO1233" i="1"/>
  <c r="AT1230" i="1"/>
  <c r="AV1231" i="1"/>
  <c r="AT1313" i="1"/>
  <c r="AR1346" i="1"/>
  <c r="AV1349" i="1"/>
  <c r="Y1357" i="1"/>
  <c r="N1351" i="1" s="1"/>
  <c r="AT1378" i="1"/>
  <c r="AR1385" i="1"/>
  <c r="AR1387" i="1"/>
  <c r="H1407" i="1"/>
  <c r="AT1407" i="1"/>
  <c r="AO1419" i="1"/>
  <c r="AV1438" i="1"/>
  <c r="AT1439" i="1"/>
  <c r="AV1441" i="1"/>
  <c r="AU1481" i="1"/>
  <c r="AR1506" i="1"/>
  <c r="H1593" i="1"/>
  <c r="C1594" i="1"/>
  <c r="AR1626" i="1"/>
  <c r="AY1636" i="1"/>
  <c r="AR1656" i="1"/>
  <c r="H1748" i="1"/>
  <c r="C1749" i="1"/>
  <c r="AT1596" i="1"/>
  <c r="AR1604" i="1"/>
  <c r="AR1721" i="1"/>
  <c r="AR1728" i="1"/>
  <c r="AR1751" i="1"/>
  <c r="AV1788" i="1"/>
  <c r="AS1078" i="1"/>
  <c r="AV1100" i="1"/>
  <c r="AR1105" i="1"/>
  <c r="AR1129" i="1"/>
  <c r="AU1140" i="1"/>
  <c r="AR1138" i="1"/>
  <c r="AV1159" i="1"/>
  <c r="AR1163" i="1"/>
  <c r="AY1171" i="1"/>
  <c r="AR1168" i="1"/>
  <c r="AT1190" i="1"/>
  <c r="Z1202" i="1"/>
  <c r="AR1198" i="1"/>
  <c r="AT1200" i="1"/>
  <c r="Z1226" i="1"/>
  <c r="AV1227" i="1"/>
  <c r="AU1326" i="1"/>
  <c r="Z1357" i="1"/>
  <c r="AT1353" i="1"/>
  <c r="AO1357" i="1"/>
  <c r="AV1354" i="1"/>
  <c r="AV1387" i="1"/>
  <c r="Y1412" i="1"/>
  <c r="N1406" i="1" s="1"/>
  <c r="Z1419" i="1"/>
  <c r="Z1443" i="1"/>
  <c r="AW1450" i="1"/>
  <c r="AY1450" i="1"/>
  <c r="AT1511" i="1"/>
  <c r="AT1593" i="1"/>
  <c r="AV1656" i="1"/>
  <c r="AR1688" i="1"/>
  <c r="AY1729" i="1"/>
  <c r="AR1726" i="1"/>
  <c r="AT1758" i="1"/>
  <c r="AT1759" i="1"/>
  <c r="AW1791" i="1"/>
  <c r="AR1790" i="1"/>
  <c r="AV1128" i="1"/>
  <c r="Z1133" i="1"/>
  <c r="AT1128" i="1"/>
  <c r="AV1130" i="1"/>
  <c r="AT1139" i="1"/>
  <c r="Z1164" i="1"/>
  <c r="AR1167" i="1"/>
  <c r="AV1189" i="1"/>
  <c r="AR1190" i="1"/>
  <c r="AV1201" i="1"/>
  <c r="Z1233" i="1"/>
  <c r="AY1233" i="1"/>
  <c r="AT1229" i="1"/>
  <c r="AT1232" i="1"/>
  <c r="AO1326" i="1"/>
  <c r="AR1322" i="1"/>
  <c r="AT1324" i="1"/>
  <c r="AT1325" i="1"/>
  <c r="Z1350" i="1"/>
  <c r="AR1345" i="1"/>
  <c r="AR1348" i="1"/>
  <c r="AS1357" i="1"/>
  <c r="AT1380" i="1"/>
  <c r="AW1388" i="1"/>
  <c r="AR1408" i="1"/>
  <c r="Y1419" i="1"/>
  <c r="AN1416" i="1" s="1"/>
  <c r="AR1442" i="1"/>
  <c r="H1445" i="1"/>
  <c r="C1446" i="1"/>
  <c r="AR1475" i="1"/>
  <c r="C1477" i="1"/>
  <c r="H1476" i="1"/>
  <c r="Y1512" i="1"/>
  <c r="U1507" i="1" s="1"/>
  <c r="AV1535" i="1"/>
  <c r="AT1570" i="1"/>
  <c r="AR1599" i="1"/>
  <c r="AR1723" i="1"/>
  <c r="H1724" i="1"/>
  <c r="C1725" i="1"/>
  <c r="C1726" i="1" s="1"/>
  <c r="AT1757" i="1"/>
  <c r="AR1788" i="1"/>
  <c r="AV1442" i="1"/>
  <c r="AV1470" i="1"/>
  <c r="AO1481" i="1"/>
  <c r="AV1477" i="1"/>
  <c r="AR1476" i="1"/>
  <c r="AV1478" i="1"/>
  <c r="AV1530" i="1"/>
  <c r="AR1534" i="1"/>
  <c r="Z1543" i="1"/>
  <c r="AR1600" i="1"/>
  <c r="AR1601" i="1"/>
  <c r="AV1623" i="1"/>
  <c r="AR1625" i="1"/>
  <c r="AV1627" i="1"/>
  <c r="Z1636" i="1"/>
  <c r="AU1636" i="1"/>
  <c r="AR1658" i="1"/>
  <c r="AT1657" i="1"/>
  <c r="AV1686" i="1"/>
  <c r="Z1691" i="1"/>
  <c r="AT1686" i="1"/>
  <c r="AV1689" i="1"/>
  <c r="AO1698" i="1"/>
  <c r="C1694" i="1"/>
  <c r="Z1722" i="1"/>
  <c r="Y1729" i="1"/>
  <c r="U1725" i="1" s="1"/>
  <c r="AR1724" i="1"/>
  <c r="AR1725" i="1"/>
  <c r="AT1726" i="1"/>
  <c r="AT1750" i="1"/>
  <c r="AT1752" i="1"/>
  <c r="AW1760" i="1"/>
  <c r="AV1756" i="1"/>
  <c r="AV1758" i="1"/>
  <c r="AV1759" i="1"/>
  <c r="AR1778" i="1"/>
  <c r="AR1780" i="1"/>
  <c r="AT1781" i="1"/>
  <c r="AV1783" i="1"/>
  <c r="Z1791" i="1"/>
  <c r="AR1787" i="1"/>
  <c r="AT1789" i="1"/>
  <c r="Z1450" i="1"/>
  <c r="AU1450" i="1"/>
  <c r="AV1447" i="1"/>
  <c r="AT1471" i="1"/>
  <c r="AT1472" i="1"/>
  <c r="AY1512" i="1"/>
  <c r="AR1509" i="1"/>
  <c r="Z1536" i="1"/>
  <c r="H1531" i="1"/>
  <c r="AY1574" i="1"/>
  <c r="H1600" i="1"/>
  <c r="AV1626" i="1"/>
  <c r="AR1634" i="1"/>
  <c r="AV1633" i="1"/>
  <c r="AT1654" i="1"/>
  <c r="AS1667" i="1"/>
  <c r="AR1686" i="1"/>
  <c r="AV1688" i="1"/>
  <c r="AR1694" i="1"/>
  <c r="AR1695" i="1"/>
  <c r="AT1696" i="1"/>
  <c r="AT1697" i="1"/>
  <c r="AT1716" i="1"/>
  <c r="AV1720" i="1"/>
  <c r="AW1729" i="1"/>
  <c r="Z1729" i="1"/>
  <c r="AT1724" i="1"/>
  <c r="AO1729" i="1"/>
  <c r="AV1726" i="1"/>
  <c r="AV1747" i="1"/>
  <c r="AR1748" i="1"/>
  <c r="AV1750" i="1"/>
  <c r="AV1751" i="1"/>
  <c r="Z1760" i="1"/>
  <c r="AR1754" i="1"/>
  <c r="AT1778" i="1"/>
  <c r="AU1791" i="1"/>
  <c r="AR1786" i="1"/>
  <c r="AV1790" i="1"/>
  <c r="Z1505" i="1"/>
  <c r="AT1503" i="1"/>
  <c r="AR1508" i="1"/>
  <c r="AT1533" i="1"/>
  <c r="AV1534" i="1"/>
  <c r="AT1535" i="1"/>
  <c r="AO1543" i="1"/>
  <c r="AR1566" i="1"/>
  <c r="AW1574" i="1"/>
  <c r="AT1595" i="1"/>
  <c r="AR1602" i="1"/>
  <c r="AT1634" i="1"/>
  <c r="AT1685" i="1"/>
  <c r="AV1690" i="1"/>
  <c r="AV1716" i="1"/>
  <c r="AV1718" i="1"/>
  <c r="AS1729" i="1"/>
  <c r="AV1725" i="1"/>
  <c r="Z1753" i="1"/>
  <c r="AR1747" i="1"/>
  <c r="AT1748" i="1"/>
  <c r="AT1754" i="1"/>
  <c r="AR1756" i="1"/>
  <c r="AR1758" i="1"/>
  <c r="AR1759" i="1"/>
  <c r="AV1778" i="1"/>
  <c r="AT1779" i="1"/>
  <c r="AV1780" i="1"/>
  <c r="AR1783" i="1"/>
  <c r="AV1787" i="1"/>
  <c r="AV1692" i="1"/>
  <c r="AW1698" i="1"/>
  <c r="AV1693" i="1"/>
  <c r="AV1695" i="1"/>
  <c r="AT1718" i="1"/>
  <c r="Y1722" i="1"/>
  <c r="U1717" i="1" s="1"/>
  <c r="H1725" i="1"/>
  <c r="Y1698" i="1"/>
  <c r="U1692" i="1" s="1"/>
  <c r="Z1698" i="1"/>
  <c r="AT1694" i="1"/>
  <c r="AV1696" i="1"/>
  <c r="AV1697" i="1"/>
  <c r="AR1717" i="1"/>
  <c r="AT1721" i="1"/>
  <c r="AT1728" i="1"/>
  <c r="Y1691" i="1"/>
  <c r="N1690" i="1" s="1"/>
  <c r="H1687" i="1"/>
  <c r="C1688" i="1"/>
  <c r="AV1687" i="1"/>
  <c r="AR1689" i="1"/>
  <c r="AR1690" i="1"/>
  <c r="AR1692" i="1"/>
  <c r="AS1698" i="1"/>
  <c r="AV1694" i="1"/>
  <c r="AT1695" i="1"/>
  <c r="AT1717" i="1"/>
  <c r="AT1719" i="1"/>
  <c r="AR1720" i="1"/>
  <c r="AV1721" i="1"/>
  <c r="AV1724" i="1"/>
  <c r="AT1725" i="1"/>
  <c r="AT1727" i="1"/>
  <c r="AR1685" i="1"/>
  <c r="AR1687" i="1"/>
  <c r="AT1690" i="1"/>
  <c r="AT1692" i="1"/>
  <c r="AU1698" i="1"/>
  <c r="AY1698" i="1"/>
  <c r="AR1696" i="1"/>
  <c r="AR1697" i="1"/>
  <c r="AR1716" i="1"/>
  <c r="H1717" i="1"/>
  <c r="C1718" i="1"/>
  <c r="AR1718" i="1"/>
  <c r="AV1719" i="1"/>
  <c r="AT1720" i="1"/>
  <c r="AT1723" i="1"/>
  <c r="AV1727" i="1"/>
  <c r="AV1728" i="1"/>
  <c r="H1781" i="1"/>
  <c r="C1782" i="1"/>
  <c r="AR1749" i="1"/>
  <c r="AT1751" i="1"/>
  <c r="AR1757" i="1"/>
  <c r="AR1779" i="1"/>
  <c r="AV1779" i="1"/>
  <c r="AT1783" i="1"/>
  <c r="AV1749" i="1"/>
  <c r="AR1752" i="1"/>
  <c r="AV1752" i="1"/>
  <c r="Y1760" i="1"/>
  <c r="N1758" i="1" s="1"/>
  <c r="AR1782" i="1"/>
  <c r="AT1787" i="1"/>
  <c r="AT1688" i="1"/>
  <c r="Y1753" i="1"/>
  <c r="AP1749" i="1" s="1"/>
  <c r="C1756" i="1"/>
  <c r="AU1760" i="1"/>
  <c r="Z1784" i="1"/>
  <c r="H1779" i="1"/>
  <c r="H1780" i="1"/>
  <c r="AT1780" i="1"/>
  <c r="AR1781" i="1"/>
  <c r="AV1781" i="1"/>
  <c r="AR1785" i="1"/>
  <c r="AV1785" i="1"/>
  <c r="C1787" i="1"/>
  <c r="Y1791" i="1"/>
  <c r="AN1787" i="1" s="1"/>
  <c r="AS1791" i="1"/>
  <c r="AT1755" i="1"/>
  <c r="AV1757" i="1"/>
  <c r="AT1693" i="1"/>
  <c r="AR1755" i="1"/>
  <c r="AV1755" i="1"/>
  <c r="Y1784" i="1"/>
  <c r="AP1780" i="1" s="1"/>
  <c r="AV1782" i="1"/>
  <c r="AT1785" i="1"/>
  <c r="AT1788" i="1"/>
  <c r="AR1789" i="1"/>
  <c r="AV1789" i="1"/>
  <c r="AT1790" i="1"/>
  <c r="AT1131" i="1"/>
  <c r="AV1134" i="1"/>
  <c r="AW1140" i="1"/>
  <c r="AV1139" i="1"/>
  <c r="AV1136" i="1"/>
  <c r="AR1159" i="1"/>
  <c r="AT1170" i="1"/>
  <c r="H1197" i="1"/>
  <c r="C1198" i="1"/>
  <c r="AT1127" i="1"/>
  <c r="AV1131" i="1"/>
  <c r="AV1132" i="1"/>
  <c r="Y1140" i="1"/>
  <c r="N1139" i="1" s="1"/>
  <c r="AV1135" i="1"/>
  <c r="H1137" i="1"/>
  <c r="C1138" i="1"/>
  <c r="AV1137" i="1"/>
  <c r="AT1161" i="1"/>
  <c r="AV1163" i="1"/>
  <c r="AT1167" i="1"/>
  <c r="AT1169" i="1"/>
  <c r="AT1196" i="1"/>
  <c r="AU1202" i="1"/>
  <c r="AT1201" i="1"/>
  <c r="AT1198" i="1"/>
  <c r="AR1199" i="1"/>
  <c r="AR1201" i="1"/>
  <c r="Y1202" i="1"/>
  <c r="AV1220" i="1"/>
  <c r="AV1225" i="1"/>
  <c r="AV1222" i="1"/>
  <c r="AR1228" i="1"/>
  <c r="AR1230" i="1"/>
  <c r="AT1129" i="1"/>
  <c r="AV1127" i="1"/>
  <c r="Y1133" i="1"/>
  <c r="AN1130" i="1" s="1"/>
  <c r="H1129" i="1"/>
  <c r="C1130" i="1"/>
  <c r="AV1129" i="1"/>
  <c r="AR1131" i="1"/>
  <c r="AR1132" i="1"/>
  <c r="AR1134" i="1"/>
  <c r="AS1140" i="1"/>
  <c r="AR1139" i="1"/>
  <c r="AR1136" i="1"/>
  <c r="Z1140" i="1"/>
  <c r="AR1135" i="1"/>
  <c r="AT1136" i="1"/>
  <c r="AR1137" i="1"/>
  <c r="AV1138" i="1"/>
  <c r="H1159" i="1"/>
  <c r="C1160" i="1"/>
  <c r="AR1160" i="1"/>
  <c r="AV1161" i="1"/>
  <c r="AT1162" i="1"/>
  <c r="Y1171" i="1"/>
  <c r="U1167" i="1" s="1"/>
  <c r="AT1165" i="1"/>
  <c r="AV1169" i="1"/>
  <c r="AV1170" i="1"/>
  <c r="C1192" i="1"/>
  <c r="H1191" i="1"/>
  <c r="AR1193" i="1"/>
  <c r="AR1194" i="1"/>
  <c r="AS1202" i="1"/>
  <c r="AV1198" i="1"/>
  <c r="Y1226" i="1"/>
  <c r="U1220" i="1" s="1"/>
  <c r="AV1221" i="1"/>
  <c r="H1223" i="1"/>
  <c r="C1224" i="1"/>
  <c r="AV1223" i="1"/>
  <c r="AT1225" i="1"/>
  <c r="C1230" i="1"/>
  <c r="H1229" i="1"/>
  <c r="AR1231" i="1"/>
  <c r="AR1232" i="1"/>
  <c r="AT1132" i="1"/>
  <c r="AT1158" i="1"/>
  <c r="AT1163" i="1"/>
  <c r="AT1160" i="1"/>
  <c r="Y1164" i="1"/>
  <c r="AP1160" i="1" s="1"/>
  <c r="H1167" i="1"/>
  <c r="C1168" i="1"/>
  <c r="AR1169" i="1"/>
  <c r="AR1170" i="1"/>
  <c r="AU1171" i="1"/>
  <c r="AR1191" i="1"/>
  <c r="AT1193" i="1"/>
  <c r="AT1197" i="1"/>
  <c r="AT1199" i="1"/>
  <c r="AR1220" i="1"/>
  <c r="AR1225" i="1"/>
  <c r="AR1222" i="1"/>
  <c r="AR1221" i="1"/>
  <c r="AT1222" i="1"/>
  <c r="AT1224" i="1"/>
  <c r="AT1220" i="1"/>
  <c r="AR1223" i="1"/>
  <c r="AV1224" i="1"/>
  <c r="AU1233" i="1"/>
  <c r="AV1228" i="1"/>
  <c r="AV1230" i="1"/>
  <c r="AR1229" i="1"/>
  <c r="AT1231" i="1"/>
  <c r="AS1233" i="1"/>
  <c r="Y1319" i="1"/>
  <c r="U1313" i="1" s="1"/>
  <c r="H1315" i="1"/>
  <c r="C1316" i="1"/>
  <c r="AR1316" i="1"/>
  <c r="H1323" i="1"/>
  <c r="C1324" i="1"/>
  <c r="AR1376" i="1"/>
  <c r="AR1375" i="1"/>
  <c r="AR1378" i="1"/>
  <c r="AT1130" i="1"/>
  <c r="AT1134" i="1"/>
  <c r="AT1138" i="1"/>
  <c r="AR1158" i="1"/>
  <c r="AV1158" i="1"/>
  <c r="AR1162" i="1"/>
  <c r="AV1162" i="1"/>
  <c r="AR1166" i="1"/>
  <c r="AV1166" i="1"/>
  <c r="AT1168" i="1"/>
  <c r="AR1192" i="1"/>
  <c r="AV1192" i="1"/>
  <c r="Y1195" i="1"/>
  <c r="AN1192" i="1" s="1"/>
  <c r="AR1196" i="1"/>
  <c r="AV1196" i="1"/>
  <c r="AR1200" i="1"/>
  <c r="AV1200" i="1"/>
  <c r="AT1228" i="1"/>
  <c r="Y1233" i="1"/>
  <c r="N1230" i="1" s="1"/>
  <c r="AT1315" i="1"/>
  <c r="AT1316" i="1"/>
  <c r="AT1317" i="1"/>
  <c r="AT1318" i="1"/>
  <c r="AV1320" i="1"/>
  <c r="AV1323" i="1"/>
  <c r="AW1326" i="1"/>
  <c r="AV1321" i="1"/>
  <c r="AT1322" i="1"/>
  <c r="AV1324" i="1"/>
  <c r="AV1325" i="1"/>
  <c r="AT1344" i="1"/>
  <c r="AT1347" i="1"/>
  <c r="AV1347" i="1"/>
  <c r="AT1348" i="1"/>
  <c r="AV1353" i="1"/>
  <c r="AR1380" i="1"/>
  <c r="AR1447" i="1"/>
  <c r="AR1448" i="1"/>
  <c r="AR1444" i="1"/>
  <c r="H1345" i="1"/>
  <c r="C1346" i="1"/>
  <c r="AT1352" i="1"/>
  <c r="AT1355" i="1"/>
  <c r="AT1351" i="1"/>
  <c r="AT1356" i="1"/>
  <c r="C1379" i="1"/>
  <c r="AT1387" i="1"/>
  <c r="AT1382" i="1"/>
  <c r="AU1388" i="1"/>
  <c r="AT1386" i="1"/>
  <c r="AT1477" i="1"/>
  <c r="AT1475" i="1"/>
  <c r="AT1478" i="1"/>
  <c r="AT1135" i="1"/>
  <c r="AR1197" i="1"/>
  <c r="AV1197" i="1"/>
  <c r="AV1314" i="1"/>
  <c r="AV1316" i="1"/>
  <c r="Y1326" i="1"/>
  <c r="AY1326" i="1"/>
  <c r="AV1322" i="1"/>
  <c r="AT1323" i="1"/>
  <c r="AV1345" i="1"/>
  <c r="AT1346" i="1"/>
  <c r="AR1347" i="1"/>
  <c r="AV1348" i="1"/>
  <c r="AR1349" i="1"/>
  <c r="Y1350" i="1"/>
  <c r="AP1348" i="1" s="1"/>
  <c r="AV1351" i="1"/>
  <c r="AV1355" i="1"/>
  <c r="Y1381" i="1"/>
  <c r="U1378" i="1" s="1"/>
  <c r="AV1376" i="1"/>
  <c r="AV1375" i="1"/>
  <c r="AR1377" i="1"/>
  <c r="AV1378" i="1"/>
  <c r="AT1379" i="1"/>
  <c r="AY1388" i="1"/>
  <c r="AT1383" i="1"/>
  <c r="AR1440" i="1"/>
  <c r="AR1313" i="1"/>
  <c r="AV1313" i="1"/>
  <c r="AR1315" i="1"/>
  <c r="AV1315" i="1"/>
  <c r="AR1317" i="1"/>
  <c r="AV1317" i="1"/>
  <c r="Z1326" i="1"/>
  <c r="AR1320" i="1"/>
  <c r="AR1323" i="1"/>
  <c r="AS1326" i="1"/>
  <c r="AR1324" i="1"/>
  <c r="AR1325" i="1"/>
  <c r="AT1345" i="1"/>
  <c r="AV1346" i="1"/>
  <c r="AT1349" i="1"/>
  <c r="AR1351" i="1"/>
  <c r="AW1357" i="1"/>
  <c r="AR1353" i="1"/>
  <c r="AT1354" i="1"/>
  <c r="AR1355" i="1"/>
  <c r="AU1357" i="1"/>
  <c r="Z1381" i="1"/>
  <c r="AV1379" i="1"/>
  <c r="H1383" i="1"/>
  <c r="C1384" i="1"/>
  <c r="AT1384" i="1"/>
  <c r="AR1413" i="1"/>
  <c r="AS1419" i="1"/>
  <c r="C1415" i="1"/>
  <c r="H1414" i="1"/>
  <c r="AT1418" i="1"/>
  <c r="AT1414" i="1"/>
  <c r="AT1320" i="1"/>
  <c r="H1321" i="1"/>
  <c r="AR1344" i="1"/>
  <c r="AV1344" i="1"/>
  <c r="AR1352" i="1"/>
  <c r="AV1352" i="1"/>
  <c r="AT1376" i="1"/>
  <c r="H1377" i="1"/>
  <c r="AR1382" i="1"/>
  <c r="AV1382" i="1"/>
  <c r="Y1388" i="1"/>
  <c r="N1384" i="1" s="1"/>
  <c r="AS1388" i="1"/>
  <c r="AT1406" i="1"/>
  <c r="H1408" i="1"/>
  <c r="C1409" i="1"/>
  <c r="AR1409" i="1"/>
  <c r="AU1419" i="1"/>
  <c r="AT1413" i="1"/>
  <c r="AR1415" i="1"/>
  <c r="AR1417" i="1"/>
  <c r="AV1418" i="1"/>
  <c r="AV1439" i="1"/>
  <c r="AT1442" i="1"/>
  <c r="AS1450" i="1"/>
  <c r="H1446" i="1"/>
  <c r="C1447" i="1"/>
  <c r="AT1447" i="1"/>
  <c r="AV1471" i="1"/>
  <c r="AR1473" i="1"/>
  <c r="AR1594" i="1"/>
  <c r="AR1592" i="1"/>
  <c r="AT1321" i="1"/>
  <c r="AR1356" i="1"/>
  <c r="AV1356" i="1"/>
  <c r="AT1377" i="1"/>
  <c r="AR1383" i="1"/>
  <c r="AV1383" i="1"/>
  <c r="AR1384" i="1"/>
  <c r="AV1384" i="1"/>
  <c r="AT1408" i="1"/>
  <c r="AT1409" i="1"/>
  <c r="AT1410" i="1"/>
  <c r="AT1411" i="1"/>
  <c r="AV1413" i="1"/>
  <c r="AW1419" i="1"/>
  <c r="AT1415" i="1"/>
  <c r="AT1416" i="1"/>
  <c r="AT1417" i="1"/>
  <c r="AR1438" i="1"/>
  <c r="H1438" i="1"/>
  <c r="C1439" i="1"/>
  <c r="AR1441" i="1"/>
  <c r="AT1445" i="1"/>
  <c r="AT1448" i="1"/>
  <c r="AT1444" i="1"/>
  <c r="AT1449" i="1"/>
  <c r="AV1472" i="1"/>
  <c r="AT1473" i="1"/>
  <c r="AV1501" i="1"/>
  <c r="AV1503" i="1"/>
  <c r="AV1499" i="1"/>
  <c r="AV1502" i="1"/>
  <c r="AR1539" i="1"/>
  <c r="AR1541" i="1"/>
  <c r="AR1537" i="1"/>
  <c r="AR1540" i="1"/>
  <c r="AT1541" i="1"/>
  <c r="AU1543" i="1"/>
  <c r="AT1385" i="1"/>
  <c r="AV1386" i="1"/>
  <c r="AV1409" i="1"/>
  <c r="AY1419" i="1"/>
  <c r="AV1415" i="1"/>
  <c r="AV1417" i="1"/>
  <c r="AR1418" i="1"/>
  <c r="AT1437" i="1"/>
  <c r="AT1440" i="1"/>
  <c r="AR1439" i="1"/>
  <c r="AT1441" i="1"/>
  <c r="Y1450" i="1"/>
  <c r="AP1447" i="1" s="1"/>
  <c r="AT1446" i="1"/>
  <c r="AV1468" i="1"/>
  <c r="AV1469" i="1"/>
  <c r="AR1471" i="1"/>
  <c r="AR1472" i="1"/>
  <c r="AR1469" i="1"/>
  <c r="AT1480" i="1"/>
  <c r="AT1507" i="1"/>
  <c r="AT1509" i="1"/>
  <c r="AU1512" i="1"/>
  <c r="AT1508" i="1"/>
  <c r="AV1509" i="1"/>
  <c r="AV1506" i="1"/>
  <c r="AV1510" i="1"/>
  <c r="H1538" i="1"/>
  <c r="C1539" i="1"/>
  <c r="AR1437" i="1"/>
  <c r="AV1437" i="1"/>
  <c r="AR1445" i="1"/>
  <c r="AV1445" i="1"/>
  <c r="C1470" i="1"/>
  <c r="AR1470" i="1"/>
  <c r="AV1475" i="1"/>
  <c r="AR1478" i="1"/>
  <c r="AV1479" i="1"/>
  <c r="AT1500" i="1"/>
  <c r="AT1502" i="1"/>
  <c r="AV1504" i="1"/>
  <c r="AS1512" i="1"/>
  <c r="AT1510" i="1"/>
  <c r="AR1531" i="1"/>
  <c r="AR1533" i="1"/>
  <c r="AT1532" i="1"/>
  <c r="AT1537" i="1"/>
  <c r="AT1540" i="1"/>
  <c r="AT1542" i="1"/>
  <c r="AT1539" i="1"/>
  <c r="AV1538" i="1"/>
  <c r="AR1565" i="1"/>
  <c r="Y1567" i="1"/>
  <c r="N1565" i="1" s="1"/>
  <c r="AV1571" i="1"/>
  <c r="AV1568" i="1"/>
  <c r="AV1592" i="1"/>
  <c r="AV1593" i="1"/>
  <c r="AV1596" i="1"/>
  <c r="Z1598" i="1"/>
  <c r="AR1446" i="1"/>
  <c r="AV1446" i="1"/>
  <c r="AR1449" i="1"/>
  <c r="AV1449" i="1"/>
  <c r="AT1468" i="1"/>
  <c r="AT1470" i="1"/>
  <c r="Y1474" i="1"/>
  <c r="AP1468" i="1" s="1"/>
  <c r="Y1481" i="1"/>
  <c r="U1475" i="1" s="1"/>
  <c r="AS1481" i="1"/>
  <c r="AR1480" i="1"/>
  <c r="AW1481" i="1"/>
  <c r="AV1480" i="1"/>
  <c r="AR1477" i="1"/>
  <c r="H1500" i="1"/>
  <c r="C1501" i="1"/>
  <c r="AR1501" i="1"/>
  <c r="AR1503" i="1"/>
  <c r="AR1499" i="1"/>
  <c r="AT1506" i="1"/>
  <c r="AV1511" i="1"/>
  <c r="C1533" i="1"/>
  <c r="H1532" i="1"/>
  <c r="AR1538" i="1"/>
  <c r="AV1539" i="1"/>
  <c r="AV1541" i="1"/>
  <c r="AV1537" i="1"/>
  <c r="AR1571" i="1"/>
  <c r="AR1572" i="1"/>
  <c r="AT1602" i="1"/>
  <c r="AT1599" i="1"/>
  <c r="AV1473" i="1"/>
  <c r="Z1481" i="1"/>
  <c r="AY1481" i="1"/>
  <c r="AT1476" i="1"/>
  <c r="AR1479" i="1"/>
  <c r="AT1499" i="1"/>
  <c r="AT1504" i="1"/>
  <c r="AT1501" i="1"/>
  <c r="AV1500" i="1"/>
  <c r="AR1502" i="1"/>
  <c r="AR1504" i="1"/>
  <c r="Y1505" i="1"/>
  <c r="H1508" i="1"/>
  <c r="C1509" i="1"/>
  <c r="AV1508" i="1"/>
  <c r="AR1510" i="1"/>
  <c r="AR1511" i="1"/>
  <c r="AT1531" i="1"/>
  <c r="AV1531" i="1"/>
  <c r="AV1533" i="1"/>
  <c r="AR1532" i="1"/>
  <c r="AT1534" i="1"/>
  <c r="AY1543" i="1"/>
  <c r="AT1538" i="1"/>
  <c r="AV1562" i="1"/>
  <c r="AV1561" i="1"/>
  <c r="AV1566" i="1"/>
  <c r="AR1568" i="1"/>
  <c r="AV1600" i="1"/>
  <c r="AV1599" i="1"/>
  <c r="AV1604" i="1"/>
  <c r="AV1601" i="1"/>
  <c r="AT1479" i="1"/>
  <c r="AR1507" i="1"/>
  <c r="AV1507" i="1"/>
  <c r="Y1536" i="1"/>
  <c r="AP1532" i="1" s="1"/>
  <c r="AR1562" i="1"/>
  <c r="AR1561" i="1"/>
  <c r="AR1563" i="1"/>
  <c r="AR1564" i="1"/>
  <c r="AS1574" i="1"/>
  <c r="AV1573" i="1"/>
  <c r="AV1595" i="1"/>
  <c r="AV1603" i="1"/>
  <c r="Z1629" i="1"/>
  <c r="AV1666" i="1"/>
  <c r="AV1664" i="1"/>
  <c r="Y1543" i="1"/>
  <c r="AP1542" i="1" s="1"/>
  <c r="AS1543" i="1"/>
  <c r="AW1543" i="1"/>
  <c r="AV1542" i="1"/>
  <c r="AT1566" i="1"/>
  <c r="AT1563" i="1"/>
  <c r="AT1562" i="1"/>
  <c r="AT1565" i="1"/>
  <c r="AT1568" i="1"/>
  <c r="AT1571" i="1"/>
  <c r="H1571" i="1"/>
  <c r="AT1572" i="1"/>
  <c r="C1573" i="1"/>
  <c r="H1573" i="1" s="1"/>
  <c r="AR1573" i="1"/>
  <c r="AU1574" i="1"/>
  <c r="AR1596" i="1"/>
  <c r="AR1593" i="1"/>
  <c r="AV1594" i="1"/>
  <c r="AR1595" i="1"/>
  <c r="AU1605" i="1"/>
  <c r="H1601" i="1"/>
  <c r="C1602" i="1"/>
  <c r="AR1542" i="1"/>
  <c r="Z1567" i="1"/>
  <c r="AV1565" i="1"/>
  <c r="H1563" i="1"/>
  <c r="AT1564" i="1"/>
  <c r="C1565" i="1"/>
  <c r="H1570" i="1"/>
  <c r="AV1570" i="1"/>
  <c r="AV1572" i="1"/>
  <c r="AT1573" i="1"/>
  <c r="Y1574" i="1"/>
  <c r="N1569" i="1" s="1"/>
  <c r="AR1597" i="1"/>
  <c r="AT1603" i="1"/>
  <c r="AT1624" i="1"/>
  <c r="AT1628" i="1"/>
  <c r="AT1626" i="1"/>
  <c r="AR1569" i="1"/>
  <c r="AV1569" i="1"/>
  <c r="AT1592" i="1"/>
  <c r="AT1594" i="1"/>
  <c r="Y1598" i="1"/>
  <c r="AN1596" i="1" s="1"/>
  <c r="Y1605" i="1"/>
  <c r="AN1602" i="1" s="1"/>
  <c r="AV1602" i="1"/>
  <c r="AS1605" i="1"/>
  <c r="AR1623" i="1"/>
  <c r="AR1627" i="1"/>
  <c r="AR1624" i="1"/>
  <c r="Y1636" i="1"/>
  <c r="AN1632" i="1" s="1"/>
  <c r="AV1597" i="1"/>
  <c r="Z1605" i="1"/>
  <c r="AY1605" i="1"/>
  <c r="AT1601" i="1"/>
  <c r="AT1604" i="1"/>
  <c r="AW1605" i="1"/>
  <c r="H1625" i="1"/>
  <c r="C1626" i="1"/>
  <c r="Y1629" i="1"/>
  <c r="AN1625" i="1" s="1"/>
  <c r="C1657" i="1"/>
  <c r="H1656" i="1"/>
  <c r="AT1600" i="1"/>
  <c r="AT1623" i="1"/>
  <c r="AV1624" i="1"/>
  <c r="AT1625" i="1"/>
  <c r="AV1630" i="1"/>
  <c r="AR1633" i="1"/>
  <c r="AV1634" i="1"/>
  <c r="AV1655" i="1"/>
  <c r="AV1654" i="1"/>
  <c r="AV1657" i="1"/>
  <c r="H1662" i="1"/>
  <c r="C1663" i="1"/>
  <c r="AR1663" i="1"/>
  <c r="AR1665" i="1"/>
  <c r="AR1661" i="1"/>
  <c r="AT1665" i="1"/>
  <c r="AV1628" i="1"/>
  <c r="AR1630" i="1"/>
  <c r="AW1636" i="1"/>
  <c r="AV1635" i="1"/>
  <c r="AV1632" i="1"/>
  <c r="AV1631" i="1"/>
  <c r="H1632" i="1"/>
  <c r="C1633" i="1"/>
  <c r="Z1660" i="1"/>
  <c r="AV1658" i="1"/>
  <c r="AV1659" i="1"/>
  <c r="AT1661" i="1"/>
  <c r="AT1664" i="1"/>
  <c r="AU1667" i="1"/>
  <c r="AT1666" i="1"/>
  <c r="AT1663" i="1"/>
  <c r="AR1664" i="1"/>
  <c r="AR1666" i="1"/>
  <c r="Y1667" i="1"/>
  <c r="AP1661" i="1" s="1"/>
  <c r="AV1625" i="1"/>
  <c r="AT1627" i="1"/>
  <c r="AR1628" i="1"/>
  <c r="AS1636" i="1"/>
  <c r="AR1635" i="1"/>
  <c r="AR1632" i="1"/>
  <c r="AR1631" i="1"/>
  <c r="AT1631" i="1"/>
  <c r="AT1630" i="1"/>
  <c r="AT1633" i="1"/>
  <c r="AT1635" i="1"/>
  <c r="AR1655" i="1"/>
  <c r="AR1654" i="1"/>
  <c r="AR1657" i="1"/>
  <c r="AR1659" i="1"/>
  <c r="AO1667" i="1"/>
  <c r="AW1667" i="1"/>
  <c r="AV1663" i="1"/>
  <c r="AV1665" i="1"/>
  <c r="AV1661" i="1"/>
  <c r="AT1655" i="1"/>
  <c r="Y1660" i="1"/>
  <c r="AT1656" i="1"/>
  <c r="AR1662" i="1"/>
  <c r="AV1662" i="1"/>
  <c r="H633" i="1"/>
  <c r="C634" i="1"/>
  <c r="H573" i="1"/>
  <c r="C574" i="1"/>
  <c r="H574" i="1" s="1"/>
  <c r="H640" i="1"/>
  <c r="C641" i="1"/>
  <c r="Y575" i="1"/>
  <c r="AP573" i="1" s="1"/>
  <c r="AR576" i="1"/>
  <c r="AV576" i="1"/>
  <c r="AT581" i="1"/>
  <c r="AU582" i="1"/>
  <c r="AR602" i="1"/>
  <c r="AV602" i="1"/>
  <c r="AT604" i="1"/>
  <c r="AR605" i="1"/>
  <c r="AV605" i="1"/>
  <c r="AT608" i="1"/>
  <c r="AR610" i="1"/>
  <c r="AV610" i="1"/>
  <c r="Y613" i="1"/>
  <c r="N607" i="1" s="1"/>
  <c r="AR632" i="1"/>
  <c r="AV632" i="1"/>
  <c r="AT634" i="1"/>
  <c r="AT638" i="1"/>
  <c r="H639" i="1"/>
  <c r="AV641" i="1"/>
  <c r="AR569" i="1"/>
  <c r="AV569" i="1"/>
  <c r="H572" i="1"/>
  <c r="C579" i="1"/>
  <c r="AR607" i="1"/>
  <c r="AV607" i="1"/>
  <c r="C609" i="1"/>
  <c r="AU613" i="1"/>
  <c r="AT631" i="1"/>
  <c r="H632" i="1"/>
  <c r="AR636" i="1"/>
  <c r="AV636" i="1"/>
  <c r="AT639" i="1"/>
  <c r="AR641" i="1"/>
  <c r="AU644" i="1"/>
  <c r="C672" i="1"/>
  <c r="H671" i="1"/>
  <c r="AT572" i="1"/>
  <c r="AR578" i="1"/>
  <c r="AV578" i="1"/>
  <c r="AR581" i="1"/>
  <c r="AV581" i="1"/>
  <c r="AT602" i="1"/>
  <c r="AR608" i="1"/>
  <c r="AV608" i="1"/>
  <c r="AT610" i="1"/>
  <c r="AR634" i="1"/>
  <c r="AV634" i="1"/>
  <c r="Y637" i="1"/>
  <c r="AP633" i="1" s="1"/>
  <c r="AR640" i="1"/>
  <c r="AV640" i="1"/>
  <c r="AT641" i="1"/>
  <c r="AT643" i="1"/>
  <c r="Y644" i="1"/>
  <c r="N640" i="1" s="1"/>
  <c r="AS644" i="1"/>
  <c r="AR643" i="1"/>
  <c r="AW644" i="1"/>
  <c r="AV643" i="1"/>
  <c r="H664" i="1"/>
  <c r="C665" i="1"/>
  <c r="C758" i="1"/>
  <c r="H757" i="1"/>
  <c r="AR663" i="1"/>
  <c r="AV663" i="1"/>
  <c r="AT665" i="1"/>
  <c r="AT669" i="1"/>
  <c r="H670" i="1"/>
  <c r="AR671" i="1"/>
  <c r="AV671" i="1"/>
  <c r="AS675" i="1"/>
  <c r="AW675" i="1"/>
  <c r="AT755" i="1"/>
  <c r="H756" i="1"/>
  <c r="AV760" i="1"/>
  <c r="Y768" i="1"/>
  <c r="N765" i="1" s="1"/>
  <c r="AY768" i="1"/>
  <c r="AV764" i="1"/>
  <c r="AT765" i="1"/>
  <c r="AR664" i="1"/>
  <c r="AV664" i="1"/>
  <c r="AR667" i="1"/>
  <c r="AV667" i="1"/>
  <c r="AT670" i="1"/>
  <c r="AR672" i="1"/>
  <c r="AV672" i="1"/>
  <c r="Y675" i="1"/>
  <c r="U670" i="1" s="1"/>
  <c r="AT756" i="1"/>
  <c r="AR758" i="1"/>
  <c r="AV758" i="1"/>
  <c r="AR760" i="1"/>
  <c r="AR762" i="1"/>
  <c r="AS768" i="1"/>
  <c r="AR766" i="1"/>
  <c r="AR767" i="1"/>
  <c r="AT663" i="1"/>
  <c r="AR665" i="1"/>
  <c r="AV665" i="1"/>
  <c r="AT671" i="1"/>
  <c r="AT674" i="1"/>
  <c r="AU675" i="1"/>
  <c r="AR755" i="1"/>
  <c r="AV755" i="1"/>
  <c r="AR759" i="1"/>
  <c r="AV759" i="1"/>
  <c r="AT760" i="1"/>
  <c r="AR764" i="1"/>
  <c r="C765" i="1"/>
  <c r="AV765" i="1"/>
  <c r="AT766" i="1"/>
  <c r="AT767" i="1"/>
  <c r="AT664" i="1"/>
  <c r="AV762" i="1"/>
  <c r="AW768" i="1"/>
  <c r="AV763" i="1"/>
  <c r="AR765" i="1"/>
  <c r="AV766" i="1"/>
  <c r="AV767" i="1"/>
  <c r="AT787" i="1"/>
  <c r="AT790" i="1"/>
  <c r="AR791" i="1"/>
  <c r="AU799" i="1"/>
  <c r="AT819" i="1"/>
  <c r="AT820" i="1"/>
  <c r="AT821" i="1"/>
  <c r="AT822" i="1"/>
  <c r="AV824" i="1"/>
  <c r="AW830" i="1"/>
  <c r="AT828" i="1"/>
  <c r="AV850" i="1"/>
  <c r="AV852" i="1"/>
  <c r="AR880" i="1"/>
  <c r="AR879" i="1"/>
  <c r="H882" i="1"/>
  <c r="C883" i="1"/>
  <c r="AT1039" i="1"/>
  <c r="AT1036" i="1"/>
  <c r="AT1034" i="1"/>
  <c r="AT1038" i="1"/>
  <c r="AT1035" i="1"/>
  <c r="C1036" i="1"/>
  <c r="H1035" i="1"/>
  <c r="AT762" i="1"/>
  <c r="H763" i="1"/>
  <c r="AR786" i="1"/>
  <c r="AV786" i="1"/>
  <c r="C788" i="1"/>
  <c r="AR788" i="1"/>
  <c r="AT789" i="1"/>
  <c r="AR793" i="1"/>
  <c r="AV793" i="1"/>
  <c r="AV796" i="1"/>
  <c r="AR817" i="1"/>
  <c r="AV820" i="1"/>
  <c r="AY830" i="1"/>
  <c r="Z830" i="1"/>
  <c r="AV826" i="1"/>
  <c r="AV828" i="1"/>
  <c r="AR829" i="1"/>
  <c r="Z854" i="1"/>
  <c r="AR848" i="1"/>
  <c r="H849" i="1"/>
  <c r="C850" i="1"/>
  <c r="AR849" i="1"/>
  <c r="AV849" i="1"/>
  <c r="AR851" i="1"/>
  <c r="AV851" i="1"/>
  <c r="AT853" i="1"/>
  <c r="Y854" i="1"/>
  <c r="U852" i="1" s="1"/>
  <c r="AT855" i="1"/>
  <c r="H857" i="1"/>
  <c r="C858" i="1"/>
  <c r="AR858" i="1"/>
  <c r="AV859" i="1"/>
  <c r="AV860" i="1"/>
  <c r="AT879" i="1"/>
  <c r="AT882" i="1"/>
  <c r="AR882" i="1"/>
  <c r="AT889" i="1"/>
  <c r="AT890" i="1"/>
  <c r="AR944" i="1"/>
  <c r="Y799" i="1"/>
  <c r="AN793" i="1" s="1"/>
  <c r="AR796" i="1"/>
  <c r="AR819" i="1"/>
  <c r="AR821" i="1"/>
  <c r="AV821" i="1"/>
  <c r="AR822" i="1"/>
  <c r="AV822" i="1"/>
  <c r="AR824" i="1"/>
  <c r="AS830" i="1"/>
  <c r="C826" i="1"/>
  <c r="H825" i="1"/>
  <c r="AR825" i="1"/>
  <c r="AV825" i="1"/>
  <c r="AR827" i="1"/>
  <c r="AV827" i="1"/>
  <c r="AT829" i="1"/>
  <c r="Y830" i="1"/>
  <c r="AN826" i="1" s="1"/>
  <c r="AT848" i="1"/>
  <c r="AR850" i="1"/>
  <c r="AR852" i="1"/>
  <c r="AV853" i="1"/>
  <c r="AT857" i="1"/>
  <c r="AT858" i="1"/>
  <c r="AR860" i="1"/>
  <c r="AU861" i="1"/>
  <c r="AV880" i="1"/>
  <c r="AV879" i="1"/>
  <c r="AR913" i="1"/>
  <c r="AR914" i="1"/>
  <c r="AR910" i="1"/>
  <c r="AV791" i="1"/>
  <c r="AT793" i="1"/>
  <c r="AT794" i="1"/>
  <c r="AT817" i="1"/>
  <c r="Y823" i="1"/>
  <c r="N819" i="1" s="1"/>
  <c r="H819" i="1"/>
  <c r="C820" i="1"/>
  <c r="AR820" i="1"/>
  <c r="AU830" i="1"/>
  <c r="AT824" i="1"/>
  <c r="AR828" i="1"/>
  <c r="AV829" i="1"/>
  <c r="AT851" i="1"/>
  <c r="AT852" i="1"/>
  <c r="AV858" i="1"/>
  <c r="AT860" i="1"/>
  <c r="Y923" i="1"/>
  <c r="U921" i="1" s="1"/>
  <c r="AR951" i="1"/>
  <c r="AR952" i="1"/>
  <c r="AR948" i="1"/>
  <c r="AT880" i="1"/>
  <c r="H881" i="1"/>
  <c r="AR881" i="1"/>
  <c r="AR883" i="1"/>
  <c r="AV884" i="1"/>
  <c r="Y892" i="1"/>
  <c r="N888" i="1" s="1"/>
  <c r="AU892" i="1"/>
  <c r="AV887" i="1"/>
  <c r="AV886" i="1"/>
  <c r="AR888" i="1"/>
  <c r="AV889" i="1"/>
  <c r="AV915" i="1"/>
  <c r="AR912" i="1"/>
  <c r="H912" i="1"/>
  <c r="C913" i="1"/>
  <c r="AT913" i="1"/>
  <c r="Z923" i="1"/>
  <c r="AR917" i="1"/>
  <c r="AR920" i="1"/>
  <c r="AS923" i="1"/>
  <c r="AR921" i="1"/>
  <c r="AR922" i="1"/>
  <c r="AV943" i="1"/>
  <c r="AT946" i="1"/>
  <c r="AW954" i="1"/>
  <c r="AR949" i="1"/>
  <c r="H950" i="1"/>
  <c r="C951" i="1"/>
  <c r="AT951" i="1"/>
  <c r="AR973" i="1"/>
  <c r="AR972" i="1"/>
  <c r="Y985" i="1"/>
  <c r="AN984" i="1" s="1"/>
  <c r="AR1005" i="1"/>
  <c r="AR1006" i="1"/>
  <c r="AT881" i="1"/>
  <c r="AT883" i="1"/>
  <c r="Z892" i="1"/>
  <c r="AR915" i="1"/>
  <c r="AT911" i="1"/>
  <c r="AT914" i="1"/>
  <c r="AT910" i="1"/>
  <c r="AT915" i="1"/>
  <c r="H920" i="1"/>
  <c r="C921" i="1"/>
  <c r="AR942" i="1"/>
  <c r="H942" i="1"/>
  <c r="C943" i="1"/>
  <c r="AR945" i="1"/>
  <c r="AS954" i="1"/>
  <c r="AT949" i="1"/>
  <c r="AT948" i="1"/>
  <c r="AT953" i="1"/>
  <c r="C977" i="1"/>
  <c r="H977" i="1" s="1"/>
  <c r="H976" i="1"/>
  <c r="AR976" i="1"/>
  <c r="H1004" i="1"/>
  <c r="C1005" i="1"/>
  <c r="AV881" i="1"/>
  <c r="AV883" i="1"/>
  <c r="AR884" i="1"/>
  <c r="AY892" i="1"/>
  <c r="AR887" i="1"/>
  <c r="AR886" i="1"/>
  <c r="AR889" i="1"/>
  <c r="C890" i="1"/>
  <c r="Y916" i="1"/>
  <c r="AN915" i="1" s="1"/>
  <c r="AV912" i="1"/>
  <c r="AT912" i="1"/>
  <c r="AV917" i="1"/>
  <c r="AV920" i="1"/>
  <c r="AW923" i="1"/>
  <c r="AV918" i="1"/>
  <c r="AT919" i="1"/>
  <c r="AV921" i="1"/>
  <c r="AV922" i="1"/>
  <c r="AT941" i="1"/>
  <c r="AT944" i="1"/>
  <c r="AR943" i="1"/>
  <c r="AV944" i="1"/>
  <c r="AT945" i="1"/>
  <c r="Y954" i="1"/>
  <c r="U951" i="1" s="1"/>
  <c r="AT952" i="1"/>
  <c r="AV949" i="1"/>
  <c r="AT950" i="1"/>
  <c r="AV973" i="1"/>
  <c r="AV972" i="1"/>
  <c r="AR974" i="1"/>
  <c r="AR1013" i="1"/>
  <c r="AR1010" i="1"/>
  <c r="AR1014" i="1"/>
  <c r="AT887" i="1"/>
  <c r="H888" i="1"/>
  <c r="AR911" i="1"/>
  <c r="AV911" i="1"/>
  <c r="AT917" i="1"/>
  <c r="H918" i="1"/>
  <c r="AR941" i="1"/>
  <c r="AV941" i="1"/>
  <c r="H974" i="1"/>
  <c r="Z985" i="1"/>
  <c r="AR979" i="1"/>
  <c r="AR982" i="1"/>
  <c r="AS985" i="1"/>
  <c r="C981" i="1"/>
  <c r="H980" i="1"/>
  <c r="AR980" i="1"/>
  <c r="AT981" i="1"/>
  <c r="AV983" i="1"/>
  <c r="AV984" i="1"/>
  <c r="AT1003" i="1"/>
  <c r="AT1006" i="1"/>
  <c r="AT1008" i="1"/>
  <c r="AT1005" i="1"/>
  <c r="AR1008" i="1"/>
  <c r="Y1009" i="1"/>
  <c r="U1008" i="1" s="1"/>
  <c r="H1012" i="1"/>
  <c r="C1013" i="1"/>
  <c r="AV1012" i="1"/>
  <c r="AU1016" i="1"/>
  <c r="AR1035" i="1"/>
  <c r="AR1036" i="1"/>
  <c r="AR1039" i="1"/>
  <c r="AR1034" i="1"/>
  <c r="AT891" i="1"/>
  <c r="AT918" i="1"/>
  <c r="AR950" i="1"/>
  <c r="AV950" i="1"/>
  <c r="AR953" i="1"/>
  <c r="AV953" i="1"/>
  <c r="AT974" i="1"/>
  <c r="AV975" i="1"/>
  <c r="AU985" i="1"/>
  <c r="AT979" i="1"/>
  <c r="AT982" i="1"/>
  <c r="AR1012" i="1"/>
  <c r="AT1015" i="1"/>
  <c r="AT1041" i="1"/>
  <c r="AT1044" i="1"/>
  <c r="AU1047" i="1"/>
  <c r="AT1046" i="1"/>
  <c r="AT1043" i="1"/>
  <c r="AT1042" i="1"/>
  <c r="AR975" i="1"/>
  <c r="AT976" i="1"/>
  <c r="AV979" i="1"/>
  <c r="AV982" i="1"/>
  <c r="AW985" i="1"/>
  <c r="AT980" i="1"/>
  <c r="AR983" i="1"/>
  <c r="AR984" i="1"/>
  <c r="AT1004" i="1"/>
  <c r="AV1008" i="1"/>
  <c r="AS1016" i="1"/>
  <c r="AT1012" i="1"/>
  <c r="AT1014" i="1"/>
  <c r="AR1003" i="1"/>
  <c r="AV1003" i="1"/>
  <c r="AR1007" i="1"/>
  <c r="AV1007" i="1"/>
  <c r="AR1011" i="1"/>
  <c r="AV1011" i="1"/>
  <c r="AT1013" i="1"/>
  <c r="AT1037" i="1"/>
  <c r="AO1047" i="1"/>
  <c r="AV1043" i="1"/>
  <c r="AV1041" i="1"/>
  <c r="AV1068" i="1"/>
  <c r="H1074" i="1"/>
  <c r="C1075" i="1"/>
  <c r="H1104" i="1"/>
  <c r="C1105" i="1"/>
  <c r="AV1108" i="1"/>
  <c r="AV1106" i="1"/>
  <c r="AR1015" i="1"/>
  <c r="AV1015" i="1"/>
  <c r="Y1040" i="1"/>
  <c r="AR1038" i="1"/>
  <c r="AR1065" i="1"/>
  <c r="AR1068" i="1"/>
  <c r="AR1066" i="1"/>
  <c r="AV1067" i="1"/>
  <c r="AV1066" i="1"/>
  <c r="Z1040" i="1"/>
  <c r="AS1047" i="1"/>
  <c r="H1042" i="1"/>
  <c r="C1043" i="1"/>
  <c r="AR1043" i="1"/>
  <c r="AR1041" i="1"/>
  <c r="AV1044" i="1"/>
  <c r="AT1045" i="1"/>
  <c r="AR1037" i="1"/>
  <c r="AV1037" i="1"/>
  <c r="AR1045" i="1"/>
  <c r="AV1045" i="1"/>
  <c r="H1066" i="1"/>
  <c r="C1067" i="1"/>
  <c r="AR1069" i="1"/>
  <c r="AV1070" i="1"/>
  <c r="AT1073" i="1"/>
  <c r="AT1072" i="1"/>
  <c r="AT1077" i="1"/>
  <c r="AR1097" i="1"/>
  <c r="AR1096" i="1"/>
  <c r="AR1099" i="1"/>
  <c r="C1100" i="1"/>
  <c r="AT1103" i="1"/>
  <c r="AT1106" i="1"/>
  <c r="AU1109" i="1"/>
  <c r="AT1107" i="1"/>
  <c r="AR1042" i="1"/>
  <c r="AV1042" i="1"/>
  <c r="AR1067" i="1"/>
  <c r="AT1069" i="1"/>
  <c r="Y1078" i="1"/>
  <c r="AP1073" i="1" s="1"/>
  <c r="AT1076" i="1"/>
  <c r="AV1073" i="1"/>
  <c r="AT1074" i="1"/>
  <c r="AR1101" i="1"/>
  <c r="AO1109" i="1"/>
  <c r="AW1109" i="1"/>
  <c r="AT1105" i="1"/>
  <c r="AR1106" i="1"/>
  <c r="AV1107" i="1"/>
  <c r="AR1108" i="1"/>
  <c r="Y1109" i="1"/>
  <c r="AP1107" i="1" s="1"/>
  <c r="AV1065" i="1"/>
  <c r="AT1066" i="1"/>
  <c r="AT1067" i="1"/>
  <c r="AV1069" i="1"/>
  <c r="AR1070" i="1"/>
  <c r="Y1071" i="1"/>
  <c r="AN1066" i="1" s="1"/>
  <c r="AV1072" i="1"/>
  <c r="AV1076" i="1"/>
  <c r="Y1102" i="1"/>
  <c r="N1100" i="1" s="1"/>
  <c r="AT1101" i="1"/>
  <c r="AV1097" i="1"/>
  <c r="AV1096" i="1"/>
  <c r="AR1098" i="1"/>
  <c r="AV1099" i="1"/>
  <c r="AT1100" i="1"/>
  <c r="AY1109" i="1"/>
  <c r="AT1104" i="1"/>
  <c r="AV1105" i="1"/>
  <c r="AT1108" i="1"/>
  <c r="H1098" i="1"/>
  <c r="AR1103" i="1"/>
  <c r="AV1103" i="1"/>
  <c r="AV1074" i="1"/>
  <c r="AR1077" i="1"/>
  <c r="AV1077" i="1"/>
  <c r="AT1098" i="1"/>
  <c r="AR1104" i="1"/>
  <c r="AV1104" i="1"/>
  <c r="AT449" i="1"/>
  <c r="AS458" i="1"/>
  <c r="AR457" i="1"/>
  <c r="AR454" i="1"/>
  <c r="AT445" i="1"/>
  <c r="AT448" i="1"/>
  <c r="AR446" i="1"/>
  <c r="AT447" i="1"/>
  <c r="C448" i="1"/>
  <c r="AT450" i="1"/>
  <c r="Y451" i="1"/>
  <c r="U445" i="1" s="1"/>
  <c r="Y458" i="1"/>
  <c r="AP455" i="1" s="1"/>
  <c r="AR453" i="1"/>
  <c r="AR455" i="1"/>
  <c r="AR484" i="1"/>
  <c r="AR483" i="1"/>
  <c r="AS489" i="1"/>
  <c r="AR488" i="1"/>
  <c r="AV550" i="1"/>
  <c r="AV548" i="1"/>
  <c r="AR447" i="1"/>
  <c r="AR448" i="1"/>
  <c r="AR449" i="1"/>
  <c r="Z458" i="1"/>
  <c r="AV452" i="1"/>
  <c r="AT454" i="1"/>
  <c r="AT455" i="1"/>
  <c r="H477" i="1"/>
  <c r="C478" i="1"/>
  <c r="AR478" i="1"/>
  <c r="AR476" i="1"/>
  <c r="AT479" i="1"/>
  <c r="AR508" i="1"/>
  <c r="AR511" i="1"/>
  <c r="AR510" i="1"/>
  <c r="AR512" i="1"/>
  <c r="AR507" i="1"/>
  <c r="AT515" i="1"/>
  <c r="AT519" i="1"/>
  <c r="AT517" i="1"/>
  <c r="AU520" i="1"/>
  <c r="AR450" i="1"/>
  <c r="C485" i="1"/>
  <c r="H484" i="1"/>
  <c r="AV447" i="1"/>
  <c r="AV450" i="1"/>
  <c r="AR452" i="1"/>
  <c r="AW458" i="1"/>
  <c r="AV457" i="1"/>
  <c r="AV454" i="1"/>
  <c r="AU458" i="1"/>
  <c r="AT453" i="1"/>
  <c r="AT456" i="1"/>
  <c r="AT452" i="1"/>
  <c r="AR456" i="1"/>
  <c r="AT480" i="1"/>
  <c r="AW489" i="1"/>
  <c r="AS520" i="1"/>
  <c r="AR515" i="1"/>
  <c r="AR514" i="1"/>
  <c r="AT478" i="1"/>
  <c r="AT481" i="1"/>
  <c r="AT484" i="1"/>
  <c r="AT487" i="1"/>
  <c r="Y489" i="1"/>
  <c r="N483" i="1" s="1"/>
  <c r="C510" i="1"/>
  <c r="H509" i="1"/>
  <c r="Y513" i="1"/>
  <c r="AN507" i="1" s="1"/>
  <c r="AO520" i="1"/>
  <c r="AR516" i="1"/>
  <c r="AR518" i="1"/>
  <c r="Y482" i="1"/>
  <c r="U480" i="1" s="1"/>
  <c r="AR479" i="1"/>
  <c r="AV479" i="1"/>
  <c r="AR477" i="1"/>
  <c r="AV480" i="1"/>
  <c r="AV481" i="1"/>
  <c r="Z489" i="1"/>
  <c r="AT485" i="1"/>
  <c r="AT486" i="1"/>
  <c r="AR509" i="1"/>
  <c r="AW520" i="1"/>
  <c r="AV514" i="1"/>
  <c r="AV515" i="1"/>
  <c r="Z520" i="1"/>
  <c r="AY520" i="1"/>
  <c r="AT516" i="1"/>
  <c r="AV517" i="1"/>
  <c r="AT518" i="1"/>
  <c r="AR480" i="1"/>
  <c r="AY489" i="1"/>
  <c r="AV484" i="1"/>
  <c r="AV483" i="1"/>
  <c r="AV486" i="1"/>
  <c r="AV487" i="1"/>
  <c r="AT512" i="1"/>
  <c r="AT507" i="1"/>
  <c r="AT509" i="1"/>
  <c r="AT511" i="1"/>
  <c r="AV516" i="1"/>
  <c r="AR517" i="1"/>
  <c r="AV518" i="1"/>
  <c r="Y544" i="1"/>
  <c r="AN540" i="1" s="1"/>
  <c r="AV539" i="1"/>
  <c r="AV538" i="1"/>
  <c r="AV541" i="1"/>
  <c r="H546" i="1"/>
  <c r="C547" i="1"/>
  <c r="AR547" i="1"/>
  <c r="AR549" i="1"/>
  <c r="AR545" i="1"/>
  <c r="Y520" i="1"/>
  <c r="AP514" i="1" s="1"/>
  <c r="AT514" i="1"/>
  <c r="AT538" i="1"/>
  <c r="C541" i="1"/>
  <c r="H540" i="1"/>
  <c r="AR539" i="1"/>
  <c r="AR541" i="1"/>
  <c r="AV542" i="1"/>
  <c r="AV543" i="1"/>
  <c r="AT545" i="1"/>
  <c r="AT548" i="1"/>
  <c r="AU551" i="1"/>
  <c r="AT550" i="1"/>
  <c r="AT547" i="1"/>
  <c r="AV546" i="1"/>
  <c r="AR548" i="1"/>
  <c r="AR550" i="1"/>
  <c r="Y551" i="1"/>
  <c r="AP549" i="1" s="1"/>
  <c r="AV508" i="1"/>
  <c r="AT510" i="1"/>
  <c r="AV511" i="1"/>
  <c r="AV519" i="1"/>
  <c r="AT539" i="1"/>
  <c r="AV540" i="1"/>
  <c r="AT541" i="1"/>
  <c r="AW551" i="1"/>
  <c r="Z551" i="1"/>
  <c r="AR546" i="1"/>
  <c r="AO551" i="1"/>
  <c r="AV547" i="1"/>
  <c r="AV549" i="1"/>
  <c r="AV545" i="1"/>
  <c r="AT323" i="1"/>
  <c r="AR325" i="1"/>
  <c r="AV325" i="1"/>
  <c r="C331" i="1"/>
  <c r="H330" i="1"/>
  <c r="Y327" i="1"/>
  <c r="AP325" i="1" s="1"/>
  <c r="AR326" i="1"/>
  <c r="AV326" i="1"/>
  <c r="AR322" i="1"/>
  <c r="AV322" i="1"/>
  <c r="C324" i="1"/>
  <c r="AT324" i="1"/>
  <c r="Y334" i="1"/>
  <c r="AP329" i="1" s="1"/>
  <c r="H361" i="1"/>
  <c r="C362" i="1"/>
  <c r="Z334" i="1"/>
  <c r="AV328" i="1"/>
  <c r="AV331" i="1"/>
  <c r="AW334" i="1"/>
  <c r="AR332" i="1"/>
  <c r="AR333" i="1"/>
  <c r="AR328" i="1"/>
  <c r="AR331" i="1"/>
  <c r="AS334" i="1"/>
  <c r="AT331" i="1"/>
  <c r="AT330" i="1"/>
  <c r="AT332" i="1"/>
  <c r="AT333" i="1"/>
  <c r="C354" i="1"/>
  <c r="AT354" i="1"/>
  <c r="AR356" i="1"/>
  <c r="AV356" i="1"/>
  <c r="AT357" i="1"/>
  <c r="AR360" i="1"/>
  <c r="AV360" i="1"/>
  <c r="AT362" i="1"/>
  <c r="AT383" i="1"/>
  <c r="AT388" i="1"/>
  <c r="AT385" i="1"/>
  <c r="AT384" i="1"/>
  <c r="AT386" i="1"/>
  <c r="AT329" i="1"/>
  <c r="AR353" i="1"/>
  <c r="AV353" i="1"/>
  <c r="AT359" i="1"/>
  <c r="H360" i="1"/>
  <c r="AV364" i="1"/>
  <c r="AS365" i="1"/>
  <c r="AW365" i="1"/>
  <c r="AV354" i="1"/>
  <c r="AT360" i="1"/>
  <c r="AR362" i="1"/>
  <c r="AV362" i="1"/>
  <c r="Y365" i="1"/>
  <c r="N362" i="1" s="1"/>
  <c r="C417" i="1"/>
  <c r="H416" i="1"/>
  <c r="AT387" i="1"/>
  <c r="AP391" i="1"/>
  <c r="AR386" i="1"/>
  <c r="AV386" i="1"/>
  <c r="Y389" i="1"/>
  <c r="C392" i="1"/>
  <c r="AT392" i="1"/>
  <c r="AR394" i="1"/>
  <c r="AV394" i="1"/>
  <c r="AT395" i="1"/>
  <c r="AU396" i="1"/>
  <c r="AR416" i="1"/>
  <c r="AV416" i="1"/>
  <c r="AT418" i="1"/>
  <c r="AR419" i="1"/>
  <c r="AV419" i="1"/>
  <c r="AT422" i="1"/>
  <c r="AR424" i="1"/>
  <c r="AV424" i="1"/>
  <c r="Y427" i="1"/>
  <c r="AP422" i="1" s="1"/>
  <c r="C385" i="1"/>
  <c r="AV387" i="1"/>
  <c r="AR391" i="1"/>
  <c r="AV391" i="1"/>
  <c r="AT393" i="1"/>
  <c r="Y420" i="1"/>
  <c r="AR421" i="1"/>
  <c r="AV421" i="1"/>
  <c r="C423" i="1"/>
  <c r="AT426" i="1"/>
  <c r="AU427" i="1"/>
  <c r="AT390" i="1"/>
  <c r="U395" i="1"/>
  <c r="AS396" i="1"/>
  <c r="AW396" i="1"/>
  <c r="AR414" i="1"/>
  <c r="AV414" i="1"/>
  <c r="AT419" i="1"/>
  <c r="AR422" i="1"/>
  <c r="AV422" i="1"/>
  <c r="AT424" i="1"/>
  <c r="C14" i="1"/>
  <c r="H13" i="1"/>
  <c r="C21" i="1"/>
  <c r="H20" i="1"/>
  <c r="AV20" i="1"/>
  <c r="AR22" i="1"/>
  <c r="C107" i="1"/>
  <c r="H106" i="1"/>
  <c r="AT19" i="1"/>
  <c r="AR21" i="1"/>
  <c r="AV21" i="1"/>
  <c r="AV23" i="1"/>
  <c r="C45" i="1"/>
  <c r="H44" i="1"/>
  <c r="AR46" i="1"/>
  <c r="AR47" i="1"/>
  <c r="AR50" i="1"/>
  <c r="AV51" i="1"/>
  <c r="AV53" i="1"/>
  <c r="AV49" i="1"/>
  <c r="Y55" i="1"/>
  <c r="AN52" i="1" s="1"/>
  <c r="AS86" i="1"/>
  <c r="AR18" i="1"/>
  <c r="AV18" i="1"/>
  <c r="AT20" i="1"/>
  <c r="AT22" i="1"/>
  <c r="AR23" i="1"/>
  <c r="AT43" i="1"/>
  <c r="AR44" i="1"/>
  <c r="AT46" i="1"/>
  <c r="AY55" i="1"/>
  <c r="AT52" i="1"/>
  <c r="AV54" i="1"/>
  <c r="C83" i="1"/>
  <c r="H82" i="1"/>
  <c r="AV83" i="1"/>
  <c r="AR20" i="1"/>
  <c r="AT49" i="1"/>
  <c r="AU55" i="1"/>
  <c r="AT54" i="1"/>
  <c r="AT51" i="1"/>
  <c r="AR83" i="1"/>
  <c r="AR80" i="1"/>
  <c r="AV116" i="1"/>
  <c r="AV114" i="1"/>
  <c r="AS24" i="1"/>
  <c r="AW24" i="1"/>
  <c r="AT21" i="1"/>
  <c r="Z48" i="1"/>
  <c r="AT47" i="1"/>
  <c r="AS55" i="1"/>
  <c r="H50" i="1"/>
  <c r="C51" i="1"/>
  <c r="AR51" i="1"/>
  <c r="AR53" i="1"/>
  <c r="AR49" i="1"/>
  <c r="AV52" i="1"/>
  <c r="AT53" i="1"/>
  <c r="C76" i="1"/>
  <c r="H75" i="1"/>
  <c r="AV76" i="1"/>
  <c r="AV75" i="1"/>
  <c r="Y79" i="1"/>
  <c r="U77" i="1" s="1"/>
  <c r="AR45" i="1"/>
  <c r="AV45" i="1"/>
  <c r="Y48" i="1"/>
  <c r="N45" i="1" s="1"/>
  <c r="Y86" i="1"/>
  <c r="AP80" i="1" s="1"/>
  <c r="AT80" i="1"/>
  <c r="AT83" i="1"/>
  <c r="AT84" i="1"/>
  <c r="AR85" i="1"/>
  <c r="AU86" i="1"/>
  <c r="H112" i="1"/>
  <c r="C113" i="1"/>
  <c r="AR113" i="1"/>
  <c r="AR115" i="1"/>
  <c r="AR111" i="1"/>
  <c r="AT73" i="1"/>
  <c r="AV74" i="1"/>
  <c r="AT76" i="1"/>
  <c r="AV77" i="1"/>
  <c r="AT78" i="1"/>
  <c r="AV80" i="1"/>
  <c r="AV82" i="1"/>
  <c r="AV84" i="1"/>
  <c r="AT85" i="1"/>
  <c r="Z110" i="1"/>
  <c r="AV108" i="1"/>
  <c r="AV109" i="1"/>
  <c r="AT111" i="1"/>
  <c r="AT114" i="1"/>
  <c r="AU117" i="1"/>
  <c r="AT116" i="1"/>
  <c r="AT113" i="1"/>
  <c r="AR114" i="1"/>
  <c r="AR116" i="1"/>
  <c r="Y117" i="1"/>
  <c r="N112" i="1" s="1"/>
  <c r="AR74" i="1"/>
  <c r="AW86" i="1"/>
  <c r="AR82" i="1"/>
  <c r="AR84" i="1"/>
  <c r="AV106" i="1"/>
  <c r="AR109" i="1"/>
  <c r="AW117" i="1"/>
  <c r="Z117" i="1"/>
  <c r="AO117" i="1"/>
  <c r="AV113" i="1"/>
  <c r="AV115" i="1"/>
  <c r="AV111" i="1"/>
  <c r="AR81" i="1"/>
  <c r="AV81" i="1"/>
  <c r="AT105" i="1"/>
  <c r="AR107" i="1"/>
  <c r="AV107" i="1"/>
  <c r="Y110" i="1"/>
  <c r="AP109" i="1" s="1"/>
  <c r="AR104" i="1"/>
  <c r="AV104" i="1"/>
  <c r="AT106" i="1"/>
  <c r="AR112" i="1"/>
  <c r="AV112" i="1"/>
  <c r="AF258" i="1"/>
  <c r="AF272" i="1" s="1"/>
  <c r="AF289" i="1" s="1"/>
  <c r="AF303" i="1" s="1"/>
  <c r="AF320" i="1" s="1"/>
  <c r="AF334" i="1" s="1"/>
  <c r="AF351" i="1" s="1"/>
  <c r="AF365" i="1" s="1"/>
  <c r="AF382" i="1" s="1"/>
  <c r="AF396" i="1" s="1"/>
  <c r="AF413" i="1" s="1"/>
  <c r="AF427" i="1" s="1"/>
  <c r="AF444" i="1" s="1"/>
  <c r="AF458" i="1" s="1"/>
  <c r="AF475" i="1" s="1"/>
  <c r="AF489" i="1" s="1"/>
  <c r="AF506" i="1" s="1"/>
  <c r="AF520" i="1" s="1"/>
  <c r="AF537" i="1" s="1"/>
  <c r="AF551" i="1" s="1"/>
  <c r="AF568" i="1" s="1"/>
  <c r="AF582" i="1" s="1"/>
  <c r="AF599" i="1" s="1"/>
  <c r="AF613" i="1" s="1"/>
  <c r="AF630" i="1" s="1"/>
  <c r="AF644" i="1" s="1"/>
  <c r="AF661" i="1" s="1"/>
  <c r="AF675" i="1" s="1"/>
  <c r="AF692" i="1" s="1"/>
  <c r="AF706" i="1" s="1"/>
  <c r="AF723" i="1" s="1"/>
  <c r="AF737" i="1" s="1"/>
  <c r="AF754" i="1" s="1"/>
  <c r="AF768" i="1" s="1"/>
  <c r="AF785" i="1" s="1"/>
  <c r="AF799" i="1" s="1"/>
  <c r="AF816" i="1" s="1"/>
  <c r="AF830" i="1" s="1"/>
  <c r="AF847" i="1" s="1"/>
  <c r="AF861" i="1" s="1"/>
  <c r="AF878" i="1" s="1"/>
  <c r="AF892" i="1" s="1"/>
  <c r="AF909" i="1" s="1"/>
  <c r="AF923" i="1" s="1"/>
  <c r="AF940" i="1" s="1"/>
  <c r="AF954" i="1" s="1"/>
  <c r="AF971" i="1" s="1"/>
  <c r="AF985" i="1" s="1"/>
  <c r="AF1002" i="1" s="1"/>
  <c r="AF1016" i="1" s="1"/>
  <c r="AF1033" i="1" s="1"/>
  <c r="AF1047" i="1" s="1"/>
  <c r="AF1064" i="1" s="1"/>
  <c r="AF1078" i="1" s="1"/>
  <c r="AF1095" i="1" s="1"/>
  <c r="AF1109" i="1" s="1"/>
  <c r="AF1126" i="1" s="1"/>
  <c r="AF1140" i="1" s="1"/>
  <c r="AF1157" i="1" s="1"/>
  <c r="AF1171" i="1" s="1"/>
  <c r="AF1188" i="1" s="1"/>
  <c r="AF1202" i="1" s="1"/>
  <c r="AF1219" i="1" s="1"/>
  <c r="AF1233" i="1" s="1"/>
  <c r="AF1250" i="1" s="1"/>
  <c r="AF1264" i="1" s="1"/>
  <c r="AF1281" i="1" s="1"/>
  <c r="AF1295" i="1" s="1"/>
  <c r="AF1312" i="1" s="1"/>
  <c r="AF1326" i="1" s="1"/>
  <c r="AF1343" i="1" s="1"/>
  <c r="AF1357" i="1" s="1"/>
  <c r="AF1374" i="1" s="1"/>
  <c r="AF1388" i="1" s="1"/>
  <c r="AF1405" i="1" s="1"/>
  <c r="AF1419" i="1" s="1"/>
  <c r="AF1436" i="1" s="1"/>
  <c r="AF1450" i="1" s="1"/>
  <c r="AF1467" i="1" s="1"/>
  <c r="AF1481" i="1" s="1"/>
  <c r="AF1498" i="1" s="1"/>
  <c r="AF1512" i="1" s="1"/>
  <c r="AF1529" i="1" s="1"/>
  <c r="AF1543" i="1" s="1"/>
  <c r="AF1560" i="1" s="1"/>
  <c r="AF1574" i="1" s="1"/>
  <c r="AF1591" i="1" s="1"/>
  <c r="AF1605" i="1" s="1"/>
  <c r="AF1622" i="1" s="1"/>
  <c r="AF1636" i="1" s="1"/>
  <c r="AF1653" i="1" s="1"/>
  <c r="AF1667" i="1" s="1"/>
  <c r="AF1684" i="1" s="1"/>
  <c r="AF1698" i="1" s="1"/>
  <c r="AF1715" i="1" s="1"/>
  <c r="AF1729" i="1" s="1"/>
  <c r="AF1746" i="1" s="1"/>
  <c r="AF1760" i="1" s="1"/>
  <c r="AF1777" i="1" s="1"/>
  <c r="AF1791" i="1" s="1"/>
  <c r="AF1808" i="1" s="1"/>
  <c r="AF1822" i="1" s="1"/>
  <c r="AF1839" i="1" s="1"/>
  <c r="AF1853" i="1" s="1"/>
  <c r="AE258" i="1"/>
  <c r="AE272" i="1" s="1"/>
  <c r="AE289" i="1" s="1"/>
  <c r="AE303" i="1" s="1"/>
  <c r="AE320" i="1" s="1"/>
  <c r="AE334" i="1" s="1"/>
  <c r="AE351" i="1" s="1"/>
  <c r="AE365" i="1" s="1"/>
  <c r="AE382" i="1" s="1"/>
  <c r="AE396" i="1" s="1"/>
  <c r="AE413" i="1" s="1"/>
  <c r="AE427" i="1" s="1"/>
  <c r="AE444" i="1" s="1"/>
  <c r="AE458" i="1" s="1"/>
  <c r="AE475" i="1" s="1"/>
  <c r="AE489" i="1" s="1"/>
  <c r="AE506" i="1" s="1"/>
  <c r="AE520" i="1" s="1"/>
  <c r="AE537" i="1" s="1"/>
  <c r="AE551" i="1" s="1"/>
  <c r="AE568" i="1" s="1"/>
  <c r="AE582" i="1" s="1"/>
  <c r="AE599" i="1" s="1"/>
  <c r="AE613" i="1" s="1"/>
  <c r="AE630" i="1" s="1"/>
  <c r="AE644" i="1" s="1"/>
  <c r="AE661" i="1" s="1"/>
  <c r="AE675" i="1" s="1"/>
  <c r="AE692" i="1" s="1"/>
  <c r="AE706" i="1" s="1"/>
  <c r="AE723" i="1" s="1"/>
  <c r="AE737" i="1" s="1"/>
  <c r="AE754" i="1" s="1"/>
  <c r="AE768" i="1" s="1"/>
  <c r="AE785" i="1" s="1"/>
  <c r="AE799" i="1" s="1"/>
  <c r="AE816" i="1" s="1"/>
  <c r="AE830" i="1" s="1"/>
  <c r="AE847" i="1" s="1"/>
  <c r="AE861" i="1" s="1"/>
  <c r="AE878" i="1" s="1"/>
  <c r="AE892" i="1" s="1"/>
  <c r="AE909" i="1" s="1"/>
  <c r="AE923" i="1" s="1"/>
  <c r="AE940" i="1" s="1"/>
  <c r="AE954" i="1" s="1"/>
  <c r="AE971" i="1" s="1"/>
  <c r="AE985" i="1" s="1"/>
  <c r="AE1002" i="1" s="1"/>
  <c r="AE1016" i="1" s="1"/>
  <c r="AE1033" i="1" s="1"/>
  <c r="AE1047" i="1" s="1"/>
  <c r="AE1064" i="1" s="1"/>
  <c r="AE1078" i="1" s="1"/>
  <c r="AE1095" i="1" s="1"/>
  <c r="AE1109" i="1" s="1"/>
  <c r="AE1126" i="1" s="1"/>
  <c r="AE1140" i="1" s="1"/>
  <c r="AE1157" i="1" s="1"/>
  <c r="AE1171" i="1" s="1"/>
  <c r="AE1188" i="1" s="1"/>
  <c r="AE1202" i="1" s="1"/>
  <c r="AE1219" i="1" s="1"/>
  <c r="AE1233" i="1" s="1"/>
  <c r="AE1250" i="1" s="1"/>
  <c r="AE1264" i="1" s="1"/>
  <c r="AE1281" i="1" s="1"/>
  <c r="AE1295" i="1" s="1"/>
  <c r="AE1312" i="1" s="1"/>
  <c r="AE1326" i="1" s="1"/>
  <c r="AE1343" i="1" s="1"/>
  <c r="AE1357" i="1" s="1"/>
  <c r="AE1374" i="1" s="1"/>
  <c r="AE1388" i="1" s="1"/>
  <c r="AE1405" i="1" s="1"/>
  <c r="AE1419" i="1" s="1"/>
  <c r="AE1436" i="1" s="1"/>
  <c r="AE1450" i="1" s="1"/>
  <c r="AE1467" i="1" s="1"/>
  <c r="AE1481" i="1" s="1"/>
  <c r="AE1498" i="1" s="1"/>
  <c r="AE1512" i="1" s="1"/>
  <c r="AE1529" i="1" s="1"/>
  <c r="AE1543" i="1" s="1"/>
  <c r="AE1560" i="1" s="1"/>
  <c r="AE1574" i="1" s="1"/>
  <c r="AE1591" i="1" s="1"/>
  <c r="AE1605" i="1" s="1"/>
  <c r="AE1622" i="1" s="1"/>
  <c r="AE1636" i="1" s="1"/>
  <c r="AE1653" i="1" s="1"/>
  <c r="AE1667" i="1" s="1"/>
  <c r="AE1684" i="1" s="1"/>
  <c r="AE1698" i="1" s="1"/>
  <c r="AE1715" i="1" s="1"/>
  <c r="AE1729" i="1" s="1"/>
  <c r="AE1746" i="1" s="1"/>
  <c r="AE1760" i="1" s="1"/>
  <c r="AE1777" i="1" s="1"/>
  <c r="AE1791" i="1" s="1"/>
  <c r="AE1808" i="1" s="1"/>
  <c r="AE1822" i="1" s="1"/>
  <c r="AE1839" i="1" s="1"/>
  <c r="AE1853" i="1" s="1"/>
  <c r="AT202" i="1"/>
  <c r="AT199" i="1"/>
  <c r="AT198" i="1"/>
  <c r="AT200" i="1"/>
  <c r="AV202" i="1"/>
  <c r="AT206" i="1"/>
  <c r="AT208" i="1"/>
  <c r="AR231" i="1"/>
  <c r="AT235" i="1"/>
  <c r="AT238" i="1"/>
  <c r="AU241" i="1"/>
  <c r="AT240" i="1"/>
  <c r="AT237" i="1"/>
  <c r="AR238" i="1"/>
  <c r="AR240" i="1"/>
  <c r="Y241" i="1"/>
  <c r="N236" i="1" s="1"/>
  <c r="AV201" i="1"/>
  <c r="H199" i="1"/>
  <c r="AV200" i="1"/>
  <c r="AT201" i="1"/>
  <c r="AT204" i="1"/>
  <c r="AV208" i="1"/>
  <c r="AV209" i="1"/>
  <c r="C231" i="1"/>
  <c r="H230" i="1"/>
  <c r="AR232" i="1"/>
  <c r="AR233" i="1"/>
  <c r="AR236" i="1"/>
  <c r="C201" i="1"/>
  <c r="H200" i="1"/>
  <c r="AT209" i="1"/>
  <c r="H236" i="1"/>
  <c r="C237" i="1"/>
  <c r="AR201" i="1"/>
  <c r="H198" i="1"/>
  <c r="AV198" i="1"/>
  <c r="AR200" i="1"/>
  <c r="AR202" i="1"/>
  <c r="Y203" i="1"/>
  <c r="N201" i="1" s="1"/>
  <c r="AV204" i="1"/>
  <c r="H206" i="1"/>
  <c r="C207" i="1"/>
  <c r="AV206" i="1"/>
  <c r="AR208" i="1"/>
  <c r="AR209" i="1"/>
  <c r="AU210" i="1"/>
  <c r="AT229" i="1"/>
  <c r="AR230" i="1"/>
  <c r="AT232" i="1"/>
  <c r="AY241" i="1"/>
  <c r="AT236" i="1"/>
  <c r="AR239" i="1"/>
  <c r="AV240" i="1"/>
  <c r="AR197" i="1"/>
  <c r="AV197" i="1"/>
  <c r="AR205" i="1"/>
  <c r="AV205" i="1"/>
  <c r="AT207" i="1"/>
  <c r="AV231" i="1"/>
  <c r="Y234" i="1"/>
  <c r="N231" i="1" s="1"/>
  <c r="AR235" i="1"/>
  <c r="AV235" i="1"/>
  <c r="C293" i="1"/>
  <c r="H292" i="1"/>
  <c r="AT294" i="1"/>
  <c r="AT298" i="1"/>
  <c r="AT291" i="1"/>
  <c r="AR293" i="1"/>
  <c r="Y296" i="1"/>
  <c r="AN294" i="1" s="1"/>
  <c r="AR297" i="1"/>
  <c r="AV297" i="1"/>
  <c r="C299" i="1"/>
  <c r="AT299" i="1"/>
  <c r="AT302" i="1"/>
  <c r="AU303" i="1"/>
  <c r="AV292" i="1"/>
  <c r="AR295" i="1"/>
  <c r="AV295" i="1"/>
  <c r="AV290" i="1"/>
  <c r="AR298" i="1"/>
  <c r="AV298" i="1"/>
  <c r="AT300" i="1"/>
  <c r="AR292" i="1"/>
  <c r="AR300" i="1"/>
  <c r="AV300" i="1"/>
  <c r="Y303" i="1"/>
  <c r="AD258" i="1"/>
  <c r="AD272" i="1" s="1"/>
  <c r="AB258" i="1"/>
  <c r="AB272" i="1" s="1"/>
  <c r="AA258" i="1"/>
  <c r="AA272" i="1" s="1"/>
  <c r="Z265" i="1"/>
  <c r="Z272" i="1"/>
  <c r="C260" i="1"/>
  <c r="C267" i="1"/>
  <c r="AW20" i="4" l="1"/>
  <c r="AV20" i="4"/>
  <c r="AU20" i="4"/>
  <c r="AN394" i="1"/>
  <c r="AP393" i="1"/>
  <c r="L22" i="4"/>
  <c r="AV17" i="4"/>
  <c r="AN755" i="1"/>
  <c r="N704" i="1"/>
  <c r="AX17" i="4"/>
  <c r="AW17" i="4"/>
  <c r="AU17" i="4"/>
  <c r="BI17" i="4"/>
  <c r="D17" i="4"/>
  <c r="K17" i="4"/>
  <c r="C17" i="4"/>
  <c r="J17" i="4"/>
  <c r="I17" i="4"/>
  <c r="BE17" i="4"/>
  <c r="H17" i="4"/>
  <c r="G17" i="4"/>
  <c r="BC17" i="4"/>
  <c r="F17" i="4"/>
  <c r="BB17" i="4"/>
  <c r="E17" i="4"/>
  <c r="BF17" i="4"/>
  <c r="BA17" i="4"/>
  <c r="BH17" i="4"/>
  <c r="BG17" i="4"/>
  <c r="BA20" i="4"/>
  <c r="E20" i="4"/>
  <c r="F20" i="4"/>
  <c r="BB20" i="4"/>
  <c r="BH20" i="4"/>
  <c r="BD20" i="4"/>
  <c r="K20" i="4"/>
  <c r="BI20" i="4"/>
  <c r="J20" i="4"/>
  <c r="AV18" i="4"/>
  <c r="AX18" i="4"/>
  <c r="I20" i="4"/>
  <c r="AN1437" i="1"/>
  <c r="AU18" i="4"/>
  <c r="U1442" i="1"/>
  <c r="BC20" i="4"/>
  <c r="BG20" i="4"/>
  <c r="G20" i="4"/>
  <c r="BE20" i="4"/>
  <c r="AX16" i="4"/>
  <c r="H20" i="4"/>
  <c r="BF20" i="4"/>
  <c r="BD16" i="4"/>
  <c r="D20" i="4"/>
  <c r="C20" i="4"/>
  <c r="AP353" i="1"/>
  <c r="AP356" i="1"/>
  <c r="U209" i="1"/>
  <c r="N356" i="1"/>
  <c r="N357" i="1"/>
  <c r="U206" i="1"/>
  <c r="AP208" i="1"/>
  <c r="AP357" i="1"/>
  <c r="N353" i="1"/>
  <c r="AP207" i="1"/>
  <c r="AP601" i="1"/>
  <c r="U355" i="1"/>
  <c r="AN357" i="1"/>
  <c r="N205" i="1"/>
  <c r="AP205" i="1"/>
  <c r="U352" i="1"/>
  <c r="U357" i="1"/>
  <c r="N1046" i="1"/>
  <c r="U204" i="1"/>
  <c r="AP354" i="1"/>
  <c r="U356" i="1"/>
  <c r="U207" i="1"/>
  <c r="U353" i="1"/>
  <c r="N1012" i="1"/>
  <c r="N605" i="1"/>
  <c r="AW18" i="4"/>
  <c r="BE16" i="4"/>
  <c r="N207" i="1"/>
  <c r="N354" i="1"/>
  <c r="AP604" i="1"/>
  <c r="BI16" i="4"/>
  <c r="AP206" i="1"/>
  <c r="AN354" i="1"/>
  <c r="N352" i="1"/>
  <c r="U1015" i="1"/>
  <c r="BF16" i="4"/>
  <c r="U354" i="1"/>
  <c r="AP355" i="1"/>
  <c r="AN356" i="1"/>
  <c r="AN352" i="1"/>
  <c r="AP204" i="1"/>
  <c r="AN205" i="1"/>
  <c r="AN206" i="1"/>
  <c r="AN209" i="1"/>
  <c r="N208" i="1"/>
  <c r="AP352" i="1"/>
  <c r="N355" i="1"/>
  <c r="U1010" i="1"/>
  <c r="AN1010" i="1"/>
  <c r="U602" i="1"/>
  <c r="AP600" i="1"/>
  <c r="AV19" i="4"/>
  <c r="AW16" i="4"/>
  <c r="U205" i="1"/>
  <c r="N206" i="1"/>
  <c r="N209" i="1"/>
  <c r="N600" i="1"/>
  <c r="AY16" i="4"/>
  <c r="AU16" i="4"/>
  <c r="D16" i="4"/>
  <c r="K16" i="4"/>
  <c r="C16" i="4"/>
  <c r="J16" i="4"/>
  <c r="I16" i="4"/>
  <c r="F16" i="4"/>
  <c r="H16" i="4"/>
  <c r="G16" i="4"/>
  <c r="BC16" i="4"/>
  <c r="BB16" i="4"/>
  <c r="E16" i="4"/>
  <c r="BA16" i="4"/>
  <c r="BH16" i="4"/>
  <c r="AU19" i="4"/>
  <c r="AN943" i="1"/>
  <c r="F21" i="4"/>
  <c r="BD21" i="4"/>
  <c r="H21" i="4"/>
  <c r="K21" i="4"/>
  <c r="D21" i="4"/>
  <c r="G21" i="4"/>
  <c r="BH21" i="4"/>
  <c r="BA21" i="4"/>
  <c r="I21" i="4"/>
  <c r="BI21" i="4"/>
  <c r="BC21" i="4"/>
  <c r="J21" i="4"/>
  <c r="BF21" i="4"/>
  <c r="BG21" i="4"/>
  <c r="BB21" i="4"/>
  <c r="E21" i="4"/>
  <c r="C21" i="4"/>
  <c r="U942" i="1"/>
  <c r="AP945" i="1"/>
  <c r="AP1508" i="1"/>
  <c r="U946" i="1"/>
  <c r="AN941" i="1"/>
  <c r="AN23" i="1"/>
  <c r="N941" i="1"/>
  <c r="AP941" i="1"/>
  <c r="AP1438" i="1"/>
  <c r="AN1439" i="1"/>
  <c r="AN946" i="1"/>
  <c r="AP22" i="1"/>
  <c r="U944" i="1"/>
  <c r="AP1442" i="1"/>
  <c r="N20" i="1"/>
  <c r="N944" i="1"/>
  <c r="N943" i="1"/>
  <c r="U1437" i="1"/>
  <c r="AP943" i="1"/>
  <c r="U945" i="1"/>
  <c r="U390" i="1"/>
  <c r="U391" i="1"/>
  <c r="N395" i="1"/>
  <c r="AY21" i="4"/>
  <c r="AX21" i="4"/>
  <c r="AW21" i="4"/>
  <c r="AV21" i="4"/>
  <c r="AU21" i="4"/>
  <c r="U392" i="1"/>
  <c r="N390" i="1"/>
  <c r="AN1597" i="1"/>
  <c r="N391" i="1"/>
  <c r="AP392" i="1"/>
  <c r="N393" i="1"/>
  <c r="U394" i="1"/>
  <c r="AP390" i="1"/>
  <c r="AN390" i="1"/>
  <c r="N394" i="1"/>
  <c r="N392" i="1"/>
  <c r="AP395" i="1"/>
  <c r="AN392" i="1"/>
  <c r="AN391" i="1"/>
  <c r="U393" i="1"/>
  <c r="N1042" i="1"/>
  <c r="U1043" i="1"/>
  <c r="AP1046" i="1"/>
  <c r="AP1044" i="1"/>
  <c r="AN1045" i="1"/>
  <c r="N1045" i="1"/>
  <c r="U1041" i="1"/>
  <c r="AP1043" i="1"/>
  <c r="AN1043" i="1"/>
  <c r="U1044" i="1"/>
  <c r="AP1042" i="1"/>
  <c r="N1043" i="1"/>
  <c r="U1042" i="1"/>
  <c r="N1041" i="1"/>
  <c r="AP1045" i="1"/>
  <c r="AN1042" i="1"/>
  <c r="AN1044" i="1"/>
  <c r="AN1046" i="1"/>
  <c r="N1044" i="1"/>
  <c r="U1046" i="1"/>
  <c r="AP1041" i="1"/>
  <c r="AN1041" i="1"/>
  <c r="AX19" i="4"/>
  <c r="AW19" i="4"/>
  <c r="BC19" i="4"/>
  <c r="BI19" i="4"/>
  <c r="D19" i="4"/>
  <c r="K19" i="4"/>
  <c r="C19" i="4"/>
  <c r="J19" i="4"/>
  <c r="I19" i="4"/>
  <c r="BE19" i="4"/>
  <c r="H19" i="4"/>
  <c r="G19" i="4"/>
  <c r="F19" i="4"/>
  <c r="BB19" i="4"/>
  <c r="E19" i="4"/>
  <c r="BF19" i="4"/>
  <c r="BA19" i="4"/>
  <c r="BH19" i="4"/>
  <c r="BG19" i="4"/>
  <c r="BF18" i="4"/>
  <c r="AP882" i="1"/>
  <c r="N881" i="1"/>
  <c r="AP394" i="1"/>
  <c r="U883" i="1"/>
  <c r="N884" i="1"/>
  <c r="AN879" i="1"/>
  <c r="AN884" i="1"/>
  <c r="N1814" i="1"/>
  <c r="BC18" i="4"/>
  <c r="AN883" i="1"/>
  <c r="U879" i="1"/>
  <c r="N882" i="1"/>
  <c r="AP883" i="1"/>
  <c r="N883" i="1"/>
  <c r="BG18" i="4"/>
  <c r="AN881" i="1"/>
  <c r="AN880" i="1"/>
  <c r="BE18" i="4"/>
  <c r="U881" i="1"/>
  <c r="U880" i="1"/>
  <c r="AP881" i="1"/>
  <c r="AN1812" i="1"/>
  <c r="BI18" i="4"/>
  <c r="BA18" i="4"/>
  <c r="D18" i="4"/>
  <c r="K18" i="4"/>
  <c r="C18" i="4"/>
  <c r="J18" i="4"/>
  <c r="I18" i="4"/>
  <c r="H18" i="4"/>
  <c r="G18" i="4"/>
  <c r="F18" i="4"/>
  <c r="BB18" i="4"/>
  <c r="E18" i="4"/>
  <c r="AP884" i="1"/>
  <c r="BH18" i="4"/>
  <c r="N1843" i="1"/>
  <c r="AN1821" i="1"/>
  <c r="N580" i="1"/>
  <c r="N579" i="1"/>
  <c r="AN576" i="1"/>
  <c r="U977" i="1"/>
  <c r="N1845" i="1"/>
  <c r="N1840" i="1"/>
  <c r="N1354" i="1"/>
  <c r="U1814" i="1"/>
  <c r="U1809" i="1"/>
  <c r="U882" i="1"/>
  <c r="U1812" i="1"/>
  <c r="AN882" i="1"/>
  <c r="AP705" i="1"/>
  <c r="AN1353" i="1"/>
  <c r="U884" i="1"/>
  <c r="AP1811" i="1"/>
  <c r="AP1809" i="1"/>
  <c r="AP1814" i="1"/>
  <c r="U758" i="1"/>
  <c r="AN702" i="1"/>
  <c r="N702" i="1"/>
  <c r="AN758" i="1"/>
  <c r="N756" i="1"/>
  <c r="U703" i="1"/>
  <c r="U1726" i="1"/>
  <c r="AN1843" i="1"/>
  <c r="AP1842" i="1"/>
  <c r="AP1844" i="1"/>
  <c r="U1841" i="1"/>
  <c r="AN1842" i="1"/>
  <c r="AP1845" i="1"/>
  <c r="U1844" i="1"/>
  <c r="U1842" i="1"/>
  <c r="U1843" i="1"/>
  <c r="N1844" i="1"/>
  <c r="AN695" i="1"/>
  <c r="AN1137" i="1"/>
  <c r="AP1841" i="1"/>
  <c r="AP1843" i="1"/>
  <c r="AP1840" i="1"/>
  <c r="AP1351" i="1"/>
  <c r="N1842" i="1"/>
  <c r="AP1258" i="1"/>
  <c r="N759" i="1"/>
  <c r="N755" i="1"/>
  <c r="N757" i="1"/>
  <c r="U760" i="1"/>
  <c r="AP755" i="1"/>
  <c r="AP1810" i="1"/>
  <c r="AP1812" i="1"/>
  <c r="U1811" i="1"/>
  <c r="N1812" i="1"/>
  <c r="U700" i="1"/>
  <c r="AN703" i="1"/>
  <c r="AP662" i="1"/>
  <c r="AP786" i="1"/>
  <c r="U756" i="1"/>
  <c r="AN760" i="1"/>
  <c r="N1810" i="1"/>
  <c r="AN1813" i="1"/>
  <c r="AN1811" i="1"/>
  <c r="U1813" i="1"/>
  <c r="AN1260" i="1"/>
  <c r="U705" i="1"/>
  <c r="N479" i="1"/>
  <c r="AP756" i="1"/>
  <c r="N760" i="1"/>
  <c r="U1810" i="1"/>
  <c r="AN1814" i="1"/>
  <c r="AN1810" i="1"/>
  <c r="N1813" i="1"/>
  <c r="AP703" i="1"/>
  <c r="AN705" i="1"/>
  <c r="N703" i="1"/>
  <c r="U759" i="1"/>
  <c r="AN757" i="1"/>
  <c r="AP880" i="1"/>
  <c r="AP879" i="1"/>
  <c r="N1811" i="1"/>
  <c r="AN1809" i="1"/>
  <c r="AP1262" i="1"/>
  <c r="N701" i="1"/>
  <c r="AN704" i="1"/>
  <c r="AP702" i="1"/>
  <c r="AP856" i="1"/>
  <c r="N758" i="1"/>
  <c r="U757" i="1"/>
  <c r="N880" i="1"/>
  <c r="AP1813" i="1"/>
  <c r="U1259" i="1"/>
  <c r="AP700" i="1"/>
  <c r="U702" i="1"/>
  <c r="U701" i="1"/>
  <c r="AP1727" i="1"/>
  <c r="AP972" i="1"/>
  <c r="U666" i="1"/>
  <c r="H602" i="1"/>
  <c r="U664" i="1"/>
  <c r="AP1723" i="1"/>
  <c r="N1260" i="1"/>
  <c r="AP1261" i="1"/>
  <c r="U662" i="1"/>
  <c r="C1354" i="1"/>
  <c r="N1251" i="1"/>
  <c r="N1261" i="1"/>
  <c r="N662" i="1"/>
  <c r="C604" i="1"/>
  <c r="AP1260" i="1"/>
  <c r="N665" i="1"/>
  <c r="U1724" i="1"/>
  <c r="AP1259" i="1"/>
  <c r="U1263" i="1"/>
  <c r="U704" i="1"/>
  <c r="N705" i="1"/>
  <c r="AP701" i="1"/>
  <c r="AN139" i="1"/>
  <c r="C796" i="1"/>
  <c r="U764" i="1"/>
  <c r="U1694" i="1"/>
  <c r="AN1844" i="1"/>
  <c r="U1840" i="1"/>
  <c r="AN1263" i="1"/>
  <c r="N1262" i="1"/>
  <c r="AN700" i="1"/>
  <c r="N1263" i="1"/>
  <c r="U1258" i="1"/>
  <c r="N1259" i="1"/>
  <c r="AN1259" i="1"/>
  <c r="U1260" i="1"/>
  <c r="U1261" i="1"/>
  <c r="AP922" i="1"/>
  <c r="U791" i="1"/>
  <c r="AP790" i="1"/>
  <c r="AP789" i="1"/>
  <c r="N791" i="1"/>
  <c r="N1440" i="1"/>
  <c r="N1438" i="1"/>
  <c r="AP1819" i="1"/>
  <c r="N1817" i="1"/>
  <c r="AP695" i="1"/>
  <c r="AP693" i="1"/>
  <c r="U19" i="1"/>
  <c r="AN791" i="1"/>
  <c r="AN787" i="1"/>
  <c r="U788" i="1"/>
  <c r="U786" i="1"/>
  <c r="AP577" i="1"/>
  <c r="AN1352" i="1"/>
  <c r="AP1353" i="1"/>
  <c r="N1352" i="1"/>
  <c r="U1166" i="1"/>
  <c r="AP1724" i="1"/>
  <c r="U1728" i="1"/>
  <c r="AP1726" i="1"/>
  <c r="U1727" i="1"/>
  <c r="N1725" i="1"/>
  <c r="AN1819" i="1"/>
  <c r="N23" i="1"/>
  <c r="N21" i="1"/>
  <c r="N18" i="1"/>
  <c r="AN22" i="1"/>
  <c r="AN21" i="1"/>
  <c r="AP19" i="1"/>
  <c r="U23" i="1"/>
  <c r="U22" i="1"/>
  <c r="U21" i="1"/>
  <c r="U787" i="1"/>
  <c r="N786" i="1"/>
  <c r="AN788" i="1"/>
  <c r="N577" i="1"/>
  <c r="U1351" i="1"/>
  <c r="U1353" i="1"/>
  <c r="N1356" i="1"/>
  <c r="AP1356" i="1"/>
  <c r="AN1724" i="1"/>
  <c r="AN1728" i="1"/>
  <c r="AP1725" i="1"/>
  <c r="AP331" i="1"/>
  <c r="U1069" i="1"/>
  <c r="N1077" i="1"/>
  <c r="U663" i="1"/>
  <c r="N664" i="1"/>
  <c r="AN1716" i="1"/>
  <c r="AN1727" i="1"/>
  <c r="AN393" i="1"/>
  <c r="U447" i="1"/>
  <c r="N851" i="1"/>
  <c r="AP641" i="1"/>
  <c r="AT582" i="1"/>
  <c r="AP1408" i="1"/>
  <c r="AN1411" i="1"/>
  <c r="AN1725" i="1"/>
  <c r="U1723" i="1"/>
  <c r="AN693" i="1"/>
  <c r="U1845" i="1"/>
  <c r="N1098" i="1"/>
  <c r="U639" i="1"/>
  <c r="AP1418" i="1"/>
  <c r="AP1413" i="1"/>
  <c r="AP1410" i="1"/>
  <c r="AN1409" i="1"/>
  <c r="N1415" i="1"/>
  <c r="AN1408" i="1"/>
  <c r="U425" i="1"/>
  <c r="N421" i="1"/>
  <c r="AN424" i="1"/>
  <c r="U321" i="1"/>
  <c r="AR1605" i="1"/>
  <c r="U423" i="1"/>
  <c r="AP1663" i="1"/>
  <c r="U1471" i="1"/>
  <c r="N1222" i="1"/>
  <c r="AT706" i="1"/>
  <c r="AN422" i="1"/>
  <c r="N1076" i="1"/>
  <c r="AN1687" i="1"/>
  <c r="AN355" i="1"/>
  <c r="U54" i="1"/>
  <c r="AN425" i="1"/>
  <c r="U550" i="1"/>
  <c r="AN767" i="1"/>
  <c r="AP763" i="1"/>
  <c r="U1720" i="1"/>
  <c r="AN1073" i="1"/>
  <c r="AN980" i="1"/>
  <c r="AN818" i="1"/>
  <c r="AP851" i="1"/>
  <c r="AP850" i="1"/>
  <c r="N763" i="1"/>
  <c r="U1663" i="1"/>
  <c r="AP1666" i="1"/>
  <c r="AN1664" i="1"/>
  <c r="AN977" i="1"/>
  <c r="N1068" i="1"/>
  <c r="AP1069" i="1"/>
  <c r="AN605" i="1"/>
  <c r="N601" i="1"/>
  <c r="AN600" i="1"/>
  <c r="U1349" i="1"/>
  <c r="N1414" i="1"/>
  <c r="AP1411" i="1"/>
  <c r="N1410" i="1"/>
  <c r="N1408" i="1"/>
  <c r="U1411" i="1"/>
  <c r="AN1347" i="1"/>
  <c r="U1415" i="1"/>
  <c r="AP1406" i="1"/>
  <c r="N1318" i="1"/>
  <c r="N1747" i="1"/>
  <c r="AP1695" i="1"/>
  <c r="U1819" i="1"/>
  <c r="U1818" i="1"/>
  <c r="AP1821" i="1"/>
  <c r="N1821" i="1"/>
  <c r="N1819" i="1"/>
  <c r="U1817" i="1"/>
  <c r="N1223" i="1"/>
  <c r="AN331" i="1"/>
  <c r="U547" i="1"/>
  <c r="AN1103" i="1"/>
  <c r="AP1007" i="1"/>
  <c r="U943" i="1"/>
  <c r="AP944" i="1"/>
  <c r="AN942" i="1"/>
  <c r="AN945" i="1"/>
  <c r="AP942" i="1"/>
  <c r="N945" i="1"/>
  <c r="U848" i="1"/>
  <c r="N798" i="1"/>
  <c r="AN603" i="1"/>
  <c r="U605" i="1"/>
  <c r="AP605" i="1"/>
  <c r="U600" i="1"/>
  <c r="N603" i="1"/>
  <c r="AP1537" i="1"/>
  <c r="U1409" i="1"/>
  <c r="U1346" i="1"/>
  <c r="AP1416" i="1"/>
  <c r="N1411" i="1"/>
  <c r="AN1418" i="1"/>
  <c r="AP1349" i="1"/>
  <c r="AN1410" i="1"/>
  <c r="AN1318" i="1"/>
  <c r="AN1317" i="1"/>
  <c r="AN1315" i="1"/>
  <c r="AN1313" i="1"/>
  <c r="U1418" i="1"/>
  <c r="AN1316" i="1"/>
  <c r="N1409" i="1"/>
  <c r="AP1313" i="1"/>
  <c r="AN1162" i="1"/>
  <c r="N1694" i="1"/>
  <c r="N1757" i="1"/>
  <c r="N1695" i="1"/>
  <c r="AP758" i="1"/>
  <c r="AN601" i="1"/>
  <c r="U1816" i="1"/>
  <c r="AN1820" i="1"/>
  <c r="AN1816" i="1"/>
  <c r="AN1818" i="1"/>
  <c r="AP1817" i="1"/>
  <c r="AP1818" i="1"/>
  <c r="AN1817" i="1"/>
  <c r="AN1107" i="1"/>
  <c r="U1099" i="1"/>
  <c r="AP946" i="1"/>
  <c r="N942" i="1"/>
  <c r="U941" i="1"/>
  <c r="U601" i="1"/>
  <c r="N602" i="1"/>
  <c r="AN602" i="1"/>
  <c r="N604" i="1"/>
  <c r="U603" i="1"/>
  <c r="U604" i="1"/>
  <c r="AP1592" i="1"/>
  <c r="U1406" i="1"/>
  <c r="AP1409" i="1"/>
  <c r="U1316" i="1"/>
  <c r="N1416" i="1"/>
  <c r="AP1415" i="1"/>
  <c r="AP1407" i="1"/>
  <c r="AP1316" i="1"/>
  <c r="AN1414" i="1"/>
  <c r="U1410" i="1"/>
  <c r="U1318" i="1"/>
  <c r="U1317" i="1"/>
  <c r="U1315" i="1"/>
  <c r="U1407" i="1"/>
  <c r="N1317" i="1"/>
  <c r="AP602" i="1"/>
  <c r="AP1816" i="1"/>
  <c r="U1820" i="1"/>
  <c r="N1818" i="1"/>
  <c r="U1821" i="1"/>
  <c r="AP1820" i="1"/>
  <c r="N1820" i="1"/>
  <c r="U607" i="1"/>
  <c r="AR1729" i="1"/>
  <c r="AP550" i="1"/>
  <c r="AN546" i="1"/>
  <c r="AP548" i="1"/>
  <c r="AN547" i="1"/>
  <c r="U1108" i="1"/>
  <c r="N1106" i="1"/>
  <c r="N1101" i="1"/>
  <c r="U1073" i="1"/>
  <c r="AP1103" i="1"/>
  <c r="U1077" i="1"/>
  <c r="AP1076" i="1"/>
  <c r="AN1100" i="1"/>
  <c r="U983" i="1"/>
  <c r="AP1010" i="1"/>
  <c r="AN1003" i="1"/>
  <c r="AP980" i="1"/>
  <c r="AP977" i="1"/>
  <c r="U973" i="1"/>
  <c r="AN975" i="1"/>
  <c r="U1012" i="1"/>
  <c r="U976" i="1"/>
  <c r="N1015" i="1"/>
  <c r="AN1013" i="1"/>
  <c r="U1014" i="1"/>
  <c r="N1014" i="1"/>
  <c r="AN856" i="1"/>
  <c r="AN855" i="1"/>
  <c r="AP857" i="1"/>
  <c r="N860" i="1"/>
  <c r="AP855" i="1"/>
  <c r="AN857" i="1"/>
  <c r="U576" i="1"/>
  <c r="AN580" i="1"/>
  <c r="AN577" i="1"/>
  <c r="U581" i="1"/>
  <c r="AN1508" i="1"/>
  <c r="N1511" i="1"/>
  <c r="AN1507" i="1"/>
  <c r="N1347" i="1"/>
  <c r="AN1344" i="1"/>
  <c r="N1227" i="1"/>
  <c r="AP1224" i="1"/>
  <c r="AP976" i="1"/>
  <c r="AP975" i="1"/>
  <c r="AP1012" i="1"/>
  <c r="AN1292" i="1"/>
  <c r="AP83" i="1"/>
  <c r="U975" i="1"/>
  <c r="AN976" i="1"/>
  <c r="AN1015" i="1"/>
  <c r="AP1014" i="1"/>
  <c r="U1011" i="1"/>
  <c r="N859" i="1"/>
  <c r="AN860" i="1"/>
  <c r="AP858" i="1"/>
  <c r="U422" i="1"/>
  <c r="N424" i="1"/>
  <c r="AP240" i="1"/>
  <c r="U426" i="1"/>
  <c r="AP426" i="1"/>
  <c r="AP423" i="1"/>
  <c r="AN421" i="1"/>
  <c r="AN550" i="1"/>
  <c r="AR1078" i="1"/>
  <c r="AN1099" i="1"/>
  <c r="U1096" i="1"/>
  <c r="AN1069" i="1"/>
  <c r="AN1077" i="1"/>
  <c r="AP1075" i="1"/>
  <c r="AN1108" i="1"/>
  <c r="U1013" i="1"/>
  <c r="AP1013" i="1"/>
  <c r="AP983" i="1"/>
  <c r="AP984" i="1"/>
  <c r="N977" i="1"/>
  <c r="AN1011" i="1"/>
  <c r="N975" i="1"/>
  <c r="AN1012" i="1"/>
  <c r="AP1011" i="1"/>
  <c r="N974" i="1"/>
  <c r="AP1015" i="1"/>
  <c r="N1013" i="1"/>
  <c r="AN1014" i="1"/>
  <c r="N1011" i="1"/>
  <c r="U609" i="1"/>
  <c r="U571" i="1"/>
  <c r="AN578" i="1"/>
  <c r="AP612" i="1"/>
  <c r="AP574" i="1"/>
  <c r="AN569" i="1"/>
  <c r="U580" i="1"/>
  <c r="N578" i="1"/>
  <c r="AP576" i="1"/>
  <c r="N1480" i="1"/>
  <c r="N1509" i="1"/>
  <c r="N1510" i="1"/>
  <c r="AP1346" i="1"/>
  <c r="N1344" i="1"/>
  <c r="AP1344" i="1"/>
  <c r="U1224" i="1"/>
  <c r="N1225" i="1"/>
  <c r="N1162" i="1"/>
  <c r="AV1171" i="1"/>
  <c r="N1724" i="1"/>
  <c r="N1727" i="1"/>
  <c r="U1697" i="1"/>
  <c r="N1728" i="1"/>
  <c r="N1726" i="1"/>
  <c r="N1723" i="1"/>
  <c r="AP1728" i="1"/>
  <c r="AN1723" i="1"/>
  <c r="AN1726" i="1"/>
  <c r="AN974" i="1"/>
  <c r="U579" i="1"/>
  <c r="AP579" i="1"/>
  <c r="AP581" i="1"/>
  <c r="AP578" i="1"/>
  <c r="N576" i="1"/>
  <c r="U577" i="1"/>
  <c r="U578" i="1"/>
  <c r="N581" i="1"/>
  <c r="U1508" i="1"/>
  <c r="AP1507" i="1"/>
  <c r="AN1511" i="1"/>
  <c r="U1162" i="1"/>
  <c r="U1159" i="1"/>
  <c r="AP1322" i="1"/>
  <c r="U1324" i="1"/>
  <c r="AN1196" i="1"/>
  <c r="AN1200" i="1"/>
  <c r="AP981" i="1"/>
  <c r="AN983" i="1"/>
  <c r="AN890" i="1"/>
  <c r="U887" i="1"/>
  <c r="AP609" i="1"/>
  <c r="AN607" i="1"/>
  <c r="AP1531" i="1"/>
  <c r="AN1469" i="1"/>
  <c r="AN1473" i="1"/>
  <c r="U1473" i="1"/>
  <c r="AN1561" i="1"/>
  <c r="AP1566" i="1"/>
  <c r="AN1564" i="1"/>
  <c r="AP1324" i="1"/>
  <c r="AN1379" i="1"/>
  <c r="N1380" i="1"/>
  <c r="AP1379" i="1"/>
  <c r="N1377" i="1"/>
  <c r="N1170" i="1"/>
  <c r="U1755" i="1"/>
  <c r="AP1790" i="1"/>
  <c r="N1790" i="1"/>
  <c r="U1786" i="1"/>
  <c r="N855" i="1"/>
  <c r="U858" i="1"/>
  <c r="AP860" i="1"/>
  <c r="AP859" i="1"/>
  <c r="U860" i="1"/>
  <c r="AN858" i="1"/>
  <c r="U859" i="1"/>
  <c r="U855" i="1"/>
  <c r="N856" i="1"/>
  <c r="N858" i="1"/>
  <c r="N857" i="1"/>
  <c r="AN859" i="1"/>
  <c r="U856" i="1"/>
  <c r="AN175" i="1"/>
  <c r="AN177" i="1"/>
  <c r="U178" i="1"/>
  <c r="AP173" i="1"/>
  <c r="AN790" i="1"/>
  <c r="U790" i="1"/>
  <c r="N789" i="1"/>
  <c r="AP787" i="1"/>
  <c r="AN786" i="1"/>
  <c r="AP788" i="1"/>
  <c r="N787" i="1"/>
  <c r="U789" i="1"/>
  <c r="N788" i="1"/>
  <c r="AN789" i="1"/>
  <c r="AP791" i="1"/>
  <c r="N1442" i="1"/>
  <c r="N1441" i="1"/>
  <c r="U1440" i="1"/>
  <c r="AP1437" i="1"/>
  <c r="AN1441" i="1"/>
  <c r="AN1438" i="1"/>
  <c r="AP1440" i="1"/>
  <c r="U1441" i="1"/>
  <c r="AN1440" i="1"/>
  <c r="AP1441" i="1"/>
  <c r="U1438" i="1"/>
  <c r="N1437" i="1"/>
  <c r="AP1439" i="1"/>
  <c r="U1439" i="1"/>
  <c r="AN238" i="1"/>
  <c r="AV365" i="1"/>
  <c r="N422" i="1"/>
  <c r="AR365" i="1"/>
  <c r="AN549" i="1"/>
  <c r="AP446" i="1"/>
  <c r="AN1005" i="1"/>
  <c r="U1005" i="1"/>
  <c r="AP1599" i="1"/>
  <c r="AN1603" i="1"/>
  <c r="U1531" i="1"/>
  <c r="N1533" i="1"/>
  <c r="AR148" i="1"/>
  <c r="AN610" i="1"/>
  <c r="N610" i="1"/>
  <c r="AN611" i="1"/>
  <c r="AP1168" i="1"/>
  <c r="U1170" i="1"/>
  <c r="N1167" i="1"/>
  <c r="AN1166" i="1"/>
  <c r="AP1165" i="1"/>
  <c r="AP1169" i="1"/>
  <c r="AP1166" i="1"/>
  <c r="AN1167" i="1"/>
  <c r="N1166" i="1"/>
  <c r="AN1134" i="1"/>
  <c r="AP1136" i="1"/>
  <c r="U1136" i="1"/>
  <c r="AN1139" i="1"/>
  <c r="AN1136" i="1"/>
  <c r="N1136" i="1"/>
  <c r="N104" i="1"/>
  <c r="U421" i="1"/>
  <c r="N359" i="1"/>
  <c r="AP547" i="1"/>
  <c r="U546" i="1"/>
  <c r="AN450" i="1"/>
  <c r="N446" i="1"/>
  <c r="N891" i="1"/>
  <c r="AP887" i="1"/>
  <c r="AN953" i="1"/>
  <c r="AP951" i="1"/>
  <c r="U948" i="1"/>
  <c r="AP919" i="1"/>
  <c r="N920" i="1"/>
  <c r="N918" i="1"/>
  <c r="AN922" i="1"/>
  <c r="AN848" i="1"/>
  <c r="AN853" i="1"/>
  <c r="N849" i="1"/>
  <c r="AN852" i="1"/>
  <c r="AN850" i="1"/>
  <c r="AP852" i="1"/>
  <c r="AP849" i="1"/>
  <c r="U762" i="1"/>
  <c r="AN766" i="1"/>
  <c r="U765" i="1"/>
  <c r="AN764" i="1"/>
  <c r="N764" i="1"/>
  <c r="AN762" i="1"/>
  <c r="U767" i="1"/>
  <c r="N767" i="1"/>
  <c r="U612" i="1"/>
  <c r="U1479" i="1"/>
  <c r="N1530" i="1"/>
  <c r="AN1378" i="1"/>
  <c r="U1375" i="1"/>
  <c r="AN1231" i="1"/>
  <c r="U1228" i="1"/>
  <c r="U1139" i="1"/>
  <c r="N1781" i="1"/>
  <c r="AN1442" i="1"/>
  <c r="AP18" i="1"/>
  <c r="U20" i="1"/>
  <c r="AP21" i="1"/>
  <c r="AN20" i="1"/>
  <c r="AP1255" i="1"/>
  <c r="U1255" i="1"/>
  <c r="AN1255" i="1"/>
  <c r="AP1253" i="1"/>
  <c r="AV706" i="1"/>
  <c r="AN665" i="1"/>
  <c r="AN667" i="1"/>
  <c r="AN664" i="1"/>
  <c r="U665" i="1"/>
  <c r="U1509" i="1"/>
  <c r="N1507" i="1"/>
  <c r="AP1509" i="1"/>
  <c r="N1508" i="1"/>
  <c r="AP1510" i="1"/>
  <c r="N1413" i="1"/>
  <c r="AN1417" i="1"/>
  <c r="N1355" i="1"/>
  <c r="U1414" i="1"/>
  <c r="N1353" i="1"/>
  <c r="AP1352" i="1"/>
  <c r="N1417" i="1"/>
  <c r="U1356" i="1"/>
  <c r="AP1355" i="1"/>
  <c r="AT1233" i="1"/>
  <c r="U1416" i="1"/>
  <c r="AN944" i="1"/>
  <c r="AP663" i="1"/>
  <c r="AP603" i="1"/>
  <c r="AN1841" i="1"/>
  <c r="AT1016" i="1"/>
  <c r="AP666" i="1"/>
  <c r="N666" i="1"/>
  <c r="AN663" i="1"/>
  <c r="AP665" i="1"/>
  <c r="U667" i="1"/>
  <c r="N667" i="1"/>
  <c r="AP570" i="1"/>
  <c r="U1666" i="1"/>
  <c r="U1506" i="1"/>
  <c r="AP1506" i="1"/>
  <c r="U1417" i="1"/>
  <c r="U1511" i="1"/>
  <c r="AN1509" i="1"/>
  <c r="AP1417" i="1"/>
  <c r="AN1413" i="1"/>
  <c r="U1354" i="1"/>
  <c r="AP1414" i="1"/>
  <c r="AN1415" i="1"/>
  <c r="AP1354" i="1"/>
  <c r="N1418" i="1"/>
  <c r="AN1356" i="1"/>
  <c r="AN1354" i="1"/>
  <c r="AP1314" i="1"/>
  <c r="N1313" i="1"/>
  <c r="U1352" i="1"/>
  <c r="N1315" i="1"/>
  <c r="AV1233" i="1"/>
  <c r="AT1760" i="1"/>
  <c r="AN1851" i="1"/>
  <c r="AP704" i="1"/>
  <c r="AN701" i="1"/>
  <c r="AV148" i="1"/>
  <c r="AP302" i="1"/>
  <c r="AP300" i="1"/>
  <c r="AT303" i="1"/>
  <c r="N46" i="1"/>
  <c r="AN44" i="1"/>
  <c r="AP1504" i="1"/>
  <c r="U1504" i="1"/>
  <c r="AN302" i="1"/>
  <c r="AP540" i="1"/>
  <c r="AP541" i="1"/>
  <c r="AN484" i="1"/>
  <c r="AP485" i="1"/>
  <c r="AN487" i="1"/>
  <c r="AN483" i="1"/>
  <c r="AP488" i="1"/>
  <c r="U484" i="1"/>
  <c r="AP486" i="1"/>
  <c r="U487" i="1"/>
  <c r="AN486" i="1"/>
  <c r="N487" i="1"/>
  <c r="N486" i="1"/>
  <c r="N825" i="1"/>
  <c r="AN828" i="1"/>
  <c r="U826" i="1"/>
  <c r="AP828" i="1"/>
  <c r="AP1627" i="1"/>
  <c r="U1628" i="1"/>
  <c r="N1624" i="1"/>
  <c r="AP1624" i="1"/>
  <c r="AN1628" i="1"/>
  <c r="AN388" i="1"/>
  <c r="AN384" i="1"/>
  <c r="AP385" i="1"/>
  <c r="U385" i="1"/>
  <c r="N384" i="1"/>
  <c r="AP388" i="1"/>
  <c r="U384" i="1"/>
  <c r="AN386" i="1"/>
  <c r="AP457" i="1"/>
  <c r="N457" i="1"/>
  <c r="AP1633" i="1"/>
  <c r="AN1635" i="1"/>
  <c r="AP1630" i="1"/>
  <c r="AP1631" i="1"/>
  <c r="U1632" i="1"/>
  <c r="U291" i="1"/>
  <c r="AN298" i="1"/>
  <c r="AP299" i="1"/>
  <c r="AN297" i="1"/>
  <c r="AP291" i="1"/>
  <c r="U388" i="1"/>
  <c r="AN418" i="1"/>
  <c r="N414" i="1"/>
  <c r="N419" i="1"/>
  <c r="AN476" i="1"/>
  <c r="U479" i="1"/>
  <c r="AP481" i="1"/>
  <c r="U477" i="1"/>
  <c r="AN480" i="1"/>
  <c r="AN479" i="1"/>
  <c r="N1658" i="1"/>
  <c r="U1655" i="1"/>
  <c r="AR1481" i="1"/>
  <c r="AN1446" i="1"/>
  <c r="U1444" i="1"/>
  <c r="U1447" i="1"/>
  <c r="N1448" i="1"/>
  <c r="AN81" i="1"/>
  <c r="AP332" i="1"/>
  <c r="AT334" i="1"/>
  <c r="N322" i="1"/>
  <c r="N328" i="1"/>
  <c r="AN545" i="1"/>
  <c r="AV1016" i="1"/>
  <c r="N980" i="1"/>
  <c r="AN981" i="1"/>
  <c r="N952" i="1"/>
  <c r="AP818" i="1"/>
  <c r="N979" i="1"/>
  <c r="U818" i="1"/>
  <c r="U849" i="1"/>
  <c r="U574" i="1"/>
  <c r="N572" i="1"/>
  <c r="AP608" i="1"/>
  <c r="N574" i="1"/>
  <c r="AN1665" i="1"/>
  <c r="AN1593" i="1"/>
  <c r="AP1480" i="1"/>
  <c r="AP1475" i="1"/>
  <c r="AP1325" i="1"/>
  <c r="U1408" i="1"/>
  <c r="AN1406" i="1"/>
  <c r="AP1200" i="1"/>
  <c r="AN1786" i="1"/>
  <c r="AP1781" i="1"/>
  <c r="AP1686" i="1"/>
  <c r="U1787" i="1"/>
  <c r="AR1760" i="1"/>
  <c r="N1750" i="1"/>
  <c r="N1697" i="1"/>
  <c r="AP1789" i="1"/>
  <c r="U1747" i="1"/>
  <c r="AN1720" i="1"/>
  <c r="AN1697" i="1"/>
  <c r="N1693" i="1"/>
  <c r="AP1719" i="1"/>
  <c r="AP1697" i="1"/>
  <c r="AN1719" i="1"/>
  <c r="U1690" i="1"/>
  <c r="AP1852" i="1"/>
  <c r="AP1849" i="1"/>
  <c r="N1847" i="1"/>
  <c r="AN1848" i="1"/>
  <c r="N1292" i="1"/>
  <c r="N1289" i="1"/>
  <c r="AP1293" i="1"/>
  <c r="U1286" i="1"/>
  <c r="AP178" i="1"/>
  <c r="AP175" i="1"/>
  <c r="N173" i="1"/>
  <c r="U166" i="1"/>
  <c r="U143" i="1"/>
  <c r="N147" i="1"/>
  <c r="AN137" i="1"/>
  <c r="AN144" i="1"/>
  <c r="AP176" i="1"/>
  <c r="AN1840" i="1"/>
  <c r="AN1845" i="1"/>
  <c r="AP1688" i="1"/>
  <c r="U1290" i="1"/>
  <c r="AT737" i="1"/>
  <c r="N135" i="1"/>
  <c r="AN170" i="1"/>
  <c r="AR427" i="1"/>
  <c r="U332" i="1"/>
  <c r="AP333" i="1"/>
  <c r="AV334" i="1"/>
  <c r="U910" i="1"/>
  <c r="AT985" i="1"/>
  <c r="AV861" i="1"/>
  <c r="AT799" i="1"/>
  <c r="AR861" i="1"/>
  <c r="AN640" i="1"/>
  <c r="AP571" i="1"/>
  <c r="N569" i="1"/>
  <c r="N1477" i="1"/>
  <c r="AN1321" i="1"/>
  <c r="AP1128" i="1"/>
  <c r="N1192" i="1"/>
  <c r="N1128" i="1"/>
  <c r="N1407" i="1"/>
  <c r="AN1407" i="1"/>
  <c r="U1200" i="1"/>
  <c r="AR1171" i="1"/>
  <c r="AN1128" i="1"/>
  <c r="AN1129" i="1"/>
  <c r="N1778" i="1"/>
  <c r="AN1788" i="1"/>
  <c r="AN1751" i="1"/>
  <c r="N1752" i="1"/>
  <c r="N1719" i="1"/>
  <c r="AN1694" i="1"/>
  <c r="AN1686" i="1"/>
  <c r="AP1718" i="1"/>
  <c r="AP1696" i="1"/>
  <c r="AN1688" i="1"/>
  <c r="AV1729" i="1"/>
  <c r="AP1720" i="1"/>
  <c r="N1687" i="1"/>
  <c r="U1852" i="1"/>
  <c r="U1851" i="1"/>
  <c r="AP1851" i="1"/>
  <c r="N1285" i="1"/>
  <c r="AN1293" i="1"/>
  <c r="AN1285" i="1"/>
  <c r="AR1264" i="1"/>
  <c r="U1252" i="1"/>
  <c r="N1290" i="1"/>
  <c r="AT1295" i="1"/>
  <c r="AP1285" i="1"/>
  <c r="AP736" i="1"/>
  <c r="U175" i="1"/>
  <c r="N169" i="1"/>
  <c r="U177" i="1"/>
  <c r="AR179" i="1"/>
  <c r="N171" i="1"/>
  <c r="U139" i="1"/>
  <c r="AP168" i="1"/>
  <c r="U147" i="1"/>
  <c r="AP145" i="1"/>
  <c r="AN174" i="1"/>
  <c r="AR396" i="1"/>
  <c r="AV1078" i="1"/>
  <c r="U821" i="1"/>
  <c r="AR675" i="1"/>
  <c r="N1200" i="1"/>
  <c r="N1189" i="1"/>
  <c r="U1128" i="1"/>
  <c r="AN1199" i="1"/>
  <c r="U1782" i="1"/>
  <c r="U1751" i="1"/>
  <c r="N1720" i="1"/>
  <c r="N1686" i="1"/>
  <c r="AN1750" i="1"/>
  <c r="N1716" i="1"/>
  <c r="U1686" i="1"/>
  <c r="AP1717" i="1"/>
  <c r="AN1721" i="1"/>
  <c r="AP664" i="1"/>
  <c r="N1850" i="1"/>
  <c r="AN1847" i="1"/>
  <c r="AV1822" i="1"/>
  <c r="AN1852" i="1"/>
  <c r="U1848" i="1"/>
  <c r="AT1853" i="1"/>
  <c r="AP1847" i="1"/>
  <c r="U1293" i="1"/>
  <c r="AN1289" i="1"/>
  <c r="U1285" i="1"/>
  <c r="AP1289" i="1"/>
  <c r="N1252" i="1"/>
  <c r="AN1253" i="1"/>
  <c r="AN1294" i="1"/>
  <c r="N166" i="1"/>
  <c r="N176" i="1"/>
  <c r="AN173" i="1"/>
  <c r="U169" i="1"/>
  <c r="AN143" i="1"/>
  <c r="AN147" i="1"/>
  <c r="AP144" i="1"/>
  <c r="AN166" i="1"/>
  <c r="AP167" i="1"/>
  <c r="N1258" i="1"/>
  <c r="AN1262" i="1"/>
  <c r="U1262" i="1"/>
  <c r="AN1261" i="1"/>
  <c r="AP1263" i="1"/>
  <c r="C138" i="1"/>
  <c r="H137" i="1"/>
  <c r="C146" i="1"/>
  <c r="H145" i="1"/>
  <c r="AN169" i="1"/>
  <c r="U140" i="1"/>
  <c r="U137" i="1"/>
  <c r="N140" i="1"/>
  <c r="AN138" i="1"/>
  <c r="U135" i="1"/>
  <c r="U138" i="1"/>
  <c r="AN136" i="1"/>
  <c r="U136" i="1"/>
  <c r="N139" i="1"/>
  <c r="N137" i="1"/>
  <c r="AN178" i="1"/>
  <c r="U174" i="1"/>
  <c r="AP171" i="1"/>
  <c r="AP138" i="1"/>
  <c r="AP136" i="1"/>
  <c r="AP137" i="1"/>
  <c r="U145" i="1"/>
  <c r="U142" i="1"/>
  <c r="N143" i="1"/>
  <c r="AP142" i="1"/>
  <c r="N146" i="1"/>
  <c r="N145" i="1"/>
  <c r="AP147" i="1"/>
  <c r="N142" i="1"/>
  <c r="AN146" i="1"/>
  <c r="U146" i="1"/>
  <c r="AN142" i="1"/>
  <c r="N138" i="1"/>
  <c r="N136" i="1"/>
  <c r="AP143" i="1"/>
  <c r="C176" i="1"/>
  <c r="H175" i="1"/>
  <c r="H169" i="1"/>
  <c r="C170" i="1"/>
  <c r="AV179" i="1"/>
  <c r="AN167" i="1"/>
  <c r="U167" i="1"/>
  <c r="AN171" i="1"/>
  <c r="U171" i="1"/>
  <c r="N167" i="1"/>
  <c r="AP166" i="1"/>
  <c r="AP170" i="1"/>
  <c r="AN168" i="1"/>
  <c r="U168" i="1"/>
  <c r="N168" i="1"/>
  <c r="AP140" i="1"/>
  <c r="AN135" i="1"/>
  <c r="AN140" i="1"/>
  <c r="U144" i="1"/>
  <c r="N177" i="1"/>
  <c r="U176" i="1"/>
  <c r="N178" i="1"/>
  <c r="U173" i="1"/>
  <c r="N175" i="1"/>
  <c r="AP174" i="1"/>
  <c r="N174" i="1"/>
  <c r="AT179" i="1"/>
  <c r="U170" i="1"/>
  <c r="AP169" i="1"/>
  <c r="AP177" i="1"/>
  <c r="AN145" i="1"/>
  <c r="AT148" i="1"/>
  <c r="AP139" i="1"/>
  <c r="AN176" i="1"/>
  <c r="AP727" i="1"/>
  <c r="AP734" i="1"/>
  <c r="U736" i="1"/>
  <c r="AN735" i="1"/>
  <c r="AR737" i="1"/>
  <c r="C704" i="1"/>
  <c r="H703" i="1"/>
  <c r="N697" i="1"/>
  <c r="U697" i="1"/>
  <c r="N696" i="1"/>
  <c r="N693" i="1"/>
  <c r="N695" i="1"/>
  <c r="U696" i="1"/>
  <c r="N698" i="1"/>
  <c r="U693" i="1"/>
  <c r="AP694" i="1"/>
  <c r="U694" i="1"/>
  <c r="AN697" i="1"/>
  <c r="H727" i="1"/>
  <c r="C728" i="1"/>
  <c r="AP696" i="1"/>
  <c r="U733" i="1"/>
  <c r="U698" i="1"/>
  <c r="U735" i="1"/>
  <c r="AN734" i="1"/>
  <c r="AN725" i="1"/>
  <c r="C696" i="1"/>
  <c r="H695" i="1"/>
  <c r="AN736" i="1"/>
  <c r="AN732" i="1"/>
  <c r="AN728" i="1"/>
  <c r="AN696" i="1"/>
  <c r="AN694" i="1"/>
  <c r="N727" i="1"/>
  <c r="N729" i="1"/>
  <c r="U727" i="1"/>
  <c r="N726" i="1"/>
  <c r="U724" i="1"/>
  <c r="N725" i="1"/>
  <c r="AP728" i="1"/>
  <c r="AN726" i="1"/>
  <c r="U726" i="1"/>
  <c r="AP724" i="1"/>
  <c r="AN729" i="1"/>
  <c r="U729" i="1"/>
  <c r="AP725" i="1"/>
  <c r="N735" i="1"/>
  <c r="N734" i="1"/>
  <c r="N731" i="1"/>
  <c r="U734" i="1"/>
  <c r="N736" i="1"/>
  <c r="U731" i="1"/>
  <c r="N733" i="1"/>
  <c r="AP732" i="1"/>
  <c r="C734" i="1"/>
  <c r="H733" i="1"/>
  <c r="AP726" i="1"/>
  <c r="U732" i="1"/>
  <c r="AN731" i="1"/>
  <c r="U728" i="1"/>
  <c r="AR706" i="1"/>
  <c r="U725" i="1"/>
  <c r="U695" i="1"/>
  <c r="N724" i="1"/>
  <c r="AP733" i="1"/>
  <c r="AV737" i="1"/>
  <c r="AN727" i="1"/>
  <c r="AP697" i="1"/>
  <c r="N732" i="1"/>
  <c r="AP729" i="1"/>
  <c r="N728" i="1"/>
  <c r="AN733" i="1"/>
  <c r="AN698" i="1"/>
  <c r="N694" i="1"/>
  <c r="AP731" i="1"/>
  <c r="AP1256" i="1"/>
  <c r="AN1252" i="1"/>
  <c r="AP1284" i="1"/>
  <c r="AT1264" i="1"/>
  <c r="C1254" i="1"/>
  <c r="H1253" i="1"/>
  <c r="U1294" i="1"/>
  <c r="U1291" i="1"/>
  <c r="N1293" i="1"/>
  <c r="U1292" i="1"/>
  <c r="N1294" i="1"/>
  <c r="U1289" i="1"/>
  <c r="N1291" i="1"/>
  <c r="AP1290" i="1"/>
  <c r="AN1291" i="1"/>
  <c r="AN1286" i="1"/>
  <c r="C1292" i="1"/>
  <c r="H1291" i="1"/>
  <c r="AV1295" i="1"/>
  <c r="AN1283" i="1"/>
  <c r="U1283" i="1"/>
  <c r="AN1287" i="1"/>
  <c r="U1287" i="1"/>
  <c r="AP1282" i="1"/>
  <c r="AP1286" i="1"/>
  <c r="AN1284" i="1"/>
  <c r="U1284" i="1"/>
  <c r="N1283" i="1"/>
  <c r="N1284" i="1"/>
  <c r="AV1264" i="1"/>
  <c r="N1286" i="1"/>
  <c r="N1282" i="1"/>
  <c r="AR1295" i="1"/>
  <c r="N1287" i="1"/>
  <c r="U1282" i="1"/>
  <c r="AN1282" i="1"/>
  <c r="C1262" i="1"/>
  <c r="H1261" i="1"/>
  <c r="U1256" i="1"/>
  <c r="U1253" i="1"/>
  <c r="AP1251" i="1"/>
  <c r="N1254" i="1"/>
  <c r="N1256" i="1"/>
  <c r="U1251" i="1"/>
  <c r="N1253" i="1"/>
  <c r="AP1252" i="1"/>
  <c r="AN1254" i="1"/>
  <c r="U1254" i="1"/>
  <c r="AN1256" i="1"/>
  <c r="H1285" i="1"/>
  <c r="C1286" i="1"/>
  <c r="AP1254" i="1"/>
  <c r="AP1292" i="1"/>
  <c r="AP1294" i="1"/>
  <c r="AN1290" i="1"/>
  <c r="AP1287" i="1"/>
  <c r="AN1251" i="1"/>
  <c r="H1843" i="1"/>
  <c r="C1844" i="1"/>
  <c r="AV1853" i="1"/>
  <c r="U1849" i="1"/>
  <c r="N1851" i="1"/>
  <c r="U1850" i="1"/>
  <c r="N1852" i="1"/>
  <c r="U1847" i="1"/>
  <c r="N1849" i="1"/>
  <c r="AP1848" i="1"/>
  <c r="N1848" i="1"/>
  <c r="AN1849" i="1"/>
  <c r="AN1850" i="1"/>
  <c r="AR1853" i="1"/>
  <c r="AT1822" i="1"/>
  <c r="C1820" i="1"/>
  <c r="H1819" i="1"/>
  <c r="AR1822" i="1"/>
  <c r="C1850" i="1"/>
  <c r="H1849" i="1"/>
  <c r="AR117" i="1"/>
  <c r="AR24" i="1"/>
  <c r="AP45" i="1"/>
  <c r="AV954" i="1"/>
  <c r="N912" i="1"/>
  <c r="AP911" i="1"/>
  <c r="N795" i="1"/>
  <c r="AR644" i="1"/>
  <c r="AT1636" i="1"/>
  <c r="AN1662" i="1"/>
  <c r="U1626" i="1"/>
  <c r="AP1625" i="1"/>
  <c r="AP1665" i="1"/>
  <c r="AP1535" i="1"/>
  <c r="N1468" i="1"/>
  <c r="U1189" i="1"/>
  <c r="AN1163" i="1"/>
  <c r="AN1168" i="1"/>
  <c r="AR1233" i="1"/>
  <c r="U1413" i="1"/>
  <c r="C1595" i="1"/>
  <c r="H1594" i="1"/>
  <c r="N976" i="1"/>
  <c r="U974" i="1"/>
  <c r="U972" i="1"/>
  <c r="N973" i="1"/>
  <c r="N972" i="1"/>
  <c r="AN972" i="1"/>
  <c r="AN973" i="1"/>
  <c r="AP759" i="1"/>
  <c r="AN581" i="1"/>
  <c r="AP667" i="1"/>
  <c r="AP23" i="1"/>
  <c r="AN235" i="1"/>
  <c r="AN240" i="1"/>
  <c r="AN236" i="1"/>
  <c r="U116" i="1"/>
  <c r="AN114" i="1"/>
  <c r="U51" i="1"/>
  <c r="AN116" i="1"/>
  <c r="AP54" i="1"/>
  <c r="AN53" i="1"/>
  <c r="AN417" i="1"/>
  <c r="AV396" i="1"/>
  <c r="AT427" i="1"/>
  <c r="AP384" i="1"/>
  <c r="AN383" i="1"/>
  <c r="AP421" i="1"/>
  <c r="N331" i="1"/>
  <c r="AP383" i="1"/>
  <c r="U331" i="1"/>
  <c r="AN333" i="1"/>
  <c r="AN332" i="1"/>
  <c r="AP321" i="1"/>
  <c r="AP328" i="1"/>
  <c r="AP330" i="1"/>
  <c r="U519" i="1"/>
  <c r="N546" i="1"/>
  <c r="U515" i="1"/>
  <c r="AN477" i="1"/>
  <c r="AR489" i="1"/>
  <c r="AP1065" i="1"/>
  <c r="AN1097" i="1"/>
  <c r="AN1075" i="1"/>
  <c r="AP1005" i="1"/>
  <c r="N1003" i="1"/>
  <c r="AP1003" i="1"/>
  <c r="AN1008" i="1"/>
  <c r="AP921" i="1"/>
  <c r="AT892" i="1"/>
  <c r="AP891" i="1"/>
  <c r="AP889" i="1"/>
  <c r="AN829" i="1"/>
  <c r="AP826" i="1"/>
  <c r="U822" i="1"/>
  <c r="AV644" i="1"/>
  <c r="N1662" i="1"/>
  <c r="AP1664" i="1"/>
  <c r="AN1663" i="1"/>
  <c r="U1624" i="1"/>
  <c r="N1626" i="1"/>
  <c r="AN1627" i="1"/>
  <c r="AN1534" i="1"/>
  <c r="AP1472" i="1"/>
  <c r="AN1471" i="1"/>
  <c r="AN1470" i="1"/>
  <c r="AV1419" i="1"/>
  <c r="AN1387" i="1"/>
  <c r="AN1382" i="1"/>
  <c r="AP1318" i="1"/>
  <c r="AP1163" i="1"/>
  <c r="AN1170" i="1"/>
  <c r="AP1139" i="1"/>
  <c r="N1137" i="1"/>
  <c r="AN1782" i="1"/>
  <c r="AV1760" i="1"/>
  <c r="N1749" i="1"/>
  <c r="AT1729" i="1"/>
  <c r="AN1789" i="1"/>
  <c r="H1694" i="1"/>
  <c r="C1695" i="1"/>
  <c r="H1477" i="1"/>
  <c r="C1478" i="1"/>
  <c r="U1355" i="1"/>
  <c r="AP760" i="1"/>
  <c r="U755" i="1"/>
  <c r="C517" i="1"/>
  <c r="H516" i="1"/>
  <c r="AP20" i="1"/>
  <c r="AN18" i="1"/>
  <c r="AP757" i="1"/>
  <c r="AN666" i="1"/>
  <c r="AN239" i="1"/>
  <c r="U236" i="1"/>
  <c r="U239" i="1"/>
  <c r="N235" i="1"/>
  <c r="U201" i="1"/>
  <c r="N290" i="1"/>
  <c r="N238" i="1"/>
  <c r="AR210" i="1"/>
  <c r="AP239" i="1"/>
  <c r="AP238" i="1"/>
  <c r="AT241" i="1"/>
  <c r="U113" i="1"/>
  <c r="AP113" i="1"/>
  <c r="AN107" i="1"/>
  <c r="U80" i="1"/>
  <c r="U43" i="1"/>
  <c r="N108" i="1"/>
  <c r="U81" i="1"/>
  <c r="N53" i="1"/>
  <c r="AP51" i="1"/>
  <c r="AP43" i="1"/>
  <c r="AP52" i="1"/>
  <c r="AN51" i="1"/>
  <c r="AT24" i="1"/>
  <c r="AP111" i="1"/>
  <c r="AN54" i="1"/>
  <c r="U417" i="1"/>
  <c r="AN419" i="1"/>
  <c r="AP416" i="1"/>
  <c r="AP417" i="1"/>
  <c r="AP419" i="1"/>
  <c r="AN361" i="1"/>
  <c r="AP362" i="1"/>
  <c r="U333" i="1"/>
  <c r="AP326" i="1"/>
  <c r="AN323" i="1"/>
  <c r="U328" i="1"/>
  <c r="AP324" i="1"/>
  <c r="AN519" i="1"/>
  <c r="AN512" i="1"/>
  <c r="AT489" i="1"/>
  <c r="N1066" i="1"/>
  <c r="AN1065" i="1"/>
  <c r="U1104" i="1"/>
  <c r="AP1101" i="1"/>
  <c r="AP1099" i="1"/>
  <c r="AN1067" i="1"/>
  <c r="AP1074" i="1"/>
  <c r="AV1047" i="1"/>
  <c r="AP1008" i="1"/>
  <c r="U913" i="1"/>
  <c r="AN919" i="1"/>
  <c r="N914" i="1"/>
  <c r="AP918" i="1"/>
  <c r="U920" i="1"/>
  <c r="AP979" i="1"/>
  <c r="AN921" i="1"/>
  <c r="U829" i="1"/>
  <c r="AT830" i="1"/>
  <c r="AP820" i="1"/>
  <c r="U825" i="1"/>
  <c r="AN819" i="1"/>
  <c r="AP829" i="1"/>
  <c r="AT768" i="1"/>
  <c r="AV675" i="1"/>
  <c r="AP762" i="1"/>
  <c r="AT613" i="1"/>
  <c r="AN1666" i="1"/>
  <c r="AN1530" i="1"/>
  <c r="AP1386" i="1"/>
  <c r="U1383" i="1"/>
  <c r="AP1380" i="1"/>
  <c r="AN1346" i="1"/>
  <c r="AN1189" i="1"/>
  <c r="AP1135" i="1"/>
  <c r="AT1791" i="1"/>
  <c r="AV1791" i="1"/>
  <c r="AN1747" i="1"/>
  <c r="AP974" i="1"/>
  <c r="AN1355" i="1"/>
  <c r="AN579" i="1"/>
  <c r="AN759" i="1"/>
  <c r="AN662" i="1"/>
  <c r="AP50" i="1"/>
  <c r="AT55" i="1"/>
  <c r="U50" i="1"/>
  <c r="U414" i="1"/>
  <c r="U419" i="1"/>
  <c r="U324" i="1"/>
  <c r="U323" i="1"/>
  <c r="AV985" i="1"/>
  <c r="N1004" i="1"/>
  <c r="AN1007" i="1"/>
  <c r="AP913" i="1"/>
  <c r="AN920" i="1"/>
  <c r="U827" i="1"/>
  <c r="AP798" i="1"/>
  <c r="U793" i="1"/>
  <c r="AN796" i="1"/>
  <c r="U635" i="1"/>
  <c r="AV1388" i="1"/>
  <c r="AN1159" i="1"/>
  <c r="AN1160" i="1"/>
  <c r="U1134" i="1"/>
  <c r="U1790" i="1"/>
  <c r="AP1751" i="1"/>
  <c r="AN1506" i="1"/>
  <c r="N1506" i="1"/>
  <c r="AN1510" i="1"/>
  <c r="U1510" i="1"/>
  <c r="AP1511" i="1"/>
  <c r="H1749" i="1"/>
  <c r="C1750" i="1"/>
  <c r="AN1351" i="1"/>
  <c r="C456" i="1"/>
  <c r="H455" i="1"/>
  <c r="N22" i="1"/>
  <c r="N19" i="1"/>
  <c r="AN19" i="1"/>
  <c r="N204" i="1"/>
  <c r="AN208" i="1"/>
  <c r="U208" i="1"/>
  <c r="AN207" i="1"/>
  <c r="AN204" i="1"/>
  <c r="U1759" i="1"/>
  <c r="U1756" i="1"/>
  <c r="AP1754" i="1"/>
  <c r="U1757" i="1"/>
  <c r="N1756" i="1"/>
  <c r="U1754" i="1"/>
  <c r="N1759" i="1"/>
  <c r="H1782" i="1"/>
  <c r="C1783" i="1"/>
  <c r="H1783" i="1" s="1"/>
  <c r="AP1758" i="1"/>
  <c r="C1727" i="1"/>
  <c r="H1726" i="1"/>
  <c r="AN1783" i="1"/>
  <c r="U1783" i="1"/>
  <c r="N1782" i="1"/>
  <c r="N1783" i="1"/>
  <c r="AN1780" i="1"/>
  <c r="N1780" i="1"/>
  <c r="U1780" i="1"/>
  <c r="AN1779" i="1"/>
  <c r="U1779" i="1"/>
  <c r="AN1757" i="1"/>
  <c r="AR1791" i="1"/>
  <c r="N1779" i="1"/>
  <c r="C1757" i="1"/>
  <c r="H1756" i="1"/>
  <c r="C1719" i="1"/>
  <c r="H1718" i="1"/>
  <c r="AP1752" i="1"/>
  <c r="C1689" i="1"/>
  <c r="H1688" i="1"/>
  <c r="AP1757" i="1"/>
  <c r="AN1759" i="1"/>
  <c r="AN1696" i="1"/>
  <c r="U1696" i="1"/>
  <c r="N1696" i="1"/>
  <c r="AN1693" i="1"/>
  <c r="U1693" i="1"/>
  <c r="AN1690" i="1"/>
  <c r="AP1685" i="1"/>
  <c r="AP1779" i="1"/>
  <c r="U1721" i="1"/>
  <c r="U1718" i="1"/>
  <c r="AP1716" i="1"/>
  <c r="N1718" i="1"/>
  <c r="U1719" i="1"/>
  <c r="N1721" i="1"/>
  <c r="U1716" i="1"/>
  <c r="AN1717" i="1"/>
  <c r="AP1693" i="1"/>
  <c r="U1789" i="1"/>
  <c r="N1788" i="1"/>
  <c r="N1786" i="1"/>
  <c r="AP1785" i="1"/>
  <c r="U1788" i="1"/>
  <c r="N1785" i="1"/>
  <c r="U1785" i="1"/>
  <c r="N1789" i="1"/>
  <c r="AN1785" i="1"/>
  <c r="U1781" i="1"/>
  <c r="AN1758" i="1"/>
  <c r="N1754" i="1"/>
  <c r="AP1787" i="1"/>
  <c r="AP1788" i="1"/>
  <c r="AN1754" i="1"/>
  <c r="AN1781" i="1"/>
  <c r="N1751" i="1"/>
  <c r="AR1698" i="1"/>
  <c r="U1687" i="1"/>
  <c r="AP1782" i="1"/>
  <c r="AP1756" i="1"/>
  <c r="N1692" i="1"/>
  <c r="AP1721" i="1"/>
  <c r="N1717" i="1"/>
  <c r="U1695" i="1"/>
  <c r="AN1756" i="1"/>
  <c r="U1778" i="1"/>
  <c r="AN1755" i="1"/>
  <c r="AP1755" i="1"/>
  <c r="AN1790" i="1"/>
  <c r="C1788" i="1"/>
  <c r="H1787" i="1"/>
  <c r="AP1783" i="1"/>
  <c r="AP1778" i="1"/>
  <c r="U1758" i="1"/>
  <c r="AN1748" i="1"/>
  <c r="U1748" i="1"/>
  <c r="AP1747" i="1"/>
  <c r="AN1752" i="1"/>
  <c r="U1752" i="1"/>
  <c r="AN1749" i="1"/>
  <c r="U1749" i="1"/>
  <c r="N1748" i="1"/>
  <c r="U1750" i="1"/>
  <c r="N1787" i="1"/>
  <c r="AT1698" i="1"/>
  <c r="AN1778" i="1"/>
  <c r="AP1750" i="1"/>
  <c r="U1688" i="1"/>
  <c r="U1685" i="1"/>
  <c r="N1689" i="1"/>
  <c r="AN1689" i="1"/>
  <c r="U1689" i="1"/>
  <c r="N1688" i="1"/>
  <c r="AP1687" i="1"/>
  <c r="N1685" i="1"/>
  <c r="AP1690" i="1"/>
  <c r="AN1685" i="1"/>
  <c r="AP1759" i="1"/>
  <c r="N1755" i="1"/>
  <c r="AP1692" i="1"/>
  <c r="AN1692" i="1"/>
  <c r="AP1689" i="1"/>
  <c r="AP1786" i="1"/>
  <c r="AP1748" i="1"/>
  <c r="AN1718" i="1"/>
  <c r="AN1695" i="1"/>
  <c r="AP1694" i="1"/>
  <c r="AV1698" i="1"/>
  <c r="AV1667" i="1"/>
  <c r="AN1658" i="1"/>
  <c r="C1634" i="1"/>
  <c r="H1633" i="1"/>
  <c r="H1657" i="1"/>
  <c r="C1658" i="1"/>
  <c r="N1631" i="1"/>
  <c r="N1634" i="1"/>
  <c r="AN1631" i="1"/>
  <c r="U1631" i="1"/>
  <c r="AN1634" i="1"/>
  <c r="U1634" i="1"/>
  <c r="N1633" i="1"/>
  <c r="AP1632" i="1"/>
  <c r="N1630" i="1"/>
  <c r="AP1635" i="1"/>
  <c r="N1604" i="1"/>
  <c r="N1601" i="1"/>
  <c r="N1600" i="1"/>
  <c r="AN1604" i="1"/>
  <c r="U1604" i="1"/>
  <c r="AN1601" i="1"/>
  <c r="U1601" i="1"/>
  <c r="AN1600" i="1"/>
  <c r="U1600" i="1"/>
  <c r="N1599" i="1"/>
  <c r="AN1599" i="1"/>
  <c r="AP1600" i="1"/>
  <c r="AP1603" i="1"/>
  <c r="AP1602" i="1"/>
  <c r="U1570" i="1"/>
  <c r="AN1569" i="1"/>
  <c r="U1542" i="1"/>
  <c r="AN1592" i="1"/>
  <c r="AP1568" i="1"/>
  <c r="AP1499" i="1"/>
  <c r="U1503" i="1"/>
  <c r="N1502" i="1"/>
  <c r="N1499" i="1"/>
  <c r="N1504" i="1"/>
  <c r="U1499" i="1"/>
  <c r="N1501" i="1"/>
  <c r="AP1500" i="1"/>
  <c r="AN1502" i="1"/>
  <c r="U1502" i="1"/>
  <c r="AP1503" i="1"/>
  <c r="AN1503" i="1"/>
  <c r="H1533" i="1"/>
  <c r="C1534" i="1"/>
  <c r="AV1574" i="1"/>
  <c r="AN1537" i="1"/>
  <c r="AN1539" i="1"/>
  <c r="AT1450" i="1"/>
  <c r="AP1655" i="1"/>
  <c r="N1635" i="1"/>
  <c r="AN1633" i="1"/>
  <c r="U1602" i="1"/>
  <c r="N1627" i="1"/>
  <c r="N1625" i="1"/>
  <c r="U1623" i="1"/>
  <c r="N1628" i="1"/>
  <c r="U1627" i="1"/>
  <c r="AP1628" i="1"/>
  <c r="AN1623" i="1"/>
  <c r="AP1626" i="1"/>
  <c r="N1623" i="1"/>
  <c r="C1627" i="1"/>
  <c r="H1626" i="1"/>
  <c r="AN1630" i="1"/>
  <c r="N1597" i="1"/>
  <c r="U1596" i="1"/>
  <c r="AP1597" i="1"/>
  <c r="AP1593" i="1"/>
  <c r="N1592" i="1"/>
  <c r="N1595" i="1"/>
  <c r="U1592" i="1"/>
  <c r="AP1595" i="1"/>
  <c r="N1596" i="1"/>
  <c r="N1594" i="1"/>
  <c r="AN1594" i="1"/>
  <c r="AP1594" i="1"/>
  <c r="AP1596" i="1"/>
  <c r="U1603" i="1"/>
  <c r="N1593" i="1"/>
  <c r="AP1572" i="1"/>
  <c r="AN1570" i="1"/>
  <c r="U1539" i="1"/>
  <c r="H1602" i="1"/>
  <c r="C1603" i="1"/>
  <c r="U1595" i="1"/>
  <c r="AP1501" i="1"/>
  <c r="C1510" i="1"/>
  <c r="H1509" i="1"/>
  <c r="U1500" i="1"/>
  <c r="AP1502" i="1"/>
  <c r="AN1501" i="1"/>
  <c r="N1564" i="1"/>
  <c r="N1561" i="1"/>
  <c r="N1563" i="1"/>
  <c r="U1564" i="1"/>
  <c r="U1563" i="1"/>
  <c r="AP1561" i="1"/>
  <c r="N1566" i="1"/>
  <c r="U1561" i="1"/>
  <c r="U1566" i="1"/>
  <c r="N1562" i="1"/>
  <c r="AP1563" i="1"/>
  <c r="AP1564" i="1"/>
  <c r="AP1562" i="1"/>
  <c r="U1565" i="1"/>
  <c r="U1594" i="1"/>
  <c r="C1410" i="1"/>
  <c r="H1409" i="1"/>
  <c r="C1385" i="1"/>
  <c r="H1384" i="1"/>
  <c r="N1657" i="1"/>
  <c r="N1654" i="1"/>
  <c r="N1659" i="1"/>
  <c r="U1657" i="1"/>
  <c r="N1656" i="1"/>
  <c r="U1654" i="1"/>
  <c r="N1655" i="1"/>
  <c r="AP1658" i="1"/>
  <c r="AN1656" i="1"/>
  <c r="U1656" i="1"/>
  <c r="AP1654" i="1"/>
  <c r="AN1659" i="1"/>
  <c r="U1659" i="1"/>
  <c r="AP1656" i="1"/>
  <c r="AN1655" i="1"/>
  <c r="AT1667" i="1"/>
  <c r="AP1659" i="1"/>
  <c r="AP1657" i="1"/>
  <c r="AR1667" i="1"/>
  <c r="C1664" i="1"/>
  <c r="H1663" i="1"/>
  <c r="AV1636" i="1"/>
  <c r="N1572" i="1"/>
  <c r="N1570" i="1"/>
  <c r="N1571" i="1"/>
  <c r="AP1570" i="1"/>
  <c r="AP1569" i="1"/>
  <c r="N1573" i="1"/>
  <c r="U1572" i="1"/>
  <c r="U1571" i="1"/>
  <c r="N1568" i="1"/>
  <c r="AP1573" i="1"/>
  <c r="U1568" i="1"/>
  <c r="AN1571" i="1"/>
  <c r="AP1571" i="1"/>
  <c r="H1565" i="1"/>
  <c r="C1566" i="1"/>
  <c r="H1566" i="1" s="1"/>
  <c r="N1541" i="1"/>
  <c r="U1541" i="1"/>
  <c r="N1540" i="1"/>
  <c r="N1537" i="1"/>
  <c r="AN1540" i="1"/>
  <c r="U1540" i="1"/>
  <c r="N1542" i="1"/>
  <c r="U1537" i="1"/>
  <c r="AP1538" i="1"/>
  <c r="N1539" i="1"/>
  <c r="AP1540" i="1"/>
  <c r="AN1541" i="1"/>
  <c r="N1538" i="1"/>
  <c r="AN1542" i="1"/>
  <c r="AN1595" i="1"/>
  <c r="U1573" i="1"/>
  <c r="AP1539" i="1"/>
  <c r="AV1605" i="1"/>
  <c r="AR1574" i="1"/>
  <c r="AP1541" i="1"/>
  <c r="AN1504" i="1"/>
  <c r="AN1500" i="1"/>
  <c r="AV1543" i="1"/>
  <c r="C1502" i="1"/>
  <c r="H1501" i="1"/>
  <c r="AN1480" i="1"/>
  <c r="U1480" i="1"/>
  <c r="N1479" i="1"/>
  <c r="AN1477" i="1"/>
  <c r="U1477" i="1"/>
  <c r="N1476" i="1"/>
  <c r="AN1476" i="1"/>
  <c r="U1476" i="1"/>
  <c r="N1475" i="1"/>
  <c r="AP1476" i="1"/>
  <c r="U1478" i="1"/>
  <c r="AN1475" i="1"/>
  <c r="N1478" i="1"/>
  <c r="AP1565" i="1"/>
  <c r="U1562" i="1"/>
  <c r="U1538" i="1"/>
  <c r="AN1566" i="1"/>
  <c r="AV1512" i="1"/>
  <c r="AP1478" i="1"/>
  <c r="AN1568" i="1"/>
  <c r="U1633" i="1"/>
  <c r="AN1657" i="1"/>
  <c r="AN1654" i="1"/>
  <c r="U1625" i="1"/>
  <c r="N1665" i="1"/>
  <c r="U1665" i="1"/>
  <c r="N1664" i="1"/>
  <c r="N1661" i="1"/>
  <c r="U1664" i="1"/>
  <c r="N1666" i="1"/>
  <c r="U1661" i="1"/>
  <c r="N1663" i="1"/>
  <c r="AP1662" i="1"/>
  <c r="U1662" i="1"/>
  <c r="AN1661" i="1"/>
  <c r="U1658" i="1"/>
  <c r="N1632" i="1"/>
  <c r="AR1636" i="1"/>
  <c r="N1602" i="1"/>
  <c r="U1635" i="1"/>
  <c r="AP1634" i="1"/>
  <c r="AP1623" i="1"/>
  <c r="AN1626" i="1"/>
  <c r="AN1624" i="1"/>
  <c r="U1597" i="1"/>
  <c r="U1630" i="1"/>
  <c r="U1599" i="1"/>
  <c r="AP1604" i="1"/>
  <c r="N1603" i="1"/>
  <c r="U1593" i="1"/>
  <c r="U1569" i="1"/>
  <c r="U1501" i="1"/>
  <c r="AT1574" i="1"/>
  <c r="N1503" i="1"/>
  <c r="AP1601" i="1"/>
  <c r="AN1573" i="1"/>
  <c r="N1535" i="1"/>
  <c r="U1533" i="1"/>
  <c r="N1532" i="1"/>
  <c r="U1530" i="1"/>
  <c r="AN1535" i="1"/>
  <c r="U1535" i="1"/>
  <c r="AP1530" i="1"/>
  <c r="N1531" i="1"/>
  <c r="AP1534" i="1"/>
  <c r="AN1532" i="1"/>
  <c r="U1532" i="1"/>
  <c r="N1534" i="1"/>
  <c r="AN1533" i="1"/>
  <c r="U1534" i="1"/>
  <c r="AR1512" i="1"/>
  <c r="AP1479" i="1"/>
  <c r="N1500" i="1"/>
  <c r="AN1499" i="1"/>
  <c r="AN1479" i="1"/>
  <c r="AT1605" i="1"/>
  <c r="AN1563" i="1"/>
  <c r="N1473" i="1"/>
  <c r="U1472" i="1"/>
  <c r="AP1473" i="1"/>
  <c r="N1471" i="1"/>
  <c r="N1470" i="1"/>
  <c r="AP1469" i="1"/>
  <c r="U1468" i="1"/>
  <c r="N1472" i="1"/>
  <c r="AN1472" i="1"/>
  <c r="U1469" i="1"/>
  <c r="AN1468" i="1"/>
  <c r="N1469" i="1"/>
  <c r="U1470" i="1"/>
  <c r="AP1471" i="1"/>
  <c r="AN1565" i="1"/>
  <c r="AN1562" i="1"/>
  <c r="AN1538" i="1"/>
  <c r="AP1533" i="1"/>
  <c r="AN1531" i="1"/>
  <c r="AP1477" i="1"/>
  <c r="AV1450" i="1"/>
  <c r="AN1478" i="1"/>
  <c r="AP1470" i="1"/>
  <c r="AN1572" i="1"/>
  <c r="AR1419" i="1"/>
  <c r="AT1512" i="1"/>
  <c r="AT1543" i="1"/>
  <c r="N1445" i="1"/>
  <c r="AP1444" i="1"/>
  <c r="AN1445" i="1"/>
  <c r="U1445" i="1"/>
  <c r="N1444" i="1"/>
  <c r="AN1448" i="1"/>
  <c r="U1448" i="1"/>
  <c r="AN1444" i="1"/>
  <c r="AP1446" i="1"/>
  <c r="N1447" i="1"/>
  <c r="AR1543" i="1"/>
  <c r="C1440" i="1"/>
  <c r="H1439" i="1"/>
  <c r="U1446" i="1"/>
  <c r="U1387" i="1"/>
  <c r="AR1388" i="1"/>
  <c r="AT1326" i="1"/>
  <c r="AP1383" i="1"/>
  <c r="C1355" i="1"/>
  <c r="H1354" i="1"/>
  <c r="AP1323" i="1"/>
  <c r="AR1326" i="1"/>
  <c r="AN1376" i="1"/>
  <c r="U1376" i="1"/>
  <c r="N1378" i="1"/>
  <c r="AN1375" i="1"/>
  <c r="N1375" i="1"/>
  <c r="AN1377" i="1"/>
  <c r="U1377" i="1"/>
  <c r="AN1380" i="1"/>
  <c r="U1380" i="1"/>
  <c r="AP1375" i="1"/>
  <c r="N1376" i="1"/>
  <c r="AN1349" i="1"/>
  <c r="AP1320" i="1"/>
  <c r="AN1386" i="1"/>
  <c r="N1379" i="1"/>
  <c r="U1323" i="1"/>
  <c r="N1449" i="1"/>
  <c r="AN1447" i="1"/>
  <c r="AN1384" i="1"/>
  <c r="AP1347" i="1"/>
  <c r="N1345" i="1"/>
  <c r="AP1321" i="1"/>
  <c r="AP1317" i="1"/>
  <c r="AP1315" i="1"/>
  <c r="AP1228" i="1"/>
  <c r="AN1190" i="1"/>
  <c r="U1190" i="1"/>
  <c r="N1194" i="1"/>
  <c r="N1191" i="1"/>
  <c r="AN1194" i="1"/>
  <c r="U1194" i="1"/>
  <c r="AP1189" i="1"/>
  <c r="N1190" i="1"/>
  <c r="AP1193" i="1"/>
  <c r="AN1191" i="1"/>
  <c r="U1191" i="1"/>
  <c r="U1192" i="1"/>
  <c r="AP1378" i="1"/>
  <c r="C1317" i="1"/>
  <c r="H1316" i="1"/>
  <c r="C1169" i="1"/>
  <c r="H1168" i="1"/>
  <c r="U1163" i="1"/>
  <c r="U1160" i="1"/>
  <c r="AP1158" i="1"/>
  <c r="N1161" i="1"/>
  <c r="N1158" i="1"/>
  <c r="N1163" i="1"/>
  <c r="U1158" i="1"/>
  <c r="N1160" i="1"/>
  <c r="U1161" i="1"/>
  <c r="N1159" i="1"/>
  <c r="AN1158" i="1"/>
  <c r="AN1223" i="1"/>
  <c r="AP1222" i="1"/>
  <c r="U1168" i="1"/>
  <c r="U1165" i="1"/>
  <c r="N1169" i="1"/>
  <c r="N1168" i="1"/>
  <c r="N1165" i="1"/>
  <c r="AP1170" i="1"/>
  <c r="AN1165" i="1"/>
  <c r="AN1169" i="1"/>
  <c r="U1169" i="1"/>
  <c r="AR1140" i="1"/>
  <c r="U1129" i="1"/>
  <c r="U1231" i="1"/>
  <c r="AN1230" i="1"/>
  <c r="AP1201" i="1"/>
  <c r="N1197" i="1"/>
  <c r="AT1202" i="1"/>
  <c r="AP1194" i="1"/>
  <c r="AP1192" i="1"/>
  <c r="U1137" i="1"/>
  <c r="AP1134" i="1"/>
  <c r="N1132" i="1"/>
  <c r="AP1198" i="1"/>
  <c r="AR1357" i="1"/>
  <c r="AV1357" i="1"/>
  <c r="N1325" i="1"/>
  <c r="N1322" i="1"/>
  <c r="U1325" i="1"/>
  <c r="U1322" i="1"/>
  <c r="N1324" i="1"/>
  <c r="U1321" i="1"/>
  <c r="U1320" i="1"/>
  <c r="AT1481" i="1"/>
  <c r="AT1388" i="1"/>
  <c r="H1379" i="1"/>
  <c r="C1380" i="1"/>
  <c r="H1380" i="1" s="1"/>
  <c r="AN1323" i="1"/>
  <c r="AP1449" i="1"/>
  <c r="AR1450" i="1"/>
  <c r="AN1322" i="1"/>
  <c r="AP1229" i="1"/>
  <c r="AN1225" i="1"/>
  <c r="U1225" i="1"/>
  <c r="AN1222" i="1"/>
  <c r="U1222" i="1"/>
  <c r="N1221" i="1"/>
  <c r="U1221" i="1"/>
  <c r="N1224" i="1"/>
  <c r="AP1223" i="1"/>
  <c r="AN1221" i="1"/>
  <c r="AP1191" i="1"/>
  <c r="U1130" i="1"/>
  <c r="U1127" i="1"/>
  <c r="N1131" i="1"/>
  <c r="AN1131" i="1"/>
  <c r="U1131" i="1"/>
  <c r="N1130" i="1"/>
  <c r="AP1129" i="1"/>
  <c r="N1127" i="1"/>
  <c r="AP1132" i="1"/>
  <c r="AN1127" i="1"/>
  <c r="AP1225" i="1"/>
  <c r="U1193" i="1"/>
  <c r="AP1190" i="1"/>
  <c r="AP1162" i="1"/>
  <c r="AP1127" i="1"/>
  <c r="C1199" i="1"/>
  <c r="H1198" i="1"/>
  <c r="AP1167" i="1"/>
  <c r="AV1481" i="1"/>
  <c r="C1471" i="1"/>
  <c r="H1470" i="1"/>
  <c r="C1540" i="1"/>
  <c r="H1539" i="1"/>
  <c r="N1446" i="1"/>
  <c r="AP1445" i="1"/>
  <c r="U1386" i="1"/>
  <c r="N1385" i="1"/>
  <c r="N1387" i="1"/>
  <c r="U1385" i="1"/>
  <c r="AP1384" i="1"/>
  <c r="U1382" i="1"/>
  <c r="N1386" i="1"/>
  <c r="N1382" i="1"/>
  <c r="N1321" i="1"/>
  <c r="AP1387" i="1"/>
  <c r="AP1382" i="1"/>
  <c r="N1348" i="1"/>
  <c r="U1348" i="1"/>
  <c r="U1347" i="1"/>
  <c r="N1349" i="1"/>
  <c r="AP1345" i="1"/>
  <c r="N1346" i="1"/>
  <c r="U1344" i="1"/>
  <c r="N1320" i="1"/>
  <c r="AN1383" i="1"/>
  <c r="U1379" i="1"/>
  <c r="C1347" i="1"/>
  <c r="H1346" i="1"/>
  <c r="N1323" i="1"/>
  <c r="U1449" i="1"/>
  <c r="U1345" i="1"/>
  <c r="N1232" i="1"/>
  <c r="U1230" i="1"/>
  <c r="N1229" i="1"/>
  <c r="U1227" i="1"/>
  <c r="AN1232" i="1"/>
  <c r="U1232" i="1"/>
  <c r="AP1227" i="1"/>
  <c r="N1228" i="1"/>
  <c r="AP1231" i="1"/>
  <c r="AN1229" i="1"/>
  <c r="U1229" i="1"/>
  <c r="AV1202" i="1"/>
  <c r="C1325" i="1"/>
  <c r="H1325" i="1" s="1"/>
  <c r="H1324" i="1"/>
  <c r="AN1325" i="1"/>
  <c r="AN1227" i="1"/>
  <c r="C1225" i="1"/>
  <c r="H1225" i="1" s="1"/>
  <c r="H1224" i="1"/>
  <c r="AP1221" i="1"/>
  <c r="N1220" i="1"/>
  <c r="C1161" i="1"/>
  <c r="H1160" i="1"/>
  <c r="N1129" i="1"/>
  <c r="N1231" i="1"/>
  <c r="AN1228" i="1"/>
  <c r="AN1224" i="1"/>
  <c r="U1201" i="1"/>
  <c r="U1198" i="1"/>
  <c r="AP1196" i="1"/>
  <c r="N1199" i="1"/>
  <c r="N1196" i="1"/>
  <c r="U1199" i="1"/>
  <c r="N1201" i="1"/>
  <c r="U1196" i="1"/>
  <c r="N1198" i="1"/>
  <c r="AP1197" i="1"/>
  <c r="U1197" i="1"/>
  <c r="AN1198" i="1"/>
  <c r="AN1193" i="1"/>
  <c r="AN1138" i="1"/>
  <c r="U1138" i="1"/>
  <c r="N1135" i="1"/>
  <c r="AN1135" i="1"/>
  <c r="U1135" i="1"/>
  <c r="N1138" i="1"/>
  <c r="AP1137" i="1"/>
  <c r="U1132" i="1"/>
  <c r="AP1131" i="1"/>
  <c r="AP1138" i="1"/>
  <c r="AV1140" i="1"/>
  <c r="AP1159" i="1"/>
  <c r="C1448" i="1"/>
  <c r="H1447" i="1"/>
  <c r="AT1419" i="1"/>
  <c r="C1416" i="1"/>
  <c r="H1415" i="1"/>
  <c r="AN1324" i="1"/>
  <c r="AP1385" i="1"/>
  <c r="AN1320" i="1"/>
  <c r="AP1448" i="1"/>
  <c r="N1383" i="1"/>
  <c r="AN1385" i="1"/>
  <c r="AT1357" i="1"/>
  <c r="AN1449" i="1"/>
  <c r="U1384" i="1"/>
  <c r="AP1377" i="1"/>
  <c r="AN1345" i="1"/>
  <c r="AN1348" i="1"/>
  <c r="AV1326" i="1"/>
  <c r="AR1202" i="1"/>
  <c r="AT1140" i="1"/>
  <c r="AP1376" i="1"/>
  <c r="N1316" i="1"/>
  <c r="AN1314" i="1"/>
  <c r="N1314" i="1"/>
  <c r="U1314" i="1"/>
  <c r="H1230" i="1"/>
  <c r="C1231" i="1"/>
  <c r="U1223" i="1"/>
  <c r="AP1220" i="1"/>
  <c r="AN1220" i="1"/>
  <c r="H1192" i="1"/>
  <c r="C1193" i="1"/>
  <c r="AT1171" i="1"/>
  <c r="AP1161" i="1"/>
  <c r="C1131" i="1"/>
  <c r="H1130" i="1"/>
  <c r="AP1232" i="1"/>
  <c r="AP1230" i="1"/>
  <c r="AN1197" i="1"/>
  <c r="AN1201" i="1"/>
  <c r="N1193" i="1"/>
  <c r="C1139" i="1"/>
  <c r="H1139" i="1" s="1"/>
  <c r="H1138" i="1"/>
  <c r="N1134" i="1"/>
  <c r="AN1132" i="1"/>
  <c r="AP1130" i="1"/>
  <c r="AP1199" i="1"/>
  <c r="AN1161" i="1"/>
  <c r="AV1109" i="1"/>
  <c r="N1037" i="1"/>
  <c r="N1039" i="1"/>
  <c r="U1037" i="1"/>
  <c r="N1036" i="1"/>
  <c r="U1036" i="1"/>
  <c r="N1035" i="1"/>
  <c r="AP1034" i="1"/>
  <c r="U1039" i="1"/>
  <c r="AP1035" i="1"/>
  <c r="N1034" i="1"/>
  <c r="U1034" i="1"/>
  <c r="C1076" i="1"/>
  <c r="H1075" i="1"/>
  <c r="AP1036" i="1"/>
  <c r="AP1038" i="1"/>
  <c r="AP1037" i="1"/>
  <c r="AR1016" i="1"/>
  <c r="AT954" i="1"/>
  <c r="C952" i="1"/>
  <c r="H951" i="1"/>
  <c r="N889" i="1"/>
  <c r="AN886" i="1"/>
  <c r="N886" i="1"/>
  <c r="U889" i="1"/>
  <c r="U886" i="1"/>
  <c r="N887" i="1"/>
  <c r="AP890" i="1"/>
  <c r="AN888" i="1"/>
  <c r="U888" i="1"/>
  <c r="AN891" i="1"/>
  <c r="U891" i="1"/>
  <c r="AP886" i="1"/>
  <c r="AP953" i="1"/>
  <c r="AR954" i="1"/>
  <c r="N922" i="1"/>
  <c r="N919" i="1"/>
  <c r="U922" i="1"/>
  <c r="U919" i="1"/>
  <c r="N921" i="1"/>
  <c r="AN918" i="1"/>
  <c r="U918" i="1"/>
  <c r="AP952" i="1"/>
  <c r="C827" i="1"/>
  <c r="H826" i="1"/>
  <c r="C1037" i="1"/>
  <c r="H1036" i="1"/>
  <c r="AN1036" i="1"/>
  <c r="AN982" i="1"/>
  <c r="C884" i="1"/>
  <c r="H884" i="1" s="1"/>
  <c r="H883" i="1"/>
  <c r="AP822" i="1"/>
  <c r="N821" i="1"/>
  <c r="AN851" i="1"/>
  <c r="N673" i="1"/>
  <c r="U673" i="1"/>
  <c r="N672" i="1"/>
  <c r="N674" i="1"/>
  <c r="U672" i="1"/>
  <c r="N671" i="1"/>
  <c r="U669" i="1"/>
  <c r="AP797" i="1"/>
  <c r="U674" i="1"/>
  <c r="U671" i="1"/>
  <c r="AP669" i="1"/>
  <c r="H758" i="1"/>
  <c r="C759" i="1"/>
  <c r="AP674" i="1"/>
  <c r="AN670" i="1"/>
  <c r="H672" i="1"/>
  <c r="C673" i="1"/>
  <c r="AP639" i="1"/>
  <c r="AN633" i="1"/>
  <c r="AP631" i="1"/>
  <c r="AV613" i="1"/>
  <c r="AN643" i="1"/>
  <c r="AN641" i="1"/>
  <c r="N611" i="1"/>
  <c r="U608" i="1"/>
  <c r="U611" i="1"/>
  <c r="N612" i="1"/>
  <c r="N609" i="1"/>
  <c r="U610" i="1"/>
  <c r="U572" i="1"/>
  <c r="C642" i="1"/>
  <c r="H641" i="1"/>
  <c r="AN631" i="1"/>
  <c r="AN642" i="1"/>
  <c r="AN608" i="1"/>
  <c r="AN571" i="1"/>
  <c r="AP610" i="1"/>
  <c r="N634" i="1"/>
  <c r="AP611" i="1"/>
  <c r="U1107" i="1"/>
  <c r="AR1109" i="1"/>
  <c r="AP1070" i="1"/>
  <c r="AP1066" i="1"/>
  <c r="AP1068" i="1"/>
  <c r="N1065" i="1"/>
  <c r="AN1104" i="1"/>
  <c r="AT1109" i="1"/>
  <c r="U1035" i="1"/>
  <c r="U1074" i="1"/>
  <c r="U1038" i="1"/>
  <c r="AR985" i="1"/>
  <c r="N911" i="1"/>
  <c r="AP910" i="1"/>
  <c r="U911" i="1"/>
  <c r="N910" i="1"/>
  <c r="AN914" i="1"/>
  <c r="U914" i="1"/>
  <c r="AN910" i="1"/>
  <c r="AP912" i="1"/>
  <c r="N913" i="1"/>
  <c r="N890" i="1"/>
  <c r="AR892" i="1"/>
  <c r="AN889" i="1"/>
  <c r="C944" i="1"/>
  <c r="H943" i="1"/>
  <c r="U979" i="1"/>
  <c r="AN979" i="1"/>
  <c r="U950" i="1"/>
  <c r="AN949" i="1"/>
  <c r="C914" i="1"/>
  <c r="H913" i="1"/>
  <c r="AV892" i="1"/>
  <c r="U953" i="1"/>
  <c r="N917" i="1"/>
  <c r="U820" i="1"/>
  <c r="U817" i="1"/>
  <c r="N820" i="1"/>
  <c r="N818" i="1"/>
  <c r="AP817" i="1"/>
  <c r="N817" i="1"/>
  <c r="AN817" i="1"/>
  <c r="AP920" i="1"/>
  <c r="N915" i="1"/>
  <c r="AN913" i="1"/>
  <c r="U828" i="1"/>
  <c r="N828" i="1"/>
  <c r="N826" i="1"/>
  <c r="U824" i="1"/>
  <c r="N829" i="1"/>
  <c r="AN827" i="1"/>
  <c r="AN825" i="1"/>
  <c r="AN822" i="1"/>
  <c r="AN821" i="1"/>
  <c r="U819" i="1"/>
  <c r="C797" i="1"/>
  <c r="H796" i="1"/>
  <c r="AP914" i="1"/>
  <c r="C859" i="1"/>
  <c r="H858" i="1"/>
  <c r="AT861" i="1"/>
  <c r="AP824" i="1"/>
  <c r="U796" i="1"/>
  <c r="AV799" i="1"/>
  <c r="AN1037" i="1"/>
  <c r="N982" i="1"/>
  <c r="N848" i="1"/>
  <c r="AP827" i="1"/>
  <c r="N822" i="1"/>
  <c r="AN820" i="1"/>
  <c r="H765" i="1"/>
  <c r="C766" i="1"/>
  <c r="AN849" i="1"/>
  <c r="AP766" i="1"/>
  <c r="AP670" i="1"/>
  <c r="N670" i="1"/>
  <c r="AP673" i="1"/>
  <c r="N631" i="1"/>
  <c r="AN673" i="1"/>
  <c r="AN638" i="1"/>
  <c r="AN634" i="1"/>
  <c r="N632" i="1"/>
  <c r="AR613" i="1"/>
  <c r="AP672" i="1"/>
  <c r="AP642" i="1"/>
  <c r="AP640" i="1"/>
  <c r="AT644" i="1"/>
  <c r="AV582" i="1"/>
  <c r="N573" i="1"/>
  <c r="AN570" i="1"/>
  <c r="U570" i="1"/>
  <c r="U573" i="1"/>
  <c r="N571" i="1"/>
  <c r="AN609" i="1"/>
  <c r="AP572" i="1"/>
  <c r="H604" i="1"/>
  <c r="C605" i="1"/>
  <c r="H605" i="1" s="1"/>
  <c r="N570" i="1"/>
  <c r="H634" i="1"/>
  <c r="C635" i="1"/>
  <c r="AP607" i="1"/>
  <c r="N1107" i="1"/>
  <c r="U1106" i="1"/>
  <c r="N1108" i="1"/>
  <c r="N1105" i="1"/>
  <c r="U1103" i="1"/>
  <c r="AP1104" i="1"/>
  <c r="AP1106" i="1"/>
  <c r="N1104" i="1"/>
  <c r="H1100" i="1"/>
  <c r="C1101" i="1"/>
  <c r="H1101" i="1" s="1"/>
  <c r="AT1078" i="1"/>
  <c r="C1044" i="1"/>
  <c r="H1043" i="1"/>
  <c r="AN1035" i="1"/>
  <c r="AN1106" i="1"/>
  <c r="C1106" i="1"/>
  <c r="H1105" i="1"/>
  <c r="AN1074" i="1"/>
  <c r="AT1047" i="1"/>
  <c r="AN1038" i="1"/>
  <c r="C1014" i="1"/>
  <c r="H1013" i="1"/>
  <c r="N1007" i="1"/>
  <c r="U1007" i="1"/>
  <c r="N1006" i="1"/>
  <c r="AN1006" i="1"/>
  <c r="U1006" i="1"/>
  <c r="N1008" i="1"/>
  <c r="U1003" i="1"/>
  <c r="AP1004" i="1"/>
  <c r="N1005" i="1"/>
  <c r="U1004" i="1"/>
  <c r="H981" i="1"/>
  <c r="C982" i="1"/>
  <c r="AT923" i="1"/>
  <c r="AV923" i="1"/>
  <c r="H890" i="1"/>
  <c r="C891" i="1"/>
  <c r="H891" i="1" s="1"/>
  <c r="C1006" i="1"/>
  <c r="H1005" i="1"/>
  <c r="AN950" i="1"/>
  <c r="U912" i="1"/>
  <c r="AN911" i="1"/>
  <c r="AP917" i="1"/>
  <c r="AN917" i="1"/>
  <c r="AP915" i="1"/>
  <c r="AR830" i="1"/>
  <c r="N824" i="1"/>
  <c r="AR799" i="1"/>
  <c r="C789" i="1"/>
  <c r="H788" i="1"/>
  <c r="AN1034" i="1"/>
  <c r="AP982" i="1"/>
  <c r="AP853" i="1"/>
  <c r="N827" i="1"/>
  <c r="AV830" i="1"/>
  <c r="AV768" i="1"/>
  <c r="U766" i="1"/>
  <c r="N766" i="1"/>
  <c r="AP765" i="1"/>
  <c r="AN763" i="1"/>
  <c r="U763" i="1"/>
  <c r="N636" i="1"/>
  <c r="N633" i="1"/>
  <c r="U631" i="1"/>
  <c r="U636" i="1"/>
  <c r="U633" i="1"/>
  <c r="N635" i="1"/>
  <c r="U634" i="1"/>
  <c r="AP671" i="1"/>
  <c r="AN669" i="1"/>
  <c r="N643" i="1"/>
  <c r="AN632" i="1"/>
  <c r="AR582" i="1"/>
  <c r="AP636" i="1"/>
  <c r="N608" i="1"/>
  <c r="AP632" i="1"/>
  <c r="AN573" i="1"/>
  <c r="U1105" i="1"/>
  <c r="AP1108" i="1"/>
  <c r="AP1105" i="1"/>
  <c r="N1103" i="1"/>
  <c r="U1097" i="1"/>
  <c r="N1099" i="1"/>
  <c r="AN1096" i="1"/>
  <c r="N1096" i="1"/>
  <c r="AN1101" i="1"/>
  <c r="U1101" i="1"/>
  <c r="AP1096" i="1"/>
  <c r="N1097" i="1"/>
  <c r="AP1100" i="1"/>
  <c r="AN1098" i="1"/>
  <c r="U1098" i="1"/>
  <c r="U1070" i="1"/>
  <c r="U1067" i="1"/>
  <c r="N1069" i="1"/>
  <c r="N1070" i="1"/>
  <c r="N1067" i="1"/>
  <c r="U1066" i="1"/>
  <c r="U1065" i="1"/>
  <c r="AN1068" i="1"/>
  <c r="U1068" i="1"/>
  <c r="AP1098" i="1"/>
  <c r="U1075" i="1"/>
  <c r="U1072" i="1"/>
  <c r="N1073" i="1"/>
  <c r="AP1072" i="1"/>
  <c r="N1075" i="1"/>
  <c r="AP1077" i="1"/>
  <c r="N1072" i="1"/>
  <c r="AN1076" i="1"/>
  <c r="U1076" i="1"/>
  <c r="AN1072" i="1"/>
  <c r="AP1067" i="1"/>
  <c r="AN1105" i="1"/>
  <c r="U1100" i="1"/>
  <c r="AP1097" i="1"/>
  <c r="C1068" i="1"/>
  <c r="H1067" i="1"/>
  <c r="AN1070" i="1"/>
  <c r="AR1047" i="1"/>
  <c r="N1074" i="1"/>
  <c r="AP1039" i="1"/>
  <c r="N1038" i="1"/>
  <c r="AN1004" i="1"/>
  <c r="N949" i="1"/>
  <c r="AP948" i="1"/>
  <c r="U949" i="1"/>
  <c r="N948" i="1"/>
  <c r="AN952" i="1"/>
  <c r="U952" i="1"/>
  <c r="AN948" i="1"/>
  <c r="N951" i="1"/>
  <c r="AP950" i="1"/>
  <c r="U890" i="1"/>
  <c r="AN887" i="1"/>
  <c r="C922" i="1"/>
  <c r="H922" i="1" s="1"/>
  <c r="H921" i="1"/>
  <c r="N984" i="1"/>
  <c r="N981" i="1"/>
  <c r="U984" i="1"/>
  <c r="U981" i="1"/>
  <c r="N983" i="1"/>
  <c r="U980" i="1"/>
  <c r="N950" i="1"/>
  <c r="AP949" i="1"/>
  <c r="AR923" i="1"/>
  <c r="AN912" i="1"/>
  <c r="N953" i="1"/>
  <c r="AN951" i="1"/>
  <c r="U917" i="1"/>
  <c r="AP888" i="1"/>
  <c r="C821" i="1"/>
  <c r="H820" i="1"/>
  <c r="AP1006" i="1"/>
  <c r="U915" i="1"/>
  <c r="AN795" i="1"/>
  <c r="U795" i="1"/>
  <c r="N794" i="1"/>
  <c r="AP793" i="1"/>
  <c r="AN794" i="1"/>
  <c r="U794" i="1"/>
  <c r="N793" i="1"/>
  <c r="N796" i="1"/>
  <c r="AN798" i="1"/>
  <c r="U798" i="1"/>
  <c r="AN797" i="1"/>
  <c r="U797" i="1"/>
  <c r="AP796" i="1"/>
  <c r="U853" i="1"/>
  <c r="U850" i="1"/>
  <c r="N852" i="1"/>
  <c r="N850" i="1"/>
  <c r="N853" i="1"/>
  <c r="U851" i="1"/>
  <c r="C851" i="1"/>
  <c r="H850" i="1"/>
  <c r="AN824" i="1"/>
  <c r="N797" i="1"/>
  <c r="AP795" i="1"/>
  <c r="AN1039" i="1"/>
  <c r="U982" i="1"/>
  <c r="AP848" i="1"/>
  <c r="AP825" i="1"/>
  <c r="AP821" i="1"/>
  <c r="AP819" i="1"/>
  <c r="AP794" i="1"/>
  <c r="AN765" i="1"/>
  <c r="AP764" i="1"/>
  <c r="N669" i="1"/>
  <c r="AP767" i="1"/>
  <c r="AR768" i="1"/>
  <c r="AN672" i="1"/>
  <c r="N762" i="1"/>
  <c r="AN674" i="1"/>
  <c r="AN671" i="1"/>
  <c r="AT675" i="1"/>
  <c r="H665" i="1"/>
  <c r="C666" i="1"/>
  <c r="AP643" i="1"/>
  <c r="N642" i="1"/>
  <c r="U642" i="1"/>
  <c r="U640" i="1"/>
  <c r="N638" i="1"/>
  <c r="U638" i="1"/>
  <c r="N641" i="1"/>
  <c r="AP638" i="1"/>
  <c r="AP635" i="1"/>
  <c r="C610" i="1"/>
  <c r="H609" i="1"/>
  <c r="C580" i="1"/>
  <c r="H579" i="1"/>
  <c r="U643" i="1"/>
  <c r="U641" i="1"/>
  <c r="N639" i="1"/>
  <c r="AP634" i="1"/>
  <c r="U632" i="1"/>
  <c r="AN572" i="1"/>
  <c r="U569" i="1"/>
  <c r="AN635" i="1"/>
  <c r="AP569" i="1"/>
  <c r="AN636" i="1"/>
  <c r="AN574" i="1"/>
  <c r="AN639" i="1"/>
  <c r="AN612" i="1"/>
  <c r="N541" i="1"/>
  <c r="N543" i="1"/>
  <c r="U541" i="1"/>
  <c r="N540" i="1"/>
  <c r="AP538" i="1"/>
  <c r="AP542" i="1"/>
  <c r="U540" i="1"/>
  <c r="N539" i="1"/>
  <c r="U538" i="1"/>
  <c r="AN543" i="1"/>
  <c r="U543" i="1"/>
  <c r="AP539" i="1"/>
  <c r="N510" i="1"/>
  <c r="N508" i="1"/>
  <c r="AP507" i="1"/>
  <c r="U510" i="1"/>
  <c r="U512" i="1"/>
  <c r="N507" i="1"/>
  <c r="U507" i="1"/>
  <c r="AP511" i="1"/>
  <c r="AP509" i="1"/>
  <c r="N511" i="1"/>
  <c r="AR520" i="1"/>
  <c r="C486" i="1"/>
  <c r="H485" i="1"/>
  <c r="C479" i="1"/>
  <c r="H478" i="1"/>
  <c r="N453" i="1"/>
  <c r="N456" i="1"/>
  <c r="AN452" i="1"/>
  <c r="AN453" i="1"/>
  <c r="U453" i="1"/>
  <c r="N452" i="1"/>
  <c r="C449" i="1"/>
  <c r="H448" i="1"/>
  <c r="U455" i="1"/>
  <c r="N454" i="1"/>
  <c r="U508" i="1"/>
  <c r="U542" i="1"/>
  <c r="N519" i="1"/>
  <c r="U518" i="1"/>
  <c r="U514" i="1"/>
  <c r="N517" i="1"/>
  <c r="N518" i="1"/>
  <c r="AP517" i="1"/>
  <c r="N516" i="1"/>
  <c r="AP515" i="1"/>
  <c r="AN514" i="1"/>
  <c r="N514" i="1"/>
  <c r="U539" i="1"/>
  <c r="AV489" i="1"/>
  <c r="AV520" i="1"/>
  <c r="AP516" i="1"/>
  <c r="AN515" i="1"/>
  <c r="AP512" i="1"/>
  <c r="U509" i="1"/>
  <c r="C511" i="1"/>
  <c r="H510" i="1"/>
  <c r="AN457" i="1"/>
  <c r="AP454" i="1"/>
  <c r="AR458" i="1"/>
  <c r="N455" i="1"/>
  <c r="AP519" i="1"/>
  <c r="N449" i="1"/>
  <c r="N450" i="1"/>
  <c r="U449" i="1"/>
  <c r="N447" i="1"/>
  <c r="AP450" i="1"/>
  <c r="AP447" i="1"/>
  <c r="AN446" i="1"/>
  <c r="U446" i="1"/>
  <c r="AN445" i="1"/>
  <c r="N445" i="1"/>
  <c r="AP445" i="1"/>
  <c r="AN455" i="1"/>
  <c r="AP453" i="1"/>
  <c r="AN538" i="1"/>
  <c r="AN508" i="1"/>
  <c r="AN542" i="1"/>
  <c r="N512" i="1"/>
  <c r="AR551" i="1"/>
  <c r="C548" i="1"/>
  <c r="H547" i="1"/>
  <c r="AN539" i="1"/>
  <c r="AP510" i="1"/>
  <c r="U517" i="1"/>
  <c r="U516" i="1"/>
  <c r="N515" i="1"/>
  <c r="U511" i="1"/>
  <c r="AN509" i="1"/>
  <c r="AN510" i="1"/>
  <c r="U457" i="1"/>
  <c r="AN456" i="1"/>
  <c r="AT458" i="1"/>
  <c r="AP508" i="1"/>
  <c r="AV458" i="1"/>
  <c r="AN448" i="1"/>
  <c r="AP452" i="1"/>
  <c r="U454" i="1"/>
  <c r="N448" i="1"/>
  <c r="H541" i="1"/>
  <c r="C542" i="1"/>
  <c r="N538" i="1"/>
  <c r="AV551" i="1"/>
  <c r="AP545" i="1"/>
  <c r="N549" i="1"/>
  <c r="U549" i="1"/>
  <c r="N548" i="1"/>
  <c r="N545" i="1"/>
  <c r="AN548" i="1"/>
  <c r="U548" i="1"/>
  <c r="N550" i="1"/>
  <c r="U545" i="1"/>
  <c r="N547" i="1"/>
  <c r="AP546" i="1"/>
  <c r="AT551" i="1"/>
  <c r="AP543" i="1"/>
  <c r="N542" i="1"/>
  <c r="AT520" i="1"/>
  <c r="AN541" i="1"/>
  <c r="AN518" i="1"/>
  <c r="U456" i="1"/>
  <c r="AN517" i="1"/>
  <c r="N481" i="1"/>
  <c r="U478" i="1"/>
  <c r="AP476" i="1"/>
  <c r="N480" i="1"/>
  <c r="AP480" i="1"/>
  <c r="AP479" i="1"/>
  <c r="N476" i="1"/>
  <c r="U481" i="1"/>
  <c r="N478" i="1"/>
  <c r="AP477" i="1"/>
  <c r="U476" i="1"/>
  <c r="AP518" i="1"/>
  <c r="AN516" i="1"/>
  <c r="AN511" i="1"/>
  <c r="N509" i="1"/>
  <c r="U488" i="1"/>
  <c r="N484" i="1"/>
  <c r="U483" i="1"/>
  <c r="AP487" i="1"/>
  <c r="N485" i="1"/>
  <c r="U486" i="1"/>
  <c r="U485" i="1"/>
  <c r="AP483" i="1"/>
  <c r="N488" i="1"/>
  <c r="AN485" i="1"/>
  <c r="AP456" i="1"/>
  <c r="N477" i="1"/>
  <c r="U450" i="1"/>
  <c r="AN447" i="1"/>
  <c r="AP448" i="1"/>
  <c r="AN481" i="1"/>
  <c r="AP478" i="1"/>
  <c r="AN478" i="1"/>
  <c r="U448" i="1"/>
  <c r="AP484" i="1"/>
  <c r="U452" i="1"/>
  <c r="AP449" i="1"/>
  <c r="AN488" i="1"/>
  <c r="AN454" i="1"/>
  <c r="AN449" i="1"/>
  <c r="H392" i="1"/>
  <c r="C393" i="1"/>
  <c r="C325" i="1"/>
  <c r="H324" i="1"/>
  <c r="AT365" i="1"/>
  <c r="AT396" i="1"/>
  <c r="C424" i="1"/>
  <c r="H423" i="1"/>
  <c r="N425" i="1"/>
  <c r="N426" i="1"/>
  <c r="N423" i="1"/>
  <c r="U424" i="1"/>
  <c r="AN416" i="1"/>
  <c r="AN387" i="1"/>
  <c r="U359" i="1"/>
  <c r="AN364" i="1"/>
  <c r="U361" i="1"/>
  <c r="AP359" i="1"/>
  <c r="AP361" i="1"/>
  <c r="AN328" i="1"/>
  <c r="N325" i="1"/>
  <c r="AN322" i="1"/>
  <c r="U322" i="1"/>
  <c r="AN325" i="1"/>
  <c r="U325" i="1"/>
  <c r="N324" i="1"/>
  <c r="AN321" i="1"/>
  <c r="N321" i="1"/>
  <c r="U326" i="1"/>
  <c r="AN324" i="1"/>
  <c r="AV427" i="1"/>
  <c r="N418" i="1"/>
  <c r="U415" i="1"/>
  <c r="U418" i="1"/>
  <c r="N417" i="1"/>
  <c r="N415" i="1"/>
  <c r="AP414" i="1"/>
  <c r="N416" i="1"/>
  <c r="AP418" i="1"/>
  <c r="U416" i="1"/>
  <c r="N387" i="1"/>
  <c r="U387" i="1"/>
  <c r="N386" i="1"/>
  <c r="N388" i="1"/>
  <c r="U386" i="1"/>
  <c r="N385" i="1"/>
  <c r="U383" i="1"/>
  <c r="N383" i="1"/>
  <c r="AN423" i="1"/>
  <c r="AP386" i="1"/>
  <c r="U363" i="1"/>
  <c r="AP424" i="1"/>
  <c r="H417" i="1"/>
  <c r="C418" i="1"/>
  <c r="AP387" i="1"/>
  <c r="AN362" i="1"/>
  <c r="AN426" i="1"/>
  <c r="U364" i="1"/>
  <c r="N360" i="1"/>
  <c r="AP415" i="1"/>
  <c r="AN385" i="1"/>
  <c r="H354" i="1"/>
  <c r="C355" i="1"/>
  <c r="AP364" i="1"/>
  <c r="AR334" i="1"/>
  <c r="AP360" i="1"/>
  <c r="H362" i="1"/>
  <c r="C363" i="1"/>
  <c r="AN326" i="1"/>
  <c r="N323" i="1"/>
  <c r="C386" i="1"/>
  <c r="H385" i="1"/>
  <c r="AN415" i="1"/>
  <c r="N364" i="1"/>
  <c r="N361" i="1"/>
  <c r="N363" i="1"/>
  <c r="U360" i="1"/>
  <c r="U362" i="1"/>
  <c r="AP425" i="1"/>
  <c r="AP363" i="1"/>
  <c r="AN414" i="1"/>
  <c r="AN363" i="1"/>
  <c r="AN360" i="1"/>
  <c r="N332" i="1"/>
  <c r="N333" i="1"/>
  <c r="N330" i="1"/>
  <c r="N329" i="1"/>
  <c r="AN330" i="1"/>
  <c r="U330" i="1"/>
  <c r="AN329" i="1"/>
  <c r="U329" i="1"/>
  <c r="AN359" i="1"/>
  <c r="H331" i="1"/>
  <c r="C332" i="1"/>
  <c r="N326" i="1"/>
  <c r="AP323" i="1"/>
  <c r="AP322" i="1"/>
  <c r="AT117" i="1"/>
  <c r="N47" i="1"/>
  <c r="U45" i="1"/>
  <c r="N44" i="1"/>
  <c r="U44" i="1"/>
  <c r="U42" i="1"/>
  <c r="U47" i="1"/>
  <c r="AP42" i="1"/>
  <c r="N43" i="1"/>
  <c r="C84" i="1"/>
  <c r="H83" i="1"/>
  <c r="AP47" i="1"/>
  <c r="AP44" i="1"/>
  <c r="C114" i="1"/>
  <c r="H113" i="1"/>
  <c r="U73" i="1"/>
  <c r="N76" i="1"/>
  <c r="N74" i="1"/>
  <c r="AP73" i="1"/>
  <c r="N78" i="1"/>
  <c r="AN76" i="1"/>
  <c r="U76" i="1"/>
  <c r="AN75" i="1"/>
  <c r="U75" i="1"/>
  <c r="AP74" i="1"/>
  <c r="AN78" i="1"/>
  <c r="U78" i="1"/>
  <c r="AN73" i="1"/>
  <c r="N73" i="1"/>
  <c r="AP75" i="1"/>
  <c r="AP78" i="1"/>
  <c r="C22" i="1"/>
  <c r="H21" i="1"/>
  <c r="N107" i="1"/>
  <c r="N109" i="1"/>
  <c r="U107" i="1"/>
  <c r="N106" i="1"/>
  <c r="N105" i="1"/>
  <c r="AP108" i="1"/>
  <c r="AN106" i="1"/>
  <c r="U106" i="1"/>
  <c r="AP104" i="1"/>
  <c r="U109" i="1"/>
  <c r="AN109" i="1"/>
  <c r="AP105" i="1"/>
  <c r="AP76" i="1"/>
  <c r="AP107" i="1"/>
  <c r="U74" i="1"/>
  <c r="N84" i="1"/>
  <c r="N82" i="1"/>
  <c r="N83" i="1"/>
  <c r="AP82" i="1"/>
  <c r="AP81" i="1"/>
  <c r="N85" i="1"/>
  <c r="AN84" i="1"/>
  <c r="U84" i="1"/>
  <c r="N80" i="1"/>
  <c r="AN83" i="1"/>
  <c r="U83" i="1"/>
  <c r="AN80" i="1"/>
  <c r="AP85" i="1"/>
  <c r="AP77" i="1"/>
  <c r="AN43" i="1"/>
  <c r="AN45" i="1"/>
  <c r="U104" i="1"/>
  <c r="AV117" i="1"/>
  <c r="AP106" i="1"/>
  <c r="N115" i="1"/>
  <c r="U115" i="1"/>
  <c r="N114" i="1"/>
  <c r="N111" i="1"/>
  <c r="U114" i="1"/>
  <c r="N116" i="1"/>
  <c r="U111" i="1"/>
  <c r="N113" i="1"/>
  <c r="AP112" i="1"/>
  <c r="U112" i="1"/>
  <c r="AN111" i="1"/>
  <c r="U108" i="1"/>
  <c r="U82" i="1"/>
  <c r="N81" i="1"/>
  <c r="AN74" i="1"/>
  <c r="N42" i="1"/>
  <c r="AN104" i="1"/>
  <c r="U85" i="1"/>
  <c r="C77" i="1"/>
  <c r="H76" i="1"/>
  <c r="AR55" i="1"/>
  <c r="AN47" i="1"/>
  <c r="AN42" i="1"/>
  <c r="AP49" i="1"/>
  <c r="U53" i="1"/>
  <c r="N52" i="1"/>
  <c r="N49" i="1"/>
  <c r="N51" i="1"/>
  <c r="N54" i="1"/>
  <c r="U49" i="1"/>
  <c r="U52" i="1"/>
  <c r="U46" i="1"/>
  <c r="AP115" i="1"/>
  <c r="AN77" i="1"/>
  <c r="AN50" i="1"/>
  <c r="U105" i="1"/>
  <c r="AP116" i="1"/>
  <c r="AN105" i="1"/>
  <c r="AN112" i="1"/>
  <c r="AN115" i="1"/>
  <c r="AN108" i="1"/>
  <c r="AP84" i="1"/>
  <c r="AN82" i="1"/>
  <c r="AV86" i="1"/>
  <c r="N75" i="1"/>
  <c r="AP114" i="1"/>
  <c r="AN113" i="1"/>
  <c r="AT86" i="1"/>
  <c r="AN85" i="1"/>
  <c r="C52" i="1"/>
  <c r="H51" i="1"/>
  <c r="AP46" i="1"/>
  <c r="AR86" i="1"/>
  <c r="AP53" i="1"/>
  <c r="AV24" i="1"/>
  <c r="AN49" i="1"/>
  <c r="AN46" i="1"/>
  <c r="AV55" i="1"/>
  <c r="H45" i="1"/>
  <c r="C46" i="1"/>
  <c r="H107" i="1"/>
  <c r="C108" i="1"/>
  <c r="N77" i="1"/>
  <c r="N50" i="1"/>
  <c r="H14" i="1"/>
  <c r="C15" i="1"/>
  <c r="AN229" i="1"/>
  <c r="U229" i="1"/>
  <c r="N230" i="1"/>
  <c r="AN233" i="1"/>
  <c r="U233" i="1"/>
  <c r="AP228" i="1"/>
  <c r="N229" i="1"/>
  <c r="AP232" i="1"/>
  <c r="AN230" i="1"/>
  <c r="U230" i="1"/>
  <c r="U231" i="1"/>
  <c r="AN228" i="1"/>
  <c r="C208" i="1"/>
  <c r="H207" i="1"/>
  <c r="U202" i="1"/>
  <c r="U199" i="1"/>
  <c r="N200" i="1"/>
  <c r="N197" i="1"/>
  <c r="N202" i="1"/>
  <c r="N198" i="1"/>
  <c r="U197" i="1"/>
  <c r="AN200" i="1"/>
  <c r="U200" i="1"/>
  <c r="N199" i="1"/>
  <c r="AP198" i="1"/>
  <c r="AP197" i="1"/>
  <c r="H201" i="1"/>
  <c r="C202" i="1"/>
  <c r="H202" i="1" s="1"/>
  <c r="AP200" i="1"/>
  <c r="AN232" i="1"/>
  <c r="AP229" i="1"/>
  <c r="AB289" i="1"/>
  <c r="AB303" i="1" s="1"/>
  <c r="AB320" i="1" s="1"/>
  <c r="AB334" i="1" s="1"/>
  <c r="AB351" i="1" s="1"/>
  <c r="AB365" i="1" s="1"/>
  <c r="AB382" i="1" s="1"/>
  <c r="AB396" i="1" s="1"/>
  <c r="AB413" i="1" s="1"/>
  <c r="AB427" i="1" s="1"/>
  <c r="AB444" i="1" s="1"/>
  <c r="AB458" i="1" s="1"/>
  <c r="AB475" i="1" s="1"/>
  <c r="AB489" i="1" s="1"/>
  <c r="AB506" i="1" s="1"/>
  <c r="AB520" i="1" s="1"/>
  <c r="AB537" i="1" s="1"/>
  <c r="AB551" i="1" s="1"/>
  <c r="AB568" i="1" s="1"/>
  <c r="AB582" i="1" s="1"/>
  <c r="AB599" i="1" s="1"/>
  <c r="AB613" i="1" s="1"/>
  <c r="AB630" i="1" s="1"/>
  <c r="AB644" i="1" s="1"/>
  <c r="AB661" i="1" s="1"/>
  <c r="AB675" i="1" s="1"/>
  <c r="AB692" i="1" s="1"/>
  <c r="AB706" i="1" s="1"/>
  <c r="AB723" i="1" s="1"/>
  <c r="AB737" i="1" s="1"/>
  <c r="AB754" i="1" s="1"/>
  <c r="AB768" i="1" s="1"/>
  <c r="AB785" i="1" s="1"/>
  <c r="AB799" i="1" s="1"/>
  <c r="AB816" i="1" s="1"/>
  <c r="AB830" i="1" s="1"/>
  <c r="AB847" i="1" s="1"/>
  <c r="AB861" i="1" s="1"/>
  <c r="AB878" i="1" s="1"/>
  <c r="AB892" i="1" s="1"/>
  <c r="AB909" i="1" s="1"/>
  <c r="AB923" i="1" s="1"/>
  <c r="AB940" i="1" s="1"/>
  <c r="AB954" i="1" s="1"/>
  <c r="AB971" i="1" s="1"/>
  <c r="AB985" i="1" s="1"/>
  <c r="AB1002" i="1" s="1"/>
  <c r="AB1016" i="1" s="1"/>
  <c r="AB1033" i="1" s="1"/>
  <c r="AB1047" i="1" s="1"/>
  <c r="AB1064" i="1" s="1"/>
  <c r="AB1078" i="1" s="1"/>
  <c r="AB1095" i="1" s="1"/>
  <c r="AB1109" i="1" s="1"/>
  <c r="AB1126" i="1" s="1"/>
  <c r="AB1140" i="1" s="1"/>
  <c r="AB1157" i="1" s="1"/>
  <c r="AB1171" i="1" s="1"/>
  <c r="AB1188" i="1" s="1"/>
  <c r="AB1202" i="1" s="1"/>
  <c r="AB1219" i="1" s="1"/>
  <c r="AB1233" i="1" s="1"/>
  <c r="AB1250" i="1" s="1"/>
  <c r="AB1264" i="1" s="1"/>
  <c r="AB1281" i="1" s="1"/>
  <c r="AB1295" i="1" s="1"/>
  <c r="AB1312" i="1" s="1"/>
  <c r="AB1326" i="1" s="1"/>
  <c r="AB1343" i="1" s="1"/>
  <c r="AB1357" i="1" s="1"/>
  <c r="AB1374" i="1" s="1"/>
  <c r="AB1388" i="1" s="1"/>
  <c r="AB1405" i="1" s="1"/>
  <c r="AB1419" i="1" s="1"/>
  <c r="AB1436" i="1" s="1"/>
  <c r="AB1450" i="1" s="1"/>
  <c r="AB1467" i="1" s="1"/>
  <c r="AB1481" i="1" s="1"/>
  <c r="AB1498" i="1" s="1"/>
  <c r="AB1512" i="1" s="1"/>
  <c r="AB1529" i="1" s="1"/>
  <c r="AB1543" i="1" s="1"/>
  <c r="AB1560" i="1" s="1"/>
  <c r="AB1574" i="1" s="1"/>
  <c r="AB1591" i="1" s="1"/>
  <c r="AB1605" i="1" s="1"/>
  <c r="AB1622" i="1" s="1"/>
  <c r="AB1636" i="1" s="1"/>
  <c r="AB1653" i="1" s="1"/>
  <c r="AB1667" i="1" s="1"/>
  <c r="AB1684" i="1" s="1"/>
  <c r="AB1698" i="1" s="1"/>
  <c r="AB1715" i="1" s="1"/>
  <c r="AB1729" i="1" s="1"/>
  <c r="AB1746" i="1" s="1"/>
  <c r="AB1760" i="1" s="1"/>
  <c r="AB1777" i="1" s="1"/>
  <c r="AB1791" i="1" s="1"/>
  <c r="AB1808" i="1" s="1"/>
  <c r="AB1822" i="1" s="1"/>
  <c r="AB1839" i="1" s="1"/>
  <c r="AB1853" i="1" s="1"/>
  <c r="N228" i="1"/>
  <c r="AV241" i="1"/>
  <c r="N233" i="1"/>
  <c r="U228" i="1"/>
  <c r="U198" i="1"/>
  <c r="AN199" i="1"/>
  <c r="AP230" i="1"/>
  <c r="AT210" i="1"/>
  <c r="AP199" i="1"/>
  <c r="U240" i="1"/>
  <c r="U237" i="1"/>
  <c r="AP235" i="1"/>
  <c r="N239" i="1"/>
  <c r="N237" i="1"/>
  <c r="U238" i="1"/>
  <c r="N240" i="1"/>
  <c r="U235" i="1"/>
  <c r="AP236" i="1"/>
  <c r="AN237" i="1"/>
  <c r="N232" i="1"/>
  <c r="AP201" i="1"/>
  <c r="AC289" i="1"/>
  <c r="AC303" i="1" s="1"/>
  <c r="AC320" i="1" s="1"/>
  <c r="AC334" i="1" s="1"/>
  <c r="AC351" i="1" s="1"/>
  <c r="AC365" i="1" s="1"/>
  <c r="AC382" i="1" s="1"/>
  <c r="AC396" i="1" s="1"/>
  <c r="AC413" i="1" s="1"/>
  <c r="AC427" i="1" s="1"/>
  <c r="AC444" i="1" s="1"/>
  <c r="AC458" i="1" s="1"/>
  <c r="AC475" i="1" s="1"/>
  <c r="AC489" i="1" s="1"/>
  <c r="AC506" i="1" s="1"/>
  <c r="AC520" i="1" s="1"/>
  <c r="AC537" i="1" s="1"/>
  <c r="AC551" i="1" s="1"/>
  <c r="AC568" i="1" s="1"/>
  <c r="AC582" i="1" s="1"/>
  <c r="AC599" i="1" s="1"/>
  <c r="AC613" i="1" s="1"/>
  <c r="AC630" i="1" s="1"/>
  <c r="AC644" i="1" s="1"/>
  <c r="AC661" i="1" s="1"/>
  <c r="AC675" i="1" s="1"/>
  <c r="AC692" i="1" s="1"/>
  <c r="AC706" i="1" s="1"/>
  <c r="AC723" i="1" s="1"/>
  <c r="AC737" i="1" s="1"/>
  <c r="AC754" i="1" s="1"/>
  <c r="AC768" i="1" s="1"/>
  <c r="AC785" i="1" s="1"/>
  <c r="AC799" i="1" s="1"/>
  <c r="AC816" i="1" s="1"/>
  <c r="AC830" i="1" s="1"/>
  <c r="AC847" i="1" s="1"/>
  <c r="AC861" i="1" s="1"/>
  <c r="AC878" i="1" s="1"/>
  <c r="AC892" i="1" s="1"/>
  <c r="AC909" i="1" s="1"/>
  <c r="AC923" i="1" s="1"/>
  <c r="AC940" i="1" s="1"/>
  <c r="AC954" i="1" s="1"/>
  <c r="AC971" i="1" s="1"/>
  <c r="AC985" i="1" s="1"/>
  <c r="AC1002" i="1" s="1"/>
  <c r="AC1016" i="1" s="1"/>
  <c r="AC1033" i="1" s="1"/>
  <c r="AC1047" i="1" s="1"/>
  <c r="AC1064" i="1" s="1"/>
  <c r="AC1078" i="1" s="1"/>
  <c r="AC1095" i="1" s="1"/>
  <c r="AC1109" i="1" s="1"/>
  <c r="AC1126" i="1" s="1"/>
  <c r="AC1140" i="1" s="1"/>
  <c r="AC1157" i="1" s="1"/>
  <c r="AC1171" i="1" s="1"/>
  <c r="AC1188" i="1" s="1"/>
  <c r="AC1202" i="1" s="1"/>
  <c r="AC1219" i="1" s="1"/>
  <c r="AC1233" i="1" s="1"/>
  <c r="AC1250" i="1" s="1"/>
  <c r="AC1264" i="1" s="1"/>
  <c r="AC1281" i="1" s="1"/>
  <c r="AC1295" i="1" s="1"/>
  <c r="AC1312" i="1" s="1"/>
  <c r="AC1326" i="1" s="1"/>
  <c r="AC1343" i="1" s="1"/>
  <c r="AC1357" i="1" s="1"/>
  <c r="AC1374" i="1" s="1"/>
  <c r="AC1388" i="1" s="1"/>
  <c r="AC1405" i="1" s="1"/>
  <c r="AC1419" i="1" s="1"/>
  <c r="AC1436" i="1" s="1"/>
  <c r="AC1450" i="1" s="1"/>
  <c r="AC1467" i="1" s="1"/>
  <c r="AC1481" i="1" s="1"/>
  <c r="AC1498" i="1" s="1"/>
  <c r="AC1512" i="1" s="1"/>
  <c r="AC1529" i="1" s="1"/>
  <c r="AC1543" i="1" s="1"/>
  <c r="AC1560" i="1" s="1"/>
  <c r="AC1574" i="1" s="1"/>
  <c r="AC1591" i="1" s="1"/>
  <c r="AC1605" i="1" s="1"/>
  <c r="AC1622" i="1" s="1"/>
  <c r="AC1636" i="1" s="1"/>
  <c r="AC1653" i="1" s="1"/>
  <c r="AC1667" i="1" s="1"/>
  <c r="AC1684" i="1" s="1"/>
  <c r="AC1698" i="1" s="1"/>
  <c r="AC1715" i="1" s="1"/>
  <c r="AC1729" i="1" s="1"/>
  <c r="AC1746" i="1" s="1"/>
  <c r="AC1760" i="1" s="1"/>
  <c r="AC1777" i="1" s="1"/>
  <c r="AC1791" i="1" s="1"/>
  <c r="AC1808" i="1" s="1"/>
  <c r="AC1822" i="1" s="1"/>
  <c r="AC1839" i="1" s="1"/>
  <c r="AC1853" i="1" s="1"/>
  <c r="AR241" i="1"/>
  <c r="AP202" i="1"/>
  <c r="AN198" i="1"/>
  <c r="AN202" i="1"/>
  <c r="AP233" i="1"/>
  <c r="AN197" i="1"/>
  <c r="AA289" i="1"/>
  <c r="AA303" i="1" s="1"/>
  <c r="AA320" i="1" s="1"/>
  <c r="AA334" i="1" s="1"/>
  <c r="AA351" i="1" s="1"/>
  <c r="AA365" i="1" s="1"/>
  <c r="AA382" i="1" s="1"/>
  <c r="AA396" i="1" s="1"/>
  <c r="AA413" i="1" s="1"/>
  <c r="AA427" i="1" s="1"/>
  <c r="AA444" i="1" s="1"/>
  <c r="AA458" i="1" s="1"/>
  <c r="AA475" i="1" s="1"/>
  <c r="AA489" i="1" s="1"/>
  <c r="AA506" i="1" s="1"/>
  <c r="AA520" i="1" s="1"/>
  <c r="AA537" i="1" s="1"/>
  <c r="AA551" i="1" s="1"/>
  <c r="AA568" i="1" s="1"/>
  <c r="AA582" i="1" s="1"/>
  <c r="AA599" i="1" s="1"/>
  <c r="AA613" i="1" s="1"/>
  <c r="AA630" i="1" s="1"/>
  <c r="AA644" i="1" s="1"/>
  <c r="AA661" i="1" s="1"/>
  <c r="AA675" i="1" s="1"/>
  <c r="AA692" i="1" s="1"/>
  <c r="AA706" i="1" s="1"/>
  <c r="AA723" i="1" s="1"/>
  <c r="AA737" i="1" s="1"/>
  <c r="AA754" i="1" s="1"/>
  <c r="AA768" i="1" s="1"/>
  <c r="AA785" i="1" s="1"/>
  <c r="AA799" i="1" s="1"/>
  <c r="AA816" i="1" s="1"/>
  <c r="AA830" i="1" s="1"/>
  <c r="AA847" i="1" s="1"/>
  <c r="AA861" i="1" s="1"/>
  <c r="AA878" i="1" s="1"/>
  <c r="AA892" i="1" s="1"/>
  <c r="AA909" i="1" s="1"/>
  <c r="AA923" i="1" s="1"/>
  <c r="AA940" i="1" s="1"/>
  <c r="AA954" i="1" s="1"/>
  <c r="AA971" i="1" s="1"/>
  <c r="AA985" i="1" s="1"/>
  <c r="AA1002" i="1" s="1"/>
  <c r="AA1016" i="1" s="1"/>
  <c r="AA1033" i="1" s="1"/>
  <c r="AA1047" i="1" s="1"/>
  <c r="AA1064" i="1" s="1"/>
  <c r="AA1078" i="1" s="1"/>
  <c r="AA1095" i="1" s="1"/>
  <c r="AA1109" i="1" s="1"/>
  <c r="AA1126" i="1" s="1"/>
  <c r="AA1140" i="1" s="1"/>
  <c r="AA1157" i="1" s="1"/>
  <c r="AA1171" i="1" s="1"/>
  <c r="AA1188" i="1" s="1"/>
  <c r="AA1202" i="1" s="1"/>
  <c r="AA1219" i="1" s="1"/>
  <c r="AA1233" i="1" s="1"/>
  <c r="AA1250" i="1" s="1"/>
  <c r="AA1264" i="1" s="1"/>
  <c r="AA1281" i="1" s="1"/>
  <c r="AA1295" i="1" s="1"/>
  <c r="AA1312" i="1" s="1"/>
  <c r="AA1326" i="1" s="1"/>
  <c r="AA1343" i="1" s="1"/>
  <c r="AA1357" i="1" s="1"/>
  <c r="AA1374" i="1" s="1"/>
  <c r="AA1388" i="1" s="1"/>
  <c r="AA1405" i="1" s="1"/>
  <c r="AA1419" i="1" s="1"/>
  <c r="AA1436" i="1" s="1"/>
  <c r="AA1450" i="1" s="1"/>
  <c r="AA1467" i="1" s="1"/>
  <c r="AA1481" i="1" s="1"/>
  <c r="AA1498" i="1" s="1"/>
  <c r="AA1512" i="1" s="1"/>
  <c r="AA1529" i="1" s="1"/>
  <c r="AA1543" i="1" s="1"/>
  <c r="AA1560" i="1" s="1"/>
  <c r="AA1574" i="1" s="1"/>
  <c r="AA1591" i="1" s="1"/>
  <c r="AA1605" i="1" s="1"/>
  <c r="AA1622" i="1" s="1"/>
  <c r="AA1636" i="1" s="1"/>
  <c r="AA1653" i="1" s="1"/>
  <c r="AA1667" i="1" s="1"/>
  <c r="AA1684" i="1" s="1"/>
  <c r="AA1698" i="1" s="1"/>
  <c r="AA1715" i="1" s="1"/>
  <c r="AA1729" i="1" s="1"/>
  <c r="AA1746" i="1" s="1"/>
  <c r="AA1760" i="1" s="1"/>
  <c r="AA1777" i="1" s="1"/>
  <c r="AA1791" i="1" s="1"/>
  <c r="AA1808" i="1" s="1"/>
  <c r="AA1822" i="1" s="1"/>
  <c r="AA1839" i="1" s="1"/>
  <c r="AA1853" i="1" s="1"/>
  <c r="AD289" i="1"/>
  <c r="AD303" i="1" s="1"/>
  <c r="AD320" i="1" s="1"/>
  <c r="AD334" i="1" s="1"/>
  <c r="AD351" i="1" s="1"/>
  <c r="AD365" i="1" s="1"/>
  <c r="AD382" i="1" s="1"/>
  <c r="AD396" i="1" s="1"/>
  <c r="AD413" i="1" s="1"/>
  <c r="AD427" i="1" s="1"/>
  <c r="AD444" i="1" s="1"/>
  <c r="AD458" i="1" s="1"/>
  <c r="AD475" i="1" s="1"/>
  <c r="AD489" i="1" s="1"/>
  <c r="AD506" i="1" s="1"/>
  <c r="AD520" i="1" s="1"/>
  <c r="AD537" i="1" s="1"/>
  <c r="AD551" i="1" s="1"/>
  <c r="AD568" i="1" s="1"/>
  <c r="AD582" i="1" s="1"/>
  <c r="AD599" i="1" s="1"/>
  <c r="AD613" i="1" s="1"/>
  <c r="AD630" i="1" s="1"/>
  <c r="AD644" i="1" s="1"/>
  <c r="AD661" i="1" s="1"/>
  <c r="AD675" i="1" s="1"/>
  <c r="AD692" i="1" s="1"/>
  <c r="AD706" i="1" s="1"/>
  <c r="AD723" i="1" s="1"/>
  <c r="AD737" i="1" s="1"/>
  <c r="AD754" i="1" s="1"/>
  <c r="AD768" i="1" s="1"/>
  <c r="AD785" i="1" s="1"/>
  <c r="AD799" i="1" s="1"/>
  <c r="AD816" i="1" s="1"/>
  <c r="AD830" i="1" s="1"/>
  <c r="AD847" i="1" s="1"/>
  <c r="AD861" i="1" s="1"/>
  <c r="AD878" i="1" s="1"/>
  <c r="AD892" i="1" s="1"/>
  <c r="AD909" i="1" s="1"/>
  <c r="AD923" i="1" s="1"/>
  <c r="AD940" i="1" s="1"/>
  <c r="AD954" i="1" s="1"/>
  <c r="AD971" i="1" s="1"/>
  <c r="AD985" i="1" s="1"/>
  <c r="AD1002" i="1" s="1"/>
  <c r="AD1016" i="1" s="1"/>
  <c r="AD1033" i="1" s="1"/>
  <c r="AD1047" i="1" s="1"/>
  <c r="AD1064" i="1" s="1"/>
  <c r="AD1078" i="1" s="1"/>
  <c r="AD1095" i="1" s="1"/>
  <c r="AD1109" i="1" s="1"/>
  <c r="AD1126" i="1" s="1"/>
  <c r="AD1140" i="1" s="1"/>
  <c r="AD1157" i="1" s="1"/>
  <c r="AD1171" i="1" s="1"/>
  <c r="AD1188" i="1" s="1"/>
  <c r="AD1202" i="1" s="1"/>
  <c r="AD1219" i="1" s="1"/>
  <c r="AD1233" i="1" s="1"/>
  <c r="AD1250" i="1" s="1"/>
  <c r="AD1264" i="1" s="1"/>
  <c r="AD1281" i="1" s="1"/>
  <c r="AD1295" i="1" s="1"/>
  <c r="AD1312" i="1" s="1"/>
  <c r="AD1326" i="1" s="1"/>
  <c r="AD1343" i="1" s="1"/>
  <c r="AD1357" i="1" s="1"/>
  <c r="AD1374" i="1" s="1"/>
  <c r="AD1388" i="1" s="1"/>
  <c r="AD1405" i="1" s="1"/>
  <c r="AD1419" i="1" s="1"/>
  <c r="AD1436" i="1" s="1"/>
  <c r="AD1450" i="1" s="1"/>
  <c r="AD1467" i="1" s="1"/>
  <c r="AD1481" i="1" s="1"/>
  <c r="AD1498" i="1" s="1"/>
  <c r="AD1512" i="1" s="1"/>
  <c r="AD1529" i="1" s="1"/>
  <c r="AD1543" i="1" s="1"/>
  <c r="AD1560" i="1" s="1"/>
  <c r="AD1574" i="1" s="1"/>
  <c r="AD1591" i="1" s="1"/>
  <c r="AD1605" i="1" s="1"/>
  <c r="AD1622" i="1" s="1"/>
  <c r="AD1636" i="1" s="1"/>
  <c r="AD1653" i="1" s="1"/>
  <c r="AD1667" i="1" s="1"/>
  <c r="AD1684" i="1" s="1"/>
  <c r="AD1698" i="1" s="1"/>
  <c r="AD1715" i="1" s="1"/>
  <c r="AD1729" i="1" s="1"/>
  <c r="AD1746" i="1" s="1"/>
  <c r="AD1760" i="1" s="1"/>
  <c r="AD1777" i="1" s="1"/>
  <c r="AD1791" i="1" s="1"/>
  <c r="AD1808" i="1" s="1"/>
  <c r="AD1822" i="1" s="1"/>
  <c r="AD1839" i="1" s="1"/>
  <c r="AD1853" i="1" s="1"/>
  <c r="AN231" i="1"/>
  <c r="AN201" i="1"/>
  <c r="AV210" i="1"/>
  <c r="C238" i="1"/>
  <c r="H237" i="1"/>
  <c r="H231" i="1"/>
  <c r="C232" i="1"/>
  <c r="U232" i="1"/>
  <c r="AP231" i="1"/>
  <c r="AP237" i="1"/>
  <c r="U300" i="1"/>
  <c r="N301" i="1"/>
  <c r="N299" i="1"/>
  <c r="N300" i="1"/>
  <c r="N297" i="1"/>
  <c r="N302" i="1"/>
  <c r="U297" i="1"/>
  <c r="U298" i="1"/>
  <c r="AP294" i="1"/>
  <c r="AN300" i="1"/>
  <c r="AN299" i="1"/>
  <c r="AP297" i="1"/>
  <c r="AN293" i="1"/>
  <c r="U301" i="1"/>
  <c r="H293" i="1"/>
  <c r="C294" i="1"/>
  <c r="AN301" i="1"/>
  <c r="C300" i="1"/>
  <c r="H299" i="1"/>
  <c r="U292" i="1"/>
  <c r="N291" i="1"/>
  <c r="AP290" i="1"/>
  <c r="N293" i="1"/>
  <c r="AN295" i="1"/>
  <c r="U295" i="1"/>
  <c r="AN292" i="1"/>
  <c r="N295" i="1"/>
  <c r="U293" i="1"/>
  <c r="N292" i="1"/>
  <c r="U290" i="1"/>
  <c r="U302" i="1"/>
  <c r="AV303" i="1"/>
  <c r="AN291" i="1"/>
  <c r="AP292" i="1"/>
  <c r="AP293" i="1"/>
  <c r="AP295" i="1"/>
  <c r="U299" i="1"/>
  <c r="U294" i="1"/>
  <c r="AR303" i="1"/>
  <c r="AP298" i="1"/>
  <c r="N298" i="1"/>
  <c r="AN290" i="1"/>
  <c r="AP301" i="1"/>
  <c r="N294" i="1"/>
  <c r="H260" i="1"/>
  <c r="C261" i="1"/>
  <c r="H267" i="1"/>
  <c r="C268" i="1"/>
  <c r="L17" i="4" l="1"/>
  <c r="L20" i="4"/>
  <c r="N358" i="1"/>
  <c r="P358" i="1" s="1"/>
  <c r="N210" i="1"/>
  <c r="P210" i="1" s="1"/>
  <c r="L16" i="4"/>
  <c r="L21" i="4"/>
  <c r="N947" i="1"/>
  <c r="P947" i="1" s="1"/>
  <c r="N396" i="1"/>
  <c r="P396" i="1" s="1"/>
  <c r="AN396" i="1"/>
  <c r="N1047" i="1"/>
  <c r="P1047" i="1" s="1"/>
  <c r="N885" i="1"/>
  <c r="P885" i="1" s="1"/>
  <c r="AN1047" i="1"/>
  <c r="L19" i="4"/>
  <c r="N1815" i="1"/>
  <c r="P1815" i="1" s="1"/>
  <c r="L18" i="4"/>
  <c r="N1264" i="1"/>
  <c r="P1264" i="1" s="1"/>
  <c r="N761" i="1"/>
  <c r="P761" i="1" s="1"/>
  <c r="N582" i="1"/>
  <c r="P582" i="1" s="1"/>
  <c r="N706" i="1"/>
  <c r="P706" i="1" s="1"/>
  <c r="N1846" i="1"/>
  <c r="P1846" i="1" s="1"/>
  <c r="N792" i="1"/>
  <c r="P792" i="1" s="1"/>
  <c r="AN1822" i="1"/>
  <c r="AN706" i="1"/>
  <c r="N1016" i="1"/>
  <c r="P1016" i="1" s="1"/>
  <c r="AN1729" i="1"/>
  <c r="N668" i="1"/>
  <c r="P668" i="1" s="1"/>
  <c r="AN241" i="1"/>
  <c r="AN861" i="1"/>
  <c r="N24" i="1"/>
  <c r="P24" i="1" s="1"/>
  <c r="AN1016" i="1"/>
  <c r="N606" i="1"/>
  <c r="P606" i="1" s="1"/>
  <c r="N1412" i="1"/>
  <c r="P1412" i="1" s="1"/>
  <c r="N1822" i="1"/>
  <c r="P1822" i="1" s="1"/>
  <c r="AN1109" i="1"/>
  <c r="AN551" i="1"/>
  <c r="AN179" i="1"/>
  <c r="N1357" i="1"/>
  <c r="P1357" i="1" s="1"/>
  <c r="AN582" i="1"/>
  <c r="N179" i="1"/>
  <c r="P179" i="1" s="1"/>
  <c r="N1729" i="1"/>
  <c r="P1729" i="1" s="1"/>
  <c r="AN1419" i="1"/>
  <c r="N1419" i="1"/>
  <c r="P1419" i="1" s="1"/>
  <c r="N1443" i="1"/>
  <c r="P1443" i="1" s="1"/>
  <c r="N861" i="1"/>
  <c r="P861" i="1" s="1"/>
  <c r="N1474" i="1"/>
  <c r="P1474" i="1" s="1"/>
  <c r="N575" i="1"/>
  <c r="P575" i="1" s="1"/>
  <c r="AN148" i="1"/>
  <c r="N978" i="1"/>
  <c r="P978" i="1" s="1"/>
  <c r="N110" i="1"/>
  <c r="P110" i="1" s="1"/>
  <c r="AN427" i="1"/>
  <c r="AN830" i="1"/>
  <c r="N1009" i="1"/>
  <c r="P1009" i="1" s="1"/>
  <c r="N1164" i="1"/>
  <c r="P1164" i="1" s="1"/>
  <c r="AN1667" i="1"/>
  <c r="N1543" i="1"/>
  <c r="P1543" i="1" s="1"/>
  <c r="AN210" i="1"/>
  <c r="N1512" i="1"/>
  <c r="P1512" i="1" s="1"/>
  <c r="N1288" i="1"/>
  <c r="P1288" i="1" s="1"/>
  <c r="N241" i="1"/>
  <c r="P241" i="1" s="1"/>
  <c r="N334" i="1"/>
  <c r="P334" i="1" s="1"/>
  <c r="AN303" i="1"/>
  <c r="N1195" i="1"/>
  <c r="P1195" i="1" s="1"/>
  <c r="N1722" i="1"/>
  <c r="P1722" i="1" s="1"/>
  <c r="AN1512" i="1"/>
  <c r="AN1295" i="1"/>
  <c r="AN1264" i="1"/>
  <c r="AN923" i="1"/>
  <c r="AN1357" i="1"/>
  <c r="N141" i="1"/>
  <c r="P141" i="1" s="1"/>
  <c r="AN1171" i="1"/>
  <c r="AN1853" i="1"/>
  <c r="N1319" i="1"/>
  <c r="P1319" i="1" s="1"/>
  <c r="N1350" i="1"/>
  <c r="P1350" i="1" s="1"/>
  <c r="N1760" i="1"/>
  <c r="P1760" i="1" s="1"/>
  <c r="N1853" i="1"/>
  <c r="P1853" i="1" s="1"/>
  <c r="AN365" i="1"/>
  <c r="N427" i="1"/>
  <c r="P427" i="1" s="1"/>
  <c r="N768" i="1"/>
  <c r="P768" i="1" s="1"/>
  <c r="N675" i="1"/>
  <c r="P675" i="1" s="1"/>
  <c r="N985" i="1"/>
  <c r="P985" i="1" s="1"/>
  <c r="N613" i="1"/>
  <c r="P613" i="1" s="1"/>
  <c r="N1698" i="1"/>
  <c r="P1698" i="1" s="1"/>
  <c r="AN24" i="1"/>
  <c r="N1257" i="1"/>
  <c r="P1257" i="1" s="1"/>
  <c r="N1295" i="1"/>
  <c r="P1295" i="1" s="1"/>
  <c r="N730" i="1"/>
  <c r="P730" i="1" s="1"/>
  <c r="N172" i="1"/>
  <c r="P172" i="1" s="1"/>
  <c r="H170" i="1"/>
  <c r="C171" i="1"/>
  <c r="H171" i="1" s="1"/>
  <c r="C139" i="1"/>
  <c r="H138" i="1"/>
  <c r="C177" i="1"/>
  <c r="H176" i="1"/>
  <c r="C147" i="1"/>
  <c r="H147" i="1" s="1"/>
  <c r="H146" i="1"/>
  <c r="N148" i="1"/>
  <c r="P148" i="1" s="1"/>
  <c r="C735" i="1"/>
  <c r="H734" i="1"/>
  <c r="C697" i="1"/>
  <c r="H696" i="1"/>
  <c r="C705" i="1"/>
  <c r="H705" i="1" s="1"/>
  <c r="H704" i="1"/>
  <c r="H728" i="1"/>
  <c r="C729" i="1"/>
  <c r="H729" i="1" s="1"/>
  <c r="AN737" i="1"/>
  <c r="N699" i="1"/>
  <c r="P699" i="1" s="1"/>
  <c r="N737" i="1"/>
  <c r="P737" i="1" s="1"/>
  <c r="C1293" i="1"/>
  <c r="H1292" i="1"/>
  <c r="C1255" i="1"/>
  <c r="H1254" i="1"/>
  <c r="C1263" i="1"/>
  <c r="H1263" i="1" s="1"/>
  <c r="H1262" i="1"/>
  <c r="H1286" i="1"/>
  <c r="C1287" i="1"/>
  <c r="H1287" i="1" s="1"/>
  <c r="C1851" i="1"/>
  <c r="H1850" i="1"/>
  <c r="H1844" i="1"/>
  <c r="C1845" i="1"/>
  <c r="H1845" i="1" s="1"/>
  <c r="C1821" i="1"/>
  <c r="H1821" i="1" s="1"/>
  <c r="H1820" i="1"/>
  <c r="N296" i="1"/>
  <c r="P296" i="1" s="1"/>
  <c r="N389" i="1"/>
  <c r="P389" i="1" s="1"/>
  <c r="N420" i="1"/>
  <c r="P420" i="1" s="1"/>
  <c r="AN489" i="1"/>
  <c r="N489" i="1"/>
  <c r="P489" i="1" s="1"/>
  <c r="AN799" i="1"/>
  <c r="AN644" i="1"/>
  <c r="AN613" i="1"/>
  <c r="H1695" i="1"/>
  <c r="C1696" i="1"/>
  <c r="AN768" i="1"/>
  <c r="AN1140" i="1"/>
  <c r="N1233" i="1"/>
  <c r="P1233" i="1" s="1"/>
  <c r="N365" i="1"/>
  <c r="P365" i="1" s="1"/>
  <c r="AN954" i="1"/>
  <c r="AN1202" i="1"/>
  <c r="H1750" i="1"/>
  <c r="C1751" i="1"/>
  <c r="H1478" i="1"/>
  <c r="C1479" i="1"/>
  <c r="C1596" i="1"/>
  <c r="H1595" i="1"/>
  <c r="N55" i="1"/>
  <c r="P55" i="1" s="1"/>
  <c r="N551" i="1"/>
  <c r="P551" i="1" s="1"/>
  <c r="N451" i="1"/>
  <c r="P451" i="1" s="1"/>
  <c r="AN1326" i="1"/>
  <c r="AN1388" i="1"/>
  <c r="N1536" i="1"/>
  <c r="P1536" i="1" s="1"/>
  <c r="N1753" i="1"/>
  <c r="P1753" i="1" s="1"/>
  <c r="N1784" i="1"/>
  <c r="P1784" i="1" s="1"/>
  <c r="C457" i="1"/>
  <c r="H457" i="1" s="1"/>
  <c r="H456" i="1"/>
  <c r="C518" i="1"/>
  <c r="H517" i="1"/>
  <c r="AN1698" i="1"/>
  <c r="C1789" i="1"/>
  <c r="H1788" i="1"/>
  <c r="C1720" i="1"/>
  <c r="H1719" i="1"/>
  <c r="AN1760" i="1"/>
  <c r="N1791" i="1"/>
  <c r="P1791" i="1" s="1"/>
  <c r="C1728" i="1"/>
  <c r="H1728" i="1" s="1"/>
  <c r="H1727" i="1"/>
  <c r="C1690" i="1"/>
  <c r="H1690" i="1" s="1"/>
  <c r="H1689" i="1"/>
  <c r="N1691" i="1"/>
  <c r="P1691" i="1" s="1"/>
  <c r="AN1791" i="1"/>
  <c r="C1758" i="1"/>
  <c r="H1757" i="1"/>
  <c r="H1416" i="1"/>
  <c r="C1417" i="1"/>
  <c r="C1503" i="1"/>
  <c r="H1502" i="1"/>
  <c r="C1411" i="1"/>
  <c r="H1411" i="1" s="1"/>
  <c r="H1410" i="1"/>
  <c r="C1511" i="1"/>
  <c r="H1511" i="1" s="1"/>
  <c r="H1510" i="1"/>
  <c r="AN1543" i="1"/>
  <c r="N1505" i="1"/>
  <c r="P1505" i="1" s="1"/>
  <c r="H1193" i="1"/>
  <c r="C1194" i="1"/>
  <c r="H1194" i="1" s="1"/>
  <c r="C1472" i="1"/>
  <c r="H1471" i="1"/>
  <c r="C1200" i="1"/>
  <c r="H1199" i="1"/>
  <c r="N1133" i="1"/>
  <c r="P1133" i="1" s="1"/>
  <c r="C1318" i="1"/>
  <c r="H1318" i="1" s="1"/>
  <c r="H1317" i="1"/>
  <c r="N1450" i="1"/>
  <c r="P1450" i="1" s="1"/>
  <c r="N1667" i="1"/>
  <c r="P1667" i="1" s="1"/>
  <c r="C1665" i="1"/>
  <c r="H1664" i="1"/>
  <c r="C1628" i="1"/>
  <c r="H1628" i="1" s="1"/>
  <c r="H1627" i="1"/>
  <c r="AN1605" i="1"/>
  <c r="N1636" i="1"/>
  <c r="P1636" i="1" s="1"/>
  <c r="C1635" i="1"/>
  <c r="H1635" i="1" s="1"/>
  <c r="H1634" i="1"/>
  <c r="N1140" i="1"/>
  <c r="P1140" i="1" s="1"/>
  <c r="C1132" i="1"/>
  <c r="H1132" i="1" s="1"/>
  <c r="H1131" i="1"/>
  <c r="H1231" i="1"/>
  <c r="C1232" i="1"/>
  <c r="H1232" i="1" s="1"/>
  <c r="N1202" i="1"/>
  <c r="P1202" i="1" s="1"/>
  <c r="C1162" i="1"/>
  <c r="H1161" i="1"/>
  <c r="C1348" i="1"/>
  <c r="H1347" i="1"/>
  <c r="N1388" i="1"/>
  <c r="P1388" i="1" s="1"/>
  <c r="C1541" i="1"/>
  <c r="H1540" i="1"/>
  <c r="N1171" i="1"/>
  <c r="P1171" i="1" s="1"/>
  <c r="C1170" i="1"/>
  <c r="H1170" i="1" s="1"/>
  <c r="H1169" i="1"/>
  <c r="N1381" i="1"/>
  <c r="P1381" i="1" s="1"/>
  <c r="C1356" i="1"/>
  <c r="H1356" i="1" s="1"/>
  <c r="H1355" i="1"/>
  <c r="C1441" i="1"/>
  <c r="H1440" i="1"/>
  <c r="AN1450" i="1"/>
  <c r="N1481" i="1"/>
  <c r="P1481" i="1" s="1"/>
  <c r="N1574" i="1"/>
  <c r="P1574" i="1" s="1"/>
  <c r="C1386" i="1"/>
  <c r="H1385" i="1"/>
  <c r="N1567" i="1"/>
  <c r="P1567" i="1" s="1"/>
  <c r="N1598" i="1"/>
  <c r="P1598" i="1" s="1"/>
  <c r="N1629" i="1"/>
  <c r="P1629" i="1" s="1"/>
  <c r="H1534" i="1"/>
  <c r="C1535" i="1"/>
  <c r="H1535" i="1" s="1"/>
  <c r="N1605" i="1"/>
  <c r="P1605" i="1" s="1"/>
  <c r="H1658" i="1"/>
  <c r="C1659" i="1"/>
  <c r="H1659" i="1" s="1"/>
  <c r="C1449" i="1"/>
  <c r="H1449" i="1" s="1"/>
  <c r="H1448" i="1"/>
  <c r="N1226" i="1"/>
  <c r="P1226" i="1" s="1"/>
  <c r="AN1233" i="1"/>
  <c r="N1326" i="1"/>
  <c r="P1326" i="1" s="1"/>
  <c r="AN1574" i="1"/>
  <c r="AN1481" i="1"/>
  <c r="N1660" i="1"/>
  <c r="P1660" i="1" s="1"/>
  <c r="H1603" i="1"/>
  <c r="C1604" i="1"/>
  <c r="H1604" i="1" s="1"/>
  <c r="AN1636" i="1"/>
  <c r="N799" i="1"/>
  <c r="P799" i="1" s="1"/>
  <c r="C1015" i="1"/>
  <c r="H1015" i="1" s="1"/>
  <c r="H1014" i="1"/>
  <c r="N1040" i="1"/>
  <c r="P1040" i="1" s="1"/>
  <c r="C611" i="1"/>
  <c r="H610" i="1"/>
  <c r="AN675" i="1"/>
  <c r="N830" i="1"/>
  <c r="P830" i="1" s="1"/>
  <c r="C1107" i="1"/>
  <c r="H1106" i="1"/>
  <c r="C1045" i="1"/>
  <c r="H1044" i="1"/>
  <c r="N823" i="1"/>
  <c r="P823" i="1" s="1"/>
  <c r="C945" i="1"/>
  <c r="H944" i="1"/>
  <c r="H827" i="1"/>
  <c r="C828" i="1"/>
  <c r="N892" i="1"/>
  <c r="P892" i="1" s="1"/>
  <c r="C953" i="1"/>
  <c r="H953" i="1" s="1"/>
  <c r="H952" i="1"/>
  <c r="H673" i="1"/>
  <c r="C674" i="1"/>
  <c r="H674" i="1" s="1"/>
  <c r="H759" i="1"/>
  <c r="C760" i="1"/>
  <c r="H760" i="1" s="1"/>
  <c r="C581" i="1"/>
  <c r="H581" i="1" s="1"/>
  <c r="H580" i="1"/>
  <c r="N644" i="1"/>
  <c r="P644" i="1" s="1"/>
  <c r="C822" i="1"/>
  <c r="H822" i="1" s="1"/>
  <c r="H821" i="1"/>
  <c r="C1069" i="1"/>
  <c r="H1068" i="1"/>
  <c r="N1078" i="1"/>
  <c r="P1078" i="1" s="1"/>
  <c r="N1102" i="1"/>
  <c r="P1102" i="1" s="1"/>
  <c r="N1109" i="1"/>
  <c r="P1109" i="1" s="1"/>
  <c r="C1007" i="1"/>
  <c r="H1006" i="1"/>
  <c r="N637" i="1"/>
  <c r="P637" i="1" s="1"/>
  <c r="C767" i="1"/>
  <c r="H767" i="1" s="1"/>
  <c r="H766" i="1"/>
  <c r="C798" i="1"/>
  <c r="H798" i="1" s="1"/>
  <c r="H797" i="1"/>
  <c r="AN985" i="1"/>
  <c r="N1071" i="1"/>
  <c r="P1071" i="1" s="1"/>
  <c r="AN892" i="1"/>
  <c r="C1077" i="1"/>
  <c r="H1077" i="1" s="1"/>
  <c r="H1076" i="1"/>
  <c r="C643" i="1"/>
  <c r="H643" i="1" s="1"/>
  <c r="H642" i="1"/>
  <c r="C667" i="1"/>
  <c r="H667" i="1" s="1"/>
  <c r="H666" i="1"/>
  <c r="C852" i="1"/>
  <c r="H851" i="1"/>
  <c r="N954" i="1"/>
  <c r="P954" i="1" s="1"/>
  <c r="AN1078" i="1"/>
  <c r="C790" i="1"/>
  <c r="H789" i="1"/>
  <c r="H982" i="1"/>
  <c r="C983" i="1"/>
  <c r="C636" i="1"/>
  <c r="H636" i="1" s="1"/>
  <c r="H635" i="1"/>
  <c r="N854" i="1"/>
  <c r="P854" i="1" s="1"/>
  <c r="C860" i="1"/>
  <c r="H860" i="1" s="1"/>
  <c r="H859" i="1"/>
  <c r="N923" i="1"/>
  <c r="P923" i="1" s="1"/>
  <c r="C915" i="1"/>
  <c r="H915" i="1" s="1"/>
  <c r="H914" i="1"/>
  <c r="N916" i="1"/>
  <c r="P916" i="1" s="1"/>
  <c r="H1037" i="1"/>
  <c r="C1038" i="1"/>
  <c r="H449" i="1"/>
  <c r="C450" i="1"/>
  <c r="H450" i="1" s="1"/>
  <c r="AN458" i="1"/>
  <c r="H479" i="1"/>
  <c r="C480" i="1"/>
  <c r="N513" i="1"/>
  <c r="P513" i="1" s="1"/>
  <c r="H511" i="1"/>
  <c r="C512" i="1"/>
  <c r="H512" i="1" s="1"/>
  <c r="N520" i="1"/>
  <c r="P520" i="1" s="1"/>
  <c r="N458" i="1"/>
  <c r="P458" i="1" s="1"/>
  <c r="N544" i="1"/>
  <c r="P544" i="1" s="1"/>
  <c r="AN520" i="1"/>
  <c r="H486" i="1"/>
  <c r="C487" i="1"/>
  <c r="N482" i="1"/>
  <c r="P482" i="1" s="1"/>
  <c r="H542" i="1"/>
  <c r="C543" i="1"/>
  <c r="H543" i="1" s="1"/>
  <c r="C549" i="1"/>
  <c r="H548" i="1"/>
  <c r="C356" i="1"/>
  <c r="H355" i="1"/>
  <c r="C425" i="1"/>
  <c r="H424" i="1"/>
  <c r="C326" i="1"/>
  <c r="H326" i="1" s="1"/>
  <c r="H325" i="1"/>
  <c r="H418" i="1"/>
  <c r="C419" i="1"/>
  <c r="H419" i="1" s="1"/>
  <c r="N327" i="1"/>
  <c r="P327" i="1" s="1"/>
  <c r="AN334" i="1"/>
  <c r="H332" i="1"/>
  <c r="C333" i="1"/>
  <c r="H333" i="1" s="1"/>
  <c r="C394" i="1"/>
  <c r="H393" i="1"/>
  <c r="C387" i="1"/>
  <c r="H386" i="1"/>
  <c r="C364" i="1"/>
  <c r="H364" i="1" s="1"/>
  <c r="H363" i="1"/>
  <c r="C16" i="1"/>
  <c r="H16" i="1" s="1"/>
  <c r="H15" i="1"/>
  <c r="H108" i="1"/>
  <c r="C109" i="1"/>
  <c r="H109" i="1" s="1"/>
  <c r="N48" i="1"/>
  <c r="P48" i="1" s="1"/>
  <c r="N117" i="1"/>
  <c r="P117" i="1" s="1"/>
  <c r="AN86" i="1"/>
  <c r="C115" i="1"/>
  <c r="H114" i="1"/>
  <c r="H84" i="1"/>
  <c r="C85" i="1"/>
  <c r="H85" i="1" s="1"/>
  <c r="N86" i="1"/>
  <c r="P86" i="1" s="1"/>
  <c r="H46" i="1"/>
  <c r="C47" i="1"/>
  <c r="H47" i="1" s="1"/>
  <c r="AN55" i="1"/>
  <c r="C53" i="1"/>
  <c r="H52" i="1"/>
  <c r="H77" i="1"/>
  <c r="C78" i="1"/>
  <c r="H78" i="1" s="1"/>
  <c r="AN117" i="1"/>
  <c r="C23" i="1"/>
  <c r="H23" i="1" s="1"/>
  <c r="H22" i="1"/>
  <c r="N79" i="1"/>
  <c r="P79" i="1" s="1"/>
  <c r="C239" i="1"/>
  <c r="H238" i="1"/>
  <c r="H232" i="1"/>
  <c r="C233" i="1"/>
  <c r="H233" i="1" s="1"/>
  <c r="N234" i="1"/>
  <c r="P234" i="1" s="1"/>
  <c r="N203" i="1"/>
  <c r="P203" i="1" s="1"/>
  <c r="C209" i="1"/>
  <c r="H209" i="1" s="1"/>
  <c r="H208" i="1"/>
  <c r="C301" i="1"/>
  <c r="H300" i="1"/>
  <c r="H294" i="1"/>
  <c r="C295" i="1"/>
  <c r="H295" i="1" s="1"/>
  <c r="N303" i="1"/>
  <c r="P303" i="1" s="1"/>
  <c r="C269" i="1"/>
  <c r="H268" i="1"/>
  <c r="C262" i="1"/>
  <c r="H261" i="1"/>
  <c r="C140" i="1" l="1"/>
  <c r="H140" i="1" s="1"/>
  <c r="H139" i="1"/>
  <c r="H177" i="1"/>
  <c r="C178" i="1"/>
  <c r="H178" i="1" s="1"/>
  <c r="H697" i="1"/>
  <c r="C698" i="1"/>
  <c r="H698" i="1" s="1"/>
  <c r="H735" i="1"/>
  <c r="C736" i="1"/>
  <c r="H736" i="1" s="1"/>
  <c r="H1255" i="1"/>
  <c r="C1256" i="1"/>
  <c r="H1256" i="1" s="1"/>
  <c r="H1293" i="1"/>
  <c r="C1294" i="1"/>
  <c r="H1294" i="1" s="1"/>
  <c r="H1851" i="1"/>
  <c r="C1852" i="1"/>
  <c r="H1852" i="1" s="1"/>
  <c r="C1480" i="1"/>
  <c r="H1480" i="1" s="1"/>
  <c r="H1479" i="1"/>
  <c r="C519" i="1"/>
  <c r="H519" i="1" s="1"/>
  <c r="H518" i="1"/>
  <c r="C1597" i="1"/>
  <c r="H1597" i="1" s="1"/>
  <c r="H1596" i="1"/>
  <c r="H1696" i="1"/>
  <c r="C1697" i="1"/>
  <c r="H1697" i="1" s="1"/>
  <c r="H1751" i="1"/>
  <c r="C1752" i="1"/>
  <c r="H1752" i="1" s="1"/>
  <c r="H1758" i="1"/>
  <c r="C1759" i="1"/>
  <c r="H1759" i="1" s="1"/>
  <c r="H1720" i="1"/>
  <c r="C1721" i="1"/>
  <c r="H1721" i="1" s="1"/>
  <c r="H1789" i="1"/>
  <c r="C1790" i="1"/>
  <c r="H1790" i="1" s="1"/>
  <c r="H1441" i="1"/>
  <c r="C1442" i="1"/>
  <c r="H1442" i="1" s="1"/>
  <c r="H1200" i="1"/>
  <c r="C1201" i="1"/>
  <c r="H1201" i="1" s="1"/>
  <c r="H1503" i="1"/>
  <c r="C1504" i="1"/>
  <c r="H1504" i="1" s="1"/>
  <c r="H1541" i="1"/>
  <c r="C1542" i="1"/>
  <c r="H1542" i="1" s="1"/>
  <c r="H1162" i="1"/>
  <c r="C1163" i="1"/>
  <c r="H1163" i="1" s="1"/>
  <c r="H1665" i="1"/>
  <c r="C1666" i="1"/>
  <c r="H1666" i="1" s="1"/>
  <c r="C1418" i="1"/>
  <c r="H1418" i="1" s="1"/>
  <c r="H1417" i="1"/>
  <c r="H1386" i="1"/>
  <c r="C1387" i="1"/>
  <c r="H1387" i="1" s="1"/>
  <c r="H1348" i="1"/>
  <c r="C1349" i="1"/>
  <c r="H1349" i="1" s="1"/>
  <c r="C1473" i="1"/>
  <c r="H1473" i="1" s="1"/>
  <c r="H1472" i="1"/>
  <c r="C984" i="1"/>
  <c r="H984" i="1" s="1"/>
  <c r="H983" i="1"/>
  <c r="H1069" i="1"/>
  <c r="C1070" i="1"/>
  <c r="H1070" i="1" s="1"/>
  <c r="H945" i="1"/>
  <c r="C946" i="1"/>
  <c r="H946" i="1" s="1"/>
  <c r="H1107" i="1"/>
  <c r="C1108" i="1"/>
  <c r="H1108" i="1" s="1"/>
  <c r="H1038" i="1"/>
  <c r="C1039" i="1"/>
  <c r="H1039" i="1" s="1"/>
  <c r="C791" i="1"/>
  <c r="H791" i="1" s="1"/>
  <c r="H790" i="1"/>
  <c r="C853" i="1"/>
  <c r="H853" i="1" s="1"/>
  <c r="H852" i="1"/>
  <c r="H1007" i="1"/>
  <c r="C1008" i="1"/>
  <c r="H1008" i="1" s="1"/>
  <c r="C829" i="1"/>
  <c r="H829" i="1" s="1"/>
  <c r="H828" i="1"/>
  <c r="H1045" i="1"/>
  <c r="C1046" i="1"/>
  <c r="H1046" i="1" s="1"/>
  <c r="H611" i="1"/>
  <c r="C612" i="1"/>
  <c r="H612" i="1" s="1"/>
  <c r="H549" i="1"/>
  <c r="C550" i="1"/>
  <c r="H550" i="1" s="1"/>
  <c r="H487" i="1"/>
  <c r="C488" i="1"/>
  <c r="H488" i="1" s="1"/>
  <c r="C481" i="1"/>
  <c r="H481" i="1" s="1"/>
  <c r="H480" i="1"/>
  <c r="H387" i="1"/>
  <c r="C388" i="1"/>
  <c r="H388" i="1" s="1"/>
  <c r="H425" i="1"/>
  <c r="C426" i="1"/>
  <c r="H426" i="1" s="1"/>
  <c r="C395" i="1"/>
  <c r="H395" i="1" s="1"/>
  <c r="H394" i="1"/>
  <c r="C357" i="1"/>
  <c r="H357" i="1" s="1"/>
  <c r="H356" i="1"/>
  <c r="H53" i="1"/>
  <c r="C54" i="1"/>
  <c r="H54" i="1" s="1"/>
  <c r="H115" i="1"/>
  <c r="C116" i="1"/>
  <c r="H116" i="1" s="1"/>
  <c r="H239" i="1"/>
  <c r="C240" i="1"/>
  <c r="H240" i="1" s="1"/>
  <c r="H301" i="1"/>
  <c r="C302" i="1"/>
  <c r="H302" i="1" s="1"/>
  <c r="C270" i="1"/>
  <c r="H269" i="1"/>
  <c r="C263" i="1"/>
  <c r="H262" i="1"/>
  <c r="H270" i="1" l="1"/>
  <c r="C271" i="1"/>
  <c r="H271" i="1" s="1"/>
  <c r="H263" i="1"/>
  <c r="C264" i="1"/>
  <c r="H264" i="1" s="1"/>
  <c r="A382" i="1" l="1"/>
  <c r="H1" i="1" l="1"/>
  <c r="H2" i="1"/>
  <c r="D2" i="1" l="1"/>
  <c r="U2" i="1" s="1"/>
  <c r="BG116" i="1"/>
  <c r="BG114" i="1"/>
  <c r="BG112" i="1"/>
  <c r="BG108" i="1"/>
  <c r="BG107" i="1"/>
  <c r="BG106" i="1"/>
  <c r="BG105" i="1"/>
  <c r="BF116" i="1"/>
  <c r="BF115" i="1"/>
  <c r="BF114" i="1"/>
  <c r="BF113" i="1"/>
  <c r="BF112" i="1"/>
  <c r="BF111" i="1"/>
  <c r="BF109" i="1"/>
  <c r="BF108" i="1"/>
  <c r="BF107" i="1"/>
  <c r="BF106" i="1"/>
  <c r="BF105" i="1"/>
  <c r="BF104" i="1"/>
  <c r="BG113" i="1" l="1"/>
  <c r="BG115" i="1"/>
  <c r="BG109" i="1"/>
  <c r="I2" i="1" l="1"/>
  <c r="AF15" i="4" l="1"/>
  <c r="AD15" i="4"/>
  <c r="AB15" i="4"/>
  <c r="Z15" i="4"/>
  <c r="R15" i="4"/>
  <c r="P15" i="4"/>
  <c r="T15" i="4"/>
  <c r="AH15" i="4"/>
  <c r="A1840" i="1" l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09" i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778" i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47" i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16" i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685" i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54" i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23" i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592" i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561" i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30" i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499" i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468" i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37" i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06" i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375" i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44" i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13" i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282" i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51" i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20" i="1"/>
  <c r="A1189" i="1"/>
  <c r="A1158" i="1"/>
  <c r="A1127" i="1"/>
  <c r="A1096" i="1"/>
  <c r="A1065" i="1"/>
  <c r="A1034" i="1"/>
  <c r="A1003" i="1"/>
  <c r="A972" i="1"/>
  <c r="A941" i="1"/>
  <c r="A910" i="1"/>
  <c r="A879" i="1"/>
  <c r="A848" i="1"/>
  <c r="A817" i="1"/>
  <c r="A786" i="1"/>
  <c r="A755" i="1"/>
  <c r="A724" i="1"/>
  <c r="A693" i="1"/>
  <c r="A662" i="1"/>
  <c r="A631" i="1"/>
  <c r="A600" i="1"/>
  <c r="A569" i="1"/>
  <c r="A538" i="1"/>
  <c r="A507" i="1"/>
  <c r="A476" i="1"/>
  <c r="A445" i="1"/>
  <c r="A414" i="1"/>
  <c r="A383" i="1"/>
  <c r="A352" i="1"/>
  <c r="A321" i="1"/>
  <c r="A290" i="1"/>
  <c r="A259" i="1"/>
  <c r="A228" i="1"/>
  <c r="A197" i="1"/>
  <c r="A166" i="1"/>
  <c r="A135" i="1"/>
  <c r="A104" i="1"/>
  <c r="A73" i="1"/>
  <c r="A42" i="1"/>
  <c r="A384" i="1" l="1"/>
  <c r="A477" i="1"/>
  <c r="A725" i="1"/>
  <c r="A1221" i="1"/>
  <c r="A74" i="1"/>
  <c r="A260" i="1"/>
  <c r="A322" i="1"/>
  <c r="A415" i="1"/>
  <c r="A570" i="1"/>
  <c r="A663" i="1"/>
  <c r="A818" i="1"/>
  <c r="A1035" i="1"/>
  <c r="A167" i="1"/>
  <c r="A973" i="1"/>
  <c r="A1004" i="1"/>
  <c r="A1097" i="1"/>
  <c r="A43" i="1"/>
  <c r="A198" i="1"/>
  <c r="A291" i="1"/>
  <c r="A353" i="1"/>
  <c r="A508" i="1"/>
  <c r="A601" i="1"/>
  <c r="A756" i="1"/>
  <c r="A849" i="1"/>
  <c r="A880" i="1"/>
  <c r="A1128" i="1"/>
  <c r="A632" i="1"/>
  <c r="A105" i="1"/>
  <c r="A136" i="1"/>
  <c r="A229" i="1"/>
  <c r="A446" i="1"/>
  <c r="A539" i="1"/>
  <c r="A694" i="1"/>
  <c r="A787" i="1"/>
  <c r="A911" i="1"/>
  <c r="A942" i="1"/>
  <c r="A1066" i="1"/>
  <c r="A1159" i="1"/>
  <c r="A1190" i="1"/>
  <c r="A1606" i="1"/>
  <c r="A1637" i="1"/>
  <c r="A1699" i="1"/>
  <c r="A1730" i="1"/>
  <c r="A1823" i="1"/>
  <c r="A1854" i="1"/>
  <c r="A1389" i="1"/>
  <c r="A1420" i="1"/>
  <c r="A1451" i="1"/>
  <c r="A1668" i="1"/>
  <c r="A1358" i="1"/>
  <c r="A1265" i="1"/>
  <c r="A1482" i="1"/>
  <c r="A1513" i="1"/>
  <c r="A1792" i="1"/>
  <c r="A1296" i="1"/>
  <c r="A1327" i="1"/>
  <c r="A1544" i="1"/>
  <c r="A1575" i="1"/>
  <c r="A1761" i="1"/>
  <c r="A1160" i="1" l="1"/>
  <c r="A943" i="1"/>
  <c r="A788" i="1"/>
  <c r="A540" i="1"/>
  <c r="A230" i="1"/>
  <c r="A106" i="1"/>
  <c r="A1129" i="1"/>
  <c r="A850" i="1"/>
  <c r="A602" i="1"/>
  <c r="A354" i="1"/>
  <c r="A199" i="1"/>
  <c r="A1098" i="1"/>
  <c r="A974" i="1"/>
  <c r="A1036" i="1"/>
  <c r="A664" i="1"/>
  <c r="A416" i="1"/>
  <c r="A261" i="1"/>
  <c r="A1222" i="1"/>
  <c r="A478" i="1"/>
  <c r="A1191" i="1"/>
  <c r="A1067" i="1"/>
  <c r="A912" i="1"/>
  <c r="A695" i="1"/>
  <c r="A447" i="1"/>
  <c r="A137" i="1"/>
  <c r="A633" i="1"/>
  <c r="A881" i="1"/>
  <c r="A757" i="1"/>
  <c r="A509" i="1"/>
  <c r="A292" i="1"/>
  <c r="A44" i="1"/>
  <c r="A1005" i="1"/>
  <c r="A168" i="1"/>
  <c r="A819" i="1"/>
  <c r="A571" i="1"/>
  <c r="A323" i="1"/>
  <c r="A75" i="1"/>
  <c r="A726" i="1"/>
  <c r="A385" i="1"/>
  <c r="A1576" i="1"/>
  <c r="A1577" i="1" s="1"/>
  <c r="A1328" i="1"/>
  <c r="A1329" i="1" s="1"/>
  <c r="A1514" i="1"/>
  <c r="A1515" i="1" s="1"/>
  <c r="A1266" i="1"/>
  <c r="A1267" i="1" s="1"/>
  <c r="A1359" i="1"/>
  <c r="A1360" i="1" s="1"/>
  <c r="A1452" i="1"/>
  <c r="A1453" i="1" s="1"/>
  <c r="A1855" i="1"/>
  <c r="A1856" i="1" s="1"/>
  <c r="A1731" i="1"/>
  <c r="A1732" i="1" s="1"/>
  <c r="A1638" i="1"/>
  <c r="A1639" i="1" s="1"/>
  <c r="A1762" i="1"/>
  <c r="A1763" i="1" s="1"/>
  <c r="A1545" i="1"/>
  <c r="A1546" i="1" s="1"/>
  <c r="A1297" i="1"/>
  <c r="A1298" i="1" s="1"/>
  <c r="A1793" i="1"/>
  <c r="A1794" i="1" s="1"/>
  <c r="A1483" i="1"/>
  <c r="A1484" i="1" s="1"/>
  <c r="A1669" i="1"/>
  <c r="A1670" i="1" s="1"/>
  <c r="A1421" i="1"/>
  <c r="A1422" i="1" s="1"/>
  <c r="A1390" i="1"/>
  <c r="A1391" i="1" s="1"/>
  <c r="A1824" i="1"/>
  <c r="A1825" i="1" s="1"/>
  <c r="A1700" i="1"/>
  <c r="A1701" i="1" s="1"/>
  <c r="A1607" i="1"/>
  <c r="A1608" i="1" s="1"/>
  <c r="V15" i="4"/>
  <c r="A386" i="1" l="1"/>
  <c r="A76" i="1"/>
  <c r="A572" i="1"/>
  <c r="A169" i="1"/>
  <c r="A45" i="1"/>
  <c r="A510" i="1"/>
  <c r="A882" i="1"/>
  <c r="A138" i="1"/>
  <c r="A696" i="1"/>
  <c r="A1068" i="1"/>
  <c r="A479" i="1"/>
  <c r="A262" i="1"/>
  <c r="A665" i="1"/>
  <c r="A975" i="1"/>
  <c r="A200" i="1"/>
  <c r="A603" i="1"/>
  <c r="A1130" i="1"/>
  <c r="A231" i="1"/>
  <c r="A789" i="1"/>
  <c r="A1161" i="1"/>
  <c r="A727" i="1"/>
  <c r="A324" i="1"/>
  <c r="A820" i="1"/>
  <c r="A1006" i="1"/>
  <c r="A293" i="1"/>
  <c r="A758" i="1"/>
  <c r="A634" i="1"/>
  <c r="A448" i="1"/>
  <c r="A913" i="1"/>
  <c r="A1192" i="1"/>
  <c r="A1223" i="1"/>
  <c r="A417" i="1"/>
  <c r="A1037" i="1"/>
  <c r="A1099" i="1"/>
  <c r="A355" i="1"/>
  <c r="A851" i="1"/>
  <c r="A107" i="1"/>
  <c r="A541" i="1"/>
  <c r="A944" i="1"/>
  <c r="A1609" i="1"/>
  <c r="A1826" i="1"/>
  <c r="A1392" i="1"/>
  <c r="A1671" i="1"/>
  <c r="A1485" i="1"/>
  <c r="A1547" i="1"/>
  <c r="A1640" i="1"/>
  <c r="A1857" i="1"/>
  <c r="A1516" i="1"/>
  <c r="A1578" i="1"/>
  <c r="A1702" i="1"/>
  <c r="A1423" i="1"/>
  <c r="A1795" i="1"/>
  <c r="A1299" i="1"/>
  <c r="A1764" i="1"/>
  <c r="A1733" i="1"/>
  <c r="A1454" i="1"/>
  <c r="A1361" i="1"/>
  <c r="A1268" i="1"/>
  <c r="A1330" i="1"/>
  <c r="AP15" i="4"/>
  <c r="Y11" i="1" s="1"/>
  <c r="Y17" i="1" l="1"/>
  <c r="U11" i="1" s="1"/>
  <c r="A542" i="1"/>
  <c r="A852" i="1"/>
  <c r="A1100" i="1"/>
  <c r="A418" i="1"/>
  <c r="A1193" i="1"/>
  <c r="A449" i="1"/>
  <c r="A759" i="1"/>
  <c r="A1007" i="1"/>
  <c r="A325" i="1"/>
  <c r="A1162" i="1"/>
  <c r="A232" i="1"/>
  <c r="A604" i="1"/>
  <c r="A976" i="1"/>
  <c r="A263" i="1"/>
  <c r="A1069" i="1"/>
  <c r="A139" i="1"/>
  <c r="A511" i="1"/>
  <c r="A170" i="1"/>
  <c r="A77" i="1"/>
  <c r="A945" i="1"/>
  <c r="A108" i="1"/>
  <c r="A356" i="1"/>
  <c r="A1038" i="1"/>
  <c r="A1224" i="1"/>
  <c r="A914" i="1"/>
  <c r="A635" i="1"/>
  <c r="A294" i="1"/>
  <c r="A821" i="1"/>
  <c r="A728" i="1"/>
  <c r="A790" i="1"/>
  <c r="A1131" i="1"/>
  <c r="A201" i="1"/>
  <c r="A666" i="1"/>
  <c r="A480" i="1"/>
  <c r="A697" i="1"/>
  <c r="A883" i="1"/>
  <c r="A46" i="1"/>
  <c r="A573" i="1"/>
  <c r="A387" i="1"/>
  <c r="A1362" i="1"/>
  <c r="A1455" i="1"/>
  <c r="A1765" i="1"/>
  <c r="A1796" i="1"/>
  <c r="A1424" i="1"/>
  <c r="A1579" i="1"/>
  <c r="A1517" i="1"/>
  <c r="A1858" i="1"/>
  <c r="A1548" i="1"/>
  <c r="A1486" i="1"/>
  <c r="A1827" i="1"/>
  <c r="A1331" i="1"/>
  <c r="A1269" i="1"/>
  <c r="A1734" i="1"/>
  <c r="A1300" i="1"/>
  <c r="A1703" i="1"/>
  <c r="A1641" i="1"/>
  <c r="A1672" i="1"/>
  <c r="A1393" i="1"/>
  <c r="A1610" i="1"/>
  <c r="AZ15" i="4"/>
  <c r="AT15" i="4"/>
  <c r="AK15" i="4"/>
  <c r="AN15" i="1" l="1"/>
  <c r="AP14" i="1"/>
  <c r="AN13" i="1"/>
  <c r="AP16" i="1"/>
  <c r="AP15" i="1"/>
  <c r="AP12" i="1"/>
  <c r="U13" i="1"/>
  <c r="AN12" i="1"/>
  <c r="N12" i="1"/>
  <c r="N14" i="1"/>
  <c r="AP13" i="1"/>
  <c r="U12" i="1"/>
  <c r="N15" i="1"/>
  <c r="AN16" i="1"/>
  <c r="AN14" i="1"/>
  <c r="N16" i="1"/>
  <c r="U14" i="1"/>
  <c r="U15" i="1"/>
  <c r="N13" i="1"/>
  <c r="U16" i="1"/>
  <c r="N11" i="1"/>
  <c r="AP11" i="1"/>
  <c r="AN11" i="1"/>
  <c r="A388" i="1"/>
  <c r="A47" i="1"/>
  <c r="A698" i="1"/>
  <c r="A667" i="1"/>
  <c r="A1132" i="1"/>
  <c r="A729" i="1"/>
  <c r="A295" i="1"/>
  <c r="A915" i="1"/>
  <c r="A1039" i="1"/>
  <c r="A109" i="1"/>
  <c r="A78" i="1"/>
  <c r="A512" i="1"/>
  <c r="A1070" i="1"/>
  <c r="A977" i="1"/>
  <c r="A233" i="1"/>
  <c r="A326" i="1"/>
  <c r="A760" i="1"/>
  <c r="A1194" i="1"/>
  <c r="A1101" i="1"/>
  <c r="A543" i="1"/>
  <c r="A574" i="1"/>
  <c r="A884" i="1"/>
  <c r="A481" i="1"/>
  <c r="A202" i="1"/>
  <c r="A791" i="1"/>
  <c r="A822" i="1"/>
  <c r="A636" i="1"/>
  <c r="A1225" i="1"/>
  <c r="A357" i="1"/>
  <c r="A946" i="1"/>
  <c r="A171" i="1"/>
  <c r="A140" i="1"/>
  <c r="A264" i="1"/>
  <c r="A605" i="1"/>
  <c r="A1163" i="1"/>
  <c r="A1008" i="1"/>
  <c r="A450" i="1"/>
  <c r="A419" i="1"/>
  <c r="A853" i="1"/>
  <c r="A1394" i="1"/>
  <c r="A1642" i="1"/>
  <c r="A1704" i="1"/>
  <c r="A1735" i="1"/>
  <c r="A1487" i="1"/>
  <c r="A1549" i="1"/>
  <c r="A1518" i="1"/>
  <c r="A1580" i="1"/>
  <c r="A1425" i="1"/>
  <c r="A1797" i="1"/>
  <c r="A1766" i="1"/>
  <c r="A1456" i="1"/>
  <c r="A1611" i="1"/>
  <c r="A1673" i="1"/>
  <c r="A1301" i="1"/>
  <c r="A1270" i="1"/>
  <c r="A1332" i="1"/>
  <c r="A1828" i="1"/>
  <c r="A1859" i="1"/>
  <c r="A1363" i="1"/>
  <c r="AX15" i="4"/>
  <c r="AU15" i="4"/>
  <c r="AV15" i="4"/>
  <c r="AW15" i="4"/>
  <c r="AY15" i="4"/>
  <c r="X15" i="4"/>
  <c r="N17" i="1" l="1"/>
  <c r="P17" i="1" s="1"/>
  <c r="A854" i="1"/>
  <c r="A451" i="1"/>
  <c r="A1164" i="1"/>
  <c r="A265" i="1"/>
  <c r="A172" i="1"/>
  <c r="A358" i="1"/>
  <c r="A637" i="1"/>
  <c r="A792" i="1"/>
  <c r="A482" i="1"/>
  <c r="A575" i="1"/>
  <c r="A1102" i="1"/>
  <c r="A761" i="1"/>
  <c r="A234" i="1"/>
  <c r="A1071" i="1"/>
  <c r="A79" i="1"/>
  <c r="A80" i="1" s="1"/>
  <c r="A81" i="1" s="1"/>
  <c r="A82" i="1" s="1"/>
  <c r="A83" i="1" s="1"/>
  <c r="A84" i="1" s="1"/>
  <c r="A85" i="1" s="1"/>
  <c r="A1040" i="1"/>
  <c r="A296" i="1"/>
  <c r="A1133" i="1"/>
  <c r="A699" i="1"/>
  <c r="A389" i="1"/>
  <c r="A420" i="1"/>
  <c r="A1009" i="1"/>
  <c r="A606" i="1"/>
  <c r="A141" i="1"/>
  <c r="A947" i="1"/>
  <c r="A1226" i="1"/>
  <c r="A823" i="1"/>
  <c r="A203" i="1"/>
  <c r="A885" i="1"/>
  <c r="A544" i="1"/>
  <c r="A1195" i="1"/>
  <c r="A327" i="1"/>
  <c r="A978" i="1"/>
  <c r="A513" i="1"/>
  <c r="A110" i="1"/>
  <c r="A916" i="1"/>
  <c r="A730" i="1"/>
  <c r="A668" i="1"/>
  <c r="A48" i="1"/>
  <c r="A1860" i="1"/>
  <c r="A1829" i="1"/>
  <c r="A1271" i="1"/>
  <c r="A1674" i="1"/>
  <c r="A1767" i="1"/>
  <c r="A1581" i="1"/>
  <c r="A1550" i="1"/>
  <c r="A1364" i="1"/>
  <c r="A1333" i="1"/>
  <c r="A1302" i="1"/>
  <c r="A1612" i="1"/>
  <c r="A1457" i="1"/>
  <c r="A1798" i="1"/>
  <c r="A1426" i="1"/>
  <c r="A1519" i="1"/>
  <c r="A1488" i="1"/>
  <c r="A1736" i="1"/>
  <c r="A1705" i="1"/>
  <c r="A1643" i="1"/>
  <c r="A1395" i="1"/>
  <c r="AJ15" i="4"/>
  <c r="A49" i="1" l="1"/>
  <c r="A731" i="1"/>
  <c r="A111" i="1"/>
  <c r="A979" i="1"/>
  <c r="A1196" i="1"/>
  <c r="A886" i="1"/>
  <c r="A824" i="1"/>
  <c r="A948" i="1"/>
  <c r="A607" i="1"/>
  <c r="A421" i="1"/>
  <c r="A390" i="1"/>
  <c r="A1134" i="1"/>
  <c r="A1041" i="1"/>
  <c r="A1072" i="1"/>
  <c r="A762" i="1"/>
  <c r="A576" i="1"/>
  <c r="A793" i="1"/>
  <c r="A359" i="1"/>
  <c r="A266" i="1"/>
  <c r="A452" i="1"/>
  <c r="A669" i="1"/>
  <c r="A917" i="1"/>
  <c r="A514" i="1"/>
  <c r="A328" i="1"/>
  <c r="A545" i="1"/>
  <c r="A204" i="1"/>
  <c r="A1227" i="1"/>
  <c r="A142" i="1"/>
  <c r="A1010" i="1"/>
  <c r="A700" i="1"/>
  <c r="A297" i="1"/>
  <c r="A235" i="1"/>
  <c r="A1103" i="1"/>
  <c r="A483" i="1"/>
  <c r="A638" i="1"/>
  <c r="A173" i="1"/>
  <c r="A1165" i="1"/>
  <c r="A855" i="1"/>
  <c r="A1489" i="1"/>
  <c r="A1520" i="1"/>
  <c r="A1799" i="1"/>
  <c r="A1365" i="1"/>
  <c r="A1675" i="1"/>
  <c r="A1830" i="1"/>
  <c r="A1861" i="1"/>
  <c r="A1396" i="1"/>
  <c r="A1644" i="1"/>
  <c r="A1706" i="1"/>
  <c r="A1737" i="1"/>
  <c r="A1427" i="1"/>
  <c r="A1458" i="1"/>
  <c r="A1613" i="1"/>
  <c r="A1303" i="1"/>
  <c r="A1334" i="1"/>
  <c r="A1551" i="1"/>
  <c r="A1582" i="1"/>
  <c r="A1768" i="1"/>
  <c r="A1272" i="1"/>
  <c r="Y260" i="1" l="1"/>
  <c r="Y267" i="1"/>
  <c r="Y266" i="1"/>
  <c r="Y259" i="1"/>
  <c r="BG111" i="1"/>
  <c r="A1166" i="1"/>
  <c r="A639" i="1"/>
  <c r="A1104" i="1"/>
  <c r="A701" i="1"/>
  <c r="A1011" i="1"/>
  <c r="A1228" i="1"/>
  <c r="A546" i="1"/>
  <c r="A515" i="1"/>
  <c r="A670" i="1"/>
  <c r="A453" i="1"/>
  <c r="A360" i="1"/>
  <c r="A577" i="1"/>
  <c r="A1073" i="1"/>
  <c r="A1135" i="1"/>
  <c r="A422" i="1"/>
  <c r="A949" i="1"/>
  <c r="A887" i="1"/>
  <c r="A980" i="1"/>
  <c r="A732" i="1"/>
  <c r="A856" i="1"/>
  <c r="A174" i="1"/>
  <c r="A484" i="1"/>
  <c r="A236" i="1"/>
  <c r="A298" i="1"/>
  <c r="A143" i="1"/>
  <c r="A205" i="1"/>
  <c r="A329" i="1"/>
  <c r="A918" i="1"/>
  <c r="A267" i="1"/>
  <c r="A794" i="1"/>
  <c r="A763" i="1"/>
  <c r="A1042" i="1"/>
  <c r="A391" i="1"/>
  <c r="A608" i="1"/>
  <c r="A825" i="1"/>
  <c r="A1197" i="1"/>
  <c r="A112" i="1"/>
  <c r="A50" i="1"/>
  <c r="A1552" i="1"/>
  <c r="A1304" i="1"/>
  <c r="A1614" i="1"/>
  <c r="A1428" i="1"/>
  <c r="A1707" i="1"/>
  <c r="A1397" i="1"/>
  <c r="A1862" i="1"/>
  <c r="A1521" i="1"/>
  <c r="A1273" i="1"/>
  <c r="A1769" i="1"/>
  <c r="A1583" i="1"/>
  <c r="A1335" i="1"/>
  <c r="A1459" i="1"/>
  <c r="A1738" i="1"/>
  <c r="A1645" i="1"/>
  <c r="A1831" i="1"/>
  <c r="A1676" i="1"/>
  <c r="A1366" i="1"/>
  <c r="A1800" i="1"/>
  <c r="A1490" i="1"/>
  <c r="AQ15" i="4"/>
  <c r="M15" i="4" s="1"/>
  <c r="AL15" i="4" s="1"/>
  <c r="V11" i="1" s="1"/>
  <c r="Y265" i="1" l="1"/>
  <c r="N259" i="1" s="1"/>
  <c r="Y272" i="1"/>
  <c r="N266" i="1" s="1"/>
  <c r="BG104" i="1"/>
  <c r="A51" i="1"/>
  <c r="A1198" i="1"/>
  <c r="A609" i="1"/>
  <c r="A1043" i="1"/>
  <c r="A795" i="1"/>
  <c r="A330" i="1"/>
  <c r="A144" i="1"/>
  <c r="A299" i="1"/>
  <c r="A485" i="1"/>
  <c r="A857" i="1"/>
  <c r="A733" i="1"/>
  <c r="A888" i="1"/>
  <c r="A423" i="1"/>
  <c r="A1074" i="1"/>
  <c r="A361" i="1"/>
  <c r="A671" i="1"/>
  <c r="A547" i="1"/>
  <c r="A1012" i="1"/>
  <c r="A640" i="1"/>
  <c r="A113" i="1"/>
  <c r="A826" i="1"/>
  <c r="A392" i="1"/>
  <c r="A764" i="1"/>
  <c r="A268" i="1"/>
  <c r="A919" i="1"/>
  <c r="A206" i="1"/>
  <c r="A237" i="1"/>
  <c r="A175" i="1"/>
  <c r="A981" i="1"/>
  <c r="A950" i="1"/>
  <c r="A1136" i="1"/>
  <c r="A578" i="1"/>
  <c r="A454" i="1"/>
  <c r="A516" i="1"/>
  <c r="A1229" i="1"/>
  <c r="A702" i="1"/>
  <c r="A1105" i="1"/>
  <c r="A1167" i="1"/>
  <c r="A1801" i="1"/>
  <c r="A1367" i="1"/>
  <c r="A1677" i="1"/>
  <c r="A1832" i="1"/>
  <c r="A1646" i="1"/>
  <c r="A1584" i="1"/>
  <c r="A1274" i="1"/>
  <c r="A1522" i="1"/>
  <c r="A1708" i="1"/>
  <c r="A1429" i="1"/>
  <c r="A1305" i="1"/>
  <c r="A1491" i="1"/>
  <c r="A1739" i="1"/>
  <c r="A1460" i="1"/>
  <c r="A1336" i="1"/>
  <c r="A1770" i="1"/>
  <c r="A1863" i="1"/>
  <c r="A1398" i="1"/>
  <c r="A1615" i="1"/>
  <c r="A1553" i="1"/>
  <c r="U267" i="1" l="1"/>
  <c r="N267" i="1"/>
  <c r="AP267" i="1"/>
  <c r="AN266" i="1"/>
  <c r="AP260" i="1"/>
  <c r="N260" i="1"/>
  <c r="AN267" i="1"/>
  <c r="AP259" i="1"/>
  <c r="AN260" i="1"/>
  <c r="AN259" i="1"/>
  <c r="U260" i="1"/>
  <c r="U259" i="1"/>
  <c r="AW259" i="1"/>
  <c r="AU259" i="1"/>
  <c r="AP270" i="1"/>
  <c r="AN271" i="1"/>
  <c r="AN269" i="1"/>
  <c r="U271" i="1"/>
  <c r="N268" i="1"/>
  <c r="N271" i="1"/>
  <c r="AP268" i="1"/>
  <c r="AP269" i="1"/>
  <c r="N269" i="1"/>
  <c r="N270" i="1"/>
  <c r="AN270" i="1"/>
  <c r="U268" i="1"/>
  <c r="U270" i="1"/>
  <c r="AN268" i="1"/>
  <c r="U269" i="1"/>
  <c r="AP271" i="1"/>
  <c r="V267" i="1"/>
  <c r="V266" i="1"/>
  <c r="AP266" i="1"/>
  <c r="AP263" i="1"/>
  <c r="AN263" i="1"/>
  <c r="AP262" i="1"/>
  <c r="AN264" i="1"/>
  <c r="U263" i="1"/>
  <c r="AN261" i="1"/>
  <c r="N261" i="1"/>
  <c r="AP261" i="1"/>
  <c r="AN262" i="1"/>
  <c r="U261" i="1"/>
  <c r="N262" i="1"/>
  <c r="U262" i="1"/>
  <c r="U264" i="1"/>
  <c r="N263" i="1"/>
  <c r="N264" i="1"/>
  <c r="AP264" i="1"/>
  <c r="BA260" i="1"/>
  <c r="V259" i="1"/>
  <c r="V260" i="1"/>
  <c r="U266" i="1"/>
  <c r="A1168" i="1"/>
  <c r="A703" i="1"/>
  <c r="A517" i="1"/>
  <c r="A579" i="1"/>
  <c r="A951" i="1"/>
  <c r="A238" i="1"/>
  <c r="A207" i="1"/>
  <c r="A269" i="1"/>
  <c r="A393" i="1"/>
  <c r="A114" i="1"/>
  <c r="A548" i="1"/>
  <c r="A362" i="1"/>
  <c r="A424" i="1"/>
  <c r="A734" i="1"/>
  <c r="A486" i="1"/>
  <c r="A145" i="1"/>
  <c r="A796" i="1"/>
  <c r="A610" i="1"/>
  <c r="A52" i="1"/>
  <c r="A1106" i="1"/>
  <c r="A1230" i="1"/>
  <c r="A455" i="1"/>
  <c r="A1137" i="1"/>
  <c r="A982" i="1"/>
  <c r="A176" i="1"/>
  <c r="A920" i="1"/>
  <c r="A765" i="1"/>
  <c r="A827" i="1"/>
  <c r="A641" i="1"/>
  <c r="A1013" i="1"/>
  <c r="A672" i="1"/>
  <c r="A1075" i="1"/>
  <c r="A889" i="1"/>
  <c r="A858" i="1"/>
  <c r="A300" i="1"/>
  <c r="A331" i="1"/>
  <c r="A1044" i="1"/>
  <c r="A1199" i="1"/>
  <c r="A1554" i="1"/>
  <c r="A1864" i="1"/>
  <c r="A1771" i="1"/>
  <c r="A1461" i="1"/>
  <c r="A1492" i="1"/>
  <c r="A1430" i="1"/>
  <c r="A1523" i="1"/>
  <c r="A1275" i="1"/>
  <c r="A1647" i="1"/>
  <c r="A1678" i="1"/>
  <c r="A1368" i="1"/>
  <c r="A1802" i="1"/>
  <c r="A1616" i="1"/>
  <c r="A1399" i="1"/>
  <c r="A1337" i="1"/>
  <c r="A1740" i="1"/>
  <c r="A1306" i="1"/>
  <c r="A1709" i="1"/>
  <c r="A1585" i="1"/>
  <c r="A1833" i="1"/>
  <c r="AN272" i="1" l="1"/>
  <c r="N272" i="1"/>
  <c r="P272" i="1" s="1"/>
  <c r="N265" i="1"/>
  <c r="P265" i="1" s="1"/>
  <c r="AW266" i="1"/>
  <c r="BC260" i="1"/>
  <c r="AQ260" i="1"/>
  <c r="BC266" i="1"/>
  <c r="BC259" i="1"/>
  <c r="AO266" i="1"/>
  <c r="AU267" i="1"/>
  <c r="AW267" i="1"/>
  <c r="AS260" i="1"/>
  <c r="AU266" i="1"/>
  <c r="AS266" i="1"/>
  <c r="BA266" i="1"/>
  <c r="BC267" i="1"/>
  <c r="AO267" i="1"/>
  <c r="AO260" i="1"/>
  <c r="AY260" i="1"/>
  <c r="AY259" i="1"/>
  <c r="AS267" i="1"/>
  <c r="AQ266" i="1"/>
  <c r="AY267" i="1"/>
  <c r="AU260" i="1"/>
  <c r="AT260" i="1" s="1"/>
  <c r="AQ259" i="1"/>
  <c r="AY266" i="1"/>
  <c r="BA267" i="1"/>
  <c r="AS259" i="1"/>
  <c r="AO259" i="1"/>
  <c r="AQ267" i="1"/>
  <c r="AW260" i="1"/>
  <c r="AV260" i="1" s="1"/>
  <c r="BA259" i="1"/>
  <c r="A1045" i="1"/>
  <c r="A301" i="1"/>
  <c r="A890" i="1"/>
  <c r="A673" i="1"/>
  <c r="A642" i="1"/>
  <c r="A766" i="1"/>
  <c r="A177" i="1"/>
  <c r="A1138" i="1"/>
  <c r="A1231" i="1"/>
  <c r="A611" i="1"/>
  <c r="A146" i="1"/>
  <c r="A735" i="1"/>
  <c r="A363" i="1"/>
  <c r="A394" i="1"/>
  <c r="A208" i="1"/>
  <c r="A580" i="1"/>
  <c r="A704" i="1"/>
  <c r="A1200" i="1"/>
  <c r="A332" i="1"/>
  <c r="A859" i="1"/>
  <c r="A1076" i="1"/>
  <c r="A1014" i="1"/>
  <c r="A828" i="1"/>
  <c r="A921" i="1"/>
  <c r="A983" i="1"/>
  <c r="A456" i="1"/>
  <c r="A1107" i="1"/>
  <c r="A53" i="1"/>
  <c r="A797" i="1"/>
  <c r="A487" i="1"/>
  <c r="A425" i="1"/>
  <c r="A549" i="1"/>
  <c r="A115" i="1"/>
  <c r="A270" i="1"/>
  <c r="A239" i="1"/>
  <c r="A952" i="1"/>
  <c r="A518" i="1"/>
  <c r="A1169" i="1"/>
  <c r="A1834" i="1"/>
  <c r="A1307" i="1"/>
  <c r="A1741" i="1"/>
  <c r="A1400" i="1"/>
  <c r="A1803" i="1"/>
  <c r="A1679" i="1"/>
  <c r="A1524" i="1"/>
  <c r="A1431" i="1"/>
  <c r="A1772" i="1"/>
  <c r="A1865" i="1"/>
  <c r="A1586" i="1"/>
  <c r="A1710" i="1"/>
  <c r="A1338" i="1"/>
  <c r="A1617" i="1"/>
  <c r="A1369" i="1"/>
  <c r="A1648" i="1"/>
  <c r="A1276" i="1"/>
  <c r="A1493" i="1"/>
  <c r="A1462" i="1"/>
  <c r="A1555" i="1"/>
  <c r="AV267" i="1" l="1"/>
  <c r="AR267" i="1"/>
  <c r="AY272" i="1"/>
  <c r="AT259" i="1"/>
  <c r="AT262" i="1"/>
  <c r="AT264" i="1"/>
  <c r="AT261" i="1"/>
  <c r="AT263" i="1"/>
  <c r="AV262" i="1"/>
  <c r="AV261" i="1"/>
  <c r="AV264" i="1"/>
  <c r="AR260" i="1"/>
  <c r="AO272" i="1"/>
  <c r="AV269" i="1"/>
  <c r="AW272" i="1"/>
  <c r="AV268" i="1"/>
  <c r="AV270" i="1"/>
  <c r="AV266" i="1"/>
  <c r="AV271" i="1"/>
  <c r="AV259" i="1"/>
  <c r="AT266" i="1"/>
  <c r="AU272" i="1"/>
  <c r="AT270" i="1"/>
  <c r="AT268" i="1"/>
  <c r="AT269" i="1"/>
  <c r="AT271" i="1"/>
  <c r="AT267" i="1"/>
  <c r="AR264" i="1"/>
  <c r="AR262" i="1"/>
  <c r="AR263" i="1"/>
  <c r="AR259" i="1"/>
  <c r="AR261" i="1"/>
  <c r="AV263" i="1"/>
  <c r="AR269" i="1"/>
  <c r="AS272" i="1"/>
  <c r="AR268" i="1"/>
  <c r="AR270" i="1"/>
  <c r="AR266" i="1"/>
  <c r="AR271" i="1"/>
  <c r="A271" i="1"/>
  <c r="A54" i="1"/>
  <c r="A1015" i="1"/>
  <c r="A1201" i="1"/>
  <c r="A581" i="1"/>
  <c r="A209" i="1"/>
  <c r="A736" i="1"/>
  <c r="A612" i="1"/>
  <c r="A1232" i="1"/>
  <c r="A178" i="1"/>
  <c r="A643" i="1"/>
  <c r="A891" i="1"/>
  <c r="A1046" i="1"/>
  <c r="A1170" i="1"/>
  <c r="A488" i="1"/>
  <c r="A922" i="1"/>
  <c r="A519" i="1"/>
  <c r="A240" i="1"/>
  <c r="A116" i="1"/>
  <c r="A426" i="1"/>
  <c r="A798" i="1"/>
  <c r="A1108" i="1"/>
  <c r="A984" i="1"/>
  <c r="A829" i="1"/>
  <c r="A1077" i="1"/>
  <c r="A333" i="1"/>
  <c r="A953" i="1"/>
  <c r="A550" i="1"/>
  <c r="A457" i="1"/>
  <c r="A860" i="1"/>
  <c r="A705" i="1"/>
  <c r="A395" i="1"/>
  <c r="A364" i="1"/>
  <c r="A147" i="1"/>
  <c r="A1139" i="1"/>
  <c r="A767" i="1"/>
  <c r="A674" i="1"/>
  <c r="A302" i="1"/>
  <c r="A1463" i="1"/>
  <c r="A1494" i="1"/>
  <c r="A1277" i="1"/>
  <c r="A1649" i="1"/>
  <c r="A1587" i="1"/>
  <c r="A1432" i="1"/>
  <c r="A1525" i="1"/>
  <c r="A1804" i="1"/>
  <c r="A1401" i="1"/>
  <c r="A1742" i="1"/>
  <c r="A1835" i="1"/>
  <c r="A1556" i="1"/>
  <c r="A1370" i="1"/>
  <c r="A1618" i="1"/>
  <c r="A1339" i="1"/>
  <c r="A1711" i="1"/>
  <c r="A1866" i="1"/>
  <c r="A1773" i="1"/>
  <c r="A1680" i="1"/>
  <c r="A1308" i="1"/>
  <c r="AR272" i="1" l="1"/>
  <c r="AT272" i="1"/>
  <c r="AV272" i="1"/>
  <c r="A675" i="1"/>
  <c r="A1140" i="1"/>
  <c r="A148" i="1"/>
  <c r="A396" i="1"/>
  <c r="A861" i="1"/>
  <c r="A551" i="1"/>
  <c r="A1078" i="1"/>
  <c r="A985" i="1"/>
  <c r="A799" i="1"/>
  <c r="A117" i="1"/>
  <c r="A520" i="1"/>
  <c r="A489" i="1"/>
  <c r="A1047" i="1"/>
  <c r="A644" i="1"/>
  <c r="A1233" i="1"/>
  <c r="A737" i="1"/>
  <c r="A210" i="1"/>
  <c r="A1202" i="1"/>
  <c r="A55" i="1"/>
  <c r="A303" i="1"/>
  <c r="A768" i="1"/>
  <c r="A365" i="1"/>
  <c r="A706" i="1"/>
  <c r="A458" i="1"/>
  <c r="A954" i="1"/>
  <c r="A334" i="1"/>
  <c r="A830" i="1"/>
  <c r="A1109" i="1"/>
  <c r="A427" i="1"/>
  <c r="A241" i="1"/>
  <c r="A923" i="1"/>
  <c r="A1171" i="1"/>
  <c r="A892" i="1"/>
  <c r="A179" i="1"/>
  <c r="A613" i="1"/>
  <c r="A86" i="1"/>
  <c r="A582" i="1"/>
  <c r="A1016" i="1"/>
  <c r="A272" i="1"/>
  <c r="A1309" i="1"/>
  <c r="A1774" i="1"/>
  <c r="A1371" i="1"/>
  <c r="A1836" i="1"/>
  <c r="A1743" i="1"/>
  <c r="A1402" i="1"/>
  <c r="A1433" i="1"/>
  <c r="A1588" i="1"/>
  <c r="A1278" i="1"/>
  <c r="A1495" i="1"/>
  <c r="A1681" i="1"/>
  <c r="A1867" i="1"/>
  <c r="A1712" i="1"/>
  <c r="A1340" i="1"/>
  <c r="A1619" i="1"/>
  <c r="A1557" i="1"/>
  <c r="A1805" i="1"/>
  <c r="A1526" i="1"/>
  <c r="A1650" i="1"/>
  <c r="A1464" i="1"/>
  <c r="A273" i="1" l="1"/>
  <c r="A583" i="1"/>
  <c r="A614" i="1"/>
  <c r="A893" i="1"/>
  <c r="A924" i="1"/>
  <c r="A428" i="1"/>
  <c r="A831" i="1"/>
  <c r="A955" i="1"/>
  <c r="A707" i="1"/>
  <c r="A304" i="1"/>
  <c r="A56" i="1"/>
  <c r="A211" i="1"/>
  <c r="A1234" i="1"/>
  <c r="A1048" i="1"/>
  <c r="A521" i="1"/>
  <c r="A800" i="1"/>
  <c r="A1079" i="1"/>
  <c r="A552" i="1"/>
  <c r="A397" i="1"/>
  <c r="A1141" i="1"/>
  <c r="A1017" i="1"/>
  <c r="A87" i="1"/>
  <c r="A180" i="1"/>
  <c r="A1172" i="1"/>
  <c r="A242" i="1"/>
  <c r="A1110" i="1"/>
  <c r="A335" i="1"/>
  <c r="A459" i="1"/>
  <c r="A366" i="1"/>
  <c r="A769" i="1"/>
  <c r="A1203" i="1"/>
  <c r="A738" i="1"/>
  <c r="A645" i="1"/>
  <c r="A490" i="1"/>
  <c r="A118" i="1"/>
  <c r="A986" i="1"/>
  <c r="A862" i="1"/>
  <c r="A149" i="1"/>
  <c r="A676" i="1"/>
  <c r="A1806" i="1"/>
  <c r="A1558" i="1"/>
  <c r="A1620" i="1"/>
  <c r="A1713" i="1"/>
  <c r="A1868" i="1"/>
  <c r="A1279" i="1"/>
  <c r="A1589" i="1"/>
  <c r="A1744" i="1"/>
  <c r="A1837" i="1"/>
  <c r="A1372" i="1"/>
  <c r="A1310" i="1"/>
  <c r="A1465" i="1"/>
  <c r="A1651" i="1"/>
  <c r="A1527" i="1"/>
  <c r="A1341" i="1"/>
  <c r="A1682" i="1"/>
  <c r="A1496" i="1"/>
  <c r="A1434" i="1"/>
  <c r="A1403" i="1"/>
  <c r="A1775" i="1"/>
  <c r="A925" i="1" l="1"/>
  <c r="A274" i="1"/>
  <c r="A863" i="1"/>
  <c r="A987" i="1"/>
  <c r="A1204" i="1"/>
  <c r="A367" i="1"/>
  <c r="A243" i="1"/>
  <c r="A1018" i="1"/>
  <c r="A1080" i="1"/>
  <c r="A1049" i="1"/>
  <c r="A1235" i="1"/>
  <c r="A305" i="1"/>
  <c r="A832" i="1"/>
  <c r="A429" i="1"/>
  <c r="A584" i="1"/>
  <c r="A119" i="1"/>
  <c r="A150" i="1"/>
  <c r="A739" i="1"/>
  <c r="A770" i="1"/>
  <c r="A336" i="1"/>
  <c r="A1111" i="1"/>
  <c r="A88" i="1"/>
  <c r="A553" i="1"/>
  <c r="A522" i="1"/>
  <c r="A615" i="1"/>
  <c r="A491" i="1"/>
  <c r="A460" i="1"/>
  <c r="A1173" i="1"/>
  <c r="A1142" i="1"/>
  <c r="A801" i="1"/>
  <c r="A708" i="1"/>
  <c r="A677" i="1"/>
  <c r="A646" i="1"/>
  <c r="A181" i="1"/>
  <c r="A398" i="1"/>
  <c r="A212" i="1"/>
  <c r="A57" i="1"/>
  <c r="A956" i="1"/>
  <c r="A894" i="1"/>
  <c r="A1435" i="1"/>
  <c r="A1497" i="1"/>
  <c r="A1342" i="1"/>
  <c r="A1652" i="1"/>
  <c r="A1311" i="1"/>
  <c r="A1745" i="1"/>
  <c r="A1869" i="1"/>
  <c r="A1621" i="1"/>
  <c r="A1559" i="1"/>
  <c r="A1807" i="1"/>
  <c r="A1776" i="1"/>
  <c r="A1404" i="1"/>
  <c r="A1683" i="1"/>
  <c r="A1528" i="1"/>
  <c r="A1466" i="1"/>
  <c r="A1373" i="1"/>
  <c r="A1838" i="1"/>
  <c r="A1590" i="1"/>
  <c r="A1280" i="1"/>
  <c r="A1714" i="1"/>
  <c r="A492" i="1" l="1"/>
  <c r="A554" i="1"/>
  <c r="A585" i="1"/>
  <c r="A864" i="1"/>
  <c r="A957" i="1"/>
  <c r="A58" i="1"/>
  <c r="A399" i="1"/>
  <c r="A182" i="1"/>
  <c r="A802" i="1"/>
  <c r="A616" i="1"/>
  <c r="A1112" i="1"/>
  <c r="A337" i="1"/>
  <c r="A151" i="1"/>
  <c r="A120" i="1"/>
  <c r="A306" i="1"/>
  <c r="A988" i="1"/>
  <c r="A926" i="1"/>
  <c r="A895" i="1"/>
  <c r="A709" i="1"/>
  <c r="A1174" i="1"/>
  <c r="A461" i="1"/>
  <c r="A740" i="1"/>
  <c r="A833" i="1"/>
  <c r="A1050" i="1"/>
  <c r="A1081" i="1"/>
  <c r="A368" i="1"/>
  <c r="A1205" i="1"/>
  <c r="A275" i="1"/>
  <c r="A1143" i="1"/>
  <c r="A523" i="1"/>
  <c r="A1236" i="1"/>
  <c r="A1019" i="1"/>
  <c r="A213" i="1"/>
  <c r="A647" i="1"/>
  <c r="A678" i="1"/>
  <c r="A89" i="1"/>
  <c r="A771" i="1"/>
  <c r="A430" i="1"/>
  <c r="A244" i="1"/>
  <c r="A245" i="1" l="1"/>
  <c r="A772" i="1"/>
  <c r="A648" i="1"/>
  <c r="A1020" i="1"/>
  <c r="A524" i="1"/>
  <c r="A276" i="1"/>
  <c r="A369" i="1"/>
  <c r="A1051" i="1"/>
  <c r="A741" i="1"/>
  <c r="A1175" i="1"/>
  <c r="A896" i="1"/>
  <c r="A989" i="1"/>
  <c r="A121" i="1"/>
  <c r="A338" i="1"/>
  <c r="A617" i="1"/>
  <c r="A183" i="1"/>
  <c r="A59" i="1"/>
  <c r="A865" i="1"/>
  <c r="A555" i="1"/>
  <c r="A431" i="1"/>
  <c r="A90" i="1"/>
  <c r="A679" i="1"/>
  <c r="A214" i="1"/>
  <c r="A1237" i="1"/>
  <c r="A1144" i="1"/>
  <c r="A1206" i="1"/>
  <c r="A1082" i="1"/>
  <c r="A834" i="1"/>
  <c r="A462" i="1"/>
  <c r="A710" i="1"/>
  <c r="A927" i="1"/>
  <c r="A307" i="1"/>
  <c r="A152" i="1"/>
  <c r="A1113" i="1"/>
  <c r="A803" i="1"/>
  <c r="A400" i="1"/>
  <c r="A958" i="1"/>
  <c r="A586" i="1"/>
  <c r="A493" i="1"/>
  <c r="A122" i="1" l="1"/>
  <c r="A742" i="1"/>
  <c r="A959" i="1"/>
  <c r="A153" i="1"/>
  <c r="A463" i="1"/>
  <c r="A1145" i="1"/>
  <c r="A91" i="1"/>
  <c r="A60" i="1"/>
  <c r="A339" i="1"/>
  <c r="A1176" i="1"/>
  <c r="A277" i="1"/>
  <c r="A525" i="1"/>
  <c r="A587" i="1"/>
  <c r="A1114" i="1"/>
  <c r="A711" i="1"/>
  <c r="A1207" i="1"/>
  <c r="A680" i="1"/>
  <c r="A866" i="1"/>
  <c r="A618" i="1"/>
  <c r="A897" i="1"/>
  <c r="A370" i="1"/>
  <c r="A371" i="1" s="1"/>
  <c r="A372" i="1" s="1"/>
  <c r="A373" i="1" s="1"/>
  <c r="A374" i="1" s="1"/>
  <c r="A375" i="1" s="1"/>
  <c r="A376" i="1" s="1"/>
  <c r="A377" i="1" s="1"/>
  <c r="A378" i="1" s="1"/>
  <c r="A379" i="1" s="1"/>
  <c r="A649" i="1"/>
  <c r="A246" i="1"/>
  <c r="A401" i="1"/>
  <c r="A308" i="1"/>
  <c r="A835" i="1"/>
  <c r="A1238" i="1"/>
  <c r="A432" i="1"/>
  <c r="A494" i="1"/>
  <c r="A804" i="1"/>
  <c r="A928" i="1"/>
  <c r="A1083" i="1"/>
  <c r="A215" i="1"/>
  <c r="A556" i="1"/>
  <c r="A184" i="1"/>
  <c r="A990" i="1"/>
  <c r="A1052" i="1"/>
  <c r="A1021" i="1"/>
  <c r="A773" i="1"/>
  <c r="A1053" i="1" l="1"/>
  <c r="A216" i="1"/>
  <c r="A495" i="1"/>
  <c r="A1239" i="1"/>
  <c r="A247" i="1"/>
  <c r="A619" i="1"/>
  <c r="A712" i="1"/>
  <c r="A526" i="1"/>
  <c r="A1177" i="1"/>
  <c r="A1146" i="1"/>
  <c r="A1022" i="1"/>
  <c r="A557" i="1"/>
  <c r="A805" i="1"/>
  <c r="A433" i="1"/>
  <c r="A402" i="1"/>
  <c r="A898" i="1"/>
  <c r="A1208" i="1"/>
  <c r="A278" i="1"/>
  <c r="A92" i="1"/>
  <c r="A960" i="1"/>
  <c r="A774" i="1"/>
  <c r="A185" i="1"/>
  <c r="A929" i="1"/>
  <c r="A309" i="1"/>
  <c r="A681" i="1"/>
  <c r="A588" i="1"/>
  <c r="A61" i="1"/>
  <c r="A154" i="1"/>
  <c r="A123" i="1"/>
  <c r="A991" i="1"/>
  <c r="A1084" i="1"/>
  <c r="A836" i="1"/>
  <c r="A650" i="1"/>
  <c r="A867" i="1"/>
  <c r="A1115" i="1"/>
  <c r="A340" i="1"/>
  <c r="A464" i="1"/>
  <c r="A743" i="1"/>
  <c r="B12" i="1"/>
  <c r="B13" i="1" s="1"/>
  <c r="B14" i="1" s="1"/>
  <c r="B15" i="1" s="1"/>
  <c r="B16" i="1" s="1"/>
  <c r="A465" i="1" l="1"/>
  <c r="A341" i="1"/>
  <c r="A589" i="1"/>
  <c r="A930" i="1"/>
  <c r="A961" i="1"/>
  <c r="A93" i="1"/>
  <c r="A403" i="1"/>
  <c r="A713" i="1"/>
  <c r="A496" i="1"/>
  <c r="A1116" i="1"/>
  <c r="A837" i="1"/>
  <c r="A1085" i="1"/>
  <c r="A62" i="1"/>
  <c r="A310" i="1"/>
  <c r="A775" i="1"/>
  <c r="A1209" i="1"/>
  <c r="A899" i="1"/>
  <c r="A558" i="1"/>
  <c r="A527" i="1"/>
  <c r="A248" i="1"/>
  <c r="A1240" i="1"/>
  <c r="A744" i="1"/>
  <c r="A155" i="1"/>
  <c r="A186" i="1"/>
  <c r="A806" i="1"/>
  <c r="A1178" i="1"/>
  <c r="A1054" i="1"/>
  <c r="A868" i="1"/>
  <c r="A651" i="1"/>
  <c r="A992" i="1"/>
  <c r="A124" i="1"/>
  <c r="A682" i="1"/>
  <c r="A279" i="1"/>
  <c r="A434" i="1"/>
  <c r="A1023" i="1"/>
  <c r="A1147" i="1"/>
  <c r="A620" i="1"/>
  <c r="A217" i="1"/>
  <c r="B18" i="1"/>
  <c r="B19" i="1" s="1"/>
  <c r="B20" i="1" s="1"/>
  <c r="B21" i="1" s="1"/>
  <c r="B22" i="1" s="1"/>
  <c r="B23" i="1" s="1"/>
  <c r="E28" i="1" s="1"/>
  <c r="AD28" i="1" l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E29" i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A621" i="1"/>
  <c r="A1148" i="1"/>
  <c r="A280" i="1"/>
  <c r="A683" i="1"/>
  <c r="A249" i="1"/>
  <c r="A528" i="1"/>
  <c r="A776" i="1"/>
  <c r="A838" i="1"/>
  <c r="A590" i="1"/>
  <c r="A218" i="1"/>
  <c r="A435" i="1"/>
  <c r="A993" i="1"/>
  <c r="A652" i="1"/>
  <c r="A1179" i="1"/>
  <c r="A807" i="1"/>
  <c r="A156" i="1"/>
  <c r="A900" i="1"/>
  <c r="A1210" i="1"/>
  <c r="A1086" i="1"/>
  <c r="A497" i="1"/>
  <c r="A714" i="1"/>
  <c r="A931" i="1"/>
  <c r="A466" i="1"/>
  <c r="A125" i="1"/>
  <c r="A1055" i="1"/>
  <c r="A1241" i="1"/>
  <c r="A311" i="1"/>
  <c r="A63" i="1"/>
  <c r="A94" i="1"/>
  <c r="A962" i="1"/>
  <c r="A342" i="1"/>
  <c r="A1024" i="1"/>
  <c r="A869" i="1"/>
  <c r="A187" i="1"/>
  <c r="A745" i="1"/>
  <c r="A559" i="1"/>
  <c r="A1117" i="1"/>
  <c r="A404" i="1"/>
  <c r="B42" i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E59" i="1" s="1"/>
  <c r="AD59" i="1" l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A560" i="1"/>
  <c r="A870" i="1"/>
  <c r="A1025" i="1"/>
  <c r="A95" i="1"/>
  <c r="A64" i="1"/>
  <c r="A715" i="1"/>
  <c r="A901" i="1"/>
  <c r="A436" i="1"/>
  <c r="A777" i="1"/>
  <c r="A684" i="1"/>
  <c r="A405" i="1"/>
  <c r="A1118" i="1"/>
  <c r="A467" i="1"/>
  <c r="A932" i="1"/>
  <c r="A1211" i="1"/>
  <c r="A157" i="1"/>
  <c r="A653" i="1"/>
  <c r="A994" i="1"/>
  <c r="A591" i="1"/>
  <c r="A839" i="1"/>
  <c r="A188" i="1"/>
  <c r="A343" i="1"/>
  <c r="A963" i="1"/>
  <c r="A1242" i="1"/>
  <c r="A126" i="1"/>
  <c r="A1087" i="1"/>
  <c r="A219" i="1"/>
  <c r="A250" i="1"/>
  <c r="A1149" i="1"/>
  <c r="A622" i="1"/>
  <c r="A746" i="1"/>
  <c r="A312" i="1"/>
  <c r="A1056" i="1"/>
  <c r="A498" i="1"/>
  <c r="A808" i="1"/>
  <c r="A1180" i="1"/>
  <c r="A529" i="1"/>
  <c r="A281" i="1"/>
  <c r="B73" i="1"/>
  <c r="B74" i="1" s="1"/>
  <c r="B75" i="1" s="1"/>
  <c r="B76" i="1" s="1"/>
  <c r="B77" i="1" s="1"/>
  <c r="B78" i="1" s="1"/>
  <c r="B80" i="1" s="1"/>
  <c r="B81" i="1" s="1"/>
  <c r="B82" i="1" s="1"/>
  <c r="B83" i="1" s="1"/>
  <c r="B84" i="1" s="1"/>
  <c r="B85" i="1" s="1"/>
  <c r="E90" i="1" s="1"/>
  <c r="AD90" i="1" l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A530" i="1"/>
  <c r="A1181" i="1"/>
  <c r="A1182" i="1" s="1"/>
  <c r="A1183" i="1" s="1"/>
  <c r="A1184" i="1" s="1"/>
  <c r="A1185" i="1" s="1"/>
  <c r="A1186" i="1" s="1"/>
  <c r="A1187" i="1" s="1"/>
  <c r="A747" i="1"/>
  <c r="A1088" i="1"/>
  <c r="A964" i="1"/>
  <c r="A995" i="1"/>
  <c r="A1119" i="1"/>
  <c r="A902" i="1"/>
  <c r="A96" i="1"/>
  <c r="A313" i="1"/>
  <c r="A251" i="1"/>
  <c r="A220" i="1"/>
  <c r="A592" i="1"/>
  <c r="A158" i="1"/>
  <c r="A1212" i="1"/>
  <c r="A778" i="1"/>
  <c r="A437" i="1"/>
  <c r="A561" i="1"/>
  <c r="A282" i="1"/>
  <c r="A1057" i="1"/>
  <c r="A127" i="1"/>
  <c r="A1243" i="1"/>
  <c r="A840" i="1"/>
  <c r="A654" i="1"/>
  <c r="A65" i="1"/>
  <c r="A871" i="1"/>
  <c r="A809" i="1"/>
  <c r="A499" i="1"/>
  <c r="A623" i="1"/>
  <c r="A1150" i="1"/>
  <c r="A344" i="1"/>
  <c r="A189" i="1"/>
  <c r="A933" i="1"/>
  <c r="A468" i="1"/>
  <c r="A406" i="1"/>
  <c r="A685" i="1"/>
  <c r="A716" i="1"/>
  <c r="A1026" i="1"/>
  <c r="B104" i="1"/>
  <c r="B105" i="1" s="1"/>
  <c r="B106" i="1" s="1"/>
  <c r="B107" i="1" s="1"/>
  <c r="B108" i="1" s="1"/>
  <c r="B109" i="1" s="1"/>
  <c r="B111" i="1" s="1"/>
  <c r="B112" i="1" s="1"/>
  <c r="B113" i="1" s="1"/>
  <c r="B114" i="1" s="1"/>
  <c r="B115" i="1" s="1"/>
  <c r="B116" i="1" s="1"/>
  <c r="E121" i="1" s="1"/>
  <c r="AD121" i="1" l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A190" i="1"/>
  <c r="A66" i="1"/>
  <c r="A1244" i="1"/>
  <c r="A283" i="1"/>
  <c r="A779" i="1"/>
  <c r="A1213" i="1"/>
  <c r="A1120" i="1"/>
  <c r="A1089" i="1"/>
  <c r="A748" i="1"/>
  <c r="A1027" i="1"/>
  <c r="A717" i="1"/>
  <c r="A934" i="1"/>
  <c r="A1151" i="1"/>
  <c r="A624" i="1"/>
  <c r="A872" i="1"/>
  <c r="A841" i="1"/>
  <c r="A221" i="1"/>
  <c r="A903" i="1"/>
  <c r="A965" i="1"/>
  <c r="A469" i="1"/>
  <c r="A345" i="1"/>
  <c r="A655" i="1"/>
  <c r="A438" i="1"/>
  <c r="A593" i="1"/>
  <c r="A314" i="1"/>
  <c r="A97" i="1"/>
  <c r="A996" i="1"/>
  <c r="A531" i="1"/>
  <c r="A686" i="1"/>
  <c r="A407" i="1"/>
  <c r="A500" i="1"/>
  <c r="A810" i="1"/>
  <c r="A128" i="1"/>
  <c r="A1058" i="1"/>
  <c r="A562" i="1"/>
  <c r="A159" i="1"/>
  <c r="A252" i="1"/>
  <c r="B135" i="1"/>
  <c r="B136" i="1" s="1"/>
  <c r="B137" i="1" s="1"/>
  <c r="B138" i="1" s="1"/>
  <c r="B139" i="1" s="1"/>
  <c r="B140" i="1" s="1"/>
  <c r="B142" i="1" s="1"/>
  <c r="B143" i="1" s="1"/>
  <c r="B144" i="1" s="1"/>
  <c r="B145" i="1" s="1"/>
  <c r="B146" i="1" s="1"/>
  <c r="B147" i="1" s="1"/>
  <c r="E152" i="1" s="1"/>
  <c r="AD152" i="1" l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E153" i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A563" i="1"/>
  <c r="A811" i="1"/>
  <c r="A687" i="1"/>
  <c r="A470" i="1"/>
  <c r="A966" i="1"/>
  <c r="A842" i="1"/>
  <c r="A873" i="1"/>
  <c r="A718" i="1"/>
  <c r="A1121" i="1"/>
  <c r="A284" i="1"/>
  <c r="A1245" i="1"/>
  <c r="A160" i="1"/>
  <c r="A408" i="1"/>
  <c r="A997" i="1"/>
  <c r="A98" i="1"/>
  <c r="A439" i="1"/>
  <c r="A346" i="1"/>
  <c r="A935" i="1"/>
  <c r="A1090" i="1"/>
  <c r="A253" i="1"/>
  <c r="A129" i="1"/>
  <c r="A501" i="1"/>
  <c r="A656" i="1"/>
  <c r="A222" i="1"/>
  <c r="A1152" i="1"/>
  <c r="A1028" i="1"/>
  <c r="A749" i="1"/>
  <c r="A1214" i="1"/>
  <c r="A780" i="1"/>
  <c r="A191" i="1"/>
  <c r="A1059" i="1"/>
  <c r="A532" i="1"/>
  <c r="A315" i="1"/>
  <c r="A594" i="1"/>
  <c r="A904" i="1"/>
  <c r="A625" i="1"/>
  <c r="A67" i="1"/>
  <c r="C15" i="4"/>
  <c r="BC15" i="4"/>
  <c r="AS11" i="1" s="1"/>
  <c r="BH15" i="4"/>
  <c r="BC11" i="1" s="1"/>
  <c r="BF15" i="4"/>
  <c r="AY11" i="1" s="1"/>
  <c r="BA15" i="4"/>
  <c r="AO11" i="1" s="1"/>
  <c r="BG15" i="4"/>
  <c r="BI15" i="4"/>
  <c r="BA11" i="1" s="1"/>
  <c r="BD15" i="4"/>
  <c r="AU11" i="1" s="1"/>
  <c r="BE15" i="4"/>
  <c r="AW11" i="1" s="1"/>
  <c r="B166" i="1"/>
  <c r="B167" i="1" s="1"/>
  <c r="B168" i="1" s="1"/>
  <c r="B169" i="1" s="1"/>
  <c r="B170" i="1" s="1"/>
  <c r="B171" i="1" s="1"/>
  <c r="B173" i="1" s="1"/>
  <c r="B174" i="1" s="1"/>
  <c r="B175" i="1" s="1"/>
  <c r="B176" i="1" s="1"/>
  <c r="B177" i="1" s="1"/>
  <c r="B178" i="1" s="1"/>
  <c r="E183" i="1" s="1"/>
  <c r="BB15" i="4"/>
  <c r="AQ11" i="1" s="1"/>
  <c r="I15" i="4"/>
  <c r="J15" i="4"/>
  <c r="E15" i="4"/>
  <c r="H15" i="4"/>
  <c r="F15" i="4"/>
  <c r="D15" i="4"/>
  <c r="G15" i="4"/>
  <c r="K15" i="4"/>
  <c r="AV14" i="1" l="1"/>
  <c r="AV12" i="1"/>
  <c r="AV13" i="1"/>
  <c r="AV16" i="1"/>
  <c r="AV15" i="1"/>
  <c r="AV11" i="1"/>
  <c r="AT16" i="1"/>
  <c r="AT11" i="1"/>
  <c r="AT15" i="1"/>
  <c r="AT14" i="1"/>
  <c r="AT12" i="1"/>
  <c r="AT13" i="1"/>
  <c r="AR14" i="1"/>
  <c r="AR13" i="1"/>
  <c r="AR15" i="1"/>
  <c r="AR16" i="1"/>
  <c r="AR12" i="1"/>
  <c r="AR11" i="1"/>
  <c r="AD183" i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E184" i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A626" i="1"/>
  <c r="A905" i="1"/>
  <c r="A1060" i="1"/>
  <c r="A1215" i="1"/>
  <c r="A223" i="1"/>
  <c r="A254" i="1"/>
  <c r="A440" i="1"/>
  <c r="A409" i="1"/>
  <c r="A843" i="1"/>
  <c r="A967" i="1"/>
  <c r="A688" i="1"/>
  <c r="A68" i="1"/>
  <c r="A316" i="1"/>
  <c r="A533" i="1"/>
  <c r="A130" i="1"/>
  <c r="A347" i="1"/>
  <c r="A1246" i="1"/>
  <c r="A285" i="1"/>
  <c r="A192" i="1"/>
  <c r="A781" i="1"/>
  <c r="A1153" i="1"/>
  <c r="A502" i="1"/>
  <c r="A1091" i="1"/>
  <c r="A936" i="1"/>
  <c r="A998" i="1"/>
  <c r="A874" i="1"/>
  <c r="A471" i="1"/>
  <c r="A564" i="1"/>
  <c r="A595" i="1"/>
  <c r="A750" i="1"/>
  <c r="A1029" i="1"/>
  <c r="A657" i="1"/>
  <c r="A99" i="1"/>
  <c r="A161" i="1"/>
  <c r="A1122" i="1"/>
  <c r="A719" i="1"/>
  <c r="A812" i="1"/>
  <c r="B197" i="1"/>
  <c r="B198" i="1" s="1"/>
  <c r="B199" i="1" s="1"/>
  <c r="B200" i="1" s="1"/>
  <c r="B201" i="1" s="1"/>
  <c r="B202" i="1" s="1"/>
  <c r="B204" i="1" s="1"/>
  <c r="B205" i="1" s="1"/>
  <c r="B206" i="1" s="1"/>
  <c r="B207" i="1" s="1"/>
  <c r="B208" i="1" s="1"/>
  <c r="B209" i="1" s="1"/>
  <c r="E214" i="1" s="1"/>
  <c r="L15" i="4"/>
  <c r="AD214" i="1" l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E215" i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A162" i="1"/>
  <c r="A658" i="1"/>
  <c r="A565" i="1"/>
  <c r="A999" i="1"/>
  <c r="A1154" i="1"/>
  <c r="A286" i="1"/>
  <c r="A131" i="1"/>
  <c r="A689" i="1"/>
  <c r="A410" i="1"/>
  <c r="A441" i="1"/>
  <c r="A1061" i="1"/>
  <c r="A720" i="1"/>
  <c r="A1123" i="1"/>
  <c r="A751" i="1"/>
  <c r="A596" i="1"/>
  <c r="A503" i="1"/>
  <c r="A348" i="1"/>
  <c r="A317" i="1"/>
  <c r="A69" i="1"/>
  <c r="A1216" i="1"/>
  <c r="A100" i="1"/>
  <c r="A472" i="1"/>
  <c r="A875" i="1"/>
  <c r="A1247" i="1"/>
  <c r="A534" i="1"/>
  <c r="A968" i="1"/>
  <c r="A844" i="1"/>
  <c r="A224" i="1"/>
  <c r="A627" i="1"/>
  <c r="A813" i="1"/>
  <c r="A1030" i="1"/>
  <c r="A937" i="1"/>
  <c r="A1092" i="1"/>
  <c r="A782" i="1"/>
  <c r="A193" i="1"/>
  <c r="A255" i="1"/>
  <c r="A906" i="1"/>
  <c r="B228" i="1"/>
  <c r="B229" i="1" s="1"/>
  <c r="B230" i="1" s="1"/>
  <c r="B231" i="1" s="1"/>
  <c r="B232" i="1" s="1"/>
  <c r="B233" i="1" s="1"/>
  <c r="B235" i="1" s="1"/>
  <c r="B236" i="1" s="1"/>
  <c r="B237" i="1" s="1"/>
  <c r="B238" i="1" s="1"/>
  <c r="B239" i="1" s="1"/>
  <c r="B240" i="1" s="1"/>
  <c r="E245" i="1" s="1"/>
  <c r="E246" i="1" l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AD245" i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907" i="1"/>
  <c r="A814" i="1"/>
  <c r="A225" i="1"/>
  <c r="A845" i="1"/>
  <c r="A1248" i="1"/>
  <c r="A473" i="1"/>
  <c r="A70" i="1"/>
  <c r="A597" i="1"/>
  <c r="A721" i="1"/>
  <c r="A1062" i="1"/>
  <c r="A690" i="1"/>
  <c r="A1000" i="1"/>
  <c r="A783" i="1"/>
  <c r="A1093" i="1"/>
  <c r="A628" i="1"/>
  <c r="A876" i="1"/>
  <c r="A1217" i="1"/>
  <c r="A535" i="1"/>
  <c r="A504" i="1"/>
  <c r="A1124" i="1"/>
  <c r="A442" i="1"/>
  <c r="A411" i="1"/>
  <c r="A1155" i="1"/>
  <c r="A659" i="1"/>
  <c r="A163" i="1"/>
  <c r="A256" i="1"/>
  <c r="A194" i="1"/>
  <c r="A938" i="1"/>
  <c r="A1031" i="1"/>
  <c r="A969" i="1"/>
  <c r="A101" i="1"/>
  <c r="A318" i="1"/>
  <c r="A349" i="1"/>
  <c r="A752" i="1"/>
  <c r="A132" i="1"/>
  <c r="A287" i="1"/>
  <c r="A566" i="1"/>
  <c r="B259" i="1"/>
  <c r="B260" i="1" s="1"/>
  <c r="B261" i="1" s="1"/>
  <c r="B262" i="1" s="1"/>
  <c r="B263" i="1" s="1"/>
  <c r="B264" i="1" s="1"/>
  <c r="B266" i="1" s="1"/>
  <c r="B267" i="1" s="1"/>
  <c r="B268" i="1" s="1"/>
  <c r="B269" i="1" s="1"/>
  <c r="B270" i="1" s="1"/>
  <c r="B271" i="1" s="1"/>
  <c r="E276" i="1" s="1"/>
  <c r="E277" i="1" l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AD276" i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288" i="1"/>
  <c r="A753" i="1"/>
  <c r="A350" i="1"/>
  <c r="A939" i="1"/>
  <c r="A195" i="1"/>
  <c r="A1156" i="1"/>
  <c r="A505" i="1"/>
  <c r="A1218" i="1"/>
  <c r="A877" i="1"/>
  <c r="A784" i="1"/>
  <c r="A1001" i="1"/>
  <c r="A908" i="1"/>
  <c r="A567" i="1"/>
  <c r="A102" i="1"/>
  <c r="A660" i="1"/>
  <c r="A1125" i="1"/>
  <c r="A1063" i="1"/>
  <c r="A722" i="1"/>
  <c r="A474" i="1"/>
  <c r="A1249" i="1"/>
  <c r="A226" i="1"/>
  <c r="A815" i="1"/>
  <c r="A319" i="1"/>
  <c r="A1032" i="1"/>
  <c r="A164" i="1"/>
  <c r="A443" i="1"/>
  <c r="A1094" i="1"/>
  <c r="A133" i="1"/>
  <c r="A970" i="1"/>
  <c r="A257" i="1"/>
  <c r="A412" i="1"/>
  <c r="A536" i="1"/>
  <c r="A629" i="1"/>
  <c r="A691" i="1"/>
  <c r="A598" i="1"/>
  <c r="A71" i="1"/>
  <c r="A846" i="1"/>
  <c r="B290" i="1"/>
  <c r="B291" i="1" s="1"/>
  <c r="B292" i="1" s="1"/>
  <c r="B293" i="1" s="1"/>
  <c r="B294" i="1" s="1"/>
  <c r="B295" i="1" s="1"/>
  <c r="B297" i="1" s="1"/>
  <c r="B298" i="1" s="1"/>
  <c r="B299" i="1" s="1"/>
  <c r="B300" i="1" s="1"/>
  <c r="B301" i="1" s="1"/>
  <c r="B302" i="1" s="1"/>
  <c r="E307" i="1" s="1"/>
  <c r="AD307" i="1" l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E308" i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B321" i="1"/>
  <c r="B322" i="1" s="1"/>
  <c r="B323" i="1" s="1"/>
  <c r="B324" i="1" s="1"/>
  <c r="B325" i="1" s="1"/>
  <c r="B326" i="1" s="1"/>
  <c r="B328" i="1" s="1"/>
  <c r="B329" i="1" s="1"/>
  <c r="B330" i="1" s="1"/>
  <c r="B331" i="1" s="1"/>
  <c r="B332" i="1" s="1"/>
  <c r="B333" i="1" s="1"/>
  <c r="E338" i="1" s="1"/>
  <c r="E339" i="1" l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AD338" i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B352" i="1"/>
  <c r="B353" i="1" s="1"/>
  <c r="B354" i="1" s="1"/>
  <c r="B355" i="1" s="1"/>
  <c r="B356" i="1" s="1"/>
  <c r="B357" i="1" s="1"/>
  <c r="B359" i="1" s="1"/>
  <c r="B360" i="1" s="1"/>
  <c r="B361" i="1" s="1"/>
  <c r="B362" i="1" s="1"/>
  <c r="B363" i="1" s="1"/>
  <c r="B364" i="1" s="1"/>
  <c r="E369" i="1" s="1"/>
  <c r="E370" i="1" l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AD369" i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B383" i="1"/>
  <c r="B384" i="1" s="1"/>
  <c r="B385" i="1" s="1"/>
  <c r="B386" i="1" s="1"/>
  <c r="B387" i="1" s="1"/>
  <c r="B388" i="1" s="1"/>
  <c r="B390" i="1" s="1"/>
  <c r="B391" i="1" s="1"/>
  <c r="B392" i="1" s="1"/>
  <c r="B393" i="1" s="1"/>
  <c r="B394" i="1" s="1"/>
  <c r="B395" i="1" s="1"/>
  <c r="E400" i="1" s="1"/>
  <c r="AD400" i="1" l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B414" i="1"/>
  <c r="B415" i="1" s="1"/>
  <c r="B416" i="1" s="1"/>
  <c r="B417" i="1" s="1"/>
  <c r="B418" i="1" s="1"/>
  <c r="B419" i="1" s="1"/>
  <c r="B421" i="1" s="1"/>
  <c r="B422" i="1" s="1"/>
  <c r="B423" i="1" s="1"/>
  <c r="B424" i="1" s="1"/>
  <c r="B425" i="1" s="1"/>
  <c r="B426" i="1" s="1"/>
  <c r="E431" i="1" s="1"/>
  <c r="AD431" i="1" l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E432" i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B445" i="1"/>
  <c r="B446" i="1" s="1"/>
  <c r="B447" i="1" s="1"/>
  <c r="B448" i="1" s="1"/>
  <c r="B449" i="1" s="1"/>
  <c r="B450" i="1" s="1"/>
  <c r="B452" i="1" s="1"/>
  <c r="B453" i="1" s="1"/>
  <c r="B454" i="1" s="1"/>
  <c r="B455" i="1" s="1"/>
  <c r="B456" i="1" s="1"/>
  <c r="B457" i="1" s="1"/>
  <c r="E462" i="1" s="1"/>
  <c r="E463" i="1" l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AD462" i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B476" i="1"/>
  <c r="B477" i="1" s="1"/>
  <c r="B478" i="1" s="1"/>
  <c r="B479" i="1" s="1"/>
  <c r="B480" i="1" s="1"/>
  <c r="B481" i="1" s="1"/>
  <c r="B483" i="1" s="1"/>
  <c r="B484" i="1" s="1"/>
  <c r="B485" i="1" s="1"/>
  <c r="B486" i="1" s="1"/>
  <c r="B487" i="1" s="1"/>
  <c r="B488" i="1" s="1"/>
  <c r="E493" i="1" s="1"/>
  <c r="E494" i="1" l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AD493" i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B507" i="1"/>
  <c r="B508" i="1" s="1"/>
  <c r="B509" i="1" s="1"/>
  <c r="B510" i="1" s="1"/>
  <c r="B511" i="1" s="1"/>
  <c r="B512" i="1" s="1"/>
  <c r="B514" i="1" s="1"/>
  <c r="B515" i="1" s="1"/>
  <c r="B516" i="1" s="1"/>
  <c r="B517" i="1" s="1"/>
  <c r="B518" i="1" s="1"/>
  <c r="B519" i="1" s="1"/>
  <c r="E524" i="1" s="1"/>
  <c r="AD524" i="1" l="1"/>
  <c r="AD525" i="1" s="1"/>
  <c r="AD526" i="1" s="1"/>
  <c r="AD527" i="1" s="1"/>
  <c r="AD528" i="1" s="1"/>
  <c r="AD529" i="1" s="1"/>
  <c r="AD530" i="1" s="1"/>
  <c r="AD531" i="1" s="1"/>
  <c r="AD532" i="1" s="1"/>
  <c r="AD533" i="1" s="1"/>
  <c r="AD534" i="1" s="1"/>
  <c r="AD535" i="1" s="1"/>
  <c r="E525" i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B538" i="1"/>
  <c r="B539" i="1" s="1"/>
  <c r="B540" i="1" s="1"/>
  <c r="B541" i="1" s="1"/>
  <c r="B542" i="1" s="1"/>
  <c r="B543" i="1" s="1"/>
  <c r="B545" i="1" s="1"/>
  <c r="B546" i="1" s="1"/>
  <c r="B547" i="1" s="1"/>
  <c r="B548" i="1" s="1"/>
  <c r="B549" i="1" s="1"/>
  <c r="B550" i="1" s="1"/>
  <c r="E555" i="1" s="1"/>
  <c r="AD555" i="1" l="1"/>
  <c r="AD556" i="1" s="1"/>
  <c r="AD557" i="1" s="1"/>
  <c r="AD558" i="1" s="1"/>
  <c r="AD559" i="1" s="1"/>
  <c r="AD560" i="1" s="1"/>
  <c r="AD561" i="1" s="1"/>
  <c r="AD562" i="1" s="1"/>
  <c r="AD563" i="1" s="1"/>
  <c r="AD564" i="1" s="1"/>
  <c r="AD565" i="1" s="1"/>
  <c r="AD566" i="1" s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B569" i="1"/>
  <c r="B570" i="1" s="1"/>
  <c r="B571" i="1" s="1"/>
  <c r="B572" i="1" s="1"/>
  <c r="B573" i="1" s="1"/>
  <c r="B574" i="1" s="1"/>
  <c r="B576" i="1" s="1"/>
  <c r="B577" i="1" s="1"/>
  <c r="B578" i="1" s="1"/>
  <c r="B579" i="1" s="1"/>
  <c r="B580" i="1" s="1"/>
  <c r="B581" i="1" s="1"/>
  <c r="E586" i="1" s="1"/>
  <c r="E587" i="1" l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AD586" i="1"/>
  <c r="AD587" i="1" s="1"/>
  <c r="AD588" i="1" s="1"/>
  <c r="AD589" i="1" s="1"/>
  <c r="AD590" i="1" s="1"/>
  <c r="AD591" i="1" s="1"/>
  <c r="AD592" i="1" s="1"/>
  <c r="AD593" i="1" s="1"/>
  <c r="AD594" i="1" s="1"/>
  <c r="AD595" i="1" s="1"/>
  <c r="AD596" i="1" s="1"/>
  <c r="AD597" i="1" s="1"/>
  <c r="B600" i="1"/>
  <c r="B601" i="1" s="1"/>
  <c r="B602" i="1" s="1"/>
  <c r="B603" i="1" s="1"/>
  <c r="B604" i="1" s="1"/>
  <c r="B605" i="1" s="1"/>
  <c r="B607" i="1" s="1"/>
  <c r="B608" i="1" s="1"/>
  <c r="B609" i="1" s="1"/>
  <c r="B610" i="1" s="1"/>
  <c r="B611" i="1" s="1"/>
  <c r="B612" i="1" s="1"/>
  <c r="E617" i="1" s="1"/>
  <c r="AD617" i="1" l="1"/>
  <c r="AD618" i="1" s="1"/>
  <c r="AD619" i="1" s="1"/>
  <c r="AD620" i="1" s="1"/>
  <c r="AD621" i="1" s="1"/>
  <c r="AD622" i="1" s="1"/>
  <c r="AD623" i="1" s="1"/>
  <c r="AD624" i="1" s="1"/>
  <c r="AD625" i="1" s="1"/>
  <c r="AD626" i="1" s="1"/>
  <c r="AD627" i="1" s="1"/>
  <c r="AD628" i="1" s="1"/>
  <c r="E618" i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B631" i="1"/>
  <c r="B632" i="1" s="1"/>
  <c r="B633" i="1" s="1"/>
  <c r="B634" i="1" s="1"/>
  <c r="B635" i="1" s="1"/>
  <c r="B636" i="1" s="1"/>
  <c r="B638" i="1" s="1"/>
  <c r="B639" i="1" s="1"/>
  <c r="B640" i="1" s="1"/>
  <c r="B641" i="1" s="1"/>
  <c r="B642" i="1" s="1"/>
  <c r="B643" i="1" s="1"/>
  <c r="E648" i="1" s="1"/>
  <c r="AD648" i="1" l="1"/>
  <c r="AD649" i="1" s="1"/>
  <c r="AD650" i="1" s="1"/>
  <c r="AD651" i="1" s="1"/>
  <c r="AD652" i="1" s="1"/>
  <c r="AD653" i="1" s="1"/>
  <c r="AD654" i="1" s="1"/>
  <c r="AD655" i="1" s="1"/>
  <c r="AD656" i="1" s="1"/>
  <c r="AD657" i="1" s="1"/>
  <c r="AD658" i="1" s="1"/>
  <c r="AD659" i="1" s="1"/>
  <c r="E649" i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B662" i="1"/>
  <c r="B663" i="1" s="1"/>
  <c r="B664" i="1" s="1"/>
  <c r="B665" i="1" s="1"/>
  <c r="B666" i="1" s="1"/>
  <c r="B667" i="1" s="1"/>
  <c r="B669" i="1" l="1"/>
  <c r="B670" i="1" s="1"/>
  <c r="B671" i="1" s="1"/>
  <c r="B672" i="1" s="1"/>
  <c r="B673" i="1" s="1"/>
  <c r="B674" i="1" s="1"/>
  <c r="E679" i="1" s="1"/>
  <c r="E680" i="1" l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AD679" i="1"/>
  <c r="AD680" i="1" s="1"/>
  <c r="AD681" i="1" s="1"/>
  <c r="AD682" i="1" s="1"/>
  <c r="AD683" i="1" s="1"/>
  <c r="AD684" i="1" s="1"/>
  <c r="AD685" i="1" s="1"/>
  <c r="AD686" i="1" s="1"/>
  <c r="AD687" i="1" s="1"/>
  <c r="AD688" i="1" s="1"/>
  <c r="AD689" i="1" s="1"/>
  <c r="AD690" i="1" s="1"/>
  <c r="B693" i="1"/>
  <c r="B694" i="1" s="1"/>
  <c r="B695" i="1" s="1"/>
  <c r="B696" i="1" s="1"/>
  <c r="B697" i="1" s="1"/>
  <c r="B698" i="1" s="1"/>
  <c r="B700" i="1" s="1"/>
  <c r="B701" i="1" s="1"/>
  <c r="B702" i="1" s="1"/>
  <c r="B703" i="1" s="1"/>
  <c r="B704" i="1" s="1"/>
  <c r="B705" i="1" s="1"/>
  <c r="E710" i="1" s="1"/>
  <c r="AD710" i="1" l="1"/>
  <c r="AD711" i="1" s="1"/>
  <c r="AD712" i="1" s="1"/>
  <c r="AD713" i="1" s="1"/>
  <c r="AD714" i="1" s="1"/>
  <c r="AD715" i="1" s="1"/>
  <c r="AD716" i="1" s="1"/>
  <c r="AD717" i="1" s="1"/>
  <c r="AD718" i="1" s="1"/>
  <c r="AD719" i="1" s="1"/>
  <c r="AD720" i="1" s="1"/>
  <c r="AD721" i="1" s="1"/>
  <c r="E711" i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B724" i="1"/>
  <c r="B725" i="1" s="1"/>
  <c r="B726" i="1" s="1"/>
  <c r="B727" i="1" s="1"/>
  <c r="B728" i="1" s="1"/>
  <c r="B729" i="1" s="1"/>
  <c r="B731" i="1" l="1"/>
  <c r="B732" i="1" s="1"/>
  <c r="B733" i="1" s="1"/>
  <c r="B734" i="1" s="1"/>
  <c r="B735" i="1" s="1"/>
  <c r="B736" i="1" s="1"/>
  <c r="E741" i="1" s="1"/>
  <c r="AD741" i="1" l="1"/>
  <c r="AD742" i="1" s="1"/>
  <c r="AD743" i="1" s="1"/>
  <c r="AD744" i="1" s="1"/>
  <c r="AD745" i="1" s="1"/>
  <c r="AD746" i="1" s="1"/>
  <c r="AD747" i="1" s="1"/>
  <c r="AD748" i="1" s="1"/>
  <c r="AD749" i="1" s="1"/>
  <c r="AD750" i="1" s="1"/>
  <c r="AD751" i="1" s="1"/>
  <c r="AD752" i="1" s="1"/>
  <c r="E742" i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B755" i="1"/>
  <c r="B756" i="1" s="1"/>
  <c r="B757" i="1" s="1"/>
  <c r="B758" i="1" s="1"/>
  <c r="B759" i="1" s="1"/>
  <c r="B760" i="1" s="1"/>
  <c r="B762" i="1" s="1"/>
  <c r="B763" i="1" s="1"/>
  <c r="B764" i="1" s="1"/>
  <c r="B765" i="1" s="1"/>
  <c r="B766" i="1" s="1"/>
  <c r="B767" i="1" s="1"/>
  <c r="E772" i="1" s="1"/>
  <c r="E773" i="1" l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AD772" i="1"/>
  <c r="AD773" i="1" s="1"/>
  <c r="AD774" i="1" s="1"/>
  <c r="AD775" i="1" s="1"/>
  <c r="AD776" i="1" s="1"/>
  <c r="AD777" i="1" s="1"/>
  <c r="AD778" i="1" s="1"/>
  <c r="AD779" i="1" s="1"/>
  <c r="AD780" i="1" s="1"/>
  <c r="AD781" i="1" s="1"/>
  <c r="AD782" i="1" s="1"/>
  <c r="AD783" i="1" s="1"/>
  <c r="B786" i="1"/>
  <c r="B787" i="1" s="1"/>
  <c r="B788" i="1" s="1"/>
  <c r="B789" i="1" s="1"/>
  <c r="B790" i="1" s="1"/>
  <c r="B791" i="1" s="1"/>
  <c r="B793" i="1" s="1"/>
  <c r="B794" i="1" s="1"/>
  <c r="B795" i="1" s="1"/>
  <c r="B796" i="1" s="1"/>
  <c r="B797" i="1" s="1"/>
  <c r="B798" i="1" s="1"/>
  <c r="E803" i="1" s="1"/>
  <c r="E804" i="1" l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AD803" i="1"/>
  <c r="AD804" i="1" s="1"/>
  <c r="AD805" i="1" s="1"/>
  <c r="AD806" i="1" s="1"/>
  <c r="AD807" i="1" s="1"/>
  <c r="AD808" i="1" s="1"/>
  <c r="AD809" i="1" s="1"/>
  <c r="AD810" i="1" s="1"/>
  <c r="AD811" i="1" s="1"/>
  <c r="AD812" i="1" s="1"/>
  <c r="AD813" i="1" s="1"/>
  <c r="AD814" i="1" s="1"/>
  <c r="B817" i="1"/>
  <c r="B818" i="1" s="1"/>
  <c r="B819" i="1" s="1"/>
  <c r="B820" i="1" s="1"/>
  <c r="B821" i="1" s="1"/>
  <c r="B822" i="1" s="1"/>
  <c r="B824" i="1" s="1"/>
  <c r="B825" i="1" s="1"/>
  <c r="B826" i="1" s="1"/>
  <c r="B827" i="1" s="1"/>
  <c r="B828" i="1" s="1"/>
  <c r="B829" i="1" s="1"/>
  <c r="E834" i="1" s="1"/>
  <c r="E835" i="1" l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AD834" i="1"/>
  <c r="AD835" i="1" s="1"/>
  <c r="AD836" i="1" s="1"/>
  <c r="AD837" i="1" s="1"/>
  <c r="AD838" i="1" s="1"/>
  <c r="AD839" i="1" s="1"/>
  <c r="AD840" i="1" s="1"/>
  <c r="AD841" i="1" s="1"/>
  <c r="AD842" i="1" s="1"/>
  <c r="AD843" i="1" s="1"/>
  <c r="AD844" i="1" s="1"/>
  <c r="AD845" i="1" s="1"/>
  <c r="B848" i="1"/>
  <c r="B849" i="1" s="1"/>
  <c r="B850" i="1" s="1"/>
  <c r="B851" i="1" s="1"/>
  <c r="B852" i="1" s="1"/>
  <c r="B853" i="1" s="1"/>
  <c r="B855" i="1" s="1"/>
  <c r="B856" i="1" s="1"/>
  <c r="B857" i="1" s="1"/>
  <c r="B858" i="1" s="1"/>
  <c r="B859" i="1" s="1"/>
  <c r="B860" i="1" s="1"/>
  <c r="E865" i="1" s="1"/>
  <c r="AD865" i="1" l="1"/>
  <c r="AD866" i="1" s="1"/>
  <c r="AD867" i="1" s="1"/>
  <c r="AD868" i="1" s="1"/>
  <c r="AD869" i="1" s="1"/>
  <c r="AD870" i="1" s="1"/>
  <c r="AD871" i="1" s="1"/>
  <c r="AD872" i="1" s="1"/>
  <c r="AD873" i="1" s="1"/>
  <c r="AD874" i="1" s="1"/>
  <c r="AD875" i="1" s="1"/>
  <c r="AD876" i="1" s="1"/>
  <c r="E866" i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B879" i="1"/>
  <c r="B880" i="1" s="1"/>
  <c r="B881" i="1" s="1"/>
  <c r="B882" i="1" s="1"/>
  <c r="B883" i="1" s="1"/>
  <c r="B884" i="1" s="1"/>
  <c r="B886" i="1" s="1"/>
  <c r="B887" i="1" s="1"/>
  <c r="B888" i="1" s="1"/>
  <c r="B889" i="1" s="1"/>
  <c r="B890" i="1" s="1"/>
  <c r="B891" i="1" s="1"/>
  <c r="E896" i="1" s="1"/>
  <c r="E897" i="1" l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AD896" i="1"/>
  <c r="AD897" i="1" s="1"/>
  <c r="AD898" i="1" s="1"/>
  <c r="AD899" i="1" s="1"/>
  <c r="AD900" i="1" s="1"/>
  <c r="AD901" i="1" s="1"/>
  <c r="AD902" i="1" s="1"/>
  <c r="AD903" i="1" s="1"/>
  <c r="AD904" i="1" s="1"/>
  <c r="AD905" i="1" s="1"/>
  <c r="AD906" i="1" s="1"/>
  <c r="AD907" i="1" s="1"/>
  <c r="B910" i="1"/>
  <c r="B911" i="1" s="1"/>
  <c r="B912" i="1" s="1"/>
  <c r="B913" i="1" s="1"/>
  <c r="B914" i="1" s="1"/>
  <c r="B915" i="1" s="1"/>
  <c r="B917" i="1" s="1"/>
  <c r="B918" i="1" s="1"/>
  <c r="B919" i="1" s="1"/>
  <c r="B920" i="1" s="1"/>
  <c r="B921" i="1" s="1"/>
  <c r="B922" i="1" s="1"/>
  <c r="E927" i="1" s="1"/>
  <c r="E928" i="1" l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AD927" i="1"/>
  <c r="AD928" i="1" s="1"/>
  <c r="AD929" i="1" s="1"/>
  <c r="AD930" i="1" s="1"/>
  <c r="AD931" i="1" s="1"/>
  <c r="AD932" i="1" s="1"/>
  <c r="AD933" i="1" s="1"/>
  <c r="AD934" i="1" s="1"/>
  <c r="AD935" i="1" s="1"/>
  <c r="AD936" i="1" s="1"/>
  <c r="AD937" i="1" s="1"/>
  <c r="AD938" i="1" s="1"/>
  <c r="B941" i="1"/>
  <c r="B942" i="1" s="1"/>
  <c r="B943" i="1" s="1"/>
  <c r="B944" i="1" s="1"/>
  <c r="B945" i="1" s="1"/>
  <c r="B946" i="1" s="1"/>
  <c r="B948" i="1" s="1"/>
  <c r="B949" i="1" s="1"/>
  <c r="B950" i="1" s="1"/>
  <c r="B951" i="1" s="1"/>
  <c r="B952" i="1" s="1"/>
  <c r="B953" i="1" s="1"/>
  <c r="E958" i="1" s="1"/>
  <c r="AD958" i="1" l="1"/>
  <c r="AD959" i="1" s="1"/>
  <c r="AD960" i="1" s="1"/>
  <c r="AD961" i="1" s="1"/>
  <c r="AD962" i="1" s="1"/>
  <c r="AD963" i="1" s="1"/>
  <c r="AD964" i="1" s="1"/>
  <c r="AD965" i="1" s="1"/>
  <c r="AD966" i="1" s="1"/>
  <c r="AD967" i="1" s="1"/>
  <c r="AD968" i="1" s="1"/>
  <c r="AD969" i="1" s="1"/>
  <c r="E959" i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B972" i="1"/>
  <c r="B973" i="1" s="1"/>
  <c r="B974" i="1" s="1"/>
  <c r="B975" i="1" s="1"/>
  <c r="B976" i="1" s="1"/>
  <c r="B977" i="1" s="1"/>
  <c r="B979" i="1" s="1"/>
  <c r="B980" i="1" s="1"/>
  <c r="B981" i="1" s="1"/>
  <c r="B982" i="1" s="1"/>
  <c r="B983" i="1" s="1"/>
  <c r="B984" i="1" s="1"/>
  <c r="E989" i="1" s="1"/>
  <c r="E990" i="1" l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AD989" i="1"/>
  <c r="AD990" i="1" s="1"/>
  <c r="AD991" i="1" s="1"/>
  <c r="AD992" i="1" s="1"/>
  <c r="AD993" i="1" s="1"/>
  <c r="AD994" i="1" s="1"/>
  <c r="AD995" i="1" s="1"/>
  <c r="AD996" i="1" s="1"/>
  <c r="AD997" i="1" s="1"/>
  <c r="AD998" i="1" s="1"/>
  <c r="AD999" i="1" s="1"/>
  <c r="AD1000" i="1" s="1"/>
  <c r="B1003" i="1"/>
  <c r="B1004" i="1" s="1"/>
  <c r="B1005" i="1" s="1"/>
  <c r="B1006" i="1" s="1"/>
  <c r="B1007" i="1" s="1"/>
  <c r="B1008" i="1" s="1"/>
  <c r="B1010" i="1" s="1"/>
  <c r="B1011" i="1" s="1"/>
  <c r="B1012" i="1" s="1"/>
  <c r="B1013" i="1" s="1"/>
  <c r="B1014" i="1" s="1"/>
  <c r="B1015" i="1" s="1"/>
  <c r="E1020" i="1" s="1"/>
  <c r="AD1020" i="1" l="1"/>
  <c r="AD1021" i="1" s="1"/>
  <c r="AD1022" i="1" s="1"/>
  <c r="AD1023" i="1" s="1"/>
  <c r="AD1024" i="1" s="1"/>
  <c r="AD1025" i="1" s="1"/>
  <c r="AD1026" i="1" s="1"/>
  <c r="AD1027" i="1" s="1"/>
  <c r="AD1028" i="1" s="1"/>
  <c r="AD1029" i="1" s="1"/>
  <c r="AD1030" i="1" s="1"/>
  <c r="AD1031" i="1" s="1"/>
  <c r="E1021" i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B1034" i="1"/>
  <c r="B1035" i="1" s="1"/>
  <c r="B1036" i="1" s="1"/>
  <c r="B1037" i="1" s="1"/>
  <c r="B1038" i="1" s="1"/>
  <c r="B1039" i="1" s="1"/>
  <c r="B1041" i="1" s="1"/>
  <c r="B1042" i="1" s="1"/>
  <c r="B1043" i="1" s="1"/>
  <c r="B1044" i="1" s="1"/>
  <c r="B1045" i="1" s="1"/>
  <c r="B1046" i="1" s="1"/>
  <c r="E1051" i="1" s="1"/>
  <c r="AD1051" i="1" l="1"/>
  <c r="AD1052" i="1" s="1"/>
  <c r="AD1053" i="1" s="1"/>
  <c r="AD1054" i="1" s="1"/>
  <c r="AD1055" i="1" s="1"/>
  <c r="AD1056" i="1" s="1"/>
  <c r="AD1057" i="1" s="1"/>
  <c r="AD1058" i="1" s="1"/>
  <c r="AD1059" i="1" s="1"/>
  <c r="AD1060" i="1" s="1"/>
  <c r="AD1061" i="1" s="1"/>
  <c r="AD1062" i="1" s="1"/>
  <c r="E1052" i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B1065" i="1"/>
  <c r="B1066" i="1" s="1"/>
  <c r="B1067" i="1" s="1"/>
  <c r="B1068" i="1" s="1"/>
  <c r="B1069" i="1" s="1"/>
  <c r="B1070" i="1" s="1"/>
  <c r="B1072" i="1" s="1"/>
  <c r="B1073" i="1" s="1"/>
  <c r="B1074" i="1" s="1"/>
  <c r="B1075" i="1" s="1"/>
  <c r="B1076" i="1" s="1"/>
  <c r="B1077" i="1" s="1"/>
  <c r="E1082" i="1" s="1"/>
  <c r="AD1082" i="1" l="1"/>
  <c r="AD1083" i="1" s="1"/>
  <c r="AD1084" i="1" s="1"/>
  <c r="AD1085" i="1" s="1"/>
  <c r="AD1086" i="1" s="1"/>
  <c r="AD1087" i="1" s="1"/>
  <c r="AD1088" i="1" s="1"/>
  <c r="AD1089" i="1" s="1"/>
  <c r="AD1090" i="1" s="1"/>
  <c r="AD1091" i="1" s="1"/>
  <c r="AD1092" i="1" s="1"/>
  <c r="AD1093" i="1" s="1"/>
  <c r="E1083" i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B1096" i="1"/>
  <c r="B1097" i="1" s="1"/>
  <c r="B1098" i="1" s="1"/>
  <c r="B1099" i="1" s="1"/>
  <c r="B1100" i="1" s="1"/>
  <c r="B1101" i="1" s="1"/>
  <c r="B1103" i="1" s="1"/>
  <c r="B1104" i="1" s="1"/>
  <c r="B1105" i="1" s="1"/>
  <c r="B1106" i="1" s="1"/>
  <c r="B1107" i="1" s="1"/>
  <c r="B1108" i="1" s="1"/>
  <c r="E1113" i="1" s="1"/>
  <c r="AD1113" i="1" l="1"/>
  <c r="AD1114" i="1" s="1"/>
  <c r="AD1115" i="1" s="1"/>
  <c r="AD1116" i="1" s="1"/>
  <c r="AD1117" i="1" s="1"/>
  <c r="AD1118" i="1" s="1"/>
  <c r="AD1119" i="1" s="1"/>
  <c r="AD1120" i="1" s="1"/>
  <c r="AD1121" i="1" s="1"/>
  <c r="AD1122" i="1" s="1"/>
  <c r="AD1123" i="1" s="1"/>
  <c r="AD1124" i="1" s="1"/>
  <c r="E1114" i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B1127" i="1"/>
  <c r="B1128" i="1" s="1"/>
  <c r="B1129" i="1" s="1"/>
  <c r="B1130" i="1" s="1"/>
  <c r="B1131" i="1" s="1"/>
  <c r="B1132" i="1" s="1"/>
  <c r="B1134" i="1" s="1"/>
  <c r="B1135" i="1" s="1"/>
  <c r="B1136" i="1" s="1"/>
  <c r="B1137" i="1" s="1"/>
  <c r="B1138" i="1" s="1"/>
  <c r="B1139" i="1" s="1"/>
  <c r="E1144" i="1" s="1"/>
  <c r="E1145" i="1" l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AD1144" i="1"/>
  <c r="AD1145" i="1" s="1"/>
  <c r="AD1146" i="1" s="1"/>
  <c r="AD1147" i="1" s="1"/>
  <c r="AD1148" i="1" s="1"/>
  <c r="AD1149" i="1" s="1"/>
  <c r="AD1150" i="1" s="1"/>
  <c r="AD1151" i="1" s="1"/>
  <c r="AD1152" i="1" s="1"/>
  <c r="AD1153" i="1" s="1"/>
  <c r="AD1154" i="1" s="1"/>
  <c r="AD1155" i="1" s="1"/>
  <c r="B1159" i="1"/>
  <c r="B1160" i="1" s="1"/>
  <c r="B1161" i="1" s="1"/>
  <c r="B1162" i="1" s="1"/>
  <c r="B1163" i="1" s="1"/>
  <c r="B1165" i="1" s="1"/>
  <c r="B1166" i="1" s="1"/>
  <c r="B1167" i="1" s="1"/>
  <c r="B1168" i="1" s="1"/>
  <c r="B1169" i="1" s="1"/>
  <c r="B1170" i="1" s="1"/>
  <c r="E1175" i="1" l="1"/>
  <c r="B1189" i="1"/>
  <c r="B1190" i="1" s="1"/>
  <c r="B1191" i="1" s="1"/>
  <c r="B1192" i="1" s="1"/>
  <c r="B1193" i="1" s="1"/>
  <c r="B1194" i="1" s="1"/>
  <c r="B1196" i="1" s="1"/>
  <c r="B1197" i="1" s="1"/>
  <c r="B1198" i="1" s="1"/>
  <c r="B1199" i="1" s="1"/>
  <c r="B1200" i="1" s="1"/>
  <c r="B1201" i="1" s="1"/>
  <c r="E1206" i="1" s="1"/>
  <c r="E1207" i="1" l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AD1206" i="1"/>
  <c r="AD1207" i="1" s="1"/>
  <c r="AD1208" i="1" s="1"/>
  <c r="AD1209" i="1" s="1"/>
  <c r="AD1210" i="1" s="1"/>
  <c r="AD1211" i="1" s="1"/>
  <c r="AD1212" i="1" s="1"/>
  <c r="AD1213" i="1" s="1"/>
  <c r="AD1214" i="1" s="1"/>
  <c r="AD1215" i="1" s="1"/>
  <c r="AD1216" i="1" s="1"/>
  <c r="AD1217" i="1" s="1"/>
  <c r="AD1175" i="1"/>
  <c r="AD1176" i="1" s="1"/>
  <c r="AD1177" i="1" s="1"/>
  <c r="AD1178" i="1" s="1"/>
  <c r="AD1179" i="1" s="1"/>
  <c r="AD1180" i="1" s="1"/>
  <c r="AD1181" i="1" s="1"/>
  <c r="AD1182" i="1" s="1"/>
  <c r="AD1183" i="1" s="1"/>
  <c r="AD1184" i="1" s="1"/>
  <c r="AD1185" i="1" s="1"/>
  <c r="AD1186" i="1" s="1"/>
  <c r="E1176" i="1"/>
  <c r="E1177" i="1" s="1"/>
  <c r="B1220" i="1"/>
  <c r="B1221" i="1" s="1"/>
  <c r="B1222" i="1" s="1"/>
  <c r="B1223" i="1" s="1"/>
  <c r="B1224" i="1" s="1"/>
  <c r="B1225" i="1" s="1"/>
  <c r="B1227" i="1" s="1"/>
  <c r="B1228" i="1" s="1"/>
  <c r="B1229" i="1" s="1"/>
  <c r="B1230" i="1" s="1"/>
  <c r="B1231" i="1" s="1"/>
  <c r="B1232" i="1" s="1"/>
  <c r="E1178" i="1" l="1"/>
  <c r="E1237" i="1"/>
  <c r="B1251" i="1"/>
  <c r="B1252" i="1" s="1"/>
  <c r="B1253" i="1" s="1"/>
  <c r="B1254" i="1" s="1"/>
  <c r="B1255" i="1" s="1"/>
  <c r="B1256" i="1" s="1"/>
  <c r="B1258" i="1" s="1"/>
  <c r="B1259" i="1" s="1"/>
  <c r="B1260" i="1" s="1"/>
  <c r="B1261" i="1" s="1"/>
  <c r="B1262" i="1" s="1"/>
  <c r="B1263" i="1" s="1"/>
  <c r="E1268" i="1" s="1"/>
  <c r="AD1268" i="1" l="1"/>
  <c r="AD1269" i="1" s="1"/>
  <c r="AD1270" i="1" s="1"/>
  <c r="AD1271" i="1" s="1"/>
  <c r="AD1272" i="1" s="1"/>
  <c r="AD1273" i="1" s="1"/>
  <c r="AD1274" i="1" s="1"/>
  <c r="AD1275" i="1" s="1"/>
  <c r="AD1276" i="1" s="1"/>
  <c r="AD1277" i="1" s="1"/>
  <c r="AD1278" i="1" s="1"/>
  <c r="AD1279" i="1" s="1"/>
  <c r="E1269" i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38" i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AD1237" i="1"/>
  <c r="AD1238" i="1" s="1"/>
  <c r="AD1239" i="1" s="1"/>
  <c r="AD1240" i="1" s="1"/>
  <c r="AD1241" i="1" s="1"/>
  <c r="AD1242" i="1" s="1"/>
  <c r="AD1243" i="1" s="1"/>
  <c r="AD1244" i="1" s="1"/>
  <c r="AD1245" i="1" s="1"/>
  <c r="AD1246" i="1" s="1"/>
  <c r="AD1247" i="1" s="1"/>
  <c r="AD1248" i="1" s="1"/>
  <c r="E1179" i="1"/>
  <c r="B1282" i="1"/>
  <c r="B1283" i="1" s="1"/>
  <c r="B1284" i="1" s="1"/>
  <c r="B1285" i="1" s="1"/>
  <c r="B1286" i="1" s="1"/>
  <c r="B1287" i="1" s="1"/>
  <c r="B1289" i="1" s="1"/>
  <c r="B1290" i="1" s="1"/>
  <c r="B1291" i="1" s="1"/>
  <c r="B1292" i="1" s="1"/>
  <c r="B1293" i="1" s="1"/>
  <c r="B1294" i="1" s="1"/>
  <c r="E1299" i="1" s="1"/>
  <c r="E1300" i="1" l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AD1299" i="1"/>
  <c r="AD1300" i="1" s="1"/>
  <c r="AD1301" i="1" s="1"/>
  <c r="AD1302" i="1" s="1"/>
  <c r="AD1303" i="1" s="1"/>
  <c r="AD1304" i="1" s="1"/>
  <c r="AD1305" i="1" s="1"/>
  <c r="AD1306" i="1" s="1"/>
  <c r="AD1307" i="1" s="1"/>
  <c r="AD1308" i="1" s="1"/>
  <c r="AD1309" i="1" s="1"/>
  <c r="AD1310" i="1" s="1"/>
  <c r="E1180" i="1"/>
  <c r="B1313" i="1"/>
  <c r="B1314" i="1" s="1"/>
  <c r="B1315" i="1" s="1"/>
  <c r="B1316" i="1" s="1"/>
  <c r="B1317" i="1" s="1"/>
  <c r="B1318" i="1" s="1"/>
  <c r="B1320" i="1" s="1"/>
  <c r="B1321" i="1" s="1"/>
  <c r="B1322" i="1" s="1"/>
  <c r="B1323" i="1" s="1"/>
  <c r="B1324" i="1" s="1"/>
  <c r="B1325" i="1" s="1"/>
  <c r="E1330" i="1" s="1"/>
  <c r="E1181" i="1" l="1"/>
  <c r="E1331" i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AD1330" i="1"/>
  <c r="AD1331" i="1" s="1"/>
  <c r="AD1332" i="1" s="1"/>
  <c r="AD1333" i="1" s="1"/>
  <c r="AD1334" i="1" s="1"/>
  <c r="AD1335" i="1" s="1"/>
  <c r="AD1336" i="1" s="1"/>
  <c r="AD1337" i="1" s="1"/>
  <c r="AD1338" i="1" s="1"/>
  <c r="AD1339" i="1" s="1"/>
  <c r="AD1340" i="1" s="1"/>
  <c r="AD1341" i="1" s="1"/>
  <c r="B1344" i="1"/>
  <c r="B1345" i="1" s="1"/>
  <c r="B1346" i="1" s="1"/>
  <c r="B1347" i="1" s="1"/>
  <c r="B1348" i="1" s="1"/>
  <c r="B1349" i="1" s="1"/>
  <c r="B1351" i="1" s="1"/>
  <c r="B1352" i="1" s="1"/>
  <c r="B1353" i="1" s="1"/>
  <c r="B1354" i="1" s="1"/>
  <c r="B1355" i="1" s="1"/>
  <c r="B1356" i="1" s="1"/>
  <c r="E1361" i="1" s="1"/>
  <c r="AD1361" i="1" l="1"/>
  <c r="AD1362" i="1" s="1"/>
  <c r="AD1363" i="1" s="1"/>
  <c r="AD1364" i="1" s="1"/>
  <c r="AD1365" i="1" s="1"/>
  <c r="AD1366" i="1" s="1"/>
  <c r="AD1367" i="1" s="1"/>
  <c r="AD1368" i="1" s="1"/>
  <c r="AD1369" i="1" s="1"/>
  <c r="AD1370" i="1" s="1"/>
  <c r="AD1371" i="1" s="1"/>
  <c r="AD1372" i="1" s="1"/>
  <c r="E1362" i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182" i="1"/>
  <c r="B1375" i="1"/>
  <c r="B1376" i="1" s="1"/>
  <c r="B1377" i="1" s="1"/>
  <c r="B1378" i="1" s="1"/>
  <c r="B1379" i="1" s="1"/>
  <c r="B1380" i="1" s="1"/>
  <c r="B1382" i="1" s="1"/>
  <c r="B1383" i="1" s="1"/>
  <c r="B1384" i="1" s="1"/>
  <c r="B1385" i="1" s="1"/>
  <c r="B1386" i="1" s="1"/>
  <c r="B1387" i="1" s="1"/>
  <c r="E1392" i="1" l="1"/>
  <c r="E1183" i="1"/>
  <c r="B1406" i="1"/>
  <c r="B1407" i="1" s="1"/>
  <c r="B1408" i="1" s="1"/>
  <c r="B1409" i="1" s="1"/>
  <c r="B1410" i="1" s="1"/>
  <c r="B1411" i="1" s="1"/>
  <c r="B1413" i="1" s="1"/>
  <c r="B1414" i="1" s="1"/>
  <c r="B1415" i="1" s="1"/>
  <c r="B1416" i="1" s="1"/>
  <c r="B1417" i="1" s="1"/>
  <c r="B1418" i="1" s="1"/>
  <c r="E1423" i="1" l="1"/>
  <c r="E1184" i="1"/>
  <c r="E1393" i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AD1392" i="1"/>
  <c r="B1437" i="1"/>
  <c r="B1438" i="1" s="1"/>
  <c r="B1439" i="1" s="1"/>
  <c r="B1440" i="1" s="1"/>
  <c r="B1441" i="1" s="1"/>
  <c r="B1442" i="1" s="1"/>
  <c r="B1444" i="1" s="1"/>
  <c r="B1445" i="1" s="1"/>
  <c r="B1446" i="1" s="1"/>
  <c r="B1447" i="1" s="1"/>
  <c r="B1448" i="1" s="1"/>
  <c r="B1449" i="1" s="1"/>
  <c r="E1454" i="1" s="1"/>
  <c r="E1185" i="1" l="1"/>
  <c r="AD1393" i="1"/>
  <c r="E1424" i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AD1423" i="1"/>
  <c r="AD1424" i="1" s="1"/>
  <c r="AD1425" i="1" s="1"/>
  <c r="AD1426" i="1" s="1"/>
  <c r="AD1427" i="1" s="1"/>
  <c r="AD1428" i="1" s="1"/>
  <c r="AD1429" i="1" s="1"/>
  <c r="AD1430" i="1" s="1"/>
  <c r="AD1431" i="1" s="1"/>
  <c r="AD1432" i="1" s="1"/>
  <c r="AD1433" i="1" s="1"/>
  <c r="AD1434" i="1" s="1"/>
  <c r="AD1454" i="1"/>
  <c r="AD1455" i="1" s="1"/>
  <c r="AD1456" i="1" s="1"/>
  <c r="AD1457" i="1" s="1"/>
  <c r="AD1458" i="1" s="1"/>
  <c r="AD1459" i="1" s="1"/>
  <c r="AD1460" i="1" s="1"/>
  <c r="AD1461" i="1" s="1"/>
  <c r="AD1462" i="1" s="1"/>
  <c r="AD1463" i="1" s="1"/>
  <c r="AD1464" i="1" s="1"/>
  <c r="AD1465" i="1" s="1"/>
  <c r="E1455" i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B1468" i="1"/>
  <c r="B1469" i="1" s="1"/>
  <c r="B1470" i="1" s="1"/>
  <c r="B1471" i="1" s="1"/>
  <c r="B1472" i="1" s="1"/>
  <c r="B1473" i="1" s="1"/>
  <c r="B1475" i="1" s="1"/>
  <c r="B1476" i="1" s="1"/>
  <c r="B1477" i="1" s="1"/>
  <c r="B1478" i="1" s="1"/>
  <c r="B1479" i="1" s="1"/>
  <c r="B1480" i="1" s="1"/>
  <c r="E1485" i="1" s="1"/>
  <c r="AD1394" i="1" l="1"/>
  <c r="E1486" i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AD1485" i="1"/>
  <c r="AD1486" i="1" s="1"/>
  <c r="AD1487" i="1" s="1"/>
  <c r="AD1488" i="1" s="1"/>
  <c r="AD1489" i="1" s="1"/>
  <c r="AD1490" i="1" s="1"/>
  <c r="AD1491" i="1" s="1"/>
  <c r="AD1492" i="1" s="1"/>
  <c r="AD1493" i="1" s="1"/>
  <c r="AD1494" i="1" s="1"/>
  <c r="AD1495" i="1" s="1"/>
  <c r="AD1496" i="1" s="1"/>
  <c r="E1186" i="1"/>
  <c r="B1499" i="1"/>
  <c r="B1500" i="1" s="1"/>
  <c r="B1501" i="1" s="1"/>
  <c r="B1502" i="1" s="1"/>
  <c r="B1503" i="1" s="1"/>
  <c r="B1504" i="1" s="1"/>
  <c r="B1506" i="1" s="1"/>
  <c r="B1507" i="1" s="1"/>
  <c r="B1508" i="1" s="1"/>
  <c r="B1509" i="1" s="1"/>
  <c r="B1510" i="1" s="1"/>
  <c r="B1511" i="1" s="1"/>
  <c r="E1516" i="1" s="1"/>
  <c r="AD1516" i="1" l="1"/>
  <c r="AD1517" i="1" s="1"/>
  <c r="AD1518" i="1" s="1"/>
  <c r="AD1519" i="1" s="1"/>
  <c r="AD1520" i="1" s="1"/>
  <c r="AD1521" i="1" s="1"/>
  <c r="AD1522" i="1" s="1"/>
  <c r="AD1523" i="1" s="1"/>
  <c r="AD1524" i="1" s="1"/>
  <c r="AD1525" i="1" s="1"/>
  <c r="AD1526" i="1" s="1"/>
  <c r="AD1527" i="1" s="1"/>
  <c r="E1517" i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AD1395" i="1"/>
  <c r="B1530" i="1"/>
  <c r="B1531" i="1" s="1"/>
  <c r="B1532" i="1" s="1"/>
  <c r="B1533" i="1" s="1"/>
  <c r="B1534" i="1" s="1"/>
  <c r="B1535" i="1" s="1"/>
  <c r="B1537" i="1" s="1"/>
  <c r="B1538" i="1" s="1"/>
  <c r="B1539" i="1" s="1"/>
  <c r="B1540" i="1" s="1"/>
  <c r="B1541" i="1" s="1"/>
  <c r="B1542" i="1" s="1"/>
  <c r="E1547" i="1" l="1"/>
  <c r="AD1396" i="1"/>
  <c r="B1561" i="1"/>
  <c r="B1562" i="1" s="1"/>
  <c r="B1563" i="1" s="1"/>
  <c r="B1564" i="1" s="1"/>
  <c r="B1565" i="1" s="1"/>
  <c r="B1566" i="1" s="1"/>
  <c r="B1568" i="1" s="1"/>
  <c r="B1569" i="1" s="1"/>
  <c r="B1570" i="1" s="1"/>
  <c r="B1571" i="1" s="1"/>
  <c r="B1572" i="1" s="1"/>
  <c r="B1573" i="1" s="1"/>
  <c r="E1578" i="1" s="1"/>
  <c r="AD1397" i="1" l="1"/>
  <c r="AD1578" i="1"/>
  <c r="AD1579" i="1" s="1"/>
  <c r="AD1580" i="1" s="1"/>
  <c r="AD1581" i="1" s="1"/>
  <c r="AD1582" i="1" s="1"/>
  <c r="AD1583" i="1" s="1"/>
  <c r="AD1584" i="1" s="1"/>
  <c r="AD1585" i="1" s="1"/>
  <c r="AD1586" i="1" s="1"/>
  <c r="AD1587" i="1" s="1"/>
  <c r="AD1588" i="1" s="1"/>
  <c r="AD1589" i="1" s="1"/>
  <c r="E1579" i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AD1547" i="1"/>
  <c r="AD1548" i="1" s="1"/>
  <c r="AD1549" i="1" s="1"/>
  <c r="AD1550" i="1" s="1"/>
  <c r="AD1551" i="1" s="1"/>
  <c r="AD1552" i="1" s="1"/>
  <c r="AD1553" i="1" s="1"/>
  <c r="AD1554" i="1" s="1"/>
  <c r="AD1555" i="1" s="1"/>
  <c r="AD1556" i="1" s="1"/>
  <c r="AD1557" i="1" s="1"/>
  <c r="AD1558" i="1" s="1"/>
  <c r="E1548" i="1"/>
  <c r="B1592" i="1"/>
  <c r="B1593" i="1" s="1"/>
  <c r="B1594" i="1" s="1"/>
  <c r="B1595" i="1" s="1"/>
  <c r="B1596" i="1" s="1"/>
  <c r="B1597" i="1" s="1"/>
  <c r="B1599" i="1" s="1"/>
  <c r="B1600" i="1" s="1"/>
  <c r="B1601" i="1" s="1"/>
  <c r="B1602" i="1" s="1"/>
  <c r="B1603" i="1" s="1"/>
  <c r="B1604" i="1" s="1"/>
  <c r="E1549" i="1" l="1"/>
  <c r="E1609" i="1"/>
  <c r="AD1398" i="1"/>
  <c r="B1623" i="1"/>
  <c r="B1624" i="1" s="1"/>
  <c r="B1625" i="1" s="1"/>
  <c r="B1626" i="1" s="1"/>
  <c r="B1627" i="1" s="1"/>
  <c r="B1628" i="1" s="1"/>
  <c r="B1630" i="1" s="1"/>
  <c r="B1631" i="1" s="1"/>
  <c r="B1632" i="1" s="1"/>
  <c r="B1633" i="1" s="1"/>
  <c r="B1634" i="1" s="1"/>
  <c r="B1635" i="1" s="1"/>
  <c r="E1610" i="1" l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AD1609" i="1"/>
  <c r="AD1610" i="1" s="1"/>
  <c r="AD1611" i="1" s="1"/>
  <c r="AD1612" i="1" s="1"/>
  <c r="AD1613" i="1" s="1"/>
  <c r="AD1614" i="1" s="1"/>
  <c r="AD1615" i="1" s="1"/>
  <c r="AD1616" i="1" s="1"/>
  <c r="AD1617" i="1" s="1"/>
  <c r="AD1618" i="1" s="1"/>
  <c r="AD1619" i="1" s="1"/>
  <c r="AD1620" i="1" s="1"/>
  <c r="E1640" i="1"/>
  <c r="AD1399" i="1"/>
  <c r="E1550" i="1"/>
  <c r="B1654" i="1"/>
  <c r="B1655" i="1" s="1"/>
  <c r="B1656" i="1" s="1"/>
  <c r="B1657" i="1" s="1"/>
  <c r="B1658" i="1" s="1"/>
  <c r="B1659" i="1" s="1"/>
  <c r="B1661" i="1" s="1"/>
  <c r="B1662" i="1" s="1"/>
  <c r="B1663" i="1" s="1"/>
  <c r="B1664" i="1" s="1"/>
  <c r="B1665" i="1" s="1"/>
  <c r="B1666" i="1" s="1"/>
  <c r="E1671" i="1" s="1"/>
  <c r="AD1640" i="1" l="1"/>
  <c r="AD1641" i="1" s="1"/>
  <c r="AD1642" i="1" s="1"/>
  <c r="AD1643" i="1" s="1"/>
  <c r="AD1644" i="1" s="1"/>
  <c r="AD1645" i="1" s="1"/>
  <c r="AD1646" i="1" s="1"/>
  <c r="AD1647" i="1" s="1"/>
  <c r="AD1648" i="1" s="1"/>
  <c r="AD1649" i="1" s="1"/>
  <c r="AD1650" i="1" s="1"/>
  <c r="AD1651" i="1" s="1"/>
  <c r="E1641" i="1"/>
  <c r="AD1400" i="1"/>
  <c r="E1551" i="1"/>
  <c r="AD1671" i="1"/>
  <c r="AD1672" i="1" s="1"/>
  <c r="AD1673" i="1" s="1"/>
  <c r="AD1674" i="1" s="1"/>
  <c r="AD1675" i="1" s="1"/>
  <c r="AD1676" i="1" s="1"/>
  <c r="AD1677" i="1" s="1"/>
  <c r="AD1678" i="1" s="1"/>
  <c r="AD1679" i="1" s="1"/>
  <c r="AD1680" i="1" s="1"/>
  <c r="AD1681" i="1" s="1"/>
  <c r="AD1682" i="1" s="1"/>
  <c r="E1672" i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B1685" i="1"/>
  <c r="B1686" i="1" s="1"/>
  <c r="B1687" i="1" s="1"/>
  <c r="B1688" i="1" s="1"/>
  <c r="B1689" i="1" s="1"/>
  <c r="B1690" i="1" s="1"/>
  <c r="B1692" i="1" s="1"/>
  <c r="B1693" i="1" s="1"/>
  <c r="B1694" i="1" s="1"/>
  <c r="B1695" i="1" s="1"/>
  <c r="B1696" i="1" s="1"/>
  <c r="B1697" i="1" s="1"/>
  <c r="E1702" i="1" s="1"/>
  <c r="B1716" i="1" l="1"/>
  <c r="B1717" i="1" s="1"/>
  <c r="B1718" i="1" s="1"/>
  <c r="B1719" i="1" s="1"/>
  <c r="B1720" i="1" s="1"/>
  <c r="B1721" i="1" s="1"/>
  <c r="B1723" i="1" s="1"/>
  <c r="B1724" i="1" s="1"/>
  <c r="B1725" i="1" s="1"/>
  <c r="B1726" i="1" s="1"/>
  <c r="B1727" i="1" s="1"/>
  <c r="B1728" i="1" s="1"/>
  <c r="E1733" i="1" s="1"/>
  <c r="AD1401" i="1"/>
  <c r="E1703" i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AD1702" i="1"/>
  <c r="AD1703" i="1" s="1"/>
  <c r="AD1704" i="1" s="1"/>
  <c r="AD1705" i="1" s="1"/>
  <c r="AD1706" i="1" s="1"/>
  <c r="AD1707" i="1" s="1"/>
  <c r="AD1708" i="1" s="1"/>
  <c r="AD1709" i="1" s="1"/>
  <c r="AD1710" i="1" s="1"/>
  <c r="AD1711" i="1" s="1"/>
  <c r="AD1712" i="1" s="1"/>
  <c r="AD1713" i="1" s="1"/>
  <c r="E1642" i="1"/>
  <c r="E1552" i="1"/>
  <c r="B1747" i="1"/>
  <c r="B1748" i="1" s="1"/>
  <c r="B1749" i="1" s="1"/>
  <c r="B1750" i="1" s="1"/>
  <c r="B1751" i="1" s="1"/>
  <c r="B1752" i="1" s="1"/>
  <c r="B1754" i="1" s="1"/>
  <c r="B1755" i="1" s="1"/>
  <c r="B1756" i="1" s="1"/>
  <c r="B1757" i="1" s="1"/>
  <c r="B1758" i="1" s="1"/>
  <c r="B1759" i="1" s="1"/>
  <c r="E1764" i="1" s="1"/>
  <c r="E1765" i="1" l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AD1764" i="1"/>
  <c r="AD1765" i="1" s="1"/>
  <c r="AD1766" i="1" s="1"/>
  <c r="AD1767" i="1" s="1"/>
  <c r="AD1768" i="1" s="1"/>
  <c r="AD1769" i="1" s="1"/>
  <c r="AD1770" i="1" s="1"/>
  <c r="AD1771" i="1" s="1"/>
  <c r="AD1772" i="1" s="1"/>
  <c r="AD1773" i="1" s="1"/>
  <c r="AD1774" i="1" s="1"/>
  <c r="AD1775" i="1" s="1"/>
  <c r="E1553" i="1"/>
  <c r="E1643" i="1"/>
  <c r="AD1402" i="1"/>
  <c r="AD1733" i="1"/>
  <c r="AD1734" i="1" s="1"/>
  <c r="AD1735" i="1" s="1"/>
  <c r="AD1736" i="1" s="1"/>
  <c r="AD1737" i="1" s="1"/>
  <c r="AD1738" i="1" s="1"/>
  <c r="AD1739" i="1" s="1"/>
  <c r="AD1740" i="1" s="1"/>
  <c r="AD1741" i="1" s="1"/>
  <c r="AD1742" i="1" s="1"/>
  <c r="AD1743" i="1" s="1"/>
  <c r="AD1744" i="1" s="1"/>
  <c r="E1734" i="1"/>
  <c r="B1778" i="1"/>
  <c r="B1779" i="1" s="1"/>
  <c r="B1780" i="1" s="1"/>
  <c r="B1781" i="1" s="1"/>
  <c r="B1782" i="1" s="1"/>
  <c r="B1783" i="1" s="1"/>
  <c r="B1785" i="1" s="1"/>
  <c r="B1786" i="1" s="1"/>
  <c r="B1787" i="1" s="1"/>
  <c r="B1788" i="1" s="1"/>
  <c r="B1789" i="1" s="1"/>
  <c r="B1790" i="1" s="1"/>
  <c r="E1795" i="1" s="1"/>
  <c r="AD1403" i="1" l="1"/>
  <c r="E1735" i="1"/>
  <c r="E1554" i="1"/>
  <c r="E1644" i="1"/>
  <c r="E1796" i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AD1795" i="1"/>
  <c r="AD1796" i="1" s="1"/>
  <c r="AD1797" i="1" s="1"/>
  <c r="AD1798" i="1" s="1"/>
  <c r="AD1799" i="1" s="1"/>
  <c r="AD1800" i="1" s="1"/>
  <c r="AD1801" i="1" s="1"/>
  <c r="AD1802" i="1" s="1"/>
  <c r="AD1803" i="1" s="1"/>
  <c r="AD1804" i="1" s="1"/>
  <c r="AD1805" i="1" s="1"/>
  <c r="AD1806" i="1" s="1"/>
  <c r="B1809" i="1"/>
  <c r="B1810" i="1" s="1"/>
  <c r="B1811" i="1" s="1"/>
  <c r="B1812" i="1" s="1"/>
  <c r="B1813" i="1" s="1"/>
  <c r="B1814" i="1" s="1"/>
  <c r="B1816" i="1" s="1"/>
  <c r="B1817" i="1" s="1"/>
  <c r="B1818" i="1" s="1"/>
  <c r="B1819" i="1" s="1"/>
  <c r="B1820" i="1" s="1"/>
  <c r="B1821" i="1" s="1"/>
  <c r="E1826" i="1" s="1"/>
  <c r="AD1826" i="1" l="1"/>
  <c r="AD1827" i="1" s="1"/>
  <c r="AD1828" i="1" s="1"/>
  <c r="AD1829" i="1" s="1"/>
  <c r="AD1830" i="1" s="1"/>
  <c r="AD1831" i="1" s="1"/>
  <c r="AD1832" i="1" s="1"/>
  <c r="AD1833" i="1" s="1"/>
  <c r="AD1834" i="1" s="1"/>
  <c r="AD1835" i="1" s="1"/>
  <c r="AD1836" i="1" s="1"/>
  <c r="AD1837" i="1" s="1"/>
  <c r="E1827" i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645" i="1"/>
  <c r="E1736" i="1"/>
  <c r="E1555" i="1"/>
  <c r="B1840" i="1"/>
  <c r="B1841" i="1" s="1"/>
  <c r="B1842" i="1" s="1"/>
  <c r="B1843" i="1" s="1"/>
  <c r="B1844" i="1" s="1"/>
  <c r="B1845" i="1" s="1"/>
  <c r="B1847" i="1" s="1"/>
  <c r="B1848" i="1" s="1"/>
  <c r="B1849" i="1" s="1"/>
  <c r="B1850" i="1" s="1"/>
  <c r="B1851" i="1" s="1"/>
  <c r="B1852" i="1" s="1"/>
  <c r="E1857" i="1" s="1"/>
  <c r="AD1857" i="1" l="1"/>
  <c r="AD1858" i="1" s="1"/>
  <c r="AD1859" i="1" s="1"/>
  <c r="AD1860" i="1" s="1"/>
  <c r="AD1861" i="1" s="1"/>
  <c r="AD1862" i="1" s="1"/>
  <c r="AD1863" i="1" s="1"/>
  <c r="AD1864" i="1" s="1"/>
  <c r="AD1865" i="1" s="1"/>
  <c r="AD1866" i="1" s="1"/>
  <c r="AD1867" i="1" s="1"/>
  <c r="AD1868" i="1" s="1"/>
  <c r="E1858" i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556" i="1"/>
  <c r="E1737" i="1"/>
  <c r="E1646" i="1"/>
  <c r="E1647" i="1" l="1"/>
  <c r="E1557" i="1"/>
  <c r="E1738" i="1"/>
  <c r="E1558" i="1" l="1"/>
  <c r="E1739" i="1"/>
  <c r="E1648" i="1"/>
  <c r="E1740" i="1" l="1"/>
  <c r="E1649" i="1"/>
  <c r="E1650" i="1" l="1"/>
  <c r="E1741" i="1"/>
  <c r="E1742" i="1" l="1"/>
  <c r="E1651" i="1"/>
  <c r="E1743" i="1" l="1"/>
  <c r="E1744" i="1" l="1"/>
</calcChain>
</file>

<file path=xl/sharedStrings.xml><?xml version="1.0" encoding="utf-8"?>
<sst xmlns="http://schemas.openxmlformats.org/spreadsheetml/2006/main" count="2673" uniqueCount="257">
  <si>
    <t xml:space="preserve">Дата </t>
  </si>
  <si>
    <t>Номенклатура</t>
  </si>
  <si>
    <t>Ф.И.О. мастера</t>
  </si>
  <si>
    <t>Количество замесов</t>
  </si>
  <si>
    <t>Норма, кг</t>
  </si>
  <si>
    <t>С.А. Платонов</t>
  </si>
  <si>
    <t>Нормы расхода основных и вспомогательных материалов</t>
  </si>
  <si>
    <t>наименование листа</t>
  </si>
  <si>
    <t>Расход материалов на лист</t>
  </si>
  <si>
    <t>Расход материалов на замес</t>
  </si>
  <si>
    <t>Геометрические размеры листа</t>
  </si>
  <si>
    <t>Объем листа, м3</t>
  </si>
  <si>
    <t>ЛСТ</t>
  </si>
  <si>
    <t xml:space="preserve">Асбест А5-65 </t>
  </si>
  <si>
    <t>Количество листов с замеса</t>
  </si>
  <si>
    <t>Длина, мм</t>
  </si>
  <si>
    <t>Ширина, мм</t>
  </si>
  <si>
    <t>Толщина, мм</t>
  </si>
  <si>
    <t xml:space="preserve">кг </t>
  </si>
  <si>
    <t>кг</t>
  </si>
  <si>
    <t>Объем продукта, м3</t>
  </si>
  <si>
    <t>№ партии</t>
  </si>
  <si>
    <t>номенклтуры №</t>
  </si>
  <si>
    <t>№ номенклатуры</t>
  </si>
  <si>
    <t>№ ЛФМ</t>
  </si>
  <si>
    <t>Раход на замес, кг</t>
  </si>
  <si>
    <t>№ смены</t>
  </si>
  <si>
    <t>Асбест А4-20</t>
  </si>
  <si>
    <t>1Н</t>
  </si>
  <si>
    <t>1Д</t>
  </si>
  <si>
    <t>ТИП ПОДДОНА/размер бруса</t>
  </si>
  <si>
    <t>Тип/ размер поддона / бруса</t>
  </si>
  <si>
    <t>ЛФМ 1</t>
  </si>
  <si>
    <t>ЛФМ 2</t>
  </si>
  <si>
    <t>ИТОГО за год, т</t>
  </si>
  <si>
    <t>Янв</t>
  </si>
  <si>
    <t>Наименование</t>
  </si>
  <si>
    <t>Количество</t>
  </si>
  <si>
    <t>листов</t>
  </si>
  <si>
    <t>тонн</t>
  </si>
  <si>
    <t>Дата производства</t>
  </si>
  <si>
    <t>переработано в номенклатуру</t>
  </si>
  <si>
    <t>Дата распиловки</t>
  </si>
  <si>
    <t>партия</t>
  </si>
  <si>
    <t>Дата реализации</t>
  </si>
  <si>
    <t>Количество листов 1 стопе</t>
  </si>
  <si>
    <t>выход листов с замеса, факт</t>
  </si>
  <si>
    <t>выход листов с замеса, норма</t>
  </si>
  <si>
    <t>"Утверждаю" ____________</t>
  </si>
  <si>
    <t xml:space="preserve">    Производственный отчет за смену</t>
  </si>
  <si>
    <t>Количество, готового продукта</t>
  </si>
  <si>
    <t>Факт по зам., кг</t>
  </si>
  <si>
    <t>Май</t>
  </si>
  <si>
    <t>Факт с дозатора, кг</t>
  </si>
  <si>
    <t>Расход факт силос 1/3</t>
  </si>
  <si>
    <t>Расход факт силос 2/4</t>
  </si>
  <si>
    <t>Факт, кг</t>
  </si>
  <si>
    <t>Дата</t>
  </si>
  <si>
    <t>Факт с доз., кг</t>
  </si>
  <si>
    <t>Факт по доз., кг</t>
  </si>
  <si>
    <t>цемент Цем 1 42,5 Н</t>
  </si>
  <si>
    <t>Цем 1 42,5 Н</t>
  </si>
  <si>
    <t>вода</t>
  </si>
  <si>
    <t>л.</t>
  </si>
  <si>
    <t>Кол-во влаги в листе 12%</t>
  </si>
  <si>
    <t>Всего в смеске кг с учетом воды 12%</t>
  </si>
  <si>
    <t>"_____" _________________ 2022 г.</t>
  </si>
  <si>
    <t>Инженер технолог ООО "Фибратек"</t>
  </si>
  <si>
    <t>Туматов Д.А.</t>
  </si>
  <si>
    <t>Директор технический  ООО "Фибратек"</t>
  </si>
  <si>
    <t xml:space="preserve">Вес листа с учетом 12% (11 хим. связанной воды + 1% угликислоты) </t>
  </si>
  <si>
    <t xml:space="preserve"> с 25.10.2022г.</t>
  </si>
  <si>
    <t xml:space="preserve"> В.И Шувалов</t>
  </si>
  <si>
    <t>общ</t>
  </si>
  <si>
    <t>Время простоя, мин</t>
  </si>
  <si>
    <t>Масса готового продукта</t>
  </si>
  <si>
    <t>ИТОГО, т</t>
  </si>
  <si>
    <t>Кремнезем 2% р-р, кг</t>
  </si>
  <si>
    <t>ЭкоКремний</t>
  </si>
  <si>
    <t>СИЛОС 5                 (зола - уноса)</t>
  </si>
  <si>
    <t>СИЛОС 1 (120т)</t>
  </si>
  <si>
    <t>СИЛОС 2 (120т)</t>
  </si>
  <si>
    <t>СИЛОС 3 (120т)</t>
  </si>
  <si>
    <t>СИЛОС 4 (120т)</t>
  </si>
  <si>
    <t>заг 1</t>
  </si>
  <si>
    <t>заг 2</t>
  </si>
  <si>
    <t>Сбросы, шт</t>
  </si>
  <si>
    <t xml:space="preserve">                                                  </t>
  </si>
  <si>
    <t>Стекловолокно 40мм</t>
  </si>
  <si>
    <t>Целлюлоза</t>
  </si>
  <si>
    <t xml:space="preserve">Расход вспомогательных материалов </t>
  </si>
  <si>
    <t xml:space="preserve">Сукно техническое </t>
  </si>
  <si>
    <t>шт</t>
  </si>
  <si>
    <t>сетка нижняя №2,м2</t>
  </si>
  <si>
    <t xml:space="preserve">Пеногаситель </t>
  </si>
  <si>
    <t xml:space="preserve">Количество усл. плиток в листе </t>
  </si>
  <si>
    <t>Флокулянт</t>
  </si>
  <si>
    <t>соляная кислота,кг</t>
  </si>
  <si>
    <t>%</t>
  </si>
  <si>
    <t>Содержание хризотила  общее, %</t>
  </si>
  <si>
    <t>МАССА листа с учето12 % химически связанной воды и 12% влаги (из них 1 % угл.кислоты)</t>
  </si>
  <si>
    <t xml:space="preserve">кг/ лист </t>
  </si>
  <si>
    <t>м2/лист</t>
  </si>
  <si>
    <t>кг/л</t>
  </si>
  <si>
    <t>кг/лист</t>
  </si>
  <si>
    <t>мм</t>
  </si>
  <si>
    <t>Целлюлоза, кг</t>
  </si>
  <si>
    <t>Хризотил 4-20, кг</t>
  </si>
  <si>
    <t xml:space="preserve"> Хризотил 5-65, кг</t>
  </si>
  <si>
    <t>Хризотил 6-45, кг</t>
  </si>
  <si>
    <t>Зола - уноса, кг</t>
  </si>
  <si>
    <t>Цем 1 42,5 Н, кг</t>
  </si>
  <si>
    <t>Фев</t>
  </si>
  <si>
    <t>Мар</t>
  </si>
  <si>
    <t>Апр</t>
  </si>
  <si>
    <t>Июн</t>
  </si>
  <si>
    <t>Июл</t>
  </si>
  <si>
    <t>Авг</t>
  </si>
  <si>
    <t>Окт</t>
  </si>
  <si>
    <t>Ноя</t>
  </si>
  <si>
    <t>Дек</t>
  </si>
  <si>
    <t>Прочий мин порошок</t>
  </si>
  <si>
    <t>СИЛОС 6                 (зола - уноса)</t>
  </si>
  <si>
    <t xml:space="preserve">Сил.1 </t>
  </si>
  <si>
    <t xml:space="preserve">Сил.2 </t>
  </si>
  <si>
    <t>Сил. 5</t>
  </si>
  <si>
    <t>Общ.</t>
  </si>
  <si>
    <t>Сент</t>
  </si>
  <si>
    <t>Приход / Остаток цемента по силосам</t>
  </si>
  <si>
    <t xml:space="preserve">Расход материалов в смену </t>
  </si>
  <si>
    <r>
      <t xml:space="preserve">                                                                                           </t>
    </r>
    <r>
      <rPr>
        <sz val="20"/>
        <color theme="1"/>
        <rFont val="Times New Roman"/>
        <family val="1"/>
        <charset val="204"/>
      </rPr>
      <t xml:space="preserve">           Ежесменный учет простостоев ЛФМ №1</t>
    </r>
  </si>
  <si>
    <t xml:space="preserve">                          Причина простоя</t>
  </si>
  <si>
    <t>Зола уноса</t>
  </si>
  <si>
    <t>Стекловол. 40мм</t>
  </si>
  <si>
    <t>Общ. Цемент, кг</t>
  </si>
  <si>
    <t>Зола уноса, кг</t>
  </si>
  <si>
    <t>4-20</t>
  </si>
  <si>
    <t>5-65</t>
  </si>
  <si>
    <t>6-45</t>
  </si>
  <si>
    <t>Хризотил, кг</t>
  </si>
  <si>
    <t xml:space="preserve">Сил.3 </t>
  </si>
  <si>
    <t xml:space="preserve">Сил.4 </t>
  </si>
  <si>
    <t>Сил. 6</t>
  </si>
  <si>
    <t xml:space="preserve">Количество </t>
  </si>
  <si>
    <r>
      <t xml:space="preserve">                                                                                                   </t>
    </r>
    <r>
      <rPr>
        <sz val="20"/>
        <color theme="1"/>
        <rFont val="Times New Roman"/>
        <family val="1"/>
        <charset val="204"/>
      </rPr>
      <t xml:space="preserve">   Ежесменный учет простостоев ЛФМ №2</t>
    </r>
  </si>
  <si>
    <t>2Д</t>
  </si>
  <si>
    <t>2Н</t>
  </si>
  <si>
    <t>Дневная смена ЛФМ 1</t>
  </si>
  <si>
    <t>Дневная смена ЛФМ 2</t>
  </si>
  <si>
    <t>Ночная смена ЛФМ 2</t>
  </si>
  <si>
    <t>3Д</t>
  </si>
  <si>
    <t>3Н</t>
  </si>
  <si>
    <t>4Д</t>
  </si>
  <si>
    <t>4Н</t>
  </si>
  <si>
    <t>5Д</t>
  </si>
  <si>
    <t>5Н</t>
  </si>
  <si>
    <t>6Н</t>
  </si>
  <si>
    <t>6Д</t>
  </si>
  <si>
    <t>7Д</t>
  </si>
  <si>
    <t>7Н</t>
  </si>
  <si>
    <t>8Д</t>
  </si>
  <si>
    <t>8Н</t>
  </si>
  <si>
    <t>9Д</t>
  </si>
  <si>
    <t>9Н</t>
  </si>
  <si>
    <t>10Д</t>
  </si>
  <si>
    <t>10Н</t>
  </si>
  <si>
    <t>11Д</t>
  </si>
  <si>
    <t>11Н</t>
  </si>
  <si>
    <t>12Д</t>
  </si>
  <si>
    <t>12Н</t>
  </si>
  <si>
    <t>13Д</t>
  </si>
  <si>
    <t>13Н</t>
  </si>
  <si>
    <t>14Д</t>
  </si>
  <si>
    <t>14Н</t>
  </si>
  <si>
    <t>15Д</t>
  </si>
  <si>
    <t>15Н</t>
  </si>
  <si>
    <t>16Д</t>
  </si>
  <si>
    <t>16Н</t>
  </si>
  <si>
    <t>17Д</t>
  </si>
  <si>
    <t>17Н</t>
  </si>
  <si>
    <t>18Д</t>
  </si>
  <si>
    <t>18Н</t>
  </si>
  <si>
    <t>19Д</t>
  </si>
  <si>
    <t>19Н</t>
  </si>
  <si>
    <t>20Д</t>
  </si>
  <si>
    <t>20Н</t>
  </si>
  <si>
    <t>21Д</t>
  </si>
  <si>
    <t>21Н</t>
  </si>
  <si>
    <t>22Д</t>
  </si>
  <si>
    <t>22Н</t>
  </si>
  <si>
    <t>23Д</t>
  </si>
  <si>
    <t>23Н</t>
  </si>
  <si>
    <t>24Д</t>
  </si>
  <si>
    <t>24Н</t>
  </si>
  <si>
    <t>25Д</t>
  </si>
  <si>
    <t>25Н</t>
  </si>
  <si>
    <t>26Д</t>
  </si>
  <si>
    <t>26Н</t>
  </si>
  <si>
    <t>27Д</t>
  </si>
  <si>
    <t>27Н</t>
  </si>
  <si>
    <t>28Д</t>
  </si>
  <si>
    <t>28Н</t>
  </si>
  <si>
    <t>29Д</t>
  </si>
  <si>
    <t>29Н</t>
  </si>
  <si>
    <t>30Д</t>
  </si>
  <si>
    <t>30Н</t>
  </si>
  <si>
    <t xml:space="preserve">Расход материалов на лист с учетом потерь </t>
  </si>
  <si>
    <t>цемент 42,5 Н</t>
  </si>
  <si>
    <t>асбест 5-65</t>
  </si>
  <si>
    <t>асбест 6-45</t>
  </si>
  <si>
    <t>асбест 4-20</t>
  </si>
  <si>
    <t>заг 3</t>
  </si>
  <si>
    <t>заг 4</t>
  </si>
  <si>
    <t>Итого:</t>
  </si>
  <si>
    <t>Подача асбестит, сек.</t>
  </si>
  <si>
    <t>м3</t>
  </si>
  <si>
    <r>
      <t xml:space="preserve">кг   </t>
    </r>
    <r>
      <rPr>
        <b/>
        <sz val="18"/>
        <rFont val="Times New Roman"/>
        <family val="1"/>
        <charset val="204"/>
      </rPr>
      <t>/</t>
    </r>
  </si>
  <si>
    <r>
      <t xml:space="preserve">кг     </t>
    </r>
    <r>
      <rPr>
        <b/>
        <sz val="18"/>
        <rFont val="Times New Roman"/>
        <family val="1"/>
        <charset val="204"/>
      </rPr>
      <t>/</t>
    </r>
  </si>
  <si>
    <t>Асбестит кг сух. в 1 сек.</t>
  </si>
  <si>
    <t>Асбестит кг сух</t>
  </si>
  <si>
    <t>Ночная  смена ЛФМ 1</t>
  </si>
  <si>
    <t>Асбест А6-40</t>
  </si>
  <si>
    <t>Дробленый шифер</t>
  </si>
  <si>
    <t xml:space="preserve">Дробленый шифер </t>
  </si>
  <si>
    <t>Асбозурит</t>
  </si>
  <si>
    <t>сетка верхняя №28,м2</t>
  </si>
  <si>
    <t>8 волн рифл</t>
  </si>
  <si>
    <t>цемент Цем1 42,5Н</t>
  </si>
  <si>
    <t>Нормы расхода основных и вспомогательных материалов.</t>
  </si>
  <si>
    <t>Поддон 1750х1130</t>
  </si>
  <si>
    <t>Лапрол</t>
  </si>
  <si>
    <t>плоский 10 мм</t>
  </si>
  <si>
    <t>плоский 8 мм</t>
  </si>
  <si>
    <t>7 волн рифл</t>
  </si>
  <si>
    <t>плоский 6 мм</t>
  </si>
  <si>
    <t>7 волн 3500*980</t>
  </si>
  <si>
    <t>Римская черепица 1750*930</t>
  </si>
  <si>
    <t>Римская черепица 875*930</t>
  </si>
  <si>
    <t>коричневый</t>
  </si>
  <si>
    <t>красный</t>
  </si>
  <si>
    <t>Грунтовка</t>
  </si>
  <si>
    <t>Цех</t>
  </si>
  <si>
    <t>Наименование продукции</t>
  </si>
  <si>
    <t>корич</t>
  </si>
  <si>
    <t>графит</t>
  </si>
  <si>
    <t>Расход в цеху на 1м2</t>
  </si>
  <si>
    <t>Расход в ЛКЦ на 1м2</t>
  </si>
  <si>
    <t>Размер листа</t>
  </si>
  <si>
    <t>Расход на лист</t>
  </si>
  <si>
    <t>Общий расход на лист цех и ЛКЦ</t>
  </si>
  <si>
    <t>ЛКЦ</t>
  </si>
  <si>
    <t>Лак, кг</t>
  </si>
  <si>
    <t>Пигмент, кг</t>
  </si>
  <si>
    <t>длина, м</t>
  </si>
  <si>
    <t>ширина, м</t>
  </si>
  <si>
    <t>площадь покрытия, кв м</t>
  </si>
  <si>
    <t>Грунтовка,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</si>
</sst>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₽_-;\-* #,##0.00\ _₽_-;_-* &quot;-&quot;??\ _₽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  <numFmt numFmtId="171" formatCode="d/m;@"/>
    <numFmt numFmtId="172" formatCode="_-* #,##0_р_._-;\-* #,##0_р_._-;_-* &quot;-&quot;??_р_._-;_-@_-"/>
    <numFmt numFmtId="173" formatCode="_-* #,##0.000_р_._-;\-* #,##0.000_р_._-;_-* &quot;-&quot;??_р_._-;_-@_-"/>
    <numFmt numFmtId="174" formatCode="0.00000"/>
    <numFmt numFmtId="175" formatCode="0.0%"/>
    <numFmt numFmtId="176" formatCode="0.000000"/>
    <numFmt numFmtId="177" formatCode="[h]:mm:ss;@"/>
    <numFmt numFmtId="178" formatCode="0.0000%"/>
  </numFmts>
  <fonts count="4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2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28"/>
      <color theme="1"/>
      <name val="Calibri"/>
      <family val="2"/>
      <charset val="204"/>
      <scheme val="minor"/>
    </font>
    <font>
      <i/>
      <sz val="18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sz val="18"/>
      <name val="Times New Roman"/>
      <family val="1"/>
      <charset val="204"/>
    </font>
    <font>
      <sz val="15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2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165" fontId="23" fillId="0" borderId="0" applyFont="0" applyFill="0" applyBorder="0" applyAlignment="0" applyProtection="0"/>
  </cellStyleXfs>
  <cellXfs count="47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6" xfId="0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55" xfId="0" applyFont="1" applyBorder="1"/>
    <xf numFmtId="0" fontId="0" fillId="0" borderId="2" xfId="0" applyBorder="1"/>
    <xf numFmtId="0" fontId="0" fillId="0" borderId="11" xfId="0" applyBorder="1"/>
    <xf numFmtId="0" fontId="0" fillId="0" borderId="17" xfId="0" applyBorder="1"/>
    <xf numFmtId="170" fontId="2" fillId="3" borderId="14" xfId="0" applyNumberFormat="1" applyFont="1" applyFill="1" applyBorder="1" applyAlignment="1">
      <alignment horizontal="left" vertical="center"/>
    </xf>
    <xf numFmtId="0" fontId="0" fillId="0" borderId="16" xfId="0" applyBorder="1"/>
    <xf numFmtId="0" fontId="0" fillId="0" borderId="33" xfId="0" applyBorder="1"/>
    <xf numFmtId="0" fontId="0" fillId="0" borderId="35" xfId="0" applyBorder="1"/>
    <xf numFmtId="0" fontId="0" fillId="0" borderId="14" xfId="0" applyBorder="1"/>
    <xf numFmtId="0" fontId="0" fillId="0" borderId="59" xfId="0" applyBorder="1"/>
    <xf numFmtId="0" fontId="0" fillId="0" borderId="58" xfId="0" applyBorder="1"/>
    <xf numFmtId="0" fontId="0" fillId="0" borderId="3" xfId="0" applyBorder="1"/>
    <xf numFmtId="0" fontId="0" fillId="0" borderId="53" xfId="0" applyBorder="1"/>
    <xf numFmtId="0" fontId="0" fillId="0" borderId="36" xfId="0" applyBorder="1"/>
    <xf numFmtId="0" fontId="0" fillId="0" borderId="21" xfId="0" applyBorder="1"/>
    <xf numFmtId="0" fontId="0" fillId="0" borderId="10" xfId="0" applyBorder="1"/>
    <xf numFmtId="0" fontId="0" fillId="0" borderId="26" xfId="0" applyBorder="1"/>
    <xf numFmtId="0" fontId="0" fillId="0" borderId="5" xfId="0" applyBorder="1"/>
    <xf numFmtId="0" fontId="0" fillId="0" borderId="19" xfId="0" applyBorder="1"/>
    <xf numFmtId="0" fontId="0" fillId="0" borderId="46" xfId="0" applyBorder="1"/>
    <xf numFmtId="0" fontId="0" fillId="0" borderId="48" xfId="0" applyBorder="1"/>
    <xf numFmtId="0" fontId="2" fillId="3" borderId="10" xfId="0" applyFont="1" applyFill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1" fontId="2" fillId="3" borderId="49" xfId="0" applyNumberFormat="1" applyFont="1" applyFill="1" applyBorder="1" applyAlignment="1">
      <alignment horizontal="center" vertical="center"/>
    </xf>
    <xf numFmtId="1" fontId="2" fillId="3" borderId="4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3" borderId="50" xfId="0" applyNumberFormat="1" applyFont="1" applyFill="1" applyBorder="1" applyAlignment="1">
      <alignment horizontal="center" vertical="center"/>
    </xf>
    <xf numFmtId="171" fontId="2" fillId="3" borderId="0" xfId="0" applyNumberFormat="1" applyFont="1" applyFill="1"/>
    <xf numFmtId="1" fontId="2" fillId="3" borderId="21" xfId="0" applyNumberFormat="1" applyFont="1" applyFill="1" applyBorder="1" applyAlignment="1">
      <alignment horizontal="center" vertical="center"/>
    </xf>
    <xf numFmtId="0" fontId="2" fillId="3" borderId="0" xfId="0" applyFont="1" applyFill="1"/>
    <xf numFmtId="1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32" xfId="0" applyFont="1" applyFill="1" applyBorder="1" applyAlignment="1">
      <alignment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166" fontId="2" fillId="3" borderId="43" xfId="0" applyNumberFormat="1" applyFont="1" applyFill="1" applyBorder="1" applyAlignment="1">
      <alignment horizontal="center" vertical="center"/>
    </xf>
    <xf numFmtId="1" fontId="2" fillId="3" borderId="44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1" fontId="2" fillId="3" borderId="33" xfId="0" applyNumberFormat="1" applyFont="1" applyFill="1" applyBorder="1" applyAlignment="1">
      <alignment horizontal="center" vertical="center"/>
    </xf>
    <xf numFmtId="1" fontId="2" fillId="3" borderId="36" xfId="0" applyNumberFormat="1" applyFont="1" applyFill="1" applyBorder="1" applyAlignment="1">
      <alignment horizontal="center" vertical="center"/>
    </xf>
    <xf numFmtId="1" fontId="2" fillId="3" borderId="34" xfId="0" applyNumberFormat="1" applyFont="1" applyFill="1" applyBorder="1" applyAlignment="1">
      <alignment horizontal="center" vertical="center"/>
    </xf>
    <xf numFmtId="170" fontId="2" fillId="3" borderId="42" xfId="0" applyNumberFormat="1" applyFont="1" applyFill="1" applyBorder="1" applyAlignment="1">
      <alignment horizontal="left" vertical="center"/>
    </xf>
    <xf numFmtId="0" fontId="7" fillId="3" borderId="43" xfId="0" applyFont="1" applyFill="1" applyBorder="1" applyAlignment="1">
      <alignment vertical="center"/>
    </xf>
    <xf numFmtId="166" fontId="7" fillId="3" borderId="43" xfId="0" applyNumberFormat="1" applyFont="1" applyFill="1" applyBorder="1" applyAlignment="1">
      <alignment vertical="center"/>
    </xf>
    <xf numFmtId="1" fontId="2" fillId="3" borderId="43" xfId="0" applyNumberFormat="1" applyFont="1" applyFill="1" applyBorder="1" applyAlignment="1">
      <alignment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14" fontId="2" fillId="3" borderId="25" xfId="0" applyNumberFormat="1" applyFont="1" applyFill="1" applyBorder="1" applyAlignment="1">
      <alignment vertical="center"/>
    </xf>
    <xf numFmtId="14" fontId="8" fillId="3" borderId="25" xfId="0" applyNumberFormat="1" applyFont="1" applyFill="1" applyBorder="1" applyAlignment="1">
      <alignment vertical="center"/>
    </xf>
    <xf numFmtId="14" fontId="2" fillId="3" borderId="25" xfId="0" applyNumberFormat="1" applyFont="1" applyFill="1" applyBorder="1" applyAlignment="1">
      <alignment horizontal="center" vertical="center"/>
    </xf>
    <xf numFmtId="14" fontId="2" fillId="3" borderId="22" xfId="0" applyNumberFormat="1" applyFont="1" applyFill="1" applyBorder="1" applyAlignment="1">
      <alignment horizontal="center" vertical="center"/>
    </xf>
    <xf numFmtId="14" fontId="2" fillId="3" borderId="32" xfId="0" applyNumberFormat="1" applyFont="1" applyFill="1" applyBorder="1" applyAlignment="1">
      <alignment vertical="center"/>
    </xf>
    <xf numFmtId="14" fontId="8" fillId="3" borderId="32" xfId="0" applyNumberFormat="1" applyFont="1" applyFill="1" applyBorder="1" applyAlignment="1">
      <alignment vertical="center"/>
    </xf>
    <xf numFmtId="14" fontId="2" fillId="3" borderId="32" xfId="0" applyNumberFormat="1" applyFont="1" applyFill="1" applyBorder="1" applyAlignment="1">
      <alignment horizontal="center" vertical="center"/>
    </xf>
    <xf numFmtId="14" fontId="2" fillId="3" borderId="52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center" vertical="center"/>
    </xf>
    <xf numFmtId="169" fontId="2" fillId="3" borderId="17" xfId="0" applyNumberFormat="1" applyFont="1" applyFill="1" applyBorder="1" applyAlignment="1">
      <alignment horizontal="center" vertical="center"/>
    </xf>
    <xf numFmtId="169" fontId="2" fillId="3" borderId="34" xfId="0" applyNumberFormat="1" applyFont="1" applyFill="1" applyBorder="1" applyAlignment="1">
      <alignment horizontal="center" vertical="center"/>
    </xf>
    <xf numFmtId="169" fontId="2" fillId="3" borderId="35" xfId="0" applyNumberFormat="1" applyFont="1" applyFill="1" applyBorder="1" applyAlignment="1">
      <alignment horizontal="center" vertical="center"/>
    </xf>
    <xf numFmtId="14" fontId="2" fillId="3" borderId="32" xfId="0" applyNumberFormat="1" applyFont="1" applyFill="1" applyBorder="1" applyAlignment="1">
      <alignment horizontal="left" vertical="center"/>
    </xf>
    <xf numFmtId="166" fontId="2" fillId="3" borderId="32" xfId="0" applyNumberFormat="1" applyFont="1" applyFill="1" applyBorder="1" applyAlignment="1">
      <alignment horizontal="center" vertical="center"/>
    </xf>
    <xf numFmtId="14" fontId="7" fillId="3" borderId="32" xfId="0" applyNumberFormat="1" applyFont="1" applyFill="1" applyBorder="1" applyAlignment="1">
      <alignment horizontal="left" vertical="center"/>
    </xf>
    <xf numFmtId="166" fontId="2" fillId="3" borderId="32" xfId="0" applyNumberFormat="1" applyFont="1" applyFill="1" applyBorder="1" applyAlignment="1">
      <alignment horizontal="left" vertical="center"/>
    </xf>
    <xf numFmtId="14" fontId="8" fillId="3" borderId="32" xfId="0" applyNumberFormat="1" applyFont="1" applyFill="1" applyBorder="1" applyAlignment="1">
      <alignment horizontal="left" vertical="center"/>
    </xf>
    <xf numFmtId="169" fontId="2" fillId="3" borderId="32" xfId="0" applyNumberFormat="1" applyFont="1" applyFill="1" applyBorder="1" applyAlignment="1">
      <alignment horizontal="center" vertical="center"/>
    </xf>
    <xf numFmtId="14" fontId="2" fillId="3" borderId="32" xfId="0" applyNumberFormat="1" applyFont="1" applyFill="1" applyBorder="1" applyAlignment="1">
      <alignment vertical="center" readingOrder="1"/>
    </xf>
    <xf numFmtId="14" fontId="14" fillId="3" borderId="32" xfId="0" applyNumberFormat="1" applyFont="1" applyFill="1" applyBorder="1" applyAlignment="1">
      <alignment horizontal="left" vertical="center"/>
    </xf>
    <xf numFmtId="169" fontId="7" fillId="3" borderId="32" xfId="0" applyNumberFormat="1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 textRotation="90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2" fillId="3" borderId="43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textRotation="90" wrapText="1"/>
    </xf>
    <xf numFmtId="1" fontId="2" fillId="3" borderId="14" xfId="0" applyNumberFormat="1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6" fontId="2" fillId="3" borderId="44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9" fontId="7" fillId="3" borderId="16" xfId="0" applyNumberFormat="1" applyFont="1" applyFill="1" applyBorder="1" applyAlignment="1">
      <alignment horizontal="center" vertical="center"/>
    </xf>
    <xf numFmtId="169" fontId="7" fillId="3" borderId="33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vertical="center"/>
    </xf>
    <xf numFmtId="14" fontId="13" fillId="3" borderId="25" xfId="0" applyNumberFormat="1" applyFont="1" applyFill="1" applyBorder="1" applyAlignment="1">
      <alignment vertical="center"/>
    </xf>
    <xf numFmtId="166" fontId="8" fillId="3" borderId="25" xfId="0" applyNumberFormat="1" applyFont="1" applyFill="1" applyBorder="1" applyAlignment="1">
      <alignment vertical="center"/>
    </xf>
    <xf numFmtId="14" fontId="13" fillId="3" borderId="25" xfId="0" applyNumberFormat="1" applyFont="1" applyFill="1" applyBorder="1" applyAlignment="1">
      <alignment horizontal="center" vertical="center"/>
    </xf>
    <xf numFmtId="14" fontId="13" fillId="3" borderId="32" xfId="0" applyNumberFormat="1" applyFont="1" applyFill="1" applyBorder="1" applyAlignment="1">
      <alignment vertical="center"/>
    </xf>
    <xf numFmtId="166" fontId="8" fillId="3" borderId="32" xfId="0" applyNumberFormat="1" applyFont="1" applyFill="1" applyBorder="1" applyAlignment="1">
      <alignment vertical="center"/>
    </xf>
    <xf numFmtId="14" fontId="13" fillId="3" borderId="32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left" vertical="center"/>
    </xf>
    <xf numFmtId="14" fontId="24" fillId="3" borderId="25" xfId="0" applyNumberFormat="1" applyFont="1" applyFill="1" applyBorder="1" applyAlignment="1">
      <alignment vertical="center"/>
    </xf>
    <xf numFmtId="0" fontId="13" fillId="3" borderId="43" xfId="0" applyFont="1" applyFill="1" applyBorder="1" applyAlignment="1">
      <alignment vertical="center"/>
    </xf>
    <xf numFmtId="0" fontId="2" fillId="3" borderId="62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167" fontId="18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166" fontId="18" fillId="6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textRotation="90" wrapText="1"/>
    </xf>
    <xf numFmtId="0" fontId="13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19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textRotation="90" wrapText="1"/>
    </xf>
    <xf numFmtId="0" fontId="2" fillId="7" borderId="34" xfId="0" applyFont="1" applyFill="1" applyBorder="1" applyAlignment="1">
      <alignment horizontal="center" vertical="center" textRotation="90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" fontId="26" fillId="3" borderId="10" xfId="0" applyNumberFormat="1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1" fontId="2" fillId="4" borderId="33" xfId="0" applyNumberFormat="1" applyFont="1" applyFill="1" applyBorder="1" applyAlignment="1">
      <alignment horizontal="center" vertical="center"/>
    </xf>
    <xf numFmtId="1" fontId="2" fillId="4" borderId="34" xfId="0" applyNumberFormat="1" applyFont="1" applyFill="1" applyBorder="1" applyAlignment="1">
      <alignment horizontal="center" vertical="center"/>
    </xf>
    <xf numFmtId="1" fontId="2" fillId="4" borderId="34" xfId="0" applyNumberFormat="1" applyFont="1" applyFill="1" applyBorder="1" applyAlignment="1">
      <alignment vertical="center"/>
    </xf>
    <xf numFmtId="1" fontId="8" fillId="3" borderId="16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2" fillId="7" borderId="62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top"/>
    </xf>
    <xf numFmtId="49" fontId="2" fillId="7" borderId="34" xfId="0" applyNumberFormat="1" applyFont="1" applyFill="1" applyBorder="1" applyAlignment="1">
      <alignment horizontal="center" vertical="center" textRotation="90" wrapText="1"/>
    </xf>
    <xf numFmtId="1" fontId="27" fillId="7" borderId="7" xfId="0" applyNumberFormat="1" applyFont="1" applyFill="1" applyBorder="1" applyAlignment="1">
      <alignment horizontal="center" vertical="center"/>
    </xf>
    <xf numFmtId="0" fontId="27" fillId="7" borderId="21" xfId="0" applyFont="1" applyFill="1" applyBorder="1" applyAlignment="1">
      <alignment horizontal="center" vertical="center"/>
    </xf>
    <xf numFmtId="0" fontId="27" fillId="7" borderId="2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166" fontId="2" fillId="3" borderId="11" xfId="0" applyNumberFormat="1" applyFont="1" applyFill="1" applyBorder="1" applyAlignment="1">
      <alignment horizontal="center" vertical="center"/>
    </xf>
    <xf numFmtId="1" fontId="13" fillId="3" borderId="57" xfId="0" applyNumberFormat="1" applyFont="1" applyFill="1" applyBorder="1" applyAlignment="1">
      <alignment horizontal="center" vertical="center"/>
    </xf>
    <xf numFmtId="1" fontId="26" fillId="3" borderId="9" xfId="0" applyNumberFormat="1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1" fontId="7" fillId="3" borderId="43" xfId="0" applyNumberFormat="1" applyFont="1" applyFill="1" applyBorder="1" applyAlignment="1">
      <alignment horizontal="center" vertical="center"/>
    </xf>
    <xf numFmtId="1" fontId="8" fillId="3" borderId="43" xfId="0" applyNumberFormat="1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/>
    </xf>
    <xf numFmtId="1" fontId="2" fillId="3" borderId="41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1" fontId="2" fillId="3" borderId="36" xfId="0" applyNumberFormat="1" applyFont="1" applyFill="1" applyBorder="1" applyAlignment="1">
      <alignment vertical="center"/>
    </xf>
    <xf numFmtId="0" fontId="2" fillId="3" borderId="43" xfId="0" applyFont="1" applyFill="1" applyBorder="1"/>
    <xf numFmtId="166" fontId="28" fillId="3" borderId="11" xfId="0" applyNumberFormat="1" applyFont="1" applyFill="1" applyBorder="1" applyAlignment="1">
      <alignment horizontal="center" vertical="center"/>
    </xf>
    <xf numFmtId="166" fontId="8" fillId="9" borderId="7" xfId="0" applyNumberFormat="1" applyFont="1" applyFill="1" applyBorder="1" applyAlignment="1">
      <alignment horizontal="center" vertical="center"/>
    </xf>
    <xf numFmtId="0" fontId="9" fillId="0" borderId="25" xfId="0" applyFont="1" applyBorder="1"/>
    <xf numFmtId="170" fontId="2" fillId="3" borderId="25" xfId="0" applyNumberFormat="1" applyFont="1" applyFill="1" applyBorder="1" applyAlignment="1">
      <alignment horizontal="left"/>
    </xf>
    <xf numFmtId="0" fontId="2" fillId="3" borderId="25" xfId="0" applyFont="1" applyFill="1" applyBorder="1"/>
    <xf numFmtId="0" fontId="7" fillId="3" borderId="25" xfId="0" applyFont="1" applyFill="1" applyBorder="1"/>
    <xf numFmtId="166" fontId="2" fillId="3" borderId="25" xfId="0" applyNumberFormat="1" applyFont="1" applyFill="1" applyBorder="1"/>
    <xf numFmtId="0" fontId="8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right"/>
    </xf>
    <xf numFmtId="0" fontId="2" fillId="10" borderId="32" xfId="0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vertical="center"/>
    </xf>
    <xf numFmtId="0" fontId="8" fillId="11" borderId="34" xfId="0" applyFont="1" applyFill="1" applyBorder="1" applyAlignment="1">
      <alignment horizontal="center" vertical="center" textRotation="90" wrapText="1"/>
    </xf>
    <xf numFmtId="1" fontId="16" fillId="3" borderId="32" xfId="0" applyNumberFormat="1" applyFont="1" applyFill="1" applyBorder="1" applyAlignment="1">
      <alignment horizontal="center" vertical="center"/>
    </xf>
    <xf numFmtId="1" fontId="2" fillId="4" borderId="50" xfId="0" applyNumberFormat="1" applyFont="1" applyFill="1" applyBorder="1" applyAlignment="1">
      <alignment horizontal="center" vertical="center"/>
    </xf>
    <xf numFmtId="2" fontId="11" fillId="12" borderId="64" xfId="0" applyNumberFormat="1" applyFont="1" applyFill="1" applyBorder="1" applyAlignment="1">
      <alignment horizontal="center" vertical="center"/>
    </xf>
    <xf numFmtId="166" fontId="11" fillId="12" borderId="56" xfId="0" applyNumberFormat="1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right" vertical="center"/>
    </xf>
    <xf numFmtId="0" fontId="2" fillId="10" borderId="32" xfId="0" applyFont="1" applyFill="1" applyBorder="1" applyAlignment="1">
      <alignment horizontal="right" vertical="center"/>
    </xf>
    <xf numFmtId="170" fontId="2" fillId="3" borderId="0" xfId="0" applyNumberFormat="1" applyFont="1" applyFill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14" fontId="2" fillId="3" borderId="24" xfId="0" applyNumberFormat="1" applyFont="1" applyFill="1" applyBorder="1" applyAlignment="1">
      <alignment vertical="center"/>
    </xf>
    <xf numFmtId="14" fontId="2" fillId="3" borderId="8" xfId="0" applyNumberFormat="1" applyFont="1" applyFill="1" applyBorder="1" applyAlignment="1">
      <alignment vertical="center"/>
    </xf>
    <xf numFmtId="14" fontId="13" fillId="3" borderId="20" xfId="0" applyNumberFormat="1" applyFont="1" applyFill="1" applyBorder="1" applyAlignment="1">
      <alignment horizontal="center" vertical="center"/>
    </xf>
    <xf numFmtId="14" fontId="13" fillId="3" borderId="30" xfId="0" applyNumberFormat="1" applyFont="1" applyFill="1" applyBorder="1" applyAlignment="1">
      <alignment horizontal="center" vertical="center"/>
    </xf>
    <xf numFmtId="14" fontId="2" fillId="3" borderId="23" xfId="0" applyNumberFormat="1" applyFont="1" applyFill="1" applyBorder="1" applyAlignment="1">
      <alignment horizontal="left" vertical="center"/>
    </xf>
    <xf numFmtId="14" fontId="14" fillId="3" borderId="25" xfId="0" applyNumberFormat="1" applyFont="1" applyFill="1" applyBorder="1" applyAlignment="1">
      <alignment vertical="center"/>
    </xf>
    <xf numFmtId="14" fontId="14" fillId="3" borderId="32" xfId="0" applyNumberFormat="1" applyFont="1" applyFill="1" applyBorder="1" applyAlignment="1">
      <alignment vertical="center"/>
    </xf>
    <xf numFmtId="0" fontId="9" fillId="0" borderId="32" xfId="0" applyFont="1" applyBorder="1"/>
    <xf numFmtId="170" fontId="2" fillId="3" borderId="32" xfId="0" applyNumberFormat="1" applyFont="1" applyFill="1" applyBorder="1" applyAlignment="1">
      <alignment horizontal="left" vertical="center"/>
    </xf>
    <xf numFmtId="169" fontId="7" fillId="3" borderId="53" xfId="0" applyNumberFormat="1" applyFont="1" applyFill="1" applyBorder="1" applyAlignment="1">
      <alignment horizontal="center" vertical="center"/>
    </xf>
    <xf numFmtId="1" fontId="27" fillId="7" borderId="23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1" fontId="28" fillId="6" borderId="17" xfId="0" applyNumberFormat="1" applyFont="1" applyFill="1" applyBorder="1" applyAlignment="1">
      <alignment horizontal="center" vertical="center"/>
    </xf>
    <xf numFmtId="49" fontId="8" fillId="3" borderId="43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1" xfId="0" applyNumberFormat="1" applyFont="1" applyFill="1" applyBorder="1" applyAlignment="1">
      <alignment horizontal="center" vertical="center"/>
    </xf>
    <xf numFmtId="0" fontId="20" fillId="3" borderId="25" xfId="0" applyFont="1" applyFill="1" applyBorder="1"/>
    <xf numFmtId="1" fontId="28" fillId="6" borderId="15" xfId="0" applyNumberFormat="1" applyFont="1" applyFill="1" applyBorder="1" applyAlignment="1">
      <alignment horizontal="center" vertical="center"/>
    </xf>
    <xf numFmtId="1" fontId="28" fillId="3" borderId="17" xfId="0" applyNumberFormat="1" applyFont="1" applyFill="1" applyBorder="1" applyAlignment="1">
      <alignment horizontal="center" vertical="center"/>
    </xf>
    <xf numFmtId="166" fontId="2" fillId="3" borderId="1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" fillId="3" borderId="53" xfId="0" applyNumberFormat="1" applyFont="1" applyFill="1" applyBorder="1" applyAlignment="1">
      <alignment horizontal="center" vertical="center"/>
    </xf>
    <xf numFmtId="1" fontId="8" fillId="3" borderId="27" xfId="0" applyNumberFormat="1" applyFont="1" applyFill="1" applyBorder="1" applyAlignment="1">
      <alignment horizontal="center" vertical="center"/>
    </xf>
    <xf numFmtId="1" fontId="8" fillId="3" borderId="28" xfId="0" applyNumberFormat="1" applyFont="1" applyFill="1" applyBorder="1" applyAlignment="1">
      <alignment horizontal="center" vertical="center"/>
    </xf>
    <xf numFmtId="1" fontId="8" fillId="3" borderId="29" xfId="0" applyNumberFormat="1" applyFont="1" applyFill="1" applyBorder="1" applyAlignment="1">
      <alignment horizontal="center" vertical="center"/>
    </xf>
    <xf numFmtId="170" fontId="28" fillId="3" borderId="6" xfId="0" applyNumberFormat="1" applyFont="1" applyFill="1" applyBorder="1" applyAlignment="1">
      <alignment horizontal="center" vertical="center"/>
    </xf>
    <xf numFmtId="170" fontId="28" fillId="3" borderId="58" xfId="0" applyNumberFormat="1" applyFont="1" applyFill="1" applyBorder="1" applyAlignment="1">
      <alignment horizontal="center" vertical="center"/>
    </xf>
    <xf numFmtId="170" fontId="28" fillId="3" borderId="3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175" fontId="18" fillId="4" borderId="1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5" fontId="20" fillId="0" borderId="0" xfId="0" applyNumberFormat="1" applyFont="1" applyAlignment="1">
      <alignment horizontal="center" vertical="center"/>
    </xf>
    <xf numFmtId="175" fontId="21" fillId="0" borderId="0" xfId="0" applyNumberFormat="1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7" fontId="28" fillId="3" borderId="26" xfId="0" applyNumberFormat="1" applyFont="1" applyFill="1" applyBorder="1" applyAlignment="1">
      <alignment horizontal="center" vertical="center"/>
    </xf>
    <xf numFmtId="1" fontId="28" fillId="3" borderId="19" xfId="0" applyNumberFormat="1" applyFont="1" applyFill="1" applyBorder="1" applyAlignment="1">
      <alignment horizontal="center" vertical="center"/>
    </xf>
    <xf numFmtId="177" fontId="30" fillId="3" borderId="33" xfId="0" applyNumberFormat="1" applyFont="1" applyFill="1" applyBorder="1" applyAlignment="1">
      <alignment horizontal="center" vertical="center"/>
    </xf>
    <xf numFmtId="177" fontId="30" fillId="3" borderId="35" xfId="0" applyNumberFormat="1" applyFont="1" applyFill="1" applyBorder="1" applyAlignment="1">
      <alignment horizontal="center" vertical="center"/>
    </xf>
    <xf numFmtId="177" fontId="28" fillId="3" borderId="35" xfId="0" applyNumberFormat="1" applyFont="1" applyFill="1" applyBorder="1" applyAlignment="1">
      <alignment horizontal="center" vertical="center"/>
    </xf>
    <xf numFmtId="1" fontId="0" fillId="4" borderId="34" xfId="0" applyNumberFormat="1" applyFill="1" applyBorder="1" applyAlignment="1">
      <alignment vertical="center"/>
    </xf>
    <xf numFmtId="1" fontId="20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8" fillId="4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166" fontId="7" fillId="3" borderId="49" xfId="0" applyNumberFormat="1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166" fontId="7" fillId="3" borderId="17" xfId="0" applyNumberFormat="1" applyFont="1" applyFill="1" applyBorder="1" applyAlignment="1">
      <alignment horizontal="center" vertical="center"/>
    </xf>
    <xf numFmtId="166" fontId="7" fillId="3" borderId="45" xfId="0" applyNumberFormat="1" applyFont="1" applyFill="1" applyBorder="1" applyAlignment="1">
      <alignment horizontal="center" vertical="center"/>
    </xf>
    <xf numFmtId="1" fontId="31" fillId="3" borderId="10" xfId="0" applyNumberFormat="1" applyFont="1" applyFill="1" applyBorder="1" applyAlignment="1">
      <alignment horizontal="center" vertical="center"/>
    </xf>
    <xf numFmtId="1" fontId="31" fillId="3" borderId="11" xfId="0" applyNumberFormat="1" applyFont="1" applyFill="1" applyBorder="1" applyAlignment="1">
      <alignment horizontal="center" vertical="center"/>
    </xf>
    <xf numFmtId="1" fontId="31" fillId="3" borderId="57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2" fontId="32" fillId="11" borderId="1" xfId="0" applyNumberFormat="1" applyFont="1" applyFill="1" applyBorder="1" applyAlignment="1">
      <alignment horizontal="center" vertical="center" wrapText="1"/>
    </xf>
    <xf numFmtId="2" fontId="32" fillId="3" borderId="1" xfId="0" applyNumberFormat="1" applyFont="1" applyFill="1" applyBorder="1" applyAlignment="1">
      <alignment horizontal="center" vertical="center" wrapText="1"/>
    </xf>
    <xf numFmtId="172" fontId="32" fillId="11" borderId="1" xfId="0" applyNumberFormat="1" applyFont="1" applyFill="1" applyBorder="1" applyAlignment="1">
      <alignment horizontal="center" vertical="center" wrapText="1"/>
    </xf>
    <xf numFmtId="175" fontId="32" fillId="11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66" fontId="32" fillId="11" borderId="1" xfId="0" applyNumberFormat="1" applyFont="1" applyFill="1" applyBorder="1" applyAlignment="1">
      <alignment horizontal="center" vertical="center" wrapText="1"/>
    </xf>
    <xf numFmtId="173" fontId="32" fillId="11" borderId="1" xfId="2" applyNumberFormat="1" applyFont="1" applyFill="1" applyBorder="1" applyAlignment="1">
      <alignment horizontal="center" vertical="center" wrapText="1"/>
    </xf>
    <xf numFmtId="9" fontId="32" fillId="11" borderId="1" xfId="0" applyNumberFormat="1" applyFont="1" applyFill="1" applyBorder="1" applyAlignment="1">
      <alignment horizontal="center" vertical="center" wrapText="1"/>
    </xf>
    <xf numFmtId="166" fontId="32" fillId="8" borderId="1" xfId="0" applyNumberFormat="1" applyFont="1" applyFill="1" applyBorder="1" applyAlignment="1">
      <alignment horizontal="center" vertical="center" wrapText="1"/>
    </xf>
    <xf numFmtId="168" fontId="32" fillId="11" borderId="1" xfId="0" applyNumberFormat="1" applyFont="1" applyFill="1" applyBorder="1" applyAlignment="1">
      <alignment horizontal="center" vertical="center" wrapText="1"/>
    </xf>
    <xf numFmtId="2" fontId="24" fillId="11" borderId="1" xfId="0" applyNumberFormat="1" applyFont="1" applyFill="1" applyBorder="1" applyAlignment="1">
      <alignment horizontal="center" vertical="center"/>
    </xf>
    <xf numFmtId="1" fontId="24" fillId="11" borderId="1" xfId="0" applyNumberFormat="1" applyFont="1" applyFill="1" applyBorder="1" applyAlignment="1">
      <alignment horizontal="center" vertical="center"/>
    </xf>
    <xf numFmtId="166" fontId="24" fillId="3" borderId="1" xfId="0" applyNumberFormat="1" applyFont="1" applyFill="1" applyBorder="1" applyAlignment="1">
      <alignment horizontal="center" vertical="center"/>
    </xf>
    <xf numFmtId="174" fontId="24" fillId="3" borderId="1" xfId="0" applyNumberFormat="1" applyFont="1" applyFill="1" applyBorder="1" applyAlignment="1">
      <alignment horizontal="center" vertical="center"/>
    </xf>
    <xf numFmtId="176" fontId="24" fillId="3" borderId="1" xfId="0" applyNumberFormat="1" applyFont="1" applyFill="1" applyBorder="1" applyAlignment="1">
      <alignment horizontal="center" vertical="center"/>
    </xf>
    <xf numFmtId="2" fontId="32" fillId="9" borderId="1" xfId="0" applyNumberFormat="1" applyFont="1" applyFill="1" applyBorder="1" applyAlignment="1">
      <alignment horizontal="center" vertical="center" wrapText="1"/>
    </xf>
    <xf numFmtId="167" fontId="32" fillId="11" borderId="1" xfId="0" applyNumberFormat="1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textRotation="90" wrapText="1"/>
    </xf>
    <xf numFmtId="0" fontId="34" fillId="6" borderId="1" xfId="0" applyFont="1" applyFill="1" applyBorder="1" applyAlignment="1">
      <alignment horizontal="center" vertical="center" wrapText="1"/>
    </xf>
    <xf numFmtId="166" fontId="34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textRotation="90" wrapText="1"/>
    </xf>
    <xf numFmtId="0" fontId="24" fillId="6" borderId="1" xfId="0" applyFont="1" applyFill="1" applyBorder="1" applyAlignment="1">
      <alignment horizontal="center" vertical="center" textRotation="90" wrapText="1"/>
    </xf>
    <xf numFmtId="167" fontId="32" fillId="6" borderId="1" xfId="0" applyNumberFormat="1" applyFont="1" applyFill="1" applyBorder="1" applyAlignment="1">
      <alignment horizontal="center" vertical="center" textRotation="90" wrapText="1"/>
    </xf>
    <xf numFmtId="0" fontId="20" fillId="3" borderId="1" xfId="0" applyFont="1" applyFill="1" applyBorder="1" applyAlignment="1">
      <alignment horizontal="center" vertical="center" textRotation="90" wrapText="1"/>
    </xf>
    <xf numFmtId="0" fontId="20" fillId="9" borderId="1" xfId="0" applyFont="1" applyFill="1" applyBorder="1" applyAlignment="1">
      <alignment horizontal="center" vertical="center" textRotation="90" wrapText="1"/>
    </xf>
    <xf numFmtId="0" fontId="34" fillId="9" borderId="1" xfId="0" applyFont="1" applyFill="1" applyBorder="1" applyAlignment="1">
      <alignment horizontal="center" vertical="center" textRotation="90" wrapText="1"/>
    </xf>
    <xf numFmtId="1" fontId="35" fillId="6" borderId="1" xfId="0" applyNumberFormat="1" applyFont="1" applyFill="1" applyBorder="1" applyAlignment="1">
      <alignment horizontal="center" vertical="center" wrapText="1"/>
    </xf>
    <xf numFmtId="1" fontId="32" fillId="3" borderId="1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175" fontId="37" fillId="0" borderId="0" xfId="0" applyNumberFormat="1" applyFont="1" applyAlignment="1">
      <alignment horizontal="center" vertical="center"/>
    </xf>
    <xf numFmtId="10" fontId="37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7" fillId="0" borderId="0" xfId="0" applyFont="1"/>
    <xf numFmtId="170" fontId="2" fillId="3" borderId="54" xfId="0" applyNumberFormat="1" applyFont="1" applyFill="1" applyBorder="1" applyAlignment="1">
      <alignment horizontal="center" vertical="center"/>
    </xf>
    <xf numFmtId="170" fontId="2" fillId="3" borderId="11" xfId="0" applyNumberFormat="1" applyFont="1" applyFill="1" applyBorder="1" applyAlignment="1">
      <alignment horizontal="center" vertical="center"/>
    </xf>
    <xf numFmtId="170" fontId="2" fillId="3" borderId="58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textRotation="90" wrapText="1"/>
    </xf>
    <xf numFmtId="1" fontId="38" fillId="3" borderId="32" xfId="0" applyNumberFormat="1" applyFont="1" applyFill="1" applyBorder="1" applyAlignment="1">
      <alignment horizontal="center" vertical="center"/>
    </xf>
    <xf numFmtId="1" fontId="39" fillId="3" borderId="0" xfId="0" applyNumberFormat="1" applyFont="1" applyFill="1" applyAlignment="1">
      <alignment horizontal="left" vertical="top"/>
    </xf>
    <xf numFmtId="1" fontId="2" fillId="6" borderId="12" xfId="0" applyNumberFormat="1" applyFont="1" applyFill="1" applyBorder="1" applyAlignment="1">
      <alignment horizontal="center" vertical="center"/>
    </xf>
    <xf numFmtId="1" fontId="2" fillId="6" borderId="49" xfId="0" applyNumberFormat="1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1" fontId="2" fillId="6" borderId="16" xfId="0" applyNumberFormat="1" applyFont="1" applyFill="1" applyBorder="1" applyAlignment="1">
      <alignment horizontal="center" vertical="center"/>
    </xf>
    <xf numFmtId="1" fontId="2" fillId="6" borderId="59" xfId="0" applyNumberFormat="1" applyFont="1" applyFill="1" applyBorder="1" applyAlignment="1">
      <alignment horizontal="center" vertical="center"/>
    </xf>
    <xf numFmtId="1" fontId="2" fillId="6" borderId="33" xfId="0" applyNumberFormat="1" applyFont="1" applyFill="1" applyBorder="1" applyAlignment="1">
      <alignment horizontal="center" vertical="center"/>
    </xf>
    <xf numFmtId="14" fontId="7" fillId="3" borderId="25" xfId="0" applyNumberFormat="1" applyFont="1" applyFill="1" applyBorder="1" applyAlignment="1">
      <alignment horizontal="center" vertical="center"/>
    </xf>
    <xf numFmtId="14" fontId="7" fillId="3" borderId="32" xfId="0" applyNumberFormat="1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170" fontId="2" fillId="3" borderId="23" xfId="0" applyNumberFormat="1" applyFont="1" applyFill="1" applyBorder="1" applyAlignment="1">
      <alignment horizontal="left" vertical="center"/>
    </xf>
    <xf numFmtId="170" fontId="2" fillId="3" borderId="30" xfId="0" applyNumberFormat="1" applyFont="1" applyFill="1" applyBorder="1" applyAlignment="1">
      <alignment horizontal="left" vertical="center"/>
    </xf>
    <xf numFmtId="1" fontId="2" fillId="4" borderId="41" xfId="0" applyNumberFormat="1" applyFont="1" applyFill="1" applyBorder="1" applyAlignment="1">
      <alignment vertical="center"/>
    </xf>
    <xf numFmtId="1" fontId="2" fillId="4" borderId="36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40" fillId="9" borderId="33" xfId="0" applyNumberFormat="1" applyFont="1" applyFill="1" applyBorder="1" applyAlignment="1">
      <alignment horizontal="center" vertical="center" wrapText="1"/>
    </xf>
    <xf numFmtId="166" fontId="40" fillId="9" borderId="35" xfId="0" applyNumberFormat="1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vertical="center"/>
    </xf>
    <xf numFmtId="49" fontId="42" fillId="6" borderId="43" xfId="0" applyNumberFormat="1" applyFont="1" applyFill="1" applyBorder="1" applyAlignment="1">
      <alignment horizontal="left" vertical="center" wrapText="1"/>
    </xf>
    <xf numFmtId="166" fontId="13" fillId="6" borderId="44" xfId="0" applyNumberFormat="1" applyFont="1" applyFill="1" applyBorder="1" applyAlignment="1">
      <alignment vertical="center"/>
    </xf>
    <xf numFmtId="166" fontId="2" fillId="11" borderId="16" xfId="0" applyNumberFormat="1" applyFont="1" applyFill="1" applyBorder="1" applyAlignment="1">
      <alignment horizontal="center" vertical="center"/>
    </xf>
    <xf numFmtId="166" fontId="2" fillId="11" borderId="17" xfId="0" applyNumberFormat="1" applyFont="1" applyFill="1" applyBorder="1" applyAlignment="1">
      <alignment horizontal="center" vertical="center"/>
    </xf>
    <xf numFmtId="166" fontId="2" fillId="11" borderId="33" xfId="0" applyNumberFormat="1" applyFont="1" applyFill="1" applyBorder="1" applyAlignment="1">
      <alignment horizontal="center" vertical="center"/>
    </xf>
    <xf numFmtId="166" fontId="2" fillId="11" borderId="35" xfId="0" applyNumberFormat="1" applyFont="1" applyFill="1" applyBorder="1" applyAlignment="1">
      <alignment horizontal="center" vertical="center"/>
    </xf>
    <xf numFmtId="166" fontId="2" fillId="11" borderId="49" xfId="0" applyNumberFormat="1" applyFont="1" applyFill="1" applyBorder="1" applyAlignment="1">
      <alignment horizontal="center" vertical="center"/>
    </xf>
    <xf numFmtId="166" fontId="2" fillId="11" borderId="51" xfId="0" applyNumberFormat="1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 textRotation="90" wrapText="1"/>
    </xf>
    <xf numFmtId="49" fontId="2" fillId="7" borderId="37" xfId="0" applyNumberFormat="1" applyFont="1" applyFill="1" applyBorder="1" applyAlignment="1">
      <alignment horizontal="center" vertical="center" textRotation="90" wrapText="1"/>
    </xf>
    <xf numFmtId="0" fontId="43" fillId="7" borderId="27" xfId="0" applyFont="1" applyFill="1" applyBorder="1" applyAlignment="1">
      <alignment horizontal="center" vertical="center" textRotation="90" wrapText="1"/>
    </xf>
    <xf numFmtId="0" fontId="2" fillId="7" borderId="29" xfId="0" applyFont="1" applyFill="1" applyBorder="1" applyAlignment="1">
      <alignment horizontal="center" vertical="center" textRotation="90" wrapText="1"/>
    </xf>
    <xf numFmtId="0" fontId="13" fillId="6" borderId="44" xfId="0" applyFont="1" applyFill="1" applyBorder="1" applyAlignment="1">
      <alignment vertical="center"/>
    </xf>
    <xf numFmtId="166" fontId="13" fillId="6" borderId="43" xfId="0" applyNumberFormat="1" applyFont="1" applyFill="1" applyBorder="1" applyAlignment="1">
      <alignment vertical="center"/>
    </xf>
    <xf numFmtId="166" fontId="13" fillId="6" borderId="43" xfId="0" applyNumberFormat="1" applyFont="1" applyFill="1" applyBorder="1" applyAlignment="1">
      <alignment horizontal="right" vertical="center"/>
    </xf>
    <xf numFmtId="0" fontId="26" fillId="6" borderId="42" xfId="0" applyFont="1" applyFill="1" applyBorder="1" applyAlignment="1">
      <alignment vertical="center"/>
    </xf>
    <xf numFmtId="0" fontId="6" fillId="0" borderId="0" xfId="1"/>
    <xf numFmtId="167" fontId="32" fillId="9" borderId="1" xfId="0" applyNumberFormat="1" applyFont="1" applyFill="1" applyBorder="1" applyAlignment="1">
      <alignment horizontal="center" vertical="center" wrapText="1"/>
    </xf>
    <xf numFmtId="178" fontId="32" fillId="11" borderId="1" xfId="2" applyNumberFormat="1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textRotation="90" wrapText="1"/>
    </xf>
    <xf numFmtId="176" fontId="32" fillId="9" borderId="1" xfId="0" applyNumberFormat="1" applyFont="1" applyFill="1" applyBorder="1" applyAlignment="1">
      <alignment horizontal="center" vertical="center" wrapText="1"/>
    </xf>
    <xf numFmtId="0" fontId="34" fillId="9" borderId="62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8" fontId="32" fillId="9" borderId="1" xfId="0" applyNumberFormat="1" applyFont="1" applyFill="1" applyBorder="1" applyAlignment="1">
      <alignment horizontal="center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14" fontId="2" fillId="3" borderId="14" xfId="0" applyNumberFormat="1" applyFont="1" applyFill="1" applyBorder="1" applyAlignment="1">
      <alignment horizontal="left" vertical="center" wrapText="1"/>
    </xf>
    <xf numFmtId="14" fontId="2" fillId="3" borderId="3" xfId="0" applyNumberFormat="1" applyFont="1" applyFill="1" applyBorder="1" applyAlignment="1">
      <alignment horizontal="left" vertical="center" wrapText="1"/>
    </xf>
    <xf numFmtId="14" fontId="2" fillId="3" borderId="12" xfId="0" applyNumberFormat="1" applyFont="1" applyFill="1" applyBorder="1" applyAlignment="1">
      <alignment horizontal="left" vertical="center" wrapText="1"/>
    </xf>
    <xf numFmtId="14" fontId="2" fillId="3" borderId="13" xfId="0" applyNumberFormat="1" applyFont="1" applyFill="1" applyBorder="1" applyAlignment="1">
      <alignment horizontal="left" vertical="center" wrapText="1"/>
    </xf>
    <xf numFmtId="14" fontId="2" fillId="3" borderId="59" xfId="0" applyNumberFormat="1" applyFont="1" applyFill="1" applyBorder="1" applyAlignment="1">
      <alignment horizontal="left" vertical="center" wrapText="1"/>
    </xf>
    <xf numFmtId="14" fontId="2" fillId="3" borderId="53" xfId="0" applyNumberFormat="1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3" fillId="7" borderId="50" xfId="0" applyFont="1" applyFill="1" applyBorder="1" applyAlignment="1">
      <alignment horizontal="center" vertical="center" textRotation="90" wrapText="1"/>
    </xf>
    <xf numFmtId="0" fontId="13" fillId="7" borderId="1" xfId="0" applyFont="1" applyFill="1" applyBorder="1" applyAlignment="1">
      <alignment horizontal="center" vertical="center" textRotation="90" wrapText="1"/>
    </xf>
    <xf numFmtId="0" fontId="13" fillId="7" borderId="34" xfId="0" applyFont="1" applyFill="1" applyBorder="1" applyAlignment="1">
      <alignment horizontal="center" vertical="center" textRotation="90" wrapText="1"/>
    </xf>
    <xf numFmtId="0" fontId="2" fillId="7" borderId="63" xfId="0" applyFont="1" applyFill="1" applyBorder="1" applyAlignment="1">
      <alignment horizontal="center" vertical="center" textRotation="90"/>
    </xf>
    <xf numFmtId="0" fontId="2" fillId="7" borderId="62" xfId="0" applyFont="1" applyFill="1" applyBorder="1" applyAlignment="1">
      <alignment horizontal="center" vertical="center" textRotation="90"/>
    </xf>
    <xf numFmtId="0" fontId="2" fillId="7" borderId="47" xfId="0" applyFont="1" applyFill="1" applyBorder="1" applyAlignment="1">
      <alignment horizontal="center" vertical="center" textRotation="90"/>
    </xf>
    <xf numFmtId="0" fontId="8" fillId="7" borderId="50" xfId="0" applyFont="1" applyFill="1" applyBorder="1" applyAlignment="1">
      <alignment horizontal="center" vertical="center" textRotation="90"/>
    </xf>
    <xf numFmtId="0" fontId="8" fillId="7" borderId="1" xfId="0" applyFont="1" applyFill="1" applyBorder="1" applyAlignment="1">
      <alignment horizontal="center" vertical="center" textRotation="90"/>
    </xf>
    <xf numFmtId="0" fontId="8" fillId="7" borderId="34" xfId="0" applyFont="1" applyFill="1" applyBorder="1" applyAlignment="1">
      <alignment horizontal="center" vertical="center" textRotation="90"/>
    </xf>
    <xf numFmtId="0" fontId="2" fillId="7" borderId="50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 textRotation="90" wrapText="1"/>
    </xf>
    <xf numFmtId="0" fontId="2" fillId="7" borderId="34" xfId="0" applyFont="1" applyFill="1" applyBorder="1" applyAlignment="1">
      <alignment horizontal="center" vertical="center" textRotation="90" wrapText="1"/>
    </xf>
    <xf numFmtId="0" fontId="2" fillId="6" borderId="36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1" fontId="20" fillId="10" borderId="9" xfId="0" applyNumberFormat="1" applyFont="1" applyFill="1" applyBorder="1" applyAlignment="1">
      <alignment horizontal="center" vertical="center"/>
    </xf>
    <xf numFmtId="1" fontId="20" fillId="10" borderId="31" xfId="0" applyNumberFormat="1" applyFont="1" applyFill="1" applyBorder="1" applyAlignment="1">
      <alignment horizontal="center" vertical="center"/>
    </xf>
    <xf numFmtId="170" fontId="2" fillId="7" borderId="50" xfId="0" applyNumberFormat="1" applyFont="1" applyFill="1" applyBorder="1" applyAlignment="1">
      <alignment horizontal="center" vertical="center"/>
    </xf>
    <xf numFmtId="170" fontId="2" fillId="7" borderId="1" xfId="0" applyNumberFormat="1" applyFont="1" applyFill="1" applyBorder="1" applyAlignment="1">
      <alignment horizontal="center" vertical="center"/>
    </xf>
    <xf numFmtId="170" fontId="2" fillId="7" borderId="34" xfId="0" applyNumberFormat="1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textRotation="90"/>
    </xf>
    <xf numFmtId="0" fontId="2" fillId="7" borderId="34" xfId="0" applyFont="1" applyFill="1" applyBorder="1" applyAlignment="1">
      <alignment horizontal="center" vertical="center" textRotation="90"/>
    </xf>
    <xf numFmtId="0" fontId="2" fillId="10" borderId="20" xfId="0" applyFont="1" applyFill="1" applyBorder="1" applyAlignment="1">
      <alignment horizontal="center" wrapText="1"/>
    </xf>
    <xf numFmtId="0" fontId="2" fillId="10" borderId="25" xfId="0" applyFont="1" applyFill="1" applyBorder="1" applyAlignment="1">
      <alignment horizontal="center" wrapText="1"/>
    </xf>
    <xf numFmtId="0" fontId="8" fillId="10" borderId="25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166" fontId="11" fillId="10" borderId="56" xfId="0" applyNumberFormat="1" applyFont="1" applyFill="1" applyBorder="1" applyAlignment="1">
      <alignment horizontal="center" vertical="center"/>
    </xf>
    <xf numFmtId="166" fontId="11" fillId="10" borderId="47" xfId="0" applyNumberFormat="1" applyFont="1" applyFill="1" applyBorder="1" applyAlignment="1">
      <alignment horizontal="center" vertical="center"/>
    </xf>
    <xf numFmtId="166" fontId="11" fillId="10" borderId="48" xfId="0" applyNumberFormat="1" applyFont="1" applyFill="1" applyBorder="1" applyAlignment="1">
      <alignment horizontal="center" vertical="center"/>
    </xf>
    <xf numFmtId="166" fontId="11" fillId="10" borderId="39" xfId="0" applyNumberFormat="1" applyFont="1" applyFill="1" applyBorder="1" applyAlignment="1">
      <alignment horizontal="center" vertical="center"/>
    </xf>
    <xf numFmtId="166" fontId="12" fillId="12" borderId="30" xfId="0" applyNumberFormat="1" applyFont="1" applyFill="1" applyBorder="1" applyAlignment="1">
      <alignment horizontal="center"/>
    </xf>
    <xf numFmtId="166" fontId="12" fillId="12" borderId="32" xfId="0" applyNumberFormat="1" applyFont="1" applyFill="1" applyBorder="1" applyAlignment="1">
      <alignment horizontal="center"/>
    </xf>
    <xf numFmtId="0" fontId="2" fillId="7" borderId="5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 textRotation="90" wrapText="1"/>
    </xf>
    <xf numFmtId="0" fontId="7" fillId="7" borderId="1" xfId="0" applyFont="1" applyFill="1" applyBorder="1" applyAlignment="1">
      <alignment horizontal="center" vertical="center" textRotation="90" wrapText="1"/>
    </xf>
    <xf numFmtId="0" fontId="7" fillId="7" borderId="34" xfId="0" applyFont="1" applyFill="1" applyBorder="1" applyAlignment="1">
      <alignment horizontal="center" vertical="center" textRotation="90" wrapText="1"/>
    </xf>
    <xf numFmtId="0" fontId="25" fillId="7" borderId="50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60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20" fillId="3" borderId="15" xfId="0" applyFont="1" applyFill="1" applyBorder="1" applyAlignment="1">
      <alignment horizontal="left" vertical="center" wrapText="1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47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20" fillId="5" borderId="39" xfId="0" applyNumberFormat="1" applyFont="1" applyFill="1" applyBorder="1" applyAlignment="1">
      <alignment horizontal="center" vertical="center"/>
    </xf>
    <xf numFmtId="0" fontId="22" fillId="11" borderId="4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24" fillId="6" borderId="1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1" fontId="20" fillId="3" borderId="8" xfId="0" applyNumberFormat="1" applyFont="1" applyFill="1" applyBorder="1" applyAlignment="1">
      <alignment horizontal="center" vertical="center"/>
    </xf>
    <xf numFmtId="1" fontId="20" fillId="3" borderId="9" xfId="0" applyNumberFormat="1" applyFont="1" applyFill="1" applyBorder="1" applyAlignment="1">
      <alignment horizontal="center" vertical="center"/>
    </xf>
    <xf numFmtId="1" fontId="20" fillId="3" borderId="31" xfId="0" applyNumberFormat="1" applyFont="1" applyFill="1" applyBorder="1" applyAlignment="1">
      <alignment horizontal="center" vertical="center"/>
    </xf>
    <xf numFmtId="0" fontId="20" fillId="3" borderId="59" xfId="0" applyFont="1" applyFill="1" applyBorder="1" applyAlignment="1">
      <alignment horizontal="left" vertical="center" wrapText="1"/>
    </xf>
    <xf numFmtId="0" fontId="20" fillId="3" borderId="53" xfId="0" applyFont="1" applyFill="1" applyBorder="1" applyAlignment="1">
      <alignment horizontal="left" vertical="center" wrapText="1"/>
    </xf>
    <xf numFmtId="0" fontId="20" fillId="3" borderId="61" xfId="0" applyFont="1" applyFill="1" applyBorder="1" applyAlignment="1">
      <alignment horizontal="left" vertical="center" wrapText="1"/>
    </xf>
    <xf numFmtId="1" fontId="8" fillId="9" borderId="12" xfId="0" applyNumberFormat="1" applyFont="1" applyFill="1" applyBorder="1" applyAlignment="1">
      <alignment horizontal="center" vertical="center" wrapText="1"/>
    </xf>
    <xf numFmtId="1" fontId="8" fillId="9" borderId="67" xfId="0" applyNumberFormat="1" applyFont="1" applyFill="1" applyBorder="1" applyAlignment="1">
      <alignment horizontal="center" vertical="center" wrapText="1"/>
    </xf>
    <xf numFmtId="1" fontId="8" fillId="9" borderId="14" xfId="0" applyNumberFormat="1" applyFont="1" applyFill="1" applyBorder="1" applyAlignment="1">
      <alignment horizontal="center" vertical="center" wrapText="1"/>
    </xf>
    <xf numFmtId="1" fontId="8" fillId="9" borderId="15" xfId="0" applyNumberFormat="1" applyFont="1" applyFill="1" applyBorder="1" applyAlignment="1">
      <alignment horizontal="center" vertical="center" wrapText="1"/>
    </xf>
    <xf numFmtId="0" fontId="7" fillId="7" borderId="63" xfId="0" applyFont="1" applyFill="1" applyBorder="1" applyAlignment="1">
      <alignment horizontal="center" vertical="center" textRotation="90" wrapText="1"/>
    </xf>
    <xf numFmtId="0" fontId="7" fillId="7" borderId="62" xfId="0" applyFont="1" applyFill="1" applyBorder="1" applyAlignment="1">
      <alignment horizontal="center" vertical="center" textRotation="90" wrapText="1"/>
    </xf>
    <xf numFmtId="0" fontId="7" fillId="7" borderId="47" xfId="0" applyFont="1" applyFill="1" applyBorder="1" applyAlignment="1">
      <alignment horizontal="center" vertical="center" textRotation="90" wrapText="1"/>
    </xf>
    <xf numFmtId="1" fontId="2" fillId="3" borderId="27" xfId="0" applyNumberFormat="1" applyFont="1" applyFill="1" applyBorder="1" applyAlignment="1">
      <alignment horizontal="center" vertical="center"/>
    </xf>
    <xf numFmtId="1" fontId="2" fillId="3" borderId="29" xfId="0" applyNumberFormat="1" applyFont="1" applyFill="1" applyBorder="1" applyAlignment="1">
      <alignment horizontal="center" vertical="center"/>
    </xf>
    <xf numFmtId="1" fontId="29" fillId="3" borderId="49" xfId="0" applyNumberFormat="1" applyFont="1" applyFill="1" applyBorder="1" applyAlignment="1">
      <alignment horizontal="center" vertical="center" wrapText="1"/>
    </xf>
    <xf numFmtId="1" fontId="29" fillId="3" borderId="51" xfId="0" applyNumberFormat="1" applyFont="1" applyFill="1" applyBorder="1" applyAlignment="1">
      <alignment horizontal="center" vertical="center" wrapText="1"/>
    </xf>
    <xf numFmtId="1" fontId="29" fillId="3" borderId="16" xfId="0" applyNumberFormat="1" applyFont="1" applyFill="1" applyBorder="1" applyAlignment="1">
      <alignment horizontal="center" vertical="center" wrapText="1"/>
    </xf>
    <xf numFmtId="1" fontId="29" fillId="3" borderId="17" xfId="0" applyNumberFormat="1" applyFont="1" applyFill="1" applyBorder="1" applyAlignment="1">
      <alignment horizontal="center" vertical="center" wrapText="1"/>
    </xf>
    <xf numFmtId="1" fontId="29" fillId="3" borderId="33" xfId="0" applyNumberFormat="1" applyFont="1" applyFill="1" applyBorder="1" applyAlignment="1">
      <alignment horizontal="center" vertical="center" wrapText="1"/>
    </xf>
    <xf numFmtId="1" fontId="29" fillId="3" borderId="35" xfId="0" applyNumberFormat="1" applyFont="1" applyFill="1" applyBorder="1" applyAlignment="1">
      <alignment horizontal="center" vertical="center" wrapText="1"/>
    </xf>
    <xf numFmtId="0" fontId="47" fillId="9" borderId="2" xfId="0" applyFont="1" applyFill="1" applyBorder="1" applyAlignment="1">
      <alignment horizontal="center" vertical="center" wrapText="1"/>
    </xf>
    <xf numFmtId="0" fontId="47" fillId="9" borderId="3" xfId="0" applyFont="1" applyFill="1" applyBorder="1" applyAlignment="1">
      <alignment horizontal="center" vertical="center" wrapText="1"/>
    </xf>
    <xf numFmtId="0" fontId="47" fillId="9" borderId="4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34" fillId="9" borderId="62" xfId="0" applyFont="1" applyFill="1" applyBorder="1" applyAlignment="1">
      <alignment horizontal="center" vertical="center" textRotation="90" wrapText="1"/>
    </xf>
    <xf numFmtId="0" fontId="18" fillId="8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textRotation="90" wrapText="1"/>
    </xf>
    <xf numFmtId="0" fontId="18" fillId="9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center" vertical="center" textRotation="90" wrapText="1"/>
    </xf>
    <xf numFmtId="0" fontId="24" fillId="4" borderId="2" xfId="0" applyFont="1" applyFill="1" applyBorder="1" applyAlignment="1">
      <alignment horizontal="center" vertical="center" textRotation="90" wrapText="1"/>
    </xf>
    <xf numFmtId="0" fontId="24" fillId="4" borderId="4" xfId="0" applyFont="1" applyFill="1" applyBorder="1" applyAlignment="1">
      <alignment horizontal="center" vertical="center" textRotation="90" wrapText="1"/>
    </xf>
    <xf numFmtId="0" fontId="32" fillId="4" borderId="2" xfId="0" applyFont="1" applyFill="1" applyBorder="1" applyAlignment="1">
      <alignment horizontal="center" vertical="center" textRotation="90" wrapText="1"/>
    </xf>
    <xf numFmtId="0" fontId="32" fillId="4" borderId="4" xfId="0" applyFont="1" applyFill="1" applyBorder="1" applyAlignment="1">
      <alignment horizontal="center" vertical="center" textRotation="90" wrapText="1"/>
    </xf>
    <xf numFmtId="0" fontId="18" fillId="4" borderId="2" xfId="0" applyFont="1" applyFill="1" applyBorder="1" applyAlignment="1">
      <alignment horizontal="center" vertical="center" textRotation="90" wrapText="1"/>
    </xf>
    <xf numFmtId="0" fontId="18" fillId="4" borderId="4" xfId="0" applyFont="1" applyFill="1" applyBorder="1" applyAlignment="1">
      <alignment horizontal="center" vertical="center" textRotation="90" wrapText="1"/>
    </xf>
    <xf numFmtId="0" fontId="1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textRotation="90" wrapText="1"/>
    </xf>
    <xf numFmtId="0" fontId="16" fillId="4" borderId="4" xfId="0" applyFont="1" applyFill="1" applyBorder="1" applyAlignment="1">
      <alignment horizontal="center" vertical="center" textRotation="90" wrapText="1"/>
    </xf>
    <xf numFmtId="0" fontId="36" fillId="0" borderId="6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5" fillId="0" borderId="60" xfId="0" applyFont="1" applyBorder="1" applyAlignment="1">
      <alignment horizontal="center" vertical="center" wrapText="1"/>
    </xf>
    <xf numFmtId="0" fontId="45" fillId="0" borderId="68" xfId="0" applyFont="1" applyBorder="1" applyAlignment="1">
      <alignment horizontal="center" vertical="center" wrapText="1"/>
    </xf>
    <xf numFmtId="0" fontId="45" fillId="0" borderId="60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4" xfId="0" applyBorder="1" applyAlignment="1">
      <alignment horizontal="center" wrapText="1"/>
    </xf>
    <xf numFmtId="0" fontId="0" fillId="0" borderId="58" xfId="0" applyBorder="1" applyAlignment="1">
      <alignment horizontal="center" wrapText="1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00FF00"/>
      <color rgb="FFFFE7E7"/>
      <color rgb="FF66FF66"/>
      <color rgb="FFFFFF66"/>
      <color rgb="FFEDB1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544373</xdr:colOff>
      <xdr:row>4</xdr:row>
      <xdr:rowOff>56451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7000" y="127000"/>
          <a:ext cx="427309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ru-RU" sz="1300" b="1"/>
            <a:t>Презентации 3</a:t>
          </a:r>
          <a:r>
            <a:rPr lang="en-US" sz="1300" b="1"/>
            <a:t>D Maps
</a:t>
          </a:r>
          <a:r>
            <a:rPr lang="ru-RU" sz="1100"/>
            <a:t>Книга содержит доступные обзоры 3</a:t>
          </a:r>
          <a:r>
            <a:rPr lang="en-US" sz="1100"/>
            <a:t>D Maps.
</a:t>
          </a:r>
          <a:r>
            <a:rPr lang="ru-RU" sz="1100"/>
            <a:t>Откройте 3</a:t>
          </a:r>
          <a:r>
            <a:rPr lang="en-US" sz="1100"/>
            <a:t>D Maps </a:t>
          </a:r>
          <a:r>
            <a:rPr lang="ru-RU" sz="1100"/>
            <a:t>для редактирования и воспроизведения обзоров.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fessional/Desktop/&#1050;&#1086;&#1087;&#1080;&#1103;%20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тчеты"/>
      <sheetName val="нормы"/>
      <sheetName val="НОВЫЕ ПРОДУКТЫ"/>
      <sheetName val="Лист2"/>
      <sheetName val="Простои ЛФМ 1"/>
      <sheetName val="Простои ЛФМ 2"/>
      <sheetName val="Заявка"/>
      <sheetName val="Диаграмма1"/>
      <sheetName val="Лист1"/>
    </sheetNames>
    <sheetDataSet>
      <sheetData sheetId="0" refreshError="1"/>
      <sheetData sheetId="1" refreshError="1">
        <row r="21">
          <cell r="A21">
            <v>0</v>
          </cell>
          <cell r="B21" t="str">
            <v>ЛПН ТУ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A22">
            <v>301</v>
          </cell>
          <cell r="B22" t="str">
            <v>ЛПН 3000х1500х8 ТУ</v>
          </cell>
          <cell r="C22">
            <v>35.500698973303642</v>
          </cell>
          <cell r="D22">
            <v>6.2648292305829951</v>
          </cell>
          <cell r="E22">
            <v>6.933077681845182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2.6813469106895221E-2</v>
          </cell>
          <cell r="L22">
            <v>11.694100645161292</v>
          </cell>
          <cell r="M22">
            <v>60.419520000000006</v>
          </cell>
          <cell r="N22">
            <v>58.786559999999994</v>
          </cell>
          <cell r="O22">
            <v>425</v>
          </cell>
          <cell r="P22">
            <v>0.7268423743973621</v>
          </cell>
          <cell r="Q22">
            <v>75</v>
          </cell>
          <cell r="R22">
            <v>0.12826630136424039</v>
          </cell>
          <cell r="S22">
            <v>83</v>
          </cell>
          <cell r="T22">
            <v>0.14194804017642601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1.4</v>
          </cell>
          <cell r="AB22">
            <v>2.3943042921324869E-3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0.32100000000000001</v>
          </cell>
          <cell r="AH22">
            <v>5.4897976983894889E-4</v>
          </cell>
          <cell r="AI22">
            <v>0.24</v>
          </cell>
          <cell r="AJ22">
            <v>0.14194804017642601</v>
          </cell>
          <cell r="AK22">
            <v>723.31804</v>
          </cell>
          <cell r="AL22">
            <v>11.971595272521197</v>
          </cell>
          <cell r="AM22">
            <v>3000</v>
          </cell>
          <cell r="AN22">
            <v>1500</v>
          </cell>
          <cell r="AO22">
            <v>7.4</v>
          </cell>
          <cell r="AP22">
            <v>3.3300000000000003E-2</v>
          </cell>
          <cell r="AQ22">
            <v>53.946000000000005</v>
          </cell>
          <cell r="AR22" t="str">
            <v>Поддон 3000х1500</v>
          </cell>
          <cell r="AS22">
            <v>30</v>
          </cell>
          <cell r="AT22">
            <v>47.571428571428577</v>
          </cell>
          <cell r="AU22">
            <v>5.4707142857142862E-3</v>
          </cell>
          <cell r="AV22">
            <v>2.6164285714285716E-3</v>
          </cell>
          <cell r="AW22">
            <v>2.378571428571429E-4</v>
          </cell>
          <cell r="AX22">
            <v>1.1417142857142858E-3</v>
          </cell>
          <cell r="AY22">
            <v>1.1417142857142858E-3</v>
          </cell>
          <cell r="AZ22">
            <v>4.9226086956521749E-3</v>
          </cell>
          <cell r="BA22">
            <v>35.838723674885877</v>
          </cell>
          <cell r="BB22">
            <v>6.2753559513935144</v>
          </cell>
          <cell r="BC22">
            <v>6.9459698737853897</v>
          </cell>
        </row>
        <row r="23">
          <cell r="A23">
            <v>302</v>
          </cell>
          <cell r="B23" t="str">
            <v xml:space="preserve">ЛПН 3000х1500х10 ТУ </v>
          </cell>
          <cell r="C23">
            <v>45.095482479601912</v>
          </cell>
          <cell r="D23">
            <v>7.9580263199297496</v>
          </cell>
          <cell r="E23">
            <v>6.5786350911419262</v>
          </cell>
          <cell r="F23">
            <v>2.22824736958033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3.4060352649299332E-2</v>
          </cell>
          <cell r="L23">
            <v>14.854668387096773</v>
          </cell>
          <cell r="M23">
            <v>76.749119999999991</v>
          </cell>
          <cell r="N23">
            <v>75.116159999999979</v>
          </cell>
          <cell r="O23">
            <v>425</v>
          </cell>
          <cell r="P23">
            <v>0.7268423743973621</v>
          </cell>
          <cell r="Q23">
            <v>75</v>
          </cell>
          <cell r="R23">
            <v>0.12826630136424039</v>
          </cell>
          <cell r="S23">
            <v>62</v>
          </cell>
          <cell r="T23">
            <v>0.10603347579443871</v>
          </cell>
          <cell r="U23">
            <v>21</v>
          </cell>
          <cell r="V23">
            <v>3.6000761158950213E-2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1.4</v>
          </cell>
          <cell r="AB23">
            <v>2.3943042921324869E-3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0.32100000000000001</v>
          </cell>
          <cell r="AH23">
            <v>5.4897976983894889E-4</v>
          </cell>
          <cell r="AI23">
            <v>0.24</v>
          </cell>
          <cell r="AJ23">
            <v>0.14203423695338893</v>
          </cell>
          <cell r="AK23">
            <v>723.31804</v>
          </cell>
          <cell r="AL23">
            <v>9.4244473421975403</v>
          </cell>
          <cell r="AM23">
            <v>3000</v>
          </cell>
          <cell r="AN23">
            <v>1500</v>
          </cell>
          <cell r="AO23">
            <v>9.4</v>
          </cell>
          <cell r="AP23">
            <v>4.2299999999999997E-2</v>
          </cell>
          <cell r="AQ23">
            <v>68.525999999999996</v>
          </cell>
          <cell r="AR23" t="str">
            <v>Поддон 3000х1500</v>
          </cell>
          <cell r="AS23">
            <v>25</v>
          </cell>
          <cell r="AT23">
            <v>60.428571428571423</v>
          </cell>
          <cell r="AU23">
            <v>6.9492857142857143E-3</v>
          </cell>
          <cell r="AV23">
            <v>3.3235714285714283E-3</v>
          </cell>
          <cell r="AW23">
            <v>3.0214285714285716E-4</v>
          </cell>
          <cell r="AX23">
            <v>1.4502857142857143E-3</v>
          </cell>
          <cell r="AY23">
            <v>1.4502857142857143E-3</v>
          </cell>
          <cell r="AZ23">
            <v>6.2530434782608691E-3</v>
          </cell>
          <cell r="BA23">
            <v>45.524865208638808</v>
          </cell>
          <cell r="BB23">
            <v>7.9713981004187868</v>
          </cell>
          <cell r="BC23">
            <v>6.5877730687774578</v>
          </cell>
        </row>
        <row r="24">
          <cell r="A24">
            <v>303</v>
          </cell>
          <cell r="B24" t="str">
            <v>ЛПН 3000х1500х10 ТУ ( на брус)</v>
          </cell>
          <cell r="C24">
            <v>45.095482479601912</v>
          </cell>
          <cell r="D24">
            <v>7.9580263199297496</v>
          </cell>
          <cell r="E24">
            <v>6.5786350911419262</v>
          </cell>
          <cell r="F24">
            <v>2.22824736958033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3.4060352649299332E-2</v>
          </cell>
          <cell r="L24">
            <v>14.854668387096773</v>
          </cell>
          <cell r="M24">
            <v>76.749119999999991</v>
          </cell>
          <cell r="N24">
            <v>75.116159999999979</v>
          </cell>
          <cell r="O24">
            <v>425</v>
          </cell>
          <cell r="P24">
            <v>0.7268423743973621</v>
          </cell>
          <cell r="Q24">
            <v>75</v>
          </cell>
          <cell r="R24">
            <v>0.12826630136424039</v>
          </cell>
          <cell r="S24">
            <v>62</v>
          </cell>
          <cell r="T24">
            <v>0.10603347579443871</v>
          </cell>
          <cell r="U24">
            <v>21</v>
          </cell>
          <cell r="V24">
            <v>3.6000761158950213E-2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1.4</v>
          </cell>
          <cell r="AB24">
            <v>2.3943042921324869E-3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0.32100000000000001</v>
          </cell>
          <cell r="AH24">
            <v>5.4897976983894889E-4</v>
          </cell>
          <cell r="AI24">
            <v>0.24</v>
          </cell>
          <cell r="AJ24">
            <v>0.14203423695338893</v>
          </cell>
          <cell r="AK24">
            <v>723.31804</v>
          </cell>
          <cell r="AL24">
            <v>9.4244473421975403</v>
          </cell>
          <cell r="AM24">
            <v>3000</v>
          </cell>
          <cell r="AN24">
            <v>1500</v>
          </cell>
          <cell r="AO24">
            <v>9.4</v>
          </cell>
          <cell r="AP24">
            <v>4.2299999999999997E-2</v>
          </cell>
          <cell r="AQ24">
            <v>68.525999999999996</v>
          </cell>
          <cell r="AR24" t="str">
            <v xml:space="preserve">Брус      </v>
          </cell>
          <cell r="AS24">
            <v>30</v>
          </cell>
          <cell r="AT24">
            <v>60.428571428571423</v>
          </cell>
          <cell r="AU24">
            <v>6.9492857142857143E-3</v>
          </cell>
          <cell r="AV24">
            <v>3.3235714285714283E-3</v>
          </cell>
          <cell r="AW24">
            <v>3.0214285714285716E-4</v>
          </cell>
          <cell r="AX24">
            <v>1.4502857142857143E-3</v>
          </cell>
          <cell r="AY24">
            <v>1.4502857142857143E-3</v>
          </cell>
          <cell r="AZ24">
            <v>6.2530434782608691E-3</v>
          </cell>
          <cell r="BA24">
            <v>45.524865208638808</v>
          </cell>
          <cell r="BB24">
            <v>7.9713981004187868</v>
          </cell>
          <cell r="BC24">
            <v>6.5877730687774578</v>
          </cell>
        </row>
        <row r="25">
          <cell r="A25">
            <v>304</v>
          </cell>
          <cell r="B25" t="str">
            <v xml:space="preserve">ЛПН 3000х1500х12 ТУ </v>
          </cell>
          <cell r="C25">
            <v>54.69026598590019</v>
          </cell>
          <cell r="D25">
            <v>9.6512234092765041</v>
          </cell>
          <cell r="E25">
            <v>7.9783446850019102</v>
          </cell>
          <cell r="F25">
            <v>2.7023425545974211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4.1307236191703442E-2</v>
          </cell>
          <cell r="L25">
            <v>18.015236129032246</v>
          </cell>
          <cell r="M25">
            <v>93.07871999999999</v>
          </cell>
          <cell r="N25">
            <v>91.445759999999993</v>
          </cell>
          <cell r="O25">
            <v>425</v>
          </cell>
          <cell r="P25">
            <v>0.7268423743973621</v>
          </cell>
          <cell r="Q25">
            <v>75</v>
          </cell>
          <cell r="R25">
            <v>0.12826630136424039</v>
          </cell>
          <cell r="S25">
            <v>62</v>
          </cell>
          <cell r="T25">
            <v>0.10603347579443871</v>
          </cell>
          <cell r="U25">
            <v>21</v>
          </cell>
          <cell r="V25">
            <v>3.6000761158950213E-2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1.4</v>
          </cell>
          <cell r="AB25">
            <v>2.3943042921324869E-3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0.32100000000000001</v>
          </cell>
          <cell r="AH25">
            <v>5.4897976983894889E-4</v>
          </cell>
          <cell r="AI25">
            <v>0.24</v>
          </cell>
          <cell r="AJ25">
            <v>0.14203423695338893</v>
          </cell>
          <cell r="AK25">
            <v>723.31804</v>
          </cell>
          <cell r="AL25">
            <v>7.7710355277769194</v>
          </cell>
          <cell r="AM25">
            <v>3000</v>
          </cell>
          <cell r="AN25">
            <v>1500</v>
          </cell>
          <cell r="AO25">
            <v>11.4</v>
          </cell>
          <cell r="AP25">
            <v>5.1299999999999998E-2</v>
          </cell>
          <cell r="AQ25">
            <v>83.105999999999995</v>
          </cell>
          <cell r="AR25" t="str">
            <v>Поддон 3000х1500</v>
          </cell>
          <cell r="AS25">
            <v>20</v>
          </cell>
          <cell r="AT25">
            <v>73.285714285714278</v>
          </cell>
          <cell r="AU25">
            <v>8.4278571428571415E-3</v>
          </cell>
          <cell r="AV25">
            <v>4.030714285714285E-3</v>
          </cell>
          <cell r="AW25">
            <v>3.6642857142857142E-4</v>
          </cell>
          <cell r="AX25">
            <v>1.7588571428571427E-3</v>
          </cell>
          <cell r="AY25">
            <v>1.7588571428571427E-3</v>
          </cell>
          <cell r="AZ25">
            <v>7.5834782608695649E-3</v>
          </cell>
          <cell r="BA25">
            <v>55.211006742391746</v>
          </cell>
          <cell r="BB25">
            <v>9.667440249444061</v>
          </cell>
          <cell r="BC25">
            <v>7.9894269131981934</v>
          </cell>
        </row>
        <row r="26">
          <cell r="A26">
            <v>305</v>
          </cell>
          <cell r="B26" t="str">
            <v xml:space="preserve"> ЛПН 3000х1500х16 ТУ </v>
          </cell>
          <cell r="C26">
            <v>73.879832998496752</v>
          </cell>
          <cell r="D26">
            <v>13.037617587970015</v>
          </cell>
          <cell r="E26">
            <v>14.428296797353482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5.5801003276511663E-2</v>
          </cell>
          <cell r="L26">
            <v>24.336371612903221</v>
          </cell>
          <cell r="M26">
            <v>125.73791999999999</v>
          </cell>
          <cell r="N26">
            <v>124.10495999999999</v>
          </cell>
          <cell r="O26">
            <v>425</v>
          </cell>
          <cell r="P26">
            <v>0.7268423743973621</v>
          </cell>
          <cell r="Q26">
            <v>75</v>
          </cell>
          <cell r="R26">
            <v>0.12826630136424039</v>
          </cell>
          <cell r="S26">
            <v>83</v>
          </cell>
          <cell r="T26">
            <v>0.14194804017642601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1.4</v>
          </cell>
          <cell r="AB26">
            <v>2.3943042921324869E-3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0.32100000000000001</v>
          </cell>
          <cell r="AH26">
            <v>5.4897976983894889E-4</v>
          </cell>
          <cell r="AI26">
            <v>0.24</v>
          </cell>
          <cell r="AJ26">
            <v>0.14194804017642601</v>
          </cell>
          <cell r="AK26">
            <v>723.31804</v>
          </cell>
          <cell r="AL26">
            <v>5.752584741341356</v>
          </cell>
          <cell r="AM26">
            <v>3000</v>
          </cell>
          <cell r="AN26">
            <v>1500</v>
          </cell>
          <cell r="AO26">
            <v>15.4</v>
          </cell>
          <cell r="AP26">
            <v>6.93E-2</v>
          </cell>
          <cell r="AQ26">
            <v>112.26599999999999</v>
          </cell>
          <cell r="AR26" t="str">
            <v>Поддон 3000х1500</v>
          </cell>
          <cell r="AS26">
            <v>15</v>
          </cell>
          <cell r="AT26">
            <v>99</v>
          </cell>
          <cell r="AU26">
            <v>1.1385000000000001E-2</v>
          </cell>
          <cell r="AV26">
            <v>5.4450000000000002E-3</v>
          </cell>
          <cell r="AW26">
            <v>4.95E-4</v>
          </cell>
          <cell r="AX26">
            <v>2.3760000000000001E-3</v>
          </cell>
          <cell r="AY26">
            <v>2.3760000000000001E-3</v>
          </cell>
          <cell r="AZ26">
            <v>1.0244347826086957E-2</v>
          </cell>
          <cell r="BA26">
            <v>74.583289809897622</v>
          </cell>
          <cell r="BB26">
            <v>13.059524547494608</v>
          </cell>
          <cell r="BC26">
            <v>14.455126494093916</v>
          </cell>
        </row>
        <row r="27">
          <cell r="A27">
            <v>306</v>
          </cell>
          <cell r="B27" t="str">
            <v xml:space="preserve"> ЛПН 2000х1500х8 ТУ </v>
          </cell>
          <cell r="C27">
            <v>23.667132648869092</v>
          </cell>
          <cell r="D27">
            <v>4.1765528203886628</v>
          </cell>
          <cell r="E27">
            <v>4.6220517878967868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1.787564607126348E-2</v>
          </cell>
          <cell r="L27">
            <v>7.7960670967741947</v>
          </cell>
          <cell r="M27">
            <v>40.279679999999999</v>
          </cell>
          <cell r="N27">
            <v>39.191039999999994</v>
          </cell>
          <cell r="O27">
            <v>425</v>
          </cell>
          <cell r="P27">
            <v>0.7268423743973621</v>
          </cell>
          <cell r="Q27">
            <v>75</v>
          </cell>
          <cell r="R27">
            <v>0.12826630136424039</v>
          </cell>
          <cell r="S27">
            <v>83</v>
          </cell>
          <cell r="T27">
            <v>0.14194804017642601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1.4</v>
          </cell>
          <cell r="AB27">
            <v>2.3943042921324869E-3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0.32100000000000001</v>
          </cell>
          <cell r="AH27">
            <v>5.4897976983894889E-4</v>
          </cell>
          <cell r="AI27">
            <v>0.24</v>
          </cell>
          <cell r="AJ27">
            <v>0.14194804017642601</v>
          </cell>
          <cell r="AK27">
            <v>723.31804</v>
          </cell>
          <cell r="AL27">
            <v>17.957392908781799</v>
          </cell>
          <cell r="AM27">
            <v>2000</v>
          </cell>
          <cell r="AN27">
            <v>1500</v>
          </cell>
          <cell r="AO27">
            <v>7.4</v>
          </cell>
          <cell r="AP27">
            <v>2.2200000000000001E-2</v>
          </cell>
          <cell r="AQ27">
            <v>35.963999999999999</v>
          </cell>
          <cell r="AR27" t="str">
            <v>Поддон 2000х1500</v>
          </cell>
          <cell r="AS27">
            <v>40</v>
          </cell>
          <cell r="AT27">
            <v>31.714285714285715</v>
          </cell>
          <cell r="AU27">
            <v>3.6471428571428575E-3</v>
          </cell>
          <cell r="AV27">
            <v>1.7442857142857145E-3</v>
          </cell>
          <cell r="AW27">
            <v>1.585714285714286E-4</v>
          </cell>
          <cell r="AX27">
            <v>7.6114285714285726E-4</v>
          </cell>
          <cell r="AY27">
            <v>7.6114285714285726E-4</v>
          </cell>
          <cell r="AZ27">
            <v>3.2817391304347829E-3</v>
          </cell>
          <cell r="BA27">
            <v>23.892482449923918</v>
          </cell>
          <cell r="BB27">
            <v>4.1835706342623427</v>
          </cell>
          <cell r="BC27">
            <v>4.6306465825235925</v>
          </cell>
        </row>
        <row r="28">
          <cell r="A28">
            <v>307</v>
          </cell>
          <cell r="B28" t="str">
            <v xml:space="preserve"> ЛПН 2000х1500х10 ТУ </v>
          </cell>
          <cell r="C28">
            <v>30.063654986401271</v>
          </cell>
          <cell r="D28">
            <v>5.3053508799531652</v>
          </cell>
          <cell r="E28">
            <v>4.3857567274279496</v>
          </cell>
          <cell r="F28">
            <v>1.4854982463868862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2.2706901766199546E-2</v>
          </cell>
          <cell r="L28">
            <v>9.9031122580645174</v>
          </cell>
          <cell r="M28">
            <v>51.166079999999987</v>
          </cell>
          <cell r="N28">
            <v>50.077439999999989</v>
          </cell>
          <cell r="O28">
            <v>425</v>
          </cell>
          <cell r="P28">
            <v>0.7268423743973621</v>
          </cell>
          <cell r="Q28">
            <v>75</v>
          </cell>
          <cell r="R28">
            <v>0.12826630136424039</v>
          </cell>
          <cell r="S28">
            <v>62</v>
          </cell>
          <cell r="T28">
            <v>0.10603347579443871</v>
          </cell>
          <cell r="U28">
            <v>21</v>
          </cell>
          <cell r="V28">
            <v>3.6000761158950213E-2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1.4</v>
          </cell>
          <cell r="AB28">
            <v>2.3943042921324869E-3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0.32100000000000001</v>
          </cell>
          <cell r="AH28">
            <v>5.4897976983894889E-4</v>
          </cell>
          <cell r="AI28">
            <v>0.24</v>
          </cell>
          <cell r="AJ28">
            <v>0.14203423695338893</v>
          </cell>
          <cell r="AK28">
            <v>723.31804</v>
          </cell>
          <cell r="AL28">
            <v>14.136671013296313</v>
          </cell>
          <cell r="AM28">
            <v>2000</v>
          </cell>
          <cell r="AN28">
            <v>1500</v>
          </cell>
          <cell r="AO28">
            <v>9.4</v>
          </cell>
          <cell r="AP28">
            <v>2.8199999999999999E-2</v>
          </cell>
          <cell r="AQ28">
            <v>45.68399999999999</v>
          </cell>
          <cell r="AR28" t="str">
            <v>Поддон 2000х1500</v>
          </cell>
          <cell r="AS28">
            <v>40</v>
          </cell>
          <cell r="AT28">
            <v>40.285714285714285</v>
          </cell>
          <cell r="AU28">
            <v>4.6328571428571426E-3</v>
          </cell>
          <cell r="AV28">
            <v>2.2157142857142857E-3</v>
          </cell>
          <cell r="AW28">
            <v>2.0142857142857145E-4</v>
          </cell>
          <cell r="AX28">
            <v>9.6685714285714289E-4</v>
          </cell>
          <cell r="AY28">
            <v>9.6685714285714289E-4</v>
          </cell>
          <cell r="AZ28">
            <v>4.168695652173913E-3</v>
          </cell>
          <cell r="BA28">
            <v>30.349910139092536</v>
          </cell>
          <cell r="BB28">
            <v>5.3142654002791909</v>
          </cell>
          <cell r="BC28">
            <v>4.3918487125183043</v>
          </cell>
        </row>
        <row r="29">
          <cell r="A29">
            <v>308</v>
          </cell>
          <cell r="B29" t="str">
            <v xml:space="preserve"> ЛПН 1750х1200х8 ТУ</v>
          </cell>
          <cell r="C29">
            <v>16.566992854208365</v>
          </cell>
          <cell r="D29">
            <v>2.9235869742720646</v>
          </cell>
          <cell r="E29">
            <v>3.2354362515277515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1.2512952249884437E-2</v>
          </cell>
          <cell r="L29">
            <v>5.4572469677419342</v>
          </cell>
          <cell r="M29">
            <v>28.195776000000002</v>
          </cell>
          <cell r="N29">
            <v>27.433727999999995</v>
          </cell>
          <cell r="O29">
            <v>425</v>
          </cell>
          <cell r="P29">
            <v>0.7268423743973621</v>
          </cell>
          <cell r="Q29">
            <v>75</v>
          </cell>
          <cell r="R29">
            <v>0.12826630136424039</v>
          </cell>
          <cell r="S29">
            <v>83</v>
          </cell>
          <cell r="T29">
            <v>0.14194804017642601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1.4</v>
          </cell>
          <cell r="AB29">
            <v>2.3943042921324869E-3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0.32100000000000001</v>
          </cell>
          <cell r="AH29">
            <v>5.4897976983894889E-4</v>
          </cell>
          <cell r="AI29">
            <v>0.24</v>
          </cell>
          <cell r="AJ29">
            <v>0.14194804017642601</v>
          </cell>
          <cell r="AK29">
            <v>723.31804</v>
          </cell>
          <cell r="AL29">
            <v>25.653418441116852</v>
          </cell>
          <cell r="AM29">
            <v>1750</v>
          </cell>
          <cell r="AN29">
            <v>1200</v>
          </cell>
          <cell r="AO29">
            <v>7.4</v>
          </cell>
          <cell r="AP29">
            <v>1.554E-2</v>
          </cell>
          <cell r="AQ29">
            <v>25.174800000000001</v>
          </cell>
          <cell r="AR29" t="str">
            <v>Поддон 1750х1200</v>
          </cell>
          <cell r="AS29">
            <v>70</v>
          </cell>
          <cell r="AT29">
            <v>22.2</v>
          </cell>
          <cell r="AU29">
            <v>2.5530000000000001E-3</v>
          </cell>
          <cell r="AV29">
            <v>1.2210000000000001E-3</v>
          </cell>
          <cell r="AW29">
            <v>1.11E-4</v>
          </cell>
          <cell r="AX29">
            <v>5.3279999999999994E-4</v>
          </cell>
          <cell r="AY29">
            <v>5.3279999999999994E-4</v>
          </cell>
          <cell r="AZ29">
            <v>2.2972173913043481E-3</v>
          </cell>
          <cell r="BA29">
            <v>16.724737714946745</v>
          </cell>
          <cell r="BB29">
            <v>2.92849944398364</v>
          </cell>
          <cell r="BC29">
            <v>3.2414526077665151</v>
          </cell>
        </row>
        <row r="30">
          <cell r="A30">
            <v>309</v>
          </cell>
          <cell r="B30" t="str">
            <v xml:space="preserve"> ЛПН 1750х1200х10 ТУ </v>
          </cell>
          <cell r="C30">
            <v>21.044558490480895</v>
          </cell>
          <cell r="D30">
            <v>3.7137456159672166</v>
          </cell>
          <cell r="E30">
            <v>3.0700297091995656</v>
          </cell>
          <cell r="F30">
            <v>1.0398487724708205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1.5894831236339686E-2</v>
          </cell>
          <cell r="L30">
            <v>6.9321785806451572</v>
          </cell>
          <cell r="M30">
            <v>35.816255999999996</v>
          </cell>
          <cell r="N30">
            <v>35.054207999999996</v>
          </cell>
          <cell r="O30">
            <v>425</v>
          </cell>
          <cell r="P30">
            <v>0.7268423743973621</v>
          </cell>
          <cell r="Q30">
            <v>75</v>
          </cell>
          <cell r="R30">
            <v>0.12826630136424039</v>
          </cell>
          <cell r="S30">
            <v>62</v>
          </cell>
          <cell r="T30">
            <v>0.10603347579443871</v>
          </cell>
          <cell r="U30">
            <v>21</v>
          </cell>
          <cell r="V30">
            <v>3.6000761158950213E-2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1.4</v>
          </cell>
          <cell r="AB30">
            <v>2.3943042921324869E-3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0.32100000000000001</v>
          </cell>
          <cell r="AH30">
            <v>5.4897976983894889E-4</v>
          </cell>
          <cell r="AI30">
            <v>0.24</v>
          </cell>
          <cell r="AJ30">
            <v>0.14203423695338893</v>
          </cell>
          <cell r="AK30">
            <v>723.31804</v>
          </cell>
          <cell r="AL30">
            <v>20.195244304709014</v>
          </cell>
          <cell r="AM30">
            <v>1750</v>
          </cell>
          <cell r="AN30">
            <v>1200</v>
          </cell>
          <cell r="AO30">
            <v>9.4</v>
          </cell>
          <cell r="AP30">
            <v>1.9740000000000001E-2</v>
          </cell>
          <cell r="AQ30">
            <v>31.978799999999996</v>
          </cell>
          <cell r="AR30" t="str">
            <v>Поддон 1750х1200</v>
          </cell>
          <cell r="AS30">
            <v>50</v>
          </cell>
          <cell r="AT30">
            <v>28.200000000000003</v>
          </cell>
          <cell r="AU30">
            <v>3.2430000000000002E-3</v>
          </cell>
          <cell r="AV30">
            <v>1.5510000000000003E-3</v>
          </cell>
          <cell r="AW30">
            <v>1.4100000000000004E-4</v>
          </cell>
          <cell r="AX30">
            <v>6.7680000000000008E-4</v>
          </cell>
          <cell r="AY30">
            <v>6.7680000000000008E-4</v>
          </cell>
          <cell r="AZ30">
            <v>2.9180869565217393E-3</v>
          </cell>
          <cell r="BA30">
            <v>21.24493709736478</v>
          </cell>
          <cell r="BB30">
            <v>3.7199857801954344</v>
          </cell>
          <cell r="BC30">
            <v>3.0742940987628136</v>
          </cell>
        </row>
        <row r="31">
          <cell r="A31">
            <v>310</v>
          </cell>
          <cell r="B31" t="str">
            <v xml:space="preserve"> ЛПН 1500х1500х8 ТУ на брус</v>
          </cell>
          <cell r="C31">
            <v>17.750349486651821</v>
          </cell>
          <cell r="D31">
            <v>3.1324146152914976</v>
          </cell>
          <cell r="E31">
            <v>3.466538840922591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1.3406734553447611E-2</v>
          </cell>
          <cell r="L31">
            <v>5.8470503225806461</v>
          </cell>
          <cell r="M31">
            <v>30.209760000000003</v>
          </cell>
          <cell r="N31">
            <v>29.393279999999997</v>
          </cell>
          <cell r="O31">
            <v>425</v>
          </cell>
          <cell r="P31">
            <v>0.7268423743973621</v>
          </cell>
          <cell r="Q31">
            <v>75</v>
          </cell>
          <cell r="R31">
            <v>0.12826630136424039</v>
          </cell>
          <cell r="S31">
            <v>83</v>
          </cell>
          <cell r="T31">
            <v>0.14194804017642601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1.4</v>
          </cell>
          <cell r="AB31">
            <v>2.3943042921324869E-3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0.32100000000000001</v>
          </cell>
          <cell r="AH31">
            <v>5.4897976983894889E-4</v>
          </cell>
          <cell r="AI31">
            <v>0.24</v>
          </cell>
          <cell r="AJ31">
            <v>0.14194804017642601</v>
          </cell>
          <cell r="AK31">
            <v>723.31804</v>
          </cell>
          <cell r="AL31">
            <v>23.943190545042395</v>
          </cell>
          <cell r="AM31">
            <v>1500</v>
          </cell>
          <cell r="AN31">
            <v>1500</v>
          </cell>
          <cell r="AO31">
            <v>7.4</v>
          </cell>
          <cell r="AP31">
            <v>1.6650000000000002E-2</v>
          </cell>
          <cell r="AQ31">
            <v>26.973000000000003</v>
          </cell>
          <cell r="AR31" t="str">
            <v xml:space="preserve">Брус      </v>
          </cell>
          <cell r="AS31">
            <v>0</v>
          </cell>
          <cell r="AT31">
            <v>23.785714285714288</v>
          </cell>
          <cell r="AU31">
            <v>2.7353571428571431E-3</v>
          </cell>
          <cell r="AV31">
            <v>1.3082142857142858E-3</v>
          </cell>
          <cell r="AW31">
            <v>1.1892857142857145E-4</v>
          </cell>
          <cell r="AX31">
            <v>5.7085714285714292E-4</v>
          </cell>
          <cell r="AY31">
            <v>5.7085714285714292E-4</v>
          </cell>
          <cell r="AZ31">
            <v>2.4613043478260875E-3</v>
          </cell>
          <cell r="BA31">
            <v>17.919361837442938</v>
          </cell>
          <cell r="BB31">
            <v>3.1376779756967572</v>
          </cell>
          <cell r="BC31">
            <v>3.4729849368926948</v>
          </cell>
        </row>
        <row r="32">
          <cell r="A32">
            <v>311</v>
          </cell>
          <cell r="B32" t="str">
            <v xml:space="preserve"> ЛПН 1500х1500х8 ТУ </v>
          </cell>
          <cell r="C32">
            <v>17.750349486651821</v>
          </cell>
          <cell r="D32">
            <v>3.1324146152914976</v>
          </cell>
          <cell r="E32">
            <v>3.466538840922591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1.3406734553447611E-2</v>
          </cell>
          <cell r="L32">
            <v>5.8470503225806461</v>
          </cell>
          <cell r="M32">
            <v>30.209760000000003</v>
          </cell>
          <cell r="N32">
            <v>29.393279999999997</v>
          </cell>
          <cell r="O32">
            <v>425</v>
          </cell>
          <cell r="P32">
            <v>0.7268423743973621</v>
          </cell>
          <cell r="Q32">
            <v>75</v>
          </cell>
          <cell r="R32">
            <v>0.12826630136424039</v>
          </cell>
          <cell r="S32">
            <v>83</v>
          </cell>
          <cell r="T32">
            <v>0.14194804017642601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1.4</v>
          </cell>
          <cell r="AB32">
            <v>2.3943042921324869E-3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0.32100000000000001</v>
          </cell>
          <cell r="AH32">
            <v>5.4897976983894889E-4</v>
          </cell>
          <cell r="AI32">
            <v>0.24</v>
          </cell>
          <cell r="AJ32">
            <v>0.14194804017642601</v>
          </cell>
          <cell r="AK32">
            <v>723.31804</v>
          </cell>
          <cell r="AL32">
            <v>23.943190545042395</v>
          </cell>
          <cell r="AM32">
            <v>1500</v>
          </cell>
          <cell r="AN32">
            <v>1500</v>
          </cell>
          <cell r="AO32">
            <v>7.4</v>
          </cell>
          <cell r="AP32">
            <v>1.6650000000000002E-2</v>
          </cell>
          <cell r="AQ32">
            <v>26.973000000000003</v>
          </cell>
          <cell r="AR32" t="str">
            <v>Поддон 1500х1500</v>
          </cell>
          <cell r="AS32">
            <v>0</v>
          </cell>
          <cell r="AT32">
            <v>23.785714285714288</v>
          </cell>
          <cell r="AU32">
            <v>2.7353571428571431E-3</v>
          </cell>
          <cell r="AV32">
            <v>1.3082142857142858E-3</v>
          </cell>
          <cell r="AW32">
            <v>1.1892857142857145E-4</v>
          </cell>
          <cell r="AX32">
            <v>5.7085714285714292E-4</v>
          </cell>
          <cell r="AY32">
            <v>5.7085714285714292E-4</v>
          </cell>
          <cell r="AZ32">
            <v>2.4613043478260875E-3</v>
          </cell>
          <cell r="BA32">
            <v>17.919361837442938</v>
          </cell>
          <cell r="BB32">
            <v>3.1376779756967572</v>
          </cell>
          <cell r="BC32">
            <v>3.4729849368926948</v>
          </cell>
        </row>
        <row r="33">
          <cell r="A33">
            <v>312</v>
          </cell>
          <cell r="B33" t="str">
            <v xml:space="preserve"> ЛПН 1500х1500х10 ТУ </v>
          </cell>
          <cell r="C33">
            <v>22.547741239800956</v>
          </cell>
          <cell r="D33">
            <v>3.9790131599648748</v>
          </cell>
          <cell r="E33">
            <v>3.2893175455709631</v>
          </cell>
          <cell r="F33">
            <v>1.114123684790165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1.7030176324649666E-2</v>
          </cell>
          <cell r="L33">
            <v>7.4273341935483863</v>
          </cell>
          <cell r="M33">
            <v>38.374559999999995</v>
          </cell>
          <cell r="N33">
            <v>37.55807999999999</v>
          </cell>
          <cell r="O33">
            <v>425</v>
          </cell>
          <cell r="P33">
            <v>0.7268423743973621</v>
          </cell>
          <cell r="Q33">
            <v>75</v>
          </cell>
          <cell r="R33">
            <v>0.12826630136424039</v>
          </cell>
          <cell r="S33">
            <v>62</v>
          </cell>
          <cell r="T33">
            <v>0.10603347579443871</v>
          </cell>
          <cell r="U33">
            <v>21</v>
          </cell>
          <cell r="V33">
            <v>3.6000761158950213E-2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1.4</v>
          </cell>
          <cell r="AB33">
            <v>2.3943042921324869E-3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0.32100000000000001</v>
          </cell>
          <cell r="AH33">
            <v>5.4897976983894889E-4</v>
          </cell>
          <cell r="AI33">
            <v>0.24</v>
          </cell>
          <cell r="AJ33">
            <v>0.14203423695338893</v>
          </cell>
          <cell r="AK33">
            <v>723.31804</v>
          </cell>
          <cell r="AL33">
            <v>18.848894684395081</v>
          </cell>
          <cell r="AM33">
            <v>1500</v>
          </cell>
          <cell r="AN33">
            <v>1500</v>
          </cell>
          <cell r="AO33">
            <v>9.4</v>
          </cell>
          <cell r="AP33">
            <v>2.1149999999999999E-2</v>
          </cell>
          <cell r="AQ33">
            <v>34.262999999999998</v>
          </cell>
          <cell r="AR33" t="str">
            <v>Поддон 1500х1500</v>
          </cell>
          <cell r="AS33">
            <v>0</v>
          </cell>
          <cell r="AT33">
            <v>30.214285714285712</v>
          </cell>
          <cell r="AU33">
            <v>3.4746428571428571E-3</v>
          </cell>
          <cell r="AV33">
            <v>1.6617857142857142E-3</v>
          </cell>
          <cell r="AW33">
            <v>1.5107142857142858E-4</v>
          </cell>
          <cell r="AX33">
            <v>7.2514285714285714E-4</v>
          </cell>
          <cell r="AY33">
            <v>7.2514285714285714E-4</v>
          </cell>
          <cell r="AZ33">
            <v>3.1265217391304345E-3</v>
          </cell>
          <cell r="BA33">
            <v>22.762432604319404</v>
          </cell>
          <cell r="BB33">
            <v>3.9856990502093934</v>
          </cell>
          <cell r="BC33">
            <v>3.2938865343887289</v>
          </cell>
        </row>
        <row r="34">
          <cell r="A34">
            <v>313</v>
          </cell>
          <cell r="B34" t="str">
            <v xml:space="preserve"> ЛПН 1750х1445х8 ТУ (на брус)</v>
          </cell>
          <cell r="C34">
            <v>19.949420561942571</v>
          </cell>
          <cell r="D34">
            <v>3.5204859815192773</v>
          </cell>
          <cell r="E34">
            <v>3.8960044862146668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1.5067680000902507E-2</v>
          </cell>
          <cell r="L34">
            <v>6.5714348903225819</v>
          </cell>
          <cell r="M34">
            <v>33.9524136</v>
          </cell>
          <cell r="N34">
            <v>33.0347808</v>
          </cell>
          <cell r="O34">
            <v>425</v>
          </cell>
          <cell r="P34">
            <v>0.7268423743973621</v>
          </cell>
          <cell r="Q34">
            <v>75</v>
          </cell>
          <cell r="R34">
            <v>0.12826630136424039</v>
          </cell>
          <cell r="S34">
            <v>83</v>
          </cell>
          <cell r="T34">
            <v>0.14194804017642601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1.4</v>
          </cell>
          <cell r="AB34">
            <v>2.3943042921324869E-3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0.32100000000000001</v>
          </cell>
          <cell r="AH34">
            <v>5.4897976983894889E-4</v>
          </cell>
          <cell r="AI34">
            <v>0.24</v>
          </cell>
          <cell r="AJ34">
            <v>0.14194804017642601</v>
          </cell>
          <cell r="AK34">
            <v>723.31804</v>
          </cell>
          <cell r="AL34">
            <v>21.303876906117804</v>
          </cell>
          <cell r="AM34">
            <v>1750</v>
          </cell>
          <cell r="AN34">
            <v>1445</v>
          </cell>
          <cell r="AO34">
            <v>7.4</v>
          </cell>
          <cell r="AP34">
            <v>1.871275E-2</v>
          </cell>
          <cell r="AQ34">
            <v>30.314654999999998</v>
          </cell>
          <cell r="AR34" t="str">
            <v xml:space="preserve">Брус      </v>
          </cell>
          <cell r="AS34">
            <v>70</v>
          </cell>
          <cell r="AT34">
            <v>26.732500000000002</v>
          </cell>
          <cell r="AU34">
            <v>3.0742375000000002E-3</v>
          </cell>
          <cell r="AV34">
            <v>1.4702875000000002E-3</v>
          </cell>
          <cell r="AW34">
            <v>1.3366250000000003E-4</v>
          </cell>
          <cell r="AX34">
            <v>6.4157999999999999E-4</v>
          </cell>
          <cell r="AY34">
            <v>6.4157999999999999E-4</v>
          </cell>
          <cell r="AZ34">
            <v>2.7662326086956525E-3</v>
          </cell>
          <cell r="BA34">
            <v>20.139371665081701</v>
          </cell>
          <cell r="BB34">
            <v>3.5264014137969664</v>
          </cell>
          <cell r="BC34">
            <v>3.903249181852178</v>
          </cell>
        </row>
        <row r="35">
          <cell r="A35">
            <v>314</v>
          </cell>
          <cell r="B35" t="str">
            <v xml:space="preserve"> ЛПН 1750х1445х8 ТУ</v>
          </cell>
          <cell r="C35">
            <v>19.949420561942571</v>
          </cell>
          <cell r="D35">
            <v>3.5204859815192773</v>
          </cell>
          <cell r="E35">
            <v>3.8960044862146668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1.5067680000902507E-2</v>
          </cell>
          <cell r="L35">
            <v>6.5714348903225819</v>
          </cell>
          <cell r="M35">
            <v>33.9524136</v>
          </cell>
          <cell r="N35">
            <v>33.0347808</v>
          </cell>
          <cell r="O35">
            <v>425</v>
          </cell>
          <cell r="P35">
            <v>0.7268423743973621</v>
          </cell>
          <cell r="Q35">
            <v>75</v>
          </cell>
          <cell r="R35">
            <v>0.12826630136424039</v>
          </cell>
          <cell r="S35">
            <v>83</v>
          </cell>
          <cell r="T35">
            <v>0.14194804017642601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1.4</v>
          </cell>
          <cell r="AB35">
            <v>2.3943042921324869E-3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0.32100000000000001</v>
          </cell>
          <cell r="AH35">
            <v>5.4897976983894889E-4</v>
          </cell>
          <cell r="AI35">
            <v>0.24</v>
          </cell>
          <cell r="AJ35">
            <v>0.14194804017642601</v>
          </cell>
          <cell r="AK35">
            <v>723.31804</v>
          </cell>
          <cell r="AL35">
            <v>21.303876906117804</v>
          </cell>
          <cell r="AM35">
            <v>1750</v>
          </cell>
          <cell r="AN35">
            <v>1445</v>
          </cell>
          <cell r="AO35">
            <v>7.4</v>
          </cell>
          <cell r="AP35">
            <v>1.871275E-2</v>
          </cell>
          <cell r="AQ35">
            <v>30.314654999999998</v>
          </cell>
          <cell r="AR35" t="str">
            <v>Поддон 1750х1500</v>
          </cell>
          <cell r="AS35">
            <v>70</v>
          </cell>
          <cell r="AT35">
            <v>26.732500000000002</v>
          </cell>
          <cell r="AU35">
            <v>3.0742375000000002E-3</v>
          </cell>
          <cell r="AV35">
            <v>1.4702875000000002E-3</v>
          </cell>
          <cell r="AW35">
            <v>1.3366250000000003E-4</v>
          </cell>
          <cell r="AX35">
            <v>6.4157999999999999E-4</v>
          </cell>
          <cell r="AY35">
            <v>6.4157999999999999E-4</v>
          </cell>
          <cell r="AZ35">
            <v>2.7662326086956525E-3</v>
          </cell>
          <cell r="BA35">
            <v>20.139371665081701</v>
          </cell>
          <cell r="BB35">
            <v>3.5264014137969664</v>
          </cell>
          <cell r="BC35">
            <v>3.903249181852178</v>
          </cell>
        </row>
        <row r="36">
          <cell r="A36">
            <v>315</v>
          </cell>
          <cell r="B36" t="str">
            <v xml:space="preserve"> ЛПН 1750х1445х10 ТУ </v>
          </cell>
          <cell r="C36">
            <v>25.341155848954081</v>
          </cell>
          <cell r="D36">
            <v>4.4719686792271904</v>
          </cell>
          <cell r="E36">
            <v>3.6968274414944773</v>
          </cell>
          <cell r="F36">
            <v>1.2521512301836133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1.9140025947092375E-2</v>
          </cell>
          <cell r="L36">
            <v>8.3474983741935489</v>
          </cell>
          <cell r="M36">
            <v>43.128741599999998</v>
          </cell>
          <cell r="N36">
            <v>42.211108799999991</v>
          </cell>
          <cell r="O36">
            <v>425</v>
          </cell>
          <cell r="P36">
            <v>0.7268423743973621</v>
          </cell>
          <cell r="Q36">
            <v>75</v>
          </cell>
          <cell r="R36">
            <v>0.12826630136424039</v>
          </cell>
          <cell r="S36">
            <v>62</v>
          </cell>
          <cell r="T36">
            <v>0.10603347579443871</v>
          </cell>
          <cell r="U36">
            <v>21</v>
          </cell>
          <cell r="V36">
            <v>3.6000761158950213E-2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1.4</v>
          </cell>
          <cell r="AB36">
            <v>2.3943042921324869E-3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0.32100000000000001</v>
          </cell>
          <cell r="AH36">
            <v>5.4897976983894889E-4</v>
          </cell>
          <cell r="AI36">
            <v>0.24</v>
          </cell>
          <cell r="AJ36">
            <v>0.14203423695338893</v>
          </cell>
          <cell r="AK36">
            <v>723.31804</v>
          </cell>
          <cell r="AL36">
            <v>16.771137138858695</v>
          </cell>
          <cell r="AM36">
            <v>1750</v>
          </cell>
          <cell r="AN36">
            <v>1445</v>
          </cell>
          <cell r="AO36">
            <v>9.4</v>
          </cell>
          <cell r="AP36">
            <v>2.377025E-2</v>
          </cell>
          <cell r="AQ36">
            <v>38.507804999999998</v>
          </cell>
          <cell r="AR36" t="str">
            <v>Поддон 1750х1500</v>
          </cell>
          <cell r="AS36">
            <v>50</v>
          </cell>
          <cell r="AT36">
            <v>33.957500000000003</v>
          </cell>
          <cell r="AU36">
            <v>3.9051125000000007E-3</v>
          </cell>
          <cell r="AV36">
            <v>1.8676625000000001E-3</v>
          </cell>
          <cell r="AW36">
            <v>1.6978750000000003E-4</v>
          </cell>
          <cell r="AX36">
            <v>8.1498000000000009E-4</v>
          </cell>
          <cell r="AY36">
            <v>8.1498000000000009E-4</v>
          </cell>
          <cell r="AZ36">
            <v>3.5138630434782608E-3</v>
          </cell>
          <cell r="BA36">
            <v>25.582445088076756</v>
          </cell>
          <cell r="BB36">
            <v>4.4794828769853359</v>
          </cell>
          <cell r="BC36">
            <v>3.701962477260222</v>
          </cell>
        </row>
        <row r="37">
          <cell r="A37">
            <v>316</v>
          </cell>
          <cell r="B37" t="str">
            <v xml:space="preserve"> ЛПН 1000х1500х8 ТУ </v>
          </cell>
          <cell r="C37">
            <v>11.833566324434546</v>
          </cell>
          <cell r="D37">
            <v>2.0882764101943314</v>
          </cell>
          <cell r="E37">
            <v>2.3110258939483934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8.9378230356317399E-3</v>
          </cell>
          <cell r="L37">
            <v>3.8980335483870974</v>
          </cell>
          <cell r="M37">
            <v>20.13984</v>
          </cell>
          <cell r="N37">
            <v>19.595519999999997</v>
          </cell>
          <cell r="O37">
            <v>425</v>
          </cell>
          <cell r="P37">
            <v>0.7268423743973621</v>
          </cell>
          <cell r="Q37">
            <v>75</v>
          </cell>
          <cell r="R37">
            <v>0.12826630136424039</v>
          </cell>
          <cell r="S37">
            <v>83</v>
          </cell>
          <cell r="T37">
            <v>0.14194804017642601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1.4</v>
          </cell>
          <cell r="AB37">
            <v>2.3943042921324869E-3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0.32100000000000001</v>
          </cell>
          <cell r="AH37">
            <v>5.4897976983894889E-4</v>
          </cell>
          <cell r="AI37">
            <v>0.24</v>
          </cell>
          <cell r="AJ37">
            <v>0.14194804017642601</v>
          </cell>
          <cell r="AK37">
            <v>723.31804</v>
          </cell>
          <cell r="AL37">
            <v>35.914785817563597</v>
          </cell>
          <cell r="AM37">
            <v>1000</v>
          </cell>
          <cell r="AN37">
            <v>1500</v>
          </cell>
          <cell r="AO37">
            <v>7.4</v>
          </cell>
          <cell r="AP37">
            <v>1.11E-2</v>
          </cell>
          <cell r="AQ37">
            <v>17.981999999999999</v>
          </cell>
          <cell r="AR37" t="str">
            <v>Поддон 1000х1500</v>
          </cell>
          <cell r="AS37">
            <v>100</v>
          </cell>
          <cell r="AT37">
            <v>15.857142857142858</v>
          </cell>
          <cell r="AU37">
            <v>1.8235714285714287E-3</v>
          </cell>
          <cell r="AV37">
            <v>8.7214285714285725E-4</v>
          </cell>
          <cell r="AW37">
            <v>7.92857142857143E-5</v>
          </cell>
          <cell r="AX37">
            <v>3.8057142857142863E-4</v>
          </cell>
          <cell r="AY37">
            <v>3.8057142857142863E-4</v>
          </cell>
          <cell r="AZ37">
            <v>1.6408695652173914E-3</v>
          </cell>
          <cell r="BA37">
            <v>11.946241224961959</v>
          </cell>
          <cell r="BB37">
            <v>2.0917853171311713</v>
          </cell>
          <cell r="BC37">
            <v>2.3153232912617963</v>
          </cell>
        </row>
        <row r="38">
          <cell r="A38">
            <v>317</v>
          </cell>
          <cell r="B38" t="str">
            <v xml:space="preserve"> ЛПН 1000х1500х10 ТУ </v>
          </cell>
          <cell r="C38">
            <v>15.031827493200636</v>
          </cell>
          <cell r="D38">
            <v>2.6526754399765826</v>
          </cell>
          <cell r="E38">
            <v>2.1928783637139748</v>
          </cell>
          <cell r="F38">
            <v>0.74274912319344311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1.1353450883099773E-2</v>
          </cell>
          <cell r="L38">
            <v>4.9515561290322587</v>
          </cell>
          <cell r="M38">
            <v>25.583039999999993</v>
          </cell>
          <cell r="N38">
            <v>25.038719999999994</v>
          </cell>
          <cell r="O38">
            <v>425</v>
          </cell>
          <cell r="P38">
            <v>0.7268423743973621</v>
          </cell>
          <cell r="Q38">
            <v>75</v>
          </cell>
          <cell r="R38">
            <v>0.12826630136424039</v>
          </cell>
          <cell r="S38">
            <v>62</v>
          </cell>
          <cell r="T38">
            <v>0.10603347579443871</v>
          </cell>
          <cell r="U38">
            <v>21</v>
          </cell>
          <cell r="V38">
            <v>3.6000761158950213E-2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1.4</v>
          </cell>
          <cell r="AB38">
            <v>2.3943042921324869E-3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0.32100000000000001</v>
          </cell>
          <cell r="AH38">
            <v>5.4897976983894889E-4</v>
          </cell>
          <cell r="AI38">
            <v>0.24</v>
          </cell>
          <cell r="AJ38">
            <v>0.14203423695338893</v>
          </cell>
          <cell r="AK38">
            <v>723.31804</v>
          </cell>
          <cell r="AL38">
            <v>28.273342026592626</v>
          </cell>
          <cell r="AM38">
            <v>1000</v>
          </cell>
          <cell r="AN38">
            <v>1500</v>
          </cell>
          <cell r="AO38">
            <v>9.4</v>
          </cell>
          <cell r="AP38">
            <v>1.41E-2</v>
          </cell>
          <cell r="AQ38">
            <v>22.841999999999995</v>
          </cell>
          <cell r="AR38" t="str">
            <v>Поддон 1000х1500</v>
          </cell>
          <cell r="AS38">
            <v>80</v>
          </cell>
          <cell r="AT38">
            <v>20.142857142857142</v>
          </cell>
          <cell r="AU38">
            <v>2.3164285714285713E-3</v>
          </cell>
          <cell r="AV38">
            <v>1.1078571428571429E-3</v>
          </cell>
          <cell r="AW38">
            <v>1.0071428571428572E-4</v>
          </cell>
          <cell r="AX38">
            <v>4.8342857142857145E-4</v>
          </cell>
          <cell r="AY38">
            <v>4.8342857142857145E-4</v>
          </cell>
          <cell r="AZ38">
            <v>2.0843478260869565E-3</v>
          </cell>
          <cell r="BA38">
            <v>15.174955069546268</v>
          </cell>
          <cell r="BB38">
            <v>2.6571327001395955</v>
          </cell>
          <cell r="BC38">
            <v>2.1959243562591522</v>
          </cell>
        </row>
        <row r="39">
          <cell r="A39">
            <v>318</v>
          </cell>
          <cell r="B39" t="str">
            <v xml:space="preserve"> ЛПН 1000х1500х10 ТУ (брус)</v>
          </cell>
          <cell r="C39">
            <v>15.031827493200636</v>
          </cell>
          <cell r="D39">
            <v>2.6526754399765826</v>
          </cell>
          <cell r="E39">
            <v>2.1928783637139748</v>
          </cell>
          <cell r="F39">
            <v>0.74274912319344311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1.1353450883099773E-2</v>
          </cell>
          <cell r="L39">
            <v>4.9515561290322587</v>
          </cell>
          <cell r="M39">
            <v>25.583039999999993</v>
          </cell>
          <cell r="N39">
            <v>25.038719999999994</v>
          </cell>
          <cell r="O39">
            <v>425</v>
          </cell>
          <cell r="P39">
            <v>0.7268423743973621</v>
          </cell>
          <cell r="Q39">
            <v>75</v>
          </cell>
          <cell r="R39">
            <v>0.12826630136424039</v>
          </cell>
          <cell r="S39">
            <v>62</v>
          </cell>
          <cell r="T39">
            <v>0.10603347579443871</v>
          </cell>
          <cell r="U39">
            <v>21</v>
          </cell>
          <cell r="V39">
            <v>3.6000761158950213E-2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1.4</v>
          </cell>
          <cell r="AB39">
            <v>2.3943042921324869E-3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0.32100000000000001</v>
          </cell>
          <cell r="AH39">
            <v>5.4897976983894889E-4</v>
          </cell>
          <cell r="AI39">
            <v>0.24</v>
          </cell>
          <cell r="AJ39">
            <v>0.14203423695338893</v>
          </cell>
          <cell r="AK39">
            <v>723.31804</v>
          </cell>
          <cell r="AL39">
            <v>28.273342026592626</v>
          </cell>
          <cell r="AM39">
            <v>1000</v>
          </cell>
          <cell r="AN39">
            <v>1500</v>
          </cell>
          <cell r="AO39">
            <v>9.4</v>
          </cell>
          <cell r="AP39">
            <v>1.41E-2</v>
          </cell>
          <cell r="AQ39">
            <v>22.841999999999995</v>
          </cell>
          <cell r="AR39" t="str">
            <v>Поддон 1000х1500</v>
          </cell>
          <cell r="AS39">
            <v>80</v>
          </cell>
          <cell r="AT39">
            <v>20.142857142857142</v>
          </cell>
          <cell r="AU39">
            <v>2.3164285714285713E-3</v>
          </cell>
          <cell r="AV39">
            <v>1.1078571428571429E-3</v>
          </cell>
          <cell r="AW39">
            <v>1.0071428571428572E-4</v>
          </cell>
          <cell r="AX39">
            <v>4.8342857142857145E-4</v>
          </cell>
          <cell r="AY39">
            <v>4.8342857142857145E-4</v>
          </cell>
          <cell r="AZ39">
            <v>2.0843478260869565E-3</v>
          </cell>
          <cell r="BA39">
            <v>15.174955069546268</v>
          </cell>
          <cell r="BB39">
            <v>2.6571327001395955</v>
          </cell>
          <cell r="BC39">
            <v>2.1959243562591522</v>
          </cell>
        </row>
        <row r="40">
          <cell r="A40">
            <v>319</v>
          </cell>
          <cell r="B40" t="str">
            <v xml:space="preserve">ЛПН 3000х1500х10 ТУ </v>
          </cell>
          <cell r="C40">
            <v>53.053508799531663</v>
          </cell>
          <cell r="D40">
            <v>0</v>
          </cell>
          <cell r="E40">
            <v>6.5786350911419262</v>
          </cell>
          <cell r="F40">
            <v>2.22824736958033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3.4060352649299332E-2</v>
          </cell>
          <cell r="L40">
            <v>14.854668387096773</v>
          </cell>
          <cell r="M40">
            <v>76.749119999999991</v>
          </cell>
          <cell r="N40">
            <v>75.116159999999979</v>
          </cell>
          <cell r="O40">
            <v>500</v>
          </cell>
          <cell r="P40">
            <v>0.85510867576160254</v>
          </cell>
          <cell r="Q40">
            <v>0</v>
          </cell>
          <cell r="R40">
            <v>0</v>
          </cell>
          <cell r="S40">
            <v>62</v>
          </cell>
          <cell r="T40">
            <v>0.10603347579443871</v>
          </cell>
          <cell r="U40">
            <v>21</v>
          </cell>
          <cell r="V40">
            <v>3.6000761158950213E-2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1.4</v>
          </cell>
          <cell r="AB40">
            <v>2.3943042921324869E-3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0.32100000000000001</v>
          </cell>
          <cell r="AH40">
            <v>5.4897976983894889E-4</v>
          </cell>
          <cell r="AI40">
            <v>0.24</v>
          </cell>
          <cell r="AJ40">
            <v>0.14203423695338893</v>
          </cell>
          <cell r="AK40">
            <v>723.31804</v>
          </cell>
          <cell r="AL40">
            <v>9.4244473421975403</v>
          </cell>
          <cell r="AM40">
            <v>3000</v>
          </cell>
          <cell r="AN40">
            <v>1500</v>
          </cell>
          <cell r="AO40">
            <v>9.4</v>
          </cell>
          <cell r="AP40">
            <v>4.2299999999999997E-2</v>
          </cell>
          <cell r="AQ40">
            <v>68.525999999999996</v>
          </cell>
          <cell r="AR40" t="str">
            <v>Поддон 3000х1500</v>
          </cell>
          <cell r="AS40">
            <v>25</v>
          </cell>
          <cell r="AT40">
            <v>60.428571428571423</v>
          </cell>
          <cell r="AU40">
            <v>6.9492857142857143E-3</v>
          </cell>
          <cell r="AV40">
            <v>3.3235714285714283E-3</v>
          </cell>
          <cell r="AW40">
            <v>3.0214285714285716E-4</v>
          </cell>
          <cell r="AX40">
            <v>1.4502857142857143E-3</v>
          </cell>
          <cell r="AY40">
            <v>1.4502857142857143E-3</v>
          </cell>
          <cell r="AZ40">
            <v>6.2530434782608691E-3</v>
          </cell>
          <cell r="BA40">
            <v>53.5</v>
          </cell>
          <cell r="BB40">
            <v>0</v>
          </cell>
          <cell r="BC40">
            <v>6.5877730687774578</v>
          </cell>
        </row>
        <row r="41">
          <cell r="A41">
            <v>0</v>
          </cell>
          <cell r="B41" t="str">
            <v>ЛПН ГОСТ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2">
          <cell r="A42">
            <v>320</v>
          </cell>
          <cell r="B42" t="str">
            <v xml:space="preserve"> ЛПН 3000х1500х6 ГОСТ </v>
          </cell>
          <cell r="C42">
            <v>32.142524746099234</v>
          </cell>
          <cell r="D42">
            <v>5.6722102493116289</v>
          </cell>
          <cell r="E42">
            <v>6.277246009238203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2.4277059867053773E-2</v>
          </cell>
          <cell r="L42">
            <v>10.58790193548387</v>
          </cell>
          <cell r="M42">
            <v>54.704159999999987</v>
          </cell>
          <cell r="N42">
            <v>50.621759999999995</v>
          </cell>
          <cell r="O42">
            <v>425</v>
          </cell>
          <cell r="P42">
            <v>0.7268423743973621</v>
          </cell>
          <cell r="Q42">
            <v>75</v>
          </cell>
          <cell r="R42">
            <v>0.12826630136424039</v>
          </cell>
          <cell r="S42">
            <v>83</v>
          </cell>
          <cell r="T42">
            <v>0.14194804017642601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1.4</v>
          </cell>
          <cell r="AB42">
            <v>2.3943042921324869E-3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0.32100000000000001</v>
          </cell>
          <cell r="AH42">
            <v>5.4897976983894889E-4</v>
          </cell>
          <cell r="AI42">
            <v>0.24</v>
          </cell>
          <cell r="AJ42">
            <v>0.14194804017642601</v>
          </cell>
          <cell r="AK42">
            <v>723.31804</v>
          </cell>
          <cell r="AL42">
            <v>13.222358957709984</v>
          </cell>
          <cell r="AM42">
            <v>3000</v>
          </cell>
          <cell r="AN42">
            <v>1500</v>
          </cell>
          <cell r="AO42">
            <v>6.7</v>
          </cell>
          <cell r="AP42">
            <v>3.015E-2</v>
          </cell>
          <cell r="AQ42">
            <v>48.842999999999989</v>
          </cell>
          <cell r="AR42" t="str">
            <v>Поддон 3000х1500</v>
          </cell>
          <cell r="AS42">
            <v>30</v>
          </cell>
          <cell r="AT42">
            <v>43.071428571428569</v>
          </cell>
          <cell r="AU42">
            <v>4.9532142857142856E-3</v>
          </cell>
          <cell r="AV42">
            <v>2.3689285714285713E-3</v>
          </cell>
          <cell r="AW42">
            <v>2.1535714285714287E-4</v>
          </cell>
          <cell r="AX42">
            <v>1.0337142857142856E-3</v>
          </cell>
          <cell r="AY42">
            <v>1.0337142857142856E-3</v>
          </cell>
          <cell r="AZ42">
            <v>4.4569565217391308E-3</v>
          </cell>
          <cell r="BA42">
            <v>32.448574138072338</v>
          </cell>
          <cell r="BB42">
            <v>5.6817411992346667</v>
          </cell>
          <cell r="BC42">
            <v>6.2889186695083907</v>
          </cell>
        </row>
        <row r="43">
          <cell r="A43">
            <v>321</v>
          </cell>
          <cell r="B43" t="str">
            <v xml:space="preserve"> ЛПН 3000х1500х8 ГОСТ </v>
          </cell>
          <cell r="C43">
            <v>43.17652577834226</v>
          </cell>
          <cell r="D43">
            <v>7.6193869020603993</v>
          </cell>
          <cell r="E43">
            <v>8.4321215049468421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3.2610975940818507E-2</v>
          </cell>
          <cell r="L43">
            <v>14.222554838709677</v>
          </cell>
          <cell r="M43">
            <v>73.483199999999997</v>
          </cell>
          <cell r="N43">
            <v>65.318399999999983</v>
          </cell>
          <cell r="O43">
            <v>425</v>
          </cell>
          <cell r="P43">
            <v>0.7268423743973621</v>
          </cell>
          <cell r="Q43">
            <v>75</v>
          </cell>
          <cell r="R43">
            <v>0.12826630136424039</v>
          </cell>
          <cell r="S43">
            <v>83</v>
          </cell>
          <cell r="T43">
            <v>0.14194804017642601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1.4</v>
          </cell>
          <cell r="AB43">
            <v>2.3943042921324869E-3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0.32100000000000001</v>
          </cell>
          <cell r="AH43">
            <v>5.4897976983894889E-4</v>
          </cell>
          <cell r="AI43">
            <v>0.24</v>
          </cell>
          <cell r="AJ43">
            <v>0.14194804017642601</v>
          </cell>
          <cell r="AK43">
            <v>723.31804</v>
          </cell>
          <cell r="AL43">
            <v>9.8433116685174298</v>
          </cell>
          <cell r="AM43">
            <v>3000</v>
          </cell>
          <cell r="AN43">
            <v>1500</v>
          </cell>
          <cell r="AO43">
            <v>9</v>
          </cell>
          <cell r="AP43">
            <v>4.0500000000000001E-2</v>
          </cell>
          <cell r="AQ43">
            <v>65.61</v>
          </cell>
          <cell r="AR43" t="str">
            <v>Поддон 3000х1500</v>
          </cell>
          <cell r="AS43">
            <v>30</v>
          </cell>
          <cell r="AT43">
            <v>57.857142857142861</v>
          </cell>
          <cell r="AU43">
            <v>6.6535714285714288E-3</v>
          </cell>
          <cell r="AV43">
            <v>3.1821428571428573E-3</v>
          </cell>
          <cell r="AW43">
            <v>2.8928571428571431E-4</v>
          </cell>
          <cell r="AX43">
            <v>1.3885714285714287E-3</v>
          </cell>
          <cell r="AY43">
            <v>1.3885714285714287E-3</v>
          </cell>
          <cell r="AZ43">
            <v>5.9869565217391309E-3</v>
          </cell>
          <cell r="BA43">
            <v>43.587636901888231</v>
          </cell>
          <cell r="BB43">
            <v>7.6321896706137338</v>
          </cell>
          <cell r="BC43">
            <v>8.4478011978470953</v>
          </cell>
        </row>
        <row r="44">
          <cell r="A44">
            <v>322</v>
          </cell>
          <cell r="B44" t="str">
            <v xml:space="preserve"> ЛПН 3000х1500х10 ГОСТ </v>
          </cell>
          <cell r="C44">
            <v>52.771309284640537</v>
          </cell>
          <cell r="D44">
            <v>9.3125839914071538</v>
          </cell>
          <cell r="E44">
            <v>7.6984027662299139</v>
          </cell>
          <cell r="F44">
            <v>2.6075235175940028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3.9857859483222617E-2</v>
          </cell>
          <cell r="L44">
            <v>17.383122580645164</v>
          </cell>
          <cell r="M44">
            <v>89.812799999999996</v>
          </cell>
          <cell r="N44">
            <v>81.647999999999996</v>
          </cell>
          <cell r="O44">
            <v>425</v>
          </cell>
          <cell r="P44">
            <v>0.7268423743973621</v>
          </cell>
          <cell r="Q44">
            <v>75</v>
          </cell>
          <cell r="R44">
            <v>0.12826630136424039</v>
          </cell>
          <cell r="S44">
            <v>62</v>
          </cell>
          <cell r="T44">
            <v>0.10603347579443871</v>
          </cell>
          <cell r="U44">
            <v>21</v>
          </cell>
          <cell r="V44">
            <v>3.6000761158950213E-2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1.4</v>
          </cell>
          <cell r="AB44">
            <v>2.3943042921324869E-3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0.32100000000000001</v>
          </cell>
          <cell r="AH44">
            <v>5.4897976983894889E-4</v>
          </cell>
          <cell r="AI44">
            <v>0.24</v>
          </cell>
          <cell r="AJ44">
            <v>0.14203423695338893</v>
          </cell>
          <cell r="AK44">
            <v>723.31804</v>
          </cell>
          <cell r="AL44">
            <v>8.0536186378778982</v>
          </cell>
          <cell r="AM44">
            <v>3000</v>
          </cell>
          <cell r="AN44">
            <v>1500</v>
          </cell>
          <cell r="AO44">
            <v>11</v>
          </cell>
          <cell r="AP44">
            <v>4.9500000000000002E-2</v>
          </cell>
          <cell r="AQ44">
            <v>80.19</v>
          </cell>
          <cell r="AR44" t="str">
            <v>Поддон 3000х1500</v>
          </cell>
          <cell r="AS44">
            <v>25</v>
          </cell>
          <cell r="AT44">
            <v>70.714285714285722</v>
          </cell>
          <cell r="AU44">
            <v>8.1321428571428586E-3</v>
          </cell>
          <cell r="AV44">
            <v>3.8892857142857149E-3</v>
          </cell>
          <cell r="AW44">
            <v>3.5357142857142862E-4</v>
          </cell>
          <cell r="AX44">
            <v>1.6971428571428574E-3</v>
          </cell>
          <cell r="AY44">
            <v>1.6971428571428574E-3</v>
          </cell>
          <cell r="AZ44">
            <v>7.3173913043478268E-3</v>
          </cell>
          <cell r="BA44">
            <v>53.273778435641162</v>
          </cell>
          <cell r="BB44">
            <v>9.3282318196390062</v>
          </cell>
          <cell r="BC44">
            <v>7.7090961443140467</v>
          </cell>
        </row>
        <row r="45">
          <cell r="A45">
            <v>323</v>
          </cell>
          <cell r="B45" t="str">
            <v xml:space="preserve"> ЛПН 3000х1500х12 ГОСТ </v>
          </cell>
          <cell r="C45">
            <v>62.366092790938822</v>
          </cell>
          <cell r="D45">
            <v>11.005781080753911</v>
          </cell>
          <cell r="E45">
            <v>9.0981123600898997</v>
          </cell>
          <cell r="F45">
            <v>3.0816187026110948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4.7104743025626734E-2</v>
          </cell>
          <cell r="L45">
            <v>20.543690322580645</v>
          </cell>
          <cell r="M45">
            <v>106.14239999999999</v>
          </cell>
          <cell r="N45">
            <v>97.977599999999995</v>
          </cell>
          <cell r="O45">
            <v>425</v>
          </cell>
          <cell r="P45">
            <v>0.7268423743973621</v>
          </cell>
          <cell r="Q45">
            <v>75</v>
          </cell>
          <cell r="R45">
            <v>0.12826630136424039</v>
          </cell>
          <cell r="S45">
            <v>62</v>
          </cell>
          <cell r="T45">
            <v>0.10603347579443871</v>
          </cell>
          <cell r="U45">
            <v>21</v>
          </cell>
          <cell r="V45">
            <v>3.6000761158950213E-2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1.4</v>
          </cell>
          <cell r="AB45">
            <v>2.3943042921324869E-3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0.32100000000000001</v>
          </cell>
          <cell r="AH45">
            <v>5.4897976983894889E-4</v>
          </cell>
          <cell r="AI45">
            <v>0.24</v>
          </cell>
          <cell r="AJ45">
            <v>0.14203423695338893</v>
          </cell>
          <cell r="AK45">
            <v>723.31804</v>
          </cell>
          <cell r="AL45">
            <v>6.8146003858966822</v>
          </cell>
          <cell r="AM45">
            <v>3000</v>
          </cell>
          <cell r="AN45">
            <v>1500</v>
          </cell>
          <cell r="AO45">
            <v>13</v>
          </cell>
          <cell r="AP45">
            <v>5.8500000000000003E-2</v>
          </cell>
          <cell r="AQ45">
            <v>94.77</v>
          </cell>
          <cell r="AR45" t="str">
            <v>Поддон 3000х1500</v>
          </cell>
          <cell r="AS45">
            <v>20</v>
          </cell>
          <cell r="AT45">
            <v>83.571428571428584</v>
          </cell>
          <cell r="AU45">
            <v>9.6107142857142867E-3</v>
          </cell>
          <cell r="AV45">
            <v>4.5964285714285725E-3</v>
          </cell>
          <cell r="AW45">
            <v>4.1785714285714294E-4</v>
          </cell>
          <cell r="AX45">
            <v>2.005714285714286E-3</v>
          </cell>
          <cell r="AY45">
            <v>2.005714285714286E-3</v>
          </cell>
          <cell r="AZ45">
            <v>8.6478260869565227E-3</v>
          </cell>
          <cell r="BA45">
            <v>62.959919969394107</v>
          </cell>
          <cell r="BB45">
            <v>11.024273968664282</v>
          </cell>
          <cell r="BC45">
            <v>9.1107499887347831</v>
          </cell>
        </row>
        <row r="46">
          <cell r="A46">
            <v>324</v>
          </cell>
          <cell r="B46" t="str">
            <v xml:space="preserve"> ЛПН 3000х1500х16 ГОСТ </v>
          </cell>
          <cell r="C46">
            <v>86.35305155668452</v>
          </cell>
          <cell r="D46">
            <v>9.5947835062982794</v>
          </cell>
          <cell r="E46">
            <v>11.897531547809866</v>
          </cell>
          <cell r="F46">
            <v>4.0298090726452775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6.1598510110434955E-2</v>
          </cell>
          <cell r="L46">
            <v>26.864825806451606</v>
          </cell>
          <cell r="M46">
            <v>138.80159999999998</v>
          </cell>
          <cell r="N46">
            <v>130.63679999999997</v>
          </cell>
          <cell r="O46">
            <v>450</v>
          </cell>
          <cell r="P46">
            <v>0.76959780818544232</v>
          </cell>
          <cell r="Q46">
            <v>50</v>
          </cell>
          <cell r="R46">
            <v>8.5510867576160249E-2</v>
          </cell>
          <cell r="S46">
            <v>62</v>
          </cell>
          <cell r="T46">
            <v>0.10603347579443871</v>
          </cell>
          <cell r="U46">
            <v>21</v>
          </cell>
          <cell r="V46">
            <v>3.6000761158950213E-2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1.4</v>
          </cell>
          <cell r="AB46">
            <v>2.3943042921324869E-3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0.32100000000000001</v>
          </cell>
          <cell r="AH46">
            <v>5.4897976983894889E-4</v>
          </cell>
          <cell r="AI46">
            <v>0.24</v>
          </cell>
          <cell r="AJ46">
            <v>0.14203423695338893</v>
          </cell>
          <cell r="AK46">
            <v>723.31804</v>
          </cell>
          <cell r="AL46">
            <v>5.2111650009798165</v>
          </cell>
          <cell r="AM46">
            <v>3000</v>
          </cell>
          <cell r="AN46">
            <v>1500</v>
          </cell>
          <cell r="AO46">
            <v>17</v>
          </cell>
          <cell r="AP46">
            <v>7.6499999999999999E-2</v>
          </cell>
          <cell r="AQ46">
            <v>123.92999999999999</v>
          </cell>
          <cell r="AR46" t="str">
            <v>Поддон 3000х1500</v>
          </cell>
          <cell r="AS46">
            <v>15</v>
          </cell>
          <cell r="AT46">
            <v>109.28571428571429</v>
          </cell>
          <cell r="AU46">
            <v>1.2567857142857145E-2</v>
          </cell>
          <cell r="AV46">
            <v>6.0107142857142859E-3</v>
          </cell>
          <cell r="AW46">
            <v>5.4642857142857151E-4</v>
          </cell>
          <cell r="AX46">
            <v>2.6228571428571434E-3</v>
          </cell>
          <cell r="AY46">
            <v>2.6228571428571434E-3</v>
          </cell>
          <cell r="AZ46">
            <v>1.1308695652173913E-2</v>
          </cell>
          <cell r="BA46">
            <v>87.223639818311256</v>
          </cell>
          <cell r="BB46">
            <v>9.6055315095282392</v>
          </cell>
          <cell r="BC46">
            <v>11.914057677576253</v>
          </cell>
        </row>
        <row r="47">
          <cell r="A47">
            <v>325</v>
          </cell>
          <cell r="B47" t="str">
            <v xml:space="preserve"> ЛПН 3000х1500х20 ГОСТ</v>
          </cell>
          <cell r="C47">
            <v>106.67141662884561</v>
          </cell>
          <cell r="D47">
            <v>11.85237962542729</v>
          </cell>
          <cell r="E47">
            <v>19.674950178209301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7.6092277195243196E-2</v>
          </cell>
          <cell r="L47">
            <v>33.185961290322581</v>
          </cell>
          <cell r="M47">
            <v>171.46080000000001</v>
          </cell>
          <cell r="N47">
            <v>163.29599999999999</v>
          </cell>
          <cell r="O47">
            <v>450</v>
          </cell>
          <cell r="P47">
            <v>0.76959780818544232</v>
          </cell>
          <cell r="Q47">
            <v>50</v>
          </cell>
          <cell r="R47">
            <v>8.5510867576160249E-2</v>
          </cell>
          <cell r="S47">
            <v>83</v>
          </cell>
          <cell r="T47">
            <v>0.14194804017642601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1.4</v>
          </cell>
          <cell r="AB47">
            <v>2.3943042921324869E-3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0.32100000000000001</v>
          </cell>
          <cell r="AH47">
            <v>5.4897976983894889E-4</v>
          </cell>
          <cell r="AI47">
            <v>0.24</v>
          </cell>
          <cell r="AJ47">
            <v>0.14194804017642601</v>
          </cell>
          <cell r="AK47">
            <v>723.31804</v>
          </cell>
          <cell r="AL47">
            <v>4.2185621436503267</v>
          </cell>
          <cell r="AM47">
            <v>3000</v>
          </cell>
          <cell r="AN47">
            <v>1500</v>
          </cell>
          <cell r="AO47">
            <v>21</v>
          </cell>
          <cell r="AP47">
            <v>9.4500000000000001E-2</v>
          </cell>
          <cell r="AQ47">
            <v>153.09</v>
          </cell>
          <cell r="AR47" t="str">
            <v>Поддон 3000х1500</v>
          </cell>
          <cell r="AS47">
            <v>12</v>
          </cell>
          <cell r="AT47">
            <v>135</v>
          </cell>
          <cell r="AU47">
            <v>1.5525000000000001E-2</v>
          </cell>
          <cell r="AV47">
            <v>7.4250000000000002E-3</v>
          </cell>
          <cell r="AW47">
            <v>6.7500000000000004E-4</v>
          </cell>
          <cell r="AX47">
            <v>3.2400000000000003E-3</v>
          </cell>
          <cell r="AY47">
            <v>3.2400000000000003E-3</v>
          </cell>
          <cell r="AZ47">
            <v>1.3969565217391304E-2</v>
          </cell>
          <cell r="BA47">
            <v>107.74684918732569</v>
          </cell>
          <cell r="BB47">
            <v>11.86565657059371</v>
          </cell>
          <cell r="BC47">
            <v>19.711536128309891</v>
          </cell>
        </row>
        <row r="48">
          <cell r="A48">
            <v>326</v>
          </cell>
          <cell r="B48" t="str">
            <v xml:space="preserve"> ЛПН 2000х1500х6 ГОСТ </v>
          </cell>
          <cell r="C48">
            <v>21.428349830732827</v>
          </cell>
          <cell r="D48">
            <v>3.7814734995410868</v>
          </cell>
          <cell r="E48">
            <v>4.1848306728254698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1.6184706578035852E-2</v>
          </cell>
          <cell r="L48">
            <v>7.0586012903225814</v>
          </cell>
          <cell r="M48">
            <v>36.469439999999999</v>
          </cell>
          <cell r="N48">
            <v>33.747839999999997</v>
          </cell>
          <cell r="O48">
            <v>425</v>
          </cell>
          <cell r="P48">
            <v>0.7268423743973621</v>
          </cell>
          <cell r="Q48">
            <v>75</v>
          </cell>
          <cell r="R48">
            <v>0.12826630136424039</v>
          </cell>
          <cell r="S48">
            <v>83</v>
          </cell>
          <cell r="T48">
            <v>0.14194804017642601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1.4</v>
          </cell>
          <cell r="AB48">
            <v>2.3943042921324869E-3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0.32100000000000001</v>
          </cell>
          <cell r="AH48">
            <v>5.4897976983894889E-4</v>
          </cell>
          <cell r="AI48">
            <v>0.24</v>
          </cell>
          <cell r="AJ48">
            <v>0.14194804017642601</v>
          </cell>
          <cell r="AK48">
            <v>723.31804</v>
          </cell>
          <cell r="AL48">
            <v>19.833538436564972</v>
          </cell>
          <cell r="AM48">
            <v>2000</v>
          </cell>
          <cell r="AN48">
            <v>1500</v>
          </cell>
          <cell r="AO48">
            <v>6.7</v>
          </cell>
          <cell r="AP48">
            <v>2.01E-2</v>
          </cell>
          <cell r="AQ48">
            <v>32.561999999999998</v>
          </cell>
          <cell r="AR48" t="str">
            <v>Поддон 2000х1500</v>
          </cell>
          <cell r="AS48">
            <v>50</v>
          </cell>
          <cell r="AT48">
            <v>28.714285714285715</v>
          </cell>
          <cell r="AU48">
            <v>3.3021428571428572E-3</v>
          </cell>
          <cell r="AV48">
            <v>1.5792857142857145E-3</v>
          </cell>
          <cell r="AW48">
            <v>1.4357142857142859E-4</v>
          </cell>
          <cell r="AX48">
            <v>6.8914285714285714E-4</v>
          </cell>
          <cell r="AY48">
            <v>6.8914285714285714E-4</v>
          </cell>
          <cell r="AZ48">
            <v>2.9713043478260871E-3</v>
          </cell>
          <cell r="BA48">
            <v>21.632382758714897</v>
          </cell>
          <cell r="BB48">
            <v>3.7878274661564451</v>
          </cell>
          <cell r="BC48">
            <v>4.192612446338928</v>
          </cell>
        </row>
        <row r="49">
          <cell r="A49">
            <v>327</v>
          </cell>
          <cell r="B49" t="str">
            <v xml:space="preserve"> ЛПН 2000х1500х8 ГОСТ </v>
          </cell>
          <cell r="C49">
            <v>28.784350518894843</v>
          </cell>
          <cell r="D49">
            <v>5.0795912680402662</v>
          </cell>
          <cell r="E49">
            <v>5.6214143366312284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2.1740650627212341E-2</v>
          </cell>
          <cell r="L49">
            <v>9.4817032258064486</v>
          </cell>
          <cell r="M49">
            <v>48.988799999999998</v>
          </cell>
          <cell r="N49">
            <v>43.545599999999993</v>
          </cell>
          <cell r="O49">
            <v>425</v>
          </cell>
          <cell r="P49">
            <v>0.7268423743973621</v>
          </cell>
          <cell r="Q49">
            <v>75</v>
          </cell>
          <cell r="R49">
            <v>0.12826630136424039</v>
          </cell>
          <cell r="S49">
            <v>83</v>
          </cell>
          <cell r="T49">
            <v>0.14194804017642601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1.4</v>
          </cell>
          <cell r="AB49">
            <v>2.3943042921324869E-3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0.32100000000000001</v>
          </cell>
          <cell r="AH49">
            <v>5.4897976983894889E-4</v>
          </cell>
          <cell r="AI49">
            <v>0.24</v>
          </cell>
          <cell r="AJ49">
            <v>0.14194804017642601</v>
          </cell>
          <cell r="AK49">
            <v>723.31804</v>
          </cell>
          <cell r="AL49">
            <v>14.764967502776145</v>
          </cell>
          <cell r="AM49">
            <v>2000</v>
          </cell>
          <cell r="AN49">
            <v>1500</v>
          </cell>
          <cell r="AO49">
            <v>9</v>
          </cell>
          <cell r="AP49">
            <v>2.7E-2</v>
          </cell>
          <cell r="AQ49">
            <v>43.739999999999995</v>
          </cell>
          <cell r="AR49" t="str">
            <v>Поддон 2000х1500</v>
          </cell>
          <cell r="AS49">
            <v>50</v>
          </cell>
          <cell r="AT49">
            <v>38.571428571428569</v>
          </cell>
          <cell r="AU49">
            <v>4.4357142857142859E-3</v>
          </cell>
          <cell r="AV49">
            <v>2.1214285714285714E-3</v>
          </cell>
          <cell r="AW49">
            <v>1.9285714285714286E-4</v>
          </cell>
          <cell r="AX49">
            <v>9.2571428571428568E-4</v>
          </cell>
          <cell r="AY49">
            <v>9.2571428571428568E-4</v>
          </cell>
          <cell r="AZ49">
            <v>3.9913043478260867E-3</v>
          </cell>
          <cell r="BA49">
            <v>29.058424601258817</v>
          </cell>
          <cell r="BB49">
            <v>5.0881264470758225</v>
          </cell>
          <cell r="BC49">
            <v>5.6318674652313963</v>
          </cell>
        </row>
        <row r="50">
          <cell r="A50">
            <v>328</v>
          </cell>
          <cell r="B50" t="str">
            <v xml:space="preserve"> ЛПН 2000х1500х10 ГОСТ </v>
          </cell>
          <cell r="C50">
            <v>35.18087285642703</v>
          </cell>
          <cell r="D50">
            <v>6.2083893276047695</v>
          </cell>
          <cell r="E50">
            <v>5.1322685108199426</v>
          </cell>
          <cell r="F50">
            <v>1.7383490117293354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2.6571906322148415E-2</v>
          </cell>
          <cell r="L50">
            <v>11.588748387096771</v>
          </cell>
          <cell r="M50">
            <v>59.875199999999992</v>
          </cell>
          <cell r="N50">
            <v>54.431999999999995</v>
          </cell>
          <cell r="O50">
            <v>425</v>
          </cell>
          <cell r="P50">
            <v>0.7268423743973621</v>
          </cell>
          <cell r="Q50">
            <v>75</v>
          </cell>
          <cell r="R50">
            <v>0.12826630136424039</v>
          </cell>
          <cell r="S50">
            <v>62</v>
          </cell>
          <cell r="T50">
            <v>0.10603347579443871</v>
          </cell>
          <cell r="U50">
            <v>21</v>
          </cell>
          <cell r="V50">
            <v>3.6000761158950213E-2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1.4</v>
          </cell>
          <cell r="AB50">
            <v>2.3943042921324869E-3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0.32100000000000001</v>
          </cell>
          <cell r="AH50">
            <v>5.4897976983894889E-4</v>
          </cell>
          <cell r="AI50">
            <v>0.24</v>
          </cell>
          <cell r="AJ50">
            <v>0.14203423695338893</v>
          </cell>
          <cell r="AK50">
            <v>723.31804</v>
          </cell>
          <cell r="AL50">
            <v>12.080427956816846</v>
          </cell>
          <cell r="AM50">
            <v>2000</v>
          </cell>
          <cell r="AN50">
            <v>1500</v>
          </cell>
          <cell r="AO50">
            <v>11</v>
          </cell>
          <cell r="AP50">
            <v>3.3000000000000002E-2</v>
          </cell>
          <cell r="AQ50">
            <v>53.459999999999994</v>
          </cell>
          <cell r="AR50" t="str">
            <v>Поддон 2000х1500</v>
          </cell>
          <cell r="AS50">
            <v>40</v>
          </cell>
          <cell r="AT50">
            <v>47.142857142857146</v>
          </cell>
          <cell r="AU50">
            <v>5.4214285714285718E-3</v>
          </cell>
          <cell r="AV50">
            <v>2.5928571428571433E-3</v>
          </cell>
          <cell r="AW50">
            <v>2.3571428571428574E-4</v>
          </cell>
          <cell r="AX50">
            <v>1.1314285714285714E-3</v>
          </cell>
          <cell r="AY50">
            <v>1.1314285714285714E-3</v>
          </cell>
          <cell r="AZ50">
            <v>4.8782608695652182E-3</v>
          </cell>
          <cell r="BA50">
            <v>35.515852290427446</v>
          </cell>
          <cell r="BB50">
            <v>6.2188212130926717</v>
          </cell>
          <cell r="BC50">
            <v>5.1393974295426981</v>
          </cell>
        </row>
        <row r="51">
          <cell r="A51">
            <v>329</v>
          </cell>
          <cell r="B51" t="str">
            <v xml:space="preserve"> ЛПН 1500х1500х8 ГОСТ </v>
          </cell>
          <cell r="C51">
            <v>21.58826288917113</v>
          </cell>
          <cell r="D51">
            <v>3.8096934510301996</v>
          </cell>
          <cell r="E51">
            <v>4.216060752473421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1.6305487970409253E-2</v>
          </cell>
          <cell r="L51">
            <v>7.1112774193548383</v>
          </cell>
          <cell r="M51">
            <v>36.741599999999998</v>
          </cell>
          <cell r="N51">
            <v>32.659199999999991</v>
          </cell>
          <cell r="O51">
            <v>425</v>
          </cell>
          <cell r="P51">
            <v>0.7268423743973621</v>
          </cell>
          <cell r="Q51">
            <v>75</v>
          </cell>
          <cell r="R51">
            <v>0.12826630136424039</v>
          </cell>
          <cell r="S51">
            <v>83</v>
          </cell>
          <cell r="T51">
            <v>0.14194804017642601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1.4</v>
          </cell>
          <cell r="AB51">
            <v>2.3943042921324869E-3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0.32100000000000001</v>
          </cell>
          <cell r="AH51">
            <v>5.4897976983894889E-4</v>
          </cell>
          <cell r="AI51">
            <v>0.24</v>
          </cell>
          <cell r="AJ51">
            <v>0.14194804017642601</v>
          </cell>
          <cell r="AK51">
            <v>723.31804</v>
          </cell>
          <cell r="AL51">
            <v>19.68662333703486</v>
          </cell>
          <cell r="AM51">
            <v>1500</v>
          </cell>
          <cell r="AN51">
            <v>1500</v>
          </cell>
          <cell r="AO51">
            <v>9</v>
          </cell>
          <cell r="AP51">
            <v>2.0250000000000001E-2</v>
          </cell>
          <cell r="AQ51">
            <v>32.805</v>
          </cell>
          <cell r="AR51" t="str">
            <v>Поддон 2000х1500</v>
          </cell>
          <cell r="AS51">
            <v>50</v>
          </cell>
          <cell r="AT51">
            <v>28.928571428571431</v>
          </cell>
          <cell r="AU51">
            <v>3.3267857142857144E-3</v>
          </cell>
          <cell r="AV51">
            <v>1.5910714285714287E-3</v>
          </cell>
          <cell r="AW51">
            <v>1.4464285714285715E-4</v>
          </cell>
          <cell r="AX51">
            <v>6.9428571428571434E-4</v>
          </cell>
          <cell r="AY51">
            <v>6.9428571428571434E-4</v>
          </cell>
          <cell r="AZ51">
            <v>2.9934782608695655E-3</v>
          </cell>
          <cell r="BA51">
            <v>21.793818450944116</v>
          </cell>
          <cell r="BB51">
            <v>3.8160948353068669</v>
          </cell>
          <cell r="BC51">
            <v>4.2239005989235476</v>
          </cell>
        </row>
        <row r="52">
          <cell r="A52">
            <v>330</v>
          </cell>
          <cell r="B52" t="str">
            <v xml:space="preserve"> ЛПН 1500х1500х10 ГОСТ </v>
          </cell>
          <cell r="C52">
            <v>26.385654642320269</v>
          </cell>
          <cell r="D52">
            <v>4.6562919957035769</v>
          </cell>
          <cell r="E52">
            <v>3.849201383114957</v>
          </cell>
          <cell r="F52">
            <v>1.3037617587970014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1.9928929741611309E-2</v>
          </cell>
          <cell r="L52">
            <v>8.6915612903225821</v>
          </cell>
          <cell r="M52">
            <v>44.906399999999998</v>
          </cell>
          <cell r="N52">
            <v>40.823999999999998</v>
          </cell>
          <cell r="O52">
            <v>425</v>
          </cell>
          <cell r="P52">
            <v>0.7268423743973621</v>
          </cell>
          <cell r="Q52">
            <v>75</v>
          </cell>
          <cell r="R52">
            <v>0.12826630136424039</v>
          </cell>
          <cell r="S52">
            <v>62</v>
          </cell>
          <cell r="T52">
            <v>0.10603347579443871</v>
          </cell>
          <cell r="U52">
            <v>21</v>
          </cell>
          <cell r="V52">
            <v>3.6000761158950213E-2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1.4</v>
          </cell>
          <cell r="AB52">
            <v>2.3943042921324869E-3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0.32100000000000001</v>
          </cell>
          <cell r="AH52">
            <v>5.4897976983894889E-4</v>
          </cell>
          <cell r="AI52">
            <v>0.24</v>
          </cell>
          <cell r="AJ52">
            <v>0.14203423695338893</v>
          </cell>
          <cell r="AK52">
            <v>723.31804</v>
          </cell>
          <cell r="AL52">
            <v>16.107237275755796</v>
          </cell>
          <cell r="AM52">
            <v>1500</v>
          </cell>
          <cell r="AN52">
            <v>1500</v>
          </cell>
          <cell r="AO52">
            <v>11</v>
          </cell>
          <cell r="AP52">
            <v>2.4750000000000001E-2</v>
          </cell>
          <cell r="AQ52">
            <v>40.094999999999999</v>
          </cell>
          <cell r="AR52" t="str">
            <v>Поддон 2000х1500</v>
          </cell>
          <cell r="AS52">
            <v>50</v>
          </cell>
          <cell r="AT52">
            <v>35.357142857142861</v>
          </cell>
          <cell r="AU52">
            <v>4.0660714285714293E-3</v>
          </cell>
          <cell r="AV52">
            <v>1.9446428571428575E-3</v>
          </cell>
          <cell r="AW52">
            <v>1.7678571428571431E-4</v>
          </cell>
          <cell r="AX52">
            <v>8.4857142857142868E-4</v>
          </cell>
          <cell r="AY52">
            <v>8.4857142857142868E-4</v>
          </cell>
          <cell r="AZ52">
            <v>3.6586956521739134E-3</v>
          </cell>
          <cell r="BA52">
            <v>26.636889217820581</v>
          </cell>
          <cell r="BB52">
            <v>4.6641159098195031</v>
          </cell>
          <cell r="BC52">
            <v>3.8545480721570233</v>
          </cell>
        </row>
        <row r="53">
          <cell r="A53">
            <v>331</v>
          </cell>
          <cell r="B53" t="str">
            <v xml:space="preserve"> ЛПН 1750х1200х6 ГОСТ</v>
          </cell>
          <cell r="C53">
            <v>14.999844881512978</v>
          </cell>
          <cell r="D53">
            <v>2.647031449678761</v>
          </cell>
          <cell r="E53">
            <v>2.9293814709778285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1.1329294604625097E-2</v>
          </cell>
          <cell r="L53">
            <v>4.9410209032258052</v>
          </cell>
          <cell r="M53">
            <v>25.528607999999998</v>
          </cell>
          <cell r="N53">
            <v>23.623487999999998</v>
          </cell>
          <cell r="O53">
            <v>425</v>
          </cell>
          <cell r="P53">
            <v>0.7268423743973621</v>
          </cell>
          <cell r="Q53">
            <v>75</v>
          </cell>
          <cell r="R53">
            <v>0.12826630136424039</v>
          </cell>
          <cell r="S53">
            <v>83</v>
          </cell>
          <cell r="T53">
            <v>0.14194804017642601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1.4</v>
          </cell>
          <cell r="AB53">
            <v>2.3943042921324869E-3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0.32100000000000001</v>
          </cell>
          <cell r="AH53">
            <v>5.4897976983894889E-4</v>
          </cell>
          <cell r="AI53">
            <v>0.24</v>
          </cell>
          <cell r="AJ53">
            <v>0.14194804017642601</v>
          </cell>
          <cell r="AK53">
            <v>723.31804</v>
          </cell>
          <cell r="AL53">
            <v>28.333626337949958</v>
          </cell>
          <cell r="AM53">
            <v>1750</v>
          </cell>
          <cell r="AN53">
            <v>1200</v>
          </cell>
          <cell r="AO53">
            <v>6.7</v>
          </cell>
          <cell r="AP53">
            <v>1.4069999999999999E-2</v>
          </cell>
          <cell r="AQ53">
            <v>22.793399999999998</v>
          </cell>
          <cell r="AR53" t="str">
            <v>Поддон 1750х1200</v>
          </cell>
          <cell r="AS53">
            <v>80</v>
          </cell>
          <cell r="AT53">
            <v>20.099999999999998</v>
          </cell>
          <cell r="AU53">
            <v>2.3114999999999998E-3</v>
          </cell>
          <cell r="AV53">
            <v>1.1054999999999999E-3</v>
          </cell>
          <cell r="AW53">
            <v>1.005E-4</v>
          </cell>
          <cell r="AX53">
            <v>4.8239999999999996E-4</v>
          </cell>
          <cell r="AY53">
            <v>4.8239999999999996E-4</v>
          </cell>
          <cell r="AZ53">
            <v>2.079913043478261E-3</v>
          </cell>
          <cell r="BA53">
            <v>15.142667931100428</v>
          </cell>
          <cell r="BB53">
            <v>2.6514792263095117</v>
          </cell>
          <cell r="BC53">
            <v>2.9348287124372501</v>
          </cell>
        </row>
        <row r="54">
          <cell r="A54">
            <v>332</v>
          </cell>
          <cell r="B54" t="str">
            <v xml:space="preserve"> ЛПН 1750х1200х8 ГОСТ </v>
          </cell>
          <cell r="C54">
            <v>20.149045363226389</v>
          </cell>
          <cell r="D54">
            <v>3.555713887628186</v>
          </cell>
          <cell r="E54">
            <v>3.9349900356418592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1.5218455439048637E-2</v>
          </cell>
          <cell r="L54">
            <v>6.6371922580645126</v>
          </cell>
          <cell r="M54">
            <v>34.292159999999996</v>
          </cell>
          <cell r="N54">
            <v>30.481919999999995</v>
          </cell>
          <cell r="O54">
            <v>425</v>
          </cell>
          <cell r="P54">
            <v>0.7268423743973621</v>
          </cell>
          <cell r="Q54">
            <v>75</v>
          </cell>
          <cell r="R54">
            <v>0.12826630136424039</v>
          </cell>
          <cell r="S54">
            <v>83</v>
          </cell>
          <cell r="T54">
            <v>0.14194804017642601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1.4</v>
          </cell>
          <cell r="AB54">
            <v>2.3943042921324869E-3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0.32100000000000001</v>
          </cell>
          <cell r="AH54">
            <v>5.4897976983894889E-4</v>
          </cell>
          <cell r="AI54">
            <v>0.24</v>
          </cell>
          <cell r="AJ54">
            <v>0.14194804017642601</v>
          </cell>
          <cell r="AK54">
            <v>723.31804</v>
          </cell>
          <cell r="AL54">
            <v>21.092810718251638</v>
          </cell>
          <cell r="AM54">
            <v>1750</v>
          </cell>
          <cell r="AN54">
            <v>1200</v>
          </cell>
          <cell r="AO54">
            <v>9</v>
          </cell>
          <cell r="AP54">
            <v>1.89E-2</v>
          </cell>
          <cell r="AQ54">
            <v>30.617999999999999</v>
          </cell>
          <cell r="AR54" t="str">
            <v>Поддон 1750х1200</v>
          </cell>
          <cell r="AS54">
            <v>70</v>
          </cell>
          <cell r="AT54">
            <v>27</v>
          </cell>
          <cell r="AU54">
            <v>3.1050000000000001E-3</v>
          </cell>
          <cell r="AV54">
            <v>1.485E-3</v>
          </cell>
          <cell r="AW54">
            <v>1.35E-4</v>
          </cell>
          <cell r="AX54">
            <v>6.4800000000000003E-4</v>
          </cell>
          <cell r="AY54">
            <v>6.4800000000000003E-4</v>
          </cell>
          <cell r="AZ54">
            <v>2.7939130434782612E-3</v>
          </cell>
          <cell r="BA54">
            <v>20.340897220881171</v>
          </cell>
          <cell r="BB54">
            <v>3.5616885129530753</v>
          </cell>
          <cell r="BC54">
            <v>3.9423072256619771</v>
          </cell>
        </row>
        <row r="55">
          <cell r="A55">
            <v>333</v>
          </cell>
          <cell r="B55" t="str">
            <v xml:space="preserve"> ЛПН 1750х1200х10 ГОСТ </v>
          </cell>
          <cell r="C55">
            <v>24.626610999498919</v>
          </cell>
          <cell r="D55">
            <v>4.3458725293233389</v>
          </cell>
          <cell r="E55">
            <v>3.5925879575739601</v>
          </cell>
          <cell r="F55">
            <v>1.2168443082105349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1.8600334425503892E-2</v>
          </cell>
          <cell r="L55">
            <v>8.1121238709677428</v>
          </cell>
          <cell r="M55">
            <v>41.912639999999996</v>
          </cell>
          <cell r="N55">
            <v>38.102399999999996</v>
          </cell>
          <cell r="O55">
            <v>425</v>
          </cell>
          <cell r="P55">
            <v>0.7268423743973621</v>
          </cell>
          <cell r="Q55">
            <v>75</v>
          </cell>
          <cell r="R55">
            <v>0.12826630136424039</v>
          </cell>
          <cell r="S55">
            <v>62</v>
          </cell>
          <cell r="T55">
            <v>0.10603347579443871</v>
          </cell>
          <cell r="U55">
            <v>21</v>
          </cell>
          <cell r="V55">
            <v>3.6000761158950213E-2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1.4</v>
          </cell>
          <cell r="AB55">
            <v>2.3943042921324869E-3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0.32100000000000001</v>
          </cell>
          <cell r="AH55">
            <v>5.4897976983894889E-4</v>
          </cell>
          <cell r="AI55">
            <v>0.24</v>
          </cell>
          <cell r="AJ55">
            <v>0.14203423695338893</v>
          </cell>
          <cell r="AK55">
            <v>723.31804</v>
          </cell>
          <cell r="AL55">
            <v>17.257754224024065</v>
          </cell>
          <cell r="AM55">
            <v>1750</v>
          </cell>
          <cell r="AN55">
            <v>1200</v>
          </cell>
          <cell r="AO55">
            <v>11</v>
          </cell>
          <cell r="AP55">
            <v>2.3099999999999999E-2</v>
          </cell>
          <cell r="AQ55">
            <v>37.421999999999997</v>
          </cell>
          <cell r="AR55" t="str">
            <v>Поддон 1750х1200</v>
          </cell>
          <cell r="AS55">
            <v>50</v>
          </cell>
          <cell r="AT55">
            <v>33</v>
          </cell>
          <cell r="AU55">
            <v>3.7950000000000002E-3</v>
          </cell>
          <cell r="AV55">
            <v>1.815E-3</v>
          </cell>
          <cell r="AW55">
            <v>1.6500000000000003E-4</v>
          </cell>
          <cell r="AX55">
            <v>7.9200000000000006E-4</v>
          </cell>
          <cell r="AY55">
            <v>7.9200000000000006E-4</v>
          </cell>
          <cell r="AZ55">
            <v>3.4147826086956524E-3</v>
          </cell>
          <cell r="BA55">
            <v>24.861096603299213</v>
          </cell>
          <cell r="BB55">
            <v>4.3531748491648701</v>
          </cell>
          <cell r="BC55">
            <v>3.5975782006798886</v>
          </cell>
        </row>
        <row r="56">
          <cell r="A56">
            <v>334</v>
          </cell>
          <cell r="B56" t="str">
            <v xml:space="preserve"> ЛПН 1000х1500х8 ГОСТ </v>
          </cell>
          <cell r="C56">
            <v>12.793044675064372</v>
          </cell>
          <cell r="D56">
            <v>2.257596119129007</v>
          </cell>
          <cell r="E56">
            <v>2.4984063718361011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9.6625113898721506E-3</v>
          </cell>
          <cell r="L56">
            <v>4.2140903225806454</v>
          </cell>
          <cell r="M56">
            <v>21.772799999999997</v>
          </cell>
          <cell r="N56">
            <v>21.772799999999997</v>
          </cell>
          <cell r="O56">
            <v>425</v>
          </cell>
          <cell r="P56">
            <v>0.7268423743973621</v>
          </cell>
          <cell r="Q56">
            <v>75</v>
          </cell>
          <cell r="R56">
            <v>0.12826630136424039</v>
          </cell>
          <cell r="S56">
            <v>83</v>
          </cell>
          <cell r="T56">
            <v>0.14194804017642601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1.4</v>
          </cell>
          <cell r="AB56">
            <v>2.3943042921324869E-3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0.32100000000000001</v>
          </cell>
          <cell r="AH56">
            <v>5.4897976983894889E-4</v>
          </cell>
          <cell r="AI56">
            <v>0.24</v>
          </cell>
          <cell r="AJ56">
            <v>0.14194804017642601</v>
          </cell>
          <cell r="AK56">
            <v>723.31804</v>
          </cell>
          <cell r="AL56">
            <v>33.221176881246329</v>
          </cell>
          <cell r="AM56">
            <v>1000</v>
          </cell>
          <cell r="AN56">
            <v>1500</v>
          </cell>
          <cell r="AO56">
            <v>8</v>
          </cell>
          <cell r="AP56">
            <v>1.2E-2</v>
          </cell>
          <cell r="AQ56">
            <v>19.439999999999998</v>
          </cell>
          <cell r="AR56" t="str">
            <v>Поддон 1000х1500</v>
          </cell>
          <cell r="AS56">
            <v>100</v>
          </cell>
          <cell r="AT56">
            <v>17.142857142857142</v>
          </cell>
          <cell r="AU56">
            <v>1.9714285714285715E-3</v>
          </cell>
          <cell r="AV56">
            <v>9.4285714285714285E-4</v>
          </cell>
          <cell r="AW56">
            <v>8.5714285714285713E-5</v>
          </cell>
          <cell r="AX56">
            <v>4.1142857142857143E-4</v>
          </cell>
          <cell r="AY56">
            <v>4.1142857142857143E-4</v>
          </cell>
          <cell r="AZ56">
            <v>1.7739130434782609E-3</v>
          </cell>
          <cell r="BA56">
            <v>12.914855378337251</v>
          </cell>
          <cell r="BB56">
            <v>2.2613895320336987</v>
          </cell>
          <cell r="BC56">
            <v>2.5030522067695093</v>
          </cell>
        </row>
        <row r="57">
          <cell r="A57">
            <v>335</v>
          </cell>
          <cell r="B57" t="str">
            <v xml:space="preserve"> ЛПН 1000х1500х10 ГОСТ </v>
          </cell>
          <cell r="C57">
            <v>17.590436428213515</v>
          </cell>
          <cell r="D57">
            <v>3.1041946638023847</v>
          </cell>
          <cell r="E57">
            <v>2.5661342554099713</v>
          </cell>
          <cell r="F57">
            <v>0.86917450586466771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1.3285953161074207E-2</v>
          </cell>
          <cell r="L57">
            <v>5.7943741935483857</v>
          </cell>
          <cell r="M57">
            <v>29.937599999999996</v>
          </cell>
          <cell r="N57">
            <v>27.215999999999998</v>
          </cell>
          <cell r="O57">
            <v>425</v>
          </cell>
          <cell r="P57">
            <v>0.7268423743973621</v>
          </cell>
          <cell r="Q57">
            <v>75</v>
          </cell>
          <cell r="R57">
            <v>0.12826630136424039</v>
          </cell>
          <cell r="S57">
            <v>62</v>
          </cell>
          <cell r="T57">
            <v>0.10603347579443871</v>
          </cell>
          <cell r="U57">
            <v>21</v>
          </cell>
          <cell r="V57">
            <v>3.6000761158950213E-2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2.3943042921324869E-3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0.32100000000000001</v>
          </cell>
          <cell r="AH57">
            <v>5.4897976983894889E-4</v>
          </cell>
          <cell r="AI57">
            <v>0.24</v>
          </cell>
          <cell r="AJ57">
            <v>0.14203423695338893</v>
          </cell>
          <cell r="AK57">
            <v>723.31804</v>
          </cell>
          <cell r="AL57">
            <v>24.160855913633693</v>
          </cell>
          <cell r="AM57">
            <v>1000</v>
          </cell>
          <cell r="AN57">
            <v>1500</v>
          </cell>
          <cell r="AO57">
            <v>11</v>
          </cell>
          <cell r="AP57">
            <v>1.6500000000000001E-2</v>
          </cell>
          <cell r="AQ57">
            <v>26.729999999999997</v>
          </cell>
          <cell r="AR57" t="str">
            <v>Поддон 1000х1500</v>
          </cell>
          <cell r="AS57">
            <v>100</v>
          </cell>
          <cell r="AT57">
            <v>23.571428571428573</v>
          </cell>
          <cell r="AU57">
            <v>2.7107142857142859E-3</v>
          </cell>
          <cell r="AV57">
            <v>1.2964285714285716E-3</v>
          </cell>
          <cell r="AW57">
            <v>1.1785714285714287E-4</v>
          </cell>
          <cell r="AX57">
            <v>5.6571428571428571E-4</v>
          </cell>
          <cell r="AY57">
            <v>5.6571428571428571E-4</v>
          </cell>
          <cell r="AZ57">
            <v>2.4391304347826091E-3</v>
          </cell>
          <cell r="BA57">
            <v>17.757926145213723</v>
          </cell>
          <cell r="BB57">
            <v>3.1094106065463358</v>
          </cell>
          <cell r="BC57">
            <v>2.569698714771349</v>
          </cell>
        </row>
        <row r="58">
          <cell r="A58">
            <v>336</v>
          </cell>
          <cell r="B58" t="str">
            <v xml:space="preserve"> ЛПН 1750х1445х8 ГОСТ</v>
          </cell>
          <cell r="C58">
            <v>21.56694114804603</v>
          </cell>
          <cell r="D58">
            <v>3.8059307908316522</v>
          </cell>
          <cell r="E58">
            <v>4.2118967418536952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1.6289383784759474E-2</v>
          </cell>
          <cell r="L58">
            <v>7.1042539354838752</v>
          </cell>
          <cell r="M58">
            <v>36.705312000000006</v>
          </cell>
          <cell r="N58">
            <v>36.705312000000006</v>
          </cell>
          <cell r="O58">
            <v>425</v>
          </cell>
          <cell r="P58">
            <v>0.7268423743973621</v>
          </cell>
          <cell r="Q58">
            <v>75</v>
          </cell>
          <cell r="R58">
            <v>0.12826630136424039</v>
          </cell>
          <cell r="S58">
            <v>83</v>
          </cell>
          <cell r="T58">
            <v>0.14194804017642601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1.4</v>
          </cell>
          <cell r="AB58">
            <v>2.3943042921324869E-3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0.32100000000000001</v>
          </cell>
          <cell r="AH58">
            <v>5.4897976983894889E-4</v>
          </cell>
          <cell r="AI58">
            <v>0.24</v>
          </cell>
          <cell r="AJ58">
            <v>0.14194804017642601</v>
          </cell>
          <cell r="AK58">
            <v>723.31804</v>
          </cell>
          <cell r="AL58">
            <v>19.706086138158962</v>
          </cell>
          <cell r="AM58">
            <v>1750</v>
          </cell>
          <cell r="AN58">
            <v>1445</v>
          </cell>
          <cell r="AO58">
            <v>8</v>
          </cell>
          <cell r="AP58">
            <v>2.0230000000000001E-2</v>
          </cell>
          <cell r="AQ58">
            <v>32.772600000000004</v>
          </cell>
          <cell r="AR58" t="str">
            <v>Поддон 1750х1500</v>
          </cell>
          <cell r="AS58">
            <v>70</v>
          </cell>
          <cell r="AT58">
            <v>28.900000000000002</v>
          </cell>
          <cell r="AU58">
            <v>3.3235000000000005E-3</v>
          </cell>
          <cell r="AV58">
            <v>1.5895000000000002E-3</v>
          </cell>
          <cell r="AW58">
            <v>1.4450000000000002E-4</v>
          </cell>
          <cell r="AX58">
            <v>6.9360000000000005E-4</v>
          </cell>
          <cell r="AY58">
            <v>6.9360000000000005E-4</v>
          </cell>
          <cell r="AZ58">
            <v>2.9905217391304351E-3</v>
          </cell>
          <cell r="BA58">
            <v>21.772293691980224</v>
          </cell>
          <cell r="BB58">
            <v>3.812325852753478</v>
          </cell>
          <cell r="BC58">
            <v>4.2197288452455997</v>
          </cell>
        </row>
        <row r="59">
          <cell r="A59">
            <v>337</v>
          </cell>
          <cell r="B59" t="str">
            <v xml:space="preserve"> ЛПН 1750х1445х10 ГОСТ </v>
          </cell>
          <cell r="C59">
            <v>29.654544078563283</v>
          </cell>
          <cell r="D59">
            <v>5.2331548373935206</v>
          </cell>
          <cell r="E59">
            <v>4.326074665578644</v>
          </cell>
          <cell r="F59">
            <v>1.4652833544701858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2.2397902704044268E-2</v>
          </cell>
          <cell r="L59">
            <v>9.7683491612903239</v>
          </cell>
          <cell r="M59">
            <v>50.469803999999996</v>
          </cell>
          <cell r="N59">
            <v>45.881639999999997</v>
          </cell>
          <cell r="O59">
            <v>425</v>
          </cell>
          <cell r="P59">
            <v>0.7268423743973621</v>
          </cell>
          <cell r="Q59">
            <v>75</v>
          </cell>
          <cell r="R59">
            <v>0.12826630136424039</v>
          </cell>
          <cell r="S59">
            <v>62</v>
          </cell>
          <cell r="T59">
            <v>0.10603347579443871</v>
          </cell>
          <cell r="U59">
            <v>21</v>
          </cell>
          <cell r="V59">
            <v>3.6000761158950213E-2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1.4</v>
          </cell>
          <cell r="AB59">
            <v>2.3943042921324869E-3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0.32100000000000001</v>
          </cell>
          <cell r="AH59">
            <v>5.4897976983894889E-4</v>
          </cell>
          <cell r="AI59">
            <v>0.24</v>
          </cell>
          <cell r="AJ59">
            <v>0.14203423695338893</v>
          </cell>
          <cell r="AK59">
            <v>723.31804</v>
          </cell>
          <cell r="AL59">
            <v>14.331699009570158</v>
          </cell>
          <cell r="AM59">
            <v>1750</v>
          </cell>
          <cell r="AN59">
            <v>1445</v>
          </cell>
          <cell r="AO59">
            <v>11</v>
          </cell>
          <cell r="AP59">
            <v>2.7816250000000001E-2</v>
          </cell>
          <cell r="AQ59">
            <v>45.062324999999994</v>
          </cell>
          <cell r="AR59" t="str">
            <v>Поддон 1750х1500</v>
          </cell>
          <cell r="AS59">
            <v>50</v>
          </cell>
          <cell r="AT59">
            <v>39.737500000000004</v>
          </cell>
          <cell r="AU59">
            <v>4.569812500000001E-3</v>
          </cell>
          <cell r="AV59">
            <v>2.1855625000000004E-3</v>
          </cell>
          <cell r="AW59">
            <v>1.9868750000000003E-4</v>
          </cell>
          <cell r="AX59">
            <v>9.5370000000000014E-4</v>
          </cell>
          <cell r="AY59">
            <v>9.5370000000000014E-4</v>
          </cell>
          <cell r="AZ59">
            <v>4.1119673913043485E-3</v>
          </cell>
          <cell r="BA59">
            <v>29.9369038264728</v>
          </cell>
          <cell r="BB59">
            <v>5.2419480475360309</v>
          </cell>
          <cell r="BC59">
            <v>4.3320837499853662</v>
          </cell>
        </row>
        <row r="60">
          <cell r="A60">
            <v>338</v>
          </cell>
          <cell r="B60" t="str">
            <v xml:space="preserve"> ЛПН 3020х1520х8 ГОСТ </v>
          </cell>
          <cell r="C60">
            <v>47.67429981638935</v>
          </cell>
          <cell r="D60">
            <v>0</v>
          </cell>
          <cell r="E60">
            <v>4.2377155392346095</v>
          </cell>
          <cell r="F60">
            <v>0</v>
          </cell>
          <cell r="G60">
            <v>4.2377155392346095</v>
          </cell>
          <cell r="H60">
            <v>0.21188577696173044</v>
          </cell>
          <cell r="I60">
            <v>0</v>
          </cell>
          <cell r="J60">
            <v>2.5426293235407654E-2</v>
          </cell>
          <cell r="K60">
            <v>3.400766720235774E-2</v>
          </cell>
          <cell r="L60">
            <v>13.541052151741937</v>
          </cell>
          <cell r="M60">
            <v>69.962102783999995</v>
          </cell>
          <cell r="N60">
            <v>66.630574080000002</v>
          </cell>
          <cell r="O60">
            <v>450</v>
          </cell>
          <cell r="P60">
            <v>0.84275817896812688</v>
          </cell>
          <cell r="Q60">
            <v>0</v>
          </cell>
          <cell r="R60">
            <v>0</v>
          </cell>
          <cell r="S60">
            <v>40</v>
          </cell>
          <cell r="T60">
            <v>7.4911838130500161E-2</v>
          </cell>
          <cell r="U60">
            <v>0</v>
          </cell>
          <cell r="V60">
            <v>0</v>
          </cell>
          <cell r="W60">
            <v>40</v>
          </cell>
          <cell r="X60">
            <v>7.5108766883042508E-2</v>
          </cell>
          <cell r="Y60">
            <v>0</v>
          </cell>
          <cell r="Z60">
            <v>0</v>
          </cell>
          <cell r="AA60">
            <v>1.4</v>
          </cell>
          <cell r="AB60">
            <v>2.6219143345675056E-3</v>
          </cell>
          <cell r="AC60">
            <v>0.24</v>
          </cell>
          <cell r="AD60">
            <v>4.49471028783001E-4</v>
          </cell>
          <cell r="AE60">
            <v>2</v>
          </cell>
          <cell r="AF60">
            <v>3.7455919065250082E-3</v>
          </cell>
          <cell r="AG60">
            <v>0.32100000000000001</v>
          </cell>
          <cell r="AH60">
            <v>6.4984887470873206E-4</v>
          </cell>
          <cell r="AI60">
            <v>0.24</v>
          </cell>
          <cell r="AJ60">
            <v>0.15002060501354267</v>
          </cell>
          <cell r="AK60">
            <v>660.37563999999998</v>
          </cell>
          <cell r="AL60">
            <v>9.4390479091063675</v>
          </cell>
          <cell r="AM60">
            <v>3020</v>
          </cell>
          <cell r="AN60">
            <v>1520</v>
          </cell>
          <cell r="AO60">
            <v>8.4</v>
          </cell>
          <cell r="AP60">
            <v>3.8559360000000001E-2</v>
          </cell>
          <cell r="AQ60">
            <v>62.46616319999999</v>
          </cell>
          <cell r="AR60" t="str">
            <v>Поддон 3000х1500</v>
          </cell>
          <cell r="AS60">
            <v>25</v>
          </cell>
          <cell r="AT60">
            <v>55.084800000000001</v>
          </cell>
          <cell r="AU60">
            <v>6.3347519999999999E-3</v>
          </cell>
          <cell r="AV60">
            <v>3.0296640000000001E-3</v>
          </cell>
          <cell r="AW60">
            <v>2.7542400000000002E-4</v>
          </cell>
          <cell r="AX60">
            <v>1.3220351999999999E-3</v>
          </cell>
          <cell r="AY60">
            <v>1.3220351999999999E-3</v>
          </cell>
          <cell r="AZ60">
            <v>5.7000793043478267E-3</v>
          </cell>
          <cell r="BA60">
            <v>48.20063038625797</v>
          </cell>
          <cell r="BB60">
            <v>0</v>
          </cell>
          <cell r="BC60">
            <v>4.2418742005273975</v>
          </cell>
        </row>
        <row r="61">
          <cell r="A61">
            <v>339</v>
          </cell>
          <cell r="B61" t="str">
            <v xml:space="preserve"> ЛПН 3020х1520х10 ГОСТ </v>
          </cell>
          <cell r="C61">
            <v>62.435320151844969</v>
          </cell>
          <cell r="D61">
            <v>0</v>
          </cell>
          <cell r="E61">
            <v>5.5498062357195526</v>
          </cell>
          <cell r="F61">
            <v>0</v>
          </cell>
          <cell r="G61">
            <v>5.5498062357195526</v>
          </cell>
          <cell r="H61">
            <v>0.27749031178597766</v>
          </cell>
          <cell r="I61">
            <v>0</v>
          </cell>
          <cell r="J61">
            <v>2.7749031178597765E-2</v>
          </cell>
          <cell r="K61">
            <v>4.4537195041649415E-2</v>
          </cell>
          <cell r="L61">
            <v>17.732330198709676</v>
          </cell>
          <cell r="M61">
            <v>91.617039359999993</v>
          </cell>
          <cell r="N61">
            <v>83.288217599999996</v>
          </cell>
          <cell r="O61">
            <v>450</v>
          </cell>
          <cell r="P61">
            <v>0.84282131626214363</v>
          </cell>
          <cell r="Q61">
            <v>0</v>
          </cell>
          <cell r="R61">
            <v>0</v>
          </cell>
          <cell r="S61">
            <v>40</v>
          </cell>
          <cell r="T61">
            <v>7.4917450334412758E-2</v>
          </cell>
          <cell r="U61">
            <v>0</v>
          </cell>
          <cell r="V61">
            <v>0</v>
          </cell>
          <cell r="W61">
            <v>40</v>
          </cell>
          <cell r="X61">
            <v>7.5114408633650112E-2</v>
          </cell>
          <cell r="Y61">
            <v>0</v>
          </cell>
          <cell r="Z61">
            <v>0</v>
          </cell>
          <cell r="AA61">
            <v>1.4</v>
          </cell>
          <cell r="AB61">
            <v>2.6221107617044465E-3</v>
          </cell>
          <cell r="AC61">
            <v>0.2</v>
          </cell>
          <cell r="AD61">
            <v>3.7458725167206384E-4</v>
          </cell>
          <cell r="AE61">
            <v>2</v>
          </cell>
          <cell r="AF61">
            <v>3.745872516720638E-3</v>
          </cell>
          <cell r="AG61">
            <v>0.32100000000000001</v>
          </cell>
          <cell r="AH61">
            <v>6.4990150246699372E-4</v>
          </cell>
          <cell r="AI61">
            <v>0.24</v>
          </cell>
          <cell r="AJ61">
            <v>0.15003185896806287</v>
          </cell>
          <cell r="AK61">
            <v>660.32604000000015</v>
          </cell>
          <cell r="AL61">
            <v>7.2074588374910808</v>
          </cell>
          <cell r="AM61">
            <v>3020</v>
          </cell>
          <cell r="AN61">
            <v>1520</v>
          </cell>
          <cell r="AO61">
            <v>11</v>
          </cell>
          <cell r="AP61">
            <v>5.0494400000000002E-2</v>
          </cell>
          <cell r="AQ61">
            <v>81.800927999999999</v>
          </cell>
          <cell r="AR61" t="str">
            <v>Поддон 3000х1500</v>
          </cell>
          <cell r="AS61">
            <v>25</v>
          </cell>
          <cell r="AT61">
            <v>72.134857142857143</v>
          </cell>
          <cell r="AU61">
            <v>8.2955085714285712E-3</v>
          </cell>
          <cell r="AV61">
            <v>3.9674171428571428E-3</v>
          </cell>
          <cell r="AW61">
            <v>3.6067428571428574E-4</v>
          </cell>
          <cell r="AX61">
            <v>1.7312365714285715E-3</v>
          </cell>
          <cell r="AY61">
            <v>1.7312365714285715E-3</v>
          </cell>
          <cell r="AZ61">
            <v>7.4643895652173921E-3</v>
          </cell>
          <cell r="BA61">
            <v>63.124665976967279</v>
          </cell>
          <cell r="BB61">
            <v>0</v>
          </cell>
          <cell r="BC61">
            <v>5.555252918782247</v>
          </cell>
        </row>
        <row r="62">
          <cell r="A62">
            <v>340</v>
          </cell>
          <cell r="B62" t="str">
            <v xml:space="preserve"> ЛПН 3000х1200х10 ГОСТ </v>
          </cell>
          <cell r="C62">
            <v>42.21704742771243</v>
          </cell>
          <cell r="D62">
            <v>7.4500671931257232</v>
          </cell>
          <cell r="E62">
            <v>6.158722212983931</v>
          </cell>
          <cell r="F62">
            <v>2.0860188140752025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3.1886287586578098E-2</v>
          </cell>
          <cell r="L62">
            <v>13.906498064516128</v>
          </cell>
          <cell r="M62">
            <v>71.850239999999999</v>
          </cell>
          <cell r="N62">
            <v>65.319000000000003</v>
          </cell>
          <cell r="O62">
            <v>425</v>
          </cell>
          <cell r="P62">
            <v>0.7268423743973621</v>
          </cell>
          <cell r="Q62">
            <v>75</v>
          </cell>
          <cell r="R62">
            <v>0.12826630136424039</v>
          </cell>
          <cell r="S62">
            <v>62</v>
          </cell>
          <cell r="T62">
            <v>0.10603347579443871</v>
          </cell>
          <cell r="U62">
            <v>21</v>
          </cell>
          <cell r="V62">
            <v>3.6000761158950213E-2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1.4</v>
          </cell>
          <cell r="AB62">
            <v>2.3943042921324869E-3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0.32100000000000001</v>
          </cell>
          <cell r="AH62">
            <v>5.4897976983894889E-4</v>
          </cell>
          <cell r="AI62">
            <v>0.24</v>
          </cell>
          <cell r="AJ62">
            <v>0.14203423695338893</v>
          </cell>
          <cell r="AK62">
            <v>723.31804</v>
          </cell>
          <cell r="AL62">
            <v>10.067023297347372</v>
          </cell>
          <cell r="AM62">
            <v>3000</v>
          </cell>
          <cell r="AN62">
            <v>1200</v>
          </cell>
          <cell r="AO62">
            <v>11</v>
          </cell>
          <cell r="AP62">
            <v>3.9600000000000003E-2</v>
          </cell>
          <cell r="AQ62">
            <v>64.152000000000001</v>
          </cell>
          <cell r="AR62" t="str">
            <v>Поддон 3000х1200</v>
          </cell>
          <cell r="AS62">
            <v>30</v>
          </cell>
          <cell r="AT62">
            <v>56.571428571428577</v>
          </cell>
          <cell r="AU62">
            <v>6.5057142857142865E-3</v>
          </cell>
          <cell r="AV62">
            <v>3.1114285714285718E-3</v>
          </cell>
          <cell r="AW62">
            <v>2.8285714285714291E-4</v>
          </cell>
          <cell r="AX62">
            <v>1.3577142857142859E-3</v>
          </cell>
          <cell r="AY62">
            <v>1.3577142857142859E-3</v>
          </cell>
          <cell r="AZ62">
            <v>5.8539130434782614E-3</v>
          </cell>
          <cell r="BA62">
            <v>42.619022748512933</v>
          </cell>
          <cell r="BB62">
            <v>7.4625854557112055</v>
          </cell>
          <cell r="BC62">
            <v>6.1672769154512377</v>
          </cell>
        </row>
        <row r="63">
          <cell r="A63">
            <v>341</v>
          </cell>
          <cell r="B63" t="str">
            <v xml:space="preserve"> ЛПН 1000х1500х6 ГОСТ </v>
          </cell>
          <cell r="C63">
            <v>10.714174915366414</v>
          </cell>
          <cell r="D63">
            <v>1.8907367497705434</v>
          </cell>
          <cell r="E63">
            <v>2.0924153364127349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8.092353289017926E-3</v>
          </cell>
          <cell r="L63">
            <v>3.5293006451612907</v>
          </cell>
          <cell r="M63">
            <v>18.234719999999999</v>
          </cell>
          <cell r="N63">
            <v>16.87</v>
          </cell>
          <cell r="O63">
            <v>425</v>
          </cell>
          <cell r="P63">
            <v>0.7268423743973621</v>
          </cell>
          <cell r="Q63">
            <v>75</v>
          </cell>
          <cell r="R63">
            <v>0.12826630136424039</v>
          </cell>
          <cell r="S63">
            <v>83</v>
          </cell>
          <cell r="T63">
            <v>0.14194804017642601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1.4</v>
          </cell>
          <cell r="AB63">
            <v>2.3943042921324869E-3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0.32100000000000001</v>
          </cell>
          <cell r="AH63">
            <v>5.4897976983894889E-4</v>
          </cell>
          <cell r="AI63">
            <v>0.24</v>
          </cell>
          <cell r="AJ63">
            <v>0.14194804017642601</v>
          </cell>
          <cell r="AK63">
            <v>723.31804</v>
          </cell>
          <cell r="AL63">
            <v>39.667076873129943</v>
          </cell>
          <cell r="AM63">
            <v>1000</v>
          </cell>
          <cell r="AN63">
            <v>1500</v>
          </cell>
          <cell r="AO63">
            <v>6.7</v>
          </cell>
          <cell r="AP63">
            <v>1.005E-2</v>
          </cell>
          <cell r="AQ63">
            <v>16.280999999999999</v>
          </cell>
          <cell r="AR63" t="str">
            <v>Поддон 3000х1500</v>
          </cell>
          <cell r="AS63">
            <v>120</v>
          </cell>
          <cell r="AT63">
            <v>14.357142857142858</v>
          </cell>
          <cell r="AU63">
            <v>1.6510714285714286E-3</v>
          </cell>
          <cell r="AV63">
            <v>7.8964285714285725E-4</v>
          </cell>
          <cell r="AW63">
            <v>7.1785714285714294E-5</v>
          </cell>
          <cell r="AX63">
            <v>3.4457142857142857E-4</v>
          </cell>
          <cell r="AY63">
            <v>3.4457142857142857E-4</v>
          </cell>
          <cell r="AZ63">
            <v>1.4856521739130435E-3</v>
          </cell>
          <cell r="BA63">
            <v>10.816191379357448</v>
          </cell>
          <cell r="BB63">
            <v>1.8939137330782225</v>
          </cell>
          <cell r="BC63">
            <v>2.096306223169464</v>
          </cell>
        </row>
        <row r="64">
          <cell r="A64">
            <v>342</v>
          </cell>
          <cell r="B64" t="str">
            <v xml:space="preserve"> ЛПН 600х1500х16 ГОСТ </v>
          </cell>
          <cell r="C64">
            <v>19.189567012596559</v>
          </cell>
          <cell r="D64">
            <v>0</v>
          </cell>
          <cell r="E64">
            <v>2.3795063095619731</v>
          </cell>
          <cell r="F64">
            <v>0.80596181452905546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1.231970202208699E-2</v>
          </cell>
          <cell r="L64">
            <v>5.3729651612903204</v>
          </cell>
          <cell r="M64">
            <v>27.760319999999993</v>
          </cell>
          <cell r="N64">
            <v>23.925000000000001</v>
          </cell>
          <cell r="O64">
            <v>500</v>
          </cell>
          <cell r="P64">
            <v>0.85510867576160254</v>
          </cell>
          <cell r="Q64">
            <v>0</v>
          </cell>
          <cell r="R64">
            <v>0</v>
          </cell>
          <cell r="S64">
            <v>62</v>
          </cell>
          <cell r="T64">
            <v>0.10603347579443871</v>
          </cell>
          <cell r="U64">
            <v>21</v>
          </cell>
          <cell r="V64">
            <v>3.6000761158950213E-2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1.4</v>
          </cell>
          <cell r="AB64">
            <v>2.3943042921324869E-3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0.32100000000000001</v>
          </cell>
          <cell r="AH64">
            <v>5.4897976983894889E-4</v>
          </cell>
          <cell r="AI64">
            <v>0.24</v>
          </cell>
          <cell r="AJ64">
            <v>0.14203423695338893</v>
          </cell>
          <cell r="AK64">
            <v>723.31804</v>
          </cell>
          <cell r="AL64">
            <v>26.055825004899084</v>
          </cell>
          <cell r="AM64">
            <v>600</v>
          </cell>
          <cell r="AN64">
            <v>1500</v>
          </cell>
          <cell r="AO64">
            <v>17</v>
          </cell>
          <cell r="AP64">
            <v>1.5299999999999999E-2</v>
          </cell>
          <cell r="AQ64">
            <v>24.785999999999994</v>
          </cell>
          <cell r="AR64" t="str">
            <v>Поддон 600х1500</v>
          </cell>
          <cell r="AS64">
            <v>35</v>
          </cell>
          <cell r="AT64">
            <v>21.857142857142858</v>
          </cell>
          <cell r="AU64">
            <v>2.5135714285714288E-3</v>
          </cell>
          <cell r="AV64">
            <v>1.2021428571428571E-3</v>
          </cell>
          <cell r="AW64">
            <v>1.092857142857143E-4</v>
          </cell>
          <cell r="AX64">
            <v>5.2457142857142861E-4</v>
          </cell>
          <cell r="AY64">
            <v>5.2457142857142861E-4</v>
          </cell>
          <cell r="AZ64">
            <v>2.2617391304347828E-3</v>
          </cell>
          <cell r="BA64">
            <v>19.404527077195755</v>
          </cell>
          <cell r="BB64">
            <v>0</v>
          </cell>
          <cell r="BC64">
            <v>2.3828115355152506</v>
          </cell>
        </row>
        <row r="65">
          <cell r="A65">
            <v>343</v>
          </cell>
          <cell r="B65" t="str">
            <v xml:space="preserve"> ЛПН 500х1500х16 ГОСТ </v>
          </cell>
          <cell r="C65">
            <v>15.991305843830466</v>
          </cell>
          <cell r="D65">
            <v>0</v>
          </cell>
          <cell r="E65">
            <v>1.9829219246349776</v>
          </cell>
          <cell r="F65">
            <v>0.67163484544087959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1.026641835173916E-2</v>
          </cell>
          <cell r="L65">
            <v>4.4774709677419366</v>
          </cell>
          <cell r="M65">
            <v>23.133599999999998</v>
          </cell>
          <cell r="N65">
            <v>22.7</v>
          </cell>
          <cell r="O65">
            <v>500</v>
          </cell>
          <cell r="P65">
            <v>0.85510867576160254</v>
          </cell>
          <cell r="Q65">
            <v>0</v>
          </cell>
          <cell r="R65">
            <v>0</v>
          </cell>
          <cell r="S65">
            <v>62</v>
          </cell>
          <cell r="T65">
            <v>0.10603347579443871</v>
          </cell>
          <cell r="U65">
            <v>21</v>
          </cell>
          <cell r="V65">
            <v>3.6000761158950213E-2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1.4</v>
          </cell>
          <cell r="AB65">
            <v>2.3943042921324869E-3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0.32100000000000001</v>
          </cell>
          <cell r="AH65">
            <v>5.4897976983894889E-4</v>
          </cell>
          <cell r="AI65">
            <v>0.24</v>
          </cell>
          <cell r="AJ65">
            <v>0.14203423695338893</v>
          </cell>
          <cell r="AK65">
            <v>723.31804</v>
          </cell>
          <cell r="AL65">
            <v>31.266990005878899</v>
          </cell>
          <cell r="AM65">
            <v>500</v>
          </cell>
          <cell r="AN65">
            <v>1500</v>
          </cell>
          <cell r="AO65">
            <v>17</v>
          </cell>
          <cell r="AP65">
            <v>1.2749999999999999E-2</v>
          </cell>
          <cell r="AQ65">
            <v>20.654999999999998</v>
          </cell>
          <cell r="AR65" t="str">
            <v>Поддон 600х1500</v>
          </cell>
          <cell r="AS65">
            <v>40</v>
          </cell>
          <cell r="AT65">
            <v>18.214285714285712</v>
          </cell>
          <cell r="AU65">
            <v>2.094642857142857E-3</v>
          </cell>
          <cell r="AV65">
            <v>1.0017857142857142E-3</v>
          </cell>
          <cell r="AW65">
            <v>9.1071428571428572E-5</v>
          </cell>
          <cell r="AX65">
            <v>4.3714285714285714E-4</v>
          </cell>
          <cell r="AY65">
            <v>4.3714285714285714E-4</v>
          </cell>
          <cell r="AZ65">
            <v>1.884782608695652E-3</v>
          </cell>
          <cell r="BA65">
            <v>16.170439230996465</v>
          </cell>
          <cell r="BB65">
            <v>0</v>
          </cell>
          <cell r="BC65">
            <v>1.9856762795960423</v>
          </cell>
        </row>
        <row r="66">
          <cell r="A66">
            <v>344</v>
          </cell>
          <cell r="B66" t="str">
            <v xml:space="preserve"> ЛПН 500х1500х20 ГОСТ </v>
          </cell>
          <cell r="C66">
            <v>19.75396604237881</v>
          </cell>
          <cell r="D66">
            <v>0</v>
          </cell>
          <cell r="E66">
            <v>2.4494917892549726</v>
          </cell>
          <cell r="F66">
            <v>0.82966657377991004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1.2682046199207197E-2</v>
          </cell>
          <cell r="L66">
            <v>5.530993548387098</v>
          </cell>
          <cell r="M66">
            <v>28.576799999999995</v>
          </cell>
          <cell r="N66">
            <v>27.216999999999999</v>
          </cell>
          <cell r="O66">
            <v>500</v>
          </cell>
          <cell r="P66">
            <v>0.85510867576160254</v>
          </cell>
          <cell r="Q66">
            <v>0</v>
          </cell>
          <cell r="R66">
            <v>0</v>
          </cell>
          <cell r="S66">
            <v>62</v>
          </cell>
          <cell r="T66">
            <v>0.10603347579443871</v>
          </cell>
          <cell r="U66">
            <v>21</v>
          </cell>
          <cell r="V66">
            <v>3.6000761158950213E-2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1.4</v>
          </cell>
          <cell r="AB66">
            <v>2.3943042921324869E-3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0.32100000000000001</v>
          </cell>
          <cell r="AH66">
            <v>5.4897976983894889E-4</v>
          </cell>
          <cell r="AI66">
            <v>0.24</v>
          </cell>
          <cell r="AJ66">
            <v>0.14203423695338893</v>
          </cell>
          <cell r="AK66">
            <v>723.31804</v>
          </cell>
          <cell r="AL66">
            <v>25.311372861901965</v>
          </cell>
          <cell r="AM66">
            <v>500</v>
          </cell>
          <cell r="AN66">
            <v>1500</v>
          </cell>
          <cell r="AO66">
            <v>21</v>
          </cell>
          <cell r="AP66">
            <v>1.575E-2</v>
          </cell>
          <cell r="AQ66">
            <v>25.514999999999997</v>
          </cell>
          <cell r="AR66" t="str">
            <v>Поддон 600х1500</v>
          </cell>
          <cell r="AS66">
            <v>35</v>
          </cell>
          <cell r="AT66">
            <v>22.5</v>
          </cell>
          <cell r="AU66">
            <v>2.5875E-3</v>
          </cell>
          <cell r="AV66">
            <v>1.2375000000000001E-3</v>
          </cell>
          <cell r="AW66">
            <v>1.1250000000000001E-4</v>
          </cell>
          <cell r="AX66">
            <v>5.4000000000000001E-4</v>
          </cell>
          <cell r="AY66">
            <v>5.4000000000000001E-4</v>
          </cell>
          <cell r="AZ66">
            <v>2.3282608695652175E-3</v>
          </cell>
          <cell r="BA66">
            <v>19.975248461819163</v>
          </cell>
          <cell r="BB66">
            <v>0</v>
          </cell>
          <cell r="BC66">
            <v>2.4528942277362873</v>
          </cell>
        </row>
        <row r="67">
          <cell r="A67">
            <v>345</v>
          </cell>
          <cell r="B67" t="str">
            <v>ЛПН 1500х1500х10 ТУ (на брус)</v>
          </cell>
          <cell r="C67">
            <v>22.547741239800956</v>
          </cell>
          <cell r="D67">
            <v>3.9790131599648748</v>
          </cell>
          <cell r="E67">
            <v>3.2893175455709631</v>
          </cell>
          <cell r="F67">
            <v>1.114123684790165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1.7030176324649666E-2</v>
          </cell>
          <cell r="L67">
            <v>7.4273341935483863</v>
          </cell>
          <cell r="M67">
            <v>38.374559999999995</v>
          </cell>
          <cell r="N67">
            <v>75.116159999999979</v>
          </cell>
          <cell r="O67">
            <v>425</v>
          </cell>
          <cell r="P67">
            <v>0.7268423743973621</v>
          </cell>
          <cell r="Q67">
            <v>75</v>
          </cell>
          <cell r="R67">
            <v>0.12826630136424039</v>
          </cell>
          <cell r="S67">
            <v>62</v>
          </cell>
          <cell r="T67">
            <v>0.10603347579443871</v>
          </cell>
          <cell r="U67">
            <v>21</v>
          </cell>
          <cell r="V67">
            <v>3.6000761158950213E-2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1.4</v>
          </cell>
          <cell r="AB67">
            <v>2.3943042921324869E-3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0.32100000000000001</v>
          </cell>
          <cell r="AH67">
            <v>5.4897976983894889E-4</v>
          </cell>
          <cell r="AI67">
            <v>0.24</v>
          </cell>
          <cell r="AJ67">
            <v>0.14203423695338893</v>
          </cell>
          <cell r="AK67">
            <v>723.31804</v>
          </cell>
          <cell r="AL67">
            <v>18.848894684395081</v>
          </cell>
          <cell r="AM67">
            <v>1500</v>
          </cell>
          <cell r="AN67">
            <v>1500</v>
          </cell>
          <cell r="AO67">
            <v>9.4</v>
          </cell>
          <cell r="AP67">
            <v>2.1149999999999999E-2</v>
          </cell>
          <cell r="AQ67">
            <v>34.262999999999998</v>
          </cell>
          <cell r="AR67" t="str">
            <v xml:space="preserve">Брус </v>
          </cell>
          <cell r="AS67">
            <v>30</v>
          </cell>
          <cell r="AT67">
            <v>30.214285714285712</v>
          </cell>
          <cell r="AU67">
            <v>3.4746428571428571E-3</v>
          </cell>
          <cell r="AV67">
            <v>1.6617857142857142E-3</v>
          </cell>
          <cell r="AW67">
            <v>1.5107142857142858E-4</v>
          </cell>
          <cell r="AX67">
            <v>7.2514285714285714E-4</v>
          </cell>
          <cell r="AY67">
            <v>7.2514285714285714E-4</v>
          </cell>
          <cell r="AZ67">
            <v>3.1265217391304345E-3</v>
          </cell>
          <cell r="BA67">
            <v>22.762432604319404</v>
          </cell>
          <cell r="BB67">
            <v>3.9856990502093934</v>
          </cell>
          <cell r="BC67">
            <v>3.2938865343887289</v>
          </cell>
        </row>
        <row r="68">
          <cell r="A68">
            <v>346</v>
          </cell>
          <cell r="B68" t="str">
            <v xml:space="preserve"> ЛПН 3020х1520х12 ГОСТ </v>
          </cell>
          <cell r="C68">
            <v>82.518660342212286</v>
          </cell>
          <cell r="D68">
            <v>0</v>
          </cell>
          <cell r="E68">
            <v>7.3349920304188698</v>
          </cell>
          <cell r="F68">
            <v>0</v>
          </cell>
          <cell r="G68">
            <v>7.3349920304188698</v>
          </cell>
          <cell r="H68">
            <v>0.36674960152094349</v>
          </cell>
          <cell r="I68">
            <v>0</v>
          </cell>
          <cell r="J68">
            <v>4.4009952182513218E-2</v>
          </cell>
          <cell r="K68">
            <v>5.8863311044111431E-2</v>
          </cell>
          <cell r="L68">
            <v>23.437984144271411</v>
          </cell>
          <cell r="M68">
            <v>121.64192767999999</v>
          </cell>
          <cell r="N68">
            <v>99.95</v>
          </cell>
          <cell r="O68">
            <v>450</v>
          </cell>
          <cell r="P68">
            <v>0.84275817896812688</v>
          </cell>
          <cell r="Q68">
            <v>0</v>
          </cell>
          <cell r="R68">
            <v>0</v>
          </cell>
          <cell r="S68">
            <v>40</v>
          </cell>
          <cell r="T68">
            <v>7.5108766883042508E-2</v>
          </cell>
          <cell r="U68">
            <v>0</v>
          </cell>
          <cell r="V68">
            <v>0</v>
          </cell>
          <cell r="W68">
            <v>40</v>
          </cell>
          <cell r="X68">
            <v>7.5108766883042508E-2</v>
          </cell>
          <cell r="Y68">
            <v>0</v>
          </cell>
          <cell r="Z68">
            <v>0</v>
          </cell>
          <cell r="AA68">
            <v>1.4</v>
          </cell>
          <cell r="AB68">
            <v>2.6219143345675056E-3</v>
          </cell>
          <cell r="AC68">
            <v>0.24</v>
          </cell>
          <cell r="AD68">
            <v>4.49471028783001E-4</v>
          </cell>
          <cell r="AE68">
            <v>2</v>
          </cell>
          <cell r="AF68">
            <v>3.7455919065250082E-3</v>
          </cell>
          <cell r="AG68">
            <v>0.32100000000000001</v>
          </cell>
          <cell r="AH68">
            <v>6.4984887470873206E-4</v>
          </cell>
          <cell r="AI68">
            <v>0.24</v>
          </cell>
          <cell r="AJ68">
            <v>0.15021753376608502</v>
          </cell>
          <cell r="AK68">
            <v>663.35138293560522</v>
          </cell>
          <cell r="AL68">
            <v>5.453311991903524</v>
          </cell>
          <cell r="AM68">
            <v>3020</v>
          </cell>
          <cell r="AN68">
            <v>1520</v>
          </cell>
          <cell r="AO68">
            <v>13</v>
          </cell>
          <cell r="AP68">
            <v>5.9675199999999998E-2</v>
          </cell>
          <cell r="AQ68">
            <v>108.608864</v>
          </cell>
          <cell r="AR68" t="str">
            <v>Поддон 3000х1500</v>
          </cell>
          <cell r="AS68">
            <v>20</v>
          </cell>
          <cell r="AT68">
            <v>85.25028571428571</v>
          </cell>
          <cell r="AU68">
            <v>8.0000000000000002E-3</v>
          </cell>
          <cell r="AV68">
            <v>3.0000000000000001E-3</v>
          </cell>
          <cell r="AW68">
            <v>4.2625142857142856E-4</v>
          </cell>
          <cell r="AX68">
            <v>1E-3</v>
          </cell>
          <cell r="AY68">
            <v>1E-3</v>
          </cell>
          <cell r="AZ68">
            <v>7.0000000000000001E-3</v>
          </cell>
          <cell r="BA68">
            <v>75.930000000000007</v>
          </cell>
          <cell r="BB68">
            <v>0</v>
          </cell>
          <cell r="BC68">
            <v>6.68</v>
          </cell>
        </row>
        <row r="69">
          <cell r="A69">
            <v>347</v>
          </cell>
          <cell r="B69" t="str">
            <v xml:space="preserve"> ЛПП 3000х1500х10 ГОСТ (Лато)</v>
          </cell>
          <cell r="C69">
            <v>52.771309284640537</v>
          </cell>
          <cell r="D69">
            <v>9.3125839914071538</v>
          </cell>
          <cell r="E69">
            <v>7.6984027662299139</v>
          </cell>
          <cell r="F69">
            <v>2.6075235175940028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3.9857859483222617E-2</v>
          </cell>
          <cell r="L69">
            <v>17.383122580645164</v>
          </cell>
          <cell r="M69">
            <v>89.812799999999996</v>
          </cell>
          <cell r="N69">
            <v>81.647999999999996</v>
          </cell>
          <cell r="O69">
            <v>425</v>
          </cell>
          <cell r="P69">
            <v>0.7268423743973621</v>
          </cell>
          <cell r="Q69">
            <v>75</v>
          </cell>
          <cell r="R69">
            <v>0.12826630136424039</v>
          </cell>
          <cell r="S69">
            <v>62</v>
          </cell>
          <cell r="T69">
            <v>0.10603347579443871</v>
          </cell>
          <cell r="U69">
            <v>21</v>
          </cell>
          <cell r="V69">
            <v>3.6000761158950213E-2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1.4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0.32100000000000001</v>
          </cell>
          <cell r="AH69">
            <v>5.4897976983894889E-4</v>
          </cell>
          <cell r="AI69">
            <v>0.24</v>
          </cell>
          <cell r="AJ69">
            <v>0.14203423695338893</v>
          </cell>
          <cell r="AK69">
            <v>723.31804</v>
          </cell>
          <cell r="AL69">
            <v>8.0536186378778982</v>
          </cell>
          <cell r="AM69">
            <v>3000</v>
          </cell>
          <cell r="AN69">
            <v>1500</v>
          </cell>
          <cell r="AO69">
            <v>11</v>
          </cell>
          <cell r="AP69">
            <v>4.9500000000000002E-2</v>
          </cell>
          <cell r="AQ69">
            <v>80.19</v>
          </cell>
          <cell r="AR69" t="str">
            <v>Поддон 3000х1500</v>
          </cell>
          <cell r="AS69">
            <v>24</v>
          </cell>
          <cell r="AT69">
            <v>70.714285714285722</v>
          </cell>
          <cell r="AU69">
            <v>8.1321428571428586E-3</v>
          </cell>
          <cell r="AV69">
            <v>3.8892857142857149E-3</v>
          </cell>
          <cell r="AW69">
            <v>3.5357142857142862E-4</v>
          </cell>
          <cell r="AX69">
            <v>1.6971428571428574E-3</v>
          </cell>
          <cell r="AY69">
            <v>1.6971428571428574E-3</v>
          </cell>
          <cell r="AZ69">
            <v>7.3173913043478268E-3</v>
          </cell>
          <cell r="BA69">
            <v>53.273778435641162</v>
          </cell>
          <cell r="BB69">
            <v>9.3282318196390062</v>
          </cell>
          <cell r="BC69">
            <v>7.7090961443140467</v>
          </cell>
        </row>
        <row r="70">
          <cell r="A70">
            <v>0</v>
          </cell>
          <cell r="B70" t="str">
            <v>ЛПП ТУ ( с разметкой 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</row>
        <row r="71">
          <cell r="A71">
            <v>350</v>
          </cell>
          <cell r="B71" t="str">
            <v>ЛПП 3000х1500х8 ТУ (с разметкой)</v>
          </cell>
          <cell r="C71">
            <v>46.167192794848496</v>
          </cell>
          <cell r="D71">
            <v>5.1296880883164997</v>
          </cell>
          <cell r="E71">
            <v>9.0282510354370391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3.293259752699193E-2</v>
          </cell>
          <cell r="L71">
            <v>14.485935483870968</v>
          </cell>
          <cell r="M71">
            <v>74.843999999999994</v>
          </cell>
          <cell r="N71">
            <v>66.527999999999992</v>
          </cell>
          <cell r="O71">
            <v>450</v>
          </cell>
          <cell r="P71">
            <v>0.76307270726326515</v>
          </cell>
          <cell r="Q71">
            <v>50</v>
          </cell>
          <cell r="R71">
            <v>8.4785856362585024E-2</v>
          </cell>
          <cell r="S71">
            <v>88</v>
          </cell>
          <cell r="T71">
            <v>0.14957820645531944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1.4</v>
          </cell>
          <cell r="AB71">
            <v>2.3740039781523802E-3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0.32100000000000001</v>
          </cell>
          <cell r="AH71">
            <v>5.4432519784779578E-4</v>
          </cell>
          <cell r="AI71">
            <v>0.24</v>
          </cell>
          <cell r="AJ71">
            <v>0.14957820645531944</v>
          </cell>
          <cell r="AK71">
            <v>729.51804000000004</v>
          </cell>
          <cell r="AL71">
            <v>9.7471813371813383</v>
          </cell>
          <cell r="AM71">
            <v>3000</v>
          </cell>
          <cell r="AN71">
            <v>1500</v>
          </cell>
          <cell r="AO71">
            <v>9</v>
          </cell>
          <cell r="AP71">
            <v>4.0500000000000001E-2</v>
          </cell>
          <cell r="AQ71">
            <v>66.824999999999989</v>
          </cell>
          <cell r="AR71" t="str">
            <v>Поддон 3000х1500</v>
          </cell>
          <cell r="AS71">
            <v>30</v>
          </cell>
          <cell r="AT71">
            <v>57.857142857142861</v>
          </cell>
          <cell r="AU71">
            <v>6.6535714285714288E-3</v>
          </cell>
          <cell r="AV71">
            <v>3.1821428571428573E-3</v>
          </cell>
          <cell r="AW71">
            <v>2.8928571428571431E-4</v>
          </cell>
          <cell r="AX71">
            <v>1.3885714285714287E-3</v>
          </cell>
          <cell r="AY71">
            <v>1.3885714285714287E-3</v>
          </cell>
          <cell r="AZ71">
            <v>5.9869565217391309E-3</v>
          </cell>
          <cell r="BA71">
            <v>46.628691709632996</v>
          </cell>
          <cell r="BB71">
            <v>5.1353856057829743</v>
          </cell>
          <cell r="BC71">
            <v>9.0459416631617877</v>
          </cell>
        </row>
        <row r="72">
          <cell r="A72">
            <v>351</v>
          </cell>
          <cell r="B72" t="str">
            <v>ЛПП 3000х1500х10 ТУ (с разметкой) поддон</v>
          </cell>
          <cell r="C72">
            <v>56.426568971481494</v>
          </cell>
          <cell r="D72">
            <v>6.2696187746090555</v>
          </cell>
          <cell r="E72">
            <v>11.034529043311938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4.0250952532990138E-2</v>
          </cell>
          <cell r="L72">
            <v>17.70503225806452</v>
          </cell>
          <cell r="M72">
            <v>91.475999999999999</v>
          </cell>
          <cell r="N72">
            <v>83.16</v>
          </cell>
          <cell r="O72">
            <v>450</v>
          </cell>
          <cell r="P72">
            <v>0.76307270726326515</v>
          </cell>
          <cell r="Q72">
            <v>50</v>
          </cell>
          <cell r="R72">
            <v>8.4785856362585024E-2</v>
          </cell>
          <cell r="S72">
            <v>88</v>
          </cell>
          <cell r="T72">
            <v>0.14957820645531944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1.4</v>
          </cell>
          <cell r="AB72">
            <v>2.3740039781523802E-3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0.32100000000000001</v>
          </cell>
          <cell r="AH72">
            <v>5.4432519784779578E-4</v>
          </cell>
          <cell r="AI72">
            <v>0.24</v>
          </cell>
          <cell r="AJ72">
            <v>0.14957820645531944</v>
          </cell>
          <cell r="AK72">
            <v>729.51804000000004</v>
          </cell>
          <cell r="AL72">
            <v>7.9749665486029127</v>
          </cell>
          <cell r="AM72">
            <v>3000</v>
          </cell>
          <cell r="AN72">
            <v>1500</v>
          </cell>
          <cell r="AO72">
            <v>11</v>
          </cell>
          <cell r="AP72">
            <v>4.9500000000000002E-2</v>
          </cell>
          <cell r="AQ72">
            <v>81.674999999999997</v>
          </cell>
          <cell r="AR72" t="str">
            <v>Поддон 3000х1500</v>
          </cell>
          <cell r="AS72">
            <v>25</v>
          </cell>
          <cell r="AT72">
            <v>70.714285714285722</v>
          </cell>
          <cell r="AU72">
            <v>8.1321428571428586E-3</v>
          </cell>
          <cell r="AV72">
            <v>3.8892857142857149E-3</v>
          </cell>
          <cell r="AW72">
            <v>3.5357142857142862E-4</v>
          </cell>
          <cell r="AX72">
            <v>1.6971428571428574E-3</v>
          </cell>
          <cell r="AY72">
            <v>1.6971428571428574E-3</v>
          </cell>
          <cell r="AZ72">
            <v>7.3173913043478268E-3</v>
          </cell>
          <cell r="BA72">
            <v>56.990623200662554</v>
          </cell>
          <cell r="BB72">
            <v>6.27658240706808</v>
          </cell>
          <cell r="BC72">
            <v>11.056150921642185</v>
          </cell>
        </row>
        <row r="73">
          <cell r="A73">
            <v>352</v>
          </cell>
          <cell r="B73" t="str">
            <v>ЛПП 3000х1500х10 ТУ (с разметкой) брус</v>
          </cell>
          <cell r="C73">
            <v>56.426568971481494</v>
          </cell>
          <cell r="D73">
            <v>6.2696187746090555</v>
          </cell>
          <cell r="E73">
            <v>11.034529043311938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4.0250952532990138E-2</v>
          </cell>
          <cell r="L73">
            <v>17.70503225806452</v>
          </cell>
          <cell r="M73">
            <v>91.475999999999999</v>
          </cell>
          <cell r="N73">
            <v>83.16</v>
          </cell>
          <cell r="O73">
            <v>450</v>
          </cell>
          <cell r="P73">
            <v>0.76307270726326515</v>
          </cell>
          <cell r="Q73">
            <v>50</v>
          </cell>
          <cell r="R73">
            <v>8.4785856362585024E-2</v>
          </cell>
          <cell r="S73">
            <v>88</v>
          </cell>
          <cell r="T73">
            <v>0.14957820645531944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1.4</v>
          </cell>
          <cell r="AB73">
            <v>2.3740039781523802E-3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0.32100000000000001</v>
          </cell>
          <cell r="AH73">
            <v>5.4432519784779578E-4</v>
          </cell>
          <cell r="AI73">
            <v>0.24</v>
          </cell>
          <cell r="AJ73">
            <v>0.14957820645531944</v>
          </cell>
          <cell r="AK73">
            <v>729.51804000000004</v>
          </cell>
          <cell r="AL73">
            <v>7.9749665486029127</v>
          </cell>
          <cell r="AM73">
            <v>3000</v>
          </cell>
          <cell r="AN73">
            <v>1500</v>
          </cell>
          <cell r="AO73">
            <v>11</v>
          </cell>
          <cell r="AP73">
            <v>4.9500000000000002E-2</v>
          </cell>
          <cell r="AQ73">
            <v>81.674999999999997</v>
          </cell>
          <cell r="AR73" t="str">
            <v>Брус 70х70х2</v>
          </cell>
          <cell r="AS73">
            <v>25</v>
          </cell>
          <cell r="AT73">
            <v>70.714285714285722</v>
          </cell>
          <cell r="AU73">
            <v>8.1321428571428586E-3</v>
          </cell>
          <cell r="AV73">
            <v>3.8892857142857149E-3</v>
          </cell>
          <cell r="AW73">
            <v>3.5357142857142862E-4</v>
          </cell>
          <cell r="AX73">
            <v>1.6971428571428574E-3</v>
          </cell>
          <cell r="AY73">
            <v>1.6971428571428574E-3</v>
          </cell>
          <cell r="AZ73">
            <v>7.3173913043478268E-3</v>
          </cell>
          <cell r="BA73">
            <v>56.990623200662554</v>
          </cell>
          <cell r="BB73">
            <v>6.27658240706808</v>
          </cell>
          <cell r="BC73">
            <v>11.056150921642185</v>
          </cell>
        </row>
        <row r="74">
          <cell r="A74">
            <v>353</v>
          </cell>
          <cell r="B74" t="str">
            <v>ЛПП 3000х1500х12 ТУ (с разметкой)</v>
          </cell>
          <cell r="C74">
            <v>66.685945148114499</v>
          </cell>
          <cell r="D74">
            <v>7.4095494609016113</v>
          </cell>
          <cell r="E74">
            <v>13.040807051186835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4.7569307538988345E-2</v>
          </cell>
          <cell r="L74">
            <v>20.924129032258065</v>
          </cell>
          <cell r="M74">
            <v>108.108</v>
          </cell>
          <cell r="N74">
            <v>99.791999999999987</v>
          </cell>
          <cell r="O74">
            <v>450</v>
          </cell>
          <cell r="P74">
            <v>0.76307270726326515</v>
          </cell>
          <cell r="Q74">
            <v>50</v>
          </cell>
          <cell r="R74">
            <v>8.4785856362585024E-2</v>
          </cell>
          <cell r="S74">
            <v>88</v>
          </cell>
          <cell r="T74">
            <v>0.14957820645531944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1.4</v>
          </cell>
          <cell r="AB74">
            <v>2.3740039781523802E-3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0.32100000000000001</v>
          </cell>
          <cell r="AH74">
            <v>5.4432519784779578E-4</v>
          </cell>
          <cell r="AI74">
            <v>0.24</v>
          </cell>
          <cell r="AJ74">
            <v>0.14957820645531944</v>
          </cell>
          <cell r="AK74">
            <v>729.51804000000004</v>
          </cell>
          <cell r="AL74">
            <v>6.7480486180486183</v>
          </cell>
          <cell r="AM74">
            <v>3000</v>
          </cell>
          <cell r="AN74">
            <v>1500</v>
          </cell>
          <cell r="AO74">
            <v>13</v>
          </cell>
          <cell r="AP74">
            <v>5.8500000000000003E-2</v>
          </cell>
          <cell r="AQ74">
            <v>96.525000000000006</v>
          </cell>
          <cell r="AR74" t="str">
            <v>Поддон 3000х1500</v>
          </cell>
          <cell r="AS74">
            <v>20</v>
          </cell>
          <cell r="AT74">
            <v>83.571428571428584</v>
          </cell>
          <cell r="AU74">
            <v>9.6107142857142867E-3</v>
          </cell>
          <cell r="AV74">
            <v>4.5964285714285725E-3</v>
          </cell>
          <cell r="AW74">
            <v>4.1785714285714294E-4</v>
          </cell>
          <cell r="AX74">
            <v>2.005714285714286E-3</v>
          </cell>
          <cell r="AY74">
            <v>2.005714285714286E-3</v>
          </cell>
          <cell r="AZ74">
            <v>8.6478260869565227E-3</v>
          </cell>
          <cell r="BA74">
            <v>67.352554691692106</v>
          </cell>
          <cell r="BB74">
            <v>7.4177792083531857</v>
          </cell>
          <cell r="BC74">
            <v>13.066360180122583</v>
          </cell>
        </row>
        <row r="75">
          <cell r="A75">
            <v>354</v>
          </cell>
          <cell r="B75" t="str">
            <v>ЛПП 3000х1500х16 ТУ (с разметкой)</v>
          </cell>
          <cell r="C75">
            <v>87.204697501380508</v>
          </cell>
          <cell r="D75">
            <v>9.6894108334867237</v>
          </cell>
          <cell r="E75">
            <v>17.053363066936633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6.220601755098476E-2</v>
          </cell>
          <cell r="L75">
            <v>27.36232258064517</v>
          </cell>
          <cell r="M75">
            <v>141.37200000000001</v>
          </cell>
          <cell r="N75">
            <v>133.05599999999998</v>
          </cell>
          <cell r="O75">
            <v>450</v>
          </cell>
          <cell r="P75">
            <v>0.76307270726326515</v>
          </cell>
          <cell r="Q75">
            <v>50</v>
          </cell>
          <cell r="R75">
            <v>8.4785856362585024E-2</v>
          </cell>
          <cell r="S75">
            <v>88</v>
          </cell>
          <cell r="T75">
            <v>0.14957820645531944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1.4</v>
          </cell>
          <cell r="AB75">
            <v>2.3740039781523802E-3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0.32100000000000001</v>
          </cell>
          <cell r="AH75">
            <v>5.4432519784779578E-4</v>
          </cell>
          <cell r="AI75">
            <v>0.24</v>
          </cell>
          <cell r="AJ75">
            <v>0.14957820645531944</v>
          </cell>
          <cell r="AK75">
            <v>729.51804000000004</v>
          </cell>
          <cell r="AL75">
            <v>5.1602724726254134</v>
          </cell>
          <cell r="AM75">
            <v>3000</v>
          </cell>
          <cell r="AN75">
            <v>1500</v>
          </cell>
          <cell r="AO75">
            <v>17</v>
          </cell>
          <cell r="AP75">
            <v>7.6499999999999999E-2</v>
          </cell>
          <cell r="AQ75">
            <v>126.22500000000001</v>
          </cell>
          <cell r="AR75" t="str">
            <v>Поддон 3000х1500</v>
          </cell>
          <cell r="AS75">
            <v>15</v>
          </cell>
          <cell r="AT75">
            <v>109.28571428571429</v>
          </cell>
          <cell r="AU75">
            <v>1.2567857142857145E-2</v>
          </cell>
          <cell r="AV75">
            <v>6.0107142857142859E-3</v>
          </cell>
          <cell r="AW75">
            <v>5.4642857142857151E-4</v>
          </cell>
          <cell r="AX75">
            <v>2.6228571428571434E-3</v>
          </cell>
          <cell r="AY75">
            <v>2.6228571428571434E-3</v>
          </cell>
          <cell r="AZ75">
            <v>1.1308695652173913E-2</v>
          </cell>
          <cell r="BA75">
            <v>88.076417673751237</v>
          </cell>
          <cell r="BB75">
            <v>9.700172810923398</v>
          </cell>
          <cell r="BC75">
            <v>17.086778697083378</v>
          </cell>
        </row>
        <row r="76">
          <cell r="A76">
            <v>0</v>
          </cell>
          <cell r="B76" t="str">
            <v>ЛПП ГОСТ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</row>
        <row r="77">
          <cell r="A77">
            <v>360</v>
          </cell>
          <cell r="B77" t="str">
            <v xml:space="preserve"> ЛПП 3000х1500х6 ГОСТ 18124-2012</v>
          </cell>
          <cell r="C77">
            <v>41.572973516260745</v>
          </cell>
          <cell r="D77">
            <v>0</v>
          </cell>
          <cell r="E77">
            <v>3.9820855858487301</v>
          </cell>
          <cell r="F77">
            <v>0</v>
          </cell>
          <cell r="G77">
            <v>3.9820855858487301</v>
          </cell>
          <cell r="H77">
            <v>0</v>
          </cell>
          <cell r="I77">
            <v>0</v>
          </cell>
          <cell r="J77">
            <v>0</v>
          </cell>
          <cell r="K77">
            <v>2.5564989461148848E-2</v>
          </cell>
          <cell r="L77">
            <v>11.895050322580644</v>
          </cell>
          <cell r="M77">
            <v>61.457759999999993</v>
          </cell>
          <cell r="N77">
            <v>56.246400000000001</v>
          </cell>
          <cell r="O77">
            <v>522</v>
          </cell>
          <cell r="P77">
            <v>0.83879541265681212</v>
          </cell>
          <cell r="Q77">
            <v>0</v>
          </cell>
          <cell r="R77">
            <v>0</v>
          </cell>
          <cell r="S77">
            <v>50</v>
          </cell>
          <cell r="T77">
            <v>8.0344388185518409E-2</v>
          </cell>
          <cell r="U77">
            <v>0</v>
          </cell>
          <cell r="V77">
            <v>0</v>
          </cell>
          <cell r="W77">
            <v>50</v>
          </cell>
          <cell r="X77">
            <v>8.0344388185518409E-2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0.32100000000000001</v>
          </cell>
          <cell r="AH77">
            <v>5.6087405494469013E-4</v>
          </cell>
          <cell r="AI77">
            <v>0.24</v>
          </cell>
          <cell r="AJ77">
            <v>0.16068877637103682</v>
          </cell>
          <cell r="AK77">
            <v>771.67804000000001</v>
          </cell>
          <cell r="AL77">
            <v>12.556234395786635</v>
          </cell>
          <cell r="AM77">
            <v>3000</v>
          </cell>
          <cell r="AN77">
            <v>1500</v>
          </cell>
          <cell r="AO77">
            <v>6.7</v>
          </cell>
          <cell r="AP77">
            <v>3.015E-2</v>
          </cell>
          <cell r="AQ77">
            <v>54.872999999999998</v>
          </cell>
          <cell r="AR77" t="str">
            <v>Поддон 3000х1500</v>
          </cell>
          <cell r="AS77">
            <v>30</v>
          </cell>
          <cell r="AT77">
            <v>43.071428571428569</v>
          </cell>
          <cell r="AU77">
            <v>4.9532142857142856E-3</v>
          </cell>
          <cell r="AV77">
            <v>2.3689285714285713E-3</v>
          </cell>
          <cell r="AW77">
            <v>2.1535714285714287E-4</v>
          </cell>
          <cell r="AX77">
            <v>1.0337142857142856E-3</v>
          </cell>
          <cell r="AY77">
            <v>1.0337142857142856E-3</v>
          </cell>
          <cell r="AZ77">
            <v>4.4569565217391308E-3</v>
          </cell>
          <cell r="BA77">
            <v>42.029786491395591</v>
          </cell>
          <cell r="BB77">
            <v>0</v>
          </cell>
          <cell r="BC77">
            <v>3.9862767766630056</v>
          </cell>
        </row>
        <row r="78">
          <cell r="A78">
            <v>361</v>
          </cell>
          <cell r="B78" t="str">
            <v xml:space="preserve"> ЛПП 3000х1500х8 ГОСТ 18124-2012</v>
          </cell>
          <cell r="C78">
            <v>55.844292783036828</v>
          </cell>
          <cell r="D78">
            <v>0</v>
          </cell>
          <cell r="E78">
            <v>5.3490701899460564</v>
          </cell>
          <cell r="F78">
            <v>0</v>
          </cell>
          <cell r="G78">
            <v>5.3490701899460564</v>
          </cell>
          <cell r="H78">
            <v>0</v>
          </cell>
          <cell r="I78">
            <v>0</v>
          </cell>
          <cell r="J78">
            <v>0</v>
          </cell>
          <cell r="K78">
            <v>3.4341030619453684E-2</v>
          </cell>
          <cell r="L78">
            <v>15.978425806451611</v>
          </cell>
          <cell r="M78">
            <v>82.555200000000013</v>
          </cell>
          <cell r="N78">
            <v>72.575999999999993</v>
          </cell>
          <cell r="O78">
            <v>522</v>
          </cell>
          <cell r="P78">
            <v>0.83879541265681212</v>
          </cell>
          <cell r="Q78">
            <v>0</v>
          </cell>
          <cell r="R78">
            <v>0</v>
          </cell>
          <cell r="S78">
            <v>50</v>
          </cell>
          <cell r="T78">
            <v>8.0344388185518409E-2</v>
          </cell>
          <cell r="U78">
            <v>0</v>
          </cell>
          <cell r="V78">
            <v>0</v>
          </cell>
          <cell r="W78">
            <v>50</v>
          </cell>
          <cell r="X78">
            <v>8.0344388185518409E-2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0.32100000000000001</v>
          </cell>
          <cell r="AH78">
            <v>5.6087405494469013E-4</v>
          </cell>
          <cell r="AI78">
            <v>0.24</v>
          </cell>
          <cell r="AJ78">
            <v>0.16068877637103682</v>
          </cell>
          <cell r="AK78">
            <v>771.67804000000001</v>
          </cell>
          <cell r="AL78">
            <v>9.3474189390856051</v>
          </cell>
          <cell r="AM78">
            <v>3000</v>
          </cell>
          <cell r="AN78">
            <v>1500</v>
          </cell>
          <cell r="AO78">
            <v>9</v>
          </cell>
          <cell r="AP78">
            <v>4.0500000000000001E-2</v>
          </cell>
          <cell r="AQ78">
            <v>73.710000000000008</v>
          </cell>
          <cell r="AR78" t="str">
            <v>Поддон 3000х1500</v>
          </cell>
          <cell r="AS78">
            <v>30</v>
          </cell>
          <cell r="AT78">
            <v>57.857142857142861</v>
          </cell>
          <cell r="AU78">
            <v>6.6535714285714288E-3</v>
          </cell>
          <cell r="AV78">
            <v>3.1821428571428573E-3</v>
          </cell>
          <cell r="AW78">
            <v>2.8928571428571431E-4</v>
          </cell>
          <cell r="AX78">
            <v>1.3885714285714287E-3</v>
          </cell>
          <cell r="AY78">
            <v>1.3885714285714287E-3</v>
          </cell>
          <cell r="AZ78">
            <v>5.9869565217391309E-3</v>
          </cell>
          <cell r="BA78">
            <v>56.457922152620945</v>
          </cell>
          <cell r="BB78">
            <v>0</v>
          </cell>
          <cell r="BC78">
            <v>5.3547001477562768</v>
          </cell>
        </row>
        <row r="79">
          <cell r="A79">
            <v>362</v>
          </cell>
          <cell r="B79" t="str">
            <v xml:space="preserve"> ЛПП 3000х1500х10 ГОСТ 18124-2012</v>
          </cell>
          <cell r="C79">
            <v>68.254135623711676</v>
          </cell>
          <cell r="D79">
            <v>0</v>
          </cell>
          <cell r="E79">
            <v>6.5377524543785128</v>
          </cell>
          <cell r="F79">
            <v>0</v>
          </cell>
          <cell r="G79">
            <v>6.5377524543785128</v>
          </cell>
          <cell r="H79">
            <v>0</v>
          </cell>
          <cell r="I79">
            <v>0</v>
          </cell>
          <cell r="J79">
            <v>0</v>
          </cell>
          <cell r="K79">
            <v>4.197237075711005E-2</v>
          </cell>
          <cell r="L79">
            <v>19.529187096774194</v>
          </cell>
          <cell r="M79">
            <v>100.9008</v>
          </cell>
          <cell r="N79">
            <v>90.72</v>
          </cell>
          <cell r="O79">
            <v>522</v>
          </cell>
          <cell r="P79">
            <v>0.83879541265681212</v>
          </cell>
          <cell r="Q79">
            <v>0</v>
          </cell>
          <cell r="R79">
            <v>0</v>
          </cell>
          <cell r="S79">
            <v>50</v>
          </cell>
          <cell r="T79">
            <v>8.0344388185518409E-2</v>
          </cell>
          <cell r="U79">
            <v>0</v>
          </cell>
          <cell r="V79">
            <v>0</v>
          </cell>
          <cell r="W79">
            <v>50</v>
          </cell>
          <cell r="X79">
            <v>8.0344388185518409E-2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0.32100000000000001</v>
          </cell>
          <cell r="AH79">
            <v>5.6087405494469013E-4</v>
          </cell>
          <cell r="AI79">
            <v>0.24</v>
          </cell>
          <cell r="AJ79">
            <v>0.16068877637103682</v>
          </cell>
          <cell r="AK79">
            <v>771.67804000000001</v>
          </cell>
          <cell r="AL79">
            <v>7.6478882228882226</v>
          </cell>
          <cell r="AM79">
            <v>3000</v>
          </cell>
          <cell r="AN79">
            <v>1500</v>
          </cell>
          <cell r="AO79">
            <v>11</v>
          </cell>
          <cell r="AP79">
            <v>4.9500000000000002E-2</v>
          </cell>
          <cell r="AQ79">
            <v>90.09</v>
          </cell>
          <cell r="AR79" t="str">
            <v>Поддон 3000х1500</v>
          </cell>
          <cell r="AS79">
            <v>25</v>
          </cell>
          <cell r="AT79">
            <v>70.714285714285722</v>
          </cell>
          <cell r="AU79">
            <v>8.1321428571428586E-3</v>
          </cell>
          <cell r="AV79">
            <v>3.8892857142857149E-3</v>
          </cell>
          <cell r="AW79">
            <v>3.5357142857142862E-4</v>
          </cell>
          <cell r="AX79">
            <v>1.6971428571428574E-3</v>
          </cell>
          <cell r="AY79">
            <v>1.6971428571428574E-3</v>
          </cell>
          <cell r="AZ79">
            <v>7.3173913043478268E-3</v>
          </cell>
          <cell r="BA79">
            <v>69.0041270754256</v>
          </cell>
          <cell r="BB79">
            <v>0</v>
          </cell>
          <cell r="BC79">
            <v>6.5446335139243388</v>
          </cell>
        </row>
        <row r="80">
          <cell r="A80">
            <v>363</v>
          </cell>
          <cell r="B80" t="str">
            <v xml:space="preserve"> ЛПП 3000х1500х12 ГОСТ 18124-2012</v>
          </cell>
          <cell r="C80">
            <v>80.663978464386517</v>
          </cell>
          <cell r="D80">
            <v>0</v>
          </cell>
          <cell r="E80">
            <v>7.7264347188109701</v>
          </cell>
          <cell r="F80">
            <v>0</v>
          </cell>
          <cell r="G80">
            <v>7.7264347188109701</v>
          </cell>
          <cell r="H80">
            <v>0</v>
          </cell>
          <cell r="I80">
            <v>0</v>
          </cell>
          <cell r="J80">
            <v>0</v>
          </cell>
          <cell r="K80">
            <v>4.960371089476643E-2</v>
          </cell>
          <cell r="L80">
            <v>23.079948387096778</v>
          </cell>
          <cell r="M80">
            <v>119.24640000000001</v>
          </cell>
          <cell r="N80">
            <v>108.86399999999999</v>
          </cell>
          <cell r="O80">
            <v>522</v>
          </cell>
          <cell r="P80">
            <v>0.83879541265681212</v>
          </cell>
          <cell r="Q80">
            <v>0</v>
          </cell>
          <cell r="R80">
            <v>0</v>
          </cell>
          <cell r="S80">
            <v>50</v>
          </cell>
          <cell r="T80">
            <v>8.0344388185518409E-2</v>
          </cell>
          <cell r="U80">
            <v>0</v>
          </cell>
          <cell r="V80">
            <v>0</v>
          </cell>
          <cell r="W80">
            <v>50</v>
          </cell>
          <cell r="X80">
            <v>8.0344388185518409E-2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0.32100000000000001</v>
          </cell>
          <cell r="AH80">
            <v>5.6087405494469013E-4</v>
          </cell>
          <cell r="AI80">
            <v>0.24</v>
          </cell>
          <cell r="AJ80">
            <v>0.16068877637103682</v>
          </cell>
          <cell r="AK80">
            <v>771.67804000000001</v>
          </cell>
          <cell r="AL80">
            <v>6.4712900347515729</v>
          </cell>
          <cell r="AM80">
            <v>3000</v>
          </cell>
          <cell r="AN80">
            <v>1500</v>
          </cell>
          <cell r="AO80">
            <v>13</v>
          </cell>
          <cell r="AP80">
            <v>5.8500000000000003E-2</v>
          </cell>
          <cell r="AQ80">
            <v>106.47000000000001</v>
          </cell>
          <cell r="AR80" t="str">
            <v>Поддон 3000х1500</v>
          </cell>
          <cell r="AS80">
            <v>20</v>
          </cell>
          <cell r="AT80">
            <v>83.571428571428584</v>
          </cell>
          <cell r="AU80">
            <v>9.6107142857142867E-3</v>
          </cell>
          <cell r="AV80">
            <v>4.5964285714285725E-3</v>
          </cell>
          <cell r="AW80">
            <v>4.1785714285714294E-4</v>
          </cell>
          <cell r="AX80">
            <v>2.005714285714286E-3</v>
          </cell>
          <cell r="AY80">
            <v>2.005714285714286E-3</v>
          </cell>
          <cell r="AZ80">
            <v>8.6478260869565227E-3</v>
          </cell>
          <cell r="BA80">
            <v>81.550331998230249</v>
          </cell>
          <cell r="BB80">
            <v>0</v>
          </cell>
          <cell r="BC80">
            <v>7.7345668800923999</v>
          </cell>
        </row>
        <row r="81">
          <cell r="A81">
            <v>0</v>
          </cell>
          <cell r="B81" t="str">
            <v>ЛПП ГОСТ (Фасад)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</row>
        <row r="82">
          <cell r="A82">
            <v>364</v>
          </cell>
          <cell r="B82" t="str">
            <v xml:space="preserve"> ЛПП 3020х1520х8,8 ГОСТ 18124-2012</v>
          </cell>
          <cell r="C82">
            <v>62.369643065162393</v>
          </cell>
          <cell r="D82">
            <v>0</v>
          </cell>
          <cell r="E82">
            <v>5.543968272458879</v>
          </cell>
          <cell r="F82">
            <v>0</v>
          </cell>
          <cell r="G82">
            <v>5.543968272458879</v>
          </cell>
          <cell r="H82">
            <v>0.27719841362294395</v>
          </cell>
          <cell r="I82">
            <v>0</v>
          </cell>
          <cell r="J82">
            <v>3.3263809634753276E-2</v>
          </cell>
          <cell r="K82">
            <v>4.4490345386482506E-2</v>
          </cell>
          <cell r="L82">
            <v>17.71500772289383</v>
          </cell>
          <cell r="M82">
            <v>91.699299328000009</v>
          </cell>
          <cell r="N82">
            <v>81.43736831999999</v>
          </cell>
          <cell r="O82">
            <v>450</v>
          </cell>
          <cell r="P82">
            <v>0.8449736274342281</v>
          </cell>
          <cell r="Q82">
            <v>0</v>
          </cell>
          <cell r="R82">
            <v>0</v>
          </cell>
          <cell r="S82">
            <v>40</v>
          </cell>
          <cell r="T82">
            <v>7.5108766883042508E-2</v>
          </cell>
          <cell r="U82">
            <v>0</v>
          </cell>
          <cell r="V82">
            <v>0</v>
          </cell>
          <cell r="W82">
            <v>40</v>
          </cell>
          <cell r="X82">
            <v>7.5108766883042508E-2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0.24</v>
          </cell>
          <cell r="AD82">
            <v>4.5065260129825501E-4</v>
          </cell>
          <cell r="AE82">
            <v>2</v>
          </cell>
          <cell r="AF82">
            <v>3.755438344152125E-3</v>
          </cell>
          <cell r="AG82">
            <v>0.32100000000000001</v>
          </cell>
          <cell r="AH82">
            <v>6.516959320774482E-4</v>
          </cell>
          <cell r="AI82">
            <v>0.24</v>
          </cell>
          <cell r="AJ82">
            <v>0.15021753376608502</v>
          </cell>
          <cell r="AK82">
            <v>661.61489259266079</v>
          </cell>
          <cell r="AL82">
            <v>7.2150485057265792</v>
          </cell>
          <cell r="AM82">
            <v>3020</v>
          </cell>
          <cell r="AN82">
            <v>1520</v>
          </cell>
          <cell r="AO82">
            <v>9.8000000000000007</v>
          </cell>
          <cell r="AP82">
            <v>4.4985919999999999E-2</v>
          </cell>
          <cell r="AQ82">
            <v>81.874374400000008</v>
          </cell>
          <cell r="AR82" t="str">
            <v>Поддон 3000х1500</v>
          </cell>
          <cell r="AS82">
            <v>30</v>
          </cell>
          <cell r="AT82">
            <v>64.265599999999992</v>
          </cell>
          <cell r="AU82">
            <v>7.3905439999999989E-3</v>
          </cell>
          <cell r="AV82">
            <v>3.5346079999999998E-3</v>
          </cell>
          <cell r="AW82">
            <v>3.2132800000000001E-4</v>
          </cell>
          <cell r="AX82">
            <v>1.5423743999999999E-3</v>
          </cell>
          <cell r="AY82">
            <v>1.5423743999999999E-3</v>
          </cell>
          <cell r="AZ82">
            <v>6.6500925217391309E-3</v>
          </cell>
          <cell r="BA82">
            <v>63.060022281569772</v>
          </cell>
          <cell r="BB82">
            <v>0</v>
          </cell>
          <cell r="BC82">
            <v>5.5494231205885178</v>
          </cell>
        </row>
        <row r="83">
          <cell r="A83">
            <v>365</v>
          </cell>
          <cell r="B83" t="str">
            <v xml:space="preserve"> ЛПП 3020х1520х10 ГОСТ 18124-2012</v>
          </cell>
          <cell r="C83">
            <v>70.006742215998585</v>
          </cell>
          <cell r="D83">
            <v>0</v>
          </cell>
          <cell r="E83">
            <v>6.2228215303109859</v>
          </cell>
          <cell r="F83">
            <v>0</v>
          </cell>
          <cell r="G83">
            <v>6.2228215303109859</v>
          </cell>
          <cell r="H83">
            <v>0.31114107651554929</v>
          </cell>
          <cell r="I83">
            <v>0</v>
          </cell>
          <cell r="J83">
            <v>3.7336929181865916E-2</v>
          </cell>
          <cell r="K83">
            <v>4.993814278074566E-2</v>
          </cell>
          <cell r="L83">
            <v>19.884192342023695</v>
          </cell>
          <cell r="M83">
            <v>102.92778496</v>
          </cell>
          <cell r="N83">
            <v>92.542463999999995</v>
          </cell>
          <cell r="O83">
            <v>450</v>
          </cell>
          <cell r="P83">
            <v>0.8449736274342281</v>
          </cell>
          <cell r="Q83">
            <v>0</v>
          </cell>
          <cell r="R83">
            <v>0</v>
          </cell>
          <cell r="S83">
            <v>40</v>
          </cell>
          <cell r="T83">
            <v>7.5108766883042508E-2</v>
          </cell>
          <cell r="U83">
            <v>0</v>
          </cell>
          <cell r="V83">
            <v>0</v>
          </cell>
          <cell r="W83">
            <v>40</v>
          </cell>
          <cell r="X83">
            <v>7.5108766883042508E-2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0.24</v>
          </cell>
          <cell r="AD83">
            <v>4.5065260129825501E-4</v>
          </cell>
          <cell r="AE83">
            <v>2</v>
          </cell>
          <cell r="AF83">
            <v>3.755438344152125E-3</v>
          </cell>
          <cell r="AG83">
            <v>0.32100000000000001</v>
          </cell>
          <cell r="AH83">
            <v>6.516959320774482E-4</v>
          </cell>
          <cell r="AI83">
            <v>0.24</v>
          </cell>
          <cell r="AJ83">
            <v>0.15021753376608502</v>
          </cell>
          <cell r="AK83">
            <v>661.61489259266079</v>
          </cell>
          <cell r="AL83">
            <v>6.4279523051018623</v>
          </cell>
          <cell r="AM83">
            <v>3020</v>
          </cell>
          <cell r="AN83">
            <v>1520</v>
          </cell>
          <cell r="AO83">
            <v>11</v>
          </cell>
          <cell r="AP83">
            <v>5.0494400000000002E-2</v>
          </cell>
          <cell r="AQ83">
            <v>91.899807999999993</v>
          </cell>
          <cell r="AR83" t="str">
            <v>Поддон 3000х1500</v>
          </cell>
          <cell r="AS83">
            <v>25</v>
          </cell>
          <cell r="AT83">
            <v>72.134857142857143</v>
          </cell>
          <cell r="AU83">
            <v>8.2955085714285712E-3</v>
          </cell>
          <cell r="AV83">
            <v>3.9674171428571428E-3</v>
          </cell>
          <cell r="AW83">
            <v>3.6067428571428574E-4</v>
          </cell>
          <cell r="AX83">
            <v>1.7312365714285715E-3</v>
          </cell>
          <cell r="AY83">
            <v>1.7312365714285715E-3</v>
          </cell>
          <cell r="AZ83">
            <v>7.4643895652173921E-3</v>
          </cell>
          <cell r="BA83">
            <v>70.781657662986476</v>
          </cell>
          <cell r="BB83">
            <v>0</v>
          </cell>
          <cell r="BC83">
            <v>6.2289443190279279</v>
          </cell>
        </row>
        <row r="84">
          <cell r="A84">
            <v>366</v>
          </cell>
          <cell r="B84" t="str">
            <v xml:space="preserve"> ЛПП 3020х1400х8,8 ГОСТ 18124-2012</v>
          </cell>
          <cell r="C84">
            <v>57.44572387580746</v>
          </cell>
          <cell r="D84">
            <v>0</v>
          </cell>
          <cell r="E84">
            <v>5.1062865667384409</v>
          </cell>
          <cell r="F84">
            <v>0</v>
          </cell>
          <cell r="G84">
            <v>5.1062865667384409</v>
          </cell>
          <cell r="H84">
            <v>0.25531432833692208</v>
          </cell>
          <cell r="I84">
            <v>0</v>
          </cell>
          <cell r="J84">
            <v>3.0637719400430644E-2</v>
          </cell>
          <cell r="K84">
            <v>4.0977949698075992E-2</v>
          </cell>
          <cell r="L84">
            <v>16.316454481612752</v>
          </cell>
          <cell r="M84">
            <v>84.459880960000007</v>
          </cell>
          <cell r="N84">
            <v>75.008102400000013</v>
          </cell>
          <cell r="O84">
            <v>450</v>
          </cell>
          <cell r="P84">
            <v>0.8449736274342281</v>
          </cell>
          <cell r="Q84">
            <v>0</v>
          </cell>
          <cell r="R84">
            <v>0</v>
          </cell>
          <cell r="S84">
            <v>40</v>
          </cell>
          <cell r="T84">
            <v>7.5108766883042508E-2</v>
          </cell>
          <cell r="U84">
            <v>0</v>
          </cell>
          <cell r="V84">
            <v>0</v>
          </cell>
          <cell r="W84">
            <v>40</v>
          </cell>
          <cell r="X84">
            <v>7.5108766883042508E-2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0.24</v>
          </cell>
          <cell r="AD84">
            <v>4.5065260129825501E-4</v>
          </cell>
          <cell r="AE84">
            <v>2</v>
          </cell>
          <cell r="AF84">
            <v>3.755438344152125E-3</v>
          </cell>
          <cell r="AG84">
            <v>0.32100000000000001</v>
          </cell>
          <cell r="AH84">
            <v>6.516959320774482E-4</v>
          </cell>
          <cell r="AI84">
            <v>0.24</v>
          </cell>
          <cell r="AJ84">
            <v>0.15021753376608502</v>
          </cell>
          <cell r="AK84">
            <v>661.61489259266079</v>
          </cell>
          <cell r="AL84">
            <v>7.8334812347888576</v>
          </cell>
          <cell r="AM84">
            <v>3020</v>
          </cell>
          <cell r="AN84">
            <v>1400</v>
          </cell>
          <cell r="AO84">
            <v>9.8000000000000007</v>
          </cell>
          <cell r="AP84">
            <v>4.1434400000000003E-2</v>
          </cell>
          <cell r="AQ84">
            <v>75.410608000000011</v>
          </cell>
          <cell r="AR84" t="str">
            <v>Поддон 3000х1500</v>
          </cell>
          <cell r="AS84">
            <v>40</v>
          </cell>
          <cell r="AT84">
            <v>59.192000000000007</v>
          </cell>
          <cell r="AU84">
            <v>6.8070800000000009E-3</v>
          </cell>
          <cell r="AV84">
            <v>3.2555600000000007E-3</v>
          </cell>
          <cell r="AW84">
            <v>2.9596000000000006E-4</v>
          </cell>
          <cell r="AX84">
            <v>1.4206080000000003E-3</v>
          </cell>
          <cell r="AY84">
            <v>1.4206080000000003E-3</v>
          </cell>
          <cell r="AZ84">
            <v>6.1250852173913052E-3</v>
          </cell>
          <cell r="BA84">
            <v>58.081599469866894</v>
          </cell>
          <cell r="BB84">
            <v>0</v>
          </cell>
          <cell r="BC84">
            <v>5.1113107689631088</v>
          </cell>
        </row>
        <row r="85">
          <cell r="A85">
            <v>367</v>
          </cell>
          <cell r="B85" t="str">
            <v xml:space="preserve"> ЛПП 3020х1400х10 ГОСТ 18124-2012</v>
          </cell>
          <cell r="C85">
            <v>64.479894146314507</v>
          </cell>
          <cell r="D85">
            <v>0</v>
          </cell>
          <cell r="E85">
            <v>5.7315461463390669</v>
          </cell>
          <cell r="F85">
            <v>0</v>
          </cell>
          <cell r="G85">
            <v>5.7315461463390669</v>
          </cell>
          <cell r="H85">
            <v>0.28657730731695336</v>
          </cell>
          <cell r="I85">
            <v>0</v>
          </cell>
          <cell r="J85">
            <v>3.4389276878034399E-2</v>
          </cell>
          <cell r="K85">
            <v>4.5995657824371011E-2</v>
          </cell>
          <cell r="L85">
            <v>18.314387683442874</v>
          </cell>
          <cell r="M85">
            <v>94.801907200000016</v>
          </cell>
          <cell r="N85">
            <v>85.23648</v>
          </cell>
          <cell r="O85">
            <v>450</v>
          </cell>
          <cell r="P85">
            <v>0.8449736274342281</v>
          </cell>
          <cell r="Q85">
            <v>0</v>
          </cell>
          <cell r="R85">
            <v>0</v>
          </cell>
          <cell r="S85">
            <v>40</v>
          </cell>
          <cell r="T85">
            <v>7.5108766883042508E-2</v>
          </cell>
          <cell r="U85">
            <v>0</v>
          </cell>
          <cell r="V85">
            <v>0</v>
          </cell>
          <cell r="W85">
            <v>40</v>
          </cell>
          <cell r="X85">
            <v>7.5108766883042508E-2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0.24</v>
          </cell>
          <cell r="AD85">
            <v>4.5065260129825501E-4</v>
          </cell>
          <cell r="AE85">
            <v>2</v>
          </cell>
          <cell r="AF85">
            <v>3.755438344152125E-3</v>
          </cell>
          <cell r="AG85">
            <v>0.32100000000000001</v>
          </cell>
          <cell r="AH85">
            <v>6.516959320774482E-4</v>
          </cell>
          <cell r="AI85">
            <v>0.24</v>
          </cell>
          <cell r="AJ85">
            <v>0.15021753376608502</v>
          </cell>
          <cell r="AK85">
            <v>661.61489259266079</v>
          </cell>
          <cell r="AL85">
            <v>6.9789196455391638</v>
          </cell>
          <cell r="AM85">
            <v>3020</v>
          </cell>
          <cell r="AN85">
            <v>1400</v>
          </cell>
          <cell r="AO85">
            <v>11</v>
          </cell>
          <cell r="AP85">
            <v>4.6508000000000001E-2</v>
          </cell>
          <cell r="AQ85">
            <v>84.644560000000013</v>
          </cell>
          <cell r="AR85" t="str">
            <v>Поддон 3000х1500</v>
          </cell>
          <cell r="AS85">
            <v>30</v>
          </cell>
          <cell r="AT85">
            <v>66.44</v>
          </cell>
          <cell r="AU85">
            <v>7.6406E-3</v>
          </cell>
          <cell r="AV85">
            <v>3.6541999999999998E-3</v>
          </cell>
          <cell r="AW85">
            <v>3.322E-4</v>
          </cell>
          <cell r="AX85">
            <v>1.5945600000000001E-3</v>
          </cell>
          <cell r="AY85">
            <v>1.5945600000000001E-3</v>
          </cell>
          <cell r="AZ85">
            <v>6.8750956521739133E-3</v>
          </cell>
          <cell r="BA85">
            <v>65.193632058013861</v>
          </cell>
          <cell r="BB85">
            <v>0</v>
          </cell>
          <cell r="BC85">
            <v>5.7371855569994077</v>
          </cell>
        </row>
        <row r="86">
          <cell r="A86">
            <v>368</v>
          </cell>
          <cell r="B86" t="str">
            <v xml:space="preserve"> ЛПП 3020х1520х10,8 ГОСТ 18124-2012</v>
          </cell>
          <cell r="C86">
            <v>75.098141649889399</v>
          </cell>
          <cell r="D86">
            <v>0</v>
          </cell>
          <cell r="E86">
            <v>6.6753903688790581</v>
          </cell>
          <cell r="F86">
            <v>0</v>
          </cell>
          <cell r="G86">
            <v>6.6753903688790581</v>
          </cell>
          <cell r="H86">
            <v>0.33376951844395292</v>
          </cell>
          <cell r="I86">
            <v>0</v>
          </cell>
          <cell r="J86">
            <v>4.0052342213274347E-2</v>
          </cell>
          <cell r="K86">
            <v>5.3570007710254441E-2</v>
          </cell>
          <cell r="L86">
            <v>21.330315421443601</v>
          </cell>
          <cell r="M86">
            <v>110.41344204800001</v>
          </cell>
          <cell r="N86">
            <v>99.95</v>
          </cell>
          <cell r="O86">
            <v>450</v>
          </cell>
          <cell r="P86">
            <v>0.8449736274342281</v>
          </cell>
          <cell r="Q86">
            <v>0</v>
          </cell>
          <cell r="R86">
            <v>0</v>
          </cell>
          <cell r="S86">
            <v>40</v>
          </cell>
          <cell r="T86">
            <v>7.5108766883042508E-2</v>
          </cell>
          <cell r="U86">
            <v>0</v>
          </cell>
          <cell r="V86">
            <v>0</v>
          </cell>
          <cell r="W86">
            <v>40</v>
          </cell>
          <cell r="X86">
            <v>7.5108766883042508E-2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0.24</v>
          </cell>
          <cell r="AD86">
            <v>4.5065260129825501E-4</v>
          </cell>
          <cell r="AE86">
            <v>2</v>
          </cell>
          <cell r="AF86">
            <v>3.755438344152125E-3</v>
          </cell>
          <cell r="AG86">
            <v>0.32100000000000001</v>
          </cell>
          <cell r="AH86">
            <v>6.516959320774482E-4</v>
          </cell>
          <cell r="AI86">
            <v>0.24</v>
          </cell>
          <cell r="AJ86">
            <v>0.15021753376608502</v>
          </cell>
          <cell r="AK86">
            <v>661.61489259266079</v>
          </cell>
          <cell r="AL86">
            <v>5.9921589284847867</v>
          </cell>
          <cell r="AM86">
            <v>3020</v>
          </cell>
          <cell r="AN86">
            <v>1520</v>
          </cell>
          <cell r="AO86">
            <v>11.8</v>
          </cell>
          <cell r="AP86">
            <v>5.4166720000000002E-2</v>
          </cell>
          <cell r="AQ86">
            <v>98.583430400000012</v>
          </cell>
          <cell r="AR86" t="str">
            <v>Поддон 3000х1500</v>
          </cell>
          <cell r="AS86">
            <v>40</v>
          </cell>
          <cell r="AT86">
            <v>77.381028571428573</v>
          </cell>
          <cell r="AU86">
            <v>8.8988182857142866E-3</v>
          </cell>
          <cell r="AV86">
            <v>4.255956571428572E-3</v>
          </cell>
          <cell r="AW86">
            <v>3.8690514285714289E-4</v>
          </cell>
          <cell r="AX86">
            <v>1.8571446857142857E-3</v>
          </cell>
          <cell r="AY86">
            <v>1.8571446857142857E-3</v>
          </cell>
          <cell r="AZ86">
            <v>8.0072542608695656E-3</v>
          </cell>
          <cell r="BA86">
            <v>75.929414583930949</v>
          </cell>
          <cell r="BB86">
            <v>0</v>
          </cell>
          <cell r="BC86">
            <v>6.6819584513208676</v>
          </cell>
        </row>
        <row r="87">
          <cell r="A87">
            <v>369</v>
          </cell>
          <cell r="B87" t="str">
            <v xml:space="preserve"> ЛПП 3020х1520х12,8 ГОСТ 18124-2012</v>
          </cell>
          <cell r="C87">
            <v>87.82664023461642</v>
          </cell>
          <cell r="D87">
            <v>0</v>
          </cell>
          <cell r="E87">
            <v>7.8068124652992381</v>
          </cell>
          <cell r="F87">
            <v>0</v>
          </cell>
          <cell r="G87">
            <v>7.8068124652992381</v>
          </cell>
          <cell r="H87">
            <v>0.39034062326496188</v>
          </cell>
          <cell r="I87">
            <v>0</v>
          </cell>
          <cell r="J87">
            <v>4.6840874791795425E-2</v>
          </cell>
          <cell r="K87">
            <v>6.2649670034026383E-2</v>
          </cell>
          <cell r="L87">
            <v>24.945623119993357</v>
          </cell>
          <cell r="M87">
            <v>129.12758476800002</v>
          </cell>
          <cell r="N87">
            <v>118.46</v>
          </cell>
          <cell r="O87">
            <v>450</v>
          </cell>
          <cell r="P87">
            <v>0.8449736274342281</v>
          </cell>
          <cell r="Q87">
            <v>0</v>
          </cell>
          <cell r="R87">
            <v>0</v>
          </cell>
          <cell r="S87">
            <v>40</v>
          </cell>
          <cell r="T87">
            <v>7.5108766883042508E-2</v>
          </cell>
          <cell r="U87">
            <v>0</v>
          </cell>
          <cell r="V87">
            <v>0</v>
          </cell>
          <cell r="W87">
            <v>40</v>
          </cell>
          <cell r="X87">
            <v>7.5108766883042508E-2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0.24</v>
          </cell>
          <cell r="AD87">
            <v>4.5065260129825501E-4</v>
          </cell>
          <cell r="AE87">
            <v>2</v>
          </cell>
          <cell r="AF87">
            <v>3.755438344152125E-3</v>
          </cell>
          <cell r="AG87">
            <v>0.32100000000000001</v>
          </cell>
          <cell r="AH87">
            <v>6.516959320774482E-4</v>
          </cell>
          <cell r="AI87">
            <v>0.24</v>
          </cell>
          <cell r="AJ87">
            <v>0.15021753376608502</v>
          </cell>
          <cell r="AK87">
            <v>661.61489259266079</v>
          </cell>
          <cell r="AL87">
            <v>5.1237300982695997</v>
          </cell>
          <cell r="AM87">
            <v>3020</v>
          </cell>
          <cell r="AN87">
            <v>1520</v>
          </cell>
          <cell r="AO87">
            <v>13.8</v>
          </cell>
          <cell r="AP87">
            <v>6.3347520000000004E-2</v>
          </cell>
          <cell r="AQ87">
            <v>115.29248640000002</v>
          </cell>
          <cell r="AR87" t="str">
            <v>Поддон 3000х1500</v>
          </cell>
          <cell r="AS87">
            <v>20</v>
          </cell>
          <cell r="AT87">
            <v>90.496457142857153</v>
          </cell>
          <cell r="AU87">
            <v>1.0407092571428573E-2</v>
          </cell>
          <cell r="AV87">
            <v>4.9773051428571432E-3</v>
          </cell>
          <cell r="AW87">
            <v>4.5248228571428582E-4</v>
          </cell>
          <cell r="AX87">
            <v>2.1719149714285717E-3</v>
          </cell>
          <cell r="AY87">
            <v>2.1719149714285717E-3</v>
          </cell>
          <cell r="AZ87">
            <v>9.3644160000000004E-3</v>
          </cell>
          <cell r="BA87">
            <v>88.798806886292127</v>
          </cell>
          <cell r="BB87">
            <v>0</v>
          </cell>
          <cell r="BC87">
            <v>7.8144937820532192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</row>
        <row r="89">
          <cell r="A89">
            <v>0</v>
          </cell>
          <cell r="B89" t="str">
            <v>ПТФРО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</row>
        <row r="90">
          <cell r="A90">
            <v>370</v>
          </cell>
          <cell r="B90" t="str">
            <v>ПТФРО 3000х1500х6 ТУ</v>
          </cell>
          <cell r="C90">
            <v>37.478102537425038</v>
          </cell>
          <cell r="D90">
            <v>0</v>
          </cell>
          <cell r="E90">
            <v>4.8721533298652551</v>
          </cell>
          <cell r="F90">
            <v>0</v>
          </cell>
          <cell r="G90">
            <v>1.4991241014970016</v>
          </cell>
          <cell r="H90">
            <v>0.14991241014970016</v>
          </cell>
          <cell r="I90">
            <v>0</v>
          </cell>
          <cell r="J90">
            <v>1.7989489217964019E-2</v>
          </cell>
          <cell r="K90">
            <v>2.4060941829026874E-2</v>
          </cell>
          <cell r="L90">
            <v>10.569922274396156</v>
          </cell>
          <cell r="M90">
            <v>54.704159999999987</v>
          </cell>
          <cell r="N90">
            <v>50.621759999999995</v>
          </cell>
          <cell r="O90">
            <v>500</v>
          </cell>
          <cell r="P90">
            <v>0.85097547318491185</v>
          </cell>
          <cell r="Q90">
            <v>0</v>
          </cell>
          <cell r="R90">
            <v>0</v>
          </cell>
          <cell r="S90">
            <v>65</v>
          </cell>
          <cell r="T90">
            <v>0.11062681151403854</v>
          </cell>
          <cell r="U90">
            <v>0</v>
          </cell>
          <cell r="V90">
            <v>0</v>
          </cell>
          <cell r="W90">
            <v>20</v>
          </cell>
          <cell r="X90">
            <v>3.4039018927396469E-2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0.24</v>
          </cell>
          <cell r="AD90">
            <v>4.0846822712875763E-4</v>
          </cell>
          <cell r="AE90">
            <v>2</v>
          </cell>
          <cell r="AF90">
            <v>3.4039018927396474E-3</v>
          </cell>
          <cell r="AG90">
            <v>0.32100000000000001</v>
          </cell>
          <cell r="AH90">
            <v>5.6557797311654605E-4</v>
          </cell>
          <cell r="AI90">
            <v>0.24</v>
          </cell>
          <cell r="AJ90">
            <v>0.14466583044143499</v>
          </cell>
          <cell r="AK90">
            <v>729.81496255544528</v>
          </cell>
          <cell r="AL90">
            <v>13.341123646820378</v>
          </cell>
          <cell r="AM90">
            <v>3000</v>
          </cell>
          <cell r="AN90">
            <v>1500</v>
          </cell>
          <cell r="AO90">
            <v>6.7</v>
          </cell>
          <cell r="AP90">
            <v>3.015E-2</v>
          </cell>
          <cell r="AQ90">
            <v>48.842999999999989</v>
          </cell>
          <cell r="AR90" t="str">
            <v>Поддон 3000х1500</v>
          </cell>
          <cell r="AS90">
            <v>40</v>
          </cell>
          <cell r="AT90">
            <v>43.071428571428569</v>
          </cell>
          <cell r="AU90">
            <v>4.9532142857142856E-3</v>
          </cell>
          <cell r="AV90">
            <v>2.3689285714285713E-3</v>
          </cell>
          <cell r="AW90">
            <v>2.1535714285714287E-4</v>
          </cell>
          <cell r="AX90">
            <v>1.0337142857142856E-3</v>
          </cell>
          <cell r="AY90">
            <v>1.0337142857142856E-3</v>
          </cell>
          <cell r="AZ90">
            <v>4.4569565217391308E-3</v>
          </cell>
          <cell r="BA90">
            <v>37.895900130560278</v>
          </cell>
          <cell r="BB90">
            <v>0</v>
          </cell>
          <cell r="BC90">
            <v>4.8792141091892409</v>
          </cell>
        </row>
        <row r="91">
          <cell r="A91">
            <v>371</v>
          </cell>
          <cell r="B91" t="str">
            <v>ПТФРО 3000х1500х8 ТУ</v>
          </cell>
          <cell r="C91">
            <v>47.54684650270341</v>
          </cell>
          <cell r="D91">
            <v>0</v>
          </cell>
          <cell r="E91">
            <v>6.1810900453514437</v>
          </cell>
          <cell r="F91">
            <v>0</v>
          </cell>
          <cell r="G91">
            <v>1.9018738601081364</v>
          </cell>
          <cell r="H91">
            <v>0.19018738601081364</v>
          </cell>
          <cell r="I91">
            <v>0</v>
          </cell>
          <cell r="J91">
            <v>2.2822486321297637E-2</v>
          </cell>
          <cell r="K91">
            <v>3.0525075454735592E-2</v>
          </cell>
          <cell r="L91">
            <v>13.409602885427958</v>
          </cell>
          <cell r="M91">
            <v>69.40079999999999</v>
          </cell>
          <cell r="N91">
            <v>65.318399999999983</v>
          </cell>
          <cell r="O91">
            <v>500</v>
          </cell>
          <cell r="P91">
            <v>0.85097547318491185</v>
          </cell>
          <cell r="Q91">
            <v>0</v>
          </cell>
          <cell r="R91">
            <v>0</v>
          </cell>
          <cell r="S91">
            <v>65</v>
          </cell>
          <cell r="T91">
            <v>0.11062681151403854</v>
          </cell>
          <cell r="U91">
            <v>0</v>
          </cell>
          <cell r="V91">
            <v>0</v>
          </cell>
          <cell r="W91">
            <v>20</v>
          </cell>
          <cell r="X91">
            <v>3.4039018927396469E-2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0.24</v>
          </cell>
          <cell r="AD91">
            <v>4.0846822712875763E-4</v>
          </cell>
          <cell r="AE91">
            <v>2</v>
          </cell>
          <cell r="AF91">
            <v>3.4039018927396474E-3</v>
          </cell>
          <cell r="AG91">
            <v>0.32100000000000001</v>
          </cell>
          <cell r="AH91">
            <v>5.6557797311654605E-4</v>
          </cell>
          <cell r="AI91">
            <v>0.24</v>
          </cell>
          <cell r="AJ91">
            <v>0.14466583044143499</v>
          </cell>
          <cell r="AK91">
            <v>729.81496255544528</v>
          </cell>
          <cell r="AL91">
            <v>10.515944521611356</v>
          </cell>
          <cell r="AM91">
            <v>3000</v>
          </cell>
          <cell r="AN91">
            <v>1500</v>
          </cell>
          <cell r="AO91">
            <v>8.5</v>
          </cell>
          <cell r="AP91">
            <v>3.8249999999999999E-2</v>
          </cell>
          <cell r="AQ91">
            <v>61.964999999999996</v>
          </cell>
          <cell r="AR91" t="str">
            <v>Поддон 3000х1500</v>
          </cell>
          <cell r="AS91">
            <v>40</v>
          </cell>
          <cell r="AT91">
            <v>54.642857142857146</v>
          </cell>
          <cell r="AU91">
            <v>6.2839285714285723E-3</v>
          </cell>
          <cell r="AV91">
            <v>3.0053571428571429E-3</v>
          </cell>
          <cell r="AW91">
            <v>2.7321428571428576E-4</v>
          </cell>
          <cell r="AX91">
            <v>1.3114285714285717E-3</v>
          </cell>
          <cell r="AY91">
            <v>1.3114285714285717E-3</v>
          </cell>
          <cell r="AZ91">
            <v>5.6543478260869563E-3</v>
          </cell>
          <cell r="BA91">
            <v>48.076888225337669</v>
          </cell>
          <cell r="BB91">
            <v>0</v>
          </cell>
          <cell r="BC91">
            <v>6.1900477504639628</v>
          </cell>
        </row>
        <row r="92">
          <cell r="A92">
            <v>372</v>
          </cell>
          <cell r="B92" t="str">
            <v>ПТФРО 3000х1500х10 ТУ</v>
          </cell>
          <cell r="C92">
            <v>58.734339797457167</v>
          </cell>
          <cell r="D92">
            <v>0</v>
          </cell>
          <cell r="E92">
            <v>7.6354641736694324</v>
          </cell>
          <cell r="F92">
            <v>0</v>
          </cell>
          <cell r="G92">
            <v>2.3493735918982868</v>
          </cell>
          <cell r="H92">
            <v>0.23493735918982867</v>
          </cell>
          <cell r="I92">
            <v>0</v>
          </cell>
          <cell r="J92">
            <v>2.8192483102779439E-2</v>
          </cell>
          <cell r="K92">
            <v>3.7707446149967502E-2</v>
          </cell>
          <cell r="L92">
            <v>16.564803564352189</v>
          </cell>
          <cell r="M92">
            <v>85.730400000000003</v>
          </cell>
          <cell r="N92">
            <v>81.647999999999996</v>
          </cell>
          <cell r="O92">
            <v>500</v>
          </cell>
          <cell r="P92">
            <v>0.85097547318491185</v>
          </cell>
          <cell r="Q92">
            <v>0</v>
          </cell>
          <cell r="R92">
            <v>0</v>
          </cell>
          <cell r="S92">
            <v>65</v>
          </cell>
          <cell r="T92">
            <v>0.11062681151403854</v>
          </cell>
          <cell r="U92">
            <v>0</v>
          </cell>
          <cell r="V92">
            <v>0</v>
          </cell>
          <cell r="W92">
            <v>20</v>
          </cell>
          <cell r="X92">
            <v>3.4039018927396469E-2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0.24</v>
          </cell>
          <cell r="AD92">
            <v>4.0846822712875763E-4</v>
          </cell>
          <cell r="AE92">
            <v>2</v>
          </cell>
          <cell r="AF92">
            <v>3.4039018927396474E-3</v>
          </cell>
          <cell r="AG92">
            <v>0.32100000000000001</v>
          </cell>
          <cell r="AH92">
            <v>5.6557797311654605E-4</v>
          </cell>
          <cell r="AI92">
            <v>0.24</v>
          </cell>
          <cell r="AJ92">
            <v>0.14466583044143499</v>
          </cell>
          <cell r="AK92">
            <v>729.81496255544528</v>
          </cell>
          <cell r="AL92">
            <v>8.5129074698758576</v>
          </cell>
          <cell r="AM92">
            <v>3000</v>
          </cell>
          <cell r="AN92">
            <v>1500</v>
          </cell>
          <cell r="AO92">
            <v>10.5</v>
          </cell>
          <cell r="AP92">
            <v>4.725E-2</v>
          </cell>
          <cell r="AQ92">
            <v>76.545000000000002</v>
          </cell>
          <cell r="AR92" t="str">
            <v>Поддон 3000х1500</v>
          </cell>
          <cell r="AS92">
            <v>40</v>
          </cell>
          <cell r="AT92">
            <v>67.5</v>
          </cell>
          <cell r="AU92">
            <v>7.7625000000000003E-3</v>
          </cell>
          <cell r="AV92">
            <v>3.7125000000000001E-3</v>
          </cell>
          <cell r="AW92">
            <v>3.3750000000000002E-4</v>
          </cell>
          <cell r="AX92">
            <v>1.6200000000000001E-3</v>
          </cell>
          <cell r="AY92">
            <v>1.6200000000000001E-3</v>
          </cell>
          <cell r="AZ92">
            <v>6.9847826086956522E-3</v>
          </cell>
          <cell r="BA92">
            <v>59.389097219534783</v>
          </cell>
          <cell r="BB92">
            <v>0</v>
          </cell>
          <cell r="BC92">
            <v>7.6465295741025443</v>
          </cell>
        </row>
        <row r="93">
          <cell r="A93">
            <v>373</v>
          </cell>
          <cell r="B93" t="str">
            <v>ПТФРО 3000х1500х12 ТУ</v>
          </cell>
          <cell r="C93">
            <v>69.921833092210903</v>
          </cell>
          <cell r="D93">
            <v>0</v>
          </cell>
          <cell r="E93">
            <v>9.0898383019874185</v>
          </cell>
          <cell r="F93">
            <v>0</v>
          </cell>
          <cell r="G93">
            <v>2.7968733236884362</v>
          </cell>
          <cell r="H93">
            <v>0.27968733236884363</v>
          </cell>
          <cell r="I93">
            <v>0</v>
          </cell>
          <cell r="J93">
            <v>3.3562479884261233E-2</v>
          </cell>
          <cell r="K93">
            <v>4.4889816845199403E-2</v>
          </cell>
          <cell r="L93">
            <v>19.720004243276406</v>
          </cell>
          <cell r="M93">
            <v>102.06</v>
          </cell>
          <cell r="N93">
            <v>97.977599999999995</v>
          </cell>
          <cell r="O93">
            <v>500</v>
          </cell>
          <cell r="P93">
            <v>0.85097547318491185</v>
          </cell>
          <cell r="Q93">
            <v>0</v>
          </cell>
          <cell r="R93">
            <v>0</v>
          </cell>
          <cell r="S93">
            <v>65</v>
          </cell>
          <cell r="T93">
            <v>0.11062681151403854</v>
          </cell>
          <cell r="U93">
            <v>0</v>
          </cell>
          <cell r="V93">
            <v>0</v>
          </cell>
          <cell r="W93">
            <v>20</v>
          </cell>
          <cell r="X93">
            <v>3.4039018927396469E-2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0.24</v>
          </cell>
          <cell r="AD93">
            <v>4.0846822712875763E-4</v>
          </cell>
          <cell r="AE93">
            <v>2</v>
          </cell>
          <cell r="AF93">
            <v>3.4039018927396474E-3</v>
          </cell>
          <cell r="AG93">
            <v>0.32100000000000001</v>
          </cell>
          <cell r="AH93">
            <v>5.6557797311654605E-4</v>
          </cell>
          <cell r="AI93">
            <v>0.24</v>
          </cell>
          <cell r="AJ93">
            <v>0.14466583044143499</v>
          </cell>
          <cell r="AK93">
            <v>729.81496255544528</v>
          </cell>
          <cell r="AL93">
            <v>7.1508422746957212</v>
          </cell>
          <cell r="AM93">
            <v>3000</v>
          </cell>
          <cell r="AN93">
            <v>1500</v>
          </cell>
          <cell r="AO93">
            <v>12.5</v>
          </cell>
          <cell r="AP93">
            <v>5.6250000000000001E-2</v>
          </cell>
          <cell r="AQ93">
            <v>91.125</v>
          </cell>
          <cell r="AR93" t="str">
            <v>Поддон 3000х1500</v>
          </cell>
          <cell r="AS93">
            <v>32</v>
          </cell>
          <cell r="AT93">
            <v>80.357142857142861</v>
          </cell>
          <cell r="AU93">
            <v>9.2410714285714301E-3</v>
          </cell>
          <cell r="AV93">
            <v>4.4196428571428572E-3</v>
          </cell>
          <cell r="AW93">
            <v>4.0178571428571433E-4</v>
          </cell>
          <cell r="AX93">
            <v>1.9285714285714286E-3</v>
          </cell>
          <cell r="AY93">
            <v>1.9285714285714286E-3</v>
          </cell>
          <cell r="AZ93">
            <v>8.315217391304348E-3</v>
          </cell>
          <cell r="BA93">
            <v>70.701306213731883</v>
          </cell>
          <cell r="BB93">
            <v>0</v>
          </cell>
          <cell r="BC93">
            <v>9.1030113977411222</v>
          </cell>
        </row>
        <row r="94">
          <cell r="A94">
            <v>374</v>
          </cell>
          <cell r="B94" t="str">
            <v>ПТФРО 3000х1385х8 ТУ</v>
          </cell>
          <cell r="C94">
            <v>43.901588270829492</v>
          </cell>
          <cell r="D94">
            <v>0</v>
          </cell>
          <cell r="E94">
            <v>5.7072064752078333</v>
          </cell>
          <cell r="F94">
            <v>0</v>
          </cell>
          <cell r="G94">
            <v>1.7560635308331796</v>
          </cell>
          <cell r="H94">
            <v>0.17560635308331796</v>
          </cell>
          <cell r="I94">
            <v>0</v>
          </cell>
          <cell r="J94">
            <v>2.1072762369998155E-2</v>
          </cell>
          <cell r="K94">
            <v>2.8184819669872532E-2</v>
          </cell>
          <cell r="L94">
            <v>12.38153333087849</v>
          </cell>
          <cell r="M94">
            <v>64.080072000000001</v>
          </cell>
          <cell r="N94">
            <v>60.310655999999994</v>
          </cell>
          <cell r="O94">
            <v>500</v>
          </cell>
          <cell r="P94">
            <v>0.85097547318491185</v>
          </cell>
          <cell r="Q94">
            <v>0</v>
          </cell>
          <cell r="R94">
            <v>0</v>
          </cell>
          <cell r="S94">
            <v>65</v>
          </cell>
          <cell r="T94">
            <v>0.11062681151403854</v>
          </cell>
          <cell r="U94">
            <v>0</v>
          </cell>
          <cell r="V94">
            <v>0</v>
          </cell>
          <cell r="W94">
            <v>20</v>
          </cell>
          <cell r="X94">
            <v>3.4039018927396469E-2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0.24</v>
          </cell>
          <cell r="AD94">
            <v>4.0846822712875763E-4</v>
          </cell>
          <cell r="AE94">
            <v>2</v>
          </cell>
          <cell r="AF94">
            <v>3.4039018927396474E-3</v>
          </cell>
          <cell r="AG94">
            <v>0.32100000000000001</v>
          </cell>
          <cell r="AH94">
            <v>5.6557797311654605E-4</v>
          </cell>
          <cell r="AI94">
            <v>0.24</v>
          </cell>
          <cell r="AJ94">
            <v>0.14466583044143499</v>
          </cell>
          <cell r="AK94">
            <v>729.81496255544528</v>
          </cell>
          <cell r="AL94">
            <v>11.389109590192803</v>
          </cell>
          <cell r="AM94">
            <v>3000</v>
          </cell>
          <cell r="AN94">
            <v>1385</v>
          </cell>
          <cell r="AO94">
            <v>8.5</v>
          </cell>
          <cell r="AP94">
            <v>3.5317500000000002E-2</v>
          </cell>
          <cell r="AQ94">
            <v>57.214350000000003</v>
          </cell>
          <cell r="AR94" t="str">
            <v>Поддон 3000х1385</v>
          </cell>
          <cell r="AS94">
            <v>40</v>
          </cell>
          <cell r="AT94">
            <v>50.453571428571429</v>
          </cell>
          <cell r="AU94">
            <v>5.8021607142857146E-3</v>
          </cell>
          <cell r="AV94">
            <v>2.7749464285714287E-3</v>
          </cell>
          <cell r="AW94">
            <v>2.5226785714285715E-4</v>
          </cell>
          <cell r="AX94">
            <v>1.2108857142857144E-3</v>
          </cell>
          <cell r="AY94">
            <v>1.2108857142857144E-3</v>
          </cell>
          <cell r="AZ94">
            <v>5.2208478260869573E-3</v>
          </cell>
          <cell r="BA94">
            <v>44.390993461395126</v>
          </cell>
          <cell r="BB94">
            <v>0</v>
          </cell>
          <cell r="BC94">
            <v>5.7154774229283936</v>
          </cell>
        </row>
        <row r="95">
          <cell r="A95">
            <v>375</v>
          </cell>
          <cell r="B95" t="str">
            <v>ПТФРО 3000х1385х10 ТУ</v>
          </cell>
          <cell r="C95">
            <v>54.231373746318773</v>
          </cell>
          <cell r="D95">
            <v>0</v>
          </cell>
          <cell r="E95">
            <v>7.0500785870214404</v>
          </cell>
          <cell r="F95">
            <v>0</v>
          </cell>
          <cell r="G95">
            <v>2.1692549498527507</v>
          </cell>
          <cell r="H95">
            <v>0.21692549498527508</v>
          </cell>
          <cell r="I95">
            <v>0</v>
          </cell>
          <cell r="J95">
            <v>2.6031059398233008E-2</v>
          </cell>
          <cell r="K95">
            <v>3.4816541945136649E-2</v>
          </cell>
          <cell r="L95">
            <v>15.294835291085185</v>
          </cell>
          <cell r="M95">
            <v>79.157735999999986</v>
          </cell>
          <cell r="N95">
            <v>75.388319999999993</v>
          </cell>
          <cell r="O95">
            <v>500</v>
          </cell>
          <cell r="P95">
            <v>0.85097547318491185</v>
          </cell>
          <cell r="Q95">
            <v>0</v>
          </cell>
          <cell r="R95">
            <v>0</v>
          </cell>
          <cell r="S95">
            <v>65</v>
          </cell>
          <cell r="T95">
            <v>0.11062681151403854</v>
          </cell>
          <cell r="U95">
            <v>0</v>
          </cell>
          <cell r="V95">
            <v>0</v>
          </cell>
          <cell r="W95">
            <v>20</v>
          </cell>
          <cell r="X95">
            <v>3.4039018927396469E-2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0.24</v>
          </cell>
          <cell r="AD95">
            <v>4.0846822712875763E-4</v>
          </cell>
          <cell r="AE95">
            <v>2</v>
          </cell>
          <cell r="AF95">
            <v>3.4039018927396474E-3</v>
          </cell>
          <cell r="AG95">
            <v>0.32100000000000001</v>
          </cell>
          <cell r="AH95">
            <v>5.6557797311654605E-4</v>
          </cell>
          <cell r="AI95">
            <v>0.24</v>
          </cell>
          <cell r="AJ95">
            <v>0.14466583044143499</v>
          </cell>
          <cell r="AK95">
            <v>729.81496255544528</v>
          </cell>
          <cell r="AL95">
            <v>9.2197553825370324</v>
          </cell>
          <cell r="AM95">
            <v>3000</v>
          </cell>
          <cell r="AN95">
            <v>1385</v>
          </cell>
          <cell r="AO95">
            <v>10.5</v>
          </cell>
          <cell r="AP95">
            <v>4.36275E-2</v>
          </cell>
          <cell r="AQ95">
            <v>70.676549999999992</v>
          </cell>
          <cell r="AR95" t="str">
            <v>Поддон 3000х1385</v>
          </cell>
          <cell r="AS95">
            <v>40</v>
          </cell>
          <cell r="AT95">
            <v>62.325000000000003</v>
          </cell>
          <cell r="AU95">
            <v>7.1673750000000001E-3</v>
          </cell>
          <cell r="AV95">
            <v>3.4278750000000004E-3</v>
          </cell>
          <cell r="AW95">
            <v>3.1162500000000005E-4</v>
          </cell>
          <cell r="AX95">
            <v>1.4958E-3</v>
          </cell>
          <cell r="AY95">
            <v>1.4958E-3</v>
          </cell>
          <cell r="AZ95">
            <v>6.4492826086956527E-3</v>
          </cell>
          <cell r="BA95">
            <v>54.835933099370436</v>
          </cell>
          <cell r="BB95">
            <v>0</v>
          </cell>
          <cell r="BC95">
            <v>7.0602956400880137</v>
          </cell>
        </row>
        <row r="96">
          <cell r="A96">
            <v>376</v>
          </cell>
          <cell r="B96" t="str">
            <v>ПТФРО 3030х1385х8 ТУ</v>
          </cell>
          <cell r="C96">
            <v>44.340604153537782</v>
          </cell>
          <cell r="D96">
            <v>0</v>
          </cell>
          <cell r="E96">
            <v>5.7642785399599115</v>
          </cell>
          <cell r="F96">
            <v>0</v>
          </cell>
          <cell r="G96">
            <v>1.7736241661415113</v>
          </cell>
          <cell r="H96">
            <v>0.17736241661415111</v>
          </cell>
          <cell r="I96">
            <v>0</v>
          </cell>
          <cell r="J96">
            <v>2.1283489993698133E-2</v>
          </cell>
          <cell r="K96">
            <v>2.8466667866571257E-2</v>
          </cell>
          <cell r="L96">
            <v>12.505348664187274</v>
          </cell>
          <cell r="M96">
            <v>64.720872719999988</v>
          </cell>
          <cell r="N96">
            <v>60.913762559999995</v>
          </cell>
          <cell r="O96">
            <v>500</v>
          </cell>
          <cell r="P96">
            <v>0.85097547318491185</v>
          </cell>
          <cell r="Q96">
            <v>0</v>
          </cell>
          <cell r="R96">
            <v>0</v>
          </cell>
          <cell r="S96">
            <v>65</v>
          </cell>
          <cell r="T96">
            <v>0.11062681151403854</v>
          </cell>
          <cell r="U96">
            <v>0</v>
          </cell>
          <cell r="V96">
            <v>0</v>
          </cell>
          <cell r="W96">
            <v>20</v>
          </cell>
          <cell r="X96">
            <v>3.4039018927396469E-2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0.24</v>
          </cell>
          <cell r="AD96">
            <v>4.0846822712875763E-4</v>
          </cell>
          <cell r="AE96">
            <v>2</v>
          </cell>
          <cell r="AF96">
            <v>3.4039018927396474E-3</v>
          </cell>
          <cell r="AG96">
            <v>0.32100000000000001</v>
          </cell>
          <cell r="AH96">
            <v>5.6557797311654605E-4</v>
          </cell>
          <cell r="AI96">
            <v>0.24</v>
          </cell>
          <cell r="AJ96">
            <v>0.14466583044143499</v>
          </cell>
          <cell r="AK96">
            <v>729.81496255544528</v>
          </cell>
          <cell r="AL96">
            <v>11.276346128903766</v>
          </cell>
          <cell r="AM96">
            <v>3030</v>
          </cell>
          <cell r="AN96">
            <v>1385</v>
          </cell>
          <cell r="AO96">
            <v>8.5</v>
          </cell>
          <cell r="AP96">
            <v>3.5670674999999999E-2</v>
          </cell>
          <cell r="AQ96">
            <v>57.786493499999992</v>
          </cell>
          <cell r="AR96" t="str">
            <v>Поддон 3000х1385</v>
          </cell>
          <cell r="AS96">
            <v>40</v>
          </cell>
          <cell r="AT96">
            <v>50.958107142857145</v>
          </cell>
          <cell r="AU96">
            <v>5.8601823214285715E-3</v>
          </cell>
          <cell r="AV96">
            <v>2.8026958928571433E-3</v>
          </cell>
          <cell r="AW96">
            <v>2.5479053571428572E-4</v>
          </cell>
          <cell r="AX96">
            <v>1.2229945714285714E-3</v>
          </cell>
          <cell r="AY96">
            <v>1.2229945714285714E-3</v>
          </cell>
          <cell r="AZ96">
            <v>5.2730563043478264E-3</v>
          </cell>
          <cell r="BA96">
            <v>44.834903396009068</v>
          </cell>
          <cell r="BB96">
            <v>0</v>
          </cell>
          <cell r="BC96">
            <v>5.7726321971576766</v>
          </cell>
        </row>
        <row r="97">
          <cell r="A97">
            <v>377</v>
          </cell>
          <cell r="B97" t="str">
            <v>ПТФРО 3030х1385х10 ТУ</v>
          </cell>
          <cell r="C97">
            <v>54.773687483781963</v>
          </cell>
          <cell r="D97">
            <v>0</v>
          </cell>
          <cell r="E97">
            <v>7.1205793728916555</v>
          </cell>
          <cell r="F97">
            <v>0</v>
          </cell>
          <cell r="G97">
            <v>2.1909474993512785</v>
          </cell>
          <cell r="H97">
            <v>0.21909474993512787</v>
          </cell>
          <cell r="I97">
            <v>0</v>
          </cell>
          <cell r="J97">
            <v>2.6291369992215343E-2</v>
          </cell>
          <cell r="K97">
            <v>3.5164707364588023E-2</v>
          </cell>
          <cell r="L97">
            <v>15.447783643996033</v>
          </cell>
          <cell r="M97">
            <v>79.949313359999991</v>
          </cell>
          <cell r="N97">
            <v>76.142203199999997</v>
          </cell>
          <cell r="O97">
            <v>500</v>
          </cell>
          <cell r="P97">
            <v>0.85097547318491185</v>
          </cell>
          <cell r="Q97">
            <v>0</v>
          </cell>
          <cell r="R97">
            <v>0</v>
          </cell>
          <cell r="S97">
            <v>65</v>
          </cell>
          <cell r="T97">
            <v>0.11062681151403854</v>
          </cell>
          <cell r="U97">
            <v>0</v>
          </cell>
          <cell r="V97">
            <v>0</v>
          </cell>
          <cell r="W97">
            <v>20</v>
          </cell>
          <cell r="X97">
            <v>3.4039018927396469E-2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0.24</v>
          </cell>
          <cell r="AD97">
            <v>4.0846822712875763E-4</v>
          </cell>
          <cell r="AE97">
            <v>2</v>
          </cell>
          <cell r="AF97">
            <v>3.4039018927396474E-3</v>
          </cell>
          <cell r="AG97">
            <v>0.32100000000000001</v>
          </cell>
          <cell r="AH97">
            <v>5.6557797311654605E-4</v>
          </cell>
          <cell r="AI97">
            <v>0.24</v>
          </cell>
          <cell r="AJ97">
            <v>0.14466583044143499</v>
          </cell>
          <cell r="AK97">
            <v>729.81496255544528</v>
          </cell>
          <cell r="AL97">
            <v>9.1284706757792389</v>
          </cell>
          <cell r="AM97">
            <v>3030</v>
          </cell>
          <cell r="AN97">
            <v>1385</v>
          </cell>
          <cell r="AO97">
            <v>10.5</v>
          </cell>
          <cell r="AP97">
            <v>4.4063774999999999E-2</v>
          </cell>
          <cell r="AQ97">
            <v>71.383315499999995</v>
          </cell>
          <cell r="AR97" t="str">
            <v>Поддон 3000х1385</v>
          </cell>
          <cell r="AS97">
            <v>40</v>
          </cell>
          <cell r="AT97">
            <v>62.948250000000002</v>
          </cell>
          <cell r="AU97">
            <v>7.2390487500000001E-3</v>
          </cell>
          <cell r="AV97">
            <v>3.4621537500000004E-3</v>
          </cell>
          <cell r="AW97">
            <v>3.1474125000000003E-4</v>
          </cell>
          <cell r="AX97">
            <v>1.5107580000000001E-3</v>
          </cell>
          <cell r="AY97">
            <v>1.5107580000000001E-3</v>
          </cell>
          <cell r="AZ97">
            <v>6.5137754347826086E-3</v>
          </cell>
          <cell r="BA97">
            <v>55.384292430364148</v>
          </cell>
          <cell r="BB97">
            <v>0</v>
          </cell>
          <cell r="BC97">
            <v>7.1308985964888949</v>
          </cell>
        </row>
        <row r="98">
          <cell r="A98">
            <v>378</v>
          </cell>
          <cell r="B98" t="str">
            <v>ПТФРО 3030х1385х12 ТУ</v>
          </cell>
          <cell r="C98">
            <v>65.206770814026143</v>
          </cell>
          <cell r="D98">
            <v>0</v>
          </cell>
          <cell r="E98">
            <v>8.4768802058233987</v>
          </cell>
          <cell r="F98">
            <v>0</v>
          </cell>
          <cell r="G98">
            <v>2.608270832561046</v>
          </cell>
          <cell r="H98">
            <v>0.2608270832561046</v>
          </cell>
          <cell r="I98">
            <v>0</v>
          </cell>
          <cell r="J98">
            <v>3.1299249990732553E-2</v>
          </cell>
          <cell r="K98">
            <v>4.1862746862604786E-2</v>
          </cell>
          <cell r="L98">
            <v>18.390218623804813</v>
          </cell>
          <cell r="M98">
            <v>95.177753999999993</v>
          </cell>
          <cell r="N98">
            <v>91.37064384</v>
          </cell>
          <cell r="O98">
            <v>500</v>
          </cell>
          <cell r="P98">
            <v>0.85097547318491185</v>
          </cell>
          <cell r="Q98">
            <v>0</v>
          </cell>
          <cell r="R98">
            <v>0</v>
          </cell>
          <cell r="S98">
            <v>65</v>
          </cell>
          <cell r="T98">
            <v>0.11062681151403854</v>
          </cell>
          <cell r="U98">
            <v>0</v>
          </cell>
          <cell r="V98">
            <v>0</v>
          </cell>
          <cell r="W98">
            <v>20</v>
          </cell>
          <cell r="X98">
            <v>3.4039018927396469E-2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0.24</v>
          </cell>
          <cell r="AD98">
            <v>4.0846822712875763E-4</v>
          </cell>
          <cell r="AE98">
            <v>2</v>
          </cell>
          <cell r="AF98">
            <v>3.4039018927396474E-3</v>
          </cell>
          <cell r="AG98">
            <v>0.32100000000000001</v>
          </cell>
          <cell r="AH98">
            <v>5.6557797311654605E-4</v>
          </cell>
          <cell r="AI98">
            <v>0.24</v>
          </cell>
          <cell r="AJ98">
            <v>0.14466583044143499</v>
          </cell>
          <cell r="AK98">
            <v>729.81496255544528</v>
          </cell>
          <cell r="AL98">
            <v>7.6679153676545608</v>
          </cell>
          <cell r="AM98">
            <v>3030</v>
          </cell>
          <cell r="AN98">
            <v>1385</v>
          </cell>
          <cell r="AO98">
            <v>12.5</v>
          </cell>
          <cell r="AP98">
            <v>5.2456875E-2</v>
          </cell>
          <cell r="AQ98">
            <v>84.980137499999998</v>
          </cell>
          <cell r="AR98" t="str">
            <v>Поддон 3000х1400</v>
          </cell>
          <cell r="AS98">
            <v>20</v>
          </cell>
          <cell r="AT98">
            <v>74.938392857142858</v>
          </cell>
          <cell r="AU98">
            <v>8.6179151785714288E-3</v>
          </cell>
          <cell r="AV98">
            <v>4.1216116071428575E-3</v>
          </cell>
          <cell r="AW98">
            <v>3.7469196428571434E-4</v>
          </cell>
          <cell r="AX98">
            <v>1.7985214285714285E-3</v>
          </cell>
          <cell r="AY98">
            <v>1.7985214285714285E-3</v>
          </cell>
          <cell r="AZ98">
            <v>7.7544945652173918E-3</v>
          </cell>
          <cell r="BA98">
            <v>65.933681464719228</v>
          </cell>
          <cell r="BB98">
            <v>0</v>
          </cell>
          <cell r="BC98">
            <v>8.4891649958201132</v>
          </cell>
        </row>
        <row r="99">
          <cell r="A99">
            <v>379</v>
          </cell>
          <cell r="B99" t="str">
            <v>ПФГО 3000х1385х10 ТУ</v>
          </cell>
          <cell r="C99">
            <v>54.231373746318773</v>
          </cell>
          <cell r="D99">
            <v>0</v>
          </cell>
          <cell r="E99">
            <v>7.0500785870214404</v>
          </cell>
          <cell r="F99">
            <v>0</v>
          </cell>
          <cell r="G99">
            <v>2.1692549498527507</v>
          </cell>
          <cell r="H99">
            <v>0.21692549498527508</v>
          </cell>
          <cell r="I99">
            <v>0</v>
          </cell>
          <cell r="J99">
            <v>2.6031059398233008E-2</v>
          </cell>
          <cell r="K99">
            <v>3.4816541945136649E-2</v>
          </cell>
          <cell r="L99">
            <v>15.294835291085185</v>
          </cell>
          <cell r="M99">
            <v>79.157735999999986</v>
          </cell>
          <cell r="N99">
            <v>75.388319999999993</v>
          </cell>
          <cell r="O99">
            <v>500</v>
          </cell>
          <cell r="P99">
            <v>0.85097547318491185</v>
          </cell>
          <cell r="Q99">
            <v>0</v>
          </cell>
          <cell r="R99">
            <v>0</v>
          </cell>
          <cell r="S99">
            <v>65</v>
          </cell>
          <cell r="T99">
            <v>0.11062681151403854</v>
          </cell>
          <cell r="U99">
            <v>0</v>
          </cell>
          <cell r="V99">
            <v>0</v>
          </cell>
          <cell r="W99">
            <v>20</v>
          </cell>
          <cell r="X99">
            <v>3.4039018927396469E-2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0.24</v>
          </cell>
          <cell r="AD99">
            <v>4.0846822712875763E-4</v>
          </cell>
          <cell r="AE99">
            <v>2</v>
          </cell>
          <cell r="AF99">
            <v>3.4039018927396474E-3</v>
          </cell>
          <cell r="AG99">
            <v>0.32100000000000001</v>
          </cell>
          <cell r="AH99">
            <v>5.6557797311654605E-4</v>
          </cell>
          <cell r="AI99">
            <v>0.24</v>
          </cell>
          <cell r="AJ99">
            <v>0.14466583044143499</v>
          </cell>
          <cell r="AK99">
            <v>729.81496255544528</v>
          </cell>
          <cell r="AL99">
            <v>9.2197553825370324</v>
          </cell>
          <cell r="AM99">
            <v>3000</v>
          </cell>
          <cell r="AN99">
            <v>1385</v>
          </cell>
          <cell r="AO99">
            <v>10.5</v>
          </cell>
          <cell r="AP99">
            <v>4.36275E-2</v>
          </cell>
          <cell r="AQ99">
            <v>70.676549999999992</v>
          </cell>
          <cell r="AR99" t="str">
            <v>Поддон 3000х1385</v>
          </cell>
          <cell r="AS99">
            <v>40</v>
          </cell>
          <cell r="AT99">
            <v>62.325000000000003</v>
          </cell>
          <cell r="AU99">
            <v>7.1673750000000001E-3</v>
          </cell>
          <cell r="AV99">
            <v>3.4278750000000004E-3</v>
          </cell>
          <cell r="AW99">
            <v>3.1162500000000005E-4</v>
          </cell>
          <cell r="AX99">
            <v>1.4958E-3</v>
          </cell>
          <cell r="AY99">
            <v>1.4958E-3</v>
          </cell>
          <cell r="AZ99">
            <v>6.4492826086956527E-3</v>
          </cell>
          <cell r="BA99">
            <v>54.835933099370436</v>
          </cell>
          <cell r="BB99">
            <v>0</v>
          </cell>
          <cell r="BC99">
            <v>7.0602956400880137</v>
          </cell>
        </row>
        <row r="100">
          <cell r="A100">
            <v>380</v>
          </cell>
          <cell r="B100" t="str">
            <v>ПТФРО 3030х1520х8 ТУ сланец</v>
          </cell>
          <cell r="C100">
            <v>48.662612500633514</v>
          </cell>
          <cell r="D100">
            <v>0</v>
          </cell>
          <cell r="E100">
            <v>6.3261396250823569</v>
          </cell>
          <cell r="F100">
            <v>0</v>
          </cell>
          <cell r="G100">
            <v>1.9465045000253407</v>
          </cell>
          <cell r="H100">
            <v>0.19465045000253406</v>
          </cell>
          <cell r="I100">
            <v>0</v>
          </cell>
          <cell r="J100">
            <v>2.3358054000304086E-2</v>
          </cell>
          <cell r="K100">
            <v>3.1241397225406718E-2</v>
          </cell>
          <cell r="L100">
            <v>13.724281566472669</v>
          </cell>
          <cell r="M100">
            <v>71.029405439999991</v>
          </cell>
          <cell r="N100">
            <v>66.77</v>
          </cell>
          <cell r="O100">
            <v>500</v>
          </cell>
          <cell r="P100">
            <v>0.85097547318491185</v>
          </cell>
          <cell r="Q100">
            <v>0</v>
          </cell>
          <cell r="R100">
            <v>0</v>
          </cell>
          <cell r="S100">
            <v>65</v>
          </cell>
          <cell r="T100">
            <v>0.11062681151403854</v>
          </cell>
          <cell r="U100">
            <v>0</v>
          </cell>
          <cell r="V100">
            <v>0</v>
          </cell>
          <cell r="W100">
            <v>20</v>
          </cell>
          <cell r="X100">
            <v>3.4039018927396469E-2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0.24</v>
          </cell>
          <cell r="AD100">
            <v>4.0846822712875763E-4</v>
          </cell>
          <cell r="AE100">
            <v>2</v>
          </cell>
          <cell r="AF100">
            <v>3.4039018927396474E-3</v>
          </cell>
          <cell r="AG100">
            <v>0.32100000000000001</v>
          </cell>
          <cell r="AH100">
            <v>5.6557797311654605E-4</v>
          </cell>
          <cell r="AI100">
            <v>0.24</v>
          </cell>
          <cell r="AJ100">
            <v>0.14466583044143499</v>
          </cell>
          <cell r="AK100">
            <v>729.81496255544528</v>
          </cell>
          <cell r="AL100">
            <v>10.274828545086656</v>
          </cell>
          <cell r="AM100">
            <v>3030</v>
          </cell>
          <cell r="AN100">
            <v>1520</v>
          </cell>
          <cell r="AO100">
            <v>8.5</v>
          </cell>
          <cell r="AP100">
            <v>3.9147599999999998E-2</v>
          </cell>
          <cell r="AQ100">
            <v>63.419111999999991</v>
          </cell>
          <cell r="AR100" t="str">
            <v>Поддон 3000х1385</v>
          </cell>
          <cell r="AS100">
            <v>40</v>
          </cell>
          <cell r="AT100">
            <v>55.925142857142852</v>
          </cell>
          <cell r="AU100">
            <v>6.4313914285714282E-3</v>
          </cell>
          <cell r="AV100">
            <v>3.075882857142857E-3</v>
          </cell>
          <cell r="AW100">
            <v>2.7962571428571427E-4</v>
          </cell>
          <cell r="AX100">
            <v>1.3422034285714283E-3</v>
          </cell>
          <cell r="AY100">
            <v>1.3422034285714283E-3</v>
          </cell>
          <cell r="AZ100">
            <v>5.7870365217391299E-3</v>
          </cell>
          <cell r="BA100">
            <v>49.205092535692259</v>
          </cell>
          <cell r="BB100">
            <v>0</v>
          </cell>
          <cell r="BC100">
            <v>6.3353075376748507</v>
          </cell>
        </row>
        <row r="101">
          <cell r="A101">
            <v>381</v>
          </cell>
          <cell r="B101" t="str">
            <v>ПТФРО 3030х1520х10 ТУ сланец</v>
          </cell>
          <cell r="C101">
            <v>59.517464328089929</v>
          </cell>
          <cell r="D101">
            <v>0</v>
          </cell>
          <cell r="E101">
            <v>7.7372703626516905</v>
          </cell>
          <cell r="F101">
            <v>0</v>
          </cell>
          <cell r="G101">
            <v>2.3806985731235972</v>
          </cell>
          <cell r="H101">
            <v>0.23806985731235972</v>
          </cell>
          <cell r="I101">
            <v>0</v>
          </cell>
          <cell r="J101">
            <v>2.8568382877483166E-2</v>
          </cell>
          <cell r="K101">
            <v>3.8210212098633733E-2</v>
          </cell>
          <cell r="L101">
            <v>16.785667611876889</v>
          </cell>
          <cell r="M101">
            <v>86.873471999999992</v>
          </cell>
          <cell r="N101">
            <v>83.56</v>
          </cell>
          <cell r="O101">
            <v>500</v>
          </cell>
          <cell r="P101">
            <v>0.85097547318491185</v>
          </cell>
          <cell r="Q101">
            <v>0</v>
          </cell>
          <cell r="R101">
            <v>0</v>
          </cell>
          <cell r="S101">
            <v>65</v>
          </cell>
          <cell r="T101">
            <v>0.11062681151403854</v>
          </cell>
          <cell r="U101">
            <v>0</v>
          </cell>
          <cell r="V101">
            <v>0</v>
          </cell>
          <cell r="W101">
            <v>20</v>
          </cell>
          <cell r="X101">
            <v>3.4039018927396469E-2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0.24</v>
          </cell>
          <cell r="AD101">
            <v>4.0846822712875763E-4</v>
          </cell>
          <cell r="AE101">
            <v>2</v>
          </cell>
          <cell r="AF101">
            <v>3.4039018927396474E-3</v>
          </cell>
          <cell r="AG101">
            <v>0.32100000000000001</v>
          </cell>
          <cell r="AH101">
            <v>5.6557797311654605E-4</v>
          </cell>
          <cell r="AI101">
            <v>0.24</v>
          </cell>
          <cell r="AJ101">
            <v>0.14466583044143499</v>
          </cell>
          <cell r="AK101">
            <v>729.81496255544528</v>
          </cell>
          <cell r="AL101">
            <v>8.4008955294827548</v>
          </cell>
          <cell r="AM101">
            <v>3000</v>
          </cell>
          <cell r="AN101">
            <v>1520</v>
          </cell>
          <cell r="AO101">
            <v>10.5</v>
          </cell>
          <cell r="AP101">
            <v>4.7879999999999999E-2</v>
          </cell>
          <cell r="AQ101">
            <v>77.565599999999989</v>
          </cell>
          <cell r="AR101" t="str">
            <v>Поддон 3000х1540</v>
          </cell>
          <cell r="AS101">
            <v>40</v>
          </cell>
          <cell r="AT101">
            <v>68.400000000000006</v>
          </cell>
          <cell r="AU101">
            <v>7.8660000000000015E-3</v>
          </cell>
          <cell r="AV101">
            <v>3.7620000000000006E-3</v>
          </cell>
          <cell r="AW101">
            <v>3.4200000000000007E-4</v>
          </cell>
          <cell r="AX101">
            <v>1.6416000000000002E-3</v>
          </cell>
          <cell r="AY101">
            <v>1.6416000000000002E-3</v>
          </cell>
          <cell r="AZ101">
            <v>7.0779130434782608E-3</v>
          </cell>
          <cell r="BA101">
            <v>60.180951849128576</v>
          </cell>
          <cell r="BB101">
            <v>0</v>
          </cell>
          <cell r="BC101">
            <v>7.7484833017572443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</row>
        <row r="103">
          <cell r="A103">
            <v>0</v>
          </cell>
          <cell r="B103" t="str">
            <v>Прочие рецепты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A104">
            <v>390</v>
          </cell>
          <cell r="B104" t="str">
            <v xml:space="preserve"> ДН 300х1500х8 ТУ</v>
          </cell>
          <cell r="C104">
            <v>3.5355246935329081</v>
          </cell>
          <cell r="D104">
            <v>0.62391612238816019</v>
          </cell>
          <cell r="E104">
            <v>0.34939302853736975</v>
          </cell>
          <cell r="F104">
            <v>0.34107414690552756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2.6703610038213256E-3</v>
          </cell>
          <cell r="L104">
            <v>1.1646188045682688</v>
          </cell>
          <cell r="M104">
            <v>6.0419520000000002</v>
          </cell>
          <cell r="N104">
            <v>5.8786559999999994</v>
          </cell>
          <cell r="O104">
            <v>425</v>
          </cell>
          <cell r="P104">
            <v>0.7268423743973621</v>
          </cell>
          <cell r="Q104">
            <v>75</v>
          </cell>
          <cell r="R104">
            <v>0.12826630136424039</v>
          </cell>
          <cell r="S104">
            <v>42</v>
          </cell>
          <cell r="T104">
            <v>7.2001522317900427E-2</v>
          </cell>
          <cell r="U104">
            <v>41</v>
          </cell>
          <cell r="V104">
            <v>7.0287200357950427E-2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1.4</v>
          </cell>
          <cell r="AB104">
            <v>2.3943042921324869E-3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0.32100000000000001</v>
          </cell>
          <cell r="AH104">
            <v>5.4897976983894889E-4</v>
          </cell>
          <cell r="AI104">
            <v>0.24</v>
          </cell>
          <cell r="AJ104">
            <v>0.14228872267585085</v>
          </cell>
          <cell r="AK104">
            <v>726.29378171138467</v>
          </cell>
          <cell r="AL104">
            <v>120.20846602412344</v>
          </cell>
          <cell r="AM104">
            <v>300</v>
          </cell>
          <cell r="AN104">
            <v>1500</v>
          </cell>
          <cell r="AO104">
            <v>7.4</v>
          </cell>
          <cell r="AP104">
            <v>3.3300000000000001E-3</v>
          </cell>
          <cell r="AQ104">
            <v>5.3946000000000005</v>
          </cell>
          <cell r="AR104" t="str">
            <v>Поддон 900х1500/600х1500</v>
          </cell>
          <cell r="AS104" t="str">
            <v>240/160</v>
          </cell>
          <cell r="AT104">
            <v>4.7571428571428571</v>
          </cell>
          <cell r="AU104">
            <v>5.4707142857142856E-4</v>
          </cell>
          <cell r="AV104">
            <v>2.6164285714285715E-4</v>
          </cell>
          <cell r="AW104">
            <v>2.3785714285714286E-5</v>
          </cell>
          <cell r="AX104">
            <v>1.1417142857142858E-4</v>
          </cell>
          <cell r="AY104">
            <v>1.1417142857142858E-4</v>
          </cell>
          <cell r="AZ104">
            <v>4.9226086956521747E-4</v>
          </cell>
          <cell r="BA104">
            <v>3.5691886695680504</v>
          </cell>
          <cell r="BB104">
            <v>0.62496448150344142</v>
          </cell>
          <cell r="BC104">
            <v>0.34972258300960934</v>
          </cell>
        </row>
        <row r="105">
          <cell r="A105">
            <v>391</v>
          </cell>
          <cell r="B105" t="str">
            <v xml:space="preserve"> ДН 300х3000х10 ТУ (производили с ЛПН 3000х1200х10ГОСТ)</v>
          </cell>
          <cell r="C105">
            <v>10.51101935915189</v>
          </cell>
          <cell r="D105">
            <v>1.8548857692620984</v>
          </cell>
          <cell r="E105">
            <v>1.038736030786775</v>
          </cell>
          <cell r="F105">
            <v>1.0140042205299471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7.9389110924417815E-3</v>
          </cell>
          <cell r="L105">
            <v>3.4623802297975566</v>
          </cell>
          <cell r="M105">
            <v>17.962560000000003</v>
          </cell>
          <cell r="N105">
            <v>15.023999999999999</v>
          </cell>
          <cell r="O105">
            <v>425</v>
          </cell>
          <cell r="P105">
            <v>0.7268423743973621</v>
          </cell>
          <cell r="Q105">
            <v>75</v>
          </cell>
          <cell r="R105">
            <v>0.12826630136424039</v>
          </cell>
          <cell r="S105">
            <v>42</v>
          </cell>
          <cell r="T105">
            <v>7.2001522317900427E-2</v>
          </cell>
          <cell r="U105">
            <v>41</v>
          </cell>
          <cell r="V105">
            <v>7.0287200357950427E-2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1.4</v>
          </cell>
          <cell r="AB105">
            <v>2.3943042921324869E-3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0.32100000000000001</v>
          </cell>
          <cell r="AH105">
            <v>5.4897976983894889E-4</v>
          </cell>
          <cell r="AI105">
            <v>0.24</v>
          </cell>
          <cell r="AJ105">
            <v>0.14228872267585085</v>
          </cell>
          <cell r="AK105">
            <v>726.29378171138467</v>
          </cell>
          <cell r="AL105">
            <v>40.433756753568787</v>
          </cell>
          <cell r="AM105">
            <v>300</v>
          </cell>
          <cell r="AN105">
            <v>3000</v>
          </cell>
          <cell r="AO105">
            <v>11</v>
          </cell>
          <cell r="AP105">
            <v>9.9000000000000008E-3</v>
          </cell>
          <cell r="AQ105">
            <v>16.038000000000004</v>
          </cell>
          <cell r="AR105" t="str">
            <v>Поддон 3000х1500</v>
          </cell>
          <cell r="AS105">
            <v>125</v>
          </cell>
          <cell r="AT105">
            <v>14.142857142857144</v>
          </cell>
          <cell r="AU105">
            <v>1.6264285714285716E-3</v>
          </cell>
          <cell r="AV105">
            <v>7.7785714285714296E-4</v>
          </cell>
          <cell r="AW105">
            <v>7.08E-6</v>
          </cell>
          <cell r="AX105">
            <v>3.3942857142857147E-4</v>
          </cell>
          <cell r="AY105">
            <v>3.3942857142857147E-4</v>
          </cell>
          <cell r="AZ105">
            <v>1.4634782608695654E-3</v>
          </cell>
          <cell r="BA105">
            <v>10.611101450067178</v>
          </cell>
          <cell r="BB105">
            <v>1.8580025125777992</v>
          </cell>
          <cell r="BC105">
            <v>1.542</v>
          </cell>
        </row>
        <row r="106">
          <cell r="A106">
            <v>392</v>
          </cell>
          <cell r="B106" t="str">
            <v xml:space="preserve"> ДН 300х1500х10 ТУ</v>
          </cell>
          <cell r="C106">
            <v>4.4910719080012624</v>
          </cell>
          <cell r="D106">
            <v>0.79254210141198744</v>
          </cell>
          <cell r="E106">
            <v>0.44382357679071299</v>
          </cell>
          <cell r="F106">
            <v>0.43325634877188651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3.3920801940433066E-3</v>
          </cell>
          <cell r="L106">
            <v>1.4793806436407744</v>
          </cell>
          <cell r="M106">
            <v>7.6749120000000017</v>
          </cell>
          <cell r="N106">
            <v>7.5119999999999996</v>
          </cell>
          <cell r="O106">
            <v>425</v>
          </cell>
          <cell r="P106">
            <v>0.7268423743973621</v>
          </cell>
          <cell r="Q106">
            <v>75</v>
          </cell>
          <cell r="R106">
            <v>0.12826630136424039</v>
          </cell>
          <cell r="S106">
            <v>42</v>
          </cell>
          <cell r="T106">
            <v>7.2001522317900427E-2</v>
          </cell>
          <cell r="U106">
            <v>41</v>
          </cell>
          <cell r="V106">
            <v>7.0287200357950427E-2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1.4</v>
          </cell>
          <cell r="AB106">
            <v>2.3943042921324869E-3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0.32100000000000001</v>
          </cell>
          <cell r="AH106">
            <v>5.4897976983894889E-4</v>
          </cell>
          <cell r="AI106">
            <v>0.24</v>
          </cell>
          <cell r="AJ106">
            <v>0.14228872267585085</v>
          </cell>
          <cell r="AK106">
            <v>726.29378171138467</v>
          </cell>
          <cell r="AL106">
            <v>94.632196657288645</v>
          </cell>
          <cell r="AM106">
            <v>300</v>
          </cell>
          <cell r="AN106">
            <v>1500</v>
          </cell>
          <cell r="AO106">
            <v>9.4</v>
          </cell>
          <cell r="AP106">
            <v>4.2300000000000003E-3</v>
          </cell>
          <cell r="AQ106">
            <v>6.8526000000000016</v>
          </cell>
          <cell r="AR106" t="str">
            <v>Поддон 900х1500/600х1500</v>
          </cell>
          <cell r="AS106" t="str">
            <v>240/160</v>
          </cell>
          <cell r="AT106">
            <v>6.0428571428571436</v>
          </cell>
          <cell r="AU106">
            <v>6.9492857142857149E-4</v>
          </cell>
          <cell r="AV106">
            <v>3.3235714285714292E-4</v>
          </cell>
          <cell r="AW106">
            <v>3.0214285714285719E-5</v>
          </cell>
          <cell r="AX106">
            <v>1.4502857142857146E-4</v>
          </cell>
          <cell r="AY106">
            <v>1.4502857142857146E-4</v>
          </cell>
          <cell r="AZ106">
            <v>6.2530434782608697E-4</v>
          </cell>
          <cell r="BA106">
            <v>4.5338342559377942</v>
          </cell>
          <cell r="BB106">
            <v>0.79387380082869607</v>
          </cell>
          <cell r="BC106">
            <v>0.44424220003923354</v>
          </cell>
        </row>
        <row r="107">
          <cell r="A107">
            <v>393</v>
          </cell>
          <cell r="B107" t="str">
            <v xml:space="preserve"> ДН 300х3000х8 ТУ</v>
          </cell>
          <cell r="C107">
            <v>7.0710493870658162</v>
          </cell>
          <cell r="D107">
            <v>1.2478322447763204</v>
          </cell>
          <cell r="E107">
            <v>0.69878605707473951</v>
          </cell>
          <cell r="F107">
            <v>0.68214829381105513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5.3407220076426513E-3</v>
          </cell>
          <cell r="L107">
            <v>2.3292376091365377</v>
          </cell>
          <cell r="M107">
            <v>12.083904</v>
          </cell>
          <cell r="N107">
            <v>11.558</v>
          </cell>
          <cell r="O107">
            <v>425</v>
          </cell>
          <cell r="P107">
            <v>0.7268423743973621</v>
          </cell>
          <cell r="Q107">
            <v>75</v>
          </cell>
          <cell r="R107">
            <v>0.12826630136424039</v>
          </cell>
          <cell r="S107">
            <v>42</v>
          </cell>
          <cell r="T107">
            <v>7.2001522317900427E-2</v>
          </cell>
          <cell r="U107">
            <v>41</v>
          </cell>
          <cell r="V107">
            <v>7.0287200357950427E-2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1.4</v>
          </cell>
          <cell r="AB107">
            <v>2.3943042921324869E-3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0.32100000000000001</v>
          </cell>
          <cell r="AH107">
            <v>5.4897976983894889E-4</v>
          </cell>
          <cell r="AI107">
            <v>0.24</v>
          </cell>
          <cell r="AJ107">
            <v>0.14228872267585085</v>
          </cell>
          <cell r="AK107">
            <v>726.29378171138467</v>
          </cell>
          <cell r="AL107">
            <v>60.104233012061719</v>
          </cell>
          <cell r="AM107">
            <v>300</v>
          </cell>
          <cell r="AN107">
            <v>3000</v>
          </cell>
          <cell r="AO107">
            <v>7.4</v>
          </cell>
          <cell r="AP107">
            <v>6.6600000000000001E-3</v>
          </cell>
          <cell r="AQ107">
            <v>10.789200000000001</v>
          </cell>
          <cell r="AR107" t="str">
            <v>Поддон 3000х1500</v>
          </cell>
          <cell r="AS107">
            <v>150</v>
          </cell>
          <cell r="AT107">
            <v>9.5142857142857142</v>
          </cell>
          <cell r="AU107">
            <v>1.0941428571428571E-3</v>
          </cell>
          <cell r="AV107">
            <v>5.232857142857143E-4</v>
          </cell>
          <cell r="AW107">
            <v>4.7571428571428572E-5</v>
          </cell>
          <cell r="AX107">
            <v>2.2834285714285716E-4</v>
          </cell>
          <cell r="AY107">
            <v>2.2834285714285716E-4</v>
          </cell>
          <cell r="AZ107">
            <v>9.8452173913043495E-4</v>
          </cell>
          <cell r="BA107">
            <v>7.1383773391361007</v>
          </cell>
          <cell r="BB107">
            <v>1.2499289630068828</v>
          </cell>
          <cell r="BC107">
            <v>0.69944516601921869</v>
          </cell>
        </row>
        <row r="108">
          <cell r="A108">
            <v>394</v>
          </cell>
          <cell r="B108" t="str">
            <v xml:space="preserve"> ДН 300х3000х10 ТУ</v>
          </cell>
          <cell r="C108">
            <v>8.9821438160025249</v>
          </cell>
          <cell r="D108">
            <v>1.5850842028239749</v>
          </cell>
          <cell r="E108">
            <v>0.88764715358142599</v>
          </cell>
          <cell r="F108">
            <v>0.86651269754377303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6.7841603880866132E-3</v>
          </cell>
          <cell r="L108">
            <v>2.9587612872815487</v>
          </cell>
          <cell r="M108">
            <v>15.349824000000003</v>
          </cell>
          <cell r="N108">
            <v>15.023999999999999</v>
          </cell>
          <cell r="O108">
            <v>425</v>
          </cell>
          <cell r="P108">
            <v>0.7268423743973621</v>
          </cell>
          <cell r="Q108">
            <v>75</v>
          </cell>
          <cell r="R108">
            <v>0.12826630136424039</v>
          </cell>
          <cell r="S108">
            <v>42</v>
          </cell>
          <cell r="T108">
            <v>7.2001522317900427E-2</v>
          </cell>
          <cell r="U108">
            <v>41</v>
          </cell>
          <cell r="V108">
            <v>7.0287200357950427E-2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1.4</v>
          </cell>
          <cell r="AB108">
            <v>2.3943042921324869E-3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0.32100000000000001</v>
          </cell>
          <cell r="AH108">
            <v>5.4897976983894889E-4</v>
          </cell>
          <cell r="AI108">
            <v>0.24</v>
          </cell>
          <cell r="AJ108">
            <v>0.14228872267585085</v>
          </cell>
          <cell r="AK108">
            <v>726.29378171138467</v>
          </cell>
          <cell r="AL108">
            <v>47.316098328644323</v>
          </cell>
          <cell r="AM108">
            <v>300</v>
          </cell>
          <cell r="AN108">
            <v>3000</v>
          </cell>
          <cell r="AO108">
            <v>9.4</v>
          </cell>
          <cell r="AP108">
            <v>8.4600000000000005E-3</v>
          </cell>
          <cell r="AQ108">
            <v>13.705200000000003</v>
          </cell>
          <cell r="AR108" t="str">
            <v>Поддон 3000х1500</v>
          </cell>
          <cell r="AS108">
            <v>125</v>
          </cell>
          <cell r="AT108">
            <v>12.085714285714287</v>
          </cell>
          <cell r="AU108">
            <v>1.389857142857143E-3</v>
          </cell>
          <cell r="AV108">
            <v>6.6471428571428584E-4</v>
          </cell>
          <cell r="AW108">
            <v>7.08E-6</v>
          </cell>
          <cell r="AX108">
            <v>2.9005714285714292E-4</v>
          </cell>
          <cell r="AY108">
            <v>2.9005714285714292E-4</v>
          </cell>
          <cell r="AZ108">
            <v>1.2506086956521739E-3</v>
          </cell>
          <cell r="BA108">
            <v>9.0676685118755884</v>
          </cell>
          <cell r="BB108">
            <v>1.5877476016573921</v>
          </cell>
          <cell r="BC108">
            <v>1.542</v>
          </cell>
        </row>
        <row r="109">
          <cell r="A109">
            <v>395</v>
          </cell>
          <cell r="B109" t="str">
            <v xml:space="preserve"> ЛПН 3020х1520х12 ТУ</v>
          </cell>
          <cell r="C109">
            <v>72.362517530863087</v>
          </cell>
          <cell r="D109">
            <v>0</v>
          </cell>
          <cell r="E109">
            <v>6.4322237805211628</v>
          </cell>
          <cell r="F109">
            <v>0</v>
          </cell>
          <cell r="G109">
            <v>6.4322237805211628</v>
          </cell>
          <cell r="H109">
            <v>0.32161118902605812</v>
          </cell>
          <cell r="I109">
            <v>0</v>
          </cell>
          <cell r="J109">
            <v>3.8593342683126974E-2</v>
          </cell>
          <cell r="K109">
            <v>5.1618595838682335E-2</v>
          </cell>
          <cell r="L109">
            <v>20.55330917266879</v>
          </cell>
          <cell r="M109">
            <v>106.670613504</v>
          </cell>
          <cell r="N109">
            <v>93.28</v>
          </cell>
          <cell r="O109">
            <v>450</v>
          </cell>
          <cell r="P109">
            <v>0.84275817896812688</v>
          </cell>
          <cell r="Q109">
            <v>0</v>
          </cell>
          <cell r="R109">
            <v>0</v>
          </cell>
          <cell r="S109">
            <v>40</v>
          </cell>
          <cell r="T109">
            <v>7.5108766883042508E-2</v>
          </cell>
          <cell r="U109">
            <v>0</v>
          </cell>
          <cell r="V109">
            <v>0</v>
          </cell>
          <cell r="W109">
            <v>40</v>
          </cell>
          <cell r="X109">
            <v>7.5108766883042508E-2</v>
          </cell>
          <cell r="Y109">
            <v>0</v>
          </cell>
          <cell r="Z109">
            <v>0</v>
          </cell>
          <cell r="AA109">
            <v>1.4</v>
          </cell>
          <cell r="AB109">
            <v>2.6219143345675056E-3</v>
          </cell>
          <cell r="AC109">
            <v>0.24</v>
          </cell>
          <cell r="AD109">
            <v>4.49471028783001E-4</v>
          </cell>
          <cell r="AE109">
            <v>2</v>
          </cell>
          <cell r="AF109">
            <v>3.7455919065250082E-3</v>
          </cell>
          <cell r="AG109">
            <v>0.32100000000000001</v>
          </cell>
          <cell r="AH109">
            <v>6.4984887470873206E-4</v>
          </cell>
          <cell r="AI109">
            <v>0.24</v>
          </cell>
          <cell r="AJ109">
            <v>0.15021753376608502</v>
          </cell>
          <cell r="AK109">
            <v>663.35138293560522</v>
          </cell>
          <cell r="AL109">
            <v>6.218689113574194</v>
          </cell>
          <cell r="AM109">
            <v>3020</v>
          </cell>
          <cell r="AN109">
            <v>1520</v>
          </cell>
          <cell r="AO109">
            <v>11.4</v>
          </cell>
          <cell r="AP109">
            <v>5.2330559999999998E-2</v>
          </cell>
          <cell r="AQ109">
            <v>95.241619200000002</v>
          </cell>
          <cell r="AR109" t="str">
            <v>Поддон 3000х1500</v>
          </cell>
          <cell r="AS109">
            <v>20</v>
          </cell>
          <cell r="AT109">
            <v>74.757942857142851</v>
          </cell>
          <cell r="AU109">
            <v>8.0000000000000002E-3</v>
          </cell>
          <cell r="AV109">
            <v>3.0000000000000001E-3</v>
          </cell>
          <cell r="AW109">
            <v>3.7378971428571431E-4</v>
          </cell>
          <cell r="AX109">
            <v>1E-3</v>
          </cell>
          <cell r="AY109">
            <v>1E-3</v>
          </cell>
          <cell r="AZ109">
            <v>7.0000000000000001E-3</v>
          </cell>
          <cell r="BA109">
            <v>75.930000000000007</v>
          </cell>
          <cell r="BB109">
            <v>0</v>
          </cell>
          <cell r="BC109">
            <v>6.68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869"/>
  <sheetViews>
    <sheetView showZeros="0" zoomScale="55" zoomScaleNormal="5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F11" sqref="AF11"/>
    </sheetView>
  </sheetViews>
  <sheetFormatPr defaultColWidth="9.33203125" defaultRowHeight="13.8" outlineLevelRow="1" outlineLevelCol="2" x14ac:dyDescent="0.25"/>
  <cols>
    <col min="1" max="1" width="8" style="4" customWidth="1"/>
    <col min="2" max="2" width="14.44140625" style="4" customWidth="1"/>
    <col min="3" max="3" width="4.6640625" style="4" customWidth="1"/>
    <col min="4" max="4" width="4.33203125" style="4" customWidth="1"/>
    <col min="5" max="5" width="13.44140625" style="4" customWidth="1"/>
    <col min="6" max="6" width="51.88671875" style="4" customWidth="1"/>
    <col min="7" max="7" width="6.33203125" style="4" customWidth="1"/>
    <col min="8" max="8" width="27.5546875" style="4" customWidth="1"/>
    <col min="9" max="10" width="9.33203125" style="5" customWidth="1" outlineLevel="1"/>
    <col min="11" max="12" width="6.6640625" style="5" customWidth="1" outlineLevel="1"/>
    <col min="13" max="13" width="11.109375" style="5" hidden="1" customWidth="1" outlineLevel="2"/>
    <col min="14" max="14" width="12.33203125" style="5" customWidth="1" outlineLevel="1" collapsed="1"/>
    <col min="15" max="15" width="9.6640625" style="4" customWidth="1" outlineLevel="1"/>
    <col min="16" max="17" width="8.6640625" style="4" customWidth="1" outlineLevel="1"/>
    <col min="18" max="18" width="9.33203125" style="4" customWidth="1" outlineLevel="1"/>
    <col min="19" max="19" width="7.5546875" style="4" customWidth="1" outlineLevel="1"/>
    <col min="20" max="20" width="7.6640625" style="4" customWidth="1" outlineLevel="1"/>
    <col min="21" max="21" width="8.6640625" style="4" customWidth="1" outlineLevel="1"/>
    <col min="22" max="22" width="8.6640625" style="8" customWidth="1" outlineLevel="1"/>
    <col min="23" max="23" width="11" style="6" customWidth="1" outlineLevel="1"/>
    <col min="24" max="24" width="9.33203125" style="95" customWidth="1" outlineLevel="1"/>
    <col min="25" max="25" width="9.109375" style="7" customWidth="1" outlineLevel="1"/>
    <col min="26" max="26" width="13.44140625" style="7" customWidth="1"/>
    <col min="27" max="27" width="14.109375" style="4" customWidth="1"/>
    <col min="28" max="28" width="15.6640625" style="4" customWidth="1"/>
    <col min="29" max="29" width="16.109375" style="4" customWidth="1"/>
    <col min="30" max="30" width="11.88671875" style="4" customWidth="1"/>
    <col min="31" max="31" width="10.88671875" style="4" customWidth="1"/>
    <col min="32" max="32" width="12.109375" style="4" customWidth="1"/>
    <col min="33" max="33" width="11.5546875" style="4" customWidth="1" collapsed="1"/>
    <col min="34" max="34" width="11" style="4" customWidth="1"/>
    <col min="35" max="36" width="11.6640625" style="4" customWidth="1"/>
    <col min="37" max="37" width="12.33203125" style="4" customWidth="1"/>
    <col min="38" max="38" width="12.109375" style="4" customWidth="1"/>
    <col min="39" max="39" width="11.6640625" style="4" customWidth="1"/>
    <col min="40" max="40" width="11.33203125" style="4" customWidth="1"/>
    <col min="41" max="41" width="10.33203125" style="4" customWidth="1"/>
    <col min="42" max="43" width="8.6640625" style="4" customWidth="1"/>
    <col min="44" max="44" width="9.5546875" style="4" customWidth="1"/>
    <col min="45" max="47" width="8.6640625" style="4" customWidth="1"/>
    <col min="48" max="48" width="10.109375" style="4" customWidth="1"/>
    <col min="49" max="49" width="8.6640625" style="4" customWidth="1"/>
    <col min="50" max="50" width="8.6640625" style="4" customWidth="1" collapsed="1"/>
    <col min="51" max="54" width="8.6640625" style="4" customWidth="1"/>
    <col min="55" max="55" width="10.6640625" style="4" customWidth="1"/>
    <col min="56" max="56" width="29.33203125" style="4" customWidth="1"/>
    <col min="57" max="57" width="10.88671875" style="4" customWidth="1"/>
    <col min="58" max="16384" width="9.33203125" style="4"/>
  </cols>
  <sheetData>
    <row r="1" spans="1:57" s="1" customFormat="1" ht="33.450000000000003" customHeight="1" outlineLevel="1" thickBot="1" x14ac:dyDescent="0.45">
      <c r="A1" s="39"/>
      <c r="B1" s="39"/>
      <c r="C1" s="39"/>
      <c r="D1" s="368" t="s">
        <v>76</v>
      </c>
      <c r="E1" s="369"/>
      <c r="F1" s="173"/>
      <c r="G1" s="181" t="s">
        <v>32</v>
      </c>
      <c r="H1" s="179">
        <f>Z17+Z48+Z79+Z110+Z141+Z172+Z203+Z234+Z265+Z296+Z327+Z358+Z389+Z420+Z451+Z482+Z513+Z544+Z575+Z606+Z637+Z668+Z699+Z730+Z761+Z792+Z823+Z854+Z885+Z916+Z947+Z978+Z1009+Z1040+Z1071+Z1102+Z1133+Z1164+Z1195+Z1226+Z1257+Z1288+Z1319+Z1350+Z1381+Z1412+Z1443+Z1474+Z1505+Z1536+Z1567+Z1598+Z1629+Z1660+Z1691+Z1722+Z1753+Z1784+Z1815+Z1846</f>
        <v>0</v>
      </c>
      <c r="I1" s="370" t="s">
        <v>34</v>
      </c>
      <c r="J1" s="370"/>
      <c r="K1" s="370"/>
      <c r="L1" s="370"/>
      <c r="M1" s="370"/>
      <c r="N1" s="370"/>
      <c r="O1" s="371"/>
      <c r="P1" s="137" t="s">
        <v>35</v>
      </c>
      <c r="Q1" s="138" t="s">
        <v>112</v>
      </c>
      <c r="R1" s="138" t="s">
        <v>113</v>
      </c>
      <c r="S1" s="138" t="s">
        <v>114</v>
      </c>
      <c r="T1" s="138" t="s">
        <v>52</v>
      </c>
      <c r="U1" s="138" t="s">
        <v>115</v>
      </c>
      <c r="V1" s="138" t="s">
        <v>116</v>
      </c>
      <c r="W1" s="138" t="s">
        <v>117</v>
      </c>
      <c r="X1" s="138" t="s">
        <v>127</v>
      </c>
      <c r="Y1" s="138" t="s">
        <v>118</v>
      </c>
      <c r="Z1" s="178" t="s">
        <v>119</v>
      </c>
      <c r="AA1" s="298" t="s">
        <v>120</v>
      </c>
      <c r="AB1" s="413"/>
      <c r="AC1" s="414"/>
      <c r="AD1" s="422"/>
      <c r="AE1" s="423"/>
      <c r="AF1" s="420"/>
      <c r="AG1" s="421"/>
      <c r="AH1" s="420"/>
      <c r="AI1" s="421"/>
      <c r="AJ1" s="420"/>
      <c r="AK1" s="421"/>
      <c r="AL1" s="420"/>
      <c r="AM1" s="421"/>
      <c r="AN1" s="40"/>
      <c r="AO1" s="40"/>
      <c r="AP1" s="40"/>
      <c r="AQ1" s="40"/>
      <c r="AR1" s="41"/>
      <c r="AS1" s="41"/>
      <c r="AT1" s="42"/>
      <c r="AU1" s="42"/>
      <c r="AV1" s="41"/>
      <c r="AW1" s="41"/>
      <c r="AX1" s="41"/>
      <c r="AY1" s="41"/>
      <c r="AZ1" s="41"/>
      <c r="BA1" s="41"/>
      <c r="BB1" s="41"/>
      <c r="BC1" s="41"/>
      <c r="BE1" s="41"/>
    </row>
    <row r="2" spans="1:57" s="1" customFormat="1" ht="34.200000000000003" customHeight="1" outlineLevel="1" thickBot="1" x14ac:dyDescent="0.55000000000000004">
      <c r="A2" s="39"/>
      <c r="B2" s="39"/>
      <c r="C2" s="39"/>
      <c r="D2" s="376">
        <f>H1+H2</f>
        <v>0</v>
      </c>
      <c r="E2" s="377"/>
      <c r="F2" s="174"/>
      <c r="G2" s="182" t="s">
        <v>33</v>
      </c>
      <c r="H2" s="180">
        <f>Z24+Z55+Z86+Z117+Z148+Z179+Z210+Z241+Z272+Z303+Z334+Z365+Z396+Z427+Z458+Z489+Z520+Z551+Z582+Z613+Z644+Z675+Z706+Z737+Z768+Z799+Z830+Z861+Z892+Z923+Z954+Z985+Z1016+Z1047+Z1078+Z1109+Z1140+Z1171+Z1202+Z1233+Z1264+Z1295+Z1326+Z1357+Z1388+Z1419+Z1450+Z1481+Z1512+Z1543+Z1574+Z1605+Z1636+Z1667+Z1698+Z1729+Z1760+Z1791+Z1822+Z1853</f>
        <v>0</v>
      </c>
      <c r="I2" s="372">
        <f>P2+Q2+R2+S2+T2+U2+V2+W2+X2+Y2+Z2+AA2</f>
        <v>0</v>
      </c>
      <c r="J2" s="372"/>
      <c r="K2" s="373"/>
      <c r="L2" s="373"/>
      <c r="M2" s="373"/>
      <c r="N2" s="374"/>
      <c r="O2" s="375"/>
      <c r="P2" s="139"/>
      <c r="Q2" s="140"/>
      <c r="R2" s="140"/>
      <c r="S2" s="140"/>
      <c r="T2" s="141"/>
      <c r="U2" s="141">
        <f>D2</f>
        <v>0</v>
      </c>
      <c r="V2" s="141"/>
      <c r="W2" s="226"/>
      <c r="X2" s="141"/>
      <c r="Y2" s="140"/>
      <c r="Z2" s="140"/>
      <c r="AA2" s="299"/>
      <c r="AB2" s="415"/>
      <c r="AC2" s="416"/>
      <c r="AD2" s="424"/>
      <c r="AE2" s="425"/>
      <c r="AF2" s="221"/>
      <c r="AG2" s="222"/>
      <c r="AH2" s="221"/>
      <c r="AI2" s="222"/>
      <c r="AJ2" s="221"/>
      <c r="AK2" s="222"/>
      <c r="AL2" s="221"/>
      <c r="AM2" s="222"/>
      <c r="AN2" s="40"/>
      <c r="AO2" s="40"/>
      <c r="AP2" s="40"/>
      <c r="AQ2" s="40"/>
      <c r="AR2" s="41"/>
      <c r="AS2" s="41"/>
      <c r="AT2" s="43"/>
      <c r="AU2" s="43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7" s="1" customFormat="1" ht="31.2" customHeight="1" outlineLevel="1" thickBot="1" x14ac:dyDescent="0.45">
      <c r="A3" s="39"/>
      <c r="B3" s="39"/>
      <c r="C3" s="39"/>
      <c r="D3" s="39"/>
      <c r="E3" s="39"/>
      <c r="F3" s="39"/>
      <c r="G3" s="44"/>
      <c r="H3" s="44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0"/>
      <c r="U3" s="41"/>
      <c r="V3" s="41"/>
      <c r="W3" s="44"/>
      <c r="X3" s="44"/>
      <c r="Y3" s="44"/>
      <c r="Z3" s="44"/>
      <c r="AA3" s="177"/>
      <c r="AB3" s="301"/>
      <c r="AC3" s="302"/>
      <c r="AD3" s="426"/>
      <c r="AE3" s="427"/>
      <c r="AF3" s="223"/>
      <c r="AG3" s="224"/>
      <c r="AH3" s="223"/>
      <c r="AI3" s="224"/>
      <c r="AJ3" s="223"/>
      <c r="AK3" s="224"/>
      <c r="AL3" s="223"/>
      <c r="AM3" s="225"/>
      <c r="AN3" s="285"/>
      <c r="AO3" s="286" t="s">
        <v>49</v>
      </c>
      <c r="AP3" s="286"/>
      <c r="AQ3" s="286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s="1" customFormat="1" ht="0.6" customHeight="1" thickBot="1" x14ac:dyDescent="0.45">
      <c r="A4" s="39"/>
      <c r="B4" s="39"/>
      <c r="C4" s="39"/>
      <c r="D4" s="39"/>
      <c r="E4" s="39"/>
      <c r="F4" s="39"/>
      <c r="G4" s="46"/>
      <c r="H4" s="4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6"/>
      <c r="X4" s="110"/>
      <c r="Y4" s="46"/>
      <c r="Z4" s="46"/>
      <c r="AA4" s="48"/>
      <c r="AB4" s="48"/>
      <c r="AC4" s="48"/>
      <c r="AD4" s="48"/>
      <c r="AE4" s="48"/>
      <c r="AF4" s="46"/>
      <c r="AG4" s="46"/>
      <c r="AH4" s="46"/>
      <c r="AI4" s="46"/>
      <c r="AJ4" s="46"/>
      <c r="AK4" s="44"/>
      <c r="AL4" s="44"/>
      <c r="AM4" s="41"/>
      <c r="AN4" s="48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</row>
    <row r="5" spans="1:57" s="1" customFormat="1" ht="33" customHeight="1" x14ac:dyDescent="0.4">
      <c r="A5" s="39"/>
      <c r="B5" s="362" t="s">
        <v>0</v>
      </c>
      <c r="C5" s="365" t="s">
        <v>26</v>
      </c>
      <c r="D5" s="365" t="s">
        <v>24</v>
      </c>
      <c r="E5" s="365" t="s">
        <v>21</v>
      </c>
      <c r="F5" s="144"/>
      <c r="G5" s="353" t="s">
        <v>23</v>
      </c>
      <c r="H5" s="378" t="s">
        <v>2</v>
      </c>
      <c r="I5" s="381" t="s">
        <v>3</v>
      </c>
      <c r="J5" s="417" t="s">
        <v>214</v>
      </c>
      <c r="K5" s="384" t="s">
        <v>25</v>
      </c>
      <c r="L5" s="384"/>
      <c r="M5" s="384"/>
      <c r="N5" s="384"/>
      <c r="O5" s="384"/>
      <c r="P5" s="384"/>
      <c r="Q5" s="384"/>
      <c r="R5" s="384"/>
      <c r="S5" s="384"/>
      <c r="T5" s="384"/>
      <c r="U5" s="353" t="s">
        <v>46</v>
      </c>
      <c r="V5" s="353" t="s">
        <v>47</v>
      </c>
      <c r="W5" s="344" t="s">
        <v>50</v>
      </c>
      <c r="X5" s="381" t="s">
        <v>86</v>
      </c>
      <c r="Y5" s="347" t="s">
        <v>20</v>
      </c>
      <c r="Z5" s="350" t="s">
        <v>75</v>
      </c>
      <c r="AA5" s="399" t="s">
        <v>128</v>
      </c>
      <c r="AB5" s="400"/>
      <c r="AC5" s="400"/>
      <c r="AD5" s="400"/>
      <c r="AE5" s="400"/>
      <c r="AF5" s="401"/>
      <c r="AG5" s="402" t="s">
        <v>129</v>
      </c>
      <c r="AH5" s="403"/>
      <c r="AI5" s="403"/>
      <c r="AJ5" s="403"/>
      <c r="AK5" s="403"/>
      <c r="AL5" s="403"/>
      <c r="AM5" s="403"/>
      <c r="AN5" s="403"/>
      <c r="AO5" s="403"/>
      <c r="AP5" s="403"/>
      <c r="AQ5" s="403"/>
      <c r="AR5" s="403"/>
      <c r="AS5" s="403"/>
      <c r="AT5" s="403"/>
      <c r="AU5" s="403"/>
      <c r="AV5" s="403"/>
      <c r="AW5" s="403"/>
      <c r="AX5" s="403"/>
      <c r="AY5" s="403"/>
      <c r="AZ5" s="403"/>
      <c r="BA5" s="403"/>
      <c r="BB5" s="403"/>
      <c r="BC5" s="403"/>
      <c r="BD5" s="403"/>
      <c r="BE5" s="404"/>
    </row>
    <row r="6" spans="1:57" s="1" customFormat="1" ht="23.4" customHeight="1" thickBot="1" x14ac:dyDescent="0.45">
      <c r="A6" s="39"/>
      <c r="B6" s="363"/>
      <c r="C6" s="366"/>
      <c r="D6" s="366"/>
      <c r="E6" s="366"/>
      <c r="F6" s="145"/>
      <c r="G6" s="354"/>
      <c r="H6" s="379"/>
      <c r="I6" s="382"/>
      <c r="J6" s="418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54"/>
      <c r="V6" s="354"/>
      <c r="W6" s="345"/>
      <c r="X6" s="382"/>
      <c r="Y6" s="348"/>
      <c r="Z6" s="351"/>
      <c r="AA6" s="175"/>
      <c r="AB6" s="175"/>
      <c r="AC6" s="175"/>
      <c r="AD6" s="175"/>
      <c r="AE6" s="175"/>
      <c r="AF6" s="175"/>
      <c r="AG6" s="341" t="s">
        <v>61</v>
      </c>
      <c r="AH6" s="342"/>
      <c r="AI6" s="342"/>
      <c r="AJ6" s="343"/>
      <c r="AK6" s="341"/>
      <c r="AL6" s="342"/>
      <c r="AM6" s="343"/>
      <c r="AN6" s="341" t="s">
        <v>207</v>
      </c>
      <c r="AO6" s="343"/>
      <c r="AP6" s="341" t="s">
        <v>132</v>
      </c>
      <c r="AQ6" s="343"/>
      <c r="AR6" s="341" t="s">
        <v>208</v>
      </c>
      <c r="AS6" s="343"/>
      <c r="AT6" s="379" t="s">
        <v>209</v>
      </c>
      <c r="AU6" s="379"/>
      <c r="AV6" s="379" t="s">
        <v>210</v>
      </c>
      <c r="AW6" s="379"/>
      <c r="AX6" s="341" t="s">
        <v>133</v>
      </c>
      <c r="AY6" s="343"/>
      <c r="AZ6" s="341" t="s">
        <v>12</v>
      </c>
      <c r="BA6" s="343"/>
      <c r="BB6" s="341" t="s">
        <v>78</v>
      </c>
      <c r="BC6" s="343"/>
      <c r="BD6" s="405" t="s">
        <v>31</v>
      </c>
      <c r="BE6" s="405" t="s">
        <v>143</v>
      </c>
    </row>
    <row r="7" spans="1:57" s="1" customFormat="1" ht="0.6" customHeight="1" thickBot="1" x14ac:dyDescent="0.45">
      <c r="A7" s="39"/>
      <c r="B7" s="363"/>
      <c r="C7" s="366"/>
      <c r="D7" s="366"/>
      <c r="E7" s="366"/>
      <c r="F7" s="145"/>
      <c r="G7" s="354"/>
      <c r="H7" s="379"/>
      <c r="I7" s="382"/>
      <c r="J7" s="418"/>
      <c r="K7" s="385"/>
      <c r="L7" s="385"/>
      <c r="M7" s="386"/>
      <c r="N7" s="386"/>
      <c r="O7" s="385"/>
      <c r="P7" s="385"/>
      <c r="Q7" s="385"/>
      <c r="R7" s="385"/>
      <c r="S7" s="385"/>
      <c r="T7" s="385"/>
      <c r="U7" s="354"/>
      <c r="V7" s="354"/>
      <c r="W7" s="345"/>
      <c r="X7" s="382"/>
      <c r="Y7" s="348"/>
      <c r="Z7" s="351"/>
      <c r="AA7" s="175"/>
      <c r="AB7" s="175"/>
      <c r="AC7" s="175"/>
      <c r="AD7" s="175"/>
      <c r="AE7" s="175"/>
      <c r="AF7" s="175"/>
      <c r="AG7" s="143"/>
      <c r="AH7" s="143"/>
      <c r="AI7" s="143"/>
      <c r="AJ7" s="143"/>
      <c r="AK7" s="143"/>
      <c r="AL7" s="143"/>
      <c r="AM7" s="196"/>
      <c r="AN7" s="143"/>
      <c r="AO7" s="143"/>
      <c r="AP7" s="143"/>
      <c r="AQ7" s="143"/>
      <c r="AR7" s="196"/>
      <c r="AS7" s="196"/>
      <c r="AT7" s="379"/>
      <c r="AU7" s="379"/>
      <c r="AV7" s="379"/>
      <c r="AW7" s="379"/>
      <c r="AX7" s="143"/>
      <c r="AY7" s="143"/>
      <c r="AZ7" s="143"/>
      <c r="BA7" s="143"/>
      <c r="BB7" s="143"/>
      <c r="BC7" s="143"/>
      <c r="BD7" s="405"/>
      <c r="BE7" s="405"/>
    </row>
    <row r="8" spans="1:57" s="1" customFormat="1" ht="97.95" customHeight="1" thickBot="1" x14ac:dyDescent="0.45">
      <c r="A8" s="39"/>
      <c r="B8" s="364"/>
      <c r="C8" s="367"/>
      <c r="D8" s="367"/>
      <c r="E8" s="367"/>
      <c r="F8" s="146" t="s">
        <v>1</v>
      </c>
      <c r="G8" s="355"/>
      <c r="H8" s="380"/>
      <c r="I8" s="383"/>
      <c r="J8" s="419"/>
      <c r="K8" s="124" t="s">
        <v>111</v>
      </c>
      <c r="L8" s="312" t="s">
        <v>110</v>
      </c>
      <c r="M8" s="314" t="s">
        <v>218</v>
      </c>
      <c r="N8" s="315" t="s">
        <v>219</v>
      </c>
      <c r="O8" s="313" t="s">
        <v>109</v>
      </c>
      <c r="P8" s="147" t="s">
        <v>108</v>
      </c>
      <c r="Q8" s="147" t="s">
        <v>107</v>
      </c>
      <c r="R8" s="124" t="s">
        <v>77</v>
      </c>
      <c r="S8" s="124" t="s">
        <v>88</v>
      </c>
      <c r="T8" s="124" t="s">
        <v>106</v>
      </c>
      <c r="U8" s="355"/>
      <c r="V8" s="355"/>
      <c r="W8" s="346"/>
      <c r="X8" s="383"/>
      <c r="Y8" s="349"/>
      <c r="Z8" s="352"/>
      <c r="AA8" s="176" t="s">
        <v>80</v>
      </c>
      <c r="AB8" s="176" t="s">
        <v>81</v>
      </c>
      <c r="AC8" s="176" t="s">
        <v>82</v>
      </c>
      <c r="AD8" s="176" t="s">
        <v>83</v>
      </c>
      <c r="AE8" s="176" t="s">
        <v>79</v>
      </c>
      <c r="AF8" s="176" t="s">
        <v>122</v>
      </c>
      <c r="AG8" s="123" t="s">
        <v>54</v>
      </c>
      <c r="AH8" s="123" t="s">
        <v>55</v>
      </c>
      <c r="AI8" s="123" t="s">
        <v>135</v>
      </c>
      <c r="AJ8" s="123" t="s">
        <v>134</v>
      </c>
      <c r="AK8" s="356" t="s">
        <v>139</v>
      </c>
      <c r="AL8" s="357"/>
      <c r="AM8" s="358"/>
      <c r="AN8" s="123" t="s">
        <v>53</v>
      </c>
      <c r="AO8" s="87" t="s">
        <v>4</v>
      </c>
      <c r="AP8" s="123" t="s">
        <v>53</v>
      </c>
      <c r="AQ8" s="87" t="s">
        <v>4</v>
      </c>
      <c r="AR8" s="87" t="s">
        <v>53</v>
      </c>
      <c r="AS8" s="87" t="s">
        <v>4</v>
      </c>
      <c r="AT8" s="87" t="s">
        <v>59</v>
      </c>
      <c r="AU8" s="87" t="s">
        <v>4</v>
      </c>
      <c r="AV8" s="87" t="s">
        <v>58</v>
      </c>
      <c r="AW8" s="87" t="s">
        <v>4</v>
      </c>
      <c r="AX8" s="87" t="s">
        <v>51</v>
      </c>
      <c r="AY8" s="87" t="s">
        <v>4</v>
      </c>
      <c r="AZ8" s="87" t="s">
        <v>56</v>
      </c>
      <c r="BA8" s="87" t="s">
        <v>4</v>
      </c>
      <c r="BB8" s="87" t="s">
        <v>56</v>
      </c>
      <c r="BC8" s="87" t="s">
        <v>4</v>
      </c>
      <c r="BD8" s="406"/>
      <c r="BE8" s="406"/>
    </row>
    <row r="9" spans="1:57" s="39" customFormat="1" ht="20.399999999999999" customHeight="1" thickBot="1" x14ac:dyDescent="0.45">
      <c r="A9" s="37" t="s">
        <v>29</v>
      </c>
      <c r="B9" s="148">
        <v>1</v>
      </c>
      <c r="C9" s="149">
        <v>2</v>
      </c>
      <c r="D9" s="148">
        <v>3</v>
      </c>
      <c r="E9" s="149">
        <v>4</v>
      </c>
      <c r="F9" s="148">
        <v>5</v>
      </c>
      <c r="G9" s="149">
        <v>6</v>
      </c>
      <c r="H9" s="148">
        <v>7</v>
      </c>
      <c r="I9" s="149">
        <v>8</v>
      </c>
      <c r="J9" s="150"/>
      <c r="K9" s="148">
        <v>9</v>
      </c>
      <c r="L9" s="149">
        <v>10</v>
      </c>
      <c r="M9" s="148">
        <v>11</v>
      </c>
      <c r="N9" s="195"/>
      <c r="O9" s="149">
        <v>12</v>
      </c>
      <c r="P9" s="148">
        <v>13</v>
      </c>
      <c r="Q9" s="149">
        <v>14</v>
      </c>
      <c r="R9" s="148">
        <v>15</v>
      </c>
      <c r="S9" s="195"/>
      <c r="T9" s="149">
        <v>16</v>
      </c>
      <c r="U9" s="148">
        <v>17</v>
      </c>
      <c r="V9" s="149">
        <v>18</v>
      </c>
      <c r="W9" s="148">
        <v>19</v>
      </c>
      <c r="X9" s="149">
        <v>20</v>
      </c>
      <c r="Y9" s="148">
        <v>21</v>
      </c>
      <c r="Z9" s="149">
        <v>22</v>
      </c>
      <c r="AA9" s="148">
        <v>23</v>
      </c>
      <c r="AB9" s="149">
        <v>24</v>
      </c>
      <c r="AC9" s="148">
        <v>25</v>
      </c>
      <c r="AD9" s="149">
        <v>26</v>
      </c>
      <c r="AE9" s="148">
        <v>27</v>
      </c>
      <c r="AF9" s="149">
        <v>28</v>
      </c>
      <c r="AG9" s="148">
        <v>29</v>
      </c>
      <c r="AH9" s="149">
        <v>30</v>
      </c>
      <c r="AI9" s="148">
        <v>31</v>
      </c>
      <c r="AJ9" s="149">
        <v>32</v>
      </c>
      <c r="AK9" s="150"/>
      <c r="AL9" s="150"/>
      <c r="AM9" s="148">
        <v>41</v>
      </c>
      <c r="AN9" s="148">
        <v>33</v>
      </c>
      <c r="AO9" s="149">
        <v>34</v>
      </c>
      <c r="AP9" s="150"/>
      <c r="AQ9" s="150"/>
      <c r="AR9" s="149">
        <v>42</v>
      </c>
      <c r="AS9" s="148">
        <v>43</v>
      </c>
      <c r="AT9" s="149">
        <v>44</v>
      </c>
      <c r="AU9" s="148">
        <v>45</v>
      </c>
      <c r="AV9" s="149">
        <v>46</v>
      </c>
      <c r="AW9" s="148">
        <v>47</v>
      </c>
      <c r="AX9" s="148">
        <v>35</v>
      </c>
      <c r="AY9" s="149">
        <v>36</v>
      </c>
      <c r="AZ9" s="148">
        <v>37</v>
      </c>
      <c r="BA9" s="149">
        <v>38</v>
      </c>
      <c r="BB9" s="148">
        <v>39</v>
      </c>
      <c r="BC9" s="149">
        <v>40</v>
      </c>
      <c r="BD9" s="149">
        <v>48</v>
      </c>
      <c r="BE9" s="148">
        <v>49</v>
      </c>
    </row>
    <row r="10" spans="1:57" s="1" customFormat="1" ht="21.6" customHeight="1" thickBot="1" x14ac:dyDescent="0.45">
      <c r="A10" s="37" t="s">
        <v>29</v>
      </c>
      <c r="B10" s="59"/>
      <c r="C10" s="51"/>
      <c r="D10" s="51"/>
      <c r="E10" s="51"/>
      <c r="F10" s="158" t="s">
        <v>147</v>
      </c>
      <c r="G10" s="51"/>
      <c r="H10" s="51"/>
      <c r="I10" s="156"/>
      <c r="J10" s="156"/>
      <c r="K10" s="156"/>
      <c r="L10" s="156"/>
      <c r="M10" s="156"/>
      <c r="N10" s="156"/>
      <c r="O10" s="91"/>
      <c r="P10" s="52"/>
      <c r="Q10" s="52"/>
      <c r="R10" s="52"/>
      <c r="S10" s="52"/>
      <c r="T10" s="52"/>
      <c r="U10" s="157"/>
      <c r="V10" s="157"/>
      <c r="W10" s="94"/>
      <c r="X10" s="94"/>
      <c r="Y10" s="51"/>
      <c r="Z10" s="51"/>
      <c r="AA10" s="157">
        <v>1</v>
      </c>
      <c r="AB10" s="157">
        <v>2</v>
      </c>
      <c r="AC10" s="157">
        <v>3</v>
      </c>
      <c r="AD10" s="157">
        <v>4</v>
      </c>
      <c r="AE10" s="157">
        <v>5</v>
      </c>
      <c r="AF10" s="157">
        <v>6</v>
      </c>
      <c r="AG10" s="162" t="s">
        <v>123</v>
      </c>
      <c r="AH10" s="162" t="s">
        <v>124</v>
      </c>
      <c r="AI10" s="162" t="s">
        <v>125</v>
      </c>
      <c r="AJ10" s="91" t="s">
        <v>126</v>
      </c>
      <c r="AK10" s="198" t="s">
        <v>136</v>
      </c>
      <c r="AL10" s="198" t="s">
        <v>137</v>
      </c>
      <c r="AM10" s="198" t="s">
        <v>138</v>
      </c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</row>
    <row r="11" spans="1:57" s="1" customFormat="1" ht="21.6" customHeight="1" x14ac:dyDescent="0.4">
      <c r="A11" s="37" t="s">
        <v>29</v>
      </c>
      <c r="B11" s="12">
        <v>46023</v>
      </c>
      <c r="C11" s="97">
        <v>2</v>
      </c>
      <c r="D11" s="97">
        <v>1</v>
      </c>
      <c r="E11" s="29"/>
      <c r="F11" s="151" t="str">
        <f>IFERROR(VLOOKUP($G11,нормы!$A$14:$BC$57,2,0),"")</f>
        <v/>
      </c>
      <c r="G11" s="93">
        <v>301</v>
      </c>
      <c r="H11" s="54" t="str">
        <f>IF(C11=1,"Кульков С.А.", IF(C11=2,"Чудаков А.А.",IF(C11=3,"Королев В.Н.",IF(C11=4,"Николашин М.П.",IF(C11=5," Кульков С.А.",IF(C11=6,"А.А. Чудаков",IF(C11=7,"В.Н. Королев",IF(C11=8,"М.П. Николашин",0))))))))</f>
        <v>Чудаков А.А.</v>
      </c>
      <c r="I11" s="88" t="s">
        <v>84</v>
      </c>
      <c r="J11" s="332"/>
      <c r="K11" s="30">
        <f>IFERROR(VLOOKUP($G11,[1]нормы!$A$21:$BC$151,15,0),"")</f>
        <v>425</v>
      </c>
      <c r="L11" s="31">
        <f>IFERROR(VLOOKUP($G11,[1]нормы!$A$21:$BC$151,17,0),"")</f>
        <v>75</v>
      </c>
      <c r="M11" s="310">
        <f>IFERROR(VLOOKUP($G11,[1]нормы!$A$21:$BC$151,27,0),"")</f>
        <v>1.4</v>
      </c>
      <c r="N11" s="311" t="str">
        <f>IFERROR(Y11/Y17*(1.1*J11*I16),"")</f>
        <v/>
      </c>
      <c r="O11" s="300">
        <f>IFERROR(VLOOKUP($G11,[1]нормы!$A$21:$BC$151,21,0),"")</f>
        <v>0</v>
      </c>
      <c r="P11" s="35">
        <f>IFERROR(VLOOKUP($G11,[1]нормы!$A$21:$BC$151,19,0),"")</f>
        <v>83</v>
      </c>
      <c r="Q11" s="35">
        <f>IFERROR(VLOOKUP($G11,[1]нормы!$A$21:$BC$151,23,0),"")</f>
        <v>0</v>
      </c>
      <c r="R11" s="231">
        <f>IFERROR(VLOOKUP($G11,[1]нормы!$A$21:$BC$151,29,0),"")</f>
        <v>0</v>
      </c>
      <c r="S11" s="35">
        <f>IFERROR(VLOOKUP($G11,[1]нормы!$A$21:$BC$151,31,0),"")</f>
        <v>0</v>
      </c>
      <c r="T11" s="32">
        <f>IFERROR(VLOOKUP($G11,[1]нормы!$A$21:$BC$151,25,0),"")</f>
        <v>0</v>
      </c>
      <c r="U11" s="232" t="str">
        <f>IFERROR(W11/(((100*Y11/Y17)*I16)/100),"")</f>
        <v/>
      </c>
      <c r="V11" s="234" t="str">
        <f>IFERROR(VLOOKUP($G11,нормы!$A$14:$BC$57,38,0),"")</f>
        <v/>
      </c>
      <c r="W11" s="136">
        <v>170</v>
      </c>
      <c r="X11" s="236"/>
      <c r="Y11" s="152" t="str">
        <f>IFERROR(VLOOKUP($G11,нормы!$A$14:$BC$57,42,0)*W11,"")</f>
        <v/>
      </c>
      <c r="Z11" s="163">
        <f>IFERROR(VLOOKUP($G11,нормы!$A$14:$BC$57,14,0)*W11/1000,0)</f>
        <v>0</v>
      </c>
      <c r="AA11" s="33"/>
      <c r="AB11" s="36"/>
      <c r="AC11" s="36"/>
      <c r="AD11" s="36"/>
      <c r="AE11" s="34"/>
      <c r="AF11" s="159"/>
      <c r="AG11" s="390"/>
      <c r="AH11" s="393"/>
      <c r="AI11" s="396"/>
      <c r="AJ11" s="407">
        <f>AG11+AH11</f>
        <v>0</v>
      </c>
      <c r="AK11" s="359"/>
      <c r="AL11" s="359"/>
      <c r="AM11" s="359"/>
      <c r="AN11" s="287">
        <f>IFERROR(Y11*AJ11/Y17,)</f>
        <v>0</v>
      </c>
      <c r="AO11" s="197" t="str">
        <f>IFERROR(VLOOKUP($G11,нормы!$A$14:$BC$57,53,0)*$W11,"")</f>
        <v/>
      </c>
      <c r="AP11" s="288">
        <f>IFERROR(Y11*AI11/Y17,)</f>
        <v>0</v>
      </c>
      <c r="AQ11" s="197" t="str">
        <f>IFERROR(VLOOKUP($G11,нормы!$A$14:$BC$57,54,0)*$W11,"")</f>
        <v/>
      </c>
      <c r="AR11" s="288">
        <f>IFERROR(AS11/SUM(AS11:AS16)*AL11,0)</f>
        <v>0</v>
      </c>
      <c r="AS11" s="197" t="str">
        <f>IFERROR(VLOOKUP($G11,нормы!$A$14:$BC$57,55,0)*W11,"")</f>
        <v/>
      </c>
      <c r="AT11" s="288">
        <f>IFERROR(AU11/SUM(AU11:AU16)*AM11,0)</f>
        <v>0</v>
      </c>
      <c r="AU11" s="197" t="str">
        <f>IFERROR(VLOOKUP($G11,нормы!$A$14:$BI$57,56,0)*W11,"")</f>
        <v/>
      </c>
      <c r="AV11" s="288">
        <f>IFERROR(AW11/SUM(AW11:AW16)*AK11,0)</f>
        <v>0</v>
      </c>
      <c r="AW11" s="202" t="str">
        <f>IFERROR(VLOOKUP($G11,нормы!$A$14:$BI$57,57,0)*W11,"")</f>
        <v/>
      </c>
      <c r="AX11" s="33"/>
      <c r="AY11" s="203" t="str">
        <f>IFERROR(VLOOKUP($G11,нормы!$A$14:$BI$57,58,0)*W11,"")</f>
        <v/>
      </c>
      <c r="AZ11" s="204"/>
      <c r="BA11" s="200" t="str">
        <f>IFERROR(VLOOKUP($G11,нормы!$A$14:$BI$57,61,0)*$W11,"")</f>
        <v/>
      </c>
      <c r="BB11" s="33"/>
      <c r="BC11" s="203" t="str">
        <f>IFERROR(VLOOKUP($G11,нормы!$A$14:$BI$57,60,0)*W11,"")</f>
        <v/>
      </c>
      <c r="BD11" s="200" t="str">
        <f>IFERROR(VLOOKUP($G11,нормы!$A$14:$BG$57,44,0),"")</f>
        <v/>
      </c>
      <c r="BE11" s="199" t="str">
        <f>IFERROR(W11/VLOOKUP($G11,нормы!$A$14:$BI$57,45,0),"")</f>
        <v/>
      </c>
    </row>
    <row r="12" spans="1:57" s="1" customFormat="1" ht="21.6" customHeight="1" x14ac:dyDescent="0.4">
      <c r="A12" s="37" t="s">
        <v>29</v>
      </c>
      <c r="B12" s="12">
        <f t="shared" ref="B12:D16" si="0">B11</f>
        <v>46023</v>
      </c>
      <c r="C12" s="97">
        <f t="shared" si="0"/>
        <v>2</v>
      </c>
      <c r="D12" s="97">
        <f t="shared" si="0"/>
        <v>1</v>
      </c>
      <c r="E12" s="54"/>
      <c r="F12" s="151" t="str">
        <f>IFERROR(VLOOKUP($G12,нормы!$A$14:$BC$57,2,0),"")</f>
        <v/>
      </c>
      <c r="G12" s="93"/>
      <c r="H12" s="54" t="str">
        <f t="shared" ref="H12:H16" si="1">IF(C12=1,"Кульков С.А.", IF(C12=2,"Чудаков А.А.",IF(C12=3,"Королев В.Н.",IF(C12=4,"Николашин М.П.",IF(C12=5," Кульков С.А.",IF(C12=6,"А.А. Чудаков",IF(C12=7,"В.Н. Королев",IF(C12=8,"М.П. Николашин",0))))))))</f>
        <v>Чудаков А.А.</v>
      </c>
      <c r="I12" s="55">
        <v>10</v>
      </c>
      <c r="J12" s="333"/>
      <c r="K12" s="30">
        <f>IFERROR(VLOOKUP($G12,[1]нормы!$A$21:$BC$151,15,0),"")</f>
        <v>0</v>
      </c>
      <c r="L12" s="31">
        <f>IFERROR(VLOOKUP($G12,[1]нормы!$A$21:$BC$151,17,0),"")</f>
        <v>0</v>
      </c>
      <c r="M12" s="306">
        <f>IFERROR(VLOOKUP($G12,[1]нормы!$A$21:$BC$151,27,0),"")</f>
        <v>0</v>
      </c>
      <c r="N12" s="307" t="str">
        <f>IFERROR(Y12/Y17*(1.1*J11*I16),"")</f>
        <v/>
      </c>
      <c r="O12" s="300">
        <f>IFERROR(VLOOKUP($G12,[1]нормы!$A$21:$BC$151,21,0),"")</f>
        <v>0</v>
      </c>
      <c r="P12" s="35">
        <f>IFERROR(VLOOKUP($G12,[1]нормы!$A$21:$BC$151,19,0),"")</f>
        <v>0</v>
      </c>
      <c r="Q12" s="35">
        <f>IFERROR(VLOOKUP($G12,[1]нормы!$A$21:$BC$151,23,0),"")</f>
        <v>0</v>
      </c>
      <c r="R12" s="231">
        <f>IFERROR(VLOOKUP($G12,[1]нормы!$A$21:$BC$151,29,0),"")</f>
        <v>0</v>
      </c>
      <c r="S12" s="35">
        <f>IFERROR(VLOOKUP($G12,[1]нормы!$A$21:$BC$151,31,0),"")</f>
        <v>0</v>
      </c>
      <c r="T12" s="32">
        <f>IFERROR(VLOOKUP($G12,[1]нормы!$A$21:$BC$151,25,0),"")</f>
        <v>0</v>
      </c>
      <c r="U12" s="233" t="str">
        <f>IFERROR(W12/(((100*Y12/Y17)*I16)/100),"")</f>
        <v/>
      </c>
      <c r="V12" s="234" t="str">
        <f>IFERROR(VLOOKUP($G12,нормы!$A$14:$BC$57,38,0),"")</f>
        <v/>
      </c>
      <c r="W12" s="136"/>
      <c r="X12" s="237"/>
      <c r="Y12" s="152" t="str">
        <f>IFERROR(VLOOKUP($G12,нормы!$A$14:$BC$57,42,0)*W12,"")</f>
        <v/>
      </c>
      <c r="Z12" s="163">
        <f>IFERROR(VLOOKUP($G12,нормы!$A$14:$BC$57,14,0)*W12/1000,0)</f>
        <v>0</v>
      </c>
      <c r="AA12" s="142"/>
      <c r="AB12" s="35"/>
      <c r="AC12" s="35"/>
      <c r="AD12" s="35"/>
      <c r="AE12" s="31"/>
      <c r="AF12" s="160"/>
      <c r="AG12" s="391"/>
      <c r="AH12" s="394"/>
      <c r="AI12" s="397"/>
      <c r="AJ12" s="408"/>
      <c r="AK12" s="360"/>
      <c r="AL12" s="360"/>
      <c r="AM12" s="360"/>
      <c r="AN12" s="289">
        <f>IFERROR(Y12*AJ11/Y17,)</f>
        <v>0</v>
      </c>
      <c r="AO12" s="197" t="str">
        <f>IFERROR(VLOOKUP($G12,нормы!$A$14:$BC$57,53,0)*$W12,"")</f>
        <v/>
      </c>
      <c r="AP12" s="290">
        <f>IFERROR(Y12*AI11/Y17,)</f>
        <v>0</v>
      </c>
      <c r="AQ12" s="197" t="str">
        <f>IFERROR(VLOOKUP($G12,нормы!$A$14:$BC$57,54,0)*$W12,"")</f>
        <v/>
      </c>
      <c r="AR12" s="290">
        <f>IFERROR(AS12/SUM(AS11:AS16)*AL11,0)</f>
        <v>0</v>
      </c>
      <c r="AS12" s="197" t="str">
        <f>IFERROR(VLOOKUP($G12,нормы!$A$14:$BC$57,55,0)*W12,"")</f>
        <v/>
      </c>
      <c r="AT12" s="290">
        <f>IFERROR(AU12/SUM(AU11:AU16)*AM11,0)</f>
        <v>0</v>
      </c>
      <c r="AU12" s="197" t="str">
        <f>IFERROR(VLOOKUP($G12,нормы!$A$14:$BI$57,56,0)*W12,"")</f>
        <v/>
      </c>
      <c r="AV12" s="290">
        <f>IFERROR(AW12/SUM(AW11:AW16)*AK11,0)</f>
        <v>0</v>
      </c>
      <c r="AW12" s="202" t="str">
        <f>IFERROR(VLOOKUP($G12,нормы!$A$14:$BI$57,57,0)*W12,"")</f>
        <v/>
      </c>
      <c r="AX12" s="30"/>
      <c r="AY12" s="203" t="str">
        <f>IFERROR(VLOOKUP($G12,нормы!$A$14:$BI$57,58,0)*W12,"")</f>
        <v/>
      </c>
      <c r="AZ12" s="205"/>
      <c r="BA12" s="200" t="str">
        <f>IFERROR(VLOOKUP($G12,нормы!$A$14:$BI$57,61,0)*$W12,"")</f>
        <v/>
      </c>
      <c r="BB12" s="30"/>
      <c r="BC12" s="203" t="str">
        <f>IFERROR(VLOOKUP($G12,нормы!$A$14:$BI$57,60,0)*W12,"")</f>
        <v/>
      </c>
      <c r="BD12" s="200" t="str">
        <f>IFERROR(VLOOKUP($G12,нормы!$A$14:$BG$57,44,0),"")</f>
        <v/>
      </c>
      <c r="BE12" s="199" t="str">
        <f>IFERROR(W12/VLOOKUP($G12,нормы!$A$14:$BI$57,45,0),"")</f>
        <v/>
      </c>
    </row>
    <row r="13" spans="1:57" s="1" customFormat="1" ht="20.25" customHeight="1" x14ac:dyDescent="0.4">
      <c r="A13" s="37" t="s">
        <v>29</v>
      </c>
      <c r="B13" s="12">
        <f t="shared" si="0"/>
        <v>46023</v>
      </c>
      <c r="C13" s="97">
        <f t="shared" si="0"/>
        <v>2</v>
      </c>
      <c r="D13" s="97">
        <f t="shared" si="0"/>
        <v>1</v>
      </c>
      <c r="E13" s="54"/>
      <c r="F13" s="151" t="str">
        <f>IFERROR(VLOOKUP($G13,нормы!$A$14:$BC$57,2,0),"")</f>
        <v/>
      </c>
      <c r="G13" s="38"/>
      <c r="H13" s="54" t="str">
        <f t="shared" si="1"/>
        <v>Чудаков А.А.</v>
      </c>
      <c r="I13" s="89" t="s">
        <v>85</v>
      </c>
      <c r="J13" s="333"/>
      <c r="K13" s="30">
        <f>IFERROR(VLOOKUP($G13,[1]нормы!$A$21:$BC$151,15,0),"")</f>
        <v>0</v>
      </c>
      <c r="L13" s="31">
        <f>IFERROR(VLOOKUP($G13,[1]нормы!$A$21:$BC$151,17,0),"")</f>
        <v>0</v>
      </c>
      <c r="M13" s="306">
        <f>IFERROR(VLOOKUP($G13,[1]нормы!$A$21:$BC$151,27,0),"")</f>
        <v>0</v>
      </c>
      <c r="N13" s="307" t="str">
        <f>IFERROR(Y13/Y17*(1.1*J11*I16),"")</f>
        <v/>
      </c>
      <c r="O13" s="300">
        <f>IFERROR(VLOOKUP($G13,[1]нормы!$A$21:$BC$151,21,0),"")</f>
        <v>0</v>
      </c>
      <c r="P13" s="35">
        <f>IFERROR(VLOOKUP($G13,[1]нормы!$A$21:$BC$151,19,0),"")</f>
        <v>0</v>
      </c>
      <c r="Q13" s="35">
        <f>IFERROR(VLOOKUP($G13,[1]нормы!$A$21:$BC$151,23,0),"")</f>
        <v>0</v>
      </c>
      <c r="R13" s="231">
        <f>IFERROR(VLOOKUP($G13,[1]нормы!$A$21:$BC$151,29,0),"")</f>
        <v>0</v>
      </c>
      <c r="S13" s="35">
        <f>IFERROR(VLOOKUP($G13,[1]нормы!$A$21:$BC$151,31,0),"")</f>
        <v>0</v>
      </c>
      <c r="T13" s="32">
        <f>IFERROR(VLOOKUP($G13,[1]нормы!$A$21:$BC$151,25,0),"")</f>
        <v>0</v>
      </c>
      <c r="U13" s="233" t="str">
        <f>IFERROR(W13/(((100*Y13/Y17)*I16)/100),"")</f>
        <v/>
      </c>
      <c r="V13" s="234" t="str">
        <f>IFERROR(VLOOKUP($G13,нормы!$A$14:$BC$57,38,0),"")</f>
        <v/>
      </c>
      <c r="W13" s="136"/>
      <c r="X13" s="237"/>
      <c r="Y13" s="152" t="str">
        <f>IFERROR(VLOOKUP($G13,нормы!$A$14:$BC$57,42,0)*W13,"")</f>
        <v/>
      </c>
      <c r="Z13" s="163">
        <f>IFERROR(VLOOKUP($G13,нормы!$A$14:$BC$57,14,0)*W13/1000,0)</f>
        <v>0</v>
      </c>
      <c r="AA13" s="30"/>
      <c r="AB13" s="35"/>
      <c r="AC13" s="35"/>
      <c r="AD13" s="35"/>
      <c r="AE13" s="31"/>
      <c r="AF13" s="160"/>
      <c r="AG13" s="391"/>
      <c r="AH13" s="394"/>
      <c r="AI13" s="397"/>
      <c r="AJ13" s="408"/>
      <c r="AK13" s="360"/>
      <c r="AL13" s="360"/>
      <c r="AM13" s="360"/>
      <c r="AN13" s="289">
        <f>IFERROR(Y13*AJ11/Y17,)</f>
        <v>0</v>
      </c>
      <c r="AO13" s="197" t="str">
        <f>IFERROR(VLOOKUP($G13,нормы!$A$14:$BC$57,53,0)*$W13,"")</f>
        <v/>
      </c>
      <c r="AP13" s="290">
        <f>IFERROR(Y13*AI11/Y17,)</f>
        <v>0</v>
      </c>
      <c r="AQ13" s="197" t="str">
        <f>IFERROR(VLOOKUP($G13,нормы!$A$14:$BC$57,54,0)*$W13,"")</f>
        <v/>
      </c>
      <c r="AR13" s="290">
        <f>IFERROR(AS13/SUM(AS11:AS16)*AL11,0)</f>
        <v>0</v>
      </c>
      <c r="AS13" s="197" t="str">
        <f>IFERROR(VLOOKUP($G13,нормы!$A$14:$BC$57,55,0)*W13,"")</f>
        <v/>
      </c>
      <c r="AT13" s="290">
        <f>IFERROR(AU13/SUM(AU11:AU16)*AM11,0)</f>
        <v>0</v>
      </c>
      <c r="AU13" s="197" t="str">
        <f>IFERROR(VLOOKUP($G13,нормы!$A$14:$BI$57,56,0)*W13,"")</f>
        <v/>
      </c>
      <c r="AV13" s="290">
        <f>IFERROR(AW13/SUM(AW11:AW16)*AK11,0)</f>
        <v>0</v>
      </c>
      <c r="AW13" s="202" t="str">
        <f>IFERROR(VLOOKUP($G13,нормы!$A$14:$BI$57,57,0)*W13,"")</f>
        <v/>
      </c>
      <c r="AX13" s="30"/>
      <c r="AY13" s="203" t="str">
        <f>IFERROR(VLOOKUP($G13,нормы!$A$14:$BI$57,58,0)*W13,"")</f>
        <v/>
      </c>
      <c r="AZ13" s="205"/>
      <c r="BA13" s="200" t="str">
        <f>IFERROR(VLOOKUP($G13,нормы!$A$14:$BI$57,61,0)*$W13,"")</f>
        <v/>
      </c>
      <c r="BB13" s="30"/>
      <c r="BC13" s="203" t="str">
        <f>IFERROR(VLOOKUP($G13,нормы!$A$14:$BI$57,60,0)*W13,"")</f>
        <v/>
      </c>
      <c r="BD13" s="200" t="str">
        <f>IFERROR(VLOOKUP($G13,нормы!$A$14:$BG$57,44,0),"")</f>
        <v/>
      </c>
      <c r="BE13" s="199" t="str">
        <f>IFERROR(W13/VLOOKUP($G13,нормы!$A$14:$BI$57,45,0),"")</f>
        <v/>
      </c>
    </row>
    <row r="14" spans="1:57" s="1" customFormat="1" ht="20.25" customHeight="1" x14ac:dyDescent="0.4">
      <c r="A14" s="37" t="s">
        <v>29</v>
      </c>
      <c r="B14" s="12">
        <f t="shared" si="0"/>
        <v>46023</v>
      </c>
      <c r="C14" s="97">
        <f t="shared" si="0"/>
        <v>2</v>
      </c>
      <c r="D14" s="97">
        <f t="shared" si="0"/>
        <v>1</v>
      </c>
      <c r="E14" s="54"/>
      <c r="F14" s="151" t="str">
        <f>IFERROR(VLOOKUP($G14,нормы!$A$14:$BC$57,2,0),"")</f>
        <v/>
      </c>
      <c r="G14" s="93"/>
      <c r="H14" s="54" t="str">
        <f t="shared" si="1"/>
        <v>Чудаков А.А.</v>
      </c>
      <c r="I14" s="55">
        <v>20</v>
      </c>
      <c r="J14" s="333"/>
      <c r="K14" s="30">
        <f>IFERROR(VLOOKUP($G14,[1]нормы!$A$21:$BC$151,15,0),"")</f>
        <v>0</v>
      </c>
      <c r="L14" s="31">
        <f>IFERROR(VLOOKUP($G14,[1]нормы!$A$21:$BC$151,17,0),"")</f>
        <v>0</v>
      </c>
      <c r="M14" s="306">
        <f>IFERROR(VLOOKUP($G14,[1]нормы!$A$21:$BC$151,27,0),"")</f>
        <v>0</v>
      </c>
      <c r="N14" s="307" t="str">
        <f>IFERROR(Y14/Y17*(1.1*J11*I19),"")</f>
        <v/>
      </c>
      <c r="O14" s="300">
        <f>IFERROR(VLOOKUP($G14,[1]нормы!$A$21:$BC$151,21,0),"")</f>
        <v>0</v>
      </c>
      <c r="P14" s="35">
        <f>IFERROR(VLOOKUP($G14,[1]нормы!$A$21:$BC$151,19,0),"")</f>
        <v>0</v>
      </c>
      <c r="Q14" s="35">
        <f>IFERROR(VLOOKUP($G14,[1]нормы!$A$21:$BC$151,23,0),"")</f>
        <v>0</v>
      </c>
      <c r="R14" s="231">
        <f>IFERROR(VLOOKUP($G14,[1]нормы!$A$21:$BC$151,29,0),"")</f>
        <v>0</v>
      </c>
      <c r="S14" s="35">
        <f>IFERROR(VLOOKUP($G14,[1]нормы!$A$21:$BC$151,31,0),"")</f>
        <v>0</v>
      </c>
      <c r="T14" s="32">
        <f>IFERROR(VLOOKUP($G14,[1]нормы!$A$21:$BC$151,25,0),"")</f>
        <v>0</v>
      </c>
      <c r="U14" s="233" t="str">
        <f>IFERROR(W14/(((100*Y14/Y17)*I16)/100),"")</f>
        <v/>
      </c>
      <c r="V14" s="234" t="str">
        <f>IFERROR(VLOOKUP($G14,нормы!$A$14:$BC$57,38,0),"")</f>
        <v/>
      </c>
      <c r="W14" s="136"/>
      <c r="X14" s="237"/>
      <c r="Y14" s="152" t="str">
        <f>IFERROR(VLOOKUP($G14,нормы!$A$14:$BC$57,42,0)*W14,"")</f>
        <v/>
      </c>
      <c r="Z14" s="163">
        <f>IFERROR(VLOOKUP($G14,нормы!$A$14:$BC$57,14,0)*W14/1000,0)</f>
        <v>0</v>
      </c>
      <c r="AA14" s="30"/>
      <c r="AB14" s="35"/>
      <c r="AC14" s="35"/>
      <c r="AD14" s="35"/>
      <c r="AE14" s="31"/>
      <c r="AF14" s="160"/>
      <c r="AG14" s="391"/>
      <c r="AH14" s="394"/>
      <c r="AI14" s="397"/>
      <c r="AJ14" s="408"/>
      <c r="AK14" s="360"/>
      <c r="AL14" s="360"/>
      <c r="AM14" s="360"/>
      <c r="AN14" s="289">
        <f>IFERROR(Y14*AJ11/Y17,)</f>
        <v>0</v>
      </c>
      <c r="AO14" s="197" t="str">
        <f>IFERROR(VLOOKUP($G14,нормы!$A$14:$BC$57,53,0)*$W14,"")</f>
        <v/>
      </c>
      <c r="AP14" s="290">
        <f>IFERROR(Y14*AI11/Y17,)</f>
        <v>0</v>
      </c>
      <c r="AQ14" s="197" t="str">
        <f>IFERROR(VLOOKUP($G14,нормы!$A$14:$BC$57,54,0)*$W14,"")</f>
        <v/>
      </c>
      <c r="AR14" s="290">
        <f>IFERROR(AS14/SUM(AS11:AS16)*AL11,0)</f>
        <v>0</v>
      </c>
      <c r="AS14" s="197" t="str">
        <f>IFERROR(VLOOKUP($G14,нормы!$A$14:$BC$57,55,0)*W14,"")</f>
        <v/>
      </c>
      <c r="AT14" s="290">
        <f>IFERROR(AU14/SUM(AU11:AU16)*AM11,0)</f>
        <v>0</v>
      </c>
      <c r="AU14" s="197" t="str">
        <f>IFERROR(VLOOKUP($G14,нормы!$A$14:$BI$57,56,0)*W14,"")</f>
        <v/>
      </c>
      <c r="AV14" s="290">
        <f>IFERROR(AW14/SUM(AW11:AW16)*AK11,0)</f>
        <v>0</v>
      </c>
      <c r="AW14" s="202" t="str">
        <f>IFERROR(VLOOKUP($G14,нормы!$A$14:$BI$57,57,0)*W14,"")</f>
        <v/>
      </c>
      <c r="AX14" s="30"/>
      <c r="AY14" s="203" t="str">
        <f>IFERROR(VLOOKUP($G14,нормы!$A$14:$BI$57,58,0)*W14,"")</f>
        <v/>
      </c>
      <c r="AZ14" s="205"/>
      <c r="BA14" s="200" t="str">
        <f>IFERROR(VLOOKUP($G14,нормы!$A$14:$BI$57,61,0)*$W14,"")</f>
        <v/>
      </c>
      <c r="BB14" s="30"/>
      <c r="BC14" s="203" t="str">
        <f>IFERROR(VLOOKUP($G14,нормы!$A$14:$BI$57,60,0)*W14,"")</f>
        <v/>
      </c>
      <c r="BD14" s="200" t="str">
        <f>IFERROR(VLOOKUP($G14,нормы!$A$14:$BG$57,44,0),"")</f>
        <v/>
      </c>
      <c r="BE14" s="199" t="str">
        <f>IFERROR(W14/VLOOKUP($G14,нормы!$A$14:$BI$57,45,0),"")</f>
        <v/>
      </c>
    </row>
    <row r="15" spans="1:57" s="1" customFormat="1" ht="20.25" customHeight="1" x14ac:dyDescent="0.4">
      <c r="A15" s="37" t="s">
        <v>29</v>
      </c>
      <c r="B15" s="12">
        <f t="shared" si="0"/>
        <v>46023</v>
      </c>
      <c r="C15" s="97">
        <f t="shared" si="0"/>
        <v>2</v>
      </c>
      <c r="D15" s="97">
        <f t="shared" si="0"/>
        <v>1</v>
      </c>
      <c r="E15" s="54"/>
      <c r="F15" s="151" t="str">
        <f>IFERROR(VLOOKUP($G15,нормы!$A$14:$BC$57,2,0),"")</f>
        <v/>
      </c>
      <c r="G15" s="38"/>
      <c r="H15" s="54" t="str">
        <f t="shared" si="1"/>
        <v>Чудаков А.А.</v>
      </c>
      <c r="I15" s="89" t="s">
        <v>73</v>
      </c>
      <c r="J15" s="333"/>
      <c r="K15" s="30">
        <f>IFERROR(VLOOKUP($G15,[1]нормы!$A$21:$BC$151,15,0),"")</f>
        <v>0</v>
      </c>
      <c r="L15" s="31">
        <f>IFERROR(VLOOKUP($G15,[1]нормы!$A$21:$BC$151,17,0),"")</f>
        <v>0</v>
      </c>
      <c r="M15" s="306">
        <f>IFERROR(VLOOKUP($G15,[1]нормы!$A$21:$BC$151,27,0),"")</f>
        <v>0</v>
      </c>
      <c r="N15" s="307" t="str">
        <f>IFERROR(Y15/Y17*(1.1*J11*I20),"")</f>
        <v/>
      </c>
      <c r="O15" s="300">
        <f>IFERROR(VLOOKUP($G15,[1]нормы!$A$21:$BC$151,21,0),"")</f>
        <v>0</v>
      </c>
      <c r="P15" s="35">
        <f>IFERROR(VLOOKUP($G15,[1]нормы!$A$21:$BC$151,19,0),"")</f>
        <v>0</v>
      </c>
      <c r="Q15" s="35">
        <f>IFERROR(VLOOKUP($G15,[1]нормы!$A$21:$BC$151,23,0),"")</f>
        <v>0</v>
      </c>
      <c r="R15" s="231">
        <f>IFERROR(VLOOKUP($G15,[1]нормы!$A$21:$BC$151,29,0),"")</f>
        <v>0</v>
      </c>
      <c r="S15" s="35">
        <f>IFERROR(VLOOKUP($G15,[1]нормы!$A$21:$BC$151,31,0),"")</f>
        <v>0</v>
      </c>
      <c r="T15" s="32">
        <f>IFERROR(VLOOKUP($G15,[1]нормы!$A$21:$BC$151,25,0),"")</f>
        <v>0</v>
      </c>
      <c r="U15" s="233" t="str">
        <f>IFERROR(W15/(((100*Y15/Y17)*I16)/100),"")</f>
        <v/>
      </c>
      <c r="V15" s="234" t="str">
        <f>IFERROR(VLOOKUP($G15,нормы!$A$14:$BC$57,38,0),"")</f>
        <v/>
      </c>
      <c r="W15" s="136"/>
      <c r="X15" s="237"/>
      <c r="Y15" s="152" t="str">
        <f>IFERROR(VLOOKUP($G15,нормы!$A$14:$BC$57,42,0)*W15,"")</f>
        <v/>
      </c>
      <c r="Z15" s="163">
        <f>IFERROR(VLOOKUP($G15,нормы!$A$14:$BC$57,14,0)*W15/1000,0)</f>
        <v>0</v>
      </c>
      <c r="AA15" s="30"/>
      <c r="AB15" s="35"/>
      <c r="AC15" s="35"/>
      <c r="AD15" s="35"/>
      <c r="AE15" s="31"/>
      <c r="AF15" s="160"/>
      <c r="AG15" s="391"/>
      <c r="AH15" s="394"/>
      <c r="AI15" s="397"/>
      <c r="AJ15" s="408"/>
      <c r="AK15" s="360"/>
      <c r="AL15" s="360"/>
      <c r="AM15" s="360"/>
      <c r="AN15" s="289">
        <f>IFERROR(Y15*AJ11/Y17,)</f>
        <v>0</v>
      </c>
      <c r="AO15" s="197" t="str">
        <f>IFERROR(VLOOKUP($G15,нормы!$A$14:$BC$57,53,0)*$W15,"")</f>
        <v/>
      </c>
      <c r="AP15" s="290">
        <f>IFERROR(Y15*AI11/Y17,)</f>
        <v>0</v>
      </c>
      <c r="AQ15" s="197" t="str">
        <f>IFERROR(VLOOKUP($G15,нормы!$A$14:$BC$57,54,0)*$W15,"")</f>
        <v/>
      </c>
      <c r="AR15" s="290">
        <f>IFERROR(AS15/SUM(AS11:AS16)*AL11,0)</f>
        <v>0</v>
      </c>
      <c r="AS15" s="197" t="str">
        <f>IFERROR(VLOOKUP($G15,нормы!$A$14:$BC$57,55,0)*W15,"")</f>
        <v/>
      </c>
      <c r="AT15" s="290">
        <f>IFERROR(AU15/SUM(AU11:AU16)*AM11,0)</f>
        <v>0</v>
      </c>
      <c r="AU15" s="197" t="str">
        <f>IFERROR(VLOOKUP($G15,нормы!$A$14:$BI$57,56,0)*W15,"")</f>
        <v/>
      </c>
      <c r="AV15" s="290">
        <f>IFERROR(AW15/SUM(AW11:AW16)*AK11,0)</f>
        <v>0</v>
      </c>
      <c r="AW15" s="202" t="str">
        <f>IFERROR(VLOOKUP($G15,нормы!$A$14:$BI$57,57,0)*W15,"")</f>
        <v/>
      </c>
      <c r="AX15" s="30"/>
      <c r="AY15" s="203" t="str">
        <f>IFERROR(VLOOKUP($G15,нормы!$A$14:$BI$57,58,0)*W15,"")</f>
        <v/>
      </c>
      <c r="AZ15" s="205"/>
      <c r="BA15" s="200" t="str">
        <f>IFERROR(VLOOKUP($G15,нормы!$A$14:$BI$57,61,0)*$W15,"")</f>
        <v/>
      </c>
      <c r="BB15" s="30"/>
      <c r="BC15" s="203" t="str">
        <f>IFERROR(VLOOKUP($G15,нормы!$A$14:$BI$57,60,0)*W15,"")</f>
        <v/>
      </c>
      <c r="BD15" s="200" t="str">
        <f>IFERROR(VLOOKUP($G15,нормы!$A$14:$BG$57,44,0),"")</f>
        <v/>
      </c>
      <c r="BE15" s="199" t="str">
        <f>IFERROR(W15/VLOOKUP($G15,нормы!$A$14:$BI$57,45,0),"")</f>
        <v/>
      </c>
    </row>
    <row r="16" spans="1:57" s="1" customFormat="1" ht="21" customHeight="1" thickBot="1" x14ac:dyDescent="0.45">
      <c r="A16" s="37" t="s">
        <v>29</v>
      </c>
      <c r="B16" s="12">
        <f t="shared" si="0"/>
        <v>46023</v>
      </c>
      <c r="C16" s="97">
        <f t="shared" si="0"/>
        <v>2</v>
      </c>
      <c r="D16" s="97">
        <f t="shared" si="0"/>
        <v>1</v>
      </c>
      <c r="E16" s="54"/>
      <c r="F16" s="151" t="str">
        <f>IFERROR(VLOOKUP($G16,нормы!$A$14:$BC$57,2,0),"")</f>
        <v/>
      </c>
      <c r="G16" s="93"/>
      <c r="H16" s="63" t="str">
        <f t="shared" si="1"/>
        <v>Чудаков А.А.</v>
      </c>
      <c r="I16" s="153">
        <f>I12+I14</f>
        <v>30</v>
      </c>
      <c r="J16" s="334"/>
      <c r="K16" s="30">
        <f>IFERROR(VLOOKUP($G16,[1]нормы!$A$21:$BC$151,15,0),"")</f>
        <v>0</v>
      </c>
      <c r="L16" s="31">
        <f>IFERROR(VLOOKUP($G16,[1]нормы!$A$21:$BC$151,17,0),"")</f>
        <v>0</v>
      </c>
      <c r="M16" s="308">
        <f>IFERROR(VLOOKUP($G16,[1]нормы!$A$21:$BC$151,27,0),"")</f>
        <v>0</v>
      </c>
      <c r="N16" s="309" t="str">
        <f>IFERROR(Y16/Y17*(1.1*J11*I21),"")</f>
        <v/>
      </c>
      <c r="O16" s="300">
        <f>IFERROR(VLOOKUP($G16,[1]нормы!$A$21:$BC$151,21,0),"")</f>
        <v>0</v>
      </c>
      <c r="P16" s="35">
        <f>IFERROR(VLOOKUP($G16,[1]нормы!$A$21:$BC$151,19,0),"")</f>
        <v>0</v>
      </c>
      <c r="Q16" s="35">
        <f>IFERROR(VLOOKUP($G16,[1]нормы!$A$21:$BC$151,23,0),"")</f>
        <v>0</v>
      </c>
      <c r="R16" s="231">
        <f>IFERROR(VLOOKUP($G16,[1]нормы!$A$21:$BC$151,29,0),"")</f>
        <v>0</v>
      </c>
      <c r="S16" s="35">
        <f>IFERROR(VLOOKUP($G16,[1]нормы!$A$21:$BC$151,31,0),"")</f>
        <v>0</v>
      </c>
      <c r="T16" s="32">
        <f>IFERROR(VLOOKUP($G16,[1]нормы!$A$21:$BC$151,25,0),"")</f>
        <v>0</v>
      </c>
      <c r="U16" s="235" t="str">
        <f>IFERROR(W16/(((100*Y16/Y17)*I16)/100),"")</f>
        <v/>
      </c>
      <c r="V16" s="234" t="str">
        <f>IFERROR(VLOOKUP($G16,нормы!$A$14:$BC$57,38,0),"")</f>
        <v/>
      </c>
      <c r="W16" s="154"/>
      <c r="X16" s="238"/>
      <c r="Y16" s="152" t="str">
        <f>IFERROR(VLOOKUP($G16,нормы!$A$14:$BC$57,42,0)*W16,"")</f>
        <v/>
      </c>
      <c r="Z16" s="163">
        <f>IFERROR(VLOOKUP($G16,нормы!$A$14:$BC$57,14,0)*W16/1000,0)</f>
        <v>0</v>
      </c>
      <c r="AA16" s="56"/>
      <c r="AB16" s="58"/>
      <c r="AC16" s="58"/>
      <c r="AD16" s="58"/>
      <c r="AE16" s="57"/>
      <c r="AF16" s="161"/>
      <c r="AG16" s="392"/>
      <c r="AH16" s="395"/>
      <c r="AI16" s="398"/>
      <c r="AJ16" s="409"/>
      <c r="AK16" s="361"/>
      <c r="AL16" s="361"/>
      <c r="AM16" s="361"/>
      <c r="AN16" s="291">
        <f>IFERROR(Y16*AJ11/Y17,)</f>
        <v>0</v>
      </c>
      <c r="AO16" s="197" t="str">
        <f>IFERROR(VLOOKUP($G16,нормы!$A$14:$BC$57,53,0)*$W16,"")</f>
        <v/>
      </c>
      <c r="AP16" s="292">
        <f>IFERROR(Y16*AI11/Y17,)</f>
        <v>0</v>
      </c>
      <c r="AQ16" s="197" t="str">
        <f>IFERROR(VLOOKUP($G16,нормы!$A$14:$BC$57,54,0)*$W16,"")</f>
        <v/>
      </c>
      <c r="AR16" s="290">
        <f>IFERROR(AS16/SUM(AS11:AS16)*AL11,0)</f>
        <v>0</v>
      </c>
      <c r="AS16" s="197" t="str">
        <f>IFERROR(VLOOKUP($G16,нормы!$A$14:$BC$57,55,0)*W16,"")</f>
        <v/>
      </c>
      <c r="AT16" s="292">
        <f>IFERROR(AU16/SUM(AU11:AU16)*AM11,0)</f>
        <v>0</v>
      </c>
      <c r="AU16" s="197" t="str">
        <f>IFERROR(VLOOKUP($G16,нормы!$A$14:$BI$57,56,0)*W16,"")</f>
        <v/>
      </c>
      <c r="AV16" s="292">
        <f>IFERROR(AW16/SUM(AW11:AW16)*AK11,0)</f>
        <v>0</v>
      </c>
      <c r="AW16" s="202" t="str">
        <f>IFERROR(VLOOKUP($G16,нормы!$A$14:$BI$57,57,0)*W16,"")</f>
        <v/>
      </c>
      <c r="AX16" s="56"/>
      <c r="AY16" s="203" t="str">
        <f>IFERROR(VLOOKUP($G16,нормы!$A$14:$BI$57,58,0)*W16,"")</f>
        <v/>
      </c>
      <c r="AZ16" s="206"/>
      <c r="BA16" s="200" t="str">
        <f>IFERROR(VLOOKUP($G16,нормы!$A$14:$BI$57,61,0)*$W16,"")</f>
        <v/>
      </c>
      <c r="BB16" s="56"/>
      <c r="BC16" s="203" t="str">
        <f>IFERROR(VLOOKUP($G16,нормы!$A$14:$BI$57,60,0)*W16,"")</f>
        <v/>
      </c>
      <c r="BD16" s="200" t="str">
        <f>IFERROR(VLOOKUP($G16,нормы!$A$14:$BG$57,44,0),"")</f>
        <v/>
      </c>
      <c r="BE16" s="199" t="str">
        <f>IFERROR(W16/VLOOKUP($G16,нормы!$A$14:$BI$57,45,0),"")</f>
        <v/>
      </c>
    </row>
    <row r="17" spans="1:57" s="1" customFormat="1" ht="29.4" customHeight="1" thickBot="1" x14ac:dyDescent="0.45">
      <c r="A17" s="37" t="s">
        <v>29</v>
      </c>
      <c r="B17" s="59"/>
      <c r="C17" s="51"/>
      <c r="D17" s="51"/>
      <c r="E17" s="51"/>
      <c r="F17" s="295" t="s">
        <v>148</v>
      </c>
      <c r="G17" s="51"/>
      <c r="H17" s="51"/>
      <c r="I17" s="60"/>
      <c r="J17" s="60"/>
      <c r="K17" s="319" t="s">
        <v>213</v>
      </c>
      <c r="L17" s="316"/>
      <c r="M17" s="303" t="s">
        <v>213</v>
      </c>
      <c r="N17" s="317">
        <f>SUM(N11:N16)</f>
        <v>0</v>
      </c>
      <c r="O17" s="304" t="s">
        <v>216</v>
      </c>
      <c r="P17" s="318">
        <f>N17*8.937/1000</f>
        <v>0</v>
      </c>
      <c r="Q17" s="305" t="s">
        <v>215</v>
      </c>
      <c r="R17" s="61"/>
      <c r="S17" s="61"/>
      <c r="T17" s="61"/>
      <c r="U17" s="109"/>
      <c r="V17" s="109"/>
      <c r="W17" s="94"/>
      <c r="X17" s="155"/>
      <c r="Y17" s="96">
        <f>SUM(Y11:Y16)</f>
        <v>0</v>
      </c>
      <c r="Z17" s="164">
        <f>SUM(Z11:Z16)</f>
        <v>0</v>
      </c>
      <c r="AA17" s="62"/>
      <c r="AB17" s="62"/>
      <c r="AC17" s="62"/>
      <c r="AD17" s="62"/>
      <c r="AE17" s="62"/>
      <c r="AF17" s="62"/>
      <c r="AG17" s="162" t="s">
        <v>140</v>
      </c>
      <c r="AH17" s="162" t="s">
        <v>141</v>
      </c>
      <c r="AI17" s="162" t="s">
        <v>142</v>
      </c>
      <c r="AJ17" s="91" t="s">
        <v>126</v>
      </c>
      <c r="AK17" s="198" t="s">
        <v>136</v>
      </c>
      <c r="AL17" s="198" t="s">
        <v>137</v>
      </c>
      <c r="AM17" s="198" t="s">
        <v>138</v>
      </c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53" t="str">
        <f>IFERROR(W17/VLOOKUP($G17,нормы!$A$14:$BI$15,28,0),"")</f>
        <v/>
      </c>
    </row>
    <row r="18" spans="1:57" s="1" customFormat="1" ht="21.6" customHeight="1" x14ac:dyDescent="0.4">
      <c r="A18" s="37" t="s">
        <v>29</v>
      </c>
      <c r="B18" s="12">
        <f>B16</f>
        <v>46023</v>
      </c>
      <c r="C18" s="97"/>
      <c r="D18" s="97">
        <v>2</v>
      </c>
      <c r="E18" s="29"/>
      <c r="F18" s="151" t="str">
        <f>IFERROR(VLOOKUP($G18,нормы!$A$14:$BC$57,2,0),"")</f>
        <v/>
      </c>
      <c r="G18" s="93"/>
      <c r="H18" s="54">
        <f>IF(C18=1,"Кульков С.А.", IF(C18=2,"Чудаков А.А.",IF(C18=3,"Королев В.Н.",IF(C18=4,"Николашин М.П.",IF(C18=5," Кульков С.А.",IF(C18=6,"А.А. Чудаков",IF(C18=7,"В.Н. Королев",IF(C18=8,"М.П. Николашин",0))))))))</f>
        <v>0</v>
      </c>
      <c r="I18" s="88" t="s">
        <v>211</v>
      </c>
      <c r="J18" s="332"/>
      <c r="K18" s="30">
        <f>IFERROR(VLOOKUP($G18,[1]нормы!$A$21:$BC$151,15,0),"")</f>
        <v>0</v>
      </c>
      <c r="L18" s="31">
        <f>IFERROR(VLOOKUP($G18,[1]нормы!$A$21:$BC$151,17,0),"")</f>
        <v>0</v>
      </c>
      <c r="M18" s="310">
        <f>IFERROR(VLOOKUP($G18,[1]нормы!$A$21:$BC$151,27,0),"")</f>
        <v>0</v>
      </c>
      <c r="N18" s="311" t="str">
        <f>IFERROR(Y18/Y24*(1.1*J18*I23),"")</f>
        <v/>
      </c>
      <c r="O18" s="300">
        <f>IFERROR(VLOOKUP($G18,[1]нормы!$A$21:$BC$151,21,0),"")</f>
        <v>0</v>
      </c>
      <c r="P18" s="35">
        <f>IFERROR(VLOOKUP($G18,[1]нормы!$A$21:$BC$151,19,0),"")</f>
        <v>0</v>
      </c>
      <c r="Q18" s="35">
        <f>IFERROR(VLOOKUP($G18,[1]нормы!$A$21:$BC$151,23,0),"")</f>
        <v>0</v>
      </c>
      <c r="R18" s="231">
        <f>IFERROR(VLOOKUP($G18,[1]нормы!$A$21:$BC$151,29,0),"")</f>
        <v>0</v>
      </c>
      <c r="S18" s="35">
        <f>IFERROR(VLOOKUP($G18,[1]нормы!$A$21:$BC$151,31,0),"")</f>
        <v>0</v>
      </c>
      <c r="T18" s="32">
        <f>IFERROR(VLOOKUP($G18,[1]нормы!$A$21:$BC$151,25,0),"")</f>
        <v>0</v>
      </c>
      <c r="U18" s="232" t="str">
        <f>IFERROR(W18/(((100*Y18/Y24)*I23)/100),"")</f>
        <v/>
      </c>
      <c r="V18" s="234" t="str">
        <f>IFERROR(VLOOKUP($G18,нормы!$A$14:$BC$57,38,0),"")</f>
        <v/>
      </c>
      <c r="W18" s="136"/>
      <c r="X18" s="236"/>
      <c r="Y18" s="152" t="str">
        <f>IFERROR(VLOOKUP($G18,нормы!$A$14:$BC$57,42,0)*W18,"")</f>
        <v/>
      </c>
      <c r="Z18" s="163">
        <f>IFERROR(VLOOKUP($G18,нормы!$A$14:$BC$57,14,0)*W18/1000,0)</f>
        <v>0</v>
      </c>
      <c r="AA18" s="33"/>
      <c r="AB18" s="36"/>
      <c r="AC18" s="36"/>
      <c r="AD18" s="36"/>
      <c r="AE18" s="34"/>
      <c r="AF18" s="159"/>
      <c r="AG18" s="390"/>
      <c r="AH18" s="393"/>
      <c r="AI18" s="396"/>
      <c r="AJ18" s="407">
        <f>AG18+AH18</f>
        <v>0</v>
      </c>
      <c r="AK18" s="359"/>
      <c r="AL18" s="359"/>
      <c r="AM18" s="359"/>
      <c r="AN18" s="287">
        <f>IFERROR(Y18*AJ18/Y24,)</f>
        <v>0</v>
      </c>
      <c r="AO18" s="197" t="str">
        <f>IFERROR(VLOOKUP($G18,нормы!$A$14:$BC$57,53,0)*$W18,"")</f>
        <v/>
      </c>
      <c r="AP18" s="288">
        <f>IFERROR(Y18*AI18/Y24,)</f>
        <v>0</v>
      </c>
      <c r="AQ18" s="197" t="str">
        <f>IFERROR(VLOOKUP($G18,нормы!$A$14:$BC$57,54,0)*$W18,"")</f>
        <v/>
      </c>
      <c r="AR18" s="288">
        <f>IFERROR(AS18/SUM(AS18:AS23)*AL18,0)</f>
        <v>0</v>
      </c>
      <c r="AS18" s="197" t="str">
        <f>IFERROR(VLOOKUP($G18,нормы!$A$14:$BC$57,55,0)*W18,"")</f>
        <v/>
      </c>
      <c r="AT18" s="288">
        <f>IFERROR(AU18/SUM(AU18:AU23)*AM18,0)</f>
        <v>0</v>
      </c>
      <c r="AU18" s="197" t="str">
        <f>IFERROR(VLOOKUP($G18,нормы!$A$14:$BI$57,56,0)*W18,"")</f>
        <v/>
      </c>
      <c r="AV18" s="288">
        <f>IFERROR(AW18/SUM(AW18:AW23)*AK18,0)</f>
        <v>0</v>
      </c>
      <c r="AW18" s="202" t="str">
        <f>IFERROR(VLOOKUP($G18,нормы!$A$14:$BI$57,57,0)*W18,"")</f>
        <v/>
      </c>
      <c r="AX18" s="33"/>
      <c r="AY18" s="203" t="str">
        <f>IFERROR(VLOOKUP($G18,нормы!$A$14:$BI$57,58,0)*W18,"")</f>
        <v/>
      </c>
      <c r="AZ18" s="204"/>
      <c r="BA18" s="200" t="str">
        <f>IFERROR(VLOOKUP($G18,нормы!$A$14:$BI$57,61,0)*$W18,"")</f>
        <v/>
      </c>
      <c r="BB18" s="33"/>
      <c r="BC18" s="203" t="str">
        <f>IFERROR(VLOOKUP($G18,нормы!$A$14:$BI$57,60,0)*W18,"")</f>
        <v/>
      </c>
      <c r="BD18" s="200" t="str">
        <f>IFERROR(VLOOKUP($G18,нормы!$A$14:$BG$57,44,0),"")</f>
        <v/>
      </c>
      <c r="BE18" s="199" t="str">
        <f>IFERROR(W18/VLOOKUP($G18,нормы!$A$14:$BI$57,45,0),"")</f>
        <v/>
      </c>
    </row>
    <row r="19" spans="1:57" s="1" customFormat="1" ht="21.6" customHeight="1" x14ac:dyDescent="0.4">
      <c r="A19" s="37" t="s">
        <v>29</v>
      </c>
      <c r="B19" s="12">
        <f t="shared" ref="B19:D19" si="2">B18</f>
        <v>46023</v>
      </c>
      <c r="C19" s="97">
        <f t="shared" si="2"/>
        <v>0</v>
      </c>
      <c r="D19" s="97">
        <f t="shared" si="2"/>
        <v>2</v>
      </c>
      <c r="E19" s="54"/>
      <c r="F19" s="151" t="str">
        <f>IFERROR(VLOOKUP($G19,нормы!$A$14:$BC$57,2,0),"")</f>
        <v/>
      </c>
      <c r="G19" s="93"/>
      <c r="H19" s="54">
        <f t="shared" ref="H19:H23" si="3">IF(C19=1,"Кульков С.А.", IF(C19=2,"Чудаков А.А.",IF(C19=3,"Королев В.Н.",IF(C19=4,"Николашин М.П.",IF(C19=5," Кульков С.А.",IF(C19=6,"А.А. Чудаков",IF(C19=7,"В.Н. Королев",IF(C19=8,"М.П. Николашин",0))))))))</f>
        <v>0</v>
      </c>
      <c r="I19" s="55"/>
      <c r="J19" s="333"/>
      <c r="K19" s="30">
        <f>IFERROR(VLOOKUP($G19,[1]нормы!$A$21:$BC$151,15,0),"")</f>
        <v>0</v>
      </c>
      <c r="L19" s="31">
        <f>IFERROR(VLOOKUP($G19,[1]нормы!$A$21:$BC$151,17,0),"")</f>
        <v>0</v>
      </c>
      <c r="M19" s="306">
        <f>IFERROR(VLOOKUP($G19,[1]нормы!$A$21:$BC$151,27,0),"")</f>
        <v>0</v>
      </c>
      <c r="N19" s="307" t="str">
        <f>IFERROR(Y19/Y24*(1.1*J18*I23),"")</f>
        <v/>
      </c>
      <c r="O19" s="300">
        <f>IFERROR(VLOOKUP($G19,[1]нормы!$A$21:$BC$151,21,0),"")</f>
        <v>0</v>
      </c>
      <c r="P19" s="35">
        <f>IFERROR(VLOOKUP($G19,[1]нормы!$A$21:$BC$151,19,0),"")</f>
        <v>0</v>
      </c>
      <c r="Q19" s="35">
        <f>IFERROR(VLOOKUP($G19,[1]нормы!$A$21:$BC$151,23,0),"")</f>
        <v>0</v>
      </c>
      <c r="R19" s="231">
        <f>IFERROR(VLOOKUP($G19,[1]нормы!$A$21:$BC$151,29,0),"")</f>
        <v>0</v>
      </c>
      <c r="S19" s="35">
        <f>IFERROR(VLOOKUP($G19,[1]нормы!$A$21:$BC$151,31,0),"")</f>
        <v>0</v>
      </c>
      <c r="T19" s="32">
        <f>IFERROR(VLOOKUP($G19,[1]нормы!$A$21:$BC$151,25,0),"")</f>
        <v>0</v>
      </c>
      <c r="U19" s="233" t="str">
        <f>IFERROR(W19/(((100*Y19/Y24)*I23)/100),"")</f>
        <v/>
      </c>
      <c r="V19" s="234" t="str">
        <f>IFERROR(VLOOKUP($G19,нормы!$A$14:$BC$57,38,0),"")</f>
        <v/>
      </c>
      <c r="W19" s="136"/>
      <c r="X19" s="237"/>
      <c r="Y19" s="152" t="str">
        <f>IFERROR(VLOOKUP($G19,нормы!$A$14:$BC$57,42,0)*W19,"")</f>
        <v/>
      </c>
      <c r="Z19" s="163">
        <f>IFERROR(VLOOKUP($G19,нормы!$A$14:$BC$57,14,0)*W19/1000,0)</f>
        <v>0</v>
      </c>
      <c r="AA19" s="142"/>
      <c r="AB19" s="35"/>
      <c r="AC19" s="35"/>
      <c r="AD19" s="35"/>
      <c r="AE19" s="31"/>
      <c r="AF19" s="160"/>
      <c r="AG19" s="391"/>
      <c r="AH19" s="394"/>
      <c r="AI19" s="397"/>
      <c r="AJ19" s="408"/>
      <c r="AK19" s="360"/>
      <c r="AL19" s="360"/>
      <c r="AM19" s="360"/>
      <c r="AN19" s="289">
        <f>IFERROR(Y19*AJ18/Y24,)</f>
        <v>0</v>
      </c>
      <c r="AO19" s="197" t="str">
        <f>IFERROR(VLOOKUP($G19,нормы!$A$14:$BC$57,53,0)*$W19,"")</f>
        <v/>
      </c>
      <c r="AP19" s="290">
        <f>IFERROR(Y19*AI18/Y24,)</f>
        <v>0</v>
      </c>
      <c r="AQ19" s="197" t="str">
        <f>IFERROR(VLOOKUP($G19,нормы!$A$14:$BC$57,54,0)*$W19,"")</f>
        <v/>
      </c>
      <c r="AR19" s="290">
        <f>IFERROR(AS19/SUM(AS18:AS23)*AL18,0)</f>
        <v>0</v>
      </c>
      <c r="AS19" s="197" t="str">
        <f>IFERROR(VLOOKUP($G19,нормы!$A$14:$BC$57,55,0)*W19,"")</f>
        <v/>
      </c>
      <c r="AT19" s="290">
        <f>IFERROR(AU19/SUM(AU18:AU23)*AM18,0)</f>
        <v>0</v>
      </c>
      <c r="AU19" s="197" t="str">
        <f>IFERROR(VLOOKUP($G19,нормы!$A$14:$BI$57,56,0)*W19,"")</f>
        <v/>
      </c>
      <c r="AV19" s="290">
        <f>IFERROR(AW19/SUM(AW18:AW23)*AK18,0)</f>
        <v>0</v>
      </c>
      <c r="AW19" s="202" t="str">
        <f>IFERROR(VLOOKUP($G19,нормы!$A$14:$BI$57,57,0)*W19,"")</f>
        <v/>
      </c>
      <c r="AX19" s="30"/>
      <c r="AY19" s="203" t="str">
        <f>IFERROR(VLOOKUP($G19,нормы!$A$14:$BI$57,58,0)*W19,"")</f>
        <v/>
      </c>
      <c r="AZ19" s="205"/>
      <c r="BA19" s="200" t="str">
        <f>IFERROR(VLOOKUP($G19,нормы!$A$14:$BI$57,61,0)*$W19,"")</f>
        <v/>
      </c>
      <c r="BB19" s="30"/>
      <c r="BC19" s="203" t="str">
        <f>IFERROR(VLOOKUP($G19,нормы!$A$14:$BI$57,60,0)*W19,"")</f>
        <v/>
      </c>
      <c r="BD19" s="200" t="str">
        <f>IFERROR(VLOOKUP($G19,нормы!$A$14:$BG$57,44,0),"")</f>
        <v/>
      </c>
      <c r="BE19" s="199" t="str">
        <f>IFERROR(W19/VLOOKUP($G19,нормы!$A$14:$BI$57,45,0),"")</f>
        <v/>
      </c>
    </row>
    <row r="20" spans="1:57" s="1" customFormat="1" ht="20.25" customHeight="1" x14ac:dyDescent="0.4">
      <c r="A20" s="37" t="s">
        <v>29</v>
      </c>
      <c r="B20" s="12">
        <f t="shared" ref="B20:D20" si="4">B19</f>
        <v>46023</v>
      </c>
      <c r="C20" s="97">
        <f t="shared" si="4"/>
        <v>0</v>
      </c>
      <c r="D20" s="97">
        <f t="shared" si="4"/>
        <v>2</v>
      </c>
      <c r="E20" s="54"/>
      <c r="F20" s="151" t="str">
        <f>IFERROR(VLOOKUP($G20,нормы!$A$14:$BC$57,2,0),"")</f>
        <v/>
      </c>
      <c r="G20" s="38"/>
      <c r="H20" s="54">
        <f t="shared" si="3"/>
        <v>0</v>
      </c>
      <c r="I20" s="89" t="s">
        <v>212</v>
      </c>
      <c r="J20" s="333"/>
      <c r="K20" s="30">
        <f>IFERROR(VLOOKUP($G20,[1]нормы!$A$21:$BC$151,15,0),"")</f>
        <v>0</v>
      </c>
      <c r="L20" s="31">
        <f>IFERROR(VLOOKUP($G20,[1]нормы!$A$21:$BC$151,17,0),"")</f>
        <v>0</v>
      </c>
      <c r="M20" s="306">
        <f>IFERROR(VLOOKUP($G20,[1]нормы!$A$21:$BC$151,27,0),"")</f>
        <v>0</v>
      </c>
      <c r="N20" s="307" t="str">
        <f>IFERROR(Y20/Y24*(1.1*J18*I23),"")</f>
        <v/>
      </c>
      <c r="O20" s="300">
        <f>IFERROR(VLOOKUP($G20,[1]нормы!$A$21:$BC$151,21,0),"")</f>
        <v>0</v>
      </c>
      <c r="P20" s="35">
        <f>IFERROR(VLOOKUP($G20,[1]нормы!$A$21:$BC$151,19,0),"")</f>
        <v>0</v>
      </c>
      <c r="Q20" s="35">
        <f>IFERROR(VLOOKUP($G20,[1]нормы!$A$21:$BC$151,23,0),"")</f>
        <v>0</v>
      </c>
      <c r="R20" s="231">
        <f>IFERROR(VLOOKUP($G20,[1]нормы!$A$21:$BC$151,29,0),"")</f>
        <v>0</v>
      </c>
      <c r="S20" s="35">
        <f>IFERROR(VLOOKUP($G20,[1]нормы!$A$21:$BC$151,31,0),"")</f>
        <v>0</v>
      </c>
      <c r="T20" s="32">
        <f>IFERROR(VLOOKUP($G20,[1]нормы!$A$21:$BC$151,25,0),"")</f>
        <v>0</v>
      </c>
      <c r="U20" s="233" t="str">
        <f>IFERROR(W20/(((100*Y20/Y24)*I23)/100),"")</f>
        <v/>
      </c>
      <c r="V20" s="234" t="str">
        <f>IFERROR(VLOOKUP($G20,нормы!$A$14:$BC$57,38,0),"")</f>
        <v/>
      </c>
      <c r="W20" s="136"/>
      <c r="X20" s="237"/>
      <c r="Y20" s="152" t="str">
        <f>IFERROR(VLOOKUP($G20,нормы!$A$14:$BC$57,42,0)*W20,"")</f>
        <v/>
      </c>
      <c r="Z20" s="163">
        <f>IFERROR(VLOOKUP($G20,нормы!$A$14:$BC$57,14,0)*W20/1000,0)</f>
        <v>0</v>
      </c>
      <c r="AA20" s="30"/>
      <c r="AB20" s="35"/>
      <c r="AC20" s="35"/>
      <c r="AD20" s="35"/>
      <c r="AE20" s="31"/>
      <c r="AF20" s="160"/>
      <c r="AG20" s="391"/>
      <c r="AH20" s="394"/>
      <c r="AI20" s="397"/>
      <c r="AJ20" s="408"/>
      <c r="AK20" s="360"/>
      <c r="AL20" s="360"/>
      <c r="AM20" s="360"/>
      <c r="AN20" s="289">
        <f>IFERROR(Y20*AJ18/Y24,)</f>
        <v>0</v>
      </c>
      <c r="AO20" s="197" t="str">
        <f>IFERROR(VLOOKUP($G20,нормы!$A$14:$BC$57,53,0)*$W20,"")</f>
        <v/>
      </c>
      <c r="AP20" s="290">
        <f>IFERROR(Y20*AI18/Y24,)</f>
        <v>0</v>
      </c>
      <c r="AQ20" s="197" t="str">
        <f>IFERROR(VLOOKUP($G20,нормы!$A$14:$BC$57,54,0)*$W20,"")</f>
        <v/>
      </c>
      <c r="AR20" s="290">
        <f>IFERROR(AS20/SUM(AS18:AS23)*AL18,0)</f>
        <v>0</v>
      </c>
      <c r="AS20" s="197" t="str">
        <f>IFERROR(VLOOKUP($G20,нормы!$A$14:$BC$57,55,0)*W20,"")</f>
        <v/>
      </c>
      <c r="AT20" s="290">
        <f>IFERROR(AU20/SUM(AU18:AU23)*AM18,0)</f>
        <v>0</v>
      </c>
      <c r="AU20" s="197" t="str">
        <f>IFERROR(VLOOKUP($G20,нормы!$A$14:$BI$57,56,0)*W20,"")</f>
        <v/>
      </c>
      <c r="AV20" s="290">
        <f>IFERROR(AW20/SUM(AW18:AW23)*AK18,0)</f>
        <v>0</v>
      </c>
      <c r="AW20" s="202" t="str">
        <f>IFERROR(VLOOKUP($G20,нормы!$A$14:$BI$57,57,0)*W20,"")</f>
        <v/>
      </c>
      <c r="AX20" s="30"/>
      <c r="AY20" s="203" t="str">
        <f>IFERROR(VLOOKUP($G20,нормы!$A$14:$BI$57,58,0)*W20,"")</f>
        <v/>
      </c>
      <c r="AZ20" s="205"/>
      <c r="BA20" s="200" t="str">
        <f>IFERROR(VLOOKUP($G20,нормы!$A$14:$BI$57,61,0)*$W20,"")</f>
        <v/>
      </c>
      <c r="BB20" s="30"/>
      <c r="BC20" s="203" t="str">
        <f>IFERROR(VLOOKUP($G20,нормы!$A$14:$BI$57,60,0)*W20,"")</f>
        <v/>
      </c>
      <c r="BD20" s="200" t="str">
        <f>IFERROR(VLOOKUP($G20,нормы!$A$14:$BG$57,44,0),"")</f>
        <v/>
      </c>
      <c r="BE20" s="199" t="str">
        <f>IFERROR(W20/VLOOKUP($G20,нормы!$A$14:$BI$57,45,0),"")</f>
        <v/>
      </c>
    </row>
    <row r="21" spans="1:57" s="1" customFormat="1" ht="20.25" customHeight="1" x14ac:dyDescent="0.4">
      <c r="A21" s="37" t="s">
        <v>29</v>
      </c>
      <c r="B21" s="12">
        <f t="shared" ref="B21:D21" si="5">B20</f>
        <v>46023</v>
      </c>
      <c r="C21" s="97">
        <f t="shared" si="5"/>
        <v>0</v>
      </c>
      <c r="D21" s="97">
        <f t="shared" si="5"/>
        <v>2</v>
      </c>
      <c r="E21" s="54"/>
      <c r="F21" s="151" t="str">
        <f>IFERROR(VLOOKUP($G21,нормы!$A$14:$BC$57,2,0),"")</f>
        <v/>
      </c>
      <c r="G21" s="93"/>
      <c r="H21" s="54">
        <f t="shared" si="3"/>
        <v>0</v>
      </c>
      <c r="I21" s="55"/>
      <c r="J21" s="333"/>
      <c r="K21" s="30">
        <f>IFERROR(VLOOKUP($G21,[1]нормы!$A$21:$BC$151,15,0),"")</f>
        <v>0</v>
      </c>
      <c r="L21" s="31">
        <f>IFERROR(VLOOKUP($G21,[1]нормы!$A$21:$BC$151,17,0),"")</f>
        <v>0</v>
      </c>
      <c r="M21" s="306">
        <f>IFERROR(VLOOKUP($G21,[1]нормы!$A$21:$BC$151,27,0),"")</f>
        <v>0</v>
      </c>
      <c r="N21" s="307" t="str">
        <f>IFERROR(Y21/Y24*(1.1*J18*I26),"")</f>
        <v/>
      </c>
      <c r="O21" s="300">
        <f>IFERROR(VLOOKUP($G21,[1]нормы!$A$21:$BC$151,21,0),"")</f>
        <v>0</v>
      </c>
      <c r="P21" s="35">
        <f>IFERROR(VLOOKUP($G21,[1]нормы!$A$21:$BC$151,19,0),"")</f>
        <v>0</v>
      </c>
      <c r="Q21" s="35">
        <f>IFERROR(VLOOKUP($G21,[1]нормы!$A$21:$BC$151,23,0),"")</f>
        <v>0</v>
      </c>
      <c r="R21" s="231">
        <f>IFERROR(VLOOKUP($G21,[1]нормы!$A$21:$BC$151,29,0),"")</f>
        <v>0</v>
      </c>
      <c r="S21" s="35">
        <f>IFERROR(VLOOKUP($G21,[1]нормы!$A$21:$BC$151,31,0),"")</f>
        <v>0</v>
      </c>
      <c r="T21" s="32">
        <f>IFERROR(VLOOKUP($G21,[1]нормы!$A$21:$BC$151,25,0),"")</f>
        <v>0</v>
      </c>
      <c r="U21" s="233" t="str">
        <f>IFERROR(W21/(((100*Y21/Y24)*I23)/100),"")</f>
        <v/>
      </c>
      <c r="V21" s="234" t="str">
        <f>IFERROR(VLOOKUP($G21,нормы!$A$14:$BC$57,38,0),"")</f>
        <v/>
      </c>
      <c r="W21" s="136"/>
      <c r="X21" s="237"/>
      <c r="Y21" s="152" t="str">
        <f>IFERROR(VLOOKUP($G21,нормы!$A$14:$BC$57,42,0)*W21,"")</f>
        <v/>
      </c>
      <c r="Z21" s="163">
        <f>IFERROR(VLOOKUP($G21,нормы!$A$14:$BC$57,14,0)*W21/1000,0)</f>
        <v>0</v>
      </c>
      <c r="AA21" s="30"/>
      <c r="AB21" s="35"/>
      <c r="AC21" s="35"/>
      <c r="AD21" s="35"/>
      <c r="AE21" s="31"/>
      <c r="AF21" s="160"/>
      <c r="AG21" s="391"/>
      <c r="AH21" s="394"/>
      <c r="AI21" s="397"/>
      <c r="AJ21" s="408"/>
      <c r="AK21" s="360"/>
      <c r="AL21" s="360"/>
      <c r="AM21" s="360"/>
      <c r="AN21" s="289">
        <f>IFERROR(Y21*AJ18/Y24,)</f>
        <v>0</v>
      </c>
      <c r="AO21" s="197" t="str">
        <f>IFERROR(VLOOKUP($G21,нормы!$A$14:$BC$57,53,0)*$W21,"")</f>
        <v/>
      </c>
      <c r="AP21" s="290">
        <f>IFERROR(Y21*AI18/Y24,)</f>
        <v>0</v>
      </c>
      <c r="AQ21" s="197" t="str">
        <f>IFERROR(VLOOKUP($G21,нормы!$A$14:$BC$57,54,0)*$W21,"")</f>
        <v/>
      </c>
      <c r="AR21" s="290">
        <f>IFERROR(AS21/SUM(AS18:AS23)*AL18,0)</f>
        <v>0</v>
      </c>
      <c r="AS21" s="197" t="str">
        <f>IFERROR(VLOOKUP($G21,нормы!$A$14:$BC$57,55,0)*W21,"")</f>
        <v/>
      </c>
      <c r="AT21" s="290">
        <f>IFERROR(AU21/SUM(AU18:AU23)*AM18,0)</f>
        <v>0</v>
      </c>
      <c r="AU21" s="197" t="str">
        <f>IFERROR(VLOOKUP($G21,нормы!$A$14:$BI$57,56,0)*W21,"")</f>
        <v/>
      </c>
      <c r="AV21" s="290">
        <f>IFERROR(AW21/SUM(AW18:AW23)*AK18,0)</f>
        <v>0</v>
      </c>
      <c r="AW21" s="202" t="str">
        <f>IFERROR(VLOOKUP($G21,нормы!$A$14:$BI$57,57,0)*W21,"")</f>
        <v/>
      </c>
      <c r="AX21" s="30"/>
      <c r="AY21" s="203" t="str">
        <f>IFERROR(VLOOKUP($G21,нормы!$A$14:$BI$57,58,0)*W21,"")</f>
        <v/>
      </c>
      <c r="AZ21" s="205"/>
      <c r="BA21" s="200" t="str">
        <f>IFERROR(VLOOKUP($G21,нормы!$A$14:$BI$57,61,0)*$W21,"")</f>
        <v/>
      </c>
      <c r="BB21" s="30"/>
      <c r="BC21" s="203" t="str">
        <f>IFERROR(VLOOKUP($G21,нормы!$A$14:$BI$57,60,0)*W21,"")</f>
        <v/>
      </c>
      <c r="BD21" s="200" t="str">
        <f>IFERROR(VLOOKUP($G21,нормы!$A$14:$BG$57,44,0),"")</f>
        <v/>
      </c>
      <c r="BE21" s="199" t="str">
        <f>IFERROR(W21/VLOOKUP($G21,нормы!$A$14:$BI$57,45,0),"")</f>
        <v/>
      </c>
    </row>
    <row r="22" spans="1:57" s="1" customFormat="1" ht="20.25" customHeight="1" x14ac:dyDescent="0.4">
      <c r="A22" s="37" t="s">
        <v>29</v>
      </c>
      <c r="B22" s="12">
        <f t="shared" ref="B22:D22" si="6">B21</f>
        <v>46023</v>
      </c>
      <c r="C22" s="97">
        <f t="shared" si="6"/>
        <v>0</v>
      </c>
      <c r="D22" s="97">
        <f t="shared" si="6"/>
        <v>2</v>
      </c>
      <c r="E22" s="54"/>
      <c r="F22" s="151" t="str">
        <f>IFERROR(VLOOKUP($G22,нормы!$A$14:$BC$57,2,0),"")</f>
        <v/>
      </c>
      <c r="G22" s="38"/>
      <c r="H22" s="54">
        <f t="shared" si="3"/>
        <v>0</v>
      </c>
      <c r="I22" s="89" t="s">
        <v>73</v>
      </c>
      <c r="J22" s="333"/>
      <c r="K22" s="30">
        <f>IFERROR(VLOOKUP($G22,[1]нормы!$A$21:$BC$151,15,0),"")</f>
        <v>0</v>
      </c>
      <c r="L22" s="31">
        <f>IFERROR(VLOOKUP($G22,[1]нормы!$A$21:$BC$151,17,0),"")</f>
        <v>0</v>
      </c>
      <c r="M22" s="306">
        <f>IFERROR(VLOOKUP($G22,[1]нормы!$A$21:$BC$151,27,0),"")</f>
        <v>0</v>
      </c>
      <c r="N22" s="307" t="str">
        <f>IFERROR(Y22/Y24*(1.1*J18*I27),"")</f>
        <v/>
      </c>
      <c r="O22" s="300">
        <f>IFERROR(VLOOKUP($G22,[1]нормы!$A$21:$BC$151,21,0),"")</f>
        <v>0</v>
      </c>
      <c r="P22" s="35">
        <f>IFERROR(VLOOKUP($G22,[1]нормы!$A$21:$BC$151,19,0),"")</f>
        <v>0</v>
      </c>
      <c r="Q22" s="35">
        <f>IFERROR(VLOOKUP($G22,[1]нормы!$A$21:$BC$151,23,0),"")</f>
        <v>0</v>
      </c>
      <c r="R22" s="231">
        <f>IFERROR(VLOOKUP($G22,[1]нормы!$A$21:$BC$151,29,0),"")</f>
        <v>0</v>
      </c>
      <c r="S22" s="35">
        <f>IFERROR(VLOOKUP($G22,[1]нормы!$A$21:$BC$151,31,0),"")</f>
        <v>0</v>
      </c>
      <c r="T22" s="32">
        <f>IFERROR(VLOOKUP($G22,[1]нормы!$A$21:$BC$151,25,0),"")</f>
        <v>0</v>
      </c>
      <c r="U22" s="233" t="str">
        <f>IFERROR(W22/(((100*Y22/Y24)*I23)/100),"")</f>
        <v/>
      </c>
      <c r="V22" s="234" t="str">
        <f>IFERROR(VLOOKUP($G22,нормы!$A$14:$BC$57,38,0),"")</f>
        <v/>
      </c>
      <c r="W22" s="136"/>
      <c r="X22" s="237"/>
      <c r="Y22" s="152" t="str">
        <f>IFERROR(VLOOKUP($G22,нормы!$A$14:$BC$57,42,0)*W22,"")</f>
        <v/>
      </c>
      <c r="Z22" s="163">
        <f>IFERROR(VLOOKUP($G22,нормы!$A$14:$BC$57,14,0)*W22/1000,0)</f>
        <v>0</v>
      </c>
      <c r="AA22" s="30"/>
      <c r="AB22" s="35"/>
      <c r="AC22" s="35"/>
      <c r="AD22" s="35"/>
      <c r="AE22" s="31"/>
      <c r="AF22" s="160"/>
      <c r="AG22" s="391"/>
      <c r="AH22" s="394"/>
      <c r="AI22" s="397"/>
      <c r="AJ22" s="408"/>
      <c r="AK22" s="360"/>
      <c r="AL22" s="360"/>
      <c r="AM22" s="360"/>
      <c r="AN22" s="289">
        <f>IFERROR(Y22*AJ18/Y24,)</f>
        <v>0</v>
      </c>
      <c r="AO22" s="197" t="str">
        <f>IFERROR(VLOOKUP($G22,нормы!$A$14:$BC$57,53,0)*$W22,"")</f>
        <v/>
      </c>
      <c r="AP22" s="290">
        <f>IFERROR(Y22*AI18/Y24,)</f>
        <v>0</v>
      </c>
      <c r="AQ22" s="197" t="str">
        <f>IFERROR(VLOOKUP($G22,нормы!$A$14:$BC$57,54,0)*$W22,"")</f>
        <v/>
      </c>
      <c r="AR22" s="290">
        <f>IFERROR(AS22/SUM(AS18:AS23)*AL18,0)</f>
        <v>0</v>
      </c>
      <c r="AS22" s="197" t="str">
        <f>IFERROR(VLOOKUP($G22,нормы!$A$14:$BC$57,55,0)*W22,"")</f>
        <v/>
      </c>
      <c r="AT22" s="290">
        <f>IFERROR(AU22/SUM(AU18:AU23)*AM18,0)</f>
        <v>0</v>
      </c>
      <c r="AU22" s="197" t="str">
        <f>IFERROR(VLOOKUP($G22,нормы!$A$14:$BI$57,56,0)*W22,"")</f>
        <v/>
      </c>
      <c r="AV22" s="290">
        <f>IFERROR(AW22/SUM(AW18:AW23)*AK18,0)</f>
        <v>0</v>
      </c>
      <c r="AW22" s="202" t="str">
        <f>IFERROR(VLOOKUP($G22,нормы!$A$14:$BI$57,57,0)*W22,"")</f>
        <v/>
      </c>
      <c r="AX22" s="30"/>
      <c r="AY22" s="203" t="str">
        <f>IFERROR(VLOOKUP($G22,нормы!$A$14:$BI$57,58,0)*W22,"")</f>
        <v/>
      </c>
      <c r="AZ22" s="205"/>
      <c r="BA22" s="200" t="str">
        <f>IFERROR(VLOOKUP($G22,нормы!$A$14:$BI$57,61,0)*$W22,"")</f>
        <v/>
      </c>
      <c r="BB22" s="30"/>
      <c r="BC22" s="203" t="str">
        <f>IFERROR(VLOOKUP($G22,нормы!$A$14:$BI$57,60,0)*W22,"")</f>
        <v/>
      </c>
      <c r="BD22" s="200" t="str">
        <f>IFERROR(VLOOKUP($G22,нормы!$A$14:$BG$57,44,0),"")</f>
        <v/>
      </c>
      <c r="BE22" s="199" t="str">
        <f>IFERROR(W22/VLOOKUP($G22,нормы!$A$14:$BI$57,45,0),"")</f>
        <v/>
      </c>
    </row>
    <row r="23" spans="1:57" s="1" customFormat="1" ht="21" customHeight="1" thickBot="1" x14ac:dyDescent="0.45">
      <c r="A23" s="37" t="s">
        <v>29</v>
      </c>
      <c r="B23" s="12">
        <f t="shared" ref="B23:D23" si="7">B22</f>
        <v>46023</v>
      </c>
      <c r="C23" s="97">
        <f t="shared" si="7"/>
        <v>0</v>
      </c>
      <c r="D23" s="97">
        <f t="shared" si="7"/>
        <v>2</v>
      </c>
      <c r="E23" s="54"/>
      <c r="F23" s="151" t="str">
        <f>IFERROR(VLOOKUP($G23,нормы!$A$14:$BC$57,2,0),"")</f>
        <v/>
      </c>
      <c r="G23" s="93"/>
      <c r="H23" s="63">
        <f t="shared" si="3"/>
        <v>0</v>
      </c>
      <c r="I23" s="153">
        <f>I19+I21</f>
        <v>0</v>
      </c>
      <c r="J23" s="334"/>
      <c r="K23" s="30">
        <f>IFERROR(VLOOKUP($G23,[1]нормы!$A$21:$BC$151,15,0),"")</f>
        <v>0</v>
      </c>
      <c r="L23" s="31">
        <f>IFERROR(VLOOKUP($G23,[1]нормы!$A$21:$BC$151,17,0),"")</f>
        <v>0</v>
      </c>
      <c r="M23" s="308">
        <f>IFERROR(VLOOKUP($G23,[1]нормы!$A$21:$BC$151,27,0),"")</f>
        <v>0</v>
      </c>
      <c r="N23" s="309" t="str">
        <f>IFERROR(Y23/Y24*(1.1*J18*I28),"")</f>
        <v/>
      </c>
      <c r="O23" s="300">
        <f>IFERROR(VLOOKUP($G23,[1]нормы!$A$21:$BC$151,21,0),"")</f>
        <v>0</v>
      </c>
      <c r="P23" s="35">
        <f>IFERROR(VLOOKUP($G23,[1]нормы!$A$21:$BC$151,19,0),"")</f>
        <v>0</v>
      </c>
      <c r="Q23" s="35">
        <f>IFERROR(VLOOKUP($G23,[1]нормы!$A$21:$BC$151,23,0),"")</f>
        <v>0</v>
      </c>
      <c r="R23" s="231">
        <f>IFERROR(VLOOKUP($G23,[1]нормы!$A$21:$BC$151,29,0),"")</f>
        <v>0</v>
      </c>
      <c r="S23" s="35">
        <f>IFERROR(VLOOKUP($G23,[1]нормы!$A$21:$BC$151,31,0),"")</f>
        <v>0</v>
      </c>
      <c r="T23" s="32">
        <f>IFERROR(VLOOKUP($G23,[1]нормы!$A$21:$BC$151,25,0),"")</f>
        <v>0</v>
      </c>
      <c r="U23" s="235" t="str">
        <f>IFERROR(W23/(((100*Y23/Y24)*I23)/100),"")</f>
        <v/>
      </c>
      <c r="V23" s="234" t="str">
        <f>IFERROR(VLOOKUP($G23,нормы!$A$14:$BC$57,38,0),"")</f>
        <v/>
      </c>
      <c r="W23" s="154"/>
      <c r="X23" s="238"/>
      <c r="Y23" s="152" t="str">
        <f>IFERROR(VLOOKUP($G23,нормы!$A$14:$BC$57,42,0)*W23,"")</f>
        <v/>
      </c>
      <c r="Z23" s="163">
        <f>IFERROR(VLOOKUP($G23,нормы!$A$14:$BC$57,14,0)*W23/1000,0)</f>
        <v>0</v>
      </c>
      <c r="AA23" s="56"/>
      <c r="AB23" s="58"/>
      <c r="AC23" s="58"/>
      <c r="AD23" s="58"/>
      <c r="AE23" s="57"/>
      <c r="AF23" s="161"/>
      <c r="AG23" s="392"/>
      <c r="AH23" s="395"/>
      <c r="AI23" s="398"/>
      <c r="AJ23" s="409"/>
      <c r="AK23" s="361"/>
      <c r="AL23" s="361"/>
      <c r="AM23" s="361"/>
      <c r="AN23" s="291">
        <f>IFERROR(Y23*AJ18/Y24,)</f>
        <v>0</v>
      </c>
      <c r="AO23" s="197" t="str">
        <f>IFERROR(VLOOKUP($G23,нормы!$A$14:$BC$57,53,0)*$W23,"")</f>
        <v/>
      </c>
      <c r="AP23" s="292">
        <f>IFERROR(Y23*AI18/Y24,)</f>
        <v>0</v>
      </c>
      <c r="AQ23" s="197" t="str">
        <f>IFERROR(VLOOKUP($G23,нормы!$A$14:$BC$57,54,0)*$W23,"")</f>
        <v/>
      </c>
      <c r="AR23" s="290">
        <f>IFERROR(AS23/SUM(AS18:AS23)*AL18,0)</f>
        <v>0</v>
      </c>
      <c r="AS23" s="197" t="str">
        <f>IFERROR(VLOOKUP($G23,нормы!$A$14:$BC$57,55,0)*W23,"")</f>
        <v/>
      </c>
      <c r="AT23" s="292">
        <f>IFERROR(AU23/SUM(AU18:AU23)*AM18,0)</f>
        <v>0</v>
      </c>
      <c r="AU23" s="197" t="str">
        <f>IFERROR(VLOOKUP($G23,нормы!$A$14:$BI$57,56,0)*W23,"")</f>
        <v/>
      </c>
      <c r="AV23" s="292">
        <f>IFERROR(AW23/SUM(AW18:AW23)*AK18,0)</f>
        <v>0</v>
      </c>
      <c r="AW23" s="202" t="str">
        <f>IFERROR(VLOOKUP($G23,нормы!$A$14:$BI$57,57,0)*W23,"")</f>
        <v/>
      </c>
      <c r="AX23" s="56"/>
      <c r="AY23" s="203" t="str">
        <f>IFERROR(VLOOKUP($G23,нормы!$A$14:$BI$57,58,0)*W23,"")</f>
        <v/>
      </c>
      <c r="AZ23" s="206"/>
      <c r="BA23" s="200" t="str">
        <f>IFERROR(VLOOKUP($G23,нормы!$A$14:$BI$57,61,0)*$W23,"")</f>
        <v/>
      </c>
      <c r="BB23" s="56"/>
      <c r="BC23" s="203" t="str">
        <f>IFERROR(VLOOKUP($G23,нормы!$A$14:$BI$57,60,0)*W23,"")</f>
        <v/>
      </c>
      <c r="BD23" s="200" t="str">
        <f>IFERROR(VLOOKUP($G23,нормы!$A$14:$BG$57,44,0),"")</f>
        <v/>
      </c>
      <c r="BE23" s="199" t="str">
        <f>IFERROR(W23/VLOOKUP($G23,нормы!$A$14:$BI$57,45,0),"")</f>
        <v/>
      </c>
    </row>
    <row r="24" spans="1:57" s="1" customFormat="1" ht="29.4" customHeight="1" thickBot="1" x14ac:dyDescent="0.45">
      <c r="A24" s="37" t="s">
        <v>29</v>
      </c>
      <c r="B24" s="59"/>
      <c r="C24" s="51"/>
      <c r="D24" s="51"/>
      <c r="E24" s="51"/>
      <c r="F24" s="51"/>
      <c r="G24" s="51"/>
      <c r="H24" s="51"/>
      <c r="I24" s="60"/>
      <c r="J24" s="60"/>
      <c r="K24" s="319" t="s">
        <v>213</v>
      </c>
      <c r="L24" s="316"/>
      <c r="M24" s="303" t="s">
        <v>213</v>
      </c>
      <c r="N24" s="317">
        <f>SUM(N18:N23)</f>
        <v>0</v>
      </c>
      <c r="O24" s="304" t="s">
        <v>217</v>
      </c>
      <c r="P24" s="318">
        <f>N24*8.937/1000</f>
        <v>0</v>
      </c>
      <c r="Q24" s="305" t="s">
        <v>215</v>
      </c>
      <c r="R24" s="61"/>
      <c r="S24" s="61"/>
      <c r="T24" s="61"/>
      <c r="U24" s="109"/>
      <c r="V24" s="109"/>
      <c r="W24" s="94"/>
      <c r="X24" s="155"/>
      <c r="Y24" s="96">
        <f>SUM(Y18:Y23)</f>
        <v>0</v>
      </c>
      <c r="Z24" s="164">
        <f>SUM(Z18:Z23)</f>
        <v>0</v>
      </c>
      <c r="AA24" s="207">
        <f>(AA10+AA11+AA12+AA13+AA14+AA15+AA16+AA18+AA19+AA20+AA21+AA22+AA23)-AG11</f>
        <v>1</v>
      </c>
      <c r="AB24" s="208">
        <f>(AB10+AB11+AB12+AB13+AB14+AB15+AB16+AB18+AB19+AB20+AB21+AB22+AB23)-AH11</f>
        <v>2</v>
      </c>
      <c r="AC24" s="208">
        <f>(AC10+AC11+AC12+AC13+AC14+AC15+AC16+AC18+AC19+AC20+AC21+AC22+AC23)-AG18</f>
        <v>3</v>
      </c>
      <c r="AD24" s="208">
        <f>(AD10+AD11+AD12+AD13+AD14+AD15+AD16+AD18+AD19+AD20+AD21+AD22+AD23)-AH18</f>
        <v>4</v>
      </c>
      <c r="AE24" s="208">
        <f>(AE10+AE11+AE12+AE13+AE14+AE15+AE16+AE18+AE19+AE20+AE21+AE22+AE23)-AI11</f>
        <v>5</v>
      </c>
      <c r="AF24" s="209">
        <f>(AF10+AF11+AF12+AF13+AF14+AF15+AF16+AF18+AF19+AF20+AF21+AF22+AF23)-AI18</f>
        <v>6</v>
      </c>
      <c r="AG24" s="62"/>
      <c r="AH24" s="62"/>
      <c r="AI24" s="62"/>
      <c r="AJ24" s="62"/>
      <c r="AK24" s="62"/>
      <c r="AL24" s="62"/>
      <c r="AM24" s="62"/>
      <c r="AN24" s="91">
        <f>SUM(AN18:AN23)</f>
        <v>0</v>
      </c>
      <c r="AO24" s="91">
        <f>SUM(AO18:AO23)</f>
        <v>0</v>
      </c>
      <c r="AP24" s="91"/>
      <c r="AQ24" s="91"/>
      <c r="AR24" s="91">
        <f>SUM(AR18:AR23)</f>
        <v>0</v>
      </c>
      <c r="AS24" s="91">
        <f t="shared" ref="AS24:AW24" si="8">SUM(AS18:AS23)</f>
        <v>0</v>
      </c>
      <c r="AT24" s="91">
        <f t="shared" si="8"/>
        <v>0</v>
      </c>
      <c r="AU24" s="91">
        <f t="shared" si="8"/>
        <v>0</v>
      </c>
      <c r="AV24" s="91">
        <f t="shared" si="8"/>
        <v>0</v>
      </c>
      <c r="AW24" s="91">
        <f t="shared" si="8"/>
        <v>0</v>
      </c>
      <c r="AX24" s="91">
        <f>SUM(AX18:AX23)</f>
        <v>0</v>
      </c>
      <c r="AY24" s="91">
        <f>SUM(AY18:AY23)</f>
        <v>0</v>
      </c>
      <c r="AZ24" s="91">
        <f>SUM(AZ18:AZ23)</f>
        <v>0</v>
      </c>
      <c r="BA24" s="91"/>
      <c r="BB24" s="91"/>
      <c r="BC24" s="91"/>
      <c r="BD24" s="91" t="str">
        <f>IFERROR(VLOOKUP($G24,нормы!$A$14:$BG$15,27,0),"")</f>
        <v/>
      </c>
      <c r="BE24" s="53" t="str">
        <f>IFERROR(W24/VLOOKUP($G24,нормы!$A$14:$BI$15,28,0),"")</f>
        <v/>
      </c>
    </row>
    <row r="25" spans="1:57" s="1" customFormat="1" ht="36" customHeight="1" thickBot="1" x14ac:dyDescent="0.5">
      <c r="A25" s="37" t="s">
        <v>29</v>
      </c>
      <c r="B25" s="166" t="s">
        <v>130</v>
      </c>
      <c r="C25" s="167"/>
      <c r="D25" s="167"/>
      <c r="E25" s="167"/>
      <c r="F25" s="165"/>
      <c r="G25" s="167"/>
      <c r="H25" s="167"/>
      <c r="I25" s="168"/>
      <c r="J25" s="168"/>
      <c r="K25" s="168"/>
      <c r="L25" s="168"/>
      <c r="M25" s="168"/>
      <c r="N25" s="168"/>
      <c r="O25" s="167"/>
      <c r="P25" s="169"/>
      <c r="Q25" s="169"/>
      <c r="R25" s="169"/>
      <c r="S25" s="169"/>
      <c r="T25" s="169"/>
      <c r="U25" s="170"/>
      <c r="V25" s="170"/>
      <c r="W25" s="171"/>
      <c r="X25" s="171"/>
      <c r="Y25" s="172"/>
      <c r="Z25" s="172"/>
      <c r="AA25" s="201" t="s">
        <v>144</v>
      </c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64"/>
      <c r="AN25" s="167"/>
      <c r="AO25" s="167"/>
      <c r="AP25" s="167"/>
      <c r="AQ25" s="167"/>
      <c r="AR25" s="64"/>
      <c r="AS25" s="64"/>
      <c r="AT25" s="65"/>
      <c r="AU25" s="64"/>
      <c r="AV25" s="49"/>
      <c r="AW25" s="49"/>
      <c r="AX25" s="167"/>
      <c r="AY25" s="167"/>
      <c r="AZ25" s="167"/>
      <c r="BA25" s="167"/>
      <c r="BB25" s="167"/>
      <c r="BC25" s="167"/>
      <c r="BD25" s="66"/>
      <c r="BE25" s="66"/>
    </row>
    <row r="26" spans="1:57" s="1" customFormat="1" ht="23.25" customHeight="1" x14ac:dyDescent="0.4">
      <c r="A26" s="37" t="s">
        <v>29</v>
      </c>
      <c r="B26" s="183"/>
      <c r="C26" s="100"/>
      <c r="D26" s="185"/>
      <c r="E26" s="186" t="s">
        <v>57</v>
      </c>
      <c r="F26" s="66" t="s">
        <v>87</v>
      </c>
      <c r="G26" s="66"/>
      <c r="H26" s="108" t="s">
        <v>131</v>
      </c>
      <c r="I26" s="101"/>
      <c r="J26" s="101"/>
      <c r="K26" s="101"/>
      <c r="L26" s="101"/>
      <c r="M26" s="101"/>
      <c r="N26" s="101"/>
      <c r="O26" s="67"/>
      <c r="P26" s="102"/>
      <c r="Q26" s="102"/>
      <c r="R26" s="102"/>
      <c r="S26" s="102"/>
      <c r="T26" s="102"/>
      <c r="U26" s="67"/>
      <c r="V26" s="67"/>
      <c r="W26" s="103"/>
      <c r="X26" s="187"/>
      <c r="Y26" s="68" t="s">
        <v>74</v>
      </c>
      <c r="Z26" s="69"/>
      <c r="AA26" s="90"/>
      <c r="AB26" s="100"/>
      <c r="AC26" s="100"/>
      <c r="AD26" s="186" t="s">
        <v>57</v>
      </c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190"/>
      <c r="AU26" s="66"/>
      <c r="AV26" s="165"/>
      <c r="AW26" s="293"/>
      <c r="AX26" s="66"/>
      <c r="AY26" s="66"/>
      <c r="AZ26" s="66"/>
      <c r="BA26" s="66"/>
      <c r="BB26" s="66"/>
      <c r="BC26" s="66"/>
      <c r="BD26" s="68" t="s">
        <v>74</v>
      </c>
      <c r="BE26" s="69"/>
    </row>
    <row r="27" spans="1:57" s="1" customFormat="1" ht="23.25" customHeight="1" thickBot="1" x14ac:dyDescent="0.45">
      <c r="A27" s="37" t="s">
        <v>29</v>
      </c>
      <c r="B27" s="183"/>
      <c r="C27" s="41"/>
      <c r="D27" s="184"/>
      <c r="E27" s="50"/>
      <c r="F27" s="70"/>
      <c r="G27" s="70"/>
      <c r="H27" s="70"/>
      <c r="I27" s="104"/>
      <c r="J27" s="104"/>
      <c r="K27" s="104"/>
      <c r="L27" s="104"/>
      <c r="M27" s="104"/>
      <c r="N27" s="104"/>
      <c r="O27" s="71"/>
      <c r="P27" s="105"/>
      <c r="Q27" s="105"/>
      <c r="R27" s="105"/>
      <c r="S27" s="105"/>
      <c r="T27" s="105"/>
      <c r="U27" s="71"/>
      <c r="V27" s="71"/>
      <c r="W27" s="106"/>
      <c r="X27" s="188"/>
      <c r="Y27" s="72"/>
      <c r="Z27" s="73"/>
      <c r="AA27" s="90"/>
      <c r="AB27" s="41"/>
      <c r="AC27" s="41"/>
      <c r="AD27" s="50"/>
      <c r="AE27" s="47"/>
      <c r="AF27" s="47"/>
      <c r="AG27" s="47"/>
      <c r="AH27" s="47"/>
      <c r="AI27" s="47"/>
      <c r="AJ27" s="47"/>
      <c r="AK27" s="47"/>
      <c r="AL27" s="47"/>
      <c r="AM27" s="70"/>
      <c r="AN27" s="47"/>
      <c r="AO27" s="70"/>
      <c r="AP27" s="70"/>
      <c r="AQ27" s="70"/>
      <c r="AR27" s="70"/>
      <c r="AS27" s="70"/>
      <c r="AT27" s="191"/>
      <c r="AU27" s="70"/>
      <c r="AV27" s="192"/>
      <c r="AW27" s="294"/>
      <c r="AX27" s="70"/>
      <c r="AY27" s="70"/>
      <c r="AZ27" s="70"/>
      <c r="BA27" s="70"/>
      <c r="BB27" s="70"/>
      <c r="BC27" s="70"/>
      <c r="BD27" s="72"/>
      <c r="BE27" s="73"/>
    </row>
    <row r="28" spans="1:57" s="1" customFormat="1" ht="18" customHeight="1" x14ac:dyDescent="0.4">
      <c r="A28" s="37" t="s">
        <v>29</v>
      </c>
      <c r="B28" s="183"/>
      <c r="C28" s="41"/>
      <c r="D28" s="184"/>
      <c r="E28" s="281">
        <f>B23</f>
        <v>46023</v>
      </c>
      <c r="F28" s="337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98">
        <v>1</v>
      </c>
      <c r="Y28" s="74">
        <v>1</v>
      </c>
      <c r="Z28" s="75">
        <f t="shared" ref="Z28:Z39" si="9">Y28-X28</f>
        <v>0</v>
      </c>
      <c r="AA28" s="189"/>
      <c r="AB28" s="41"/>
      <c r="AC28" s="184"/>
      <c r="AD28" s="210">
        <f>E28</f>
        <v>46023</v>
      </c>
      <c r="AE28" s="387"/>
      <c r="AF28" s="388"/>
      <c r="AG28" s="388"/>
      <c r="AH28" s="388"/>
      <c r="AI28" s="388"/>
      <c r="AJ28" s="388"/>
      <c r="AK28" s="388"/>
      <c r="AL28" s="388"/>
      <c r="AM28" s="388"/>
      <c r="AN28" s="388"/>
      <c r="AO28" s="388"/>
      <c r="AP28" s="388"/>
      <c r="AQ28" s="388"/>
      <c r="AR28" s="388"/>
      <c r="AS28" s="388"/>
      <c r="AT28" s="388"/>
      <c r="AU28" s="388"/>
      <c r="AV28" s="388"/>
      <c r="AW28" s="388"/>
      <c r="AX28" s="388"/>
      <c r="AY28" s="388"/>
      <c r="AZ28" s="388"/>
      <c r="BA28" s="388"/>
      <c r="BB28" s="389"/>
      <c r="BC28" s="98">
        <v>1</v>
      </c>
      <c r="BD28" s="74">
        <v>1</v>
      </c>
      <c r="BE28" s="75">
        <f t="shared" ref="BE28:BE39" si="10">BD28-BC28</f>
        <v>0</v>
      </c>
    </row>
    <row r="29" spans="1:57" s="1" customFormat="1" ht="18" customHeight="1" x14ac:dyDescent="0.4">
      <c r="A29" s="37" t="s">
        <v>29</v>
      </c>
      <c r="B29" s="183"/>
      <c r="C29" s="41"/>
      <c r="D29" s="184"/>
      <c r="E29" s="282">
        <f>E28</f>
        <v>46023</v>
      </c>
      <c r="F29" s="335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98">
        <v>1</v>
      </c>
      <c r="Y29" s="74">
        <v>1</v>
      </c>
      <c r="Z29" s="75">
        <f t="shared" si="9"/>
        <v>0</v>
      </c>
      <c r="AA29" s="107">
        <f>AA28</f>
        <v>0</v>
      </c>
      <c r="AB29" s="41"/>
      <c r="AC29" s="184"/>
      <c r="AD29" s="212">
        <f>AD28</f>
        <v>46023</v>
      </c>
      <c r="AE29" s="387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  <c r="AV29" s="388"/>
      <c r="AW29" s="388"/>
      <c r="AX29" s="388"/>
      <c r="AY29" s="388"/>
      <c r="AZ29" s="388"/>
      <c r="BA29" s="388"/>
      <c r="BB29" s="389"/>
      <c r="BC29" s="98">
        <v>1</v>
      </c>
      <c r="BD29" s="74">
        <v>1</v>
      </c>
      <c r="BE29" s="75">
        <f t="shared" si="10"/>
        <v>0</v>
      </c>
    </row>
    <row r="30" spans="1:57" s="1" customFormat="1" ht="18" customHeight="1" x14ac:dyDescent="0.4">
      <c r="A30" s="37" t="s">
        <v>29</v>
      </c>
      <c r="B30" s="183"/>
      <c r="C30" s="41"/>
      <c r="D30" s="184"/>
      <c r="E30" s="282">
        <f t="shared" ref="E30:E39" si="11">E29</f>
        <v>46023</v>
      </c>
      <c r="F30" s="335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98">
        <v>1</v>
      </c>
      <c r="Y30" s="74">
        <v>1</v>
      </c>
      <c r="Z30" s="75">
        <f t="shared" si="9"/>
        <v>0</v>
      </c>
      <c r="AA30" s="107">
        <f>AA29</f>
        <v>0</v>
      </c>
      <c r="AB30" s="41"/>
      <c r="AC30" s="184"/>
      <c r="AD30" s="212">
        <f t="shared" ref="AD30:AD39" si="12">AD29</f>
        <v>46023</v>
      </c>
      <c r="AE30" s="387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8"/>
      <c r="AT30" s="388"/>
      <c r="AU30" s="388"/>
      <c r="AV30" s="388"/>
      <c r="AW30" s="388"/>
      <c r="AX30" s="388"/>
      <c r="AY30" s="388"/>
      <c r="AZ30" s="388"/>
      <c r="BA30" s="388"/>
      <c r="BB30" s="389"/>
      <c r="BC30" s="98">
        <v>1</v>
      </c>
      <c r="BD30" s="74">
        <v>1</v>
      </c>
      <c r="BE30" s="75">
        <f t="shared" si="10"/>
        <v>0</v>
      </c>
    </row>
    <row r="31" spans="1:57" s="1" customFormat="1" ht="18" customHeight="1" x14ac:dyDescent="0.4">
      <c r="A31" s="37" t="s">
        <v>29</v>
      </c>
      <c r="B31" s="183"/>
      <c r="C31" s="41"/>
      <c r="D31" s="184"/>
      <c r="E31" s="282">
        <f t="shared" si="11"/>
        <v>46023</v>
      </c>
      <c r="F31" s="335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98">
        <v>1</v>
      </c>
      <c r="Y31" s="74">
        <v>1</v>
      </c>
      <c r="Z31" s="75">
        <f t="shared" si="9"/>
        <v>0</v>
      </c>
      <c r="AA31" s="107">
        <f t="shared" ref="AA31:AA39" si="13">AA30</f>
        <v>0</v>
      </c>
      <c r="AB31" s="41"/>
      <c r="AC31" s="184"/>
      <c r="AD31" s="212">
        <f t="shared" si="12"/>
        <v>46023</v>
      </c>
      <c r="AE31" s="387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8"/>
      <c r="AQ31" s="388"/>
      <c r="AR31" s="388"/>
      <c r="AS31" s="388"/>
      <c r="AT31" s="388"/>
      <c r="AU31" s="388"/>
      <c r="AV31" s="388"/>
      <c r="AW31" s="388"/>
      <c r="AX31" s="388"/>
      <c r="AY31" s="388"/>
      <c r="AZ31" s="388"/>
      <c r="BA31" s="388"/>
      <c r="BB31" s="389"/>
      <c r="BC31" s="98">
        <v>1</v>
      </c>
      <c r="BD31" s="74">
        <v>1</v>
      </c>
      <c r="BE31" s="75">
        <f t="shared" si="10"/>
        <v>0</v>
      </c>
    </row>
    <row r="32" spans="1:57" s="1" customFormat="1" ht="18" customHeight="1" x14ac:dyDescent="0.4">
      <c r="A32" s="37" t="s">
        <v>29</v>
      </c>
      <c r="B32" s="183"/>
      <c r="C32" s="41"/>
      <c r="D32" s="184"/>
      <c r="E32" s="282">
        <f t="shared" si="11"/>
        <v>46023</v>
      </c>
      <c r="F32" s="335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98">
        <v>1</v>
      </c>
      <c r="Y32" s="74">
        <v>1</v>
      </c>
      <c r="Z32" s="75">
        <f t="shared" si="9"/>
        <v>0</v>
      </c>
      <c r="AA32" s="107">
        <f t="shared" si="13"/>
        <v>0</v>
      </c>
      <c r="AB32" s="41"/>
      <c r="AC32" s="184"/>
      <c r="AD32" s="212">
        <f t="shared" si="12"/>
        <v>46023</v>
      </c>
      <c r="AE32" s="387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9"/>
      <c r="BC32" s="98">
        <v>1</v>
      </c>
      <c r="BD32" s="74">
        <v>1</v>
      </c>
      <c r="BE32" s="75">
        <f t="shared" si="10"/>
        <v>0</v>
      </c>
    </row>
    <row r="33" spans="1:57" s="1" customFormat="1" ht="18" customHeight="1" x14ac:dyDescent="0.4">
      <c r="A33" s="37" t="s">
        <v>29</v>
      </c>
      <c r="B33" s="183"/>
      <c r="C33" s="41"/>
      <c r="D33" s="184"/>
      <c r="E33" s="282">
        <f t="shared" si="11"/>
        <v>46023</v>
      </c>
      <c r="F33" s="335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98">
        <v>1</v>
      </c>
      <c r="Y33" s="74">
        <v>1</v>
      </c>
      <c r="Z33" s="75">
        <f t="shared" si="9"/>
        <v>0</v>
      </c>
      <c r="AA33" s="107">
        <f t="shared" si="13"/>
        <v>0</v>
      </c>
      <c r="AB33" s="41"/>
      <c r="AC33" s="184"/>
      <c r="AD33" s="212">
        <f t="shared" si="12"/>
        <v>46023</v>
      </c>
      <c r="AE33" s="387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  <c r="AV33" s="388"/>
      <c r="AW33" s="388"/>
      <c r="AX33" s="388"/>
      <c r="AY33" s="388"/>
      <c r="AZ33" s="388"/>
      <c r="BA33" s="388"/>
      <c r="BB33" s="389"/>
      <c r="BC33" s="98">
        <v>1</v>
      </c>
      <c r="BD33" s="74">
        <v>1</v>
      </c>
      <c r="BE33" s="75">
        <f t="shared" si="10"/>
        <v>0</v>
      </c>
    </row>
    <row r="34" spans="1:57" s="1" customFormat="1" ht="18" customHeight="1" x14ac:dyDescent="0.4">
      <c r="A34" s="37" t="s">
        <v>29</v>
      </c>
      <c r="B34" s="183"/>
      <c r="C34" s="41"/>
      <c r="D34" s="184"/>
      <c r="E34" s="282">
        <f t="shared" si="11"/>
        <v>46023</v>
      </c>
      <c r="F34" s="335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98">
        <v>1</v>
      </c>
      <c r="Y34" s="74">
        <v>1</v>
      </c>
      <c r="Z34" s="75">
        <f t="shared" si="9"/>
        <v>0</v>
      </c>
      <c r="AA34" s="107">
        <f t="shared" si="13"/>
        <v>0</v>
      </c>
      <c r="AB34" s="41"/>
      <c r="AC34" s="184"/>
      <c r="AD34" s="212">
        <f t="shared" si="12"/>
        <v>46023</v>
      </c>
      <c r="AE34" s="387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  <c r="AV34" s="388"/>
      <c r="AW34" s="388"/>
      <c r="AX34" s="388"/>
      <c r="AY34" s="388"/>
      <c r="AZ34" s="388"/>
      <c r="BA34" s="388"/>
      <c r="BB34" s="389"/>
      <c r="BC34" s="98">
        <v>1</v>
      </c>
      <c r="BD34" s="74">
        <v>1</v>
      </c>
      <c r="BE34" s="75">
        <f t="shared" si="10"/>
        <v>0</v>
      </c>
    </row>
    <row r="35" spans="1:57" s="1" customFormat="1" ht="18" customHeight="1" x14ac:dyDescent="0.4">
      <c r="A35" s="37" t="s">
        <v>29</v>
      </c>
      <c r="B35" s="183"/>
      <c r="C35" s="41"/>
      <c r="D35" s="184"/>
      <c r="E35" s="282">
        <f t="shared" si="11"/>
        <v>46023</v>
      </c>
      <c r="F35" s="335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98">
        <v>1</v>
      </c>
      <c r="Y35" s="74">
        <v>1</v>
      </c>
      <c r="Z35" s="75">
        <f t="shared" si="9"/>
        <v>0</v>
      </c>
      <c r="AA35" s="107">
        <f t="shared" si="13"/>
        <v>0</v>
      </c>
      <c r="AB35" s="41"/>
      <c r="AC35" s="184"/>
      <c r="AD35" s="212">
        <f t="shared" si="12"/>
        <v>46023</v>
      </c>
      <c r="AE35" s="387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  <c r="AV35" s="388"/>
      <c r="AW35" s="388"/>
      <c r="AX35" s="388"/>
      <c r="AY35" s="388"/>
      <c r="AZ35" s="388"/>
      <c r="BA35" s="388"/>
      <c r="BB35" s="389"/>
      <c r="BC35" s="98">
        <v>1</v>
      </c>
      <c r="BD35" s="74">
        <v>1</v>
      </c>
      <c r="BE35" s="75">
        <f t="shared" si="10"/>
        <v>0</v>
      </c>
    </row>
    <row r="36" spans="1:57" s="1" customFormat="1" ht="18" customHeight="1" x14ac:dyDescent="0.4">
      <c r="A36" s="37" t="s">
        <v>29</v>
      </c>
      <c r="B36" s="183"/>
      <c r="C36" s="41"/>
      <c r="D36" s="184"/>
      <c r="E36" s="282">
        <f t="shared" si="11"/>
        <v>46023</v>
      </c>
      <c r="F36" s="335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98">
        <v>1</v>
      </c>
      <c r="Y36" s="74">
        <v>1</v>
      </c>
      <c r="Z36" s="75">
        <f t="shared" si="9"/>
        <v>0</v>
      </c>
      <c r="AA36" s="107">
        <f t="shared" si="13"/>
        <v>0</v>
      </c>
      <c r="AB36" s="41"/>
      <c r="AC36" s="184"/>
      <c r="AD36" s="212">
        <f t="shared" si="12"/>
        <v>46023</v>
      </c>
      <c r="AE36" s="387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8"/>
      <c r="AQ36" s="388"/>
      <c r="AR36" s="388"/>
      <c r="AS36" s="388"/>
      <c r="AT36" s="388"/>
      <c r="AU36" s="388"/>
      <c r="AV36" s="388"/>
      <c r="AW36" s="388"/>
      <c r="AX36" s="388"/>
      <c r="AY36" s="388"/>
      <c r="AZ36" s="388"/>
      <c r="BA36" s="388"/>
      <c r="BB36" s="389"/>
      <c r="BC36" s="98">
        <v>1</v>
      </c>
      <c r="BD36" s="74">
        <v>1</v>
      </c>
      <c r="BE36" s="75">
        <f t="shared" si="10"/>
        <v>0</v>
      </c>
    </row>
    <row r="37" spans="1:57" s="1" customFormat="1" ht="18" customHeight="1" x14ac:dyDescent="0.4">
      <c r="A37" s="37" t="s">
        <v>29</v>
      </c>
      <c r="B37" s="183"/>
      <c r="C37" s="41"/>
      <c r="D37" s="184"/>
      <c r="E37" s="282">
        <f t="shared" si="11"/>
        <v>46023</v>
      </c>
      <c r="F37" s="335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98">
        <v>1</v>
      </c>
      <c r="Y37" s="74">
        <v>1</v>
      </c>
      <c r="Z37" s="75">
        <f t="shared" si="9"/>
        <v>0</v>
      </c>
      <c r="AA37" s="107">
        <f t="shared" si="13"/>
        <v>0</v>
      </c>
      <c r="AB37" s="41"/>
      <c r="AC37" s="184"/>
      <c r="AD37" s="212">
        <f t="shared" si="12"/>
        <v>46023</v>
      </c>
      <c r="AE37" s="387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9"/>
      <c r="BC37" s="98">
        <v>1</v>
      </c>
      <c r="BD37" s="74">
        <v>1</v>
      </c>
      <c r="BE37" s="75">
        <f t="shared" si="10"/>
        <v>0</v>
      </c>
    </row>
    <row r="38" spans="1:57" s="1" customFormat="1" ht="18" customHeight="1" x14ac:dyDescent="0.4">
      <c r="A38" s="37" t="s">
        <v>29</v>
      </c>
      <c r="B38" s="183"/>
      <c r="C38" s="41"/>
      <c r="D38" s="184"/>
      <c r="E38" s="282">
        <f t="shared" si="11"/>
        <v>46023</v>
      </c>
      <c r="F38" s="335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98">
        <v>1</v>
      </c>
      <c r="Y38" s="74">
        <v>1</v>
      </c>
      <c r="Z38" s="75">
        <f t="shared" si="9"/>
        <v>0</v>
      </c>
      <c r="AA38" s="107">
        <f t="shared" si="13"/>
        <v>0</v>
      </c>
      <c r="AB38" s="41"/>
      <c r="AC38" s="184"/>
      <c r="AD38" s="212">
        <f t="shared" si="12"/>
        <v>46023</v>
      </c>
      <c r="AE38" s="387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88"/>
      <c r="AQ38" s="388"/>
      <c r="AR38" s="388"/>
      <c r="AS38" s="388"/>
      <c r="AT38" s="388"/>
      <c r="AU38" s="388"/>
      <c r="AV38" s="388"/>
      <c r="AW38" s="388"/>
      <c r="AX38" s="388"/>
      <c r="AY38" s="388"/>
      <c r="AZ38" s="388"/>
      <c r="BA38" s="388"/>
      <c r="BB38" s="389"/>
      <c r="BC38" s="98">
        <v>1</v>
      </c>
      <c r="BD38" s="74">
        <v>1</v>
      </c>
      <c r="BE38" s="75">
        <f t="shared" si="10"/>
        <v>0</v>
      </c>
    </row>
    <row r="39" spans="1:57" s="1" customFormat="1" ht="18" customHeight="1" thickBot="1" x14ac:dyDescent="0.45">
      <c r="A39" s="37" t="s">
        <v>29</v>
      </c>
      <c r="B39" s="183"/>
      <c r="C39" s="41"/>
      <c r="D39" s="184"/>
      <c r="E39" s="283">
        <f t="shared" si="11"/>
        <v>46023</v>
      </c>
      <c r="F39" s="339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99">
        <v>1</v>
      </c>
      <c r="Y39" s="76">
        <v>1</v>
      </c>
      <c r="Z39" s="77">
        <f t="shared" si="9"/>
        <v>0</v>
      </c>
      <c r="AA39" s="107">
        <f t="shared" si="13"/>
        <v>0</v>
      </c>
      <c r="AB39" s="41"/>
      <c r="AC39" s="184"/>
      <c r="AD39" s="211">
        <f t="shared" si="12"/>
        <v>46023</v>
      </c>
      <c r="AE39" s="410"/>
      <c r="AF39" s="411"/>
      <c r="AG39" s="411"/>
      <c r="AH39" s="411"/>
      <c r="AI39" s="411"/>
      <c r="AJ39" s="411"/>
      <c r="AK39" s="411"/>
      <c r="AL39" s="411"/>
      <c r="AM39" s="411"/>
      <c r="AN39" s="411"/>
      <c r="AO39" s="411"/>
      <c r="AP39" s="411"/>
      <c r="AQ39" s="411"/>
      <c r="AR39" s="411"/>
      <c r="AS39" s="411"/>
      <c r="AT39" s="411"/>
      <c r="AU39" s="411"/>
      <c r="AV39" s="411"/>
      <c r="AW39" s="411"/>
      <c r="AX39" s="411"/>
      <c r="AY39" s="411"/>
      <c r="AZ39" s="411"/>
      <c r="BA39" s="411"/>
      <c r="BB39" s="412"/>
      <c r="BC39" s="99">
        <v>1</v>
      </c>
      <c r="BD39" s="76">
        <v>1</v>
      </c>
      <c r="BE39" s="75">
        <f t="shared" si="10"/>
        <v>0</v>
      </c>
    </row>
    <row r="40" spans="1:57" s="1" customFormat="1" ht="23.25" customHeight="1" thickBot="1" x14ac:dyDescent="0.45">
      <c r="A40" s="37" t="s">
        <v>29</v>
      </c>
      <c r="B40" s="193"/>
      <c r="C40" s="47"/>
      <c r="D40" s="47"/>
      <c r="E40" s="47"/>
      <c r="F40" s="78"/>
      <c r="G40" s="78"/>
      <c r="H40" s="78"/>
      <c r="I40" s="80"/>
      <c r="J40" s="80"/>
      <c r="K40" s="80"/>
      <c r="L40" s="80"/>
      <c r="M40" s="80"/>
      <c r="N40" s="80"/>
      <c r="O40" s="78"/>
      <c r="P40" s="81"/>
      <c r="Q40" s="81"/>
      <c r="R40" s="81"/>
      <c r="S40" s="81"/>
      <c r="T40" s="81"/>
      <c r="U40" s="82"/>
      <c r="V40" s="82"/>
      <c r="W40" s="86"/>
      <c r="X40" s="194"/>
      <c r="Y40" s="83"/>
      <c r="Z40" s="83"/>
      <c r="AA40" s="78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84"/>
      <c r="AN40" s="47"/>
      <c r="AO40" s="78"/>
      <c r="AP40" s="78"/>
      <c r="AQ40" s="78"/>
      <c r="AR40" s="84"/>
      <c r="AS40" s="78"/>
      <c r="AT40" s="85"/>
      <c r="AU40" s="78"/>
      <c r="AV40" s="83"/>
      <c r="AW40" s="83"/>
      <c r="AX40" s="78"/>
      <c r="AY40" s="78"/>
      <c r="AZ40" s="78"/>
      <c r="BA40" s="78"/>
      <c r="BB40" s="78"/>
      <c r="BC40" s="78"/>
      <c r="BD40" s="79"/>
      <c r="BE40" s="79"/>
    </row>
    <row r="41" spans="1:57" s="1" customFormat="1" ht="21.6" customHeight="1" thickBot="1" x14ac:dyDescent="0.45">
      <c r="A41" s="37" t="s">
        <v>28</v>
      </c>
      <c r="B41" s="59"/>
      <c r="C41" s="51"/>
      <c r="D41" s="51"/>
      <c r="E41" s="51"/>
      <c r="F41" s="158" t="s">
        <v>220</v>
      </c>
      <c r="G41" s="51"/>
      <c r="H41" s="51"/>
      <c r="I41" s="156"/>
      <c r="J41" s="156"/>
      <c r="K41" s="156"/>
      <c r="L41" s="156"/>
      <c r="M41" s="156"/>
      <c r="N41" s="156"/>
      <c r="O41" s="91"/>
      <c r="P41" s="52"/>
      <c r="Q41" s="52"/>
      <c r="R41" s="52"/>
      <c r="S41" s="52"/>
      <c r="T41" s="52"/>
      <c r="U41" s="157"/>
      <c r="V41" s="157"/>
      <c r="W41" s="94"/>
      <c r="X41" s="94"/>
      <c r="Y41" s="51"/>
      <c r="Z41" s="51"/>
      <c r="AA41" s="157">
        <f>AA24</f>
        <v>1</v>
      </c>
      <c r="AB41" s="157">
        <f t="shared" ref="AB41:AF41" si="14">AB24</f>
        <v>2</v>
      </c>
      <c r="AC41" s="157">
        <f t="shared" si="14"/>
        <v>3</v>
      </c>
      <c r="AD41" s="157">
        <f t="shared" si="14"/>
        <v>4</v>
      </c>
      <c r="AE41" s="157">
        <f t="shared" si="14"/>
        <v>5</v>
      </c>
      <c r="AF41" s="157">
        <f t="shared" si="14"/>
        <v>6</v>
      </c>
      <c r="AG41" s="162" t="s">
        <v>123</v>
      </c>
      <c r="AH41" s="162" t="s">
        <v>124</v>
      </c>
      <c r="AI41" s="162" t="s">
        <v>125</v>
      </c>
      <c r="AJ41" s="91" t="s">
        <v>126</v>
      </c>
      <c r="AK41" s="198" t="s">
        <v>136</v>
      </c>
      <c r="AL41" s="198" t="s">
        <v>137</v>
      </c>
      <c r="AM41" s="198" t="s">
        <v>138</v>
      </c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</row>
    <row r="42" spans="1:57" s="1" customFormat="1" ht="21.6" customHeight="1" x14ac:dyDescent="0.4">
      <c r="A42" s="37" t="str">
        <f>A41</f>
        <v>1Н</v>
      </c>
      <c r="B42" s="12">
        <f>B23</f>
        <v>46023</v>
      </c>
      <c r="C42" s="97"/>
      <c r="D42" s="97">
        <v>1</v>
      </c>
      <c r="E42" s="29"/>
      <c r="F42" s="151" t="str">
        <f>IFERROR(VLOOKUP($G42,нормы!$A$14:$BC$57,2,0),"")</f>
        <v/>
      </c>
      <c r="G42" s="93"/>
      <c r="H42" s="54">
        <f>IF(C42=1,"Кульков С.А.", IF(C42=2,"Чудаков А.А.",IF(C42=3,"Королев В.Н.",IF(C42=4,"Николашин М.П.",IF(C42=5," Кульков С.А.",IF(C42=6,"А.А. Чудаков",IF(C42=7,"В.Н. Королев",IF(C42=8,"М.П. Николашин",0))))))))</f>
        <v>0</v>
      </c>
      <c r="I42" s="88" t="s">
        <v>84</v>
      </c>
      <c r="J42" s="332"/>
      <c r="K42" s="30">
        <f>IFERROR(VLOOKUP($G42,[1]нормы!$A$21:$BC$151,15,0),"")</f>
        <v>0</v>
      </c>
      <c r="L42" s="31">
        <f>IFERROR(VLOOKUP($G42,[1]нормы!$A$21:$BC$151,17,0),"")</f>
        <v>0</v>
      </c>
      <c r="M42" s="310">
        <f>IFERROR(VLOOKUP($G42,[1]нормы!$A$21:$BC$151,27,0),"")</f>
        <v>0</v>
      </c>
      <c r="N42" s="311" t="str">
        <f>IFERROR(Y42/Y48*(1.1*J42*I47),"")</f>
        <v/>
      </c>
      <c r="O42" s="300">
        <f>IFERROR(VLOOKUP($G42,[1]нормы!$A$21:$BC$151,21,0),"")</f>
        <v>0</v>
      </c>
      <c r="P42" s="35">
        <f>IFERROR(VLOOKUP($G42,[1]нормы!$A$21:$BC$151,19,0),"")</f>
        <v>0</v>
      </c>
      <c r="Q42" s="35">
        <f>IFERROR(VLOOKUP($G42,[1]нормы!$A$21:$BC$151,23,0),"")</f>
        <v>0</v>
      </c>
      <c r="R42" s="231">
        <f>IFERROR(VLOOKUP($G42,[1]нормы!$A$21:$BC$151,29,0),"")</f>
        <v>0</v>
      </c>
      <c r="S42" s="35">
        <f>IFERROR(VLOOKUP($G42,[1]нормы!$A$21:$BC$151,31,0),"")</f>
        <v>0</v>
      </c>
      <c r="T42" s="32">
        <f>IFERROR(VLOOKUP($G42,[1]нормы!$A$21:$BC$151,25,0),"")</f>
        <v>0</v>
      </c>
      <c r="U42" s="232" t="str">
        <f>IFERROR(W42/(((100*Y42/Y48)*I47)/100),"")</f>
        <v/>
      </c>
      <c r="V42" s="234" t="str">
        <f>IFERROR(VLOOKUP($G42,нормы!$A$14:$BC$57,38,0),"")</f>
        <v/>
      </c>
      <c r="W42" s="136"/>
      <c r="X42" s="236"/>
      <c r="Y42" s="152" t="str">
        <f>IFERROR(VLOOKUP($G42,нормы!$A$14:$BC$57,42,0)*W42,"")</f>
        <v/>
      </c>
      <c r="Z42" s="163">
        <f>IFERROR(VLOOKUP($G42,нормы!$A$14:$BC$57,14,0)*W42/1000,0)</f>
        <v>0</v>
      </c>
      <c r="AA42" s="33"/>
      <c r="AB42" s="36"/>
      <c r="AC42" s="36"/>
      <c r="AD42" s="36"/>
      <c r="AE42" s="34"/>
      <c r="AF42" s="159"/>
      <c r="AG42" s="390"/>
      <c r="AH42" s="393"/>
      <c r="AI42" s="396"/>
      <c r="AJ42" s="407">
        <f>AG42+AH42</f>
        <v>0</v>
      </c>
      <c r="AK42" s="359"/>
      <c r="AL42" s="359"/>
      <c r="AM42" s="359"/>
      <c r="AN42" s="287">
        <f>IFERROR(Y42*AJ42/Y48,)</f>
        <v>0</v>
      </c>
      <c r="AO42" s="197" t="str">
        <f>IFERROR(VLOOKUP($G42,нормы!$A$14:$BC$57,53,0)*$W42,"")</f>
        <v/>
      </c>
      <c r="AP42" s="288">
        <f>IFERROR(Y42*AI42/Y48,)</f>
        <v>0</v>
      </c>
      <c r="AQ42" s="197" t="str">
        <f>IFERROR(VLOOKUP($G42,нормы!$A$14:$BC$57,54,0)*$W42,"")</f>
        <v/>
      </c>
      <c r="AR42" s="288">
        <f>IFERROR(AS42/SUM(AS42:AS47)*AL42,0)</f>
        <v>0</v>
      </c>
      <c r="AS42" s="197" t="str">
        <f>IFERROR(VLOOKUP($G42,нормы!$A$14:$BC$57,55,0)*W42,"")</f>
        <v/>
      </c>
      <c r="AT42" s="288">
        <f>IFERROR(AU42/SUM(AU42:AU47)*AM42,0)</f>
        <v>0</v>
      </c>
      <c r="AU42" s="197" t="str">
        <f>IFERROR(VLOOKUP($G42,нормы!$A$14:$BI$57,56,0)*W42,"")</f>
        <v/>
      </c>
      <c r="AV42" s="288">
        <f>IFERROR(AW42/SUM(AW42:AW47)*AK42,0)</f>
        <v>0</v>
      </c>
      <c r="AW42" s="202" t="str">
        <f>IFERROR(VLOOKUP($G42,нормы!$A$14:$BI$57,57,0)*W42,"")</f>
        <v/>
      </c>
      <c r="AX42" s="33"/>
      <c r="AY42" s="203" t="str">
        <f>IFERROR(VLOOKUP($G42,нормы!$A$14:$BI$57,58,0)*W42,"")</f>
        <v/>
      </c>
      <c r="AZ42" s="204"/>
      <c r="BA42" s="200" t="str">
        <f>IFERROR(VLOOKUP($G42,нормы!$A$14:$BI$57,61,0)*$W42,"")</f>
        <v/>
      </c>
      <c r="BB42" s="33"/>
      <c r="BC42" s="203" t="str">
        <f>IFERROR(VLOOKUP($G42,нормы!$A$14:$BI$57,60,0)*W42,"")</f>
        <v/>
      </c>
      <c r="BD42" s="200" t="str">
        <f>IFERROR(VLOOKUP($G42,нормы!$A$14:$BG$57,44,0),"")</f>
        <v/>
      </c>
      <c r="BE42" s="199" t="str">
        <f>IFERROR(W42/VLOOKUP($G42,нормы!$A$14:$BI$57,45,0),"")</f>
        <v/>
      </c>
    </row>
    <row r="43" spans="1:57" s="1" customFormat="1" ht="21.6" customHeight="1" x14ac:dyDescent="0.4">
      <c r="A43" s="37" t="str">
        <f t="shared" ref="A43:A71" si="15">A42</f>
        <v>1Н</v>
      </c>
      <c r="B43" s="12">
        <f t="shared" ref="B43:D43" si="16">B42</f>
        <v>46023</v>
      </c>
      <c r="C43" s="97">
        <f t="shared" si="16"/>
        <v>0</v>
      </c>
      <c r="D43" s="97">
        <f t="shared" si="16"/>
        <v>1</v>
      </c>
      <c r="E43" s="54"/>
      <c r="F43" s="151" t="str">
        <f>IFERROR(VLOOKUP($G43,нормы!$A$14:$BC$57,2,0),"")</f>
        <v/>
      </c>
      <c r="G43" s="93"/>
      <c r="H43" s="54">
        <f t="shared" ref="H43:H47" si="17">IF(C43=1,"Кульков С.А.", IF(C43=2,"Чудаков А.А.",IF(C43=3,"Королев В.Н.",IF(C43=4,"Николашин М.П.",IF(C43=5," Кульков С.А.",IF(C43=6,"А.А. Чудаков",IF(C43=7,"В.Н. Королев",IF(C43=8,"М.П. Николашин",0))))))))</f>
        <v>0</v>
      </c>
      <c r="I43" s="55"/>
      <c r="J43" s="333"/>
      <c r="K43" s="30">
        <f>IFERROR(VLOOKUP($G43,[1]нормы!$A$21:$BC$151,15,0),"")</f>
        <v>0</v>
      </c>
      <c r="L43" s="31">
        <f>IFERROR(VLOOKUP($G43,[1]нормы!$A$21:$BC$151,17,0),"")</f>
        <v>0</v>
      </c>
      <c r="M43" s="306">
        <f>IFERROR(VLOOKUP($G43,[1]нормы!$A$21:$BC$151,27,0),"")</f>
        <v>0</v>
      </c>
      <c r="N43" s="307" t="str">
        <f>IFERROR(Y43/Y48*(1.1*J42*I47),"")</f>
        <v/>
      </c>
      <c r="O43" s="300">
        <f>IFERROR(VLOOKUP($G43,[1]нормы!$A$21:$BC$151,21,0),"")</f>
        <v>0</v>
      </c>
      <c r="P43" s="35">
        <f>IFERROR(VLOOKUP($G43,[1]нормы!$A$21:$BC$151,19,0),"")</f>
        <v>0</v>
      </c>
      <c r="Q43" s="35">
        <f>IFERROR(VLOOKUP($G43,[1]нормы!$A$21:$BC$151,23,0),"")</f>
        <v>0</v>
      </c>
      <c r="R43" s="231">
        <f>IFERROR(VLOOKUP($G43,[1]нормы!$A$21:$BC$151,29,0),"")</f>
        <v>0</v>
      </c>
      <c r="S43" s="35">
        <f>IFERROR(VLOOKUP($G43,[1]нормы!$A$21:$BC$151,31,0),"")</f>
        <v>0</v>
      </c>
      <c r="T43" s="32">
        <f>IFERROR(VLOOKUP($G43,[1]нормы!$A$21:$BC$151,25,0),"")</f>
        <v>0</v>
      </c>
      <c r="U43" s="233" t="str">
        <f>IFERROR(W43/(((100*Y43/Y48)*I47)/100),"")</f>
        <v/>
      </c>
      <c r="V43" s="234" t="str">
        <f>IFERROR(VLOOKUP($G43,нормы!$A$14:$BC$57,38,0),"")</f>
        <v/>
      </c>
      <c r="W43" s="136"/>
      <c r="X43" s="237"/>
      <c r="Y43" s="152" t="str">
        <f>IFERROR(VLOOKUP($G43,нормы!$A$14:$BC$57,42,0)*W43,"")</f>
        <v/>
      </c>
      <c r="Z43" s="163">
        <f>IFERROR(VLOOKUP($G43,нормы!$A$14:$BC$57,14,0)*W43/1000,0)</f>
        <v>0</v>
      </c>
      <c r="AA43" s="142"/>
      <c r="AB43" s="35"/>
      <c r="AC43" s="35"/>
      <c r="AD43" s="35"/>
      <c r="AE43" s="31"/>
      <c r="AF43" s="160"/>
      <c r="AG43" s="391"/>
      <c r="AH43" s="394"/>
      <c r="AI43" s="397"/>
      <c r="AJ43" s="408"/>
      <c r="AK43" s="360"/>
      <c r="AL43" s="360"/>
      <c r="AM43" s="360"/>
      <c r="AN43" s="289">
        <f>IFERROR(Y43*AJ42/Y48,)</f>
        <v>0</v>
      </c>
      <c r="AO43" s="197" t="str">
        <f>IFERROR(VLOOKUP($G43,нормы!$A$14:$BC$57,53,0)*$W43,"")</f>
        <v/>
      </c>
      <c r="AP43" s="290">
        <f>IFERROR(Y43*AI42/Y48,)</f>
        <v>0</v>
      </c>
      <c r="AQ43" s="197" t="str">
        <f>IFERROR(VLOOKUP($G43,нормы!$A$14:$BC$57,54,0)*$W43,"")</f>
        <v/>
      </c>
      <c r="AR43" s="290">
        <f>IFERROR(AS43/SUM(AS42:AS47)*AL42,0)</f>
        <v>0</v>
      </c>
      <c r="AS43" s="197" t="str">
        <f>IFERROR(VLOOKUP($G43,нормы!$A$14:$BC$57,55,0)*W43,"")</f>
        <v/>
      </c>
      <c r="AT43" s="290">
        <f>IFERROR(AU43/SUM(AU42:AU47)*AM42,0)</f>
        <v>0</v>
      </c>
      <c r="AU43" s="197" t="str">
        <f>IFERROR(VLOOKUP($G43,нормы!$A$14:$BI$57,56,0)*W43,"")</f>
        <v/>
      </c>
      <c r="AV43" s="290">
        <f>IFERROR(AW43/SUM(AW42:AW47)*AK42,0)</f>
        <v>0</v>
      </c>
      <c r="AW43" s="202" t="str">
        <f>IFERROR(VLOOKUP($G43,нормы!$A$14:$BI$57,57,0)*W43,"")</f>
        <v/>
      </c>
      <c r="AX43" s="30"/>
      <c r="AY43" s="203" t="str">
        <f>IFERROR(VLOOKUP($G43,нормы!$A$14:$BI$57,58,0)*W43,"")</f>
        <v/>
      </c>
      <c r="AZ43" s="205"/>
      <c r="BA43" s="200" t="str">
        <f>IFERROR(VLOOKUP($G43,нормы!$A$14:$BI$57,61,0)*$W43,"")</f>
        <v/>
      </c>
      <c r="BB43" s="30"/>
      <c r="BC43" s="203" t="str">
        <f>IFERROR(VLOOKUP($G43,нормы!$A$14:$BI$57,60,0)*W43,"")</f>
        <v/>
      </c>
      <c r="BD43" s="200" t="str">
        <f>IFERROR(VLOOKUP($G43,нормы!$A$14:$BG$57,44,0),"")</f>
        <v/>
      </c>
      <c r="BE43" s="199" t="str">
        <f>IFERROR(W43/VLOOKUP($G43,нормы!$A$14:$BI$57,45,0),"")</f>
        <v/>
      </c>
    </row>
    <row r="44" spans="1:57" s="1" customFormat="1" ht="20.25" customHeight="1" x14ac:dyDescent="0.4">
      <c r="A44" s="37" t="str">
        <f t="shared" si="15"/>
        <v>1Н</v>
      </c>
      <c r="B44" s="12">
        <f t="shared" ref="B44:D44" si="18">B43</f>
        <v>46023</v>
      </c>
      <c r="C44" s="97">
        <f t="shared" si="18"/>
        <v>0</v>
      </c>
      <c r="D44" s="97">
        <f t="shared" si="18"/>
        <v>1</v>
      </c>
      <c r="E44" s="54"/>
      <c r="F44" s="151" t="str">
        <f>IFERROR(VLOOKUP($G44,нормы!$A$14:$BC$57,2,0),"")</f>
        <v/>
      </c>
      <c r="G44" s="38"/>
      <c r="H44" s="54">
        <f t="shared" si="17"/>
        <v>0</v>
      </c>
      <c r="I44" s="89" t="s">
        <v>85</v>
      </c>
      <c r="J44" s="333"/>
      <c r="K44" s="30">
        <f>IFERROR(VLOOKUP($G44,[1]нормы!$A$21:$BC$151,15,0),"")</f>
        <v>0</v>
      </c>
      <c r="L44" s="31">
        <f>IFERROR(VLOOKUP($G44,[1]нормы!$A$21:$BC$151,17,0),"")</f>
        <v>0</v>
      </c>
      <c r="M44" s="306">
        <f>IFERROR(VLOOKUP($G44,[1]нормы!$A$21:$BC$151,27,0),"")</f>
        <v>0</v>
      </c>
      <c r="N44" s="307" t="str">
        <f>IFERROR(Y44/Y48*(1.1*J42*I47),"")</f>
        <v/>
      </c>
      <c r="O44" s="300">
        <f>IFERROR(VLOOKUP($G44,[1]нормы!$A$21:$BC$151,21,0),"")</f>
        <v>0</v>
      </c>
      <c r="P44" s="35">
        <f>IFERROR(VLOOKUP($G44,[1]нормы!$A$21:$BC$151,19,0),"")</f>
        <v>0</v>
      </c>
      <c r="Q44" s="35">
        <f>IFERROR(VLOOKUP($G44,[1]нормы!$A$21:$BC$151,23,0),"")</f>
        <v>0</v>
      </c>
      <c r="R44" s="231">
        <f>IFERROR(VLOOKUP($G44,[1]нормы!$A$21:$BC$151,29,0),"")</f>
        <v>0</v>
      </c>
      <c r="S44" s="35">
        <f>IFERROR(VLOOKUP($G44,[1]нормы!$A$21:$BC$151,31,0),"")</f>
        <v>0</v>
      </c>
      <c r="T44" s="32">
        <f>IFERROR(VLOOKUP($G44,[1]нормы!$A$21:$BC$151,25,0),"")</f>
        <v>0</v>
      </c>
      <c r="U44" s="233" t="str">
        <f>IFERROR(W44/(((100*Y44/Y48)*I47)/100),"")</f>
        <v/>
      </c>
      <c r="V44" s="234" t="str">
        <f>IFERROR(VLOOKUP($G44,нормы!$A$14:$BC$57,38,0),"")</f>
        <v/>
      </c>
      <c r="W44" s="136"/>
      <c r="X44" s="237"/>
      <c r="Y44" s="152" t="str">
        <f>IFERROR(VLOOKUP($G44,нормы!$A$14:$BC$57,42,0)*W44,"")</f>
        <v/>
      </c>
      <c r="Z44" s="163">
        <f>IFERROR(VLOOKUP($G44,нормы!$A$14:$BC$57,14,0)*W44/1000,0)</f>
        <v>0</v>
      </c>
      <c r="AA44" s="30"/>
      <c r="AB44" s="35"/>
      <c r="AC44" s="35"/>
      <c r="AD44" s="35"/>
      <c r="AE44" s="31"/>
      <c r="AF44" s="160"/>
      <c r="AG44" s="391"/>
      <c r="AH44" s="394"/>
      <c r="AI44" s="397"/>
      <c r="AJ44" s="408"/>
      <c r="AK44" s="360"/>
      <c r="AL44" s="360"/>
      <c r="AM44" s="360"/>
      <c r="AN44" s="289">
        <f>IFERROR(Y44*AJ42/Y48,)</f>
        <v>0</v>
      </c>
      <c r="AO44" s="197" t="str">
        <f>IFERROR(VLOOKUP($G44,нормы!$A$14:$BC$57,53,0)*$W44,"")</f>
        <v/>
      </c>
      <c r="AP44" s="290">
        <f>IFERROR(Y44*AI42/Y48,)</f>
        <v>0</v>
      </c>
      <c r="AQ44" s="197" t="str">
        <f>IFERROR(VLOOKUP($G44,нормы!$A$14:$BC$57,54,0)*$W44,"")</f>
        <v/>
      </c>
      <c r="AR44" s="290">
        <f>IFERROR(AS44/SUM(AS42:AS47)*AL42,0)</f>
        <v>0</v>
      </c>
      <c r="AS44" s="197" t="str">
        <f>IFERROR(VLOOKUP($G44,нормы!$A$14:$BC$57,55,0)*W44,"")</f>
        <v/>
      </c>
      <c r="AT44" s="290">
        <f>IFERROR(AU44/SUM(AU42:AU47)*AM42,0)</f>
        <v>0</v>
      </c>
      <c r="AU44" s="197" t="str">
        <f>IFERROR(VLOOKUP($G44,нормы!$A$14:$BI$57,56,0)*W44,"")</f>
        <v/>
      </c>
      <c r="AV44" s="290">
        <f>IFERROR(AW44/SUM(AW42:AW47)*AK42,0)</f>
        <v>0</v>
      </c>
      <c r="AW44" s="202" t="str">
        <f>IFERROR(VLOOKUP($G44,нормы!$A$14:$BI$57,57,0)*W44,"")</f>
        <v/>
      </c>
      <c r="AX44" s="30"/>
      <c r="AY44" s="203" t="str">
        <f>IFERROR(VLOOKUP($G44,нормы!$A$14:$BI$57,58,0)*W44,"")</f>
        <v/>
      </c>
      <c r="AZ44" s="205"/>
      <c r="BA44" s="200" t="str">
        <f>IFERROR(VLOOKUP($G44,нормы!$A$14:$BI$57,61,0)*$W44,"")</f>
        <v/>
      </c>
      <c r="BB44" s="30"/>
      <c r="BC44" s="203" t="str">
        <f>IFERROR(VLOOKUP($G44,нормы!$A$14:$BI$57,60,0)*W44,"")</f>
        <v/>
      </c>
      <c r="BD44" s="200" t="str">
        <f>IFERROR(VLOOKUP($G44,нормы!$A$14:$BG$57,44,0),"")</f>
        <v/>
      </c>
      <c r="BE44" s="199" t="str">
        <f>IFERROR(W44/VLOOKUP($G44,нормы!$A$14:$BI$57,45,0),"")</f>
        <v/>
      </c>
    </row>
    <row r="45" spans="1:57" s="1" customFormat="1" ht="20.25" customHeight="1" x14ac:dyDescent="0.4">
      <c r="A45" s="37" t="str">
        <f t="shared" si="15"/>
        <v>1Н</v>
      </c>
      <c r="B45" s="12">
        <f t="shared" ref="B45:D45" si="19">B44</f>
        <v>46023</v>
      </c>
      <c r="C45" s="97">
        <f t="shared" si="19"/>
        <v>0</v>
      </c>
      <c r="D45" s="97">
        <f t="shared" si="19"/>
        <v>1</v>
      </c>
      <c r="E45" s="54"/>
      <c r="F45" s="151" t="str">
        <f>IFERROR(VLOOKUP($G45,нормы!$A$14:$BC$57,2,0),"")</f>
        <v/>
      </c>
      <c r="G45" s="93"/>
      <c r="H45" s="54">
        <f t="shared" si="17"/>
        <v>0</v>
      </c>
      <c r="I45" s="55"/>
      <c r="J45" s="333"/>
      <c r="K45" s="30">
        <f>IFERROR(VLOOKUP($G45,[1]нормы!$A$21:$BC$151,15,0),"")</f>
        <v>0</v>
      </c>
      <c r="L45" s="31">
        <f>IFERROR(VLOOKUP($G45,[1]нормы!$A$21:$BC$151,17,0),"")</f>
        <v>0</v>
      </c>
      <c r="M45" s="306">
        <f>IFERROR(VLOOKUP($G45,[1]нормы!$A$21:$BC$151,27,0),"")</f>
        <v>0</v>
      </c>
      <c r="N45" s="307" t="str">
        <f>IFERROR(Y45/Y48*(1.1*J42*I50),"")</f>
        <v/>
      </c>
      <c r="O45" s="300">
        <f>IFERROR(VLOOKUP($G45,[1]нормы!$A$21:$BC$151,21,0),"")</f>
        <v>0</v>
      </c>
      <c r="P45" s="35">
        <f>IFERROR(VLOOKUP($G45,[1]нормы!$A$21:$BC$151,19,0),"")</f>
        <v>0</v>
      </c>
      <c r="Q45" s="35">
        <f>IFERROR(VLOOKUP($G45,[1]нормы!$A$21:$BC$151,23,0),"")</f>
        <v>0</v>
      </c>
      <c r="R45" s="231">
        <f>IFERROR(VLOOKUP($G45,[1]нормы!$A$21:$BC$151,29,0),"")</f>
        <v>0</v>
      </c>
      <c r="S45" s="35">
        <f>IFERROR(VLOOKUP($G45,[1]нормы!$A$21:$BC$151,31,0),"")</f>
        <v>0</v>
      </c>
      <c r="T45" s="32">
        <f>IFERROR(VLOOKUP($G45,[1]нормы!$A$21:$BC$151,25,0),"")</f>
        <v>0</v>
      </c>
      <c r="U45" s="233" t="str">
        <f>IFERROR(W45/(((100*Y45/Y48)*I47)/100),"")</f>
        <v/>
      </c>
      <c r="V45" s="234" t="str">
        <f>IFERROR(VLOOKUP($G45,нормы!$A$14:$BC$57,38,0),"")</f>
        <v/>
      </c>
      <c r="W45" s="136"/>
      <c r="X45" s="237"/>
      <c r="Y45" s="152" t="str">
        <f>IFERROR(VLOOKUP($G45,нормы!$A$14:$BC$57,42,0)*W45,"")</f>
        <v/>
      </c>
      <c r="Z45" s="163">
        <f>IFERROR(VLOOKUP($G45,нормы!$A$14:$BC$57,14,0)*W45/1000,0)</f>
        <v>0</v>
      </c>
      <c r="AA45" s="30"/>
      <c r="AB45" s="35"/>
      <c r="AC45" s="35"/>
      <c r="AD45" s="35"/>
      <c r="AE45" s="31"/>
      <c r="AF45" s="160"/>
      <c r="AG45" s="391"/>
      <c r="AH45" s="394"/>
      <c r="AI45" s="397"/>
      <c r="AJ45" s="408"/>
      <c r="AK45" s="360"/>
      <c r="AL45" s="360"/>
      <c r="AM45" s="360"/>
      <c r="AN45" s="289">
        <f>IFERROR(Y45*AJ42/Y48,)</f>
        <v>0</v>
      </c>
      <c r="AO45" s="197" t="str">
        <f>IFERROR(VLOOKUP($G45,нормы!$A$14:$BC$57,53,0)*$W45,"")</f>
        <v/>
      </c>
      <c r="AP45" s="290">
        <f>IFERROR(Y45*AI42/Y48,)</f>
        <v>0</v>
      </c>
      <c r="AQ45" s="197" t="str">
        <f>IFERROR(VLOOKUP($G45,нормы!$A$14:$BC$57,54,0)*$W45,"")</f>
        <v/>
      </c>
      <c r="AR45" s="290">
        <f>IFERROR(AS45/SUM(AS42:AS47)*AL42,0)</f>
        <v>0</v>
      </c>
      <c r="AS45" s="197" t="str">
        <f>IFERROR(VLOOKUP($G45,нормы!$A$14:$BC$57,55,0)*W45,"")</f>
        <v/>
      </c>
      <c r="AT45" s="290">
        <f>IFERROR(AU45/SUM(AU42:AU47)*AM42,0)</f>
        <v>0</v>
      </c>
      <c r="AU45" s="197" t="str">
        <f>IFERROR(VLOOKUP($G45,нормы!$A$14:$BI$57,56,0)*W45,"")</f>
        <v/>
      </c>
      <c r="AV45" s="290">
        <f>IFERROR(AW45/SUM(AW42:AW47)*AK42,0)</f>
        <v>0</v>
      </c>
      <c r="AW45" s="202" t="str">
        <f>IFERROR(VLOOKUP($G45,нормы!$A$14:$BI$57,57,0)*W45,"")</f>
        <v/>
      </c>
      <c r="AX45" s="30"/>
      <c r="AY45" s="203" t="str">
        <f>IFERROR(VLOOKUP($G45,нормы!$A$14:$BI$57,58,0)*W45,"")</f>
        <v/>
      </c>
      <c r="AZ45" s="205"/>
      <c r="BA45" s="200" t="str">
        <f>IFERROR(VLOOKUP($G45,нормы!$A$14:$BI$57,61,0)*$W45,"")</f>
        <v/>
      </c>
      <c r="BB45" s="30"/>
      <c r="BC45" s="203" t="str">
        <f>IFERROR(VLOOKUP($G45,нормы!$A$14:$BI$57,60,0)*W45,"")</f>
        <v/>
      </c>
      <c r="BD45" s="200" t="str">
        <f>IFERROR(VLOOKUP($G45,нормы!$A$14:$BG$57,44,0),"")</f>
        <v/>
      </c>
      <c r="BE45" s="199" t="str">
        <f>IFERROR(W45/VLOOKUP($G45,нормы!$A$14:$BI$57,45,0),"")</f>
        <v/>
      </c>
    </row>
    <row r="46" spans="1:57" s="1" customFormat="1" ht="20.25" customHeight="1" x14ac:dyDescent="0.4">
      <c r="A46" s="37" t="str">
        <f t="shared" si="15"/>
        <v>1Н</v>
      </c>
      <c r="B46" s="12">
        <f t="shared" ref="B46:D46" si="20">B45</f>
        <v>46023</v>
      </c>
      <c r="C46" s="97">
        <f t="shared" si="20"/>
        <v>0</v>
      </c>
      <c r="D46" s="97">
        <f t="shared" si="20"/>
        <v>1</v>
      </c>
      <c r="E46" s="54"/>
      <c r="F46" s="151" t="str">
        <f>IFERROR(VLOOKUP($G46,нормы!$A$14:$BC$57,2,0),"")</f>
        <v/>
      </c>
      <c r="G46" s="38"/>
      <c r="H46" s="54">
        <f t="shared" si="17"/>
        <v>0</v>
      </c>
      <c r="I46" s="89" t="s">
        <v>73</v>
      </c>
      <c r="J46" s="333"/>
      <c r="K46" s="30">
        <f>IFERROR(VLOOKUP($G46,[1]нормы!$A$21:$BC$151,15,0),"")</f>
        <v>0</v>
      </c>
      <c r="L46" s="31">
        <f>IFERROR(VLOOKUP($G46,[1]нормы!$A$21:$BC$151,17,0),"")</f>
        <v>0</v>
      </c>
      <c r="M46" s="306">
        <f>IFERROR(VLOOKUP($G46,[1]нормы!$A$21:$BC$151,27,0),"")</f>
        <v>0</v>
      </c>
      <c r="N46" s="307" t="str">
        <f>IFERROR(Y46/Y48*(1.1*J42*I51),"")</f>
        <v/>
      </c>
      <c r="O46" s="300">
        <f>IFERROR(VLOOKUP($G46,[1]нормы!$A$21:$BC$151,21,0),"")</f>
        <v>0</v>
      </c>
      <c r="P46" s="35">
        <f>IFERROR(VLOOKUP($G46,[1]нормы!$A$21:$BC$151,19,0),"")</f>
        <v>0</v>
      </c>
      <c r="Q46" s="35">
        <f>IFERROR(VLOOKUP($G46,[1]нормы!$A$21:$BC$151,23,0),"")</f>
        <v>0</v>
      </c>
      <c r="R46" s="231">
        <f>IFERROR(VLOOKUP($G46,[1]нормы!$A$21:$BC$151,29,0),"")</f>
        <v>0</v>
      </c>
      <c r="S46" s="35">
        <f>IFERROR(VLOOKUP($G46,[1]нормы!$A$21:$BC$151,31,0),"")</f>
        <v>0</v>
      </c>
      <c r="T46" s="32">
        <f>IFERROR(VLOOKUP($G46,[1]нормы!$A$21:$BC$151,25,0),"")</f>
        <v>0</v>
      </c>
      <c r="U46" s="233" t="str">
        <f>IFERROR(W46/(((100*Y46/Y48)*I47)/100),"")</f>
        <v/>
      </c>
      <c r="V46" s="234" t="str">
        <f>IFERROR(VLOOKUP($G46,нормы!$A$14:$BC$57,38,0),"")</f>
        <v/>
      </c>
      <c r="W46" s="136"/>
      <c r="X46" s="237"/>
      <c r="Y46" s="152" t="str">
        <f>IFERROR(VLOOKUP($G46,нормы!$A$14:$BC$57,42,0)*W46,"")</f>
        <v/>
      </c>
      <c r="Z46" s="163">
        <f>IFERROR(VLOOKUP($G46,нормы!$A$14:$BC$57,14,0)*W46/1000,0)</f>
        <v>0</v>
      </c>
      <c r="AA46" s="30"/>
      <c r="AB46" s="35"/>
      <c r="AC46" s="35"/>
      <c r="AD46" s="35"/>
      <c r="AE46" s="31"/>
      <c r="AF46" s="160"/>
      <c r="AG46" s="391"/>
      <c r="AH46" s="394"/>
      <c r="AI46" s="397"/>
      <c r="AJ46" s="408"/>
      <c r="AK46" s="360"/>
      <c r="AL46" s="360"/>
      <c r="AM46" s="360"/>
      <c r="AN46" s="289">
        <f>IFERROR(Y46*AJ42/Y48,)</f>
        <v>0</v>
      </c>
      <c r="AO46" s="197" t="str">
        <f>IFERROR(VLOOKUP($G46,нормы!$A$14:$BC$57,53,0)*$W46,"")</f>
        <v/>
      </c>
      <c r="AP46" s="290">
        <f>IFERROR(Y46*AI42/Y48,)</f>
        <v>0</v>
      </c>
      <c r="AQ46" s="197" t="str">
        <f>IFERROR(VLOOKUP($G46,нормы!$A$14:$BC$57,54,0)*$W46,"")</f>
        <v/>
      </c>
      <c r="AR46" s="290">
        <f>IFERROR(AS46/SUM(AS42:AS47)*AL42,0)</f>
        <v>0</v>
      </c>
      <c r="AS46" s="197" t="str">
        <f>IFERROR(VLOOKUP($G46,нормы!$A$14:$BC$57,55,0)*W46,"")</f>
        <v/>
      </c>
      <c r="AT46" s="290">
        <f>IFERROR(AU46/SUM(AU42:AU47)*AM42,0)</f>
        <v>0</v>
      </c>
      <c r="AU46" s="197" t="str">
        <f>IFERROR(VLOOKUP($G46,нормы!$A$14:$BI$57,56,0)*W46,"")</f>
        <v/>
      </c>
      <c r="AV46" s="290">
        <f>IFERROR(AW46/SUM(AW42:AW47)*AK42,0)</f>
        <v>0</v>
      </c>
      <c r="AW46" s="202" t="str">
        <f>IFERROR(VLOOKUP($G46,нормы!$A$14:$BI$57,57,0)*W46,"")</f>
        <v/>
      </c>
      <c r="AX46" s="30"/>
      <c r="AY46" s="203" t="str">
        <f>IFERROR(VLOOKUP($G46,нормы!$A$14:$BI$57,58,0)*W46,"")</f>
        <v/>
      </c>
      <c r="AZ46" s="205"/>
      <c r="BA46" s="200" t="str">
        <f>IFERROR(VLOOKUP($G46,нормы!$A$14:$BI$57,61,0)*$W46,"")</f>
        <v/>
      </c>
      <c r="BB46" s="30"/>
      <c r="BC46" s="203" t="str">
        <f>IFERROR(VLOOKUP($G46,нормы!$A$14:$BI$57,60,0)*W46,"")</f>
        <v/>
      </c>
      <c r="BD46" s="200" t="str">
        <f>IFERROR(VLOOKUP($G46,нормы!$A$14:$BG$57,44,0),"")</f>
        <v/>
      </c>
      <c r="BE46" s="199" t="str">
        <f>IFERROR(W46/VLOOKUP($G46,нормы!$A$14:$BI$57,45,0),"")</f>
        <v/>
      </c>
    </row>
    <row r="47" spans="1:57" s="1" customFormat="1" ht="21" customHeight="1" thickBot="1" x14ac:dyDescent="0.45">
      <c r="A47" s="37" t="str">
        <f t="shared" si="15"/>
        <v>1Н</v>
      </c>
      <c r="B47" s="12">
        <f t="shared" ref="B47:D47" si="21">B46</f>
        <v>46023</v>
      </c>
      <c r="C47" s="97">
        <f t="shared" si="21"/>
        <v>0</v>
      </c>
      <c r="D47" s="97">
        <f t="shared" si="21"/>
        <v>1</v>
      </c>
      <c r="E47" s="54"/>
      <c r="F47" s="151" t="str">
        <f>IFERROR(VLOOKUP($G47,нормы!$A$14:$BC$57,2,0),"")</f>
        <v/>
      </c>
      <c r="G47" s="93"/>
      <c r="H47" s="63">
        <f t="shared" si="17"/>
        <v>0</v>
      </c>
      <c r="I47" s="153">
        <f>I43+I45</f>
        <v>0</v>
      </c>
      <c r="J47" s="334"/>
      <c r="K47" s="30">
        <f>IFERROR(VLOOKUP($G47,[1]нормы!$A$21:$BC$151,15,0),"")</f>
        <v>0</v>
      </c>
      <c r="L47" s="31">
        <f>IFERROR(VLOOKUP($G47,[1]нормы!$A$21:$BC$151,17,0),"")</f>
        <v>0</v>
      </c>
      <c r="M47" s="308">
        <f>IFERROR(VLOOKUP($G47,[1]нормы!$A$21:$BC$151,27,0),"")</f>
        <v>0</v>
      </c>
      <c r="N47" s="309" t="str">
        <f>IFERROR(Y47/Y48*(1.1*J42*I52),"")</f>
        <v/>
      </c>
      <c r="O47" s="300">
        <f>IFERROR(VLOOKUP($G47,[1]нормы!$A$21:$BC$151,21,0),"")</f>
        <v>0</v>
      </c>
      <c r="P47" s="35">
        <f>IFERROR(VLOOKUP($G47,[1]нормы!$A$21:$BC$151,19,0),"")</f>
        <v>0</v>
      </c>
      <c r="Q47" s="35">
        <f>IFERROR(VLOOKUP($G47,[1]нормы!$A$21:$BC$151,23,0),"")</f>
        <v>0</v>
      </c>
      <c r="R47" s="231">
        <f>IFERROR(VLOOKUP($G47,[1]нормы!$A$21:$BC$151,29,0),"")</f>
        <v>0</v>
      </c>
      <c r="S47" s="35">
        <f>IFERROR(VLOOKUP($G47,[1]нормы!$A$21:$BC$151,31,0),"")</f>
        <v>0</v>
      </c>
      <c r="T47" s="32">
        <f>IFERROR(VLOOKUP($G47,[1]нормы!$A$21:$BC$151,25,0),"")</f>
        <v>0</v>
      </c>
      <c r="U47" s="235" t="str">
        <f>IFERROR(W47/(((100*Y47/Y48)*I47)/100),"")</f>
        <v/>
      </c>
      <c r="V47" s="234" t="str">
        <f>IFERROR(VLOOKUP($G47,нормы!$A$14:$BC$57,38,0),"")</f>
        <v/>
      </c>
      <c r="W47" s="154"/>
      <c r="X47" s="238"/>
      <c r="Y47" s="152" t="str">
        <f>IFERROR(VLOOKUP($G47,нормы!$A$14:$BC$57,42,0)*W47,"")</f>
        <v/>
      </c>
      <c r="Z47" s="163">
        <f>IFERROR(VLOOKUP($G47,нормы!$A$14:$BC$57,14,0)*W47/1000,0)</f>
        <v>0</v>
      </c>
      <c r="AA47" s="56"/>
      <c r="AB47" s="58"/>
      <c r="AC47" s="58"/>
      <c r="AD47" s="58"/>
      <c r="AE47" s="57"/>
      <c r="AF47" s="161"/>
      <c r="AG47" s="392"/>
      <c r="AH47" s="395"/>
      <c r="AI47" s="398"/>
      <c r="AJ47" s="409"/>
      <c r="AK47" s="361"/>
      <c r="AL47" s="361"/>
      <c r="AM47" s="361"/>
      <c r="AN47" s="291">
        <f>IFERROR(Y47*AJ42/Y48,)</f>
        <v>0</v>
      </c>
      <c r="AO47" s="197" t="str">
        <f>IFERROR(VLOOKUP($G47,нормы!$A$14:$BC$57,53,0)*$W47,"")</f>
        <v/>
      </c>
      <c r="AP47" s="292">
        <f>IFERROR(Y47*AI42/Y48,)</f>
        <v>0</v>
      </c>
      <c r="AQ47" s="197" t="str">
        <f>IFERROR(VLOOKUP($G47,нормы!$A$14:$BC$57,54,0)*$W47,"")</f>
        <v/>
      </c>
      <c r="AR47" s="290">
        <f>IFERROR(AS47/SUM(AS42:AS47)*AL42,0)</f>
        <v>0</v>
      </c>
      <c r="AS47" s="197" t="str">
        <f>IFERROR(VLOOKUP($G47,нормы!$A$14:$BC$57,55,0)*W47,"")</f>
        <v/>
      </c>
      <c r="AT47" s="292">
        <f>IFERROR(AU47/SUM(AU42:AU47)*AM42,0)</f>
        <v>0</v>
      </c>
      <c r="AU47" s="197" t="str">
        <f>IFERROR(VLOOKUP($G47,нормы!$A$14:$BI$57,56,0)*W47,"")</f>
        <v/>
      </c>
      <c r="AV47" s="292">
        <f>IFERROR(AW47/SUM(AW42:AW47)*AK42,0)</f>
        <v>0</v>
      </c>
      <c r="AW47" s="202" t="str">
        <f>IFERROR(VLOOKUP($G47,нормы!$A$14:$BI$57,57,0)*W47,"")</f>
        <v/>
      </c>
      <c r="AX47" s="56"/>
      <c r="AY47" s="203" t="str">
        <f>IFERROR(VLOOKUP($G47,нормы!$A$14:$BI$57,58,0)*W47,"")</f>
        <v/>
      </c>
      <c r="AZ47" s="206"/>
      <c r="BA47" s="200" t="str">
        <f>IFERROR(VLOOKUP($G47,нормы!$A$14:$BI$57,61,0)*$W47,"")</f>
        <v/>
      </c>
      <c r="BB47" s="56"/>
      <c r="BC47" s="203" t="str">
        <f>IFERROR(VLOOKUP($G47,нормы!$A$14:$BI$57,60,0)*W47,"")</f>
        <v/>
      </c>
      <c r="BD47" s="200" t="str">
        <f>IFERROR(VLOOKUP($G47,нормы!$A$14:$BG$57,44,0),"")</f>
        <v/>
      </c>
      <c r="BE47" s="199" t="str">
        <f>IFERROR(W47/VLOOKUP($G47,нормы!$A$14:$BI$57,45,0),"")</f>
        <v/>
      </c>
    </row>
    <row r="48" spans="1:57" s="1" customFormat="1" ht="29.4" customHeight="1" thickBot="1" x14ac:dyDescent="0.45">
      <c r="A48" s="37" t="str">
        <f t="shared" si="15"/>
        <v>1Н</v>
      </c>
      <c r="B48" s="59"/>
      <c r="C48" s="51"/>
      <c r="D48" s="51"/>
      <c r="E48" s="51"/>
      <c r="F48" s="295" t="s">
        <v>149</v>
      </c>
      <c r="G48" s="51"/>
      <c r="H48" s="51"/>
      <c r="I48" s="60"/>
      <c r="J48" s="60"/>
      <c r="K48" s="319" t="s">
        <v>213</v>
      </c>
      <c r="L48" s="316"/>
      <c r="M48" s="303" t="s">
        <v>213</v>
      </c>
      <c r="N48" s="317">
        <f>SUM(N42:N47)</f>
        <v>0</v>
      </c>
      <c r="O48" s="304" t="s">
        <v>216</v>
      </c>
      <c r="P48" s="318">
        <f>N48*8.937/1000</f>
        <v>0</v>
      </c>
      <c r="Q48" s="305" t="s">
        <v>215</v>
      </c>
      <c r="R48" s="61"/>
      <c r="S48" s="61"/>
      <c r="T48" s="61"/>
      <c r="U48" s="109"/>
      <c r="V48" s="109"/>
      <c r="W48" s="94"/>
      <c r="X48" s="155"/>
      <c r="Y48" s="96">
        <f>SUM(Y42:Y47)</f>
        <v>0</v>
      </c>
      <c r="Z48" s="164">
        <f>SUM(Z42:Z47)</f>
        <v>0</v>
      </c>
      <c r="AA48" s="62"/>
      <c r="AB48" s="62"/>
      <c r="AC48" s="62"/>
      <c r="AD48" s="62"/>
      <c r="AE48" s="62"/>
      <c r="AF48" s="62"/>
      <c r="AG48" s="162" t="s">
        <v>140</v>
      </c>
      <c r="AH48" s="162" t="s">
        <v>141</v>
      </c>
      <c r="AI48" s="162" t="s">
        <v>142</v>
      </c>
      <c r="AJ48" s="91" t="s">
        <v>126</v>
      </c>
      <c r="AK48" s="198" t="s">
        <v>136</v>
      </c>
      <c r="AL48" s="198" t="s">
        <v>137</v>
      </c>
      <c r="AM48" s="198" t="s">
        <v>138</v>
      </c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53" t="str">
        <f>IFERROR(W48/VLOOKUP($G48,нормы!$A$14:$BI$15,28,0),"")</f>
        <v/>
      </c>
    </row>
    <row r="49" spans="1:57" s="1" customFormat="1" ht="21.6" customHeight="1" x14ac:dyDescent="0.4">
      <c r="A49" s="37" t="str">
        <f t="shared" si="15"/>
        <v>1Н</v>
      </c>
      <c r="B49" s="12">
        <f>B47</f>
        <v>46023</v>
      </c>
      <c r="C49" s="97"/>
      <c r="D49" s="97">
        <v>2</v>
      </c>
      <c r="E49" s="29"/>
      <c r="F49" s="151" t="str">
        <f>IFERROR(VLOOKUP($G49,нормы!$A$14:$BC$57,2,0),"")</f>
        <v/>
      </c>
      <c r="G49" s="93"/>
      <c r="H49" s="54">
        <f>IF(C49=1,"Кульков С.А.", IF(C49=2,"Чудаков А.А.",IF(C49=3,"Королев В.Н.",IF(C49=4,"Николашин М.П.",IF(C49=5," Кульков С.А.",IF(C49=6,"А.А. Чудаков",IF(C49=7,"В.Н. Королев",IF(C49=8,"М.П. Николашин",0))))))))</f>
        <v>0</v>
      </c>
      <c r="I49" s="88" t="s">
        <v>211</v>
      </c>
      <c r="J49" s="332"/>
      <c r="K49" s="30">
        <f>IFERROR(VLOOKUP($G49,[1]нормы!$A$21:$BC$151,15,0),"")</f>
        <v>0</v>
      </c>
      <c r="L49" s="31">
        <f>IFERROR(VLOOKUP($G49,[1]нормы!$A$21:$BC$151,17,0),"")</f>
        <v>0</v>
      </c>
      <c r="M49" s="310">
        <f>IFERROR(VLOOKUP($G49,[1]нормы!$A$21:$BC$151,27,0),"")</f>
        <v>0</v>
      </c>
      <c r="N49" s="311" t="str">
        <f>IFERROR(Y49/Y55*(1.1*J49*I54),"")</f>
        <v/>
      </c>
      <c r="O49" s="300">
        <f>IFERROR(VLOOKUP($G49,[1]нормы!$A$21:$BC$151,21,0),"")</f>
        <v>0</v>
      </c>
      <c r="P49" s="35">
        <f>IFERROR(VLOOKUP($G49,[1]нормы!$A$21:$BC$151,19,0),"")</f>
        <v>0</v>
      </c>
      <c r="Q49" s="35">
        <f>IFERROR(VLOOKUP($G49,[1]нормы!$A$21:$BC$151,23,0),"")</f>
        <v>0</v>
      </c>
      <c r="R49" s="231">
        <f>IFERROR(VLOOKUP($G49,[1]нормы!$A$21:$BC$151,29,0),"")</f>
        <v>0</v>
      </c>
      <c r="S49" s="35">
        <f>IFERROR(VLOOKUP($G49,[1]нормы!$A$21:$BC$151,31,0),"")</f>
        <v>0</v>
      </c>
      <c r="T49" s="32">
        <f>IFERROR(VLOOKUP($G49,[1]нормы!$A$21:$BC$151,25,0),"")</f>
        <v>0</v>
      </c>
      <c r="U49" s="232" t="str">
        <f>IFERROR(W49/(((100*Y49/Y55)*I54)/100),"")</f>
        <v/>
      </c>
      <c r="V49" s="234" t="str">
        <f>IFERROR(VLOOKUP($G49,нормы!$A$14:$BC$57,38,0),"")</f>
        <v/>
      </c>
      <c r="W49" s="136"/>
      <c r="X49" s="236"/>
      <c r="Y49" s="152" t="str">
        <f>IFERROR(VLOOKUP($G49,нормы!$A$14:$BC$57,42,0)*W49,"")</f>
        <v/>
      </c>
      <c r="Z49" s="163">
        <f>IFERROR(VLOOKUP($G49,нормы!$A$14:$BC$57,14,0)*W49/1000,0)</f>
        <v>0</v>
      </c>
      <c r="AA49" s="33"/>
      <c r="AB49" s="36"/>
      <c r="AC49" s="36"/>
      <c r="AD49" s="36"/>
      <c r="AE49" s="34"/>
      <c r="AF49" s="159"/>
      <c r="AG49" s="390"/>
      <c r="AH49" s="393"/>
      <c r="AI49" s="396"/>
      <c r="AJ49" s="407">
        <f>AG49+AH49</f>
        <v>0</v>
      </c>
      <c r="AK49" s="359"/>
      <c r="AL49" s="359"/>
      <c r="AM49" s="359"/>
      <c r="AN49" s="287">
        <f>IFERROR(Y49*AJ49/Y55,)</f>
        <v>0</v>
      </c>
      <c r="AO49" s="197" t="str">
        <f>IFERROR(VLOOKUP($G49,нормы!$A$14:$BC$57,53,0)*$W49,"")</f>
        <v/>
      </c>
      <c r="AP49" s="288">
        <f>IFERROR(Y49*AI49/Y55,)</f>
        <v>0</v>
      </c>
      <c r="AQ49" s="197" t="str">
        <f>IFERROR(VLOOKUP($G49,нормы!$A$14:$BC$57,54,0)*$W49,"")</f>
        <v/>
      </c>
      <c r="AR49" s="288">
        <f>IFERROR(AS49/SUM(AS49:AS54)*AL49,0)</f>
        <v>0</v>
      </c>
      <c r="AS49" s="197" t="str">
        <f>IFERROR(VLOOKUP($G49,нормы!$A$14:$BC$57,55,0)*W49,"")</f>
        <v/>
      </c>
      <c r="AT49" s="288">
        <f>IFERROR(AU49/SUM(AU49:AU54)*AM49,0)</f>
        <v>0</v>
      </c>
      <c r="AU49" s="197" t="str">
        <f>IFERROR(VLOOKUP($G49,нормы!$A$14:$BI$57,56,0)*W49,"")</f>
        <v/>
      </c>
      <c r="AV49" s="288">
        <f>IFERROR(AW49/SUM(AW49:AW54)*AK49,0)</f>
        <v>0</v>
      </c>
      <c r="AW49" s="202" t="str">
        <f>IFERROR(VLOOKUP($G49,нормы!$A$14:$BI$57,57,0)*W49,"")</f>
        <v/>
      </c>
      <c r="AX49" s="33"/>
      <c r="AY49" s="203" t="str">
        <f>IFERROR(VLOOKUP($G49,нормы!$A$14:$BI$57,58,0)*W49,"")</f>
        <v/>
      </c>
      <c r="AZ49" s="204"/>
      <c r="BA49" s="200" t="str">
        <f>IFERROR(VLOOKUP($G49,нормы!$A$14:$BI$57,61,0)*$W49,"")</f>
        <v/>
      </c>
      <c r="BB49" s="33"/>
      <c r="BC49" s="203" t="str">
        <f>IFERROR(VLOOKUP($G49,нормы!$A$14:$BI$57,60,0)*W49,"")</f>
        <v/>
      </c>
      <c r="BD49" s="200" t="str">
        <f>IFERROR(VLOOKUP($G49,нормы!$A$14:$BG$57,44,0),"")</f>
        <v/>
      </c>
      <c r="BE49" s="199" t="str">
        <f>IFERROR(W49/VLOOKUP($G49,нормы!$A$14:$BI$57,45,0),"")</f>
        <v/>
      </c>
    </row>
    <row r="50" spans="1:57" s="1" customFormat="1" ht="21.6" customHeight="1" x14ac:dyDescent="0.4">
      <c r="A50" s="37" t="str">
        <f t="shared" si="15"/>
        <v>1Н</v>
      </c>
      <c r="B50" s="12">
        <f t="shared" ref="B50:D50" si="22">B49</f>
        <v>46023</v>
      </c>
      <c r="C50" s="97">
        <f t="shared" si="22"/>
        <v>0</v>
      </c>
      <c r="D50" s="97">
        <f t="shared" si="22"/>
        <v>2</v>
      </c>
      <c r="E50" s="54"/>
      <c r="F50" s="151" t="str">
        <f>IFERROR(VLOOKUP($G50,нормы!$A$14:$BC$57,2,0),"")</f>
        <v/>
      </c>
      <c r="G50" s="93"/>
      <c r="H50" s="54">
        <f t="shared" ref="H50:H54" si="23">IF(C50=1,"Кульков С.А.", IF(C50=2,"Чудаков А.А.",IF(C50=3,"Королев В.Н.",IF(C50=4,"Николашин М.П.",IF(C50=5," Кульков С.А.",IF(C50=6,"А.А. Чудаков",IF(C50=7,"В.Н. Королев",IF(C50=8,"М.П. Николашин",0))))))))</f>
        <v>0</v>
      </c>
      <c r="I50" s="55"/>
      <c r="J50" s="333"/>
      <c r="K50" s="30">
        <f>IFERROR(VLOOKUP($G50,[1]нормы!$A$21:$BC$151,15,0),"")</f>
        <v>0</v>
      </c>
      <c r="L50" s="31">
        <f>IFERROR(VLOOKUP($G50,[1]нормы!$A$21:$BC$151,17,0),"")</f>
        <v>0</v>
      </c>
      <c r="M50" s="306">
        <f>IFERROR(VLOOKUP($G50,[1]нормы!$A$21:$BC$151,27,0),"")</f>
        <v>0</v>
      </c>
      <c r="N50" s="307" t="str">
        <f>IFERROR(Y50/Y55*(1.1*J49*I54),"")</f>
        <v/>
      </c>
      <c r="O50" s="300">
        <f>IFERROR(VLOOKUP($G50,[1]нормы!$A$21:$BC$151,21,0),"")</f>
        <v>0</v>
      </c>
      <c r="P50" s="35">
        <f>IFERROR(VLOOKUP($G50,[1]нормы!$A$21:$BC$151,19,0),"")</f>
        <v>0</v>
      </c>
      <c r="Q50" s="35">
        <f>IFERROR(VLOOKUP($G50,[1]нормы!$A$21:$BC$151,23,0),"")</f>
        <v>0</v>
      </c>
      <c r="R50" s="231">
        <f>IFERROR(VLOOKUP($G50,[1]нормы!$A$21:$BC$151,29,0),"")</f>
        <v>0</v>
      </c>
      <c r="S50" s="35">
        <f>IFERROR(VLOOKUP($G50,[1]нормы!$A$21:$BC$151,31,0),"")</f>
        <v>0</v>
      </c>
      <c r="T50" s="32">
        <f>IFERROR(VLOOKUP($G50,[1]нормы!$A$21:$BC$151,25,0),"")</f>
        <v>0</v>
      </c>
      <c r="U50" s="233" t="str">
        <f>IFERROR(W50/(((100*Y50/Y55)*I54)/100),"")</f>
        <v/>
      </c>
      <c r="V50" s="234" t="str">
        <f>IFERROR(VLOOKUP($G50,нормы!$A$14:$BC$57,38,0),"")</f>
        <v/>
      </c>
      <c r="W50" s="136"/>
      <c r="X50" s="237"/>
      <c r="Y50" s="152" t="str">
        <f>IFERROR(VLOOKUP($G50,нормы!$A$14:$BC$57,42,0)*W50,"")</f>
        <v/>
      </c>
      <c r="Z50" s="163">
        <f>IFERROR(VLOOKUP($G50,нормы!$A$14:$BC$57,14,0)*W50/1000,0)</f>
        <v>0</v>
      </c>
      <c r="AA50" s="142"/>
      <c r="AB50" s="35"/>
      <c r="AC50" s="35"/>
      <c r="AD50" s="35"/>
      <c r="AE50" s="31"/>
      <c r="AF50" s="160"/>
      <c r="AG50" s="391"/>
      <c r="AH50" s="394"/>
      <c r="AI50" s="397"/>
      <c r="AJ50" s="408"/>
      <c r="AK50" s="360"/>
      <c r="AL50" s="360"/>
      <c r="AM50" s="360"/>
      <c r="AN50" s="289">
        <f>IFERROR(Y50*AJ49/Y55,)</f>
        <v>0</v>
      </c>
      <c r="AO50" s="197" t="str">
        <f>IFERROR(VLOOKUP($G50,нормы!$A$14:$BC$57,53,0)*$W50,"")</f>
        <v/>
      </c>
      <c r="AP50" s="290">
        <f>IFERROR(Y50*AI49/Y55,)</f>
        <v>0</v>
      </c>
      <c r="AQ50" s="197" t="str">
        <f>IFERROR(VLOOKUP($G50,нормы!$A$14:$BC$57,54,0)*$W50,"")</f>
        <v/>
      </c>
      <c r="AR50" s="290">
        <f>IFERROR(AS50/SUM(AS49:AS54)*AL49,0)</f>
        <v>0</v>
      </c>
      <c r="AS50" s="197" t="str">
        <f>IFERROR(VLOOKUP($G50,нормы!$A$14:$BC$57,55,0)*W50,"")</f>
        <v/>
      </c>
      <c r="AT50" s="290">
        <f>IFERROR(AU50/SUM(AU49:AU54)*AM49,0)</f>
        <v>0</v>
      </c>
      <c r="AU50" s="197" t="str">
        <f>IFERROR(VLOOKUP($G50,нормы!$A$14:$BI$57,56,0)*W50,"")</f>
        <v/>
      </c>
      <c r="AV50" s="290">
        <f>IFERROR(AW50/SUM(AW49:AW54)*AK49,0)</f>
        <v>0</v>
      </c>
      <c r="AW50" s="202" t="str">
        <f>IFERROR(VLOOKUP($G50,нормы!$A$14:$BI$57,57,0)*W50,"")</f>
        <v/>
      </c>
      <c r="AX50" s="30"/>
      <c r="AY50" s="203" t="str">
        <f>IFERROR(VLOOKUP($G50,нормы!$A$14:$BI$57,58,0)*W50,"")</f>
        <v/>
      </c>
      <c r="AZ50" s="205"/>
      <c r="BA50" s="200" t="str">
        <f>IFERROR(VLOOKUP($G50,нормы!$A$14:$BI$57,61,0)*$W50,"")</f>
        <v/>
      </c>
      <c r="BB50" s="30"/>
      <c r="BC50" s="203" t="str">
        <f>IFERROR(VLOOKUP($G50,нормы!$A$14:$BI$57,60,0)*W50,"")</f>
        <v/>
      </c>
      <c r="BD50" s="200" t="str">
        <f>IFERROR(VLOOKUP($G50,нормы!$A$14:$BG$57,44,0),"")</f>
        <v/>
      </c>
      <c r="BE50" s="199" t="str">
        <f>IFERROR(W50/VLOOKUP($G50,нормы!$A$14:$BI$57,45,0),"")</f>
        <v/>
      </c>
    </row>
    <row r="51" spans="1:57" s="1" customFormat="1" ht="20.25" customHeight="1" x14ac:dyDescent="0.4">
      <c r="A51" s="37" t="str">
        <f t="shared" si="15"/>
        <v>1Н</v>
      </c>
      <c r="B51" s="12">
        <f t="shared" ref="B51:D51" si="24">B50</f>
        <v>46023</v>
      </c>
      <c r="C51" s="97">
        <f t="shared" si="24"/>
        <v>0</v>
      </c>
      <c r="D51" s="97">
        <f t="shared" si="24"/>
        <v>2</v>
      </c>
      <c r="E51" s="54"/>
      <c r="F51" s="151" t="str">
        <f>IFERROR(VLOOKUP($G51,нормы!$A$14:$BC$57,2,0),"")</f>
        <v/>
      </c>
      <c r="G51" s="38"/>
      <c r="H51" s="54">
        <f t="shared" si="23"/>
        <v>0</v>
      </c>
      <c r="I51" s="89" t="s">
        <v>212</v>
      </c>
      <c r="J51" s="333"/>
      <c r="K51" s="30">
        <f>IFERROR(VLOOKUP($G51,[1]нормы!$A$21:$BC$151,15,0),"")</f>
        <v>0</v>
      </c>
      <c r="L51" s="31">
        <f>IFERROR(VLOOKUP($G51,[1]нормы!$A$21:$BC$151,17,0),"")</f>
        <v>0</v>
      </c>
      <c r="M51" s="306">
        <f>IFERROR(VLOOKUP($G51,[1]нормы!$A$21:$BC$151,27,0),"")</f>
        <v>0</v>
      </c>
      <c r="N51" s="307" t="str">
        <f>IFERROR(Y51/Y55*(1.1*J49*I54),"")</f>
        <v/>
      </c>
      <c r="O51" s="300">
        <f>IFERROR(VLOOKUP($G51,[1]нормы!$A$21:$BC$151,21,0),"")</f>
        <v>0</v>
      </c>
      <c r="P51" s="35">
        <f>IFERROR(VLOOKUP($G51,[1]нормы!$A$21:$BC$151,19,0),"")</f>
        <v>0</v>
      </c>
      <c r="Q51" s="35">
        <f>IFERROR(VLOOKUP($G51,[1]нормы!$A$21:$BC$151,23,0),"")</f>
        <v>0</v>
      </c>
      <c r="R51" s="231">
        <f>IFERROR(VLOOKUP($G51,[1]нормы!$A$21:$BC$151,29,0),"")</f>
        <v>0</v>
      </c>
      <c r="S51" s="35">
        <f>IFERROR(VLOOKUP($G51,[1]нормы!$A$21:$BC$151,31,0),"")</f>
        <v>0</v>
      </c>
      <c r="T51" s="32">
        <f>IFERROR(VLOOKUP($G51,[1]нормы!$A$21:$BC$151,25,0),"")</f>
        <v>0</v>
      </c>
      <c r="U51" s="233" t="str">
        <f>IFERROR(W51/(((100*Y51/Y55)*I54)/100),"")</f>
        <v/>
      </c>
      <c r="V51" s="234" t="str">
        <f>IFERROR(VLOOKUP($G51,нормы!$A$14:$BC$57,38,0),"")</f>
        <v/>
      </c>
      <c r="W51" s="136"/>
      <c r="X51" s="237"/>
      <c r="Y51" s="152" t="str">
        <f>IFERROR(VLOOKUP($G51,нормы!$A$14:$BC$57,42,0)*W51,"")</f>
        <v/>
      </c>
      <c r="Z51" s="163">
        <f>IFERROR(VLOOKUP($G51,нормы!$A$14:$BC$57,14,0)*W51/1000,0)</f>
        <v>0</v>
      </c>
      <c r="AA51" s="30"/>
      <c r="AB51" s="35"/>
      <c r="AC51" s="35"/>
      <c r="AD51" s="35"/>
      <c r="AE51" s="31"/>
      <c r="AF51" s="160"/>
      <c r="AG51" s="391"/>
      <c r="AH51" s="394"/>
      <c r="AI51" s="397"/>
      <c r="AJ51" s="408"/>
      <c r="AK51" s="360"/>
      <c r="AL51" s="360"/>
      <c r="AM51" s="360"/>
      <c r="AN51" s="289">
        <f>IFERROR(Y51*AJ49/Y55,)</f>
        <v>0</v>
      </c>
      <c r="AO51" s="197" t="str">
        <f>IFERROR(VLOOKUP($G51,нормы!$A$14:$BC$57,53,0)*$W51,"")</f>
        <v/>
      </c>
      <c r="AP51" s="290">
        <f>IFERROR(Y51*AI49/Y55,)</f>
        <v>0</v>
      </c>
      <c r="AQ51" s="197" t="str">
        <f>IFERROR(VLOOKUP($G51,нормы!$A$14:$BC$57,54,0)*$W51,"")</f>
        <v/>
      </c>
      <c r="AR51" s="290">
        <f>IFERROR(AS51/SUM(AS49:AS54)*AL49,0)</f>
        <v>0</v>
      </c>
      <c r="AS51" s="197" t="str">
        <f>IFERROR(VLOOKUP($G51,нормы!$A$14:$BC$57,55,0)*W51,"")</f>
        <v/>
      </c>
      <c r="AT51" s="290">
        <f>IFERROR(AU51/SUM(AU49:AU54)*AM49,0)</f>
        <v>0</v>
      </c>
      <c r="AU51" s="197" t="str">
        <f>IFERROR(VLOOKUP($G51,нормы!$A$14:$BI$57,56,0)*W51,"")</f>
        <v/>
      </c>
      <c r="AV51" s="290">
        <f>IFERROR(AW51/SUM(AW49:AW54)*AK49,0)</f>
        <v>0</v>
      </c>
      <c r="AW51" s="202" t="str">
        <f>IFERROR(VLOOKUP($G51,нормы!$A$14:$BI$57,57,0)*W51,"")</f>
        <v/>
      </c>
      <c r="AX51" s="30"/>
      <c r="AY51" s="203" t="str">
        <f>IFERROR(VLOOKUP($G51,нормы!$A$14:$BI$57,58,0)*W51,"")</f>
        <v/>
      </c>
      <c r="AZ51" s="205"/>
      <c r="BA51" s="200" t="str">
        <f>IFERROR(VLOOKUP($G51,нормы!$A$14:$BI$57,61,0)*$W51,"")</f>
        <v/>
      </c>
      <c r="BB51" s="30"/>
      <c r="BC51" s="203" t="str">
        <f>IFERROR(VLOOKUP($G51,нормы!$A$14:$BI$57,60,0)*W51,"")</f>
        <v/>
      </c>
      <c r="BD51" s="200" t="str">
        <f>IFERROR(VLOOKUP($G51,нормы!$A$14:$BG$57,44,0),"")</f>
        <v/>
      </c>
      <c r="BE51" s="199" t="str">
        <f>IFERROR(W51/VLOOKUP($G51,нормы!$A$14:$BI$57,45,0),"")</f>
        <v/>
      </c>
    </row>
    <row r="52" spans="1:57" s="1" customFormat="1" ht="20.25" customHeight="1" x14ac:dyDescent="0.4">
      <c r="A52" s="37" t="str">
        <f t="shared" si="15"/>
        <v>1Н</v>
      </c>
      <c r="B52" s="12">
        <f t="shared" ref="B52:D52" si="25">B51</f>
        <v>46023</v>
      </c>
      <c r="C52" s="97">
        <f t="shared" si="25"/>
        <v>0</v>
      </c>
      <c r="D52" s="97">
        <f t="shared" si="25"/>
        <v>2</v>
      </c>
      <c r="E52" s="54"/>
      <c r="F52" s="151" t="str">
        <f>IFERROR(VLOOKUP($G52,нормы!$A$14:$BC$57,2,0),"")</f>
        <v/>
      </c>
      <c r="G52" s="93"/>
      <c r="H52" s="54">
        <f t="shared" si="23"/>
        <v>0</v>
      </c>
      <c r="I52" s="55"/>
      <c r="J52" s="333"/>
      <c r="K52" s="30">
        <f>IFERROR(VLOOKUP($G52,[1]нормы!$A$21:$BC$151,15,0),"")</f>
        <v>0</v>
      </c>
      <c r="L52" s="31">
        <f>IFERROR(VLOOKUP($G52,[1]нормы!$A$21:$BC$151,17,0),"")</f>
        <v>0</v>
      </c>
      <c r="M52" s="306">
        <f>IFERROR(VLOOKUP($G52,[1]нормы!$A$21:$BC$151,27,0),"")</f>
        <v>0</v>
      </c>
      <c r="N52" s="307" t="str">
        <f>IFERROR(Y52/Y55*(1.1*J49*I57),"")</f>
        <v/>
      </c>
      <c r="O52" s="300">
        <f>IFERROR(VLOOKUP($G52,[1]нормы!$A$21:$BC$151,21,0),"")</f>
        <v>0</v>
      </c>
      <c r="P52" s="35">
        <f>IFERROR(VLOOKUP($G52,[1]нормы!$A$21:$BC$151,19,0),"")</f>
        <v>0</v>
      </c>
      <c r="Q52" s="35">
        <f>IFERROR(VLOOKUP($G52,[1]нормы!$A$21:$BC$151,23,0),"")</f>
        <v>0</v>
      </c>
      <c r="R52" s="231">
        <f>IFERROR(VLOOKUP($G52,[1]нормы!$A$21:$BC$151,29,0),"")</f>
        <v>0</v>
      </c>
      <c r="S52" s="35">
        <f>IFERROR(VLOOKUP($G52,[1]нормы!$A$21:$BC$151,31,0),"")</f>
        <v>0</v>
      </c>
      <c r="T52" s="32">
        <f>IFERROR(VLOOKUP($G52,[1]нормы!$A$21:$BC$151,25,0),"")</f>
        <v>0</v>
      </c>
      <c r="U52" s="233" t="str">
        <f>IFERROR(W52/(((100*Y52/Y55)*I54)/100),"")</f>
        <v/>
      </c>
      <c r="V52" s="234" t="str">
        <f>IFERROR(VLOOKUP($G52,нормы!$A$14:$BC$57,38,0),"")</f>
        <v/>
      </c>
      <c r="W52" s="136"/>
      <c r="X52" s="237"/>
      <c r="Y52" s="152" t="str">
        <f>IFERROR(VLOOKUP($G52,нормы!$A$14:$BC$57,42,0)*W52,"")</f>
        <v/>
      </c>
      <c r="Z52" s="163">
        <f>IFERROR(VLOOKUP($G52,нормы!$A$14:$BC$57,14,0)*W52/1000,0)</f>
        <v>0</v>
      </c>
      <c r="AA52" s="30"/>
      <c r="AB52" s="35"/>
      <c r="AC52" s="35"/>
      <c r="AD52" s="35"/>
      <c r="AE52" s="31"/>
      <c r="AF52" s="160"/>
      <c r="AG52" s="391"/>
      <c r="AH52" s="394"/>
      <c r="AI52" s="397"/>
      <c r="AJ52" s="408"/>
      <c r="AK52" s="360"/>
      <c r="AL52" s="360"/>
      <c r="AM52" s="360"/>
      <c r="AN52" s="289">
        <f>IFERROR(Y52*AJ49/Y55,)</f>
        <v>0</v>
      </c>
      <c r="AO52" s="197" t="str">
        <f>IFERROR(VLOOKUP($G52,нормы!$A$14:$BC$57,53,0)*$W52,"")</f>
        <v/>
      </c>
      <c r="AP52" s="290">
        <f>IFERROR(Y52*AI49/Y55,)</f>
        <v>0</v>
      </c>
      <c r="AQ52" s="197" t="str">
        <f>IFERROR(VLOOKUP($G52,нормы!$A$14:$BC$57,54,0)*$W52,"")</f>
        <v/>
      </c>
      <c r="AR52" s="290">
        <f>IFERROR(AS52/SUM(AS49:AS54)*AL49,0)</f>
        <v>0</v>
      </c>
      <c r="AS52" s="197" t="str">
        <f>IFERROR(VLOOKUP($G52,нормы!$A$14:$BC$57,55,0)*W52,"")</f>
        <v/>
      </c>
      <c r="AT52" s="290">
        <f>IFERROR(AU52/SUM(AU49:AU54)*AM49,0)</f>
        <v>0</v>
      </c>
      <c r="AU52" s="197" t="str">
        <f>IFERROR(VLOOKUP($G52,нормы!$A$14:$BI$57,56,0)*W52,"")</f>
        <v/>
      </c>
      <c r="AV52" s="290">
        <f>IFERROR(AW52/SUM(AW49:AW54)*AK49,0)</f>
        <v>0</v>
      </c>
      <c r="AW52" s="202" t="str">
        <f>IFERROR(VLOOKUP($G52,нормы!$A$14:$BI$57,57,0)*W52,"")</f>
        <v/>
      </c>
      <c r="AX52" s="30"/>
      <c r="AY52" s="203" t="str">
        <f>IFERROR(VLOOKUP($G52,нормы!$A$14:$BI$57,58,0)*W52,"")</f>
        <v/>
      </c>
      <c r="AZ52" s="205"/>
      <c r="BA52" s="200" t="str">
        <f>IFERROR(VLOOKUP($G52,нормы!$A$14:$BI$57,61,0)*$W52,"")</f>
        <v/>
      </c>
      <c r="BB52" s="30"/>
      <c r="BC52" s="203" t="str">
        <f>IFERROR(VLOOKUP($G52,нормы!$A$14:$BI$57,60,0)*W52,"")</f>
        <v/>
      </c>
      <c r="BD52" s="200" t="str">
        <f>IFERROR(VLOOKUP($G52,нормы!$A$14:$BG$57,44,0),"")</f>
        <v/>
      </c>
      <c r="BE52" s="199" t="str">
        <f>IFERROR(W52/VLOOKUP($G52,нормы!$A$14:$BI$57,45,0),"")</f>
        <v/>
      </c>
    </row>
    <row r="53" spans="1:57" s="1" customFormat="1" ht="20.25" customHeight="1" x14ac:dyDescent="0.4">
      <c r="A53" s="37" t="str">
        <f t="shared" si="15"/>
        <v>1Н</v>
      </c>
      <c r="B53" s="12">
        <f t="shared" ref="B53:D53" si="26">B52</f>
        <v>46023</v>
      </c>
      <c r="C53" s="97">
        <f t="shared" si="26"/>
        <v>0</v>
      </c>
      <c r="D53" s="97">
        <f t="shared" si="26"/>
        <v>2</v>
      </c>
      <c r="E53" s="54"/>
      <c r="F53" s="151" t="str">
        <f>IFERROR(VLOOKUP($G53,нормы!$A$14:$BC$57,2,0),"")</f>
        <v/>
      </c>
      <c r="G53" s="38"/>
      <c r="H53" s="54">
        <f t="shared" si="23"/>
        <v>0</v>
      </c>
      <c r="I53" s="89" t="s">
        <v>73</v>
      </c>
      <c r="J53" s="333"/>
      <c r="K53" s="30">
        <f>IFERROR(VLOOKUP($G53,[1]нормы!$A$21:$BC$151,15,0),"")</f>
        <v>0</v>
      </c>
      <c r="L53" s="31">
        <f>IFERROR(VLOOKUP($G53,[1]нормы!$A$21:$BC$151,17,0),"")</f>
        <v>0</v>
      </c>
      <c r="M53" s="306">
        <f>IFERROR(VLOOKUP($G53,[1]нормы!$A$21:$BC$151,27,0),"")</f>
        <v>0</v>
      </c>
      <c r="N53" s="307" t="str">
        <f>IFERROR(Y53/Y55*(1.1*J49*I58),"")</f>
        <v/>
      </c>
      <c r="O53" s="300">
        <f>IFERROR(VLOOKUP($G53,[1]нормы!$A$21:$BC$151,21,0),"")</f>
        <v>0</v>
      </c>
      <c r="P53" s="35">
        <f>IFERROR(VLOOKUP($G53,[1]нормы!$A$21:$BC$151,19,0),"")</f>
        <v>0</v>
      </c>
      <c r="Q53" s="35">
        <f>IFERROR(VLOOKUP($G53,[1]нормы!$A$21:$BC$151,23,0),"")</f>
        <v>0</v>
      </c>
      <c r="R53" s="231">
        <f>IFERROR(VLOOKUP($G53,[1]нормы!$A$21:$BC$151,29,0),"")</f>
        <v>0</v>
      </c>
      <c r="S53" s="35">
        <f>IFERROR(VLOOKUP($G53,[1]нормы!$A$21:$BC$151,31,0),"")</f>
        <v>0</v>
      </c>
      <c r="T53" s="32">
        <f>IFERROR(VLOOKUP($G53,[1]нормы!$A$21:$BC$151,25,0),"")</f>
        <v>0</v>
      </c>
      <c r="U53" s="233" t="str">
        <f>IFERROR(W53/(((100*Y53/Y55)*I54)/100),"")</f>
        <v/>
      </c>
      <c r="V53" s="234" t="str">
        <f>IFERROR(VLOOKUP($G53,нормы!$A$14:$BC$57,38,0),"")</f>
        <v/>
      </c>
      <c r="W53" s="136"/>
      <c r="X53" s="237"/>
      <c r="Y53" s="152" t="str">
        <f>IFERROR(VLOOKUP($G53,нормы!$A$14:$BC$57,42,0)*W53,"")</f>
        <v/>
      </c>
      <c r="Z53" s="163">
        <f>IFERROR(VLOOKUP($G53,нормы!$A$14:$BC$57,14,0)*W53/1000,0)</f>
        <v>0</v>
      </c>
      <c r="AA53" s="30"/>
      <c r="AB53" s="35"/>
      <c r="AC53" s="35"/>
      <c r="AD53" s="35"/>
      <c r="AE53" s="31"/>
      <c r="AF53" s="160"/>
      <c r="AG53" s="391"/>
      <c r="AH53" s="394"/>
      <c r="AI53" s="397"/>
      <c r="AJ53" s="408"/>
      <c r="AK53" s="360"/>
      <c r="AL53" s="360"/>
      <c r="AM53" s="360"/>
      <c r="AN53" s="289">
        <f>IFERROR(Y53*AJ49/Y55,)</f>
        <v>0</v>
      </c>
      <c r="AO53" s="197" t="str">
        <f>IFERROR(VLOOKUP($G53,нормы!$A$14:$BC$57,53,0)*$W53,"")</f>
        <v/>
      </c>
      <c r="AP53" s="290">
        <f>IFERROR(Y53*AI49/Y55,)</f>
        <v>0</v>
      </c>
      <c r="AQ53" s="197" t="str">
        <f>IFERROR(VLOOKUP($G53,нормы!$A$14:$BC$57,54,0)*$W53,"")</f>
        <v/>
      </c>
      <c r="AR53" s="290">
        <f>IFERROR(AS53/SUM(AS49:AS54)*AL49,0)</f>
        <v>0</v>
      </c>
      <c r="AS53" s="197" t="str">
        <f>IFERROR(VLOOKUP($G53,нормы!$A$14:$BC$57,55,0)*W53,"")</f>
        <v/>
      </c>
      <c r="AT53" s="290">
        <f>IFERROR(AU53/SUM(AU49:AU54)*AM49,0)</f>
        <v>0</v>
      </c>
      <c r="AU53" s="197" t="str">
        <f>IFERROR(VLOOKUP($G53,нормы!$A$14:$BI$57,56,0)*W53,"")</f>
        <v/>
      </c>
      <c r="AV53" s="290">
        <f>IFERROR(AW53/SUM(AW49:AW54)*AK49,0)</f>
        <v>0</v>
      </c>
      <c r="AW53" s="202" t="str">
        <f>IFERROR(VLOOKUP($G53,нормы!$A$14:$BI$57,57,0)*W53,"")</f>
        <v/>
      </c>
      <c r="AX53" s="30"/>
      <c r="AY53" s="203" t="str">
        <f>IFERROR(VLOOKUP($G53,нормы!$A$14:$BI$57,58,0)*W53,"")</f>
        <v/>
      </c>
      <c r="AZ53" s="205"/>
      <c r="BA53" s="200" t="str">
        <f>IFERROR(VLOOKUP($G53,нормы!$A$14:$BI$57,61,0)*$W53,"")</f>
        <v/>
      </c>
      <c r="BB53" s="30"/>
      <c r="BC53" s="203" t="str">
        <f>IFERROR(VLOOKUP($G53,нормы!$A$14:$BI$57,60,0)*W53,"")</f>
        <v/>
      </c>
      <c r="BD53" s="200" t="str">
        <f>IFERROR(VLOOKUP($G53,нормы!$A$14:$BG$57,44,0),"")</f>
        <v/>
      </c>
      <c r="BE53" s="199" t="str">
        <f>IFERROR(W53/VLOOKUP($G53,нормы!$A$14:$BI$57,45,0),"")</f>
        <v/>
      </c>
    </row>
    <row r="54" spans="1:57" s="1" customFormat="1" ht="21" customHeight="1" thickBot="1" x14ac:dyDescent="0.45">
      <c r="A54" s="37" t="str">
        <f t="shared" si="15"/>
        <v>1Н</v>
      </c>
      <c r="B54" s="12">
        <f t="shared" ref="B54:D54" si="27">B53</f>
        <v>46023</v>
      </c>
      <c r="C54" s="97">
        <f t="shared" si="27"/>
        <v>0</v>
      </c>
      <c r="D54" s="97">
        <f t="shared" si="27"/>
        <v>2</v>
      </c>
      <c r="E54" s="54"/>
      <c r="F54" s="151" t="str">
        <f>IFERROR(VLOOKUP($G54,нормы!$A$14:$BC$57,2,0),"")</f>
        <v/>
      </c>
      <c r="G54" s="93"/>
      <c r="H54" s="63">
        <f t="shared" si="23"/>
        <v>0</v>
      </c>
      <c r="I54" s="153">
        <f>I50+I52</f>
        <v>0</v>
      </c>
      <c r="J54" s="334"/>
      <c r="K54" s="30">
        <f>IFERROR(VLOOKUP($G54,[1]нормы!$A$21:$BC$151,15,0),"")</f>
        <v>0</v>
      </c>
      <c r="L54" s="31">
        <f>IFERROR(VLOOKUP($G54,[1]нормы!$A$21:$BC$151,17,0),"")</f>
        <v>0</v>
      </c>
      <c r="M54" s="308">
        <f>IFERROR(VLOOKUP($G54,[1]нормы!$A$21:$BC$151,27,0),"")</f>
        <v>0</v>
      </c>
      <c r="N54" s="309" t="str">
        <f>IFERROR(Y54/Y55*(1.1*J49*I59),"")</f>
        <v/>
      </c>
      <c r="O54" s="300">
        <f>IFERROR(VLOOKUP($G54,[1]нормы!$A$21:$BC$151,21,0),"")</f>
        <v>0</v>
      </c>
      <c r="P54" s="35">
        <f>IFERROR(VLOOKUP($G54,[1]нормы!$A$21:$BC$151,19,0),"")</f>
        <v>0</v>
      </c>
      <c r="Q54" s="35">
        <f>IFERROR(VLOOKUP($G54,[1]нормы!$A$21:$BC$151,23,0),"")</f>
        <v>0</v>
      </c>
      <c r="R54" s="231">
        <f>IFERROR(VLOOKUP($G54,[1]нормы!$A$21:$BC$151,29,0),"")</f>
        <v>0</v>
      </c>
      <c r="S54" s="35">
        <f>IFERROR(VLOOKUP($G54,[1]нормы!$A$21:$BC$151,31,0),"")</f>
        <v>0</v>
      </c>
      <c r="T54" s="32">
        <f>IFERROR(VLOOKUP($G54,[1]нормы!$A$21:$BC$151,25,0),"")</f>
        <v>0</v>
      </c>
      <c r="U54" s="235" t="str">
        <f>IFERROR(W54/(((100*Y54/Y55)*I54)/100),"")</f>
        <v/>
      </c>
      <c r="V54" s="234" t="str">
        <f>IFERROR(VLOOKUP($G54,нормы!$A$14:$BC$57,38,0),"")</f>
        <v/>
      </c>
      <c r="W54" s="154"/>
      <c r="X54" s="238"/>
      <c r="Y54" s="152" t="str">
        <f>IFERROR(VLOOKUP($G54,нормы!$A$14:$BC$57,42,0)*W54,"")</f>
        <v/>
      </c>
      <c r="Z54" s="163">
        <f>IFERROR(VLOOKUP($G54,нормы!$A$14:$BC$57,14,0)*W54/1000,0)</f>
        <v>0</v>
      </c>
      <c r="AA54" s="56"/>
      <c r="AB54" s="58"/>
      <c r="AC54" s="58"/>
      <c r="AD54" s="58"/>
      <c r="AE54" s="57"/>
      <c r="AF54" s="161"/>
      <c r="AG54" s="392"/>
      <c r="AH54" s="395"/>
      <c r="AI54" s="398"/>
      <c r="AJ54" s="409"/>
      <c r="AK54" s="361"/>
      <c r="AL54" s="361"/>
      <c r="AM54" s="361"/>
      <c r="AN54" s="291">
        <f>IFERROR(Y54*AJ49/Y55,)</f>
        <v>0</v>
      </c>
      <c r="AO54" s="197" t="str">
        <f>IFERROR(VLOOKUP($G54,нормы!$A$14:$BC$57,53,0)*$W54,"")</f>
        <v/>
      </c>
      <c r="AP54" s="292">
        <f>IFERROR(Y54*AI49/Y55,)</f>
        <v>0</v>
      </c>
      <c r="AQ54" s="197" t="str">
        <f>IFERROR(VLOOKUP($G54,нормы!$A$14:$BC$57,54,0)*$W54,"")</f>
        <v/>
      </c>
      <c r="AR54" s="290">
        <f>IFERROR(AS54/SUM(AS49:AS54)*AL49,0)</f>
        <v>0</v>
      </c>
      <c r="AS54" s="197" t="str">
        <f>IFERROR(VLOOKUP($G54,нормы!$A$14:$BC$57,55,0)*W54,"")</f>
        <v/>
      </c>
      <c r="AT54" s="292">
        <f>IFERROR(AU54/SUM(AU49:AU54)*AM49,0)</f>
        <v>0</v>
      </c>
      <c r="AU54" s="197" t="str">
        <f>IFERROR(VLOOKUP($G54,нормы!$A$14:$BI$57,56,0)*W54,"")</f>
        <v/>
      </c>
      <c r="AV54" s="292">
        <f>IFERROR(AW54/SUM(AW49:AW54)*AK49,0)</f>
        <v>0</v>
      </c>
      <c r="AW54" s="202" t="str">
        <f>IFERROR(VLOOKUP($G54,нормы!$A$14:$BI$57,57,0)*W54,"")</f>
        <v/>
      </c>
      <c r="AX54" s="56"/>
      <c r="AY54" s="203" t="str">
        <f>IFERROR(VLOOKUP($G54,нормы!$A$14:$BI$57,58,0)*W54,"")</f>
        <v/>
      </c>
      <c r="AZ54" s="206"/>
      <c r="BA54" s="200" t="str">
        <f>IFERROR(VLOOKUP($G54,нормы!$A$14:$BI$57,61,0)*$W54,"")</f>
        <v/>
      </c>
      <c r="BB54" s="56"/>
      <c r="BC54" s="203" t="str">
        <f>IFERROR(VLOOKUP($G54,нормы!$A$14:$BI$57,60,0)*W54,"")</f>
        <v/>
      </c>
      <c r="BD54" s="200" t="str">
        <f>IFERROR(VLOOKUP($G54,нормы!$A$14:$BG$57,44,0),"")</f>
        <v/>
      </c>
      <c r="BE54" s="199" t="str">
        <f>IFERROR(W54/VLOOKUP($G54,нормы!$A$14:$BI$57,45,0),"")</f>
        <v/>
      </c>
    </row>
    <row r="55" spans="1:57" s="1" customFormat="1" ht="29.4" customHeight="1" thickBot="1" x14ac:dyDescent="0.45">
      <c r="A55" s="37" t="str">
        <f t="shared" si="15"/>
        <v>1Н</v>
      </c>
      <c r="B55" s="59"/>
      <c r="C55" s="51"/>
      <c r="D55" s="51"/>
      <c r="E55" s="51"/>
      <c r="F55" s="51"/>
      <c r="G55" s="51"/>
      <c r="H55" s="51"/>
      <c r="I55" s="60"/>
      <c r="J55" s="60"/>
      <c r="K55" s="319" t="s">
        <v>213</v>
      </c>
      <c r="L55" s="316"/>
      <c r="M55" s="303" t="s">
        <v>213</v>
      </c>
      <c r="N55" s="317">
        <f>SUM(N49:N54)</f>
        <v>0</v>
      </c>
      <c r="O55" s="304" t="s">
        <v>217</v>
      </c>
      <c r="P55" s="318">
        <f>N55*8.937/1000</f>
        <v>0</v>
      </c>
      <c r="Q55" s="305" t="s">
        <v>215</v>
      </c>
      <c r="R55" s="61"/>
      <c r="S55" s="61"/>
      <c r="T55" s="61"/>
      <c r="U55" s="109"/>
      <c r="V55" s="109"/>
      <c r="W55" s="94"/>
      <c r="X55" s="155"/>
      <c r="Y55" s="96">
        <f>SUM(Y49:Y54)</f>
        <v>0</v>
      </c>
      <c r="Z55" s="164">
        <f>SUM(Z49:Z54)</f>
        <v>0</v>
      </c>
      <c r="AA55" s="207">
        <f>(AA41+AA42+AA43+AA44+AA45+AA46+AA47+AA49+AA50+AA51+AA52+AA53+AA54)-AG42</f>
        <v>1</v>
      </c>
      <c r="AB55" s="208">
        <f>(AB41+AB42+AB43+AB44+AB45+AB46+AB47+AB49+AB50+AB51+AB52+AB53+AB54)-AH42</f>
        <v>2</v>
      </c>
      <c r="AC55" s="208">
        <f>(AC41+AC42+AC43+AC44+AC45+AC46+AC47+AC49+AC50+AC51+AC52+AC53+AC54)-AG49</f>
        <v>3</v>
      </c>
      <c r="AD55" s="208">
        <f>(AD41+AD42+AD43+AD44+AD45+AD46+AD47+AD49+AD50+AD51+AD52+AD53+AD54)-AH49</f>
        <v>4</v>
      </c>
      <c r="AE55" s="208">
        <f>(AE41+AE42+AE43+AE44+AE45+AE46+AE47+AE49+AE50+AE51+AE52+AE53+AE54)-AI42</f>
        <v>5</v>
      </c>
      <c r="AF55" s="209">
        <f>(AF41+AF42+AF43+AF44+AF45+AF46+AF47+AF49+AF50+AF51+AF52+AF53+AF54)-AI49</f>
        <v>6</v>
      </c>
      <c r="AG55" s="62"/>
      <c r="AH55" s="62"/>
      <c r="AI55" s="62"/>
      <c r="AJ55" s="62"/>
      <c r="AK55" s="62"/>
      <c r="AL55" s="62"/>
      <c r="AM55" s="62"/>
      <c r="AN55" s="91">
        <f>SUM(AN49:AN54)</f>
        <v>0</v>
      </c>
      <c r="AO55" s="91">
        <f>SUM(AO49:AO54)</f>
        <v>0</v>
      </c>
      <c r="AP55" s="91"/>
      <c r="AQ55" s="91"/>
      <c r="AR55" s="91">
        <f>SUM(AR49:AR54)</f>
        <v>0</v>
      </c>
      <c r="AS55" s="91">
        <f t="shared" ref="AS55:AW55" si="28">SUM(AS49:AS54)</f>
        <v>0</v>
      </c>
      <c r="AT55" s="91">
        <f t="shared" si="28"/>
        <v>0</v>
      </c>
      <c r="AU55" s="91">
        <f t="shared" si="28"/>
        <v>0</v>
      </c>
      <c r="AV55" s="91">
        <f t="shared" si="28"/>
        <v>0</v>
      </c>
      <c r="AW55" s="91">
        <f t="shared" si="28"/>
        <v>0</v>
      </c>
      <c r="AX55" s="91">
        <f>SUM(AX49:AX54)</f>
        <v>0</v>
      </c>
      <c r="AY55" s="91">
        <f>SUM(AY49:AY54)</f>
        <v>0</v>
      </c>
      <c r="AZ55" s="91">
        <f>SUM(AZ49:AZ54)</f>
        <v>0</v>
      </c>
      <c r="BA55" s="91"/>
      <c r="BB55" s="91"/>
      <c r="BC55" s="91"/>
      <c r="BD55" s="91" t="str">
        <f>IFERROR(VLOOKUP($G55,нормы!$A$14:$BG$15,27,0),"")</f>
        <v/>
      </c>
      <c r="BE55" s="53" t="str">
        <f>IFERROR(W55/VLOOKUP($G55,нормы!$A$14:$BI$15,28,0),"")</f>
        <v/>
      </c>
    </row>
    <row r="56" spans="1:57" s="1" customFormat="1" ht="29.4" customHeight="1" thickBot="1" x14ac:dyDescent="0.5">
      <c r="A56" s="37" t="str">
        <f t="shared" si="15"/>
        <v>1Н</v>
      </c>
      <c r="B56" s="166" t="s">
        <v>130</v>
      </c>
      <c r="C56" s="167"/>
      <c r="D56" s="167"/>
      <c r="E56" s="167"/>
      <c r="F56" s="165"/>
      <c r="G56" s="167"/>
      <c r="H56" s="167"/>
      <c r="I56" s="168"/>
      <c r="J56" s="168"/>
      <c r="K56" s="168"/>
      <c r="L56" s="168"/>
      <c r="M56" s="168"/>
      <c r="N56" s="168"/>
      <c r="O56" s="167"/>
      <c r="P56" s="169"/>
      <c r="Q56" s="169"/>
      <c r="R56" s="169"/>
      <c r="S56" s="169"/>
      <c r="T56" s="169"/>
      <c r="U56" s="170"/>
      <c r="V56" s="170"/>
      <c r="W56" s="171"/>
      <c r="X56" s="171"/>
      <c r="Y56" s="172"/>
      <c r="Z56" s="172"/>
      <c r="AA56" s="201" t="s">
        <v>144</v>
      </c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64"/>
      <c r="AN56" s="167"/>
      <c r="AO56" s="167"/>
      <c r="AP56" s="167"/>
      <c r="AQ56" s="167"/>
      <c r="AR56" s="64"/>
      <c r="AS56" s="64"/>
      <c r="AT56" s="65"/>
      <c r="AU56" s="64"/>
      <c r="AV56" s="49"/>
      <c r="AW56" s="49"/>
      <c r="AX56" s="167"/>
      <c r="AY56" s="167"/>
      <c r="AZ56" s="167"/>
      <c r="BA56" s="167"/>
      <c r="BB56" s="167"/>
      <c r="BC56" s="167"/>
      <c r="BD56" s="66"/>
      <c r="BE56" s="66"/>
    </row>
    <row r="57" spans="1:57" s="1" customFormat="1" ht="23.25" customHeight="1" x14ac:dyDescent="0.4">
      <c r="A57" s="37" t="str">
        <f t="shared" si="15"/>
        <v>1Н</v>
      </c>
      <c r="B57" s="183"/>
      <c r="C57" s="100"/>
      <c r="D57" s="185"/>
      <c r="E57" s="186" t="s">
        <v>57</v>
      </c>
      <c r="F57" s="66" t="s">
        <v>87</v>
      </c>
      <c r="G57" s="66"/>
      <c r="H57" s="108" t="s">
        <v>131</v>
      </c>
      <c r="I57" s="101"/>
      <c r="J57" s="101"/>
      <c r="K57" s="101"/>
      <c r="L57" s="101"/>
      <c r="M57" s="101"/>
      <c r="N57" s="101"/>
      <c r="O57" s="67"/>
      <c r="P57" s="102"/>
      <c r="Q57" s="102"/>
      <c r="R57" s="102"/>
      <c r="S57" s="102"/>
      <c r="T57" s="102"/>
      <c r="U57" s="67"/>
      <c r="V57" s="67"/>
      <c r="W57" s="103"/>
      <c r="X57" s="187"/>
      <c r="Y57" s="68" t="s">
        <v>74</v>
      </c>
      <c r="Z57" s="69"/>
      <c r="AA57" s="90"/>
      <c r="AB57" s="100"/>
      <c r="AC57" s="100"/>
      <c r="AD57" s="186" t="s">
        <v>57</v>
      </c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190"/>
      <c r="AU57" s="66"/>
      <c r="AV57" s="165"/>
      <c r="AW57" s="293"/>
      <c r="AX57" s="66"/>
      <c r="AY57" s="66"/>
      <c r="AZ57" s="66"/>
      <c r="BA57" s="66"/>
      <c r="BB57" s="66"/>
      <c r="BC57" s="66"/>
      <c r="BD57" s="68" t="s">
        <v>74</v>
      </c>
      <c r="BE57" s="69"/>
    </row>
    <row r="58" spans="1:57" s="1" customFormat="1" ht="23.25" customHeight="1" thickBot="1" x14ac:dyDescent="0.45">
      <c r="A58" s="37" t="str">
        <f t="shared" si="15"/>
        <v>1Н</v>
      </c>
      <c r="B58" s="183"/>
      <c r="C58" s="41"/>
      <c r="D58" s="184"/>
      <c r="E58" s="50"/>
      <c r="F58" s="70"/>
      <c r="G58" s="70"/>
      <c r="H58" s="70"/>
      <c r="I58" s="104"/>
      <c r="J58" s="104"/>
      <c r="K58" s="104"/>
      <c r="L58" s="104"/>
      <c r="M58" s="104"/>
      <c r="N58" s="104"/>
      <c r="O58" s="71"/>
      <c r="P58" s="105"/>
      <c r="Q58" s="105"/>
      <c r="R58" s="105"/>
      <c r="S58" s="105"/>
      <c r="T58" s="105"/>
      <c r="U58" s="71"/>
      <c r="V58" s="71"/>
      <c r="W58" s="106"/>
      <c r="X58" s="188"/>
      <c r="Y58" s="72"/>
      <c r="Z58" s="73"/>
      <c r="AA58" s="90"/>
      <c r="AB58" s="41"/>
      <c r="AC58" s="41"/>
      <c r="AD58" s="50"/>
      <c r="AE58" s="47"/>
      <c r="AF58" s="47"/>
      <c r="AG58" s="47"/>
      <c r="AH58" s="47"/>
      <c r="AI58" s="47"/>
      <c r="AJ58" s="47"/>
      <c r="AK58" s="47"/>
      <c r="AL58" s="47"/>
      <c r="AM58" s="70"/>
      <c r="AN58" s="47"/>
      <c r="AO58" s="70"/>
      <c r="AP58" s="70"/>
      <c r="AQ58" s="70"/>
      <c r="AR58" s="70"/>
      <c r="AS58" s="70"/>
      <c r="AT58" s="191"/>
      <c r="AU58" s="70"/>
      <c r="AV58" s="192"/>
      <c r="AW58" s="294"/>
      <c r="AX58" s="70"/>
      <c r="AY58" s="70"/>
      <c r="AZ58" s="70"/>
      <c r="BA58" s="70"/>
      <c r="BB58" s="70"/>
      <c r="BC58" s="70"/>
      <c r="BD58" s="72"/>
      <c r="BE58" s="73"/>
    </row>
    <row r="59" spans="1:57" s="1" customFormat="1" ht="25.5" customHeight="1" x14ac:dyDescent="0.4">
      <c r="A59" s="37" t="str">
        <f t="shared" si="15"/>
        <v>1Н</v>
      </c>
      <c r="B59" s="183"/>
      <c r="C59" s="41"/>
      <c r="D59" s="184"/>
      <c r="E59" s="281">
        <f>B54</f>
        <v>46023</v>
      </c>
      <c r="F59" s="337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98">
        <v>1</v>
      </c>
      <c r="Y59" s="74">
        <v>1</v>
      </c>
      <c r="Z59" s="75">
        <f t="shared" ref="Z59:Z70" si="29">Y59-X59</f>
        <v>0</v>
      </c>
      <c r="AA59" s="189"/>
      <c r="AB59" s="41"/>
      <c r="AC59" s="184"/>
      <c r="AD59" s="210">
        <f>E59</f>
        <v>46023</v>
      </c>
      <c r="AE59" s="387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9"/>
      <c r="BC59" s="98">
        <v>1</v>
      </c>
      <c r="BD59" s="74">
        <v>1</v>
      </c>
      <c r="BE59" s="75">
        <f t="shared" ref="BE59:BE70" si="30">BD59-BC59</f>
        <v>0</v>
      </c>
    </row>
    <row r="60" spans="1:57" s="1" customFormat="1" ht="24" customHeight="1" x14ac:dyDescent="0.4">
      <c r="A60" s="37" t="str">
        <f t="shared" si="15"/>
        <v>1Н</v>
      </c>
      <c r="B60" s="183"/>
      <c r="C60" s="41"/>
      <c r="D60" s="184"/>
      <c r="E60" s="282">
        <f>E59</f>
        <v>46023</v>
      </c>
      <c r="F60" s="335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98">
        <v>1</v>
      </c>
      <c r="Y60" s="74">
        <v>1</v>
      </c>
      <c r="Z60" s="75">
        <f t="shared" si="29"/>
        <v>0</v>
      </c>
      <c r="AA60" s="107">
        <f>AA59</f>
        <v>0</v>
      </c>
      <c r="AB60" s="41"/>
      <c r="AC60" s="184"/>
      <c r="AD60" s="212">
        <f>AD59</f>
        <v>46023</v>
      </c>
      <c r="AE60" s="387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9"/>
      <c r="BC60" s="98">
        <v>1</v>
      </c>
      <c r="BD60" s="74">
        <v>1</v>
      </c>
      <c r="BE60" s="75">
        <f t="shared" si="30"/>
        <v>0</v>
      </c>
    </row>
    <row r="61" spans="1:57" s="1" customFormat="1" ht="24" customHeight="1" x14ac:dyDescent="0.4">
      <c r="A61" s="37" t="str">
        <f t="shared" si="15"/>
        <v>1Н</v>
      </c>
      <c r="B61" s="183"/>
      <c r="C61" s="41"/>
      <c r="D61" s="184"/>
      <c r="E61" s="282">
        <f t="shared" ref="E61:E70" si="31">E60</f>
        <v>46023</v>
      </c>
      <c r="F61" s="335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98">
        <v>1</v>
      </c>
      <c r="Y61" s="74">
        <v>1</v>
      </c>
      <c r="Z61" s="75">
        <f t="shared" si="29"/>
        <v>0</v>
      </c>
      <c r="AA61" s="107">
        <f>AA60</f>
        <v>0</v>
      </c>
      <c r="AB61" s="41"/>
      <c r="AC61" s="184"/>
      <c r="AD61" s="212">
        <f t="shared" ref="AD61:AD70" si="32">AD60</f>
        <v>46023</v>
      </c>
      <c r="AE61" s="387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9"/>
      <c r="BC61" s="98">
        <v>1</v>
      </c>
      <c r="BD61" s="74">
        <v>1</v>
      </c>
      <c r="BE61" s="75">
        <f t="shared" si="30"/>
        <v>0</v>
      </c>
    </row>
    <row r="62" spans="1:57" s="1" customFormat="1" ht="21.9" customHeight="1" x14ac:dyDescent="0.4">
      <c r="A62" s="37" t="str">
        <f t="shared" si="15"/>
        <v>1Н</v>
      </c>
      <c r="B62" s="183"/>
      <c r="C62" s="41"/>
      <c r="D62" s="184"/>
      <c r="E62" s="282">
        <f t="shared" si="31"/>
        <v>46023</v>
      </c>
      <c r="F62" s="335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98">
        <v>1</v>
      </c>
      <c r="Y62" s="74">
        <v>1</v>
      </c>
      <c r="Z62" s="75">
        <f t="shared" si="29"/>
        <v>0</v>
      </c>
      <c r="AA62" s="107">
        <f t="shared" ref="AA62:AA70" si="33">AA61</f>
        <v>0</v>
      </c>
      <c r="AB62" s="41"/>
      <c r="AC62" s="184"/>
      <c r="AD62" s="212">
        <f t="shared" si="32"/>
        <v>46023</v>
      </c>
      <c r="AE62" s="387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9"/>
      <c r="BC62" s="98">
        <v>1</v>
      </c>
      <c r="BD62" s="74">
        <v>1</v>
      </c>
      <c r="BE62" s="75">
        <f t="shared" si="30"/>
        <v>0</v>
      </c>
    </row>
    <row r="63" spans="1:57" s="1" customFormat="1" ht="18" customHeight="1" x14ac:dyDescent="0.4">
      <c r="A63" s="37" t="str">
        <f t="shared" si="15"/>
        <v>1Н</v>
      </c>
      <c r="B63" s="183"/>
      <c r="C63" s="41"/>
      <c r="D63" s="184"/>
      <c r="E63" s="282">
        <f t="shared" si="31"/>
        <v>46023</v>
      </c>
      <c r="F63" s="335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98">
        <v>1</v>
      </c>
      <c r="Y63" s="74">
        <v>1</v>
      </c>
      <c r="Z63" s="75">
        <f t="shared" si="29"/>
        <v>0</v>
      </c>
      <c r="AA63" s="107">
        <f t="shared" si="33"/>
        <v>0</v>
      </c>
      <c r="AB63" s="41"/>
      <c r="AC63" s="184"/>
      <c r="AD63" s="212">
        <f t="shared" si="32"/>
        <v>46023</v>
      </c>
      <c r="AE63" s="387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9"/>
      <c r="BC63" s="98">
        <v>1</v>
      </c>
      <c r="BD63" s="74">
        <v>1</v>
      </c>
      <c r="BE63" s="75">
        <f t="shared" si="30"/>
        <v>0</v>
      </c>
    </row>
    <row r="64" spans="1:57" s="1" customFormat="1" ht="18" customHeight="1" x14ac:dyDescent="0.4">
      <c r="A64" s="37" t="str">
        <f t="shared" si="15"/>
        <v>1Н</v>
      </c>
      <c r="B64" s="183"/>
      <c r="C64" s="41"/>
      <c r="D64" s="184"/>
      <c r="E64" s="282">
        <f t="shared" si="31"/>
        <v>46023</v>
      </c>
      <c r="F64" s="335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98">
        <v>1</v>
      </c>
      <c r="Y64" s="74">
        <v>1</v>
      </c>
      <c r="Z64" s="75">
        <f t="shared" si="29"/>
        <v>0</v>
      </c>
      <c r="AA64" s="107">
        <f t="shared" si="33"/>
        <v>0</v>
      </c>
      <c r="AB64" s="41"/>
      <c r="AC64" s="184"/>
      <c r="AD64" s="212">
        <f t="shared" si="32"/>
        <v>46023</v>
      </c>
      <c r="AE64" s="387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9"/>
      <c r="BC64" s="98">
        <v>1</v>
      </c>
      <c r="BD64" s="74">
        <v>1</v>
      </c>
      <c r="BE64" s="75">
        <f t="shared" si="30"/>
        <v>0</v>
      </c>
    </row>
    <row r="65" spans="1:57" s="1" customFormat="1" ht="18" customHeight="1" x14ac:dyDescent="0.4">
      <c r="A65" s="37" t="str">
        <f t="shared" si="15"/>
        <v>1Н</v>
      </c>
      <c r="B65" s="183"/>
      <c r="C65" s="41"/>
      <c r="D65" s="184"/>
      <c r="E65" s="282">
        <f t="shared" si="31"/>
        <v>46023</v>
      </c>
      <c r="F65" s="335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98">
        <v>1</v>
      </c>
      <c r="Y65" s="74">
        <v>1</v>
      </c>
      <c r="Z65" s="75">
        <f t="shared" si="29"/>
        <v>0</v>
      </c>
      <c r="AA65" s="107">
        <f t="shared" si="33"/>
        <v>0</v>
      </c>
      <c r="AB65" s="41"/>
      <c r="AC65" s="184"/>
      <c r="AD65" s="212">
        <f t="shared" si="32"/>
        <v>46023</v>
      </c>
      <c r="AE65" s="387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9"/>
      <c r="BC65" s="98">
        <v>1</v>
      </c>
      <c r="BD65" s="74">
        <v>1</v>
      </c>
      <c r="BE65" s="75">
        <f t="shared" si="30"/>
        <v>0</v>
      </c>
    </row>
    <row r="66" spans="1:57" s="1" customFormat="1" ht="18" customHeight="1" x14ac:dyDescent="0.4">
      <c r="A66" s="37" t="str">
        <f t="shared" si="15"/>
        <v>1Н</v>
      </c>
      <c r="B66" s="183"/>
      <c r="C66" s="41"/>
      <c r="D66" s="184"/>
      <c r="E66" s="282">
        <f t="shared" si="31"/>
        <v>46023</v>
      </c>
      <c r="F66" s="335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98">
        <v>1</v>
      </c>
      <c r="Y66" s="74">
        <v>1</v>
      </c>
      <c r="Z66" s="75">
        <f t="shared" si="29"/>
        <v>0</v>
      </c>
      <c r="AA66" s="107">
        <f t="shared" si="33"/>
        <v>0</v>
      </c>
      <c r="AB66" s="41"/>
      <c r="AC66" s="184"/>
      <c r="AD66" s="212">
        <f t="shared" si="32"/>
        <v>46023</v>
      </c>
      <c r="AE66" s="387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9"/>
      <c r="BC66" s="98">
        <v>1</v>
      </c>
      <c r="BD66" s="74">
        <v>1</v>
      </c>
      <c r="BE66" s="75">
        <f t="shared" si="30"/>
        <v>0</v>
      </c>
    </row>
    <row r="67" spans="1:57" s="1" customFormat="1" ht="18" customHeight="1" x14ac:dyDescent="0.4">
      <c r="A67" s="37" t="str">
        <f t="shared" si="15"/>
        <v>1Н</v>
      </c>
      <c r="B67" s="183"/>
      <c r="C67" s="41"/>
      <c r="D67" s="184"/>
      <c r="E67" s="282">
        <f t="shared" si="31"/>
        <v>46023</v>
      </c>
      <c r="F67" s="335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98">
        <v>1</v>
      </c>
      <c r="Y67" s="74">
        <v>1</v>
      </c>
      <c r="Z67" s="75">
        <f t="shared" si="29"/>
        <v>0</v>
      </c>
      <c r="AA67" s="107">
        <f t="shared" si="33"/>
        <v>0</v>
      </c>
      <c r="AB67" s="41"/>
      <c r="AC67" s="184"/>
      <c r="AD67" s="212">
        <f t="shared" si="32"/>
        <v>46023</v>
      </c>
      <c r="AE67" s="387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9"/>
      <c r="BC67" s="98">
        <v>1</v>
      </c>
      <c r="BD67" s="74">
        <v>1</v>
      </c>
      <c r="BE67" s="75">
        <f t="shared" si="30"/>
        <v>0</v>
      </c>
    </row>
    <row r="68" spans="1:57" s="1" customFormat="1" ht="18" customHeight="1" x14ac:dyDescent="0.4">
      <c r="A68" s="37" t="str">
        <f t="shared" si="15"/>
        <v>1Н</v>
      </c>
      <c r="B68" s="183"/>
      <c r="C68" s="41"/>
      <c r="D68" s="184"/>
      <c r="E68" s="282">
        <f t="shared" si="31"/>
        <v>46023</v>
      </c>
      <c r="F68" s="335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98">
        <v>1</v>
      </c>
      <c r="Y68" s="74">
        <v>1</v>
      </c>
      <c r="Z68" s="75">
        <f t="shared" si="29"/>
        <v>0</v>
      </c>
      <c r="AA68" s="107">
        <f t="shared" si="33"/>
        <v>0</v>
      </c>
      <c r="AB68" s="41"/>
      <c r="AC68" s="184"/>
      <c r="AD68" s="212">
        <f t="shared" si="32"/>
        <v>46023</v>
      </c>
      <c r="AE68" s="387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9"/>
      <c r="BC68" s="98">
        <v>1</v>
      </c>
      <c r="BD68" s="74">
        <v>1</v>
      </c>
      <c r="BE68" s="75">
        <f t="shared" si="30"/>
        <v>0</v>
      </c>
    </row>
    <row r="69" spans="1:57" s="1" customFormat="1" ht="18" customHeight="1" x14ac:dyDescent="0.4">
      <c r="A69" s="37" t="str">
        <f t="shared" si="15"/>
        <v>1Н</v>
      </c>
      <c r="B69" s="183"/>
      <c r="C69" s="41"/>
      <c r="D69" s="184"/>
      <c r="E69" s="282">
        <f t="shared" si="31"/>
        <v>46023</v>
      </c>
      <c r="F69" s="335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98">
        <v>1</v>
      </c>
      <c r="Y69" s="74">
        <v>1</v>
      </c>
      <c r="Z69" s="75">
        <f t="shared" si="29"/>
        <v>0</v>
      </c>
      <c r="AA69" s="107">
        <f t="shared" si="33"/>
        <v>0</v>
      </c>
      <c r="AB69" s="41"/>
      <c r="AC69" s="184"/>
      <c r="AD69" s="212">
        <f t="shared" si="32"/>
        <v>46023</v>
      </c>
      <c r="AE69" s="387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9"/>
      <c r="BC69" s="98">
        <v>1</v>
      </c>
      <c r="BD69" s="74">
        <v>1</v>
      </c>
      <c r="BE69" s="75">
        <f t="shared" si="30"/>
        <v>0</v>
      </c>
    </row>
    <row r="70" spans="1:57" s="1" customFormat="1" ht="18" customHeight="1" thickBot="1" x14ac:dyDescent="0.45">
      <c r="A70" s="37" t="str">
        <f t="shared" si="15"/>
        <v>1Н</v>
      </c>
      <c r="B70" s="183"/>
      <c r="C70" s="41"/>
      <c r="D70" s="184"/>
      <c r="E70" s="283">
        <f t="shared" si="31"/>
        <v>46023</v>
      </c>
      <c r="F70" s="339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99">
        <v>1</v>
      </c>
      <c r="Y70" s="76">
        <v>1</v>
      </c>
      <c r="Z70" s="77">
        <f t="shared" si="29"/>
        <v>0</v>
      </c>
      <c r="AA70" s="107">
        <f t="shared" si="33"/>
        <v>0</v>
      </c>
      <c r="AB70" s="41"/>
      <c r="AC70" s="184"/>
      <c r="AD70" s="211">
        <f t="shared" si="32"/>
        <v>46023</v>
      </c>
      <c r="AE70" s="410"/>
      <c r="AF70" s="411"/>
      <c r="AG70" s="411"/>
      <c r="AH70" s="411"/>
      <c r="AI70" s="411"/>
      <c r="AJ70" s="411"/>
      <c r="AK70" s="411"/>
      <c r="AL70" s="411"/>
      <c r="AM70" s="411"/>
      <c r="AN70" s="411"/>
      <c r="AO70" s="411"/>
      <c r="AP70" s="411"/>
      <c r="AQ70" s="411"/>
      <c r="AR70" s="411"/>
      <c r="AS70" s="411"/>
      <c r="AT70" s="411"/>
      <c r="AU70" s="411"/>
      <c r="AV70" s="411"/>
      <c r="AW70" s="411"/>
      <c r="AX70" s="411"/>
      <c r="AY70" s="411"/>
      <c r="AZ70" s="411"/>
      <c r="BA70" s="411"/>
      <c r="BB70" s="412"/>
      <c r="BC70" s="99">
        <v>1</v>
      </c>
      <c r="BD70" s="76">
        <v>1</v>
      </c>
      <c r="BE70" s="75">
        <f t="shared" si="30"/>
        <v>0</v>
      </c>
    </row>
    <row r="71" spans="1:57" s="1" customFormat="1" ht="23.25" customHeight="1" thickBot="1" x14ac:dyDescent="0.45">
      <c r="A71" s="37" t="str">
        <f t="shared" si="15"/>
        <v>1Н</v>
      </c>
      <c r="B71" s="193"/>
      <c r="C71" s="47"/>
      <c r="D71" s="47"/>
      <c r="E71" s="47"/>
      <c r="F71" s="78"/>
      <c r="G71" s="78"/>
      <c r="H71" s="78"/>
      <c r="I71" s="80"/>
      <c r="J71" s="80"/>
      <c r="K71" s="80"/>
      <c r="L71" s="80"/>
      <c r="M71" s="80"/>
      <c r="N71" s="80"/>
      <c r="O71" s="78"/>
      <c r="P71" s="81"/>
      <c r="Q71" s="81"/>
      <c r="R71" s="81"/>
      <c r="S71" s="81"/>
      <c r="T71" s="81"/>
      <c r="U71" s="82"/>
      <c r="V71" s="82"/>
      <c r="W71" s="86"/>
      <c r="X71" s="194"/>
      <c r="Y71" s="83"/>
      <c r="Z71" s="83"/>
      <c r="AA71" s="78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84"/>
      <c r="AN71" s="47"/>
      <c r="AO71" s="78"/>
      <c r="AP71" s="78"/>
      <c r="AQ71" s="78"/>
      <c r="AR71" s="84"/>
      <c r="AS71" s="78"/>
      <c r="AT71" s="85"/>
      <c r="AU71" s="78"/>
      <c r="AV71" s="83"/>
      <c r="AW71" s="83"/>
      <c r="AX71" s="78"/>
      <c r="AY71" s="78"/>
      <c r="AZ71" s="78"/>
      <c r="BA71" s="78"/>
      <c r="BB71" s="78"/>
      <c r="BC71" s="78"/>
      <c r="BD71" s="79"/>
      <c r="BE71" s="79"/>
    </row>
    <row r="72" spans="1:57" s="1" customFormat="1" ht="21.6" customHeight="1" thickBot="1" x14ac:dyDescent="0.45">
      <c r="A72" s="37" t="s">
        <v>145</v>
      </c>
      <c r="B72" s="59"/>
      <c r="C72" s="51"/>
      <c r="D72" s="51"/>
      <c r="E72" s="51"/>
      <c r="F72" s="158" t="s">
        <v>147</v>
      </c>
      <c r="G72" s="51"/>
      <c r="H72" s="51"/>
      <c r="I72" s="156"/>
      <c r="J72" s="156"/>
      <c r="K72" s="156"/>
      <c r="L72" s="156"/>
      <c r="M72" s="156"/>
      <c r="N72" s="156"/>
      <c r="O72" s="91"/>
      <c r="P72" s="52"/>
      <c r="Q72" s="52"/>
      <c r="R72" s="52"/>
      <c r="S72" s="52"/>
      <c r="T72" s="52"/>
      <c r="U72" s="157"/>
      <c r="V72" s="157"/>
      <c r="W72" s="94"/>
      <c r="X72" s="94"/>
      <c r="Y72" s="51"/>
      <c r="Z72" s="51"/>
      <c r="AA72" s="157">
        <f>AA55</f>
        <v>1</v>
      </c>
      <c r="AB72" s="157">
        <f t="shared" ref="AB72:AF72" si="34">AB55</f>
        <v>2</v>
      </c>
      <c r="AC72" s="157">
        <f t="shared" si="34"/>
        <v>3</v>
      </c>
      <c r="AD72" s="157">
        <f t="shared" si="34"/>
        <v>4</v>
      </c>
      <c r="AE72" s="157">
        <f t="shared" si="34"/>
        <v>5</v>
      </c>
      <c r="AF72" s="157">
        <f t="shared" si="34"/>
        <v>6</v>
      </c>
      <c r="AG72" s="162" t="s">
        <v>123</v>
      </c>
      <c r="AH72" s="162" t="s">
        <v>124</v>
      </c>
      <c r="AI72" s="162" t="s">
        <v>125</v>
      </c>
      <c r="AJ72" s="91" t="s">
        <v>126</v>
      </c>
      <c r="AK72" s="198" t="s">
        <v>136</v>
      </c>
      <c r="AL72" s="198" t="s">
        <v>137</v>
      </c>
      <c r="AM72" s="198" t="s">
        <v>138</v>
      </c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</row>
    <row r="73" spans="1:57" s="1" customFormat="1" ht="21.6" customHeight="1" x14ac:dyDescent="0.4">
      <c r="A73" s="37" t="str">
        <f>A72</f>
        <v>2Д</v>
      </c>
      <c r="B73" s="12">
        <f>B54+1</f>
        <v>46024</v>
      </c>
      <c r="C73" s="97"/>
      <c r="D73" s="97">
        <v>1</v>
      </c>
      <c r="E73" s="29"/>
      <c r="F73" s="151" t="str">
        <f>IFERROR(VLOOKUP($G73,нормы!$A$14:$BC$57,2,0),"")</f>
        <v/>
      </c>
      <c r="G73" s="93"/>
      <c r="H73" s="54">
        <f>IF(C73=1,"Кульков С.А.", IF(C73=2,"Чудаков А.А.",IF(C73=3,"Королев В.Н.",IF(C73=4,"Николашин М.П.",IF(C73=5," Кульков С.А.",IF(C73=6,"А.А. Чудаков",IF(C73=7,"В.Н. Королев",IF(C73=8,"М.П. Николашин",0))))))))</f>
        <v>0</v>
      </c>
      <c r="I73" s="88" t="s">
        <v>84</v>
      </c>
      <c r="J73" s="332"/>
      <c r="K73" s="30">
        <f>IFERROR(VLOOKUP($G73,[1]нормы!$A$21:$BC$151,15,0),"")</f>
        <v>0</v>
      </c>
      <c r="L73" s="31">
        <f>IFERROR(VLOOKUP($G73,[1]нормы!$A$21:$BC$151,17,0),"")</f>
        <v>0</v>
      </c>
      <c r="M73" s="310">
        <f>IFERROR(VLOOKUP($G73,[1]нормы!$A$21:$BC$151,27,0),"")</f>
        <v>0</v>
      </c>
      <c r="N73" s="311" t="str">
        <f>IFERROR(Y73/Y79*(1.1*J73*I78),"")</f>
        <v/>
      </c>
      <c r="O73" s="300">
        <f>IFERROR(VLOOKUP($G73,[1]нормы!$A$21:$BC$151,21,0),"")</f>
        <v>0</v>
      </c>
      <c r="P73" s="35">
        <f>IFERROR(VLOOKUP($G73,[1]нормы!$A$21:$BC$151,19,0),"")</f>
        <v>0</v>
      </c>
      <c r="Q73" s="35">
        <f>IFERROR(VLOOKUP($G73,[1]нормы!$A$21:$BC$151,23,0),"")</f>
        <v>0</v>
      </c>
      <c r="R73" s="231">
        <f>IFERROR(VLOOKUP($G73,[1]нормы!$A$21:$BC$151,29,0),"")</f>
        <v>0</v>
      </c>
      <c r="S73" s="35">
        <f>IFERROR(VLOOKUP($G73,[1]нормы!$A$21:$BC$151,31,0),"")</f>
        <v>0</v>
      </c>
      <c r="T73" s="32">
        <f>IFERROR(VLOOKUP($G73,[1]нормы!$A$21:$BC$151,25,0),"")</f>
        <v>0</v>
      </c>
      <c r="U73" s="232" t="str">
        <f>IFERROR(W73/(((100*Y73/Y79)*I78)/100),"")</f>
        <v/>
      </c>
      <c r="V73" s="234" t="str">
        <f>IFERROR(VLOOKUP($G73,нормы!$A$14:$BC$57,38,0),"")</f>
        <v/>
      </c>
      <c r="W73" s="136"/>
      <c r="X73" s="236"/>
      <c r="Y73" s="152" t="str">
        <f>IFERROR(VLOOKUP($G73,нормы!$A$14:$BC$57,42,0)*W73,"")</f>
        <v/>
      </c>
      <c r="Z73" s="163">
        <f>IFERROR(VLOOKUP($G73,нормы!$A$14:$BC$57,14,0)*W73/1000,0)</f>
        <v>0</v>
      </c>
      <c r="AA73" s="33"/>
      <c r="AB73" s="36"/>
      <c r="AC73" s="36"/>
      <c r="AD73" s="36"/>
      <c r="AE73" s="34"/>
      <c r="AF73" s="159"/>
      <c r="AG73" s="390"/>
      <c r="AH73" s="393"/>
      <c r="AI73" s="396"/>
      <c r="AJ73" s="407">
        <f>AG73+AH73</f>
        <v>0</v>
      </c>
      <c r="AK73" s="359"/>
      <c r="AL73" s="359"/>
      <c r="AM73" s="359"/>
      <c r="AN73" s="287">
        <f>IFERROR(Y73*AJ73/Y79,)</f>
        <v>0</v>
      </c>
      <c r="AO73" s="197" t="str">
        <f>IFERROR(VLOOKUP($G73,нормы!$A$14:$BC$57,53,0)*$W73,"")</f>
        <v/>
      </c>
      <c r="AP73" s="288">
        <f>IFERROR(Y73*AI73/Y79,)</f>
        <v>0</v>
      </c>
      <c r="AQ73" s="197" t="str">
        <f>IFERROR(VLOOKUP($G73,нормы!$A$14:$BC$57,54,0)*$W73,"")</f>
        <v/>
      </c>
      <c r="AR73" s="288">
        <f>IFERROR(AS73/SUM(AS73:AS78)*AL73,0)</f>
        <v>0</v>
      </c>
      <c r="AS73" s="197" t="str">
        <f>IFERROR(VLOOKUP($G73,нормы!$A$14:$BC$57,55,0)*W73,"")</f>
        <v/>
      </c>
      <c r="AT73" s="288">
        <f>IFERROR(AU73/SUM(AU73:AU78)*AM73,0)</f>
        <v>0</v>
      </c>
      <c r="AU73" s="197" t="str">
        <f>IFERROR(VLOOKUP($G73,нормы!$A$14:$BI$57,56,0)*W73,"")</f>
        <v/>
      </c>
      <c r="AV73" s="288">
        <f>IFERROR(AW73/SUM(AW73:AW78)*AK73,0)</f>
        <v>0</v>
      </c>
      <c r="AW73" s="202" t="str">
        <f>IFERROR(VLOOKUP($G73,нормы!$A$14:$BI$57,57,0)*W73,"")</f>
        <v/>
      </c>
      <c r="AX73" s="33"/>
      <c r="AY73" s="203" t="str">
        <f>IFERROR(VLOOKUP($G73,нормы!$A$14:$BI$57,58,0)*W73,"")</f>
        <v/>
      </c>
      <c r="AZ73" s="204"/>
      <c r="BA73" s="200" t="str">
        <f>IFERROR(VLOOKUP($G73,нормы!$A$14:$BI$57,61,0)*$W73,"")</f>
        <v/>
      </c>
      <c r="BB73" s="33"/>
      <c r="BC73" s="203" t="str">
        <f>IFERROR(VLOOKUP($G73,нормы!$A$14:$BI$57,60,0)*W73,"")</f>
        <v/>
      </c>
      <c r="BD73" s="200" t="str">
        <f>IFERROR(VLOOKUP($G73,нормы!$A$14:$BG$57,44,0),"")</f>
        <v/>
      </c>
      <c r="BE73" s="199" t="str">
        <f>IFERROR(W73/VLOOKUP($G73,нормы!$A$14:$BI$57,45,0),"")</f>
        <v/>
      </c>
    </row>
    <row r="74" spans="1:57" s="1" customFormat="1" ht="21.6" customHeight="1" x14ac:dyDescent="0.4">
      <c r="A74" s="37" t="str">
        <f t="shared" ref="A74:D86" si="35">A73</f>
        <v>2Д</v>
      </c>
      <c r="B74" s="12">
        <f t="shared" si="35"/>
        <v>46024</v>
      </c>
      <c r="C74" s="97">
        <f t="shared" si="35"/>
        <v>0</v>
      </c>
      <c r="D74" s="97">
        <f t="shared" si="35"/>
        <v>1</v>
      </c>
      <c r="E74" s="54"/>
      <c r="F74" s="151" t="str">
        <f>IFERROR(VLOOKUP($G74,нормы!$A$14:$BC$57,2,0),"")</f>
        <v/>
      </c>
      <c r="G74" s="93"/>
      <c r="H74" s="54">
        <f t="shared" ref="H74:H78" si="36">IF(C74=1,"Кульков С.А.", IF(C74=2,"Чудаков А.А.",IF(C74=3,"Королев В.Н.",IF(C74=4,"Николашин М.П.",IF(C74=5," Кульков С.А.",IF(C74=6,"А.А. Чудаков",IF(C74=7,"В.Н. Королев",IF(C74=8,"М.П. Николашин",0))))))))</f>
        <v>0</v>
      </c>
      <c r="I74" s="55"/>
      <c r="J74" s="333"/>
      <c r="K74" s="30">
        <f>IFERROR(VLOOKUP($G74,[1]нормы!$A$21:$BC$151,15,0),"")</f>
        <v>0</v>
      </c>
      <c r="L74" s="31">
        <f>IFERROR(VLOOKUP($G74,[1]нормы!$A$21:$BC$151,17,0),"")</f>
        <v>0</v>
      </c>
      <c r="M74" s="306">
        <f>IFERROR(VLOOKUP($G74,[1]нормы!$A$21:$BC$151,27,0),"")</f>
        <v>0</v>
      </c>
      <c r="N74" s="307" t="str">
        <f>IFERROR(Y74/Y79*(1.1*J73*I78),"")</f>
        <v/>
      </c>
      <c r="O74" s="300">
        <f>IFERROR(VLOOKUP($G74,[1]нормы!$A$21:$BC$151,21,0),"")</f>
        <v>0</v>
      </c>
      <c r="P74" s="35">
        <f>IFERROR(VLOOKUP($G74,[1]нормы!$A$21:$BC$151,19,0),"")</f>
        <v>0</v>
      </c>
      <c r="Q74" s="35">
        <f>IFERROR(VLOOKUP($G74,[1]нормы!$A$21:$BC$151,23,0),"")</f>
        <v>0</v>
      </c>
      <c r="R74" s="231">
        <f>IFERROR(VLOOKUP($G74,[1]нормы!$A$21:$BC$151,29,0),"")</f>
        <v>0</v>
      </c>
      <c r="S74" s="35">
        <f>IFERROR(VLOOKUP($G74,[1]нормы!$A$21:$BC$151,31,0),"")</f>
        <v>0</v>
      </c>
      <c r="T74" s="32">
        <f>IFERROR(VLOOKUP($G74,[1]нормы!$A$21:$BC$151,25,0),"")</f>
        <v>0</v>
      </c>
      <c r="U74" s="233" t="str">
        <f>IFERROR(W74/(((100*Y74/Y79)*I78)/100),"")</f>
        <v/>
      </c>
      <c r="V74" s="234" t="str">
        <f>IFERROR(VLOOKUP($G74,нормы!$A$14:$BC$57,38,0),"")</f>
        <v/>
      </c>
      <c r="W74" s="136"/>
      <c r="X74" s="237"/>
      <c r="Y74" s="152" t="str">
        <f>IFERROR(VLOOKUP($G74,нормы!$A$14:$BC$57,42,0)*W74,"")</f>
        <v/>
      </c>
      <c r="Z74" s="163">
        <f>IFERROR(VLOOKUP($G74,нормы!$A$14:$BC$57,14,0)*W74/1000,0)</f>
        <v>0</v>
      </c>
      <c r="AA74" s="142"/>
      <c r="AB74" s="35"/>
      <c r="AC74" s="35"/>
      <c r="AD74" s="35"/>
      <c r="AE74" s="31"/>
      <c r="AF74" s="160"/>
      <c r="AG74" s="391"/>
      <c r="AH74" s="394"/>
      <c r="AI74" s="397"/>
      <c r="AJ74" s="408"/>
      <c r="AK74" s="360"/>
      <c r="AL74" s="360"/>
      <c r="AM74" s="360"/>
      <c r="AN74" s="289">
        <f>IFERROR(Y74*AJ73/Y79,)</f>
        <v>0</v>
      </c>
      <c r="AO74" s="197" t="str">
        <f>IFERROR(VLOOKUP($G74,нормы!$A$14:$BC$57,53,0)*$W74,"")</f>
        <v/>
      </c>
      <c r="AP74" s="290">
        <f>IFERROR(Y74*AI73/Y79,)</f>
        <v>0</v>
      </c>
      <c r="AQ74" s="197" t="str">
        <f>IFERROR(VLOOKUP($G74,нормы!$A$14:$BC$57,54,0)*$W74,"")</f>
        <v/>
      </c>
      <c r="AR74" s="290">
        <f>IFERROR(AS74/SUM(AS73:AS78)*AL73,0)</f>
        <v>0</v>
      </c>
      <c r="AS74" s="197" t="str">
        <f>IFERROR(VLOOKUP($G74,нормы!$A$14:$BC$57,55,0)*W74,"")</f>
        <v/>
      </c>
      <c r="AT74" s="290">
        <f>IFERROR(AU74/SUM(AU73:AU78)*AM73,0)</f>
        <v>0</v>
      </c>
      <c r="AU74" s="197" t="str">
        <f>IFERROR(VLOOKUP($G74,нормы!$A$14:$BI$57,56,0)*W74,"")</f>
        <v/>
      </c>
      <c r="AV74" s="290">
        <f>IFERROR(AW74/SUM(AW73:AW78)*AK73,0)</f>
        <v>0</v>
      </c>
      <c r="AW74" s="202" t="str">
        <f>IFERROR(VLOOKUP($G74,нормы!$A$14:$BI$57,57,0)*W74,"")</f>
        <v/>
      </c>
      <c r="AX74" s="30"/>
      <c r="AY74" s="203" t="str">
        <f>IFERROR(VLOOKUP($G74,нормы!$A$14:$BI$57,58,0)*W74,"")</f>
        <v/>
      </c>
      <c r="AZ74" s="205"/>
      <c r="BA74" s="200" t="str">
        <f>IFERROR(VLOOKUP($G74,нормы!$A$14:$BI$57,61,0)*$W74,"")</f>
        <v/>
      </c>
      <c r="BB74" s="30"/>
      <c r="BC74" s="203" t="str">
        <f>IFERROR(VLOOKUP($G74,нормы!$A$14:$BI$57,60,0)*W74,"")</f>
        <v/>
      </c>
      <c r="BD74" s="200" t="str">
        <f>IFERROR(VLOOKUP($G74,нормы!$A$14:$BG$57,44,0),"")</f>
        <v/>
      </c>
      <c r="BE74" s="199" t="str">
        <f>IFERROR(W74/VLOOKUP($G74,нормы!$A$14:$BI$57,45,0),"")</f>
        <v/>
      </c>
    </row>
    <row r="75" spans="1:57" s="1" customFormat="1" ht="20.25" customHeight="1" x14ac:dyDescent="0.4">
      <c r="A75" s="37" t="str">
        <f t="shared" si="35"/>
        <v>2Д</v>
      </c>
      <c r="B75" s="12">
        <f t="shared" si="35"/>
        <v>46024</v>
      </c>
      <c r="C75" s="97">
        <f t="shared" si="35"/>
        <v>0</v>
      </c>
      <c r="D75" s="97">
        <f t="shared" si="35"/>
        <v>1</v>
      </c>
      <c r="E75" s="54"/>
      <c r="F75" s="151" t="str">
        <f>IFERROR(VLOOKUP($G75,нормы!$A$14:$BC$57,2,0),"")</f>
        <v/>
      </c>
      <c r="G75" s="38"/>
      <c r="H75" s="54">
        <f t="shared" si="36"/>
        <v>0</v>
      </c>
      <c r="I75" s="89" t="s">
        <v>85</v>
      </c>
      <c r="J75" s="333"/>
      <c r="K75" s="30">
        <f>IFERROR(VLOOKUP($G75,[1]нормы!$A$21:$BC$151,15,0),"")</f>
        <v>0</v>
      </c>
      <c r="L75" s="31">
        <f>IFERROR(VLOOKUP($G75,[1]нормы!$A$21:$BC$151,17,0),"")</f>
        <v>0</v>
      </c>
      <c r="M75" s="306">
        <f>IFERROR(VLOOKUP($G75,[1]нормы!$A$21:$BC$151,27,0),"")</f>
        <v>0</v>
      </c>
      <c r="N75" s="307" t="str">
        <f>IFERROR(Y75/Y79*(1.1*J73*I78),"")</f>
        <v/>
      </c>
      <c r="O75" s="300">
        <f>IFERROR(VLOOKUP($G75,[1]нормы!$A$21:$BC$151,21,0),"")</f>
        <v>0</v>
      </c>
      <c r="P75" s="35">
        <f>IFERROR(VLOOKUP($G75,[1]нормы!$A$21:$BC$151,19,0),"")</f>
        <v>0</v>
      </c>
      <c r="Q75" s="35">
        <f>IFERROR(VLOOKUP($G75,[1]нормы!$A$21:$BC$151,23,0),"")</f>
        <v>0</v>
      </c>
      <c r="R75" s="231">
        <f>IFERROR(VLOOKUP($G75,[1]нормы!$A$21:$BC$151,29,0),"")</f>
        <v>0</v>
      </c>
      <c r="S75" s="35">
        <f>IFERROR(VLOOKUP($G75,[1]нормы!$A$21:$BC$151,31,0),"")</f>
        <v>0</v>
      </c>
      <c r="T75" s="32">
        <f>IFERROR(VLOOKUP($G75,[1]нормы!$A$21:$BC$151,25,0),"")</f>
        <v>0</v>
      </c>
      <c r="U75" s="233" t="str">
        <f>IFERROR(W75/(((100*Y75/Y79)*I78)/100),"")</f>
        <v/>
      </c>
      <c r="V75" s="234" t="str">
        <f>IFERROR(VLOOKUP($G75,нормы!$A$14:$BC$57,38,0),"")</f>
        <v/>
      </c>
      <c r="W75" s="136"/>
      <c r="X75" s="237"/>
      <c r="Y75" s="152" t="str">
        <f>IFERROR(VLOOKUP($G75,нормы!$A$14:$BC$57,42,0)*W75,"")</f>
        <v/>
      </c>
      <c r="Z75" s="163">
        <f>IFERROR(VLOOKUP($G75,нормы!$A$14:$BC$57,14,0)*W75/1000,0)</f>
        <v>0</v>
      </c>
      <c r="AA75" s="30"/>
      <c r="AB75" s="35"/>
      <c r="AC75" s="35"/>
      <c r="AD75" s="35"/>
      <c r="AE75" s="31"/>
      <c r="AF75" s="160"/>
      <c r="AG75" s="391"/>
      <c r="AH75" s="394"/>
      <c r="AI75" s="397"/>
      <c r="AJ75" s="408"/>
      <c r="AK75" s="360"/>
      <c r="AL75" s="360"/>
      <c r="AM75" s="360"/>
      <c r="AN75" s="289">
        <f>IFERROR(Y75*AJ73/Y79,)</f>
        <v>0</v>
      </c>
      <c r="AO75" s="197" t="str">
        <f>IFERROR(VLOOKUP($G75,нормы!$A$14:$BC$57,53,0)*$W75,"")</f>
        <v/>
      </c>
      <c r="AP75" s="290">
        <f>IFERROR(Y75*AI73/Y79,)</f>
        <v>0</v>
      </c>
      <c r="AQ75" s="197" t="str">
        <f>IFERROR(VLOOKUP($G75,нормы!$A$14:$BC$57,54,0)*$W75,"")</f>
        <v/>
      </c>
      <c r="AR75" s="290">
        <f>IFERROR(AS75/SUM(AS73:AS78)*AL73,0)</f>
        <v>0</v>
      </c>
      <c r="AS75" s="197" t="str">
        <f>IFERROR(VLOOKUP($G75,нормы!$A$14:$BC$57,55,0)*W75,"")</f>
        <v/>
      </c>
      <c r="AT75" s="290">
        <f>IFERROR(AU75/SUM(AU73:AU78)*AM73,0)</f>
        <v>0</v>
      </c>
      <c r="AU75" s="197" t="str">
        <f>IFERROR(VLOOKUP($G75,нормы!$A$14:$BI$57,56,0)*W75,"")</f>
        <v/>
      </c>
      <c r="AV75" s="290">
        <f>IFERROR(AW75/SUM(AW73:AW78)*AK73,0)</f>
        <v>0</v>
      </c>
      <c r="AW75" s="202" t="str">
        <f>IFERROR(VLOOKUP($G75,нормы!$A$14:$BI$57,57,0)*W75,"")</f>
        <v/>
      </c>
      <c r="AX75" s="30"/>
      <c r="AY75" s="203" t="str">
        <f>IFERROR(VLOOKUP($G75,нормы!$A$14:$BI$57,58,0)*W75,"")</f>
        <v/>
      </c>
      <c r="AZ75" s="205"/>
      <c r="BA75" s="200" t="str">
        <f>IFERROR(VLOOKUP($G75,нормы!$A$14:$BI$57,61,0)*$W75,"")</f>
        <v/>
      </c>
      <c r="BB75" s="30"/>
      <c r="BC75" s="203" t="str">
        <f>IFERROR(VLOOKUP($G75,нормы!$A$14:$BI$57,60,0)*W75,"")</f>
        <v/>
      </c>
      <c r="BD75" s="200" t="str">
        <f>IFERROR(VLOOKUP($G75,нормы!$A$14:$BG$57,44,0),"")</f>
        <v/>
      </c>
      <c r="BE75" s="199" t="str">
        <f>IFERROR(W75/VLOOKUP($G75,нормы!$A$14:$BI$57,45,0),"")</f>
        <v/>
      </c>
    </row>
    <row r="76" spans="1:57" s="1" customFormat="1" ht="20.25" customHeight="1" x14ac:dyDescent="0.4">
      <c r="A76" s="37" t="str">
        <f t="shared" si="35"/>
        <v>2Д</v>
      </c>
      <c r="B76" s="12">
        <f t="shared" si="35"/>
        <v>46024</v>
      </c>
      <c r="C76" s="97">
        <f t="shared" si="35"/>
        <v>0</v>
      </c>
      <c r="D76" s="97">
        <f t="shared" si="35"/>
        <v>1</v>
      </c>
      <c r="E76" s="54"/>
      <c r="F76" s="151" t="str">
        <f>IFERROR(VLOOKUP($G76,нормы!$A$14:$BC$57,2,0),"")</f>
        <v/>
      </c>
      <c r="G76" s="93"/>
      <c r="H76" s="54">
        <f t="shared" si="36"/>
        <v>0</v>
      </c>
      <c r="I76" s="55"/>
      <c r="J76" s="333"/>
      <c r="K76" s="30">
        <f>IFERROR(VLOOKUP($G76,[1]нормы!$A$21:$BC$151,15,0),"")</f>
        <v>0</v>
      </c>
      <c r="L76" s="31">
        <f>IFERROR(VLOOKUP($G76,[1]нормы!$A$21:$BC$151,17,0),"")</f>
        <v>0</v>
      </c>
      <c r="M76" s="306">
        <f>IFERROR(VLOOKUP($G76,[1]нормы!$A$21:$BC$151,27,0),"")</f>
        <v>0</v>
      </c>
      <c r="N76" s="307" t="str">
        <f>IFERROR(Y76/Y79*(1.1*J73*I81),"")</f>
        <v/>
      </c>
      <c r="O76" s="300">
        <f>IFERROR(VLOOKUP($G76,[1]нормы!$A$21:$BC$151,21,0),"")</f>
        <v>0</v>
      </c>
      <c r="P76" s="35">
        <f>IFERROR(VLOOKUP($G76,[1]нормы!$A$21:$BC$151,19,0),"")</f>
        <v>0</v>
      </c>
      <c r="Q76" s="35">
        <f>IFERROR(VLOOKUP($G76,[1]нормы!$A$21:$BC$151,23,0),"")</f>
        <v>0</v>
      </c>
      <c r="R76" s="231">
        <f>IFERROR(VLOOKUP($G76,[1]нормы!$A$21:$BC$151,29,0),"")</f>
        <v>0</v>
      </c>
      <c r="S76" s="35">
        <f>IFERROR(VLOOKUP($G76,[1]нормы!$A$21:$BC$151,31,0),"")</f>
        <v>0</v>
      </c>
      <c r="T76" s="32">
        <f>IFERROR(VLOOKUP($G76,[1]нормы!$A$21:$BC$151,25,0),"")</f>
        <v>0</v>
      </c>
      <c r="U76" s="233" t="str">
        <f>IFERROR(W76/(((100*Y76/Y79)*I78)/100),"")</f>
        <v/>
      </c>
      <c r="V76" s="234" t="str">
        <f>IFERROR(VLOOKUP($G76,нормы!$A$14:$BC$57,38,0),"")</f>
        <v/>
      </c>
      <c r="W76" s="136"/>
      <c r="X76" s="237"/>
      <c r="Y76" s="152" t="str">
        <f>IFERROR(VLOOKUP($G76,нормы!$A$14:$BC$57,42,0)*W76,"")</f>
        <v/>
      </c>
      <c r="Z76" s="163">
        <f>IFERROR(VLOOKUP($G76,нормы!$A$14:$BC$57,14,0)*W76/1000,0)</f>
        <v>0</v>
      </c>
      <c r="AA76" s="30"/>
      <c r="AB76" s="35"/>
      <c r="AC76" s="35"/>
      <c r="AD76" s="35"/>
      <c r="AE76" s="31"/>
      <c r="AF76" s="160"/>
      <c r="AG76" s="391"/>
      <c r="AH76" s="394"/>
      <c r="AI76" s="397"/>
      <c r="AJ76" s="408"/>
      <c r="AK76" s="360"/>
      <c r="AL76" s="360"/>
      <c r="AM76" s="360"/>
      <c r="AN76" s="289">
        <f>IFERROR(Y76*AJ73/Y79,)</f>
        <v>0</v>
      </c>
      <c r="AO76" s="197" t="str">
        <f>IFERROR(VLOOKUP($G76,нормы!$A$14:$BC$57,53,0)*$W76,"")</f>
        <v/>
      </c>
      <c r="AP76" s="290">
        <f>IFERROR(Y76*AI73/Y79,)</f>
        <v>0</v>
      </c>
      <c r="AQ76" s="197" t="str">
        <f>IFERROR(VLOOKUP($G76,нормы!$A$14:$BC$57,54,0)*$W76,"")</f>
        <v/>
      </c>
      <c r="AR76" s="290">
        <f>IFERROR(AS76/SUM(AS73:AS78)*AL73,0)</f>
        <v>0</v>
      </c>
      <c r="AS76" s="197" t="str">
        <f>IFERROR(VLOOKUP($G76,нормы!$A$14:$BC$57,55,0)*W76,"")</f>
        <v/>
      </c>
      <c r="AT76" s="290">
        <f>IFERROR(AU76/SUM(AU73:AU78)*AM73,0)</f>
        <v>0</v>
      </c>
      <c r="AU76" s="197" t="str">
        <f>IFERROR(VLOOKUP($G76,нормы!$A$14:$BI$57,56,0)*W76,"")</f>
        <v/>
      </c>
      <c r="AV76" s="290">
        <f>IFERROR(AW76/SUM(AW73:AW78)*AK73,0)</f>
        <v>0</v>
      </c>
      <c r="AW76" s="202" t="str">
        <f>IFERROR(VLOOKUP($G76,нормы!$A$14:$BI$57,57,0)*W76,"")</f>
        <v/>
      </c>
      <c r="AX76" s="30"/>
      <c r="AY76" s="203" t="str">
        <f>IFERROR(VLOOKUP($G76,нормы!$A$14:$BI$57,58,0)*W76,"")</f>
        <v/>
      </c>
      <c r="AZ76" s="205"/>
      <c r="BA76" s="200" t="str">
        <f>IFERROR(VLOOKUP($G76,нормы!$A$14:$BI$57,61,0)*$W76,"")</f>
        <v/>
      </c>
      <c r="BB76" s="30"/>
      <c r="BC76" s="203" t="str">
        <f>IFERROR(VLOOKUP($G76,нормы!$A$14:$BI$57,60,0)*W76,"")</f>
        <v/>
      </c>
      <c r="BD76" s="200" t="str">
        <f>IFERROR(VLOOKUP($G76,нормы!$A$14:$BG$57,44,0),"")</f>
        <v/>
      </c>
      <c r="BE76" s="199" t="str">
        <f>IFERROR(W76/VLOOKUP($G76,нормы!$A$14:$BI$57,45,0),"")</f>
        <v/>
      </c>
    </row>
    <row r="77" spans="1:57" s="1" customFormat="1" ht="20.25" customHeight="1" x14ac:dyDescent="0.4">
      <c r="A77" s="37" t="str">
        <f t="shared" si="35"/>
        <v>2Д</v>
      </c>
      <c r="B77" s="12">
        <f t="shared" si="35"/>
        <v>46024</v>
      </c>
      <c r="C77" s="97">
        <f t="shared" si="35"/>
        <v>0</v>
      </c>
      <c r="D77" s="97">
        <f t="shared" si="35"/>
        <v>1</v>
      </c>
      <c r="E77" s="54"/>
      <c r="F77" s="151" t="str">
        <f>IFERROR(VLOOKUP($G77,нормы!$A$14:$BC$57,2,0),"")</f>
        <v/>
      </c>
      <c r="G77" s="38"/>
      <c r="H77" s="54">
        <f t="shared" si="36"/>
        <v>0</v>
      </c>
      <c r="I77" s="89" t="s">
        <v>73</v>
      </c>
      <c r="J77" s="333"/>
      <c r="K77" s="30">
        <f>IFERROR(VLOOKUP($G77,[1]нормы!$A$21:$BC$151,15,0),"")</f>
        <v>0</v>
      </c>
      <c r="L77" s="31">
        <f>IFERROR(VLOOKUP($G77,[1]нормы!$A$21:$BC$151,17,0),"")</f>
        <v>0</v>
      </c>
      <c r="M77" s="306">
        <f>IFERROR(VLOOKUP($G77,[1]нормы!$A$21:$BC$151,27,0),"")</f>
        <v>0</v>
      </c>
      <c r="N77" s="307" t="str">
        <f>IFERROR(Y77/Y79*(1.1*J73*I82),"")</f>
        <v/>
      </c>
      <c r="O77" s="300">
        <f>IFERROR(VLOOKUP($G77,[1]нормы!$A$21:$BC$151,21,0),"")</f>
        <v>0</v>
      </c>
      <c r="P77" s="35">
        <f>IFERROR(VLOOKUP($G77,[1]нормы!$A$21:$BC$151,19,0),"")</f>
        <v>0</v>
      </c>
      <c r="Q77" s="35">
        <f>IFERROR(VLOOKUP($G77,[1]нормы!$A$21:$BC$151,23,0),"")</f>
        <v>0</v>
      </c>
      <c r="R77" s="231">
        <f>IFERROR(VLOOKUP($G77,[1]нормы!$A$21:$BC$151,29,0),"")</f>
        <v>0</v>
      </c>
      <c r="S77" s="35">
        <f>IFERROR(VLOOKUP($G77,[1]нормы!$A$21:$BC$151,31,0),"")</f>
        <v>0</v>
      </c>
      <c r="T77" s="32">
        <f>IFERROR(VLOOKUP($G77,[1]нормы!$A$21:$BC$151,25,0),"")</f>
        <v>0</v>
      </c>
      <c r="U77" s="233" t="str">
        <f>IFERROR(W77/(((100*Y77/Y79)*I78)/100),"")</f>
        <v/>
      </c>
      <c r="V77" s="234" t="str">
        <f>IFERROR(VLOOKUP($G77,нормы!$A$14:$BC$57,38,0),"")</f>
        <v/>
      </c>
      <c r="W77" s="136"/>
      <c r="X77" s="237"/>
      <c r="Y77" s="152" t="str">
        <f>IFERROR(VLOOKUP($G77,нормы!$A$14:$BC$57,42,0)*W77,"")</f>
        <v/>
      </c>
      <c r="Z77" s="163">
        <f>IFERROR(VLOOKUP($G77,нормы!$A$14:$BC$57,14,0)*W77/1000,0)</f>
        <v>0</v>
      </c>
      <c r="AA77" s="30"/>
      <c r="AB77" s="35"/>
      <c r="AC77" s="35"/>
      <c r="AD77" s="35"/>
      <c r="AE77" s="31"/>
      <c r="AF77" s="160"/>
      <c r="AG77" s="391"/>
      <c r="AH77" s="394"/>
      <c r="AI77" s="397"/>
      <c r="AJ77" s="408"/>
      <c r="AK77" s="360"/>
      <c r="AL77" s="360"/>
      <c r="AM77" s="360"/>
      <c r="AN77" s="289">
        <f>IFERROR(Y77*AJ73/Y79,)</f>
        <v>0</v>
      </c>
      <c r="AO77" s="197" t="str">
        <f>IFERROR(VLOOKUP($G77,нормы!$A$14:$BC$57,53,0)*$W77,"")</f>
        <v/>
      </c>
      <c r="AP77" s="290">
        <f>IFERROR(Y77*AI73/Y79,)</f>
        <v>0</v>
      </c>
      <c r="AQ77" s="197" t="str">
        <f>IFERROR(VLOOKUP($G77,нормы!$A$14:$BC$57,54,0)*$W77,"")</f>
        <v/>
      </c>
      <c r="AR77" s="290">
        <f>IFERROR(AS77/SUM(AS73:AS78)*AL73,0)</f>
        <v>0</v>
      </c>
      <c r="AS77" s="197" t="str">
        <f>IFERROR(VLOOKUP($G77,нормы!$A$14:$BC$57,55,0)*W77,"")</f>
        <v/>
      </c>
      <c r="AT77" s="290">
        <f>IFERROR(AU77/SUM(AU73:AU78)*AM73,0)</f>
        <v>0</v>
      </c>
      <c r="AU77" s="197" t="str">
        <f>IFERROR(VLOOKUP($G77,нормы!$A$14:$BI$57,56,0)*W77,"")</f>
        <v/>
      </c>
      <c r="AV77" s="290">
        <f>IFERROR(AW77/SUM(AW73:AW78)*AK73,0)</f>
        <v>0</v>
      </c>
      <c r="AW77" s="202" t="str">
        <f>IFERROR(VLOOKUP($G77,нормы!$A$14:$BI$57,57,0)*W77,"")</f>
        <v/>
      </c>
      <c r="AX77" s="30"/>
      <c r="AY77" s="203" t="str">
        <f>IFERROR(VLOOKUP($G77,нормы!$A$14:$BI$57,58,0)*W77,"")</f>
        <v/>
      </c>
      <c r="AZ77" s="205"/>
      <c r="BA77" s="200" t="str">
        <f>IFERROR(VLOOKUP($G77,нормы!$A$14:$BI$57,61,0)*$W77,"")</f>
        <v/>
      </c>
      <c r="BB77" s="30"/>
      <c r="BC77" s="203" t="str">
        <f>IFERROR(VLOOKUP($G77,нормы!$A$14:$BI$57,60,0)*W77,"")</f>
        <v/>
      </c>
      <c r="BD77" s="200" t="str">
        <f>IFERROR(VLOOKUP($G77,нормы!$A$14:$BG$57,44,0),"")</f>
        <v/>
      </c>
      <c r="BE77" s="199" t="str">
        <f>IFERROR(W77/VLOOKUP($G77,нормы!$A$14:$BI$57,45,0),"")</f>
        <v/>
      </c>
    </row>
    <row r="78" spans="1:57" s="1" customFormat="1" ht="21" customHeight="1" thickBot="1" x14ac:dyDescent="0.45">
      <c r="A78" s="37" t="str">
        <f t="shared" si="35"/>
        <v>2Д</v>
      </c>
      <c r="B78" s="12">
        <f t="shared" si="35"/>
        <v>46024</v>
      </c>
      <c r="C78" s="97">
        <f t="shared" si="35"/>
        <v>0</v>
      </c>
      <c r="D78" s="97">
        <f t="shared" si="35"/>
        <v>1</v>
      </c>
      <c r="E78" s="54"/>
      <c r="F78" s="151" t="str">
        <f>IFERROR(VLOOKUP($G78,нормы!$A$14:$BC$57,2,0),"")</f>
        <v/>
      </c>
      <c r="G78" s="93"/>
      <c r="H78" s="63">
        <f t="shared" si="36"/>
        <v>0</v>
      </c>
      <c r="I78" s="153">
        <f>I74+I76</f>
        <v>0</v>
      </c>
      <c r="J78" s="334"/>
      <c r="K78" s="30">
        <f>IFERROR(VLOOKUP($G78,[1]нормы!$A$21:$BC$151,15,0),"")</f>
        <v>0</v>
      </c>
      <c r="L78" s="31">
        <f>IFERROR(VLOOKUP($G78,[1]нормы!$A$21:$BC$151,17,0),"")</f>
        <v>0</v>
      </c>
      <c r="M78" s="308">
        <f>IFERROR(VLOOKUP($G78,[1]нормы!$A$21:$BC$151,27,0),"")</f>
        <v>0</v>
      </c>
      <c r="N78" s="309" t="str">
        <f>IFERROR(Y78/Y79*(1.1*J73*I83),"")</f>
        <v/>
      </c>
      <c r="O78" s="300">
        <f>IFERROR(VLOOKUP($G78,[1]нормы!$A$21:$BC$151,21,0),"")</f>
        <v>0</v>
      </c>
      <c r="P78" s="35">
        <f>IFERROR(VLOOKUP($G78,[1]нормы!$A$21:$BC$151,19,0),"")</f>
        <v>0</v>
      </c>
      <c r="Q78" s="35">
        <f>IFERROR(VLOOKUP($G78,[1]нормы!$A$21:$BC$151,23,0),"")</f>
        <v>0</v>
      </c>
      <c r="R78" s="231">
        <f>IFERROR(VLOOKUP($G78,[1]нормы!$A$21:$BC$151,29,0),"")</f>
        <v>0</v>
      </c>
      <c r="S78" s="35">
        <f>IFERROR(VLOOKUP($G78,[1]нормы!$A$21:$BC$151,31,0),"")</f>
        <v>0</v>
      </c>
      <c r="T78" s="32">
        <f>IFERROR(VLOOKUP($G78,[1]нормы!$A$21:$BC$151,25,0),"")</f>
        <v>0</v>
      </c>
      <c r="U78" s="235" t="str">
        <f>IFERROR(W78/(((100*Y78/Y79)*I78)/100),"")</f>
        <v/>
      </c>
      <c r="V78" s="234" t="str">
        <f>IFERROR(VLOOKUP($G78,нормы!$A$14:$BC$57,38,0),"")</f>
        <v/>
      </c>
      <c r="W78" s="154"/>
      <c r="X78" s="238"/>
      <c r="Y78" s="152" t="str">
        <f>IFERROR(VLOOKUP($G78,нормы!$A$14:$BC$57,42,0)*W78,"")</f>
        <v/>
      </c>
      <c r="Z78" s="163">
        <f>IFERROR(VLOOKUP($G78,нормы!$A$14:$BC$57,14,0)*W78/1000,0)</f>
        <v>0</v>
      </c>
      <c r="AA78" s="56"/>
      <c r="AB78" s="58"/>
      <c r="AC78" s="58"/>
      <c r="AD78" s="58"/>
      <c r="AE78" s="57"/>
      <c r="AF78" s="161"/>
      <c r="AG78" s="392"/>
      <c r="AH78" s="395"/>
      <c r="AI78" s="398"/>
      <c r="AJ78" s="409"/>
      <c r="AK78" s="361"/>
      <c r="AL78" s="361"/>
      <c r="AM78" s="361"/>
      <c r="AN78" s="291">
        <f>IFERROR(Y78*AJ73/Y79,)</f>
        <v>0</v>
      </c>
      <c r="AO78" s="197" t="str">
        <f>IFERROR(VLOOKUP($G78,нормы!$A$14:$BC$57,53,0)*$W78,"")</f>
        <v/>
      </c>
      <c r="AP78" s="292">
        <f>IFERROR(Y78*AI73/Y79,)</f>
        <v>0</v>
      </c>
      <c r="AQ78" s="197" t="str">
        <f>IFERROR(VLOOKUP($G78,нормы!$A$14:$BC$57,54,0)*$W78,"")</f>
        <v/>
      </c>
      <c r="AR78" s="290">
        <f>IFERROR(AS78/SUM(AS73:AS78)*AL73,0)</f>
        <v>0</v>
      </c>
      <c r="AS78" s="197" t="str">
        <f>IFERROR(VLOOKUP($G78,нормы!$A$14:$BC$57,55,0)*W78,"")</f>
        <v/>
      </c>
      <c r="AT78" s="292">
        <f>IFERROR(AU78/SUM(AU73:AU78)*AM73,0)</f>
        <v>0</v>
      </c>
      <c r="AU78" s="197" t="str">
        <f>IFERROR(VLOOKUP($G78,нормы!$A$14:$BI$57,56,0)*W78,"")</f>
        <v/>
      </c>
      <c r="AV78" s="292">
        <f>IFERROR(AW78/SUM(AW73:AW78)*AK73,0)</f>
        <v>0</v>
      </c>
      <c r="AW78" s="202" t="str">
        <f>IFERROR(VLOOKUP($G78,нормы!$A$14:$BI$57,57,0)*W78,"")</f>
        <v/>
      </c>
      <c r="AX78" s="56"/>
      <c r="AY78" s="203" t="str">
        <f>IFERROR(VLOOKUP($G78,нормы!$A$14:$BI$57,58,0)*W78,"")</f>
        <v/>
      </c>
      <c r="AZ78" s="206"/>
      <c r="BA78" s="200" t="str">
        <f>IFERROR(VLOOKUP($G78,нормы!$A$14:$BI$57,61,0)*$W78,"")</f>
        <v/>
      </c>
      <c r="BB78" s="56"/>
      <c r="BC78" s="203" t="str">
        <f>IFERROR(VLOOKUP($G78,нормы!$A$14:$BI$57,60,0)*W78,"")</f>
        <v/>
      </c>
      <c r="BD78" s="200" t="str">
        <f>IFERROR(VLOOKUP($G78,нормы!$A$14:$BG$57,44,0),"")</f>
        <v/>
      </c>
      <c r="BE78" s="199" t="str">
        <f>IFERROR(W78/VLOOKUP($G78,нормы!$A$14:$BI$57,45,0),"")</f>
        <v/>
      </c>
    </row>
    <row r="79" spans="1:57" s="1" customFormat="1" ht="29.4" customHeight="1" thickBot="1" x14ac:dyDescent="0.45">
      <c r="A79" s="37" t="str">
        <f t="shared" si="35"/>
        <v>2Д</v>
      </c>
      <c r="B79" s="59"/>
      <c r="C79" s="51"/>
      <c r="D79" s="51"/>
      <c r="E79" s="51"/>
      <c r="F79" s="295" t="s">
        <v>148</v>
      </c>
      <c r="G79" s="51"/>
      <c r="H79" s="51"/>
      <c r="I79" s="60"/>
      <c r="J79" s="60"/>
      <c r="K79" s="319" t="s">
        <v>213</v>
      </c>
      <c r="L79" s="316"/>
      <c r="M79" s="303" t="s">
        <v>213</v>
      </c>
      <c r="N79" s="317">
        <f>SUM(N73:N78)</f>
        <v>0</v>
      </c>
      <c r="O79" s="304" t="s">
        <v>216</v>
      </c>
      <c r="P79" s="318">
        <f>N79*8.937/1000</f>
        <v>0</v>
      </c>
      <c r="Q79" s="305" t="s">
        <v>215</v>
      </c>
      <c r="R79" s="61"/>
      <c r="S79" s="61"/>
      <c r="T79" s="61"/>
      <c r="U79" s="109"/>
      <c r="V79" s="109"/>
      <c r="W79" s="94"/>
      <c r="X79" s="155"/>
      <c r="Y79" s="96">
        <f>SUM(Y73:Y78)</f>
        <v>0</v>
      </c>
      <c r="Z79" s="164">
        <f>SUM(Z73:Z78)</f>
        <v>0</v>
      </c>
      <c r="AA79" s="62"/>
      <c r="AB79" s="62"/>
      <c r="AC79" s="62"/>
      <c r="AD79" s="62"/>
      <c r="AE79" s="62"/>
      <c r="AF79" s="62"/>
      <c r="AG79" s="162" t="s">
        <v>140</v>
      </c>
      <c r="AH79" s="162" t="s">
        <v>141</v>
      </c>
      <c r="AI79" s="162" t="s">
        <v>142</v>
      </c>
      <c r="AJ79" s="91" t="s">
        <v>126</v>
      </c>
      <c r="AK79" s="198" t="s">
        <v>136</v>
      </c>
      <c r="AL79" s="198" t="s">
        <v>137</v>
      </c>
      <c r="AM79" s="198" t="s">
        <v>138</v>
      </c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53" t="str">
        <f>IFERROR(W79/VLOOKUP($G79,нормы!$A$14:$BI$15,28,0),"")</f>
        <v/>
      </c>
    </row>
    <row r="80" spans="1:57" s="1" customFormat="1" ht="21.6" customHeight="1" x14ac:dyDescent="0.4">
      <c r="A80" s="37" t="str">
        <f>A79</f>
        <v>2Д</v>
      </c>
      <c r="B80" s="12">
        <f>B78</f>
        <v>46024</v>
      </c>
      <c r="C80" s="97"/>
      <c r="D80" s="97">
        <v>2</v>
      </c>
      <c r="E80" s="29"/>
      <c r="F80" s="151" t="str">
        <f>IFERROR(VLOOKUP($G80,нормы!$A$14:$BC$57,2,0),"")</f>
        <v/>
      </c>
      <c r="G80" s="93"/>
      <c r="H80" s="54">
        <f>IF(C80=1,"Кульков С.А.", IF(C80=2,"Чудаков А.А.",IF(C80=3,"Королев В.Н.",IF(C80=4,"Николашин М.П.",IF(C80=5," Кульков С.А.",IF(C80=6,"А.А. Чудаков",IF(C80=7,"В.Н. Королев",IF(C80=8,"М.П. Николашин",0))))))))</f>
        <v>0</v>
      </c>
      <c r="I80" s="88" t="s">
        <v>211</v>
      </c>
      <c r="J80" s="332"/>
      <c r="K80" s="30">
        <f>IFERROR(VLOOKUP($G80,[1]нормы!$A$21:$BC$151,15,0),"")</f>
        <v>0</v>
      </c>
      <c r="L80" s="31">
        <f>IFERROR(VLOOKUP($G80,[1]нормы!$A$21:$BC$151,17,0),"")</f>
        <v>0</v>
      </c>
      <c r="M80" s="310">
        <f>IFERROR(VLOOKUP($G80,[1]нормы!$A$21:$BC$151,27,0),"")</f>
        <v>0</v>
      </c>
      <c r="N80" s="311" t="str">
        <f>IFERROR(Y80/Y86*(1.1*J80*I85),"")</f>
        <v/>
      </c>
      <c r="O80" s="300">
        <f>IFERROR(VLOOKUP($G80,[1]нормы!$A$21:$BC$151,21,0),"")</f>
        <v>0</v>
      </c>
      <c r="P80" s="35">
        <f>IFERROR(VLOOKUP($G80,[1]нормы!$A$21:$BC$151,19,0),"")</f>
        <v>0</v>
      </c>
      <c r="Q80" s="35">
        <f>IFERROR(VLOOKUP($G80,[1]нормы!$A$21:$BC$151,23,0),"")</f>
        <v>0</v>
      </c>
      <c r="R80" s="231">
        <f>IFERROR(VLOOKUP($G80,[1]нормы!$A$21:$BC$151,29,0),"")</f>
        <v>0</v>
      </c>
      <c r="S80" s="35">
        <f>IFERROR(VLOOKUP($G80,[1]нормы!$A$21:$BC$151,31,0),"")</f>
        <v>0</v>
      </c>
      <c r="T80" s="32">
        <f>IFERROR(VLOOKUP($G80,[1]нормы!$A$21:$BC$151,25,0),"")</f>
        <v>0</v>
      </c>
      <c r="U80" s="232" t="str">
        <f>IFERROR(W80/(((100*Y80/Y86)*I85)/100),"")</f>
        <v/>
      </c>
      <c r="V80" s="234" t="str">
        <f>IFERROR(VLOOKUP($G80,нормы!$A$14:$BC$57,38,0),"")</f>
        <v/>
      </c>
      <c r="W80" s="136"/>
      <c r="X80" s="236"/>
      <c r="Y80" s="152" t="str">
        <f>IFERROR(VLOOKUP($G80,нормы!$A$14:$BC$57,42,0)*W80,"")</f>
        <v/>
      </c>
      <c r="Z80" s="163">
        <f>IFERROR(VLOOKUP($G80,нормы!$A$14:$BC$57,14,0)*W80/1000,0)</f>
        <v>0</v>
      </c>
      <c r="AA80" s="33"/>
      <c r="AB80" s="36"/>
      <c r="AC80" s="36"/>
      <c r="AD80" s="36"/>
      <c r="AE80" s="34"/>
      <c r="AF80" s="159"/>
      <c r="AG80" s="390"/>
      <c r="AH80" s="393"/>
      <c r="AI80" s="396"/>
      <c r="AJ80" s="407">
        <f>AG80+AH80</f>
        <v>0</v>
      </c>
      <c r="AK80" s="359"/>
      <c r="AL80" s="359"/>
      <c r="AM80" s="359"/>
      <c r="AN80" s="287">
        <f>IFERROR(Y80*AJ80/Y86,)</f>
        <v>0</v>
      </c>
      <c r="AO80" s="197" t="str">
        <f>IFERROR(VLOOKUP($G80,нормы!$A$14:$BC$57,53,0)*$W80,"")</f>
        <v/>
      </c>
      <c r="AP80" s="288">
        <f>IFERROR(Y80*AI80/Y86,)</f>
        <v>0</v>
      </c>
      <c r="AQ80" s="197" t="str">
        <f>IFERROR(VLOOKUP($G80,нормы!$A$14:$BC$57,54,0)*$W80,"")</f>
        <v/>
      </c>
      <c r="AR80" s="288">
        <f>IFERROR(AS80/SUM(AS80:AS85)*AL80,0)</f>
        <v>0</v>
      </c>
      <c r="AS80" s="197" t="str">
        <f>IFERROR(VLOOKUP($G80,нормы!$A$14:$BC$57,55,0)*W80,"")</f>
        <v/>
      </c>
      <c r="AT80" s="288">
        <f>IFERROR(AU80/SUM(AU80:AU85)*AM80,0)</f>
        <v>0</v>
      </c>
      <c r="AU80" s="197" t="str">
        <f>IFERROR(VLOOKUP($G80,нормы!$A$14:$BI$57,56,0)*W80,"")</f>
        <v/>
      </c>
      <c r="AV80" s="288">
        <f>IFERROR(AW80/SUM(AW80:AW85)*AK80,0)</f>
        <v>0</v>
      </c>
      <c r="AW80" s="202" t="str">
        <f>IFERROR(VLOOKUP($G80,нормы!$A$14:$BI$57,57,0)*W80,"")</f>
        <v/>
      </c>
      <c r="AX80" s="33"/>
      <c r="AY80" s="203" t="str">
        <f>IFERROR(VLOOKUP($G80,нормы!$A$14:$BI$57,58,0)*W80,"")</f>
        <v/>
      </c>
      <c r="AZ80" s="204"/>
      <c r="BA80" s="200" t="str">
        <f>IFERROR(VLOOKUP($G80,нормы!$A$14:$BI$57,61,0)*$W80,"")</f>
        <v/>
      </c>
      <c r="BB80" s="33"/>
      <c r="BC80" s="203" t="str">
        <f>IFERROR(VLOOKUP($G80,нормы!$A$14:$BI$57,60,0)*W80,"")</f>
        <v/>
      </c>
      <c r="BD80" s="200" t="str">
        <f>IFERROR(VLOOKUP($G80,нормы!$A$14:$BG$57,44,0),"")</f>
        <v/>
      </c>
      <c r="BE80" s="199" t="str">
        <f>IFERROR(W80/VLOOKUP($G80,нормы!$A$14:$BI$57,45,0),"")</f>
        <v/>
      </c>
    </row>
    <row r="81" spans="1:57" s="1" customFormat="1" ht="21.6" customHeight="1" x14ac:dyDescent="0.4">
      <c r="A81" s="37" t="str">
        <f t="shared" ref="A81:D81" si="37">A80</f>
        <v>2Д</v>
      </c>
      <c r="B81" s="12">
        <f t="shared" si="37"/>
        <v>46024</v>
      </c>
      <c r="C81" s="97">
        <f t="shared" si="37"/>
        <v>0</v>
      </c>
      <c r="D81" s="97">
        <f t="shared" si="37"/>
        <v>2</v>
      </c>
      <c r="E81" s="54"/>
      <c r="F81" s="151" t="str">
        <f>IFERROR(VLOOKUP($G81,нормы!$A$14:$BC$57,2,0),"")</f>
        <v/>
      </c>
      <c r="G81" s="93"/>
      <c r="H81" s="54">
        <f t="shared" ref="H81:H85" si="38">IF(C81=1,"Кульков С.А.", IF(C81=2,"Чудаков А.А.",IF(C81=3,"Королев В.Н.",IF(C81=4,"Николашин М.П.",IF(C81=5," Кульков С.А.",IF(C81=6,"А.А. Чудаков",IF(C81=7,"В.Н. Королев",IF(C81=8,"М.П. Николашин",0))))))))</f>
        <v>0</v>
      </c>
      <c r="I81" s="55"/>
      <c r="J81" s="333"/>
      <c r="K81" s="30">
        <f>IFERROR(VLOOKUP($G81,[1]нормы!$A$21:$BC$151,15,0),"")</f>
        <v>0</v>
      </c>
      <c r="L81" s="31">
        <f>IFERROR(VLOOKUP($G81,[1]нормы!$A$21:$BC$151,17,0),"")</f>
        <v>0</v>
      </c>
      <c r="M81" s="306">
        <f>IFERROR(VLOOKUP($G81,[1]нормы!$A$21:$BC$151,27,0),"")</f>
        <v>0</v>
      </c>
      <c r="N81" s="307" t="str">
        <f>IFERROR(Y81/Y86*(1.1*J80*I85),"")</f>
        <v/>
      </c>
      <c r="O81" s="300">
        <f>IFERROR(VLOOKUP($G81,[1]нормы!$A$21:$BC$151,21,0),"")</f>
        <v>0</v>
      </c>
      <c r="P81" s="35">
        <f>IFERROR(VLOOKUP($G81,[1]нормы!$A$21:$BC$151,19,0),"")</f>
        <v>0</v>
      </c>
      <c r="Q81" s="35">
        <f>IFERROR(VLOOKUP($G81,[1]нормы!$A$21:$BC$151,23,0),"")</f>
        <v>0</v>
      </c>
      <c r="R81" s="231">
        <f>IFERROR(VLOOKUP($G81,[1]нормы!$A$21:$BC$151,29,0),"")</f>
        <v>0</v>
      </c>
      <c r="S81" s="35">
        <f>IFERROR(VLOOKUP($G81,[1]нормы!$A$21:$BC$151,31,0),"")</f>
        <v>0</v>
      </c>
      <c r="T81" s="32">
        <f>IFERROR(VLOOKUP($G81,[1]нормы!$A$21:$BC$151,25,0),"")</f>
        <v>0</v>
      </c>
      <c r="U81" s="233" t="str">
        <f>IFERROR(W81/(((100*Y81/Y86)*I85)/100),"")</f>
        <v/>
      </c>
      <c r="V81" s="234" t="str">
        <f>IFERROR(VLOOKUP($G81,нормы!$A$14:$BC$57,38,0),"")</f>
        <v/>
      </c>
      <c r="W81" s="136"/>
      <c r="X81" s="237"/>
      <c r="Y81" s="152" t="str">
        <f>IFERROR(VLOOKUP($G81,нормы!$A$14:$BC$57,42,0)*W81,"")</f>
        <v/>
      </c>
      <c r="Z81" s="163">
        <f>IFERROR(VLOOKUP($G81,нормы!$A$14:$BC$57,14,0)*W81/1000,0)</f>
        <v>0</v>
      </c>
      <c r="AA81" s="142"/>
      <c r="AB81" s="35"/>
      <c r="AC81" s="35"/>
      <c r="AD81" s="35"/>
      <c r="AE81" s="31"/>
      <c r="AF81" s="160"/>
      <c r="AG81" s="391"/>
      <c r="AH81" s="394"/>
      <c r="AI81" s="397"/>
      <c r="AJ81" s="408"/>
      <c r="AK81" s="360"/>
      <c r="AL81" s="360"/>
      <c r="AM81" s="360"/>
      <c r="AN81" s="289">
        <f>IFERROR(Y81*AJ80/Y86,)</f>
        <v>0</v>
      </c>
      <c r="AO81" s="197" t="str">
        <f>IFERROR(VLOOKUP($G81,нормы!$A$14:$BC$57,53,0)*$W81,"")</f>
        <v/>
      </c>
      <c r="AP81" s="290">
        <f>IFERROR(Y81*AI80/Y86,)</f>
        <v>0</v>
      </c>
      <c r="AQ81" s="197" t="str">
        <f>IFERROR(VLOOKUP($G81,нормы!$A$14:$BC$57,54,0)*$W81,"")</f>
        <v/>
      </c>
      <c r="AR81" s="290">
        <f>IFERROR(AS81/SUM(AS80:AS85)*AL80,0)</f>
        <v>0</v>
      </c>
      <c r="AS81" s="197" t="str">
        <f>IFERROR(VLOOKUP($G81,нормы!$A$14:$BC$57,55,0)*W81,"")</f>
        <v/>
      </c>
      <c r="AT81" s="290">
        <f>IFERROR(AU81/SUM(AU80:AU85)*AM80,0)</f>
        <v>0</v>
      </c>
      <c r="AU81" s="197" t="str">
        <f>IFERROR(VLOOKUP($G81,нормы!$A$14:$BI$57,56,0)*W81,"")</f>
        <v/>
      </c>
      <c r="AV81" s="290">
        <f>IFERROR(AW81/SUM(AW80:AW85)*AK80,0)</f>
        <v>0</v>
      </c>
      <c r="AW81" s="202" t="str">
        <f>IFERROR(VLOOKUP($G81,нормы!$A$14:$BI$57,57,0)*W81,"")</f>
        <v/>
      </c>
      <c r="AX81" s="30"/>
      <c r="AY81" s="203" t="str">
        <f>IFERROR(VLOOKUP($G81,нормы!$A$14:$BI$57,58,0)*W81,"")</f>
        <v/>
      </c>
      <c r="AZ81" s="205"/>
      <c r="BA81" s="200" t="str">
        <f>IFERROR(VLOOKUP($G81,нормы!$A$14:$BI$57,61,0)*$W81,"")</f>
        <v/>
      </c>
      <c r="BB81" s="30"/>
      <c r="BC81" s="203" t="str">
        <f>IFERROR(VLOOKUP($G81,нормы!$A$14:$BI$57,60,0)*W81,"")</f>
        <v/>
      </c>
      <c r="BD81" s="200" t="str">
        <f>IFERROR(VLOOKUP($G81,нормы!$A$14:$BG$57,44,0),"")</f>
        <v/>
      </c>
      <c r="BE81" s="199" t="str">
        <f>IFERROR(W81/VLOOKUP($G81,нормы!$A$14:$BI$57,45,0),"")</f>
        <v/>
      </c>
    </row>
    <row r="82" spans="1:57" s="1" customFormat="1" ht="20.25" customHeight="1" x14ac:dyDescent="0.4">
      <c r="A82" s="37" t="str">
        <f t="shared" ref="A82:D82" si="39">A81</f>
        <v>2Д</v>
      </c>
      <c r="B82" s="12">
        <f t="shared" si="39"/>
        <v>46024</v>
      </c>
      <c r="C82" s="97">
        <f t="shared" si="39"/>
        <v>0</v>
      </c>
      <c r="D82" s="97">
        <f t="shared" si="39"/>
        <v>2</v>
      </c>
      <c r="E82" s="54"/>
      <c r="F82" s="151" t="str">
        <f>IFERROR(VLOOKUP($G82,нормы!$A$14:$BC$57,2,0),"")</f>
        <v/>
      </c>
      <c r="G82" s="38"/>
      <c r="H82" s="54">
        <f t="shared" si="38"/>
        <v>0</v>
      </c>
      <c r="I82" s="89" t="s">
        <v>212</v>
      </c>
      <c r="J82" s="333"/>
      <c r="K82" s="30">
        <f>IFERROR(VLOOKUP($G82,[1]нормы!$A$21:$BC$151,15,0),"")</f>
        <v>0</v>
      </c>
      <c r="L82" s="31">
        <f>IFERROR(VLOOKUP($G82,[1]нормы!$A$21:$BC$151,17,0),"")</f>
        <v>0</v>
      </c>
      <c r="M82" s="306">
        <f>IFERROR(VLOOKUP($G82,[1]нормы!$A$21:$BC$151,27,0),"")</f>
        <v>0</v>
      </c>
      <c r="N82" s="307" t="str">
        <f>IFERROR(Y82/Y86*(1.1*J80*I85),"")</f>
        <v/>
      </c>
      <c r="O82" s="300">
        <f>IFERROR(VLOOKUP($G82,[1]нормы!$A$21:$BC$151,21,0),"")</f>
        <v>0</v>
      </c>
      <c r="P82" s="35">
        <f>IFERROR(VLOOKUP($G82,[1]нормы!$A$21:$BC$151,19,0),"")</f>
        <v>0</v>
      </c>
      <c r="Q82" s="35">
        <f>IFERROR(VLOOKUP($G82,[1]нормы!$A$21:$BC$151,23,0),"")</f>
        <v>0</v>
      </c>
      <c r="R82" s="231">
        <f>IFERROR(VLOOKUP($G82,[1]нормы!$A$21:$BC$151,29,0),"")</f>
        <v>0</v>
      </c>
      <c r="S82" s="35">
        <f>IFERROR(VLOOKUP($G82,[1]нормы!$A$21:$BC$151,31,0),"")</f>
        <v>0</v>
      </c>
      <c r="T82" s="32">
        <f>IFERROR(VLOOKUP($G82,[1]нормы!$A$21:$BC$151,25,0),"")</f>
        <v>0</v>
      </c>
      <c r="U82" s="233" t="str">
        <f>IFERROR(W82/(((100*Y82/Y86)*I85)/100),"")</f>
        <v/>
      </c>
      <c r="V82" s="234" t="str">
        <f>IFERROR(VLOOKUP($G82,нормы!$A$14:$BC$57,38,0),"")</f>
        <v/>
      </c>
      <c r="W82" s="136"/>
      <c r="X82" s="237"/>
      <c r="Y82" s="152" t="str">
        <f>IFERROR(VLOOKUP($G82,нормы!$A$14:$BC$57,42,0)*W82,"")</f>
        <v/>
      </c>
      <c r="Z82" s="163">
        <f>IFERROR(VLOOKUP($G82,нормы!$A$14:$BC$57,14,0)*W82/1000,0)</f>
        <v>0</v>
      </c>
      <c r="AA82" s="30"/>
      <c r="AB82" s="35"/>
      <c r="AC82" s="35"/>
      <c r="AD82" s="35"/>
      <c r="AE82" s="31"/>
      <c r="AF82" s="160"/>
      <c r="AG82" s="391"/>
      <c r="AH82" s="394"/>
      <c r="AI82" s="397"/>
      <c r="AJ82" s="408"/>
      <c r="AK82" s="360"/>
      <c r="AL82" s="360"/>
      <c r="AM82" s="360"/>
      <c r="AN82" s="289">
        <f>IFERROR(Y82*AJ80/Y86,)</f>
        <v>0</v>
      </c>
      <c r="AO82" s="197" t="str">
        <f>IFERROR(VLOOKUP($G82,нормы!$A$14:$BC$57,53,0)*$W82,"")</f>
        <v/>
      </c>
      <c r="AP82" s="290">
        <f>IFERROR(Y82*AI80/Y86,)</f>
        <v>0</v>
      </c>
      <c r="AQ82" s="197" t="str">
        <f>IFERROR(VLOOKUP($G82,нормы!$A$14:$BC$57,54,0)*$W82,"")</f>
        <v/>
      </c>
      <c r="AR82" s="290">
        <f>IFERROR(AS82/SUM(AS80:AS85)*AL80,0)</f>
        <v>0</v>
      </c>
      <c r="AS82" s="197" t="str">
        <f>IFERROR(VLOOKUP($G82,нормы!$A$14:$BC$57,55,0)*W82,"")</f>
        <v/>
      </c>
      <c r="AT82" s="290">
        <f>IFERROR(AU82/SUM(AU80:AU85)*AM80,0)</f>
        <v>0</v>
      </c>
      <c r="AU82" s="197" t="str">
        <f>IFERROR(VLOOKUP($G82,нормы!$A$14:$BI$57,56,0)*W82,"")</f>
        <v/>
      </c>
      <c r="AV82" s="290">
        <f>IFERROR(AW82/SUM(AW80:AW85)*AK80,0)</f>
        <v>0</v>
      </c>
      <c r="AW82" s="202" t="str">
        <f>IFERROR(VLOOKUP($G82,нормы!$A$14:$BI$57,57,0)*W82,"")</f>
        <v/>
      </c>
      <c r="AX82" s="30"/>
      <c r="AY82" s="203" t="str">
        <f>IFERROR(VLOOKUP($G82,нормы!$A$14:$BI$57,58,0)*W82,"")</f>
        <v/>
      </c>
      <c r="AZ82" s="205"/>
      <c r="BA82" s="200" t="str">
        <f>IFERROR(VLOOKUP($G82,нормы!$A$14:$BI$57,61,0)*$W82,"")</f>
        <v/>
      </c>
      <c r="BB82" s="30"/>
      <c r="BC82" s="203" t="str">
        <f>IFERROR(VLOOKUP($G82,нормы!$A$14:$BI$57,60,0)*W82,"")</f>
        <v/>
      </c>
      <c r="BD82" s="200" t="str">
        <f>IFERROR(VLOOKUP($G82,нормы!$A$14:$BG$57,44,0),"")</f>
        <v/>
      </c>
      <c r="BE82" s="199" t="str">
        <f>IFERROR(W82/VLOOKUP($G82,нормы!$A$14:$BI$57,45,0),"")</f>
        <v/>
      </c>
    </row>
    <row r="83" spans="1:57" s="1" customFormat="1" ht="20.25" customHeight="1" x14ac:dyDescent="0.4">
      <c r="A83" s="37" t="str">
        <f t="shared" ref="A83:D83" si="40">A82</f>
        <v>2Д</v>
      </c>
      <c r="B83" s="12">
        <f t="shared" si="40"/>
        <v>46024</v>
      </c>
      <c r="C83" s="97">
        <f t="shared" si="40"/>
        <v>0</v>
      </c>
      <c r="D83" s="97">
        <f t="shared" si="40"/>
        <v>2</v>
      </c>
      <c r="E83" s="54"/>
      <c r="F83" s="151" t="str">
        <f>IFERROR(VLOOKUP($G83,нормы!$A$14:$BC$57,2,0),"")</f>
        <v/>
      </c>
      <c r="G83" s="93"/>
      <c r="H83" s="54">
        <f t="shared" si="38"/>
        <v>0</v>
      </c>
      <c r="I83" s="55"/>
      <c r="J83" s="333"/>
      <c r="K83" s="30">
        <f>IFERROR(VLOOKUP($G83,[1]нормы!$A$21:$BC$151,15,0),"")</f>
        <v>0</v>
      </c>
      <c r="L83" s="31">
        <f>IFERROR(VLOOKUP($G83,[1]нормы!$A$21:$BC$151,17,0),"")</f>
        <v>0</v>
      </c>
      <c r="M83" s="306">
        <f>IFERROR(VLOOKUP($G83,[1]нормы!$A$21:$BC$151,27,0),"")</f>
        <v>0</v>
      </c>
      <c r="N83" s="307" t="str">
        <f>IFERROR(Y83/Y86*(1.1*J80*I88),"")</f>
        <v/>
      </c>
      <c r="O83" s="300">
        <f>IFERROR(VLOOKUP($G83,[1]нормы!$A$21:$BC$151,21,0),"")</f>
        <v>0</v>
      </c>
      <c r="P83" s="35">
        <f>IFERROR(VLOOKUP($G83,[1]нормы!$A$21:$BC$151,19,0),"")</f>
        <v>0</v>
      </c>
      <c r="Q83" s="35">
        <f>IFERROR(VLOOKUP($G83,[1]нормы!$A$21:$BC$151,23,0),"")</f>
        <v>0</v>
      </c>
      <c r="R83" s="231">
        <f>IFERROR(VLOOKUP($G83,[1]нормы!$A$21:$BC$151,29,0),"")</f>
        <v>0</v>
      </c>
      <c r="S83" s="35">
        <f>IFERROR(VLOOKUP($G83,[1]нормы!$A$21:$BC$151,31,0),"")</f>
        <v>0</v>
      </c>
      <c r="T83" s="32">
        <f>IFERROR(VLOOKUP($G83,[1]нормы!$A$21:$BC$151,25,0),"")</f>
        <v>0</v>
      </c>
      <c r="U83" s="233" t="str">
        <f>IFERROR(W83/(((100*Y83/Y86)*I85)/100),"")</f>
        <v/>
      </c>
      <c r="V83" s="234" t="str">
        <f>IFERROR(VLOOKUP($G83,нормы!$A$14:$BC$57,38,0),"")</f>
        <v/>
      </c>
      <c r="W83" s="136"/>
      <c r="X83" s="237"/>
      <c r="Y83" s="152" t="str">
        <f>IFERROR(VLOOKUP($G83,нормы!$A$14:$BC$57,42,0)*W83,"")</f>
        <v/>
      </c>
      <c r="Z83" s="163">
        <f>IFERROR(VLOOKUP($G83,нормы!$A$14:$BC$57,14,0)*W83/1000,0)</f>
        <v>0</v>
      </c>
      <c r="AA83" s="30"/>
      <c r="AB83" s="35"/>
      <c r="AC83" s="35"/>
      <c r="AD83" s="35"/>
      <c r="AE83" s="31"/>
      <c r="AF83" s="160"/>
      <c r="AG83" s="391"/>
      <c r="AH83" s="394"/>
      <c r="AI83" s="397"/>
      <c r="AJ83" s="408"/>
      <c r="AK83" s="360"/>
      <c r="AL83" s="360"/>
      <c r="AM83" s="360"/>
      <c r="AN83" s="289">
        <f>IFERROR(Y83*AJ80/Y86,)</f>
        <v>0</v>
      </c>
      <c r="AO83" s="197" t="str">
        <f>IFERROR(VLOOKUP($G83,нормы!$A$14:$BC$57,53,0)*$W83,"")</f>
        <v/>
      </c>
      <c r="AP83" s="290">
        <f>IFERROR(Y83*AI80/Y86,)</f>
        <v>0</v>
      </c>
      <c r="AQ83" s="197" t="str">
        <f>IFERROR(VLOOKUP($G83,нормы!$A$14:$BC$57,54,0)*$W83,"")</f>
        <v/>
      </c>
      <c r="AR83" s="290">
        <f>IFERROR(AS83/SUM(AS80:AS85)*AL80,0)</f>
        <v>0</v>
      </c>
      <c r="AS83" s="197" t="str">
        <f>IFERROR(VLOOKUP($G83,нормы!$A$14:$BC$57,55,0)*W83,"")</f>
        <v/>
      </c>
      <c r="AT83" s="290">
        <f>IFERROR(AU83/SUM(AU80:AU85)*AM80,0)</f>
        <v>0</v>
      </c>
      <c r="AU83" s="197" t="str">
        <f>IFERROR(VLOOKUP($G83,нормы!$A$14:$BI$57,56,0)*W83,"")</f>
        <v/>
      </c>
      <c r="AV83" s="290">
        <f>IFERROR(AW83/SUM(AW80:AW85)*AK80,0)</f>
        <v>0</v>
      </c>
      <c r="AW83" s="202" t="str">
        <f>IFERROR(VLOOKUP($G83,нормы!$A$14:$BI$57,57,0)*W83,"")</f>
        <v/>
      </c>
      <c r="AX83" s="30"/>
      <c r="AY83" s="203" t="str">
        <f>IFERROR(VLOOKUP($G83,нормы!$A$14:$BI$57,58,0)*W83,"")</f>
        <v/>
      </c>
      <c r="AZ83" s="205"/>
      <c r="BA83" s="200" t="str">
        <f>IFERROR(VLOOKUP($G83,нормы!$A$14:$BI$57,61,0)*$W83,"")</f>
        <v/>
      </c>
      <c r="BB83" s="30"/>
      <c r="BC83" s="203" t="str">
        <f>IFERROR(VLOOKUP($G83,нормы!$A$14:$BI$57,60,0)*W83,"")</f>
        <v/>
      </c>
      <c r="BD83" s="200" t="str">
        <f>IFERROR(VLOOKUP($G83,нормы!$A$14:$BG$57,44,0),"")</f>
        <v/>
      </c>
      <c r="BE83" s="199" t="str">
        <f>IFERROR(W83/VLOOKUP($G83,нормы!$A$14:$BI$57,45,0),"")</f>
        <v/>
      </c>
    </row>
    <row r="84" spans="1:57" s="1" customFormat="1" ht="20.25" customHeight="1" x14ac:dyDescent="0.4">
      <c r="A84" s="37" t="str">
        <f t="shared" ref="A84:D84" si="41">A83</f>
        <v>2Д</v>
      </c>
      <c r="B84" s="12">
        <f t="shared" si="41"/>
        <v>46024</v>
      </c>
      <c r="C84" s="97">
        <f t="shared" si="41"/>
        <v>0</v>
      </c>
      <c r="D84" s="97">
        <f t="shared" si="41"/>
        <v>2</v>
      </c>
      <c r="E84" s="54"/>
      <c r="F84" s="151" t="str">
        <f>IFERROR(VLOOKUP($G84,нормы!$A$14:$BC$57,2,0),"")</f>
        <v/>
      </c>
      <c r="G84" s="38"/>
      <c r="H84" s="54">
        <f t="shared" si="38"/>
        <v>0</v>
      </c>
      <c r="I84" s="89" t="s">
        <v>73</v>
      </c>
      <c r="J84" s="333"/>
      <c r="K84" s="30">
        <f>IFERROR(VLOOKUP($G84,[1]нормы!$A$21:$BC$151,15,0),"")</f>
        <v>0</v>
      </c>
      <c r="L84" s="31">
        <f>IFERROR(VLOOKUP($G84,[1]нормы!$A$21:$BC$151,17,0),"")</f>
        <v>0</v>
      </c>
      <c r="M84" s="306">
        <f>IFERROR(VLOOKUP($G84,[1]нормы!$A$21:$BC$151,27,0),"")</f>
        <v>0</v>
      </c>
      <c r="N84" s="307" t="str">
        <f>IFERROR(Y84/Y86*(1.1*J80*I89),"")</f>
        <v/>
      </c>
      <c r="O84" s="300">
        <f>IFERROR(VLOOKUP($G84,[1]нормы!$A$21:$BC$151,21,0),"")</f>
        <v>0</v>
      </c>
      <c r="P84" s="35">
        <f>IFERROR(VLOOKUP($G84,[1]нормы!$A$21:$BC$151,19,0),"")</f>
        <v>0</v>
      </c>
      <c r="Q84" s="35">
        <f>IFERROR(VLOOKUP($G84,[1]нормы!$A$21:$BC$151,23,0),"")</f>
        <v>0</v>
      </c>
      <c r="R84" s="231">
        <f>IFERROR(VLOOKUP($G84,[1]нормы!$A$21:$BC$151,29,0),"")</f>
        <v>0</v>
      </c>
      <c r="S84" s="35">
        <f>IFERROR(VLOOKUP($G84,[1]нормы!$A$21:$BC$151,31,0),"")</f>
        <v>0</v>
      </c>
      <c r="T84" s="32">
        <f>IFERROR(VLOOKUP($G84,[1]нормы!$A$21:$BC$151,25,0),"")</f>
        <v>0</v>
      </c>
      <c r="U84" s="233" t="str">
        <f>IFERROR(W84/(((100*Y84/Y86)*I85)/100),"")</f>
        <v/>
      </c>
      <c r="V84" s="234" t="str">
        <f>IFERROR(VLOOKUP($G84,нормы!$A$14:$BC$57,38,0),"")</f>
        <v/>
      </c>
      <c r="W84" s="136"/>
      <c r="X84" s="237"/>
      <c r="Y84" s="152" t="str">
        <f>IFERROR(VLOOKUP($G84,нормы!$A$14:$BC$57,42,0)*W84,"")</f>
        <v/>
      </c>
      <c r="Z84" s="163">
        <f>IFERROR(VLOOKUP($G84,нормы!$A$14:$BC$57,14,0)*W84/1000,0)</f>
        <v>0</v>
      </c>
      <c r="AA84" s="30"/>
      <c r="AB84" s="35"/>
      <c r="AC84" s="35"/>
      <c r="AD84" s="35"/>
      <c r="AE84" s="31"/>
      <c r="AF84" s="160"/>
      <c r="AG84" s="391"/>
      <c r="AH84" s="394"/>
      <c r="AI84" s="397"/>
      <c r="AJ84" s="408"/>
      <c r="AK84" s="360"/>
      <c r="AL84" s="360"/>
      <c r="AM84" s="360"/>
      <c r="AN84" s="289">
        <f>IFERROR(Y84*AJ80/Y86,)</f>
        <v>0</v>
      </c>
      <c r="AO84" s="197" t="str">
        <f>IFERROR(VLOOKUP($G84,нормы!$A$14:$BC$57,53,0)*$W84,"")</f>
        <v/>
      </c>
      <c r="AP84" s="290">
        <f>IFERROR(Y84*AI80/Y86,)</f>
        <v>0</v>
      </c>
      <c r="AQ84" s="197" t="str">
        <f>IFERROR(VLOOKUP($G84,нормы!$A$14:$BC$57,54,0)*$W84,"")</f>
        <v/>
      </c>
      <c r="AR84" s="290">
        <f>IFERROR(AS84/SUM(AS80:AS85)*AL80,0)</f>
        <v>0</v>
      </c>
      <c r="AS84" s="197" t="str">
        <f>IFERROR(VLOOKUP($G84,нормы!$A$14:$BC$57,55,0)*W84,"")</f>
        <v/>
      </c>
      <c r="AT84" s="290">
        <f>IFERROR(AU84/SUM(AU80:AU85)*AM80,0)</f>
        <v>0</v>
      </c>
      <c r="AU84" s="197" t="str">
        <f>IFERROR(VLOOKUP($G84,нормы!$A$14:$BI$57,56,0)*W84,"")</f>
        <v/>
      </c>
      <c r="AV84" s="290">
        <f>IFERROR(AW84/SUM(AW80:AW85)*AK80,0)</f>
        <v>0</v>
      </c>
      <c r="AW84" s="202" t="str">
        <f>IFERROR(VLOOKUP($G84,нормы!$A$14:$BI$57,57,0)*W84,"")</f>
        <v/>
      </c>
      <c r="AX84" s="30"/>
      <c r="AY84" s="203" t="str">
        <f>IFERROR(VLOOKUP($G84,нормы!$A$14:$BI$57,58,0)*W84,"")</f>
        <v/>
      </c>
      <c r="AZ84" s="205"/>
      <c r="BA84" s="200" t="str">
        <f>IFERROR(VLOOKUP($G84,нормы!$A$14:$BI$57,61,0)*$W84,"")</f>
        <v/>
      </c>
      <c r="BB84" s="30"/>
      <c r="BC84" s="203" t="str">
        <f>IFERROR(VLOOKUP($G84,нормы!$A$14:$BI$57,60,0)*W84,"")</f>
        <v/>
      </c>
      <c r="BD84" s="200" t="str">
        <f>IFERROR(VLOOKUP($G84,нормы!$A$14:$BG$57,44,0),"")</f>
        <v/>
      </c>
      <c r="BE84" s="199" t="str">
        <f>IFERROR(W84/VLOOKUP($G84,нормы!$A$14:$BI$57,45,0),"")</f>
        <v/>
      </c>
    </row>
    <row r="85" spans="1:57" s="1" customFormat="1" ht="21" customHeight="1" thickBot="1" x14ac:dyDescent="0.45">
      <c r="A85" s="37" t="str">
        <f t="shared" ref="A85:D85" si="42">A84</f>
        <v>2Д</v>
      </c>
      <c r="B85" s="12">
        <f t="shared" si="42"/>
        <v>46024</v>
      </c>
      <c r="C85" s="97">
        <f t="shared" si="42"/>
        <v>0</v>
      </c>
      <c r="D85" s="97">
        <f t="shared" si="42"/>
        <v>2</v>
      </c>
      <c r="E85" s="54"/>
      <c r="F85" s="151" t="str">
        <f>IFERROR(VLOOKUP($G85,нормы!$A$14:$BC$57,2,0),"")</f>
        <v/>
      </c>
      <c r="G85" s="93"/>
      <c r="H85" s="63">
        <f t="shared" si="38"/>
        <v>0</v>
      </c>
      <c r="I85" s="153">
        <f>I81+I83</f>
        <v>0</v>
      </c>
      <c r="J85" s="334"/>
      <c r="K85" s="30">
        <f>IFERROR(VLOOKUP($G85,[1]нормы!$A$21:$BC$151,15,0),"")</f>
        <v>0</v>
      </c>
      <c r="L85" s="31">
        <f>IFERROR(VLOOKUP($G85,[1]нормы!$A$21:$BC$151,17,0),"")</f>
        <v>0</v>
      </c>
      <c r="M85" s="308">
        <f>IFERROR(VLOOKUP($G85,[1]нормы!$A$21:$BC$151,27,0),"")</f>
        <v>0</v>
      </c>
      <c r="N85" s="309" t="str">
        <f>IFERROR(Y85/Y86*(1.1*J80*I90),"")</f>
        <v/>
      </c>
      <c r="O85" s="300">
        <f>IFERROR(VLOOKUP($G85,[1]нормы!$A$21:$BC$151,21,0),"")</f>
        <v>0</v>
      </c>
      <c r="P85" s="35">
        <f>IFERROR(VLOOKUP($G85,[1]нормы!$A$21:$BC$151,19,0),"")</f>
        <v>0</v>
      </c>
      <c r="Q85" s="35">
        <f>IFERROR(VLOOKUP($G85,[1]нормы!$A$21:$BC$151,23,0),"")</f>
        <v>0</v>
      </c>
      <c r="R85" s="231">
        <f>IFERROR(VLOOKUP($G85,[1]нормы!$A$21:$BC$151,29,0),"")</f>
        <v>0</v>
      </c>
      <c r="S85" s="35">
        <f>IFERROR(VLOOKUP($G85,[1]нормы!$A$21:$BC$151,31,0),"")</f>
        <v>0</v>
      </c>
      <c r="T85" s="32">
        <f>IFERROR(VLOOKUP($G85,[1]нормы!$A$21:$BC$151,25,0),"")</f>
        <v>0</v>
      </c>
      <c r="U85" s="235" t="str">
        <f>IFERROR(W85/(((100*Y85/Y86)*I85)/100),"")</f>
        <v/>
      </c>
      <c r="V85" s="234" t="str">
        <f>IFERROR(VLOOKUP($G85,нормы!$A$14:$BC$57,38,0),"")</f>
        <v/>
      </c>
      <c r="W85" s="154"/>
      <c r="X85" s="238"/>
      <c r="Y85" s="152" t="str">
        <f>IFERROR(VLOOKUP($G85,нормы!$A$14:$BC$57,42,0)*W85,"")</f>
        <v/>
      </c>
      <c r="Z85" s="163">
        <f>IFERROR(VLOOKUP($G85,нормы!$A$14:$BC$57,14,0)*W85/1000,0)</f>
        <v>0</v>
      </c>
      <c r="AA85" s="56"/>
      <c r="AB85" s="58"/>
      <c r="AC85" s="58"/>
      <c r="AD85" s="58"/>
      <c r="AE85" s="57"/>
      <c r="AF85" s="161"/>
      <c r="AG85" s="392"/>
      <c r="AH85" s="395"/>
      <c r="AI85" s="398"/>
      <c r="AJ85" s="409"/>
      <c r="AK85" s="361"/>
      <c r="AL85" s="361"/>
      <c r="AM85" s="361"/>
      <c r="AN85" s="291">
        <f>IFERROR(Y85*AJ80/Y86,)</f>
        <v>0</v>
      </c>
      <c r="AO85" s="197" t="str">
        <f>IFERROR(VLOOKUP($G85,нормы!$A$14:$BC$57,53,0)*$W85,"")</f>
        <v/>
      </c>
      <c r="AP85" s="292">
        <f>IFERROR(Y85*AI80/Y86,)</f>
        <v>0</v>
      </c>
      <c r="AQ85" s="197" t="str">
        <f>IFERROR(VLOOKUP($G85,нормы!$A$14:$BC$57,54,0)*$W85,"")</f>
        <v/>
      </c>
      <c r="AR85" s="290">
        <f>IFERROR(AS85/SUM(AS80:AS85)*AL80,0)</f>
        <v>0</v>
      </c>
      <c r="AS85" s="197" t="str">
        <f>IFERROR(VLOOKUP($G85,нормы!$A$14:$BC$57,55,0)*W85,"")</f>
        <v/>
      </c>
      <c r="AT85" s="292">
        <f>IFERROR(AU85/SUM(AU80:AU85)*AM80,0)</f>
        <v>0</v>
      </c>
      <c r="AU85" s="197" t="str">
        <f>IFERROR(VLOOKUP($G85,нормы!$A$14:$BI$57,56,0)*W85,"")</f>
        <v/>
      </c>
      <c r="AV85" s="292">
        <f>IFERROR(AW85/SUM(AW80:AW85)*AK80,0)</f>
        <v>0</v>
      </c>
      <c r="AW85" s="202" t="str">
        <f>IFERROR(VLOOKUP($G85,нормы!$A$14:$BI$57,57,0)*W85,"")</f>
        <v/>
      </c>
      <c r="AX85" s="56"/>
      <c r="AY85" s="203" t="str">
        <f>IFERROR(VLOOKUP($G85,нормы!$A$14:$BI$57,58,0)*W85,"")</f>
        <v/>
      </c>
      <c r="AZ85" s="206"/>
      <c r="BA85" s="200" t="str">
        <f>IFERROR(VLOOKUP($G85,нормы!$A$14:$BI$57,61,0)*$W85,"")</f>
        <v/>
      </c>
      <c r="BB85" s="56"/>
      <c r="BC85" s="203" t="str">
        <f>IFERROR(VLOOKUP($G85,нормы!$A$14:$BI$57,60,0)*W85,"")</f>
        <v/>
      </c>
      <c r="BD85" s="200" t="str">
        <f>IFERROR(VLOOKUP($G85,нормы!$A$14:$BG$57,44,0),"")</f>
        <v/>
      </c>
      <c r="BE85" s="199" t="str">
        <f>IFERROR(W85/VLOOKUP($G85,нормы!$A$14:$BI$57,45,0),"")</f>
        <v/>
      </c>
    </row>
    <row r="86" spans="1:57" s="1" customFormat="1" ht="29.4" customHeight="1" thickBot="1" x14ac:dyDescent="0.45">
      <c r="A86" s="37" t="str">
        <f t="shared" si="35"/>
        <v>2Д</v>
      </c>
      <c r="B86" s="59"/>
      <c r="C86" s="51"/>
      <c r="D86" s="51"/>
      <c r="E86" s="51"/>
      <c r="F86" s="51"/>
      <c r="G86" s="51"/>
      <c r="H86" s="51"/>
      <c r="I86" s="60"/>
      <c r="J86" s="60"/>
      <c r="K86" s="319" t="s">
        <v>213</v>
      </c>
      <c r="L86" s="316"/>
      <c r="M86" s="303" t="s">
        <v>213</v>
      </c>
      <c r="N86" s="317">
        <f>SUM(N80:N85)</f>
        <v>0</v>
      </c>
      <c r="O86" s="304" t="s">
        <v>217</v>
      </c>
      <c r="P86" s="318">
        <f>N86*8.937/1000</f>
        <v>0</v>
      </c>
      <c r="Q86" s="305" t="s">
        <v>215</v>
      </c>
      <c r="R86" s="61"/>
      <c r="S86" s="61"/>
      <c r="T86" s="61"/>
      <c r="U86" s="109"/>
      <c r="V86" s="109"/>
      <c r="W86" s="94"/>
      <c r="X86" s="155"/>
      <c r="Y86" s="96">
        <f>SUM(Y80:Y85)</f>
        <v>0</v>
      </c>
      <c r="Z86" s="164">
        <f>SUM(Z80:Z85)</f>
        <v>0</v>
      </c>
      <c r="AA86" s="207">
        <f>(AA72+AA73+AA74+AA75+AA76+AA77+AA78+AA80+AA81+AA82+AA83+AA84+AA85)-AG73</f>
        <v>1</v>
      </c>
      <c r="AB86" s="208">
        <f>(AB72+AB73+AB74+AB75+AB76+AB77+AB78+AB80+AB81+AB82+AB83+AB84+AB85)-AH73</f>
        <v>2</v>
      </c>
      <c r="AC86" s="208">
        <f>(AC72+AC73+AC74+AC75+AC76+AC77+AC78+AC80+AC81+AC82+AC83+AC84+AC85)-AG80</f>
        <v>3</v>
      </c>
      <c r="AD86" s="208">
        <f>(AD72+AD73+AD74+AD75+AD76+AD77+AD78+AD80+AD81+AD82+AD83+AD84+AD85)-AH80</f>
        <v>4</v>
      </c>
      <c r="AE86" s="208">
        <f>(AE72+AE73+AE74+AE75+AE76+AE77+AE78+AE80+AE81+AE82+AE83+AE84+AE85)-AI73</f>
        <v>5</v>
      </c>
      <c r="AF86" s="209">
        <f>(AF72+AF73+AF74+AF75+AF76+AF77+AF78+AF80+AF81+AF82+AF83+AF84+AF85)-AI80</f>
        <v>6</v>
      </c>
      <c r="AG86" s="62"/>
      <c r="AH86" s="62"/>
      <c r="AI86" s="62"/>
      <c r="AJ86" s="62"/>
      <c r="AK86" s="62"/>
      <c r="AL86" s="62"/>
      <c r="AM86" s="62"/>
      <c r="AN86" s="91">
        <f>SUM(AN80:AN85)</f>
        <v>0</v>
      </c>
      <c r="AO86" s="91">
        <f>SUM(AO80:AO85)</f>
        <v>0</v>
      </c>
      <c r="AP86" s="91"/>
      <c r="AQ86" s="91"/>
      <c r="AR86" s="91">
        <f>SUM(AR80:AR85)</f>
        <v>0</v>
      </c>
      <c r="AS86" s="91">
        <f t="shared" ref="AS86:AW86" si="43">SUM(AS80:AS85)</f>
        <v>0</v>
      </c>
      <c r="AT86" s="91">
        <f t="shared" si="43"/>
        <v>0</v>
      </c>
      <c r="AU86" s="91">
        <f t="shared" si="43"/>
        <v>0</v>
      </c>
      <c r="AV86" s="91">
        <f t="shared" si="43"/>
        <v>0</v>
      </c>
      <c r="AW86" s="91">
        <f t="shared" si="43"/>
        <v>0</v>
      </c>
      <c r="AX86" s="91">
        <f>SUM(AX80:AX85)</f>
        <v>0</v>
      </c>
      <c r="AY86" s="91">
        <f>SUM(AY80:AY85)</f>
        <v>0</v>
      </c>
      <c r="AZ86" s="91">
        <f>SUM(AZ80:AZ85)</f>
        <v>0</v>
      </c>
      <c r="BA86" s="91"/>
      <c r="BB86" s="91"/>
      <c r="BC86" s="91"/>
      <c r="BD86" s="91" t="str">
        <f>IFERROR(VLOOKUP($G86,нормы!$A$14:$BG$15,27,0),"")</f>
        <v/>
      </c>
      <c r="BE86" s="53" t="str">
        <f>IFERROR(W86/VLOOKUP($G86,нормы!$A$14:$BI$15,28,0),"")</f>
        <v/>
      </c>
    </row>
    <row r="87" spans="1:57" s="1" customFormat="1" ht="29.4" customHeight="1" thickBot="1" x14ac:dyDescent="0.5">
      <c r="A87" s="37" t="str">
        <f t="shared" ref="A87:A102" si="44">A86</f>
        <v>2Д</v>
      </c>
      <c r="B87" s="166" t="s">
        <v>130</v>
      </c>
      <c r="C87" s="167"/>
      <c r="D87" s="167"/>
      <c r="E87" s="167"/>
      <c r="F87" s="165"/>
      <c r="G87" s="167"/>
      <c r="H87" s="167"/>
      <c r="I87" s="168"/>
      <c r="J87" s="168"/>
      <c r="K87" s="168"/>
      <c r="L87" s="168"/>
      <c r="M87" s="168"/>
      <c r="N87" s="168"/>
      <c r="O87" s="167"/>
      <c r="P87" s="169"/>
      <c r="Q87" s="169"/>
      <c r="R87" s="169"/>
      <c r="S87" s="169"/>
      <c r="T87" s="169"/>
      <c r="U87" s="170"/>
      <c r="V87" s="170"/>
      <c r="W87" s="171"/>
      <c r="X87" s="171"/>
      <c r="Y87" s="172"/>
      <c r="Z87" s="172"/>
      <c r="AA87" s="201" t="s">
        <v>144</v>
      </c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64"/>
      <c r="AN87" s="167"/>
      <c r="AO87" s="167"/>
      <c r="AP87" s="167"/>
      <c r="AQ87" s="167"/>
      <c r="AR87" s="64"/>
      <c r="AS87" s="64"/>
      <c r="AT87" s="65"/>
      <c r="AU87" s="64"/>
      <c r="AV87" s="49"/>
      <c r="AW87" s="49"/>
      <c r="AX87" s="167"/>
      <c r="AY87" s="167"/>
      <c r="AZ87" s="167"/>
      <c r="BA87" s="167"/>
      <c r="BB87" s="167"/>
      <c r="BC87" s="167"/>
      <c r="BD87" s="66"/>
      <c r="BE87" s="66"/>
    </row>
    <row r="88" spans="1:57" s="1" customFormat="1" ht="23.25" customHeight="1" x14ac:dyDescent="0.4">
      <c r="A88" s="37" t="str">
        <f t="shared" si="44"/>
        <v>2Д</v>
      </c>
      <c r="B88" s="183"/>
      <c r="C88" s="100"/>
      <c r="D88" s="185"/>
      <c r="E88" s="186" t="s">
        <v>57</v>
      </c>
      <c r="F88" s="66" t="s">
        <v>87</v>
      </c>
      <c r="G88" s="66"/>
      <c r="H88" s="108" t="s">
        <v>131</v>
      </c>
      <c r="I88" s="101"/>
      <c r="J88" s="101"/>
      <c r="K88" s="101"/>
      <c r="L88" s="101"/>
      <c r="M88" s="101"/>
      <c r="N88" s="101"/>
      <c r="O88" s="67"/>
      <c r="P88" s="102"/>
      <c r="Q88" s="102"/>
      <c r="R88" s="102"/>
      <c r="S88" s="102"/>
      <c r="T88" s="102"/>
      <c r="U88" s="67"/>
      <c r="V88" s="67"/>
      <c r="W88" s="103"/>
      <c r="X88" s="187"/>
      <c r="Y88" s="68" t="s">
        <v>74</v>
      </c>
      <c r="Z88" s="69"/>
      <c r="AA88" s="90"/>
      <c r="AB88" s="100"/>
      <c r="AC88" s="100"/>
      <c r="AD88" s="186" t="s">
        <v>57</v>
      </c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190"/>
      <c r="AU88" s="66"/>
      <c r="AV88" s="165"/>
      <c r="AW88" s="293"/>
      <c r="AX88" s="66"/>
      <c r="AY88" s="66"/>
      <c r="AZ88" s="66"/>
      <c r="BA88" s="66"/>
      <c r="BB88" s="66"/>
      <c r="BC88" s="66"/>
      <c r="BD88" s="68" t="s">
        <v>74</v>
      </c>
      <c r="BE88" s="69"/>
    </row>
    <row r="89" spans="1:57" s="1" customFormat="1" ht="23.25" customHeight="1" thickBot="1" x14ac:dyDescent="0.45">
      <c r="A89" s="37" t="str">
        <f t="shared" si="44"/>
        <v>2Д</v>
      </c>
      <c r="B89" s="183"/>
      <c r="C89" s="41"/>
      <c r="D89" s="184"/>
      <c r="E89" s="50"/>
      <c r="F89" s="70"/>
      <c r="G89" s="70"/>
      <c r="H89" s="70"/>
      <c r="I89" s="104"/>
      <c r="J89" s="104"/>
      <c r="K89" s="104"/>
      <c r="L89" s="104"/>
      <c r="M89" s="104"/>
      <c r="N89" s="104"/>
      <c r="O89" s="71"/>
      <c r="P89" s="105"/>
      <c r="Q89" s="105"/>
      <c r="R89" s="105"/>
      <c r="S89" s="105"/>
      <c r="T89" s="105"/>
      <c r="U89" s="71"/>
      <c r="V89" s="71"/>
      <c r="W89" s="106"/>
      <c r="X89" s="188"/>
      <c r="Y89" s="72"/>
      <c r="Z89" s="73"/>
      <c r="AA89" s="90"/>
      <c r="AB89" s="41"/>
      <c r="AC89" s="41"/>
      <c r="AD89" s="50"/>
      <c r="AE89" s="47"/>
      <c r="AF89" s="47"/>
      <c r="AG89" s="47"/>
      <c r="AH89" s="47"/>
      <c r="AI89" s="47"/>
      <c r="AJ89" s="47"/>
      <c r="AK89" s="47"/>
      <c r="AL89" s="47"/>
      <c r="AM89" s="70"/>
      <c r="AN89" s="47"/>
      <c r="AO89" s="70"/>
      <c r="AP89" s="70"/>
      <c r="AQ89" s="70"/>
      <c r="AR89" s="70"/>
      <c r="AS89" s="70"/>
      <c r="AT89" s="191"/>
      <c r="AU89" s="70"/>
      <c r="AV89" s="192"/>
      <c r="AW89" s="294"/>
      <c r="AX89" s="70"/>
      <c r="AY89" s="70"/>
      <c r="AZ89" s="70"/>
      <c r="BA89" s="70"/>
      <c r="BB89" s="70"/>
      <c r="BC89" s="70"/>
      <c r="BD89" s="72"/>
      <c r="BE89" s="73"/>
    </row>
    <row r="90" spans="1:57" s="1" customFormat="1" ht="24.75" customHeight="1" x14ac:dyDescent="0.4">
      <c r="A90" s="37" t="str">
        <f t="shared" si="44"/>
        <v>2Д</v>
      </c>
      <c r="B90" s="183"/>
      <c r="C90" s="41"/>
      <c r="D90" s="184"/>
      <c r="E90" s="281">
        <f>B85</f>
        <v>46024</v>
      </c>
      <c r="F90" s="337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98">
        <v>1</v>
      </c>
      <c r="Y90" s="74">
        <v>1</v>
      </c>
      <c r="Z90" s="75">
        <f t="shared" ref="Z90:Z101" si="45">Y90-X90</f>
        <v>0</v>
      </c>
      <c r="AA90" s="189"/>
      <c r="AB90" s="41"/>
      <c r="AC90" s="184"/>
      <c r="AD90" s="210">
        <f>E90</f>
        <v>46024</v>
      </c>
      <c r="AE90" s="387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9"/>
      <c r="BC90" s="98">
        <v>1</v>
      </c>
      <c r="BD90" s="74">
        <v>1</v>
      </c>
      <c r="BE90" s="75">
        <f t="shared" ref="BE90:BE101" si="46">BD90-BC90</f>
        <v>0</v>
      </c>
    </row>
    <row r="91" spans="1:57" s="1" customFormat="1" ht="21.9" customHeight="1" x14ac:dyDescent="0.4">
      <c r="A91" s="37" t="str">
        <f t="shared" si="44"/>
        <v>2Д</v>
      </c>
      <c r="B91" s="183"/>
      <c r="C91" s="41"/>
      <c r="D91" s="184"/>
      <c r="E91" s="282">
        <f>E90</f>
        <v>46024</v>
      </c>
      <c r="F91" s="335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98">
        <v>1</v>
      </c>
      <c r="Y91" s="74">
        <v>1</v>
      </c>
      <c r="Z91" s="75">
        <f t="shared" si="45"/>
        <v>0</v>
      </c>
      <c r="AA91" s="107">
        <f>AA90</f>
        <v>0</v>
      </c>
      <c r="AB91" s="41"/>
      <c r="AC91" s="184"/>
      <c r="AD91" s="212">
        <f>AD90</f>
        <v>46024</v>
      </c>
      <c r="AE91" s="387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9"/>
      <c r="BC91" s="98">
        <v>1</v>
      </c>
      <c r="BD91" s="74">
        <v>1</v>
      </c>
      <c r="BE91" s="75">
        <f t="shared" si="46"/>
        <v>0</v>
      </c>
    </row>
    <row r="92" spans="1:57" s="1" customFormat="1" ht="21.9" customHeight="1" x14ac:dyDescent="0.4">
      <c r="A92" s="37" t="str">
        <f t="shared" si="44"/>
        <v>2Д</v>
      </c>
      <c r="B92" s="183"/>
      <c r="C92" s="41"/>
      <c r="D92" s="184"/>
      <c r="E92" s="282">
        <f t="shared" ref="E92:E101" si="47">E91</f>
        <v>46024</v>
      </c>
      <c r="F92" s="335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98">
        <v>1</v>
      </c>
      <c r="Y92" s="74">
        <v>1</v>
      </c>
      <c r="Z92" s="75">
        <f t="shared" si="45"/>
        <v>0</v>
      </c>
      <c r="AA92" s="107">
        <f>AA91</f>
        <v>0</v>
      </c>
      <c r="AB92" s="41"/>
      <c r="AC92" s="184"/>
      <c r="AD92" s="212">
        <f t="shared" ref="AD92:AD101" si="48">AD91</f>
        <v>46024</v>
      </c>
      <c r="AE92" s="387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9"/>
      <c r="BC92" s="98">
        <v>1</v>
      </c>
      <c r="BD92" s="74">
        <v>1</v>
      </c>
      <c r="BE92" s="75">
        <f t="shared" si="46"/>
        <v>0</v>
      </c>
    </row>
    <row r="93" spans="1:57" s="1" customFormat="1" ht="21.9" customHeight="1" x14ac:dyDescent="0.4">
      <c r="A93" s="37" t="str">
        <f t="shared" si="44"/>
        <v>2Д</v>
      </c>
      <c r="B93" s="183"/>
      <c r="C93" s="41"/>
      <c r="D93" s="184"/>
      <c r="E93" s="282">
        <f t="shared" si="47"/>
        <v>46024</v>
      </c>
      <c r="F93" s="335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98">
        <v>1</v>
      </c>
      <c r="Y93" s="74">
        <v>1</v>
      </c>
      <c r="Z93" s="75">
        <f t="shared" si="45"/>
        <v>0</v>
      </c>
      <c r="AA93" s="107">
        <f t="shared" ref="AA93:AA101" si="49">AA92</f>
        <v>0</v>
      </c>
      <c r="AB93" s="41"/>
      <c r="AC93" s="184"/>
      <c r="AD93" s="212">
        <f t="shared" si="48"/>
        <v>46024</v>
      </c>
      <c r="AE93" s="387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9"/>
      <c r="BC93" s="98">
        <v>1</v>
      </c>
      <c r="BD93" s="74">
        <v>1</v>
      </c>
      <c r="BE93" s="75">
        <f t="shared" si="46"/>
        <v>0</v>
      </c>
    </row>
    <row r="94" spans="1:57" s="1" customFormat="1" ht="21.9" customHeight="1" x14ac:dyDescent="0.4">
      <c r="A94" s="37" t="str">
        <f t="shared" si="44"/>
        <v>2Д</v>
      </c>
      <c r="B94" s="183"/>
      <c r="C94" s="41"/>
      <c r="D94" s="184"/>
      <c r="E94" s="282">
        <f t="shared" si="47"/>
        <v>46024</v>
      </c>
      <c r="F94" s="335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98">
        <v>1</v>
      </c>
      <c r="Y94" s="74">
        <v>1</v>
      </c>
      <c r="Z94" s="75">
        <f t="shared" si="45"/>
        <v>0</v>
      </c>
      <c r="AA94" s="107">
        <f t="shared" si="49"/>
        <v>0</v>
      </c>
      <c r="AB94" s="41"/>
      <c r="AC94" s="184"/>
      <c r="AD94" s="212">
        <f t="shared" si="48"/>
        <v>46024</v>
      </c>
      <c r="AE94" s="387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9"/>
      <c r="BC94" s="98">
        <v>1</v>
      </c>
      <c r="BD94" s="74">
        <v>1</v>
      </c>
      <c r="BE94" s="75">
        <f t="shared" si="46"/>
        <v>0</v>
      </c>
    </row>
    <row r="95" spans="1:57" s="1" customFormat="1" ht="18" customHeight="1" x14ac:dyDescent="0.4">
      <c r="A95" s="37" t="str">
        <f t="shared" si="44"/>
        <v>2Д</v>
      </c>
      <c r="B95" s="183"/>
      <c r="C95" s="41"/>
      <c r="D95" s="184"/>
      <c r="E95" s="282">
        <f t="shared" si="47"/>
        <v>46024</v>
      </c>
      <c r="F95" s="335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98">
        <v>1</v>
      </c>
      <c r="Y95" s="74">
        <v>1</v>
      </c>
      <c r="Z95" s="75">
        <f t="shared" si="45"/>
        <v>0</v>
      </c>
      <c r="AA95" s="107">
        <f t="shared" si="49"/>
        <v>0</v>
      </c>
      <c r="AB95" s="41"/>
      <c r="AC95" s="184"/>
      <c r="AD95" s="212">
        <f t="shared" si="48"/>
        <v>46024</v>
      </c>
      <c r="AE95" s="387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9"/>
      <c r="BC95" s="98">
        <v>1</v>
      </c>
      <c r="BD95" s="74">
        <v>1</v>
      </c>
      <c r="BE95" s="75">
        <f t="shared" si="46"/>
        <v>0</v>
      </c>
    </row>
    <row r="96" spans="1:57" s="1" customFormat="1" ht="18" customHeight="1" x14ac:dyDescent="0.4">
      <c r="A96" s="37" t="str">
        <f t="shared" si="44"/>
        <v>2Д</v>
      </c>
      <c r="B96" s="183"/>
      <c r="C96" s="41"/>
      <c r="D96" s="184"/>
      <c r="E96" s="282">
        <f t="shared" si="47"/>
        <v>46024</v>
      </c>
      <c r="F96" s="335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98">
        <v>1</v>
      </c>
      <c r="Y96" s="74">
        <v>1</v>
      </c>
      <c r="Z96" s="75">
        <f t="shared" si="45"/>
        <v>0</v>
      </c>
      <c r="AA96" s="107">
        <f t="shared" si="49"/>
        <v>0</v>
      </c>
      <c r="AB96" s="41"/>
      <c r="AC96" s="184"/>
      <c r="AD96" s="212">
        <f t="shared" si="48"/>
        <v>46024</v>
      </c>
      <c r="AE96" s="387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9"/>
      <c r="BC96" s="98">
        <v>1</v>
      </c>
      <c r="BD96" s="74">
        <v>1</v>
      </c>
      <c r="BE96" s="75">
        <f t="shared" si="46"/>
        <v>0</v>
      </c>
    </row>
    <row r="97" spans="1:59" s="1" customFormat="1" ht="18" customHeight="1" x14ac:dyDescent="0.4">
      <c r="A97" s="37" t="str">
        <f t="shared" si="44"/>
        <v>2Д</v>
      </c>
      <c r="B97" s="183"/>
      <c r="C97" s="41"/>
      <c r="D97" s="184"/>
      <c r="E97" s="282">
        <f t="shared" si="47"/>
        <v>46024</v>
      </c>
      <c r="F97" s="335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98">
        <v>1</v>
      </c>
      <c r="Y97" s="74">
        <v>1</v>
      </c>
      <c r="Z97" s="75">
        <f t="shared" si="45"/>
        <v>0</v>
      </c>
      <c r="AA97" s="107">
        <f t="shared" si="49"/>
        <v>0</v>
      </c>
      <c r="AB97" s="41"/>
      <c r="AC97" s="184"/>
      <c r="AD97" s="212">
        <f t="shared" si="48"/>
        <v>46024</v>
      </c>
      <c r="AE97" s="387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9"/>
      <c r="BC97" s="98">
        <v>1</v>
      </c>
      <c r="BD97" s="74">
        <v>1</v>
      </c>
      <c r="BE97" s="75">
        <f t="shared" si="46"/>
        <v>0</v>
      </c>
    </row>
    <row r="98" spans="1:59" s="1" customFormat="1" ht="18" customHeight="1" x14ac:dyDescent="0.4">
      <c r="A98" s="37" t="str">
        <f t="shared" si="44"/>
        <v>2Д</v>
      </c>
      <c r="B98" s="183"/>
      <c r="C98" s="41"/>
      <c r="D98" s="184"/>
      <c r="E98" s="282">
        <f t="shared" si="47"/>
        <v>46024</v>
      </c>
      <c r="F98" s="335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98">
        <v>1</v>
      </c>
      <c r="Y98" s="74">
        <v>1</v>
      </c>
      <c r="Z98" s="75">
        <f t="shared" si="45"/>
        <v>0</v>
      </c>
      <c r="AA98" s="107">
        <f t="shared" si="49"/>
        <v>0</v>
      </c>
      <c r="AB98" s="41"/>
      <c r="AC98" s="184"/>
      <c r="AD98" s="212">
        <f t="shared" si="48"/>
        <v>46024</v>
      </c>
      <c r="AE98" s="387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9"/>
      <c r="BC98" s="98">
        <v>1</v>
      </c>
      <c r="BD98" s="74">
        <v>1</v>
      </c>
      <c r="BE98" s="75">
        <f t="shared" si="46"/>
        <v>0</v>
      </c>
    </row>
    <row r="99" spans="1:59" s="1" customFormat="1" ht="18" customHeight="1" x14ac:dyDescent="0.4">
      <c r="A99" s="37" t="str">
        <f t="shared" si="44"/>
        <v>2Д</v>
      </c>
      <c r="B99" s="183"/>
      <c r="C99" s="41"/>
      <c r="D99" s="184"/>
      <c r="E99" s="282">
        <f t="shared" si="47"/>
        <v>46024</v>
      </c>
      <c r="F99" s="335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98">
        <v>1</v>
      </c>
      <c r="Y99" s="74">
        <v>1</v>
      </c>
      <c r="Z99" s="75">
        <f t="shared" si="45"/>
        <v>0</v>
      </c>
      <c r="AA99" s="107">
        <f t="shared" si="49"/>
        <v>0</v>
      </c>
      <c r="AB99" s="41"/>
      <c r="AC99" s="184"/>
      <c r="AD99" s="212">
        <f t="shared" si="48"/>
        <v>46024</v>
      </c>
      <c r="AE99" s="387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9"/>
      <c r="BC99" s="98">
        <v>1</v>
      </c>
      <c r="BD99" s="74">
        <v>1</v>
      </c>
      <c r="BE99" s="75">
        <f t="shared" si="46"/>
        <v>0</v>
      </c>
    </row>
    <row r="100" spans="1:59" s="1" customFormat="1" ht="18" customHeight="1" x14ac:dyDescent="0.4">
      <c r="A100" s="37" t="str">
        <f t="shared" si="44"/>
        <v>2Д</v>
      </c>
      <c r="B100" s="183"/>
      <c r="C100" s="41"/>
      <c r="D100" s="184"/>
      <c r="E100" s="282">
        <f t="shared" si="47"/>
        <v>46024</v>
      </c>
      <c r="F100" s="335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98">
        <v>1</v>
      </c>
      <c r="Y100" s="74">
        <v>1</v>
      </c>
      <c r="Z100" s="75">
        <f t="shared" si="45"/>
        <v>0</v>
      </c>
      <c r="AA100" s="107">
        <f t="shared" si="49"/>
        <v>0</v>
      </c>
      <c r="AB100" s="41"/>
      <c r="AC100" s="184"/>
      <c r="AD100" s="212">
        <f t="shared" si="48"/>
        <v>46024</v>
      </c>
      <c r="AE100" s="387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9"/>
      <c r="BC100" s="98">
        <v>1</v>
      </c>
      <c r="BD100" s="74">
        <v>1</v>
      </c>
      <c r="BE100" s="75">
        <f t="shared" si="46"/>
        <v>0</v>
      </c>
    </row>
    <row r="101" spans="1:59" s="1" customFormat="1" ht="18" customHeight="1" thickBot="1" x14ac:dyDescent="0.45">
      <c r="A101" s="37" t="str">
        <f t="shared" si="44"/>
        <v>2Д</v>
      </c>
      <c r="B101" s="183"/>
      <c r="C101" s="41"/>
      <c r="D101" s="184"/>
      <c r="E101" s="283">
        <f t="shared" si="47"/>
        <v>46024</v>
      </c>
      <c r="F101" s="339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99">
        <v>1</v>
      </c>
      <c r="Y101" s="76">
        <v>1</v>
      </c>
      <c r="Z101" s="77">
        <f t="shared" si="45"/>
        <v>0</v>
      </c>
      <c r="AA101" s="107">
        <f t="shared" si="49"/>
        <v>0</v>
      </c>
      <c r="AB101" s="41"/>
      <c r="AC101" s="184"/>
      <c r="AD101" s="211">
        <f t="shared" si="48"/>
        <v>46024</v>
      </c>
      <c r="AE101" s="410"/>
      <c r="AF101" s="411"/>
      <c r="AG101" s="411"/>
      <c r="AH101" s="411"/>
      <c r="AI101" s="411"/>
      <c r="AJ101" s="411"/>
      <c r="AK101" s="411"/>
      <c r="AL101" s="411"/>
      <c r="AM101" s="411"/>
      <c r="AN101" s="411"/>
      <c r="AO101" s="411"/>
      <c r="AP101" s="411"/>
      <c r="AQ101" s="411"/>
      <c r="AR101" s="411"/>
      <c r="AS101" s="411"/>
      <c r="AT101" s="411"/>
      <c r="AU101" s="411"/>
      <c r="AV101" s="411"/>
      <c r="AW101" s="411"/>
      <c r="AX101" s="411"/>
      <c r="AY101" s="411"/>
      <c r="AZ101" s="411"/>
      <c r="BA101" s="411"/>
      <c r="BB101" s="412"/>
      <c r="BC101" s="99">
        <v>1</v>
      </c>
      <c r="BD101" s="76">
        <v>1</v>
      </c>
      <c r="BE101" s="75">
        <f t="shared" si="46"/>
        <v>0</v>
      </c>
    </row>
    <row r="102" spans="1:59" s="1" customFormat="1" ht="23.25" customHeight="1" thickBot="1" x14ac:dyDescent="0.45">
      <c r="A102" s="37" t="str">
        <f t="shared" si="44"/>
        <v>2Д</v>
      </c>
      <c r="B102" s="193"/>
      <c r="C102" s="47"/>
      <c r="D102" s="47"/>
      <c r="E102" s="47"/>
      <c r="F102" s="78"/>
      <c r="G102" s="78"/>
      <c r="H102" s="78"/>
      <c r="I102" s="80"/>
      <c r="J102" s="80"/>
      <c r="K102" s="80"/>
      <c r="L102" s="80"/>
      <c r="M102" s="80"/>
      <c r="N102" s="80"/>
      <c r="O102" s="78"/>
      <c r="P102" s="81"/>
      <c r="Q102" s="81"/>
      <c r="R102" s="81"/>
      <c r="S102" s="81"/>
      <c r="T102" s="81"/>
      <c r="U102" s="82"/>
      <c r="V102" s="82"/>
      <c r="W102" s="86"/>
      <c r="X102" s="194"/>
      <c r="Y102" s="83"/>
      <c r="Z102" s="83"/>
      <c r="AA102" s="78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84"/>
      <c r="AN102" s="47"/>
      <c r="AO102" s="78"/>
      <c r="AP102" s="78"/>
      <c r="AQ102" s="78"/>
      <c r="AR102" s="84"/>
      <c r="AS102" s="78"/>
      <c r="AT102" s="85"/>
      <c r="AU102" s="78"/>
      <c r="AV102" s="83"/>
      <c r="AW102" s="83"/>
      <c r="AX102" s="78"/>
      <c r="AY102" s="78"/>
      <c r="AZ102" s="78"/>
      <c r="BA102" s="78"/>
      <c r="BB102" s="78"/>
      <c r="BC102" s="78"/>
      <c r="BD102" s="79"/>
      <c r="BE102" s="79"/>
    </row>
    <row r="103" spans="1:59" s="1" customFormat="1" ht="21.6" customHeight="1" thickBot="1" x14ac:dyDescent="0.45">
      <c r="A103" s="37" t="s">
        <v>146</v>
      </c>
      <c r="B103" s="59"/>
      <c r="C103" s="51"/>
      <c r="D103" s="51"/>
      <c r="E103" s="51"/>
      <c r="F103" s="158" t="s">
        <v>220</v>
      </c>
      <c r="G103" s="51"/>
      <c r="H103" s="51"/>
      <c r="I103" s="156"/>
      <c r="J103" s="156"/>
      <c r="K103" s="156"/>
      <c r="L103" s="156"/>
      <c r="M103" s="156"/>
      <c r="N103" s="156"/>
      <c r="O103" s="91"/>
      <c r="P103" s="52"/>
      <c r="Q103" s="52"/>
      <c r="R103" s="52"/>
      <c r="S103" s="52"/>
      <c r="T103" s="52"/>
      <c r="U103" s="157"/>
      <c r="V103" s="157"/>
      <c r="W103" s="94"/>
      <c r="X103" s="94"/>
      <c r="Y103" s="51"/>
      <c r="Z103" s="51"/>
      <c r="AA103" s="157">
        <f>AA86</f>
        <v>1</v>
      </c>
      <c r="AB103" s="157">
        <f t="shared" ref="AB103:AF103" si="50">AB86</f>
        <v>2</v>
      </c>
      <c r="AC103" s="157">
        <f t="shared" si="50"/>
        <v>3</v>
      </c>
      <c r="AD103" s="157">
        <f t="shared" si="50"/>
        <v>4</v>
      </c>
      <c r="AE103" s="157">
        <f t="shared" si="50"/>
        <v>5</v>
      </c>
      <c r="AF103" s="157">
        <f t="shared" si="50"/>
        <v>6</v>
      </c>
      <c r="AG103" s="162" t="s">
        <v>123</v>
      </c>
      <c r="AH103" s="162" t="s">
        <v>124</v>
      </c>
      <c r="AI103" s="162" t="s">
        <v>125</v>
      </c>
      <c r="AJ103" s="91" t="s">
        <v>126</v>
      </c>
      <c r="AK103" s="198" t="s">
        <v>136</v>
      </c>
      <c r="AL103" s="198" t="s">
        <v>137</v>
      </c>
      <c r="AM103" s="198" t="s">
        <v>138</v>
      </c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</row>
    <row r="104" spans="1:59" s="1" customFormat="1" ht="21.6" customHeight="1" x14ac:dyDescent="0.4">
      <c r="A104" s="37" t="str">
        <f>A103</f>
        <v>2Н</v>
      </c>
      <c r="B104" s="12">
        <f>B85</f>
        <v>46024</v>
      </c>
      <c r="C104" s="97"/>
      <c r="D104" s="97">
        <v>1</v>
      </c>
      <c r="E104" s="29"/>
      <c r="F104" s="151" t="str">
        <f>IFERROR(VLOOKUP($G104,нормы!$A$14:$BC$57,2,0),"")</f>
        <v/>
      </c>
      <c r="G104" s="93"/>
      <c r="H104" s="54">
        <f>IF(C104=1,"Кульков С.А.", IF(C104=2,"Чудаков А.А.",IF(C104=3,"Королев В.Н.",IF(C104=4,"Николашин М.П.",IF(C104=5," Кульков С.А.",IF(C104=6,"А.А. Чудаков",IF(C104=7,"В.Н. Королев",IF(C104=8,"М.П. Николашин",0))))))))</f>
        <v>0</v>
      </c>
      <c r="I104" s="88" t="s">
        <v>84</v>
      </c>
      <c r="J104" s="332"/>
      <c r="K104" s="30">
        <f>IFERROR(VLOOKUP($G104,[1]нормы!$A$21:$BC$151,15,0),"")</f>
        <v>0</v>
      </c>
      <c r="L104" s="31">
        <f>IFERROR(VLOOKUP($G104,[1]нормы!$A$21:$BC$151,17,0),"")</f>
        <v>0</v>
      </c>
      <c r="M104" s="310">
        <f>IFERROR(VLOOKUP($G104,[1]нормы!$A$21:$BC$151,27,0),"")</f>
        <v>0</v>
      </c>
      <c r="N104" s="311" t="str">
        <f>IFERROR(Y104/Y110*(1.1*J104*I109),"")</f>
        <v/>
      </c>
      <c r="O104" s="300">
        <f>IFERROR(VLOOKUP($G104,[1]нормы!$A$21:$BC$151,21,0),"")</f>
        <v>0</v>
      </c>
      <c r="P104" s="35">
        <f>IFERROR(VLOOKUP($G104,[1]нормы!$A$21:$BC$151,19,0),"")</f>
        <v>0</v>
      </c>
      <c r="Q104" s="35">
        <f>IFERROR(VLOOKUP($G104,[1]нормы!$A$21:$BC$151,23,0),"")</f>
        <v>0</v>
      </c>
      <c r="R104" s="231">
        <f>IFERROR(VLOOKUP($G104,[1]нормы!$A$21:$BC$151,29,0),"")</f>
        <v>0</v>
      </c>
      <c r="S104" s="35">
        <f>IFERROR(VLOOKUP($G104,[1]нормы!$A$21:$BC$151,31,0),"")</f>
        <v>0</v>
      </c>
      <c r="T104" s="32">
        <f>IFERROR(VLOOKUP($G104,[1]нормы!$A$21:$BC$151,25,0),"")</f>
        <v>0</v>
      </c>
      <c r="U104" s="232" t="str">
        <f>IFERROR(W104/(((100*Y104/Y110)*I109)/100),"")</f>
        <v/>
      </c>
      <c r="V104" s="234" t="str">
        <f>IFERROR(VLOOKUP($G104,нормы!$A$14:$BC$57,38,0),"")</f>
        <v/>
      </c>
      <c r="W104" s="136"/>
      <c r="X104" s="236"/>
      <c r="Y104" s="152" t="str">
        <f>IFERROR(VLOOKUP($G104,нормы!$A$14:$BC$57,42,0)*W104,"")</f>
        <v/>
      </c>
      <c r="Z104" s="163">
        <f>IFERROR(VLOOKUP($G104,нормы!$A$14:$BC$57,14,0)*W104/1000,0)</f>
        <v>0</v>
      </c>
      <c r="AA104" s="33"/>
      <c r="AB104" s="36"/>
      <c r="AC104" s="36"/>
      <c r="AD104" s="36"/>
      <c r="AE104" s="34"/>
      <c r="AF104" s="159"/>
      <c r="AG104" s="390"/>
      <c r="AH104" s="393"/>
      <c r="AI104" s="396"/>
      <c r="AJ104" s="407">
        <f>AG104+AH104</f>
        <v>0</v>
      </c>
      <c r="AK104" s="359"/>
      <c r="AL104" s="359"/>
      <c r="AM104" s="359"/>
      <c r="AN104" s="287">
        <f>IFERROR(Y104*AJ104/Y110,)</f>
        <v>0</v>
      </c>
      <c r="AO104" s="197" t="str">
        <f>IFERROR(VLOOKUP($G104,нормы!$A$14:$BC$57,53,0)*$W104,"")</f>
        <v/>
      </c>
      <c r="AP104" s="288">
        <f>IFERROR(Y104*AI104/Y110,)</f>
        <v>0</v>
      </c>
      <c r="AQ104" s="197" t="str">
        <f>IFERROR(VLOOKUP($G104,нормы!$A$14:$BC$57,54,0)*$W104,"")</f>
        <v/>
      </c>
      <c r="AR104" s="288">
        <f>IFERROR(AS104/SUM(AS104:AS109)*AL104,0)</f>
        <v>0</v>
      </c>
      <c r="AS104" s="197" t="str">
        <f>IFERROR(VLOOKUP($G104,нормы!$A$14:$BC$57,55,0)*W104,"")</f>
        <v/>
      </c>
      <c r="AT104" s="288">
        <f>IFERROR(AU104/SUM(AU104:AU109)*AM104,0)</f>
        <v>0</v>
      </c>
      <c r="AU104" s="197" t="str">
        <f>IFERROR(VLOOKUP($G104,нормы!$A$14:$BI$57,56,0)*W104,"")</f>
        <v/>
      </c>
      <c r="AV104" s="288">
        <f>IFERROR(AW104/SUM(AW104:AW109)*AK104,0)</f>
        <v>0</v>
      </c>
      <c r="AW104" s="202" t="str">
        <f>IFERROR(VLOOKUP($G104,нормы!$A$14:$BI$57,57,0)*W104,"")</f>
        <v/>
      </c>
      <c r="AX104" s="33"/>
      <c r="AY104" s="203" t="str">
        <f>IFERROR(VLOOKUP($G104,нормы!$A$14:$BI$57,58,0)*W104,"")</f>
        <v/>
      </c>
      <c r="AZ104" s="204"/>
      <c r="BA104" s="200" t="str">
        <f>IFERROR(VLOOKUP($G104,нормы!$A$14:$BI$57,61,0)*$W104,"")</f>
        <v/>
      </c>
      <c r="BB104" s="33"/>
      <c r="BC104" s="203" t="str">
        <f>IFERROR(VLOOKUP($G104,нормы!$A$14:$BI$57,60,0)*W104,"")</f>
        <v/>
      </c>
      <c r="BD104" s="200" t="str">
        <f>IFERROR(VLOOKUP($G104,нормы!$A$14:$BG$57,44,0),"")</f>
        <v/>
      </c>
      <c r="BE104" s="199" t="str">
        <f>IFERROR(W104/VLOOKUP($G104,нормы!$A$14:$BI$57,45,0),"")</f>
        <v/>
      </c>
      <c r="BF104" s="200" t="str">
        <f>IFERROR(VLOOKUP($G104,нормы!$A$14:$BG$15,44,0),"")</f>
        <v/>
      </c>
      <c r="BG104" s="199" t="str">
        <f>IFERROR(Y104/VLOOKUP($G104,нормы!$A$14:$BI$15,45,0),"")</f>
        <v/>
      </c>
    </row>
    <row r="105" spans="1:59" s="1" customFormat="1" ht="21.6" customHeight="1" x14ac:dyDescent="0.4">
      <c r="A105" s="37" t="str">
        <f t="shared" ref="A105:D120" si="51">A104</f>
        <v>2Н</v>
      </c>
      <c r="B105" s="12">
        <f t="shared" si="51"/>
        <v>46024</v>
      </c>
      <c r="C105" s="97">
        <f t="shared" si="51"/>
        <v>0</v>
      </c>
      <c r="D105" s="97">
        <f t="shared" si="51"/>
        <v>1</v>
      </c>
      <c r="E105" s="54"/>
      <c r="F105" s="151" t="str">
        <f>IFERROR(VLOOKUP($G105,нормы!$A$14:$BC$57,2,0),"")</f>
        <v/>
      </c>
      <c r="G105" s="93"/>
      <c r="H105" s="54">
        <f t="shared" ref="H105:H109" si="52">IF(C105=1,"Кульков С.А.", IF(C105=2,"Чудаков А.А.",IF(C105=3,"Королев В.Н.",IF(C105=4,"Николашин М.П.",IF(C105=5," Кульков С.А.",IF(C105=6,"А.А. Чудаков",IF(C105=7,"В.Н. Королев",IF(C105=8,"М.П. Николашин",0))))))))</f>
        <v>0</v>
      </c>
      <c r="I105" s="55"/>
      <c r="J105" s="333"/>
      <c r="K105" s="30">
        <f>IFERROR(VLOOKUP($G105,[1]нормы!$A$21:$BC$151,15,0),"")</f>
        <v>0</v>
      </c>
      <c r="L105" s="31">
        <f>IFERROR(VLOOKUP($G105,[1]нормы!$A$21:$BC$151,17,0),"")</f>
        <v>0</v>
      </c>
      <c r="M105" s="306">
        <f>IFERROR(VLOOKUP($G105,[1]нормы!$A$21:$BC$151,27,0),"")</f>
        <v>0</v>
      </c>
      <c r="N105" s="307" t="str">
        <f>IFERROR(Y105/Y110*(1.1*J104*I109),"")</f>
        <v/>
      </c>
      <c r="O105" s="300">
        <f>IFERROR(VLOOKUP($G105,[1]нормы!$A$21:$BC$151,21,0),"")</f>
        <v>0</v>
      </c>
      <c r="P105" s="35">
        <f>IFERROR(VLOOKUP($G105,[1]нормы!$A$21:$BC$151,19,0),"")</f>
        <v>0</v>
      </c>
      <c r="Q105" s="35">
        <f>IFERROR(VLOOKUP($G105,[1]нормы!$A$21:$BC$151,23,0),"")</f>
        <v>0</v>
      </c>
      <c r="R105" s="231">
        <f>IFERROR(VLOOKUP($G105,[1]нормы!$A$21:$BC$151,29,0),"")</f>
        <v>0</v>
      </c>
      <c r="S105" s="35">
        <f>IFERROR(VLOOKUP($G105,[1]нормы!$A$21:$BC$151,31,0),"")</f>
        <v>0</v>
      </c>
      <c r="T105" s="32">
        <f>IFERROR(VLOOKUP($G105,[1]нормы!$A$21:$BC$151,25,0),"")</f>
        <v>0</v>
      </c>
      <c r="U105" s="233" t="str">
        <f>IFERROR(W105/(((100*Y105/Y110)*I109)/100),"")</f>
        <v/>
      </c>
      <c r="V105" s="234" t="str">
        <f>IFERROR(VLOOKUP($G105,нормы!$A$14:$BC$57,38,0),"")</f>
        <v/>
      </c>
      <c r="W105" s="136"/>
      <c r="X105" s="237"/>
      <c r="Y105" s="152" t="str">
        <f>IFERROR(VLOOKUP($G105,нормы!$A$14:$BC$57,42,0)*W105,"")</f>
        <v/>
      </c>
      <c r="Z105" s="163">
        <f>IFERROR(VLOOKUP($G105,нормы!$A$14:$BC$57,14,0)*W105/1000,0)</f>
        <v>0</v>
      </c>
      <c r="AA105" s="142"/>
      <c r="AB105" s="35"/>
      <c r="AC105" s="35"/>
      <c r="AD105" s="35"/>
      <c r="AE105" s="31"/>
      <c r="AF105" s="160"/>
      <c r="AG105" s="391"/>
      <c r="AH105" s="394"/>
      <c r="AI105" s="397"/>
      <c r="AJ105" s="408"/>
      <c r="AK105" s="360"/>
      <c r="AL105" s="360"/>
      <c r="AM105" s="360"/>
      <c r="AN105" s="289">
        <f>IFERROR(Y105*AJ104/Y110,)</f>
        <v>0</v>
      </c>
      <c r="AO105" s="197" t="str">
        <f>IFERROR(VLOOKUP($G105,нормы!$A$14:$BC$57,53,0)*$W105,"")</f>
        <v/>
      </c>
      <c r="AP105" s="290">
        <f>IFERROR(Y105*AI104/Y110,)</f>
        <v>0</v>
      </c>
      <c r="AQ105" s="197" t="str">
        <f>IFERROR(VLOOKUP($G105,нормы!$A$14:$BC$57,54,0)*$W105,"")</f>
        <v/>
      </c>
      <c r="AR105" s="290">
        <f>IFERROR(AS105/SUM(AS104:AS109)*AL104,0)</f>
        <v>0</v>
      </c>
      <c r="AS105" s="197" t="str">
        <f>IFERROR(VLOOKUP($G105,нормы!$A$14:$BC$57,55,0)*W105,"")</f>
        <v/>
      </c>
      <c r="AT105" s="290">
        <f>IFERROR(AU105/SUM(AU104:AU109)*AM104,0)</f>
        <v>0</v>
      </c>
      <c r="AU105" s="197" t="str">
        <f>IFERROR(VLOOKUP($G105,нормы!$A$14:$BI$57,56,0)*W105,"")</f>
        <v/>
      </c>
      <c r="AV105" s="290">
        <f>IFERROR(AW105/SUM(AW104:AW109)*AK104,0)</f>
        <v>0</v>
      </c>
      <c r="AW105" s="202" t="str">
        <f>IFERROR(VLOOKUP($G105,нормы!$A$14:$BI$57,57,0)*W105,"")</f>
        <v/>
      </c>
      <c r="AX105" s="30"/>
      <c r="AY105" s="203" t="str">
        <f>IFERROR(VLOOKUP($G105,нормы!$A$14:$BI$57,58,0)*W105,"")</f>
        <v/>
      </c>
      <c r="AZ105" s="205"/>
      <c r="BA105" s="200" t="str">
        <f>IFERROR(VLOOKUP($G105,нормы!$A$14:$BI$57,61,0)*$W105,"")</f>
        <v/>
      </c>
      <c r="BB105" s="30"/>
      <c r="BC105" s="203" t="str">
        <f>IFERROR(VLOOKUP($G105,нормы!$A$14:$BI$57,60,0)*W105,"")</f>
        <v/>
      </c>
      <c r="BD105" s="200" t="str">
        <f>IFERROR(VLOOKUP($G105,нормы!$A$14:$BG$57,44,0),"")</f>
        <v/>
      </c>
      <c r="BE105" s="199" t="str">
        <f>IFERROR(W105/VLOOKUP($G105,нормы!$A$14:$BI$57,45,0),"")</f>
        <v/>
      </c>
      <c r="BF105" s="200" t="str">
        <f>IFERROR(VLOOKUP($G105,нормы!$A$14:$BG$15,44,0),"")</f>
        <v/>
      </c>
      <c r="BG105" s="199" t="str">
        <f>IFERROR(Y105/VLOOKUP($G105,нормы!$A$14:$BI$15,45,0),"")</f>
        <v/>
      </c>
    </row>
    <row r="106" spans="1:59" s="1" customFormat="1" ht="20.25" customHeight="1" x14ac:dyDescent="0.4">
      <c r="A106" s="37" t="str">
        <f t="shared" si="51"/>
        <v>2Н</v>
      </c>
      <c r="B106" s="12">
        <f t="shared" si="51"/>
        <v>46024</v>
      </c>
      <c r="C106" s="97">
        <f t="shared" si="51"/>
        <v>0</v>
      </c>
      <c r="D106" s="97">
        <f t="shared" si="51"/>
        <v>1</v>
      </c>
      <c r="E106" s="54"/>
      <c r="F106" s="151" t="str">
        <f>IFERROR(VLOOKUP($G106,нормы!$A$14:$BC$57,2,0),"")</f>
        <v/>
      </c>
      <c r="G106" s="38"/>
      <c r="H106" s="54">
        <f t="shared" si="52"/>
        <v>0</v>
      </c>
      <c r="I106" s="89" t="s">
        <v>85</v>
      </c>
      <c r="J106" s="333"/>
      <c r="K106" s="30">
        <f>IFERROR(VLOOKUP($G106,[1]нормы!$A$21:$BC$151,15,0),"")</f>
        <v>0</v>
      </c>
      <c r="L106" s="31">
        <f>IFERROR(VLOOKUP($G106,[1]нормы!$A$21:$BC$151,17,0),"")</f>
        <v>0</v>
      </c>
      <c r="M106" s="306">
        <f>IFERROR(VLOOKUP($G106,[1]нормы!$A$21:$BC$151,27,0),"")</f>
        <v>0</v>
      </c>
      <c r="N106" s="307" t="str">
        <f>IFERROR(Y106/Y110*(1.1*J104*I109),"")</f>
        <v/>
      </c>
      <c r="O106" s="300">
        <f>IFERROR(VLOOKUP($G106,[1]нормы!$A$21:$BC$151,21,0),"")</f>
        <v>0</v>
      </c>
      <c r="P106" s="35">
        <f>IFERROR(VLOOKUP($G106,[1]нормы!$A$21:$BC$151,19,0),"")</f>
        <v>0</v>
      </c>
      <c r="Q106" s="35">
        <f>IFERROR(VLOOKUP($G106,[1]нормы!$A$21:$BC$151,23,0),"")</f>
        <v>0</v>
      </c>
      <c r="R106" s="231">
        <f>IFERROR(VLOOKUP($G106,[1]нормы!$A$21:$BC$151,29,0),"")</f>
        <v>0</v>
      </c>
      <c r="S106" s="35">
        <f>IFERROR(VLOOKUP($G106,[1]нормы!$A$21:$BC$151,31,0),"")</f>
        <v>0</v>
      </c>
      <c r="T106" s="32">
        <f>IFERROR(VLOOKUP($G106,[1]нормы!$A$21:$BC$151,25,0),"")</f>
        <v>0</v>
      </c>
      <c r="U106" s="233" t="str">
        <f>IFERROR(W106/(((100*Y106/Y110)*I109)/100),"")</f>
        <v/>
      </c>
      <c r="V106" s="234" t="str">
        <f>IFERROR(VLOOKUP($G106,нормы!$A$14:$BC$57,38,0),"")</f>
        <v/>
      </c>
      <c r="W106" s="136"/>
      <c r="X106" s="237"/>
      <c r="Y106" s="152" t="str">
        <f>IFERROR(VLOOKUP($G106,нормы!$A$14:$BC$57,42,0)*W106,"")</f>
        <v/>
      </c>
      <c r="Z106" s="163">
        <f>IFERROR(VLOOKUP($G106,нормы!$A$14:$BC$57,14,0)*W106/1000,0)</f>
        <v>0</v>
      </c>
      <c r="AA106" s="30"/>
      <c r="AB106" s="35"/>
      <c r="AC106" s="35"/>
      <c r="AD106" s="35"/>
      <c r="AE106" s="31"/>
      <c r="AF106" s="160"/>
      <c r="AG106" s="391"/>
      <c r="AH106" s="394"/>
      <c r="AI106" s="397"/>
      <c r="AJ106" s="408"/>
      <c r="AK106" s="360"/>
      <c r="AL106" s="360"/>
      <c r="AM106" s="360"/>
      <c r="AN106" s="289">
        <f>IFERROR(Y106*AJ104/Y110,)</f>
        <v>0</v>
      </c>
      <c r="AO106" s="197" t="str">
        <f>IFERROR(VLOOKUP($G106,нормы!$A$14:$BC$57,53,0)*$W106,"")</f>
        <v/>
      </c>
      <c r="AP106" s="290">
        <f>IFERROR(Y106*AI104/Y110,)</f>
        <v>0</v>
      </c>
      <c r="AQ106" s="197" t="str">
        <f>IFERROR(VLOOKUP($G106,нормы!$A$14:$BC$57,54,0)*$W106,"")</f>
        <v/>
      </c>
      <c r="AR106" s="290">
        <f>IFERROR(AS106/SUM(AS104:AS109)*AL104,0)</f>
        <v>0</v>
      </c>
      <c r="AS106" s="197" t="str">
        <f>IFERROR(VLOOKUP($G106,нормы!$A$14:$BC$57,55,0)*W106,"")</f>
        <v/>
      </c>
      <c r="AT106" s="290">
        <f>IFERROR(AU106/SUM(AU104:AU109)*AM104,0)</f>
        <v>0</v>
      </c>
      <c r="AU106" s="197" t="str">
        <f>IFERROR(VLOOKUP($G106,нормы!$A$14:$BI$57,56,0)*W106,"")</f>
        <v/>
      </c>
      <c r="AV106" s="290">
        <f>IFERROR(AW106/SUM(AW104:AW109)*AK104,0)</f>
        <v>0</v>
      </c>
      <c r="AW106" s="202" t="str">
        <f>IFERROR(VLOOKUP($G106,нормы!$A$14:$BI$57,57,0)*W106,"")</f>
        <v/>
      </c>
      <c r="AX106" s="30"/>
      <c r="AY106" s="203" t="str">
        <f>IFERROR(VLOOKUP($G106,нормы!$A$14:$BI$57,58,0)*W106,"")</f>
        <v/>
      </c>
      <c r="AZ106" s="205"/>
      <c r="BA106" s="200" t="str">
        <f>IFERROR(VLOOKUP($G106,нормы!$A$14:$BI$57,61,0)*$W106,"")</f>
        <v/>
      </c>
      <c r="BB106" s="30"/>
      <c r="BC106" s="203" t="str">
        <f>IFERROR(VLOOKUP($G106,нормы!$A$14:$BI$57,60,0)*W106,"")</f>
        <v/>
      </c>
      <c r="BD106" s="200" t="str">
        <f>IFERROR(VLOOKUP($G106,нормы!$A$14:$BG$57,44,0),"")</f>
        <v/>
      </c>
      <c r="BE106" s="199" t="str">
        <f>IFERROR(W106/VLOOKUP($G106,нормы!$A$14:$BI$57,45,0),"")</f>
        <v/>
      </c>
      <c r="BF106" s="200" t="str">
        <f>IFERROR(VLOOKUP($G106,нормы!$A$14:$BG$15,44,0),"")</f>
        <v/>
      </c>
      <c r="BG106" s="199" t="str">
        <f>IFERROR(Y106/VLOOKUP($G106,нормы!$A$14:$BI$15,45,0),"")</f>
        <v/>
      </c>
    </row>
    <row r="107" spans="1:59" s="1" customFormat="1" ht="20.25" customHeight="1" x14ac:dyDescent="0.4">
      <c r="A107" s="37" t="str">
        <f t="shared" si="51"/>
        <v>2Н</v>
      </c>
      <c r="B107" s="12">
        <f t="shared" si="51"/>
        <v>46024</v>
      </c>
      <c r="C107" s="97">
        <f t="shared" si="51"/>
        <v>0</v>
      </c>
      <c r="D107" s="97">
        <f t="shared" si="51"/>
        <v>1</v>
      </c>
      <c r="E107" s="54"/>
      <c r="F107" s="151" t="str">
        <f>IFERROR(VLOOKUP($G107,нормы!$A$14:$BC$57,2,0),"")</f>
        <v/>
      </c>
      <c r="G107" s="93"/>
      <c r="H107" s="54">
        <f t="shared" si="52"/>
        <v>0</v>
      </c>
      <c r="I107" s="55"/>
      <c r="J107" s="333"/>
      <c r="K107" s="30">
        <f>IFERROR(VLOOKUP($G107,[1]нормы!$A$21:$BC$151,15,0),"")</f>
        <v>0</v>
      </c>
      <c r="L107" s="31">
        <f>IFERROR(VLOOKUP($G107,[1]нормы!$A$21:$BC$151,17,0),"")</f>
        <v>0</v>
      </c>
      <c r="M107" s="306">
        <f>IFERROR(VLOOKUP($G107,[1]нормы!$A$21:$BC$151,27,0),"")</f>
        <v>0</v>
      </c>
      <c r="N107" s="307" t="str">
        <f>IFERROR(Y107/Y110*(1.1*J104*I112),"")</f>
        <v/>
      </c>
      <c r="O107" s="300">
        <f>IFERROR(VLOOKUP($G107,[1]нормы!$A$21:$BC$151,21,0),"")</f>
        <v>0</v>
      </c>
      <c r="P107" s="35">
        <f>IFERROR(VLOOKUP($G107,[1]нормы!$A$21:$BC$151,19,0),"")</f>
        <v>0</v>
      </c>
      <c r="Q107" s="35">
        <f>IFERROR(VLOOKUP($G107,[1]нормы!$A$21:$BC$151,23,0),"")</f>
        <v>0</v>
      </c>
      <c r="R107" s="231">
        <f>IFERROR(VLOOKUP($G107,[1]нормы!$A$21:$BC$151,29,0),"")</f>
        <v>0</v>
      </c>
      <c r="S107" s="35">
        <f>IFERROR(VLOOKUP($G107,[1]нормы!$A$21:$BC$151,31,0),"")</f>
        <v>0</v>
      </c>
      <c r="T107" s="32">
        <f>IFERROR(VLOOKUP($G107,[1]нормы!$A$21:$BC$151,25,0),"")</f>
        <v>0</v>
      </c>
      <c r="U107" s="233" t="str">
        <f>IFERROR(W107/(((100*Y107/Y110)*I109)/100),"")</f>
        <v/>
      </c>
      <c r="V107" s="234" t="str">
        <f>IFERROR(VLOOKUP($G107,нормы!$A$14:$BC$57,38,0),"")</f>
        <v/>
      </c>
      <c r="W107" s="136"/>
      <c r="X107" s="237"/>
      <c r="Y107" s="152" t="str">
        <f>IFERROR(VLOOKUP($G107,нормы!$A$14:$BC$57,42,0)*W107,"")</f>
        <v/>
      </c>
      <c r="Z107" s="163">
        <f>IFERROR(VLOOKUP($G107,нормы!$A$14:$BC$57,14,0)*W107/1000,0)</f>
        <v>0</v>
      </c>
      <c r="AA107" s="30"/>
      <c r="AB107" s="35"/>
      <c r="AC107" s="35"/>
      <c r="AD107" s="35"/>
      <c r="AE107" s="31"/>
      <c r="AF107" s="160"/>
      <c r="AG107" s="391"/>
      <c r="AH107" s="394"/>
      <c r="AI107" s="397"/>
      <c r="AJ107" s="408"/>
      <c r="AK107" s="360"/>
      <c r="AL107" s="360"/>
      <c r="AM107" s="360"/>
      <c r="AN107" s="289">
        <f>IFERROR(Y107*AJ104/Y110,)</f>
        <v>0</v>
      </c>
      <c r="AO107" s="197" t="str">
        <f>IFERROR(VLOOKUP($G107,нормы!$A$14:$BC$57,53,0)*$W107,"")</f>
        <v/>
      </c>
      <c r="AP107" s="290">
        <f>IFERROR(Y107*AI104/Y110,)</f>
        <v>0</v>
      </c>
      <c r="AQ107" s="197" t="str">
        <f>IFERROR(VLOOKUP($G107,нормы!$A$14:$BC$57,54,0)*$W107,"")</f>
        <v/>
      </c>
      <c r="AR107" s="290">
        <f>IFERROR(AS107/SUM(AS104:AS109)*AL104,0)</f>
        <v>0</v>
      </c>
      <c r="AS107" s="197" t="str">
        <f>IFERROR(VLOOKUP($G107,нормы!$A$14:$BC$57,55,0)*W107,"")</f>
        <v/>
      </c>
      <c r="AT107" s="290">
        <f>IFERROR(AU107/SUM(AU104:AU109)*AM104,0)</f>
        <v>0</v>
      </c>
      <c r="AU107" s="197" t="str">
        <f>IFERROR(VLOOKUP($G107,нормы!$A$14:$BI$57,56,0)*W107,"")</f>
        <v/>
      </c>
      <c r="AV107" s="290">
        <f>IFERROR(AW107/SUM(AW104:AW109)*AK104,0)</f>
        <v>0</v>
      </c>
      <c r="AW107" s="202" t="str">
        <f>IFERROR(VLOOKUP($G107,нормы!$A$14:$BI$57,57,0)*W107,"")</f>
        <v/>
      </c>
      <c r="AX107" s="30"/>
      <c r="AY107" s="203" t="str">
        <f>IFERROR(VLOOKUP($G107,нормы!$A$14:$BI$57,58,0)*W107,"")</f>
        <v/>
      </c>
      <c r="AZ107" s="205"/>
      <c r="BA107" s="200" t="str">
        <f>IFERROR(VLOOKUP($G107,нормы!$A$14:$BI$57,61,0)*$W107,"")</f>
        <v/>
      </c>
      <c r="BB107" s="30"/>
      <c r="BC107" s="203" t="str">
        <f>IFERROR(VLOOKUP($G107,нормы!$A$14:$BI$57,60,0)*W107,"")</f>
        <v/>
      </c>
      <c r="BD107" s="200" t="str">
        <f>IFERROR(VLOOKUP($G107,нормы!$A$14:$BG$57,44,0),"")</f>
        <v/>
      </c>
      <c r="BE107" s="199" t="str">
        <f>IFERROR(W107/VLOOKUP($G107,нормы!$A$14:$BI$57,45,0),"")</f>
        <v/>
      </c>
      <c r="BF107" s="200" t="str">
        <f>IFERROR(VLOOKUP($G107,нормы!$A$14:$BG$15,44,0),"")</f>
        <v/>
      </c>
      <c r="BG107" s="199" t="str">
        <f>IFERROR(Y107/VLOOKUP($G107,нормы!$A$14:$BI$15,45,0),"")</f>
        <v/>
      </c>
    </row>
    <row r="108" spans="1:59" s="1" customFormat="1" ht="20.25" customHeight="1" x14ac:dyDescent="0.4">
      <c r="A108" s="37" t="str">
        <f t="shared" si="51"/>
        <v>2Н</v>
      </c>
      <c r="B108" s="12">
        <f t="shared" si="51"/>
        <v>46024</v>
      </c>
      <c r="C108" s="97">
        <f t="shared" si="51"/>
        <v>0</v>
      </c>
      <c r="D108" s="97">
        <f t="shared" si="51"/>
        <v>1</v>
      </c>
      <c r="E108" s="54"/>
      <c r="F108" s="151" t="str">
        <f>IFERROR(VLOOKUP($G108,нормы!$A$14:$BC$57,2,0),"")</f>
        <v/>
      </c>
      <c r="G108" s="38"/>
      <c r="H108" s="54">
        <f t="shared" si="52"/>
        <v>0</v>
      </c>
      <c r="I108" s="89" t="s">
        <v>73</v>
      </c>
      <c r="J108" s="333"/>
      <c r="K108" s="30">
        <f>IFERROR(VLOOKUP($G108,[1]нормы!$A$21:$BC$151,15,0),"")</f>
        <v>0</v>
      </c>
      <c r="L108" s="31">
        <f>IFERROR(VLOOKUP($G108,[1]нормы!$A$21:$BC$151,17,0),"")</f>
        <v>0</v>
      </c>
      <c r="M108" s="306">
        <f>IFERROR(VLOOKUP($G108,[1]нормы!$A$21:$BC$151,27,0),"")</f>
        <v>0</v>
      </c>
      <c r="N108" s="307" t="str">
        <f>IFERROR(Y108/Y110*(1.1*J104*I113),"")</f>
        <v/>
      </c>
      <c r="O108" s="300">
        <f>IFERROR(VLOOKUP($G108,[1]нормы!$A$21:$BC$151,21,0),"")</f>
        <v>0</v>
      </c>
      <c r="P108" s="35">
        <f>IFERROR(VLOOKUP($G108,[1]нормы!$A$21:$BC$151,19,0),"")</f>
        <v>0</v>
      </c>
      <c r="Q108" s="35">
        <f>IFERROR(VLOOKUP($G108,[1]нормы!$A$21:$BC$151,23,0),"")</f>
        <v>0</v>
      </c>
      <c r="R108" s="231">
        <f>IFERROR(VLOOKUP($G108,[1]нормы!$A$21:$BC$151,29,0),"")</f>
        <v>0</v>
      </c>
      <c r="S108" s="35">
        <f>IFERROR(VLOOKUP($G108,[1]нормы!$A$21:$BC$151,31,0),"")</f>
        <v>0</v>
      </c>
      <c r="T108" s="32">
        <f>IFERROR(VLOOKUP($G108,[1]нормы!$A$21:$BC$151,25,0),"")</f>
        <v>0</v>
      </c>
      <c r="U108" s="233" t="str">
        <f>IFERROR(W108/(((100*Y108/Y110)*I109)/100),"")</f>
        <v/>
      </c>
      <c r="V108" s="234" t="str">
        <f>IFERROR(VLOOKUP($G108,нормы!$A$14:$BC$57,38,0),"")</f>
        <v/>
      </c>
      <c r="W108" s="136"/>
      <c r="X108" s="237"/>
      <c r="Y108" s="152" t="str">
        <f>IFERROR(VLOOKUP($G108,нормы!$A$14:$BC$57,42,0)*W108,"")</f>
        <v/>
      </c>
      <c r="Z108" s="163">
        <f>IFERROR(VLOOKUP($G108,нормы!$A$14:$BC$57,14,0)*W108/1000,0)</f>
        <v>0</v>
      </c>
      <c r="AA108" s="30"/>
      <c r="AB108" s="35"/>
      <c r="AC108" s="35"/>
      <c r="AD108" s="35"/>
      <c r="AE108" s="31"/>
      <c r="AF108" s="160"/>
      <c r="AG108" s="391"/>
      <c r="AH108" s="394"/>
      <c r="AI108" s="397"/>
      <c r="AJ108" s="408"/>
      <c r="AK108" s="360"/>
      <c r="AL108" s="360"/>
      <c r="AM108" s="360"/>
      <c r="AN108" s="289">
        <f>IFERROR(Y108*AJ104/Y110,)</f>
        <v>0</v>
      </c>
      <c r="AO108" s="197" t="str">
        <f>IFERROR(VLOOKUP($G108,нормы!$A$14:$BC$57,53,0)*$W108,"")</f>
        <v/>
      </c>
      <c r="AP108" s="290">
        <f>IFERROR(Y108*AI104/Y110,)</f>
        <v>0</v>
      </c>
      <c r="AQ108" s="197" t="str">
        <f>IFERROR(VLOOKUP($G108,нормы!$A$14:$BC$57,54,0)*$W108,"")</f>
        <v/>
      </c>
      <c r="AR108" s="290">
        <f>IFERROR(AS108/SUM(AS104:AS109)*AL104,0)</f>
        <v>0</v>
      </c>
      <c r="AS108" s="197" t="str">
        <f>IFERROR(VLOOKUP($G108,нормы!$A$14:$BC$57,55,0)*W108,"")</f>
        <v/>
      </c>
      <c r="AT108" s="290">
        <f>IFERROR(AU108/SUM(AU104:AU109)*AM104,0)</f>
        <v>0</v>
      </c>
      <c r="AU108" s="197" t="str">
        <f>IFERROR(VLOOKUP($G108,нормы!$A$14:$BI$57,56,0)*W108,"")</f>
        <v/>
      </c>
      <c r="AV108" s="290">
        <f>IFERROR(AW108/SUM(AW104:AW109)*AK104,0)</f>
        <v>0</v>
      </c>
      <c r="AW108" s="202" t="str">
        <f>IFERROR(VLOOKUP($G108,нормы!$A$14:$BI$57,57,0)*W108,"")</f>
        <v/>
      </c>
      <c r="AX108" s="30"/>
      <c r="AY108" s="203" t="str">
        <f>IFERROR(VLOOKUP($G108,нормы!$A$14:$BI$57,58,0)*W108,"")</f>
        <v/>
      </c>
      <c r="AZ108" s="205"/>
      <c r="BA108" s="200" t="str">
        <f>IFERROR(VLOOKUP($G108,нормы!$A$14:$BI$57,61,0)*$W108,"")</f>
        <v/>
      </c>
      <c r="BB108" s="30"/>
      <c r="BC108" s="203" t="str">
        <f>IFERROR(VLOOKUP($G108,нормы!$A$14:$BI$57,60,0)*W108,"")</f>
        <v/>
      </c>
      <c r="BD108" s="200" t="str">
        <f>IFERROR(VLOOKUP($G108,нормы!$A$14:$BG$57,44,0),"")</f>
        <v/>
      </c>
      <c r="BE108" s="199" t="str">
        <f>IFERROR(W108/VLOOKUP($G108,нормы!$A$14:$BI$57,45,0),"")</f>
        <v/>
      </c>
      <c r="BF108" s="200" t="str">
        <f>IFERROR(VLOOKUP($G108,нормы!$A$14:$BG$15,44,0),"")</f>
        <v/>
      </c>
      <c r="BG108" s="199" t="str">
        <f>IFERROR(Y108/VLOOKUP($G108,нормы!$A$14:$BI$15,45,0),"")</f>
        <v/>
      </c>
    </row>
    <row r="109" spans="1:59" s="1" customFormat="1" ht="21" customHeight="1" thickBot="1" x14ac:dyDescent="0.45">
      <c r="A109" s="37" t="str">
        <f t="shared" si="51"/>
        <v>2Н</v>
      </c>
      <c r="B109" s="12">
        <f t="shared" si="51"/>
        <v>46024</v>
      </c>
      <c r="C109" s="97">
        <f t="shared" si="51"/>
        <v>0</v>
      </c>
      <c r="D109" s="97">
        <f t="shared" si="51"/>
        <v>1</v>
      </c>
      <c r="E109" s="54"/>
      <c r="F109" s="151" t="str">
        <f>IFERROR(VLOOKUP($G109,нормы!$A$14:$BC$57,2,0),"")</f>
        <v/>
      </c>
      <c r="G109" s="93"/>
      <c r="H109" s="63">
        <f t="shared" si="52"/>
        <v>0</v>
      </c>
      <c r="I109" s="153">
        <f>I105+I107</f>
        <v>0</v>
      </c>
      <c r="J109" s="334"/>
      <c r="K109" s="30">
        <f>IFERROR(VLOOKUP($G109,[1]нормы!$A$21:$BC$151,15,0),"")</f>
        <v>0</v>
      </c>
      <c r="L109" s="31">
        <f>IFERROR(VLOOKUP($G109,[1]нормы!$A$21:$BC$151,17,0),"")</f>
        <v>0</v>
      </c>
      <c r="M109" s="308">
        <f>IFERROR(VLOOKUP($G109,[1]нормы!$A$21:$BC$151,27,0),"")</f>
        <v>0</v>
      </c>
      <c r="N109" s="309" t="str">
        <f>IFERROR(Y109/Y110*(1.1*J104*I114),"")</f>
        <v/>
      </c>
      <c r="O109" s="300">
        <f>IFERROR(VLOOKUP($G109,[1]нормы!$A$21:$BC$151,21,0),"")</f>
        <v>0</v>
      </c>
      <c r="P109" s="35">
        <f>IFERROR(VLOOKUP($G109,[1]нормы!$A$21:$BC$151,19,0),"")</f>
        <v>0</v>
      </c>
      <c r="Q109" s="35">
        <f>IFERROR(VLOOKUP($G109,[1]нормы!$A$21:$BC$151,23,0),"")</f>
        <v>0</v>
      </c>
      <c r="R109" s="231">
        <f>IFERROR(VLOOKUP($G109,[1]нормы!$A$21:$BC$151,29,0),"")</f>
        <v>0</v>
      </c>
      <c r="S109" s="35">
        <f>IFERROR(VLOOKUP($G109,[1]нормы!$A$21:$BC$151,31,0),"")</f>
        <v>0</v>
      </c>
      <c r="T109" s="32">
        <f>IFERROR(VLOOKUP($G109,[1]нормы!$A$21:$BC$151,25,0),"")</f>
        <v>0</v>
      </c>
      <c r="U109" s="235" t="str">
        <f>IFERROR(W109/(((100*Y109/Y110)*I109)/100),"")</f>
        <v/>
      </c>
      <c r="V109" s="234" t="str">
        <f>IFERROR(VLOOKUP($G109,нормы!$A$14:$BC$57,38,0),"")</f>
        <v/>
      </c>
      <c r="W109" s="154"/>
      <c r="X109" s="238"/>
      <c r="Y109" s="152" t="str">
        <f>IFERROR(VLOOKUP($G109,нормы!$A$14:$BC$57,42,0)*W109,"")</f>
        <v/>
      </c>
      <c r="Z109" s="163">
        <f>IFERROR(VLOOKUP($G109,нормы!$A$14:$BC$57,14,0)*W109/1000,0)</f>
        <v>0</v>
      </c>
      <c r="AA109" s="56"/>
      <c r="AB109" s="58"/>
      <c r="AC109" s="58"/>
      <c r="AD109" s="58"/>
      <c r="AE109" s="57"/>
      <c r="AF109" s="161"/>
      <c r="AG109" s="392"/>
      <c r="AH109" s="395"/>
      <c r="AI109" s="398"/>
      <c r="AJ109" s="409"/>
      <c r="AK109" s="361"/>
      <c r="AL109" s="361"/>
      <c r="AM109" s="361"/>
      <c r="AN109" s="291">
        <f>IFERROR(Y109*AJ104/Y110,)</f>
        <v>0</v>
      </c>
      <c r="AO109" s="197" t="str">
        <f>IFERROR(VLOOKUP($G109,нормы!$A$14:$BC$57,53,0)*$W109,"")</f>
        <v/>
      </c>
      <c r="AP109" s="292">
        <f>IFERROR(Y109*AI104/Y110,)</f>
        <v>0</v>
      </c>
      <c r="AQ109" s="197" t="str">
        <f>IFERROR(VLOOKUP($G109,нормы!$A$14:$BC$57,54,0)*$W109,"")</f>
        <v/>
      </c>
      <c r="AR109" s="290">
        <f>IFERROR(AS109/SUM(AS104:AS109)*AL104,0)</f>
        <v>0</v>
      </c>
      <c r="AS109" s="197" t="str">
        <f>IFERROR(VLOOKUP($G109,нормы!$A$14:$BC$57,55,0)*W109,"")</f>
        <v/>
      </c>
      <c r="AT109" s="292">
        <f>IFERROR(AU109/SUM(AU104:AU109)*AM104,0)</f>
        <v>0</v>
      </c>
      <c r="AU109" s="197" t="str">
        <f>IFERROR(VLOOKUP($G109,нормы!$A$14:$BI$57,56,0)*W109,"")</f>
        <v/>
      </c>
      <c r="AV109" s="292">
        <f>IFERROR(AW109/SUM(AW104:AW109)*AK104,0)</f>
        <v>0</v>
      </c>
      <c r="AW109" s="202" t="str">
        <f>IFERROR(VLOOKUP($G109,нормы!$A$14:$BI$57,57,0)*W109,"")</f>
        <v/>
      </c>
      <c r="AX109" s="56"/>
      <c r="AY109" s="203" t="str">
        <f>IFERROR(VLOOKUP($G109,нормы!$A$14:$BI$57,58,0)*W109,"")</f>
        <v/>
      </c>
      <c r="AZ109" s="206"/>
      <c r="BA109" s="200" t="str">
        <f>IFERROR(VLOOKUP($G109,нормы!$A$14:$BI$57,61,0)*$W109,"")</f>
        <v/>
      </c>
      <c r="BB109" s="56"/>
      <c r="BC109" s="203" t="str">
        <f>IFERROR(VLOOKUP($G109,нормы!$A$14:$BI$57,60,0)*W109,"")</f>
        <v/>
      </c>
      <c r="BD109" s="200" t="str">
        <f>IFERROR(VLOOKUP($G109,нормы!$A$14:$BG$57,44,0),"")</f>
        <v/>
      </c>
      <c r="BE109" s="199" t="str">
        <f>IFERROR(W109/VLOOKUP($G109,нормы!$A$14:$BI$57,45,0),"")</f>
        <v/>
      </c>
      <c r="BF109" s="200" t="str">
        <f>IFERROR(VLOOKUP($G109,нормы!$A$14:$BG$15,44,0),"")</f>
        <v/>
      </c>
      <c r="BG109" s="199" t="str">
        <f>IFERROR(Y109/VLOOKUP($G109,нормы!$A$14:$BI$15,45,0),"")</f>
        <v/>
      </c>
    </row>
    <row r="110" spans="1:59" s="1" customFormat="1" ht="29.4" customHeight="1" thickBot="1" x14ac:dyDescent="0.45">
      <c r="A110" s="37" t="str">
        <f t="shared" si="51"/>
        <v>2Н</v>
      </c>
      <c r="B110" s="59"/>
      <c r="C110" s="51"/>
      <c r="D110" s="51"/>
      <c r="E110" s="51"/>
      <c r="F110" s="295" t="s">
        <v>149</v>
      </c>
      <c r="G110" s="51"/>
      <c r="H110" s="51"/>
      <c r="I110" s="60"/>
      <c r="J110" s="60"/>
      <c r="K110" s="319" t="s">
        <v>213</v>
      </c>
      <c r="L110" s="316"/>
      <c r="M110" s="303" t="s">
        <v>213</v>
      </c>
      <c r="N110" s="317">
        <f>SUM(N104:N109)</f>
        <v>0</v>
      </c>
      <c r="O110" s="304" t="s">
        <v>216</v>
      </c>
      <c r="P110" s="318">
        <f>N110*8.937/1000</f>
        <v>0</v>
      </c>
      <c r="Q110" s="305" t="s">
        <v>215</v>
      </c>
      <c r="R110" s="61"/>
      <c r="S110" s="61"/>
      <c r="T110" s="61"/>
      <c r="U110" s="109"/>
      <c r="V110" s="109"/>
      <c r="W110" s="94"/>
      <c r="X110" s="155"/>
      <c r="Y110" s="96">
        <f>SUM(Y104:Y109)</f>
        <v>0</v>
      </c>
      <c r="Z110" s="164">
        <f>SUM(Z104:Z109)</f>
        <v>0</v>
      </c>
      <c r="AA110" s="62"/>
      <c r="AB110" s="62"/>
      <c r="AC110" s="62"/>
      <c r="AD110" s="62"/>
      <c r="AE110" s="62"/>
      <c r="AF110" s="62"/>
      <c r="AG110" s="162" t="s">
        <v>140</v>
      </c>
      <c r="AH110" s="162" t="s">
        <v>141</v>
      </c>
      <c r="AI110" s="162" t="s">
        <v>142</v>
      </c>
      <c r="AJ110" s="91" t="s">
        <v>126</v>
      </c>
      <c r="AK110" s="198" t="s">
        <v>136</v>
      </c>
      <c r="AL110" s="198" t="s">
        <v>137</v>
      </c>
      <c r="AM110" s="198" t="s">
        <v>138</v>
      </c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53" t="str">
        <f>IFERROR(W110/VLOOKUP($G110,нормы!$A$14:$BI$15,28,0),"")</f>
        <v/>
      </c>
    </row>
    <row r="111" spans="1:59" s="1" customFormat="1" ht="21.6" customHeight="1" x14ac:dyDescent="0.4">
      <c r="A111" s="37" t="str">
        <f t="shared" si="51"/>
        <v>2Н</v>
      </c>
      <c r="B111" s="12">
        <f>B109</f>
        <v>46024</v>
      </c>
      <c r="C111" s="97"/>
      <c r="D111" s="97">
        <v>2</v>
      </c>
      <c r="E111" s="29"/>
      <c r="F111" s="151" t="str">
        <f>IFERROR(VLOOKUP($G111,нормы!$A$14:$BC$57,2,0),"")</f>
        <v/>
      </c>
      <c r="G111" s="93"/>
      <c r="H111" s="54">
        <f>IF(C111=1,"Кульков С.А.", IF(C111=2,"Чудаков А.А.",IF(C111=3,"Королев В.Н.",IF(C111=4,"Николашин М.П.",IF(C111=5," Кульков С.А.",IF(C111=6,"А.А. Чудаков",IF(C111=7,"В.Н. Королев",IF(C111=8,"М.П. Николашин",0))))))))</f>
        <v>0</v>
      </c>
      <c r="I111" s="88" t="s">
        <v>211</v>
      </c>
      <c r="J111" s="332"/>
      <c r="K111" s="30">
        <f>IFERROR(VLOOKUP($G111,[1]нормы!$A$21:$BC$151,15,0),"")</f>
        <v>0</v>
      </c>
      <c r="L111" s="31">
        <f>IFERROR(VLOOKUP($G111,[1]нормы!$A$21:$BC$151,17,0),"")</f>
        <v>0</v>
      </c>
      <c r="M111" s="310">
        <f>IFERROR(VLOOKUP($G111,[1]нормы!$A$21:$BC$151,27,0),"")</f>
        <v>0</v>
      </c>
      <c r="N111" s="311" t="str">
        <f>IFERROR(Y111/Y117*(1.1*J111*I116),"")</f>
        <v/>
      </c>
      <c r="O111" s="300">
        <f>IFERROR(VLOOKUP($G111,[1]нормы!$A$21:$BC$151,21,0),"")</f>
        <v>0</v>
      </c>
      <c r="P111" s="35">
        <f>IFERROR(VLOOKUP($G111,[1]нормы!$A$21:$BC$151,19,0),"")</f>
        <v>0</v>
      </c>
      <c r="Q111" s="35">
        <f>IFERROR(VLOOKUP($G111,[1]нормы!$A$21:$BC$151,23,0),"")</f>
        <v>0</v>
      </c>
      <c r="R111" s="231">
        <f>IFERROR(VLOOKUP($G111,[1]нормы!$A$21:$BC$151,29,0),"")</f>
        <v>0</v>
      </c>
      <c r="S111" s="35">
        <f>IFERROR(VLOOKUP($G111,[1]нормы!$A$21:$BC$151,31,0),"")</f>
        <v>0</v>
      </c>
      <c r="T111" s="32">
        <f>IFERROR(VLOOKUP($G111,[1]нормы!$A$21:$BC$151,25,0),"")</f>
        <v>0</v>
      </c>
      <c r="U111" s="232" t="str">
        <f>IFERROR(W111/(((100*Y111/Y117)*I116)/100),"")</f>
        <v/>
      </c>
      <c r="V111" s="234" t="str">
        <f>IFERROR(VLOOKUP($G111,нормы!$A$14:$BC$57,38,0),"")</f>
        <v/>
      </c>
      <c r="W111" s="136"/>
      <c r="X111" s="236"/>
      <c r="Y111" s="152" t="str">
        <f>IFERROR(VLOOKUP($G111,нормы!$A$14:$BC$57,42,0)*W111,"")</f>
        <v/>
      </c>
      <c r="Z111" s="163">
        <f>IFERROR(VLOOKUP($G111,нормы!$A$14:$BC$57,14,0)*W111/1000,0)</f>
        <v>0</v>
      </c>
      <c r="AA111" s="33"/>
      <c r="AB111" s="36"/>
      <c r="AC111" s="36"/>
      <c r="AD111" s="36"/>
      <c r="AE111" s="34"/>
      <c r="AF111" s="159"/>
      <c r="AG111" s="390"/>
      <c r="AH111" s="393"/>
      <c r="AI111" s="396"/>
      <c r="AJ111" s="407">
        <f>AG111+AH111</f>
        <v>0</v>
      </c>
      <c r="AK111" s="359"/>
      <c r="AL111" s="359"/>
      <c r="AM111" s="359"/>
      <c r="AN111" s="287">
        <f>IFERROR(Y111*AJ111/Y117,)</f>
        <v>0</v>
      </c>
      <c r="AO111" s="197" t="str">
        <f>IFERROR(VLOOKUP($G111,нормы!$A$14:$BC$57,53,0)*$W111,"")</f>
        <v/>
      </c>
      <c r="AP111" s="288">
        <f>IFERROR(Y111*AI111/Y117,)</f>
        <v>0</v>
      </c>
      <c r="AQ111" s="197" t="str">
        <f>IFERROR(VLOOKUP($G111,нормы!$A$14:$BC$57,54,0)*$W111,"")</f>
        <v/>
      </c>
      <c r="AR111" s="288">
        <f>IFERROR(AS111/SUM(AS111:AS116)*AL111,0)</f>
        <v>0</v>
      </c>
      <c r="AS111" s="197" t="str">
        <f>IFERROR(VLOOKUP($G111,нормы!$A$14:$BC$57,55,0)*W111,"")</f>
        <v/>
      </c>
      <c r="AT111" s="288">
        <f>IFERROR(AU111/SUM(AU111:AU116)*AM111,0)</f>
        <v>0</v>
      </c>
      <c r="AU111" s="197" t="str">
        <f>IFERROR(VLOOKUP($G111,нормы!$A$14:$BI$57,56,0)*W111,"")</f>
        <v/>
      </c>
      <c r="AV111" s="288">
        <f>IFERROR(AW111/SUM(AW111:AW116)*AK111,0)</f>
        <v>0</v>
      </c>
      <c r="AW111" s="202" t="str">
        <f>IFERROR(VLOOKUP($G111,нормы!$A$14:$BI$57,57,0)*W111,"")</f>
        <v/>
      </c>
      <c r="AX111" s="33"/>
      <c r="AY111" s="203" t="str">
        <f>IFERROR(VLOOKUP($G111,нормы!$A$14:$BI$57,58,0)*W111,"")</f>
        <v/>
      </c>
      <c r="AZ111" s="204"/>
      <c r="BA111" s="200" t="str">
        <f>IFERROR(VLOOKUP($G111,нормы!$A$14:$BI$57,61,0)*$W111,"")</f>
        <v/>
      </c>
      <c r="BB111" s="33"/>
      <c r="BC111" s="203" t="str">
        <f>IFERROR(VLOOKUP($G111,нормы!$A$14:$BI$57,60,0)*W111,"")</f>
        <v/>
      </c>
      <c r="BD111" s="200" t="str">
        <f>IFERROR(VLOOKUP($G111,нормы!$A$14:$BG$57,44,0),"")</f>
        <v/>
      </c>
      <c r="BE111" s="199" t="str">
        <f>IFERROR(W111/VLOOKUP($G111,нормы!$A$14:$BI$57,45,0),"")</f>
        <v/>
      </c>
      <c r="BF111" s="200" t="str">
        <f>IFERROR(VLOOKUP($G111,нормы!$A$14:$BG$15,44,0),"")</f>
        <v/>
      </c>
      <c r="BG111" s="199" t="str">
        <f>IFERROR(Y111/VLOOKUP($G111,нормы!$A$14:$BI$15,45,0),"")</f>
        <v/>
      </c>
    </row>
    <row r="112" spans="1:59" s="1" customFormat="1" ht="21.6" customHeight="1" x14ac:dyDescent="0.4">
      <c r="A112" s="37" t="str">
        <f t="shared" si="51"/>
        <v>2Н</v>
      </c>
      <c r="B112" s="12">
        <f t="shared" si="51"/>
        <v>46024</v>
      </c>
      <c r="C112" s="97">
        <f t="shared" si="51"/>
        <v>0</v>
      </c>
      <c r="D112" s="97">
        <f t="shared" si="51"/>
        <v>2</v>
      </c>
      <c r="E112" s="54"/>
      <c r="F112" s="151" t="str">
        <f>IFERROR(VLOOKUP($G112,нормы!$A$14:$BC$57,2,0),"")</f>
        <v/>
      </c>
      <c r="G112" s="93"/>
      <c r="H112" s="54">
        <f t="shared" ref="H112:H116" si="53">IF(C112=1,"Кульков С.А.", IF(C112=2,"Чудаков А.А.",IF(C112=3,"Королев В.Н.",IF(C112=4,"Николашин М.П.",IF(C112=5," Кульков С.А.",IF(C112=6,"А.А. Чудаков",IF(C112=7,"В.Н. Королев",IF(C112=8,"М.П. Николашин",0))))))))</f>
        <v>0</v>
      </c>
      <c r="I112" s="55"/>
      <c r="J112" s="333"/>
      <c r="K112" s="30">
        <f>IFERROR(VLOOKUP($G112,[1]нормы!$A$21:$BC$151,15,0),"")</f>
        <v>0</v>
      </c>
      <c r="L112" s="31">
        <f>IFERROR(VLOOKUP($G112,[1]нормы!$A$21:$BC$151,17,0),"")</f>
        <v>0</v>
      </c>
      <c r="M112" s="306">
        <f>IFERROR(VLOOKUP($G112,[1]нормы!$A$21:$BC$151,27,0),"")</f>
        <v>0</v>
      </c>
      <c r="N112" s="307" t="str">
        <f>IFERROR(Y112/Y117*(1.1*J111*I116),"")</f>
        <v/>
      </c>
      <c r="O112" s="300">
        <f>IFERROR(VLOOKUP($G112,[1]нормы!$A$21:$BC$151,21,0),"")</f>
        <v>0</v>
      </c>
      <c r="P112" s="35">
        <f>IFERROR(VLOOKUP($G112,[1]нормы!$A$21:$BC$151,19,0),"")</f>
        <v>0</v>
      </c>
      <c r="Q112" s="35">
        <f>IFERROR(VLOOKUP($G112,[1]нормы!$A$21:$BC$151,23,0),"")</f>
        <v>0</v>
      </c>
      <c r="R112" s="231">
        <f>IFERROR(VLOOKUP($G112,[1]нормы!$A$21:$BC$151,29,0),"")</f>
        <v>0</v>
      </c>
      <c r="S112" s="35">
        <f>IFERROR(VLOOKUP($G112,[1]нормы!$A$21:$BC$151,31,0),"")</f>
        <v>0</v>
      </c>
      <c r="T112" s="32">
        <f>IFERROR(VLOOKUP($G112,[1]нормы!$A$21:$BC$151,25,0),"")</f>
        <v>0</v>
      </c>
      <c r="U112" s="233" t="str">
        <f>IFERROR(W112/(((100*Y112/Y117)*I116)/100),"")</f>
        <v/>
      </c>
      <c r="V112" s="234" t="str">
        <f>IFERROR(VLOOKUP($G112,нормы!$A$14:$BC$57,38,0),"")</f>
        <v/>
      </c>
      <c r="W112" s="136"/>
      <c r="X112" s="237"/>
      <c r="Y112" s="152" t="str">
        <f>IFERROR(VLOOKUP($G112,нормы!$A$14:$BC$57,42,0)*W112,"")</f>
        <v/>
      </c>
      <c r="Z112" s="163">
        <f>IFERROR(VLOOKUP($G112,нормы!$A$14:$BC$57,14,0)*W112/1000,0)</f>
        <v>0</v>
      </c>
      <c r="AA112" s="142"/>
      <c r="AB112" s="35"/>
      <c r="AC112" s="35"/>
      <c r="AD112" s="35"/>
      <c r="AE112" s="31"/>
      <c r="AF112" s="160"/>
      <c r="AG112" s="391"/>
      <c r="AH112" s="394"/>
      <c r="AI112" s="397"/>
      <c r="AJ112" s="408"/>
      <c r="AK112" s="360"/>
      <c r="AL112" s="360"/>
      <c r="AM112" s="360"/>
      <c r="AN112" s="289">
        <f>IFERROR(Y112*AJ111/Y117,)</f>
        <v>0</v>
      </c>
      <c r="AO112" s="197" t="str">
        <f>IFERROR(VLOOKUP($G112,нормы!$A$14:$BC$57,53,0)*$W112,"")</f>
        <v/>
      </c>
      <c r="AP112" s="290">
        <f>IFERROR(Y112*AI111/Y117,)</f>
        <v>0</v>
      </c>
      <c r="AQ112" s="197" t="str">
        <f>IFERROR(VLOOKUP($G112,нормы!$A$14:$BC$57,54,0)*$W112,"")</f>
        <v/>
      </c>
      <c r="AR112" s="290">
        <f>IFERROR(AS112/SUM(AS111:AS116)*AL111,0)</f>
        <v>0</v>
      </c>
      <c r="AS112" s="197" t="str">
        <f>IFERROR(VLOOKUP($G112,нормы!$A$14:$BC$57,55,0)*W112,"")</f>
        <v/>
      </c>
      <c r="AT112" s="290">
        <f>IFERROR(AU112/SUM(AU111:AU116)*AM111,0)</f>
        <v>0</v>
      </c>
      <c r="AU112" s="197" t="str">
        <f>IFERROR(VLOOKUP($G112,нормы!$A$14:$BI$57,56,0)*W112,"")</f>
        <v/>
      </c>
      <c r="AV112" s="290">
        <f>IFERROR(AW112/SUM(AW111:AW116)*AK111,0)</f>
        <v>0</v>
      </c>
      <c r="AW112" s="202" t="str">
        <f>IFERROR(VLOOKUP($G112,нормы!$A$14:$BI$57,57,0)*W112,"")</f>
        <v/>
      </c>
      <c r="AX112" s="30"/>
      <c r="AY112" s="203" t="str">
        <f>IFERROR(VLOOKUP($G112,нормы!$A$14:$BI$57,58,0)*W112,"")</f>
        <v/>
      </c>
      <c r="AZ112" s="205"/>
      <c r="BA112" s="200" t="str">
        <f>IFERROR(VLOOKUP($G112,нормы!$A$14:$BI$57,61,0)*$W112,"")</f>
        <v/>
      </c>
      <c r="BB112" s="30"/>
      <c r="BC112" s="203" t="str">
        <f>IFERROR(VLOOKUP($G112,нормы!$A$14:$BI$57,60,0)*W112,"")</f>
        <v/>
      </c>
      <c r="BD112" s="200" t="str">
        <f>IFERROR(VLOOKUP($G112,нормы!$A$14:$BG$57,44,0),"")</f>
        <v/>
      </c>
      <c r="BE112" s="199" t="str">
        <f>IFERROR(W112/VLOOKUP($G112,нормы!$A$14:$BI$57,45,0),"")</f>
        <v/>
      </c>
      <c r="BF112" s="200" t="str">
        <f>IFERROR(VLOOKUP($G112,нормы!$A$14:$BG$15,44,0),"")</f>
        <v/>
      </c>
      <c r="BG112" s="199" t="str">
        <f>IFERROR(Y112/VLOOKUP($G112,нормы!$A$14:$BI$15,45,0),"")</f>
        <v/>
      </c>
    </row>
    <row r="113" spans="1:59" s="1" customFormat="1" ht="20.25" customHeight="1" x14ac:dyDescent="0.4">
      <c r="A113" s="37" t="str">
        <f t="shared" si="51"/>
        <v>2Н</v>
      </c>
      <c r="B113" s="12">
        <f t="shared" si="51"/>
        <v>46024</v>
      </c>
      <c r="C113" s="97">
        <f t="shared" si="51"/>
        <v>0</v>
      </c>
      <c r="D113" s="97">
        <f t="shared" si="51"/>
        <v>2</v>
      </c>
      <c r="E113" s="54"/>
      <c r="F113" s="151" t="str">
        <f>IFERROR(VLOOKUP($G113,нормы!$A$14:$BC$57,2,0),"")</f>
        <v/>
      </c>
      <c r="G113" s="38"/>
      <c r="H113" s="54">
        <f t="shared" si="53"/>
        <v>0</v>
      </c>
      <c r="I113" s="89" t="s">
        <v>212</v>
      </c>
      <c r="J113" s="333"/>
      <c r="K113" s="30">
        <f>IFERROR(VLOOKUP($G113,[1]нормы!$A$21:$BC$151,15,0),"")</f>
        <v>0</v>
      </c>
      <c r="L113" s="31">
        <f>IFERROR(VLOOKUP($G113,[1]нормы!$A$21:$BC$151,17,0),"")</f>
        <v>0</v>
      </c>
      <c r="M113" s="306">
        <f>IFERROR(VLOOKUP($G113,[1]нормы!$A$21:$BC$151,27,0),"")</f>
        <v>0</v>
      </c>
      <c r="N113" s="307" t="str">
        <f>IFERROR(Y113/Y117*(1.1*J111*I116),"")</f>
        <v/>
      </c>
      <c r="O113" s="300">
        <f>IFERROR(VLOOKUP($G113,[1]нормы!$A$21:$BC$151,21,0),"")</f>
        <v>0</v>
      </c>
      <c r="P113" s="35">
        <f>IFERROR(VLOOKUP($G113,[1]нормы!$A$21:$BC$151,19,0),"")</f>
        <v>0</v>
      </c>
      <c r="Q113" s="35">
        <f>IFERROR(VLOOKUP($G113,[1]нормы!$A$21:$BC$151,23,0),"")</f>
        <v>0</v>
      </c>
      <c r="R113" s="231">
        <f>IFERROR(VLOOKUP($G113,[1]нормы!$A$21:$BC$151,29,0),"")</f>
        <v>0</v>
      </c>
      <c r="S113" s="35">
        <f>IFERROR(VLOOKUP($G113,[1]нормы!$A$21:$BC$151,31,0),"")</f>
        <v>0</v>
      </c>
      <c r="T113" s="32">
        <f>IFERROR(VLOOKUP($G113,[1]нормы!$A$21:$BC$151,25,0),"")</f>
        <v>0</v>
      </c>
      <c r="U113" s="233" t="str">
        <f>IFERROR(W113/(((100*Y113/Y117)*I116)/100),"")</f>
        <v/>
      </c>
      <c r="V113" s="234" t="str">
        <f>IFERROR(VLOOKUP($G113,нормы!$A$14:$BC$57,38,0),"")</f>
        <v/>
      </c>
      <c r="W113" s="136"/>
      <c r="X113" s="237"/>
      <c r="Y113" s="152" t="str">
        <f>IFERROR(VLOOKUP($G113,нормы!$A$14:$BC$57,42,0)*W113,"")</f>
        <v/>
      </c>
      <c r="Z113" s="163">
        <f>IFERROR(VLOOKUP($G113,нормы!$A$14:$BC$57,14,0)*W113/1000,0)</f>
        <v>0</v>
      </c>
      <c r="AA113" s="30"/>
      <c r="AB113" s="35"/>
      <c r="AC113" s="35"/>
      <c r="AD113" s="35"/>
      <c r="AE113" s="31"/>
      <c r="AF113" s="160"/>
      <c r="AG113" s="391"/>
      <c r="AH113" s="394"/>
      <c r="AI113" s="397"/>
      <c r="AJ113" s="408"/>
      <c r="AK113" s="360"/>
      <c r="AL113" s="360"/>
      <c r="AM113" s="360"/>
      <c r="AN113" s="289">
        <f>IFERROR(Y113*AJ111/Y117,)</f>
        <v>0</v>
      </c>
      <c r="AO113" s="197" t="str">
        <f>IFERROR(VLOOKUP($G113,нормы!$A$14:$BC$57,53,0)*$W113,"")</f>
        <v/>
      </c>
      <c r="AP113" s="290">
        <f>IFERROR(Y113*AI111/Y117,)</f>
        <v>0</v>
      </c>
      <c r="AQ113" s="197" t="str">
        <f>IFERROR(VLOOKUP($G113,нормы!$A$14:$BC$57,54,0)*$W113,"")</f>
        <v/>
      </c>
      <c r="AR113" s="290">
        <f>IFERROR(AS113/SUM(AS111:AS116)*AL111,0)</f>
        <v>0</v>
      </c>
      <c r="AS113" s="197" t="str">
        <f>IFERROR(VLOOKUP($G113,нормы!$A$14:$BC$57,55,0)*W113,"")</f>
        <v/>
      </c>
      <c r="AT113" s="290">
        <f>IFERROR(AU113/SUM(AU111:AU116)*AM111,0)</f>
        <v>0</v>
      </c>
      <c r="AU113" s="197" t="str">
        <f>IFERROR(VLOOKUP($G113,нормы!$A$14:$BI$57,56,0)*W113,"")</f>
        <v/>
      </c>
      <c r="AV113" s="290">
        <f>IFERROR(AW113/SUM(AW111:AW116)*AK111,0)</f>
        <v>0</v>
      </c>
      <c r="AW113" s="202" t="str">
        <f>IFERROR(VLOOKUP($G113,нормы!$A$14:$BI$57,57,0)*W113,"")</f>
        <v/>
      </c>
      <c r="AX113" s="30"/>
      <c r="AY113" s="203" t="str">
        <f>IFERROR(VLOOKUP($G113,нормы!$A$14:$BI$57,58,0)*W113,"")</f>
        <v/>
      </c>
      <c r="AZ113" s="205"/>
      <c r="BA113" s="200" t="str">
        <f>IFERROR(VLOOKUP($G113,нормы!$A$14:$BI$57,61,0)*$W113,"")</f>
        <v/>
      </c>
      <c r="BB113" s="30"/>
      <c r="BC113" s="203" t="str">
        <f>IFERROR(VLOOKUP($G113,нормы!$A$14:$BI$57,60,0)*W113,"")</f>
        <v/>
      </c>
      <c r="BD113" s="200" t="str">
        <f>IFERROR(VLOOKUP($G113,нормы!$A$14:$BG$57,44,0),"")</f>
        <v/>
      </c>
      <c r="BE113" s="199" t="str">
        <f>IFERROR(W113/VLOOKUP($G113,нормы!$A$14:$BI$57,45,0),"")</f>
        <v/>
      </c>
      <c r="BF113" s="200" t="str">
        <f>IFERROR(VLOOKUP($G113,нормы!$A$14:$BG$15,44,0),"")</f>
        <v/>
      </c>
      <c r="BG113" s="199" t="str">
        <f>IFERROR(Y113/VLOOKUP($G113,нормы!$A$14:$BI$15,45,0),"")</f>
        <v/>
      </c>
    </row>
    <row r="114" spans="1:59" s="1" customFormat="1" ht="20.25" customHeight="1" x14ac:dyDescent="0.4">
      <c r="A114" s="37" t="str">
        <f t="shared" si="51"/>
        <v>2Н</v>
      </c>
      <c r="B114" s="12">
        <f t="shared" si="51"/>
        <v>46024</v>
      </c>
      <c r="C114" s="97">
        <f t="shared" si="51"/>
        <v>0</v>
      </c>
      <c r="D114" s="97">
        <f t="shared" si="51"/>
        <v>2</v>
      </c>
      <c r="E114" s="54"/>
      <c r="F114" s="151" t="str">
        <f>IFERROR(VLOOKUP($G114,нормы!$A$14:$BC$57,2,0),"")</f>
        <v/>
      </c>
      <c r="G114" s="93"/>
      <c r="H114" s="54">
        <f t="shared" si="53"/>
        <v>0</v>
      </c>
      <c r="I114" s="55"/>
      <c r="J114" s="333"/>
      <c r="K114" s="30">
        <f>IFERROR(VLOOKUP($G114,[1]нормы!$A$21:$BC$151,15,0),"")</f>
        <v>0</v>
      </c>
      <c r="L114" s="31">
        <f>IFERROR(VLOOKUP($G114,[1]нормы!$A$21:$BC$151,17,0),"")</f>
        <v>0</v>
      </c>
      <c r="M114" s="306">
        <f>IFERROR(VLOOKUP($G114,[1]нормы!$A$21:$BC$151,27,0),"")</f>
        <v>0</v>
      </c>
      <c r="N114" s="307" t="str">
        <f>IFERROR(Y114/Y117*(1.1*J111*I119),"")</f>
        <v/>
      </c>
      <c r="O114" s="300">
        <f>IFERROR(VLOOKUP($G114,[1]нормы!$A$21:$BC$151,21,0),"")</f>
        <v>0</v>
      </c>
      <c r="P114" s="35">
        <f>IFERROR(VLOOKUP($G114,[1]нормы!$A$21:$BC$151,19,0),"")</f>
        <v>0</v>
      </c>
      <c r="Q114" s="35">
        <f>IFERROR(VLOOKUP($G114,[1]нормы!$A$21:$BC$151,23,0),"")</f>
        <v>0</v>
      </c>
      <c r="R114" s="231">
        <f>IFERROR(VLOOKUP($G114,[1]нормы!$A$21:$BC$151,29,0),"")</f>
        <v>0</v>
      </c>
      <c r="S114" s="35">
        <f>IFERROR(VLOOKUP($G114,[1]нормы!$A$21:$BC$151,31,0),"")</f>
        <v>0</v>
      </c>
      <c r="T114" s="32">
        <f>IFERROR(VLOOKUP($G114,[1]нормы!$A$21:$BC$151,25,0),"")</f>
        <v>0</v>
      </c>
      <c r="U114" s="233" t="str">
        <f>IFERROR(W114/(((100*Y114/Y117)*I116)/100),"")</f>
        <v/>
      </c>
      <c r="V114" s="234" t="str">
        <f>IFERROR(VLOOKUP($G114,нормы!$A$14:$BC$57,38,0),"")</f>
        <v/>
      </c>
      <c r="W114" s="136"/>
      <c r="X114" s="237"/>
      <c r="Y114" s="152" t="str">
        <f>IFERROR(VLOOKUP($G114,нормы!$A$14:$BC$57,42,0)*W114,"")</f>
        <v/>
      </c>
      <c r="Z114" s="163">
        <f>IFERROR(VLOOKUP($G114,нормы!$A$14:$BC$57,14,0)*W114/1000,0)</f>
        <v>0</v>
      </c>
      <c r="AA114" s="30"/>
      <c r="AB114" s="35"/>
      <c r="AC114" s="35"/>
      <c r="AD114" s="35"/>
      <c r="AE114" s="31"/>
      <c r="AF114" s="160"/>
      <c r="AG114" s="391"/>
      <c r="AH114" s="394"/>
      <c r="AI114" s="397"/>
      <c r="AJ114" s="408"/>
      <c r="AK114" s="360"/>
      <c r="AL114" s="360"/>
      <c r="AM114" s="360"/>
      <c r="AN114" s="289">
        <f>IFERROR(Y114*AJ111/Y117,)</f>
        <v>0</v>
      </c>
      <c r="AO114" s="197" t="str">
        <f>IFERROR(VLOOKUP($G114,нормы!$A$14:$BC$57,53,0)*$W114,"")</f>
        <v/>
      </c>
      <c r="AP114" s="290">
        <f>IFERROR(Y114*AI111/Y117,)</f>
        <v>0</v>
      </c>
      <c r="AQ114" s="197" t="str">
        <f>IFERROR(VLOOKUP($G114,нормы!$A$14:$BC$57,54,0)*$W114,"")</f>
        <v/>
      </c>
      <c r="AR114" s="290">
        <f>IFERROR(AS114/SUM(AS111:AS116)*AL111,0)</f>
        <v>0</v>
      </c>
      <c r="AS114" s="197" t="str">
        <f>IFERROR(VLOOKUP($G114,нормы!$A$14:$BC$57,55,0)*W114,"")</f>
        <v/>
      </c>
      <c r="AT114" s="290">
        <f>IFERROR(AU114/SUM(AU111:AU116)*AM111,0)</f>
        <v>0</v>
      </c>
      <c r="AU114" s="197" t="str">
        <f>IFERROR(VLOOKUP($G114,нормы!$A$14:$BI$57,56,0)*W114,"")</f>
        <v/>
      </c>
      <c r="AV114" s="290">
        <f>IFERROR(AW114/SUM(AW111:AW116)*AK111,0)</f>
        <v>0</v>
      </c>
      <c r="AW114" s="202" t="str">
        <f>IFERROR(VLOOKUP($G114,нормы!$A$14:$BI$57,57,0)*W114,"")</f>
        <v/>
      </c>
      <c r="AX114" s="30"/>
      <c r="AY114" s="203" t="str">
        <f>IFERROR(VLOOKUP($G114,нормы!$A$14:$BI$57,58,0)*W114,"")</f>
        <v/>
      </c>
      <c r="AZ114" s="205"/>
      <c r="BA114" s="200" t="str">
        <f>IFERROR(VLOOKUP($G114,нормы!$A$14:$BI$57,61,0)*$W114,"")</f>
        <v/>
      </c>
      <c r="BB114" s="30"/>
      <c r="BC114" s="203" t="str">
        <f>IFERROR(VLOOKUP($G114,нормы!$A$14:$BI$57,60,0)*W114,"")</f>
        <v/>
      </c>
      <c r="BD114" s="200" t="str">
        <f>IFERROR(VLOOKUP($G114,нормы!$A$14:$BG$57,44,0),"")</f>
        <v/>
      </c>
      <c r="BE114" s="199" t="str">
        <f>IFERROR(W114/VLOOKUP($G114,нормы!$A$14:$BI$57,45,0),"")</f>
        <v/>
      </c>
      <c r="BF114" s="200" t="str">
        <f>IFERROR(VLOOKUP($G114,нормы!$A$14:$BG$15,44,0),"")</f>
        <v/>
      </c>
      <c r="BG114" s="199" t="str">
        <f>IFERROR(Y114/VLOOKUP($G114,нормы!$A$14:$BI$15,45,0),"")</f>
        <v/>
      </c>
    </row>
    <row r="115" spans="1:59" s="1" customFormat="1" ht="20.25" customHeight="1" x14ac:dyDescent="0.4">
      <c r="A115" s="37" t="str">
        <f t="shared" si="51"/>
        <v>2Н</v>
      </c>
      <c r="B115" s="12">
        <f t="shared" si="51"/>
        <v>46024</v>
      </c>
      <c r="C115" s="97">
        <f t="shared" si="51"/>
        <v>0</v>
      </c>
      <c r="D115" s="97">
        <f t="shared" si="51"/>
        <v>2</v>
      </c>
      <c r="E115" s="54"/>
      <c r="F115" s="151" t="str">
        <f>IFERROR(VLOOKUP($G115,нормы!$A$14:$BC$57,2,0),"")</f>
        <v/>
      </c>
      <c r="G115" s="38"/>
      <c r="H115" s="54">
        <f t="shared" si="53"/>
        <v>0</v>
      </c>
      <c r="I115" s="89" t="s">
        <v>73</v>
      </c>
      <c r="J115" s="333"/>
      <c r="K115" s="30">
        <f>IFERROR(VLOOKUP($G115,[1]нормы!$A$21:$BC$151,15,0),"")</f>
        <v>0</v>
      </c>
      <c r="L115" s="31">
        <f>IFERROR(VLOOKUP($G115,[1]нормы!$A$21:$BC$151,17,0),"")</f>
        <v>0</v>
      </c>
      <c r="M115" s="306">
        <f>IFERROR(VLOOKUP($G115,[1]нормы!$A$21:$BC$151,27,0),"")</f>
        <v>0</v>
      </c>
      <c r="N115" s="307" t="str">
        <f>IFERROR(Y115/Y117*(1.1*J111*I120),"")</f>
        <v/>
      </c>
      <c r="O115" s="300">
        <f>IFERROR(VLOOKUP($G115,[1]нормы!$A$21:$BC$151,21,0),"")</f>
        <v>0</v>
      </c>
      <c r="P115" s="35">
        <f>IFERROR(VLOOKUP($G115,[1]нормы!$A$21:$BC$151,19,0),"")</f>
        <v>0</v>
      </c>
      <c r="Q115" s="35">
        <f>IFERROR(VLOOKUP($G115,[1]нормы!$A$21:$BC$151,23,0),"")</f>
        <v>0</v>
      </c>
      <c r="R115" s="231">
        <f>IFERROR(VLOOKUP($G115,[1]нормы!$A$21:$BC$151,29,0),"")</f>
        <v>0</v>
      </c>
      <c r="S115" s="35">
        <f>IFERROR(VLOOKUP($G115,[1]нормы!$A$21:$BC$151,31,0),"")</f>
        <v>0</v>
      </c>
      <c r="T115" s="32">
        <f>IFERROR(VLOOKUP($G115,[1]нормы!$A$21:$BC$151,25,0),"")</f>
        <v>0</v>
      </c>
      <c r="U115" s="233" t="str">
        <f>IFERROR(W115/(((100*Y115/Y117)*I116)/100),"")</f>
        <v/>
      </c>
      <c r="V115" s="234" t="str">
        <f>IFERROR(VLOOKUP($G115,нормы!$A$14:$BC$57,38,0),"")</f>
        <v/>
      </c>
      <c r="W115" s="136"/>
      <c r="X115" s="237"/>
      <c r="Y115" s="152" t="str">
        <f>IFERROR(VLOOKUP($G115,нормы!$A$14:$BC$57,42,0)*W115,"")</f>
        <v/>
      </c>
      <c r="Z115" s="163">
        <f>IFERROR(VLOOKUP($G115,нормы!$A$14:$BC$57,14,0)*W115/1000,0)</f>
        <v>0</v>
      </c>
      <c r="AA115" s="30"/>
      <c r="AB115" s="35"/>
      <c r="AC115" s="35"/>
      <c r="AD115" s="35"/>
      <c r="AE115" s="31"/>
      <c r="AF115" s="160"/>
      <c r="AG115" s="391"/>
      <c r="AH115" s="394"/>
      <c r="AI115" s="397"/>
      <c r="AJ115" s="408"/>
      <c r="AK115" s="360"/>
      <c r="AL115" s="360"/>
      <c r="AM115" s="360"/>
      <c r="AN115" s="289">
        <f>IFERROR(Y115*AJ111/Y117,)</f>
        <v>0</v>
      </c>
      <c r="AO115" s="197" t="str">
        <f>IFERROR(VLOOKUP($G115,нормы!$A$14:$BC$57,53,0)*$W115,"")</f>
        <v/>
      </c>
      <c r="AP115" s="290">
        <f>IFERROR(Y115*AI111/Y117,)</f>
        <v>0</v>
      </c>
      <c r="AQ115" s="197" t="str">
        <f>IFERROR(VLOOKUP($G115,нормы!$A$14:$BC$57,54,0)*$W115,"")</f>
        <v/>
      </c>
      <c r="AR115" s="290">
        <f>IFERROR(AS115/SUM(AS111:AS116)*AL111,0)</f>
        <v>0</v>
      </c>
      <c r="AS115" s="197" t="str">
        <f>IFERROR(VLOOKUP($G115,нормы!$A$14:$BC$57,55,0)*W115,"")</f>
        <v/>
      </c>
      <c r="AT115" s="290">
        <f>IFERROR(AU115/SUM(AU111:AU116)*AM111,0)</f>
        <v>0</v>
      </c>
      <c r="AU115" s="197" t="str">
        <f>IFERROR(VLOOKUP($G115,нормы!$A$14:$BI$57,56,0)*W115,"")</f>
        <v/>
      </c>
      <c r="AV115" s="290">
        <f>IFERROR(AW115/SUM(AW111:AW116)*AK111,0)</f>
        <v>0</v>
      </c>
      <c r="AW115" s="202" t="str">
        <f>IFERROR(VLOOKUP($G115,нормы!$A$14:$BI$57,57,0)*W115,"")</f>
        <v/>
      </c>
      <c r="AX115" s="30"/>
      <c r="AY115" s="203" t="str">
        <f>IFERROR(VLOOKUP($G115,нормы!$A$14:$BI$57,58,0)*W115,"")</f>
        <v/>
      </c>
      <c r="AZ115" s="205"/>
      <c r="BA115" s="200" t="str">
        <f>IFERROR(VLOOKUP($G115,нормы!$A$14:$BI$57,61,0)*$W115,"")</f>
        <v/>
      </c>
      <c r="BB115" s="30"/>
      <c r="BC115" s="203" t="str">
        <f>IFERROR(VLOOKUP($G115,нормы!$A$14:$BI$57,60,0)*W115,"")</f>
        <v/>
      </c>
      <c r="BD115" s="200" t="str">
        <f>IFERROR(VLOOKUP($G115,нормы!$A$14:$BG$57,44,0),"")</f>
        <v/>
      </c>
      <c r="BE115" s="199" t="str">
        <f>IFERROR(W115/VLOOKUP($G115,нормы!$A$14:$BI$57,45,0),"")</f>
        <v/>
      </c>
      <c r="BF115" s="200" t="str">
        <f>IFERROR(VLOOKUP($G115,нормы!$A$14:$BG$15,44,0),"")</f>
        <v/>
      </c>
      <c r="BG115" s="199" t="str">
        <f>IFERROR(Y115/VLOOKUP($G115,нормы!$A$14:$BI$15,45,0),"")</f>
        <v/>
      </c>
    </row>
    <row r="116" spans="1:59" s="1" customFormat="1" ht="21" customHeight="1" thickBot="1" x14ac:dyDescent="0.45">
      <c r="A116" s="37" t="str">
        <f t="shared" si="51"/>
        <v>2Н</v>
      </c>
      <c r="B116" s="12">
        <f t="shared" si="51"/>
        <v>46024</v>
      </c>
      <c r="C116" s="97">
        <f t="shared" si="51"/>
        <v>0</v>
      </c>
      <c r="D116" s="97">
        <f t="shared" si="51"/>
        <v>2</v>
      </c>
      <c r="E116" s="54"/>
      <c r="F116" s="151" t="str">
        <f>IFERROR(VLOOKUP($G116,нормы!$A$14:$BC$57,2,0),"")</f>
        <v/>
      </c>
      <c r="G116" s="93"/>
      <c r="H116" s="63">
        <f t="shared" si="53"/>
        <v>0</v>
      </c>
      <c r="I116" s="153">
        <f>I112+I114</f>
        <v>0</v>
      </c>
      <c r="J116" s="334"/>
      <c r="K116" s="30">
        <f>IFERROR(VLOOKUP($G116,[1]нормы!$A$21:$BC$151,15,0),"")</f>
        <v>0</v>
      </c>
      <c r="L116" s="31">
        <f>IFERROR(VLOOKUP($G116,[1]нормы!$A$21:$BC$151,17,0),"")</f>
        <v>0</v>
      </c>
      <c r="M116" s="308">
        <f>IFERROR(VLOOKUP($G116,[1]нормы!$A$21:$BC$151,27,0),"")</f>
        <v>0</v>
      </c>
      <c r="N116" s="309" t="str">
        <f>IFERROR(Y116/Y117*(1.1*J111*I121),"")</f>
        <v/>
      </c>
      <c r="O116" s="300">
        <f>IFERROR(VLOOKUP($G116,[1]нормы!$A$21:$BC$151,21,0),"")</f>
        <v>0</v>
      </c>
      <c r="P116" s="35">
        <f>IFERROR(VLOOKUP($G116,[1]нормы!$A$21:$BC$151,19,0),"")</f>
        <v>0</v>
      </c>
      <c r="Q116" s="35">
        <f>IFERROR(VLOOKUP($G116,[1]нормы!$A$21:$BC$151,23,0),"")</f>
        <v>0</v>
      </c>
      <c r="R116" s="231">
        <f>IFERROR(VLOOKUP($G116,[1]нормы!$A$21:$BC$151,29,0),"")</f>
        <v>0</v>
      </c>
      <c r="S116" s="35">
        <f>IFERROR(VLOOKUP($G116,[1]нормы!$A$21:$BC$151,31,0),"")</f>
        <v>0</v>
      </c>
      <c r="T116" s="32">
        <f>IFERROR(VLOOKUP($G116,[1]нормы!$A$21:$BC$151,25,0),"")</f>
        <v>0</v>
      </c>
      <c r="U116" s="235" t="str">
        <f>IFERROR(W116/(((100*Y116/Y117)*I116)/100),"")</f>
        <v/>
      </c>
      <c r="V116" s="234" t="str">
        <f>IFERROR(VLOOKUP($G116,нормы!$A$14:$BC$57,38,0),"")</f>
        <v/>
      </c>
      <c r="W116" s="154"/>
      <c r="X116" s="238"/>
      <c r="Y116" s="152" t="str">
        <f>IFERROR(VLOOKUP($G116,нормы!$A$14:$BC$57,42,0)*W116,"")</f>
        <v/>
      </c>
      <c r="Z116" s="163">
        <f>IFERROR(VLOOKUP($G116,нормы!$A$14:$BC$57,14,0)*W116/1000,0)</f>
        <v>0</v>
      </c>
      <c r="AA116" s="56"/>
      <c r="AB116" s="58"/>
      <c r="AC116" s="58"/>
      <c r="AD116" s="58"/>
      <c r="AE116" s="57"/>
      <c r="AF116" s="161"/>
      <c r="AG116" s="392"/>
      <c r="AH116" s="395"/>
      <c r="AI116" s="398"/>
      <c r="AJ116" s="409"/>
      <c r="AK116" s="361"/>
      <c r="AL116" s="361"/>
      <c r="AM116" s="361"/>
      <c r="AN116" s="291">
        <f>IFERROR(Y116*AJ111/Y117,)</f>
        <v>0</v>
      </c>
      <c r="AO116" s="197" t="str">
        <f>IFERROR(VLOOKUP($G116,нормы!$A$14:$BC$57,53,0)*$W116,"")</f>
        <v/>
      </c>
      <c r="AP116" s="292">
        <f>IFERROR(Y116*AI111/Y117,)</f>
        <v>0</v>
      </c>
      <c r="AQ116" s="197" t="str">
        <f>IFERROR(VLOOKUP($G116,нормы!$A$14:$BC$57,54,0)*$W116,"")</f>
        <v/>
      </c>
      <c r="AR116" s="290">
        <f>IFERROR(AS116/SUM(AS111:AS116)*AL111,0)</f>
        <v>0</v>
      </c>
      <c r="AS116" s="197" t="str">
        <f>IFERROR(VLOOKUP($G116,нормы!$A$14:$BC$57,55,0)*W116,"")</f>
        <v/>
      </c>
      <c r="AT116" s="292">
        <f>IFERROR(AU116/SUM(AU111:AU116)*AM111,0)</f>
        <v>0</v>
      </c>
      <c r="AU116" s="197" t="str">
        <f>IFERROR(VLOOKUP($G116,нормы!$A$14:$BI$57,56,0)*W116,"")</f>
        <v/>
      </c>
      <c r="AV116" s="292">
        <f>IFERROR(AW116/SUM(AW111:AW116)*AK111,0)</f>
        <v>0</v>
      </c>
      <c r="AW116" s="202" t="str">
        <f>IFERROR(VLOOKUP($G116,нормы!$A$14:$BI$57,57,0)*W116,"")</f>
        <v/>
      </c>
      <c r="AX116" s="56"/>
      <c r="AY116" s="203" t="str">
        <f>IFERROR(VLOOKUP($G116,нормы!$A$14:$BI$57,58,0)*W116,"")</f>
        <v/>
      </c>
      <c r="AZ116" s="206"/>
      <c r="BA116" s="200" t="str">
        <f>IFERROR(VLOOKUP($G116,нормы!$A$14:$BI$57,61,0)*$W116,"")</f>
        <v/>
      </c>
      <c r="BB116" s="56"/>
      <c r="BC116" s="203" t="str">
        <f>IFERROR(VLOOKUP($G116,нормы!$A$14:$BI$57,60,0)*W116,"")</f>
        <v/>
      </c>
      <c r="BD116" s="200" t="str">
        <f>IFERROR(VLOOKUP($G116,нормы!$A$14:$BG$57,44,0),"")</f>
        <v/>
      </c>
      <c r="BE116" s="199" t="str">
        <f>IFERROR(W116/VLOOKUP($G116,нормы!$A$14:$BI$57,45,0),"")</f>
        <v/>
      </c>
      <c r="BF116" s="200" t="str">
        <f>IFERROR(VLOOKUP($G116,нормы!$A$14:$BG$15,44,0),"")</f>
        <v/>
      </c>
      <c r="BG116" s="199" t="str">
        <f>IFERROR(Y116/VLOOKUP($G116,нормы!$A$14:$BI$15,45,0),"")</f>
        <v/>
      </c>
    </row>
    <row r="117" spans="1:59" s="1" customFormat="1" ht="29.4" customHeight="1" thickBot="1" x14ac:dyDescent="0.45">
      <c r="A117" s="37" t="str">
        <f t="shared" si="51"/>
        <v>2Н</v>
      </c>
      <c r="B117" s="59"/>
      <c r="C117" s="51"/>
      <c r="D117" s="51"/>
      <c r="E117" s="51"/>
      <c r="F117" s="51"/>
      <c r="G117" s="51"/>
      <c r="H117" s="51"/>
      <c r="I117" s="60"/>
      <c r="J117" s="60"/>
      <c r="K117" s="319" t="s">
        <v>213</v>
      </c>
      <c r="L117" s="316"/>
      <c r="M117" s="303" t="s">
        <v>213</v>
      </c>
      <c r="N117" s="317">
        <f>SUM(N111:N116)</f>
        <v>0</v>
      </c>
      <c r="O117" s="304" t="s">
        <v>217</v>
      </c>
      <c r="P117" s="318">
        <f>N117*8.937/1000</f>
        <v>0</v>
      </c>
      <c r="Q117" s="305" t="s">
        <v>215</v>
      </c>
      <c r="R117" s="61"/>
      <c r="S117" s="61"/>
      <c r="T117" s="61"/>
      <c r="U117" s="109"/>
      <c r="V117" s="109"/>
      <c r="W117" s="94"/>
      <c r="X117" s="155"/>
      <c r="Y117" s="96">
        <f>SUM(Y111:Y116)</f>
        <v>0</v>
      </c>
      <c r="Z117" s="164">
        <f>SUM(Z111:Z116)</f>
        <v>0</v>
      </c>
      <c r="AA117" s="207">
        <f>(AA103+AA104+AA105+AA106+AA107+AA108+AA109+AA111+AA112+AA113+AA114+AA115+AA116)-AG104</f>
        <v>1</v>
      </c>
      <c r="AB117" s="208">
        <f>(AB103+AB104+AB105+AB106+AB107+AB108+AB109+AB111+AB112+AB113+AB114+AB115+AB116)-AH104</f>
        <v>2</v>
      </c>
      <c r="AC117" s="208">
        <f>(AC103+AC104+AC105+AC106+AC107+AC108+AC109+AC111+AC112+AC113+AC114+AC115+AC116)-AG111</f>
        <v>3</v>
      </c>
      <c r="AD117" s="208">
        <f>(AD103+AD104+AD105+AD106+AD107+AD108+AD109+AD111+AD112+AD113+AD114+AD115+AD116)-AH111</f>
        <v>4</v>
      </c>
      <c r="AE117" s="208">
        <f>(AE103+AE104+AE105+AE106+AE107+AE108+AE109+AE111+AE112+AE113+AE114+AE115+AE116)-AI104</f>
        <v>5</v>
      </c>
      <c r="AF117" s="209">
        <f>(AF103+AF104+AF105+AF106+AF107+AF108+AF109+AF111+AF112+AF113+AF114+AF115+AF116)-AI111</f>
        <v>6</v>
      </c>
      <c r="AG117" s="62"/>
      <c r="AH117" s="62"/>
      <c r="AI117" s="62"/>
      <c r="AJ117" s="62"/>
      <c r="AK117" s="62"/>
      <c r="AL117" s="62"/>
      <c r="AM117" s="62"/>
      <c r="AN117" s="91">
        <f>SUM(AN111:AN116)</f>
        <v>0</v>
      </c>
      <c r="AO117" s="91">
        <f>SUM(AO111:AO116)</f>
        <v>0</v>
      </c>
      <c r="AP117" s="91"/>
      <c r="AQ117" s="91"/>
      <c r="AR117" s="91">
        <f>SUM(AR111:AR116)</f>
        <v>0</v>
      </c>
      <c r="AS117" s="91">
        <f t="shared" ref="AS117:AW117" si="54">SUM(AS111:AS116)</f>
        <v>0</v>
      </c>
      <c r="AT117" s="91">
        <f t="shared" si="54"/>
        <v>0</v>
      </c>
      <c r="AU117" s="91">
        <f t="shared" si="54"/>
        <v>0</v>
      </c>
      <c r="AV117" s="91">
        <f t="shared" si="54"/>
        <v>0</v>
      </c>
      <c r="AW117" s="91">
        <f t="shared" si="54"/>
        <v>0</v>
      </c>
      <c r="AX117" s="91">
        <f>SUM(AX111:AX116)</f>
        <v>0</v>
      </c>
      <c r="AY117" s="91">
        <f>SUM(AY111:AY116)</f>
        <v>0</v>
      </c>
      <c r="AZ117" s="91">
        <f>SUM(AZ111:AZ116)</f>
        <v>0</v>
      </c>
      <c r="BA117" s="91"/>
      <c r="BB117" s="91"/>
      <c r="BC117" s="91"/>
      <c r="BD117" s="91" t="str">
        <f>IFERROR(VLOOKUP($G117,нормы!$A$14:$BG$15,27,0),"")</f>
        <v/>
      </c>
      <c r="BE117" s="53" t="str">
        <f>IFERROR(W117/VLOOKUP($G117,нормы!$A$14:$BI$15,28,0),"")</f>
        <v/>
      </c>
    </row>
    <row r="118" spans="1:59" s="1" customFormat="1" ht="29.4" customHeight="1" thickBot="1" x14ac:dyDescent="0.5">
      <c r="A118" s="37" t="str">
        <f t="shared" si="51"/>
        <v>2Н</v>
      </c>
      <c r="B118" s="166" t="s">
        <v>130</v>
      </c>
      <c r="C118" s="167"/>
      <c r="D118" s="167"/>
      <c r="E118" s="167"/>
      <c r="F118" s="165"/>
      <c r="G118" s="167"/>
      <c r="H118" s="167"/>
      <c r="I118" s="168"/>
      <c r="J118" s="168"/>
      <c r="K118" s="168"/>
      <c r="L118" s="168"/>
      <c r="M118" s="168"/>
      <c r="N118" s="168"/>
      <c r="O118" s="167"/>
      <c r="P118" s="169"/>
      <c r="Q118" s="169"/>
      <c r="R118" s="169"/>
      <c r="S118" s="169"/>
      <c r="T118" s="169"/>
      <c r="U118" s="170"/>
      <c r="V118" s="170"/>
      <c r="W118" s="171"/>
      <c r="X118" s="171"/>
      <c r="Y118" s="172"/>
      <c r="Z118" s="172"/>
      <c r="AA118" s="201" t="s">
        <v>144</v>
      </c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64"/>
      <c r="AN118" s="167"/>
      <c r="AO118" s="167"/>
      <c r="AP118" s="167"/>
      <c r="AQ118" s="167"/>
      <c r="AR118" s="64"/>
      <c r="AS118" s="64"/>
      <c r="AT118" s="65"/>
      <c r="AU118" s="64"/>
      <c r="AV118" s="49"/>
      <c r="AW118" s="49"/>
      <c r="AX118" s="167"/>
      <c r="AY118" s="167"/>
      <c r="AZ118" s="167"/>
      <c r="BA118" s="167"/>
      <c r="BB118" s="167"/>
      <c r="BC118" s="167"/>
      <c r="BD118" s="66"/>
      <c r="BE118" s="66"/>
    </row>
    <row r="119" spans="1:59" s="1" customFormat="1" ht="23.25" customHeight="1" x14ac:dyDescent="0.4">
      <c r="A119" s="37" t="str">
        <f t="shared" si="51"/>
        <v>2Н</v>
      </c>
      <c r="B119" s="183"/>
      <c r="C119" s="100"/>
      <c r="D119" s="185"/>
      <c r="E119" s="186" t="s">
        <v>57</v>
      </c>
      <c r="F119" s="66" t="s">
        <v>87</v>
      </c>
      <c r="G119" s="66"/>
      <c r="H119" s="108" t="s">
        <v>131</v>
      </c>
      <c r="I119" s="101"/>
      <c r="J119" s="101"/>
      <c r="K119" s="101"/>
      <c r="L119" s="101"/>
      <c r="M119" s="101"/>
      <c r="N119" s="101"/>
      <c r="O119" s="67"/>
      <c r="P119" s="102"/>
      <c r="Q119" s="102"/>
      <c r="R119" s="102"/>
      <c r="S119" s="102"/>
      <c r="T119" s="102"/>
      <c r="U119" s="67"/>
      <c r="V119" s="67"/>
      <c r="W119" s="103"/>
      <c r="X119" s="187"/>
      <c r="Y119" s="68" t="s">
        <v>74</v>
      </c>
      <c r="Z119" s="69"/>
      <c r="AA119" s="90"/>
      <c r="AB119" s="100"/>
      <c r="AC119" s="100"/>
      <c r="AD119" s="186" t="s">
        <v>57</v>
      </c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190"/>
      <c r="AU119" s="66"/>
      <c r="AV119" s="165"/>
      <c r="AW119" s="293"/>
      <c r="AX119" s="66"/>
      <c r="AY119" s="66"/>
      <c r="AZ119" s="66"/>
      <c r="BA119" s="66"/>
      <c r="BB119" s="66"/>
      <c r="BC119" s="66"/>
      <c r="BD119" s="68" t="s">
        <v>74</v>
      </c>
      <c r="BE119" s="69"/>
    </row>
    <row r="120" spans="1:59" s="1" customFormat="1" ht="23.25" customHeight="1" thickBot="1" x14ac:dyDescent="0.45">
      <c r="A120" s="37" t="str">
        <f t="shared" si="51"/>
        <v>2Н</v>
      </c>
      <c r="B120" s="183"/>
      <c r="C120" s="41"/>
      <c r="D120" s="184"/>
      <c r="E120" s="50"/>
      <c r="F120" s="70"/>
      <c r="G120" s="70"/>
      <c r="H120" s="70"/>
      <c r="I120" s="104"/>
      <c r="J120" s="104"/>
      <c r="K120" s="104"/>
      <c r="L120" s="104"/>
      <c r="M120" s="104"/>
      <c r="N120" s="104"/>
      <c r="O120" s="71"/>
      <c r="P120" s="105"/>
      <c r="Q120" s="105"/>
      <c r="R120" s="105"/>
      <c r="S120" s="105"/>
      <c r="T120" s="105"/>
      <c r="U120" s="71"/>
      <c r="V120" s="71"/>
      <c r="W120" s="106"/>
      <c r="X120" s="188"/>
      <c r="Y120" s="72"/>
      <c r="Z120" s="73"/>
      <c r="AA120" s="90"/>
      <c r="AB120" s="41"/>
      <c r="AC120" s="41"/>
      <c r="AD120" s="50"/>
      <c r="AE120" s="47"/>
      <c r="AF120" s="47"/>
      <c r="AG120" s="47"/>
      <c r="AH120" s="47"/>
      <c r="AI120" s="47"/>
      <c r="AJ120" s="47"/>
      <c r="AK120" s="47"/>
      <c r="AL120" s="47"/>
      <c r="AM120" s="70"/>
      <c r="AN120" s="47"/>
      <c r="AO120" s="70"/>
      <c r="AP120" s="70"/>
      <c r="AQ120" s="70"/>
      <c r="AR120" s="70"/>
      <c r="AS120" s="70"/>
      <c r="AT120" s="191"/>
      <c r="AU120" s="70"/>
      <c r="AV120" s="192"/>
      <c r="AW120" s="294"/>
      <c r="AX120" s="70"/>
      <c r="AY120" s="70"/>
      <c r="AZ120" s="70"/>
      <c r="BA120" s="70"/>
      <c r="BB120" s="70"/>
      <c r="BC120" s="70"/>
      <c r="BD120" s="72"/>
      <c r="BE120" s="73"/>
    </row>
    <row r="121" spans="1:59" s="1" customFormat="1" ht="25.5" customHeight="1" x14ac:dyDescent="0.4">
      <c r="A121" s="37" t="str">
        <f t="shared" ref="A121:A133" si="55">A120</f>
        <v>2Н</v>
      </c>
      <c r="B121" s="183"/>
      <c r="C121" s="41"/>
      <c r="D121" s="184"/>
      <c r="E121" s="281">
        <f>B116</f>
        <v>46024</v>
      </c>
      <c r="F121" s="337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98">
        <v>1</v>
      </c>
      <c r="Y121" s="74">
        <v>1</v>
      </c>
      <c r="Z121" s="75">
        <f t="shared" ref="Z121:Z132" si="56">Y121-X121</f>
        <v>0</v>
      </c>
      <c r="AA121" s="189"/>
      <c r="AB121" s="41"/>
      <c r="AC121" s="184"/>
      <c r="AD121" s="210">
        <f>E121</f>
        <v>46024</v>
      </c>
      <c r="AE121" s="387"/>
      <c r="AF121" s="388"/>
      <c r="AG121" s="388"/>
      <c r="AH121" s="388"/>
      <c r="AI121" s="388"/>
      <c r="AJ121" s="388"/>
      <c r="AK121" s="388"/>
      <c r="AL121" s="388"/>
      <c r="AM121" s="388"/>
      <c r="AN121" s="388"/>
      <c r="AO121" s="388"/>
      <c r="AP121" s="388"/>
      <c r="AQ121" s="388"/>
      <c r="AR121" s="388"/>
      <c r="AS121" s="388"/>
      <c r="AT121" s="388"/>
      <c r="AU121" s="388"/>
      <c r="AV121" s="388"/>
      <c r="AW121" s="388"/>
      <c r="AX121" s="388"/>
      <c r="AY121" s="388"/>
      <c r="AZ121" s="388"/>
      <c r="BA121" s="388"/>
      <c r="BB121" s="389"/>
      <c r="BC121" s="98">
        <v>1</v>
      </c>
      <c r="BD121" s="74">
        <v>1</v>
      </c>
      <c r="BE121" s="75">
        <f t="shared" ref="BE121:BE132" si="57">BD121-BC121</f>
        <v>0</v>
      </c>
    </row>
    <row r="122" spans="1:59" s="1" customFormat="1" ht="32.25" customHeight="1" x14ac:dyDescent="0.4">
      <c r="A122" s="37" t="str">
        <f t="shared" si="55"/>
        <v>2Н</v>
      </c>
      <c r="B122" s="183"/>
      <c r="C122" s="41"/>
      <c r="D122" s="184"/>
      <c r="E122" s="282">
        <f>E121</f>
        <v>46024</v>
      </c>
      <c r="F122" s="335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98">
        <v>1</v>
      </c>
      <c r="Y122" s="74">
        <v>1</v>
      </c>
      <c r="Z122" s="75">
        <f t="shared" si="56"/>
        <v>0</v>
      </c>
      <c r="AA122" s="107">
        <f>AA121</f>
        <v>0</v>
      </c>
      <c r="AB122" s="41"/>
      <c r="AC122" s="184"/>
      <c r="AD122" s="212">
        <f>AD121</f>
        <v>46024</v>
      </c>
      <c r="AE122" s="387"/>
      <c r="AF122" s="388"/>
      <c r="AG122" s="388"/>
      <c r="AH122" s="388"/>
      <c r="AI122" s="388"/>
      <c r="AJ122" s="388"/>
      <c r="AK122" s="388"/>
      <c r="AL122" s="388"/>
      <c r="AM122" s="388"/>
      <c r="AN122" s="388"/>
      <c r="AO122" s="388"/>
      <c r="AP122" s="388"/>
      <c r="AQ122" s="388"/>
      <c r="AR122" s="388"/>
      <c r="AS122" s="388"/>
      <c r="AT122" s="388"/>
      <c r="AU122" s="388"/>
      <c r="AV122" s="388"/>
      <c r="AW122" s="388"/>
      <c r="AX122" s="388"/>
      <c r="AY122" s="388"/>
      <c r="AZ122" s="388"/>
      <c r="BA122" s="388"/>
      <c r="BB122" s="389"/>
      <c r="BC122" s="98">
        <v>1</v>
      </c>
      <c r="BD122" s="74">
        <v>1</v>
      </c>
      <c r="BE122" s="75">
        <f t="shared" si="57"/>
        <v>0</v>
      </c>
    </row>
    <row r="123" spans="1:59" s="1" customFormat="1" ht="24" customHeight="1" x14ac:dyDescent="0.4">
      <c r="A123" s="37" t="str">
        <f t="shared" si="55"/>
        <v>2Н</v>
      </c>
      <c r="B123" s="183"/>
      <c r="C123" s="41"/>
      <c r="D123" s="184"/>
      <c r="E123" s="282">
        <f t="shared" ref="E123:E132" si="58">E122</f>
        <v>46024</v>
      </c>
      <c r="F123" s="335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98">
        <v>1</v>
      </c>
      <c r="Y123" s="74">
        <v>1</v>
      </c>
      <c r="Z123" s="75">
        <f t="shared" si="56"/>
        <v>0</v>
      </c>
      <c r="AA123" s="107">
        <f>AA122</f>
        <v>0</v>
      </c>
      <c r="AB123" s="41"/>
      <c r="AC123" s="184"/>
      <c r="AD123" s="212">
        <f t="shared" ref="AD123:AD132" si="59">AD122</f>
        <v>46024</v>
      </c>
      <c r="AE123" s="387"/>
      <c r="AF123" s="388"/>
      <c r="AG123" s="388"/>
      <c r="AH123" s="388"/>
      <c r="AI123" s="388"/>
      <c r="AJ123" s="388"/>
      <c r="AK123" s="388"/>
      <c r="AL123" s="388"/>
      <c r="AM123" s="388"/>
      <c r="AN123" s="388"/>
      <c r="AO123" s="388"/>
      <c r="AP123" s="388"/>
      <c r="AQ123" s="388"/>
      <c r="AR123" s="388"/>
      <c r="AS123" s="388"/>
      <c r="AT123" s="388"/>
      <c r="AU123" s="388"/>
      <c r="AV123" s="388"/>
      <c r="AW123" s="388"/>
      <c r="AX123" s="388"/>
      <c r="AY123" s="388"/>
      <c r="AZ123" s="388"/>
      <c r="BA123" s="388"/>
      <c r="BB123" s="389"/>
      <c r="BC123" s="98">
        <v>1</v>
      </c>
      <c r="BD123" s="74">
        <v>1</v>
      </c>
      <c r="BE123" s="75">
        <f t="shared" si="57"/>
        <v>0</v>
      </c>
    </row>
    <row r="124" spans="1:59" s="1" customFormat="1" ht="31.5" customHeight="1" x14ac:dyDescent="0.4">
      <c r="A124" s="37" t="str">
        <f t="shared" si="55"/>
        <v>2Н</v>
      </c>
      <c r="B124" s="183"/>
      <c r="C124" s="41"/>
      <c r="D124" s="184"/>
      <c r="E124" s="282">
        <f t="shared" si="58"/>
        <v>46024</v>
      </c>
      <c r="F124" s="335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98">
        <v>1</v>
      </c>
      <c r="Y124" s="74">
        <v>1</v>
      </c>
      <c r="Z124" s="75">
        <f t="shared" si="56"/>
        <v>0</v>
      </c>
      <c r="AA124" s="107">
        <f t="shared" ref="AA124:AA132" si="60">AA123</f>
        <v>0</v>
      </c>
      <c r="AB124" s="41"/>
      <c r="AC124" s="184"/>
      <c r="AD124" s="212">
        <f t="shared" si="59"/>
        <v>46024</v>
      </c>
      <c r="AE124" s="387"/>
      <c r="AF124" s="388"/>
      <c r="AG124" s="388"/>
      <c r="AH124" s="388"/>
      <c r="AI124" s="388"/>
      <c r="AJ124" s="388"/>
      <c r="AK124" s="388"/>
      <c r="AL124" s="388"/>
      <c r="AM124" s="388"/>
      <c r="AN124" s="388"/>
      <c r="AO124" s="388"/>
      <c r="AP124" s="388"/>
      <c r="AQ124" s="388"/>
      <c r="AR124" s="388"/>
      <c r="AS124" s="388"/>
      <c r="AT124" s="388"/>
      <c r="AU124" s="388"/>
      <c r="AV124" s="388"/>
      <c r="AW124" s="388"/>
      <c r="AX124" s="388"/>
      <c r="AY124" s="388"/>
      <c r="AZ124" s="388"/>
      <c r="BA124" s="388"/>
      <c r="BB124" s="389"/>
      <c r="BC124" s="98">
        <v>1</v>
      </c>
      <c r="BD124" s="74">
        <v>1</v>
      </c>
      <c r="BE124" s="75">
        <f t="shared" si="57"/>
        <v>0</v>
      </c>
    </row>
    <row r="125" spans="1:59" s="1" customFormat="1" ht="18" customHeight="1" x14ac:dyDescent="0.4">
      <c r="A125" s="37" t="str">
        <f t="shared" si="55"/>
        <v>2Н</v>
      </c>
      <c r="B125" s="183"/>
      <c r="C125" s="41"/>
      <c r="D125" s="184"/>
      <c r="E125" s="282">
        <f t="shared" si="58"/>
        <v>46024</v>
      </c>
      <c r="F125" s="335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98">
        <v>1</v>
      </c>
      <c r="Y125" s="74">
        <v>1</v>
      </c>
      <c r="Z125" s="75">
        <f t="shared" si="56"/>
        <v>0</v>
      </c>
      <c r="AA125" s="107">
        <f t="shared" si="60"/>
        <v>0</v>
      </c>
      <c r="AB125" s="41"/>
      <c r="AC125" s="184"/>
      <c r="AD125" s="212">
        <f t="shared" si="59"/>
        <v>46024</v>
      </c>
      <c r="AE125" s="387"/>
      <c r="AF125" s="388"/>
      <c r="AG125" s="388"/>
      <c r="AH125" s="388"/>
      <c r="AI125" s="388"/>
      <c r="AJ125" s="388"/>
      <c r="AK125" s="388"/>
      <c r="AL125" s="388"/>
      <c r="AM125" s="388"/>
      <c r="AN125" s="388"/>
      <c r="AO125" s="388"/>
      <c r="AP125" s="388"/>
      <c r="AQ125" s="388"/>
      <c r="AR125" s="388"/>
      <c r="AS125" s="388"/>
      <c r="AT125" s="388"/>
      <c r="AU125" s="388"/>
      <c r="AV125" s="388"/>
      <c r="AW125" s="388"/>
      <c r="AX125" s="388"/>
      <c r="AY125" s="388"/>
      <c r="AZ125" s="388"/>
      <c r="BA125" s="388"/>
      <c r="BB125" s="389"/>
      <c r="BC125" s="98">
        <v>1</v>
      </c>
      <c r="BD125" s="74">
        <v>1</v>
      </c>
      <c r="BE125" s="75">
        <f t="shared" si="57"/>
        <v>0</v>
      </c>
    </row>
    <row r="126" spans="1:59" s="1" customFormat="1" ht="18" customHeight="1" x14ac:dyDescent="0.4">
      <c r="A126" s="37" t="str">
        <f t="shared" si="55"/>
        <v>2Н</v>
      </c>
      <c r="B126" s="183"/>
      <c r="C126" s="41"/>
      <c r="D126" s="184"/>
      <c r="E126" s="282">
        <f t="shared" si="58"/>
        <v>46024</v>
      </c>
      <c r="F126" s="335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98">
        <v>1</v>
      </c>
      <c r="Y126" s="74">
        <v>1</v>
      </c>
      <c r="Z126" s="75">
        <f t="shared" si="56"/>
        <v>0</v>
      </c>
      <c r="AA126" s="107">
        <f t="shared" si="60"/>
        <v>0</v>
      </c>
      <c r="AB126" s="41"/>
      <c r="AC126" s="184"/>
      <c r="AD126" s="212">
        <f t="shared" si="59"/>
        <v>46024</v>
      </c>
      <c r="AE126" s="387"/>
      <c r="AF126" s="388"/>
      <c r="AG126" s="388"/>
      <c r="AH126" s="388"/>
      <c r="AI126" s="388"/>
      <c r="AJ126" s="388"/>
      <c r="AK126" s="388"/>
      <c r="AL126" s="388"/>
      <c r="AM126" s="388"/>
      <c r="AN126" s="388"/>
      <c r="AO126" s="388"/>
      <c r="AP126" s="388"/>
      <c r="AQ126" s="388"/>
      <c r="AR126" s="388"/>
      <c r="AS126" s="388"/>
      <c r="AT126" s="388"/>
      <c r="AU126" s="388"/>
      <c r="AV126" s="388"/>
      <c r="AW126" s="388"/>
      <c r="AX126" s="388"/>
      <c r="AY126" s="388"/>
      <c r="AZ126" s="388"/>
      <c r="BA126" s="388"/>
      <c r="BB126" s="389"/>
      <c r="BC126" s="98">
        <v>1</v>
      </c>
      <c r="BD126" s="74">
        <v>1</v>
      </c>
      <c r="BE126" s="75">
        <f t="shared" si="57"/>
        <v>0</v>
      </c>
    </row>
    <row r="127" spans="1:59" s="1" customFormat="1" ht="18" customHeight="1" x14ac:dyDescent="0.4">
      <c r="A127" s="37" t="str">
        <f t="shared" si="55"/>
        <v>2Н</v>
      </c>
      <c r="B127" s="183"/>
      <c r="C127" s="41"/>
      <c r="D127" s="184"/>
      <c r="E127" s="282">
        <f t="shared" si="58"/>
        <v>46024</v>
      </c>
      <c r="F127" s="335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98">
        <v>1</v>
      </c>
      <c r="Y127" s="74">
        <v>1</v>
      </c>
      <c r="Z127" s="75">
        <f t="shared" si="56"/>
        <v>0</v>
      </c>
      <c r="AA127" s="107">
        <f t="shared" si="60"/>
        <v>0</v>
      </c>
      <c r="AB127" s="41"/>
      <c r="AC127" s="184"/>
      <c r="AD127" s="212">
        <f t="shared" si="59"/>
        <v>46024</v>
      </c>
      <c r="AE127" s="387"/>
      <c r="AF127" s="388"/>
      <c r="AG127" s="388"/>
      <c r="AH127" s="388"/>
      <c r="AI127" s="388"/>
      <c r="AJ127" s="388"/>
      <c r="AK127" s="388"/>
      <c r="AL127" s="388"/>
      <c r="AM127" s="388"/>
      <c r="AN127" s="388"/>
      <c r="AO127" s="388"/>
      <c r="AP127" s="388"/>
      <c r="AQ127" s="388"/>
      <c r="AR127" s="388"/>
      <c r="AS127" s="388"/>
      <c r="AT127" s="388"/>
      <c r="AU127" s="388"/>
      <c r="AV127" s="388"/>
      <c r="AW127" s="388"/>
      <c r="AX127" s="388"/>
      <c r="AY127" s="388"/>
      <c r="AZ127" s="388"/>
      <c r="BA127" s="388"/>
      <c r="BB127" s="389"/>
      <c r="BC127" s="98">
        <v>1</v>
      </c>
      <c r="BD127" s="74">
        <v>1</v>
      </c>
      <c r="BE127" s="75">
        <f t="shared" si="57"/>
        <v>0</v>
      </c>
    </row>
    <row r="128" spans="1:59" s="1" customFormat="1" ht="18" customHeight="1" x14ac:dyDescent="0.4">
      <c r="A128" s="37" t="str">
        <f t="shared" si="55"/>
        <v>2Н</v>
      </c>
      <c r="B128" s="183"/>
      <c r="C128" s="41"/>
      <c r="D128" s="184"/>
      <c r="E128" s="282">
        <f t="shared" si="58"/>
        <v>46024</v>
      </c>
      <c r="F128" s="335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98">
        <v>1</v>
      </c>
      <c r="Y128" s="74">
        <v>1</v>
      </c>
      <c r="Z128" s="75">
        <f t="shared" si="56"/>
        <v>0</v>
      </c>
      <c r="AA128" s="107">
        <f t="shared" si="60"/>
        <v>0</v>
      </c>
      <c r="AB128" s="41"/>
      <c r="AC128" s="184"/>
      <c r="AD128" s="212">
        <f t="shared" si="59"/>
        <v>46024</v>
      </c>
      <c r="AE128" s="387"/>
      <c r="AF128" s="388"/>
      <c r="AG128" s="388"/>
      <c r="AH128" s="388"/>
      <c r="AI128" s="388"/>
      <c r="AJ128" s="388"/>
      <c r="AK128" s="388"/>
      <c r="AL128" s="388"/>
      <c r="AM128" s="388"/>
      <c r="AN128" s="388"/>
      <c r="AO128" s="388"/>
      <c r="AP128" s="388"/>
      <c r="AQ128" s="388"/>
      <c r="AR128" s="388"/>
      <c r="AS128" s="388"/>
      <c r="AT128" s="388"/>
      <c r="AU128" s="388"/>
      <c r="AV128" s="388"/>
      <c r="AW128" s="388"/>
      <c r="AX128" s="388"/>
      <c r="AY128" s="388"/>
      <c r="AZ128" s="388"/>
      <c r="BA128" s="388"/>
      <c r="BB128" s="389"/>
      <c r="BC128" s="98">
        <v>1</v>
      </c>
      <c r="BD128" s="74">
        <v>1</v>
      </c>
      <c r="BE128" s="75">
        <f t="shared" si="57"/>
        <v>0</v>
      </c>
    </row>
    <row r="129" spans="1:57" s="1" customFormat="1" ht="18" customHeight="1" x14ac:dyDescent="0.4">
      <c r="A129" s="37" t="str">
        <f t="shared" si="55"/>
        <v>2Н</v>
      </c>
      <c r="B129" s="183"/>
      <c r="C129" s="41"/>
      <c r="D129" s="184"/>
      <c r="E129" s="282">
        <f t="shared" si="58"/>
        <v>46024</v>
      </c>
      <c r="F129" s="335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98">
        <v>1</v>
      </c>
      <c r="Y129" s="74">
        <v>1</v>
      </c>
      <c r="Z129" s="75">
        <f t="shared" si="56"/>
        <v>0</v>
      </c>
      <c r="AA129" s="107">
        <f t="shared" si="60"/>
        <v>0</v>
      </c>
      <c r="AB129" s="41"/>
      <c r="AC129" s="184"/>
      <c r="AD129" s="212">
        <f t="shared" si="59"/>
        <v>46024</v>
      </c>
      <c r="AE129" s="387"/>
      <c r="AF129" s="388"/>
      <c r="AG129" s="388"/>
      <c r="AH129" s="388"/>
      <c r="AI129" s="388"/>
      <c r="AJ129" s="388"/>
      <c r="AK129" s="388"/>
      <c r="AL129" s="388"/>
      <c r="AM129" s="388"/>
      <c r="AN129" s="388"/>
      <c r="AO129" s="388"/>
      <c r="AP129" s="388"/>
      <c r="AQ129" s="388"/>
      <c r="AR129" s="388"/>
      <c r="AS129" s="388"/>
      <c r="AT129" s="388"/>
      <c r="AU129" s="388"/>
      <c r="AV129" s="388"/>
      <c r="AW129" s="388"/>
      <c r="AX129" s="388"/>
      <c r="AY129" s="388"/>
      <c r="AZ129" s="388"/>
      <c r="BA129" s="388"/>
      <c r="BB129" s="389"/>
      <c r="BC129" s="98">
        <v>1</v>
      </c>
      <c r="BD129" s="74">
        <v>1</v>
      </c>
      <c r="BE129" s="75">
        <f t="shared" si="57"/>
        <v>0</v>
      </c>
    </row>
    <row r="130" spans="1:57" s="1" customFormat="1" ht="18" customHeight="1" x14ac:dyDescent="0.4">
      <c r="A130" s="37" t="str">
        <f t="shared" si="55"/>
        <v>2Н</v>
      </c>
      <c r="B130" s="183"/>
      <c r="C130" s="41"/>
      <c r="D130" s="184"/>
      <c r="E130" s="282">
        <f t="shared" si="58"/>
        <v>46024</v>
      </c>
      <c r="F130" s="335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98">
        <v>1</v>
      </c>
      <c r="Y130" s="74">
        <v>1</v>
      </c>
      <c r="Z130" s="75">
        <f t="shared" si="56"/>
        <v>0</v>
      </c>
      <c r="AA130" s="107">
        <f t="shared" si="60"/>
        <v>0</v>
      </c>
      <c r="AB130" s="41"/>
      <c r="AC130" s="184"/>
      <c r="AD130" s="212">
        <f t="shared" si="59"/>
        <v>46024</v>
      </c>
      <c r="AE130" s="387"/>
      <c r="AF130" s="388"/>
      <c r="AG130" s="388"/>
      <c r="AH130" s="388"/>
      <c r="AI130" s="388"/>
      <c r="AJ130" s="388"/>
      <c r="AK130" s="388"/>
      <c r="AL130" s="388"/>
      <c r="AM130" s="388"/>
      <c r="AN130" s="388"/>
      <c r="AO130" s="388"/>
      <c r="AP130" s="388"/>
      <c r="AQ130" s="388"/>
      <c r="AR130" s="388"/>
      <c r="AS130" s="388"/>
      <c r="AT130" s="388"/>
      <c r="AU130" s="388"/>
      <c r="AV130" s="388"/>
      <c r="AW130" s="388"/>
      <c r="AX130" s="388"/>
      <c r="AY130" s="388"/>
      <c r="AZ130" s="388"/>
      <c r="BA130" s="388"/>
      <c r="BB130" s="389"/>
      <c r="BC130" s="98">
        <v>1</v>
      </c>
      <c r="BD130" s="74">
        <v>1</v>
      </c>
      <c r="BE130" s="75">
        <f t="shared" si="57"/>
        <v>0</v>
      </c>
    </row>
    <row r="131" spans="1:57" s="1" customFormat="1" ht="18" customHeight="1" x14ac:dyDescent="0.4">
      <c r="A131" s="37" t="str">
        <f t="shared" si="55"/>
        <v>2Н</v>
      </c>
      <c r="B131" s="183"/>
      <c r="C131" s="41"/>
      <c r="D131" s="184"/>
      <c r="E131" s="282">
        <f t="shared" si="58"/>
        <v>46024</v>
      </c>
      <c r="F131" s="335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98">
        <v>1</v>
      </c>
      <c r="Y131" s="74">
        <v>1</v>
      </c>
      <c r="Z131" s="75">
        <f t="shared" si="56"/>
        <v>0</v>
      </c>
      <c r="AA131" s="107">
        <f t="shared" si="60"/>
        <v>0</v>
      </c>
      <c r="AB131" s="41"/>
      <c r="AC131" s="184"/>
      <c r="AD131" s="212">
        <f t="shared" si="59"/>
        <v>46024</v>
      </c>
      <c r="AE131" s="387"/>
      <c r="AF131" s="388"/>
      <c r="AG131" s="388"/>
      <c r="AH131" s="388"/>
      <c r="AI131" s="388"/>
      <c r="AJ131" s="388"/>
      <c r="AK131" s="388"/>
      <c r="AL131" s="388"/>
      <c r="AM131" s="388"/>
      <c r="AN131" s="388"/>
      <c r="AO131" s="388"/>
      <c r="AP131" s="388"/>
      <c r="AQ131" s="388"/>
      <c r="AR131" s="388"/>
      <c r="AS131" s="388"/>
      <c r="AT131" s="388"/>
      <c r="AU131" s="388"/>
      <c r="AV131" s="388"/>
      <c r="AW131" s="388"/>
      <c r="AX131" s="388"/>
      <c r="AY131" s="388"/>
      <c r="AZ131" s="388"/>
      <c r="BA131" s="388"/>
      <c r="BB131" s="389"/>
      <c r="BC131" s="98">
        <v>1</v>
      </c>
      <c r="BD131" s="74">
        <v>1</v>
      </c>
      <c r="BE131" s="75">
        <f t="shared" si="57"/>
        <v>0</v>
      </c>
    </row>
    <row r="132" spans="1:57" s="1" customFormat="1" ht="18" customHeight="1" thickBot="1" x14ac:dyDescent="0.45">
      <c r="A132" s="37" t="str">
        <f t="shared" si="55"/>
        <v>2Н</v>
      </c>
      <c r="B132" s="183"/>
      <c r="C132" s="41"/>
      <c r="D132" s="184"/>
      <c r="E132" s="283">
        <f t="shared" si="58"/>
        <v>46024</v>
      </c>
      <c r="F132" s="339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99">
        <v>1</v>
      </c>
      <c r="Y132" s="76">
        <v>1</v>
      </c>
      <c r="Z132" s="77">
        <f t="shared" si="56"/>
        <v>0</v>
      </c>
      <c r="AA132" s="107">
        <f t="shared" si="60"/>
        <v>0</v>
      </c>
      <c r="AB132" s="41"/>
      <c r="AC132" s="184"/>
      <c r="AD132" s="211">
        <f t="shared" si="59"/>
        <v>46024</v>
      </c>
      <c r="AE132" s="410"/>
      <c r="AF132" s="411"/>
      <c r="AG132" s="411"/>
      <c r="AH132" s="411"/>
      <c r="AI132" s="411"/>
      <c r="AJ132" s="411"/>
      <c r="AK132" s="411"/>
      <c r="AL132" s="411"/>
      <c r="AM132" s="411"/>
      <c r="AN132" s="411"/>
      <c r="AO132" s="411"/>
      <c r="AP132" s="411"/>
      <c r="AQ132" s="411"/>
      <c r="AR132" s="411"/>
      <c r="AS132" s="411"/>
      <c r="AT132" s="411"/>
      <c r="AU132" s="411"/>
      <c r="AV132" s="411"/>
      <c r="AW132" s="411"/>
      <c r="AX132" s="411"/>
      <c r="AY132" s="411"/>
      <c r="AZ132" s="411"/>
      <c r="BA132" s="411"/>
      <c r="BB132" s="412"/>
      <c r="BC132" s="99">
        <v>1</v>
      </c>
      <c r="BD132" s="76">
        <v>1</v>
      </c>
      <c r="BE132" s="75">
        <f t="shared" si="57"/>
        <v>0</v>
      </c>
    </row>
    <row r="133" spans="1:57" s="1" customFormat="1" ht="23.25" customHeight="1" thickBot="1" x14ac:dyDescent="0.45">
      <c r="A133" s="37" t="str">
        <f t="shared" si="55"/>
        <v>2Н</v>
      </c>
      <c r="B133" s="193"/>
      <c r="C133" s="47"/>
      <c r="D133" s="47"/>
      <c r="E133" s="47"/>
      <c r="F133" s="78"/>
      <c r="G133" s="78"/>
      <c r="H133" s="78"/>
      <c r="I133" s="80"/>
      <c r="J133" s="80"/>
      <c r="K133" s="80"/>
      <c r="L133" s="80"/>
      <c r="M133" s="80"/>
      <c r="N133" s="80"/>
      <c r="O133" s="78"/>
      <c r="P133" s="81"/>
      <c r="Q133" s="81"/>
      <c r="R133" s="81"/>
      <c r="S133" s="81"/>
      <c r="T133" s="81"/>
      <c r="U133" s="82"/>
      <c r="V133" s="82"/>
      <c r="W133" s="86"/>
      <c r="X133" s="194"/>
      <c r="Y133" s="83"/>
      <c r="Z133" s="83"/>
      <c r="AA133" s="78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84"/>
      <c r="AN133" s="47"/>
      <c r="AO133" s="78"/>
      <c r="AP133" s="78"/>
      <c r="AQ133" s="78"/>
      <c r="AR133" s="84"/>
      <c r="AS133" s="78"/>
      <c r="AT133" s="85"/>
      <c r="AU133" s="78"/>
      <c r="AV133" s="83"/>
      <c r="AW133" s="83"/>
      <c r="AX133" s="78"/>
      <c r="AY133" s="78"/>
      <c r="AZ133" s="78"/>
      <c r="BA133" s="78"/>
      <c r="BB133" s="78"/>
      <c r="BC133" s="78"/>
      <c r="BD133" s="79"/>
      <c r="BE133" s="79"/>
    </row>
    <row r="134" spans="1:57" s="1" customFormat="1" ht="21.6" customHeight="1" thickBot="1" x14ac:dyDescent="0.45">
      <c r="A134" s="37" t="s">
        <v>150</v>
      </c>
      <c r="B134" s="59"/>
      <c r="C134" s="51"/>
      <c r="D134" s="51"/>
      <c r="E134" s="51"/>
      <c r="F134" s="158" t="s">
        <v>147</v>
      </c>
      <c r="G134" s="51"/>
      <c r="H134" s="51"/>
      <c r="I134" s="156"/>
      <c r="J134" s="156"/>
      <c r="K134" s="156"/>
      <c r="L134" s="156"/>
      <c r="M134" s="156"/>
      <c r="N134" s="156"/>
      <c r="O134" s="91"/>
      <c r="P134" s="52"/>
      <c r="Q134" s="52"/>
      <c r="R134" s="52"/>
      <c r="S134" s="52"/>
      <c r="T134" s="52"/>
      <c r="U134" s="157"/>
      <c r="V134" s="157"/>
      <c r="W134" s="94"/>
      <c r="X134" s="94"/>
      <c r="Y134" s="51"/>
      <c r="Z134" s="51"/>
      <c r="AA134" s="157">
        <f>AA117</f>
        <v>1</v>
      </c>
      <c r="AB134" s="157">
        <f t="shared" ref="AB134:AF134" si="61">AB117</f>
        <v>2</v>
      </c>
      <c r="AC134" s="157">
        <f t="shared" si="61"/>
        <v>3</v>
      </c>
      <c r="AD134" s="157">
        <f t="shared" si="61"/>
        <v>4</v>
      </c>
      <c r="AE134" s="157">
        <f t="shared" si="61"/>
        <v>5</v>
      </c>
      <c r="AF134" s="157">
        <f t="shared" si="61"/>
        <v>6</v>
      </c>
      <c r="AG134" s="162" t="s">
        <v>123</v>
      </c>
      <c r="AH134" s="162" t="s">
        <v>124</v>
      </c>
      <c r="AI134" s="162" t="s">
        <v>125</v>
      </c>
      <c r="AJ134" s="91" t="s">
        <v>126</v>
      </c>
      <c r="AK134" s="198" t="s">
        <v>136</v>
      </c>
      <c r="AL134" s="198" t="s">
        <v>137</v>
      </c>
      <c r="AM134" s="198" t="s">
        <v>138</v>
      </c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</row>
    <row r="135" spans="1:57" s="1" customFormat="1" ht="21.6" customHeight="1" x14ac:dyDescent="0.4">
      <c r="A135" s="37" t="str">
        <f>A134</f>
        <v>3Д</v>
      </c>
      <c r="B135" s="12">
        <f>B116+1</f>
        <v>46025</v>
      </c>
      <c r="C135" s="97"/>
      <c r="D135" s="97">
        <v>1</v>
      </c>
      <c r="E135" s="29"/>
      <c r="F135" s="151" t="str">
        <f>IFERROR(VLOOKUP($G135,нормы!$A$14:$BC$57,2,0),"")</f>
        <v/>
      </c>
      <c r="G135" s="93"/>
      <c r="H135" s="54">
        <f>IF(C135=1,"Кульков С.А.", IF(C135=2,"Чудаков А.А.",IF(C135=3,"Королев В.Н.",IF(C135=4,"Николашин М.П.",IF(C135=5," Кульков С.А.",IF(C135=6,"А.А. Чудаков",IF(C135=7,"В.Н. Королев",IF(C135=8,"М.П. Николашин",0))))))))</f>
        <v>0</v>
      </c>
      <c r="I135" s="88" t="s">
        <v>84</v>
      </c>
      <c r="J135" s="332"/>
      <c r="K135" s="30">
        <f>IFERROR(VLOOKUP($G135,[1]нормы!$A$21:$BC$151,15,0),"")</f>
        <v>0</v>
      </c>
      <c r="L135" s="31">
        <f>IFERROR(VLOOKUP($G135,[1]нормы!$A$21:$BC$151,17,0),"")</f>
        <v>0</v>
      </c>
      <c r="M135" s="310">
        <f>IFERROR(VLOOKUP($G135,[1]нормы!$A$21:$BC$151,27,0),"")</f>
        <v>0</v>
      </c>
      <c r="N135" s="311" t="str">
        <f>IFERROR(Y135/Y141*(1.1*J135*I140),"")</f>
        <v/>
      </c>
      <c r="O135" s="300">
        <f>IFERROR(VLOOKUP($G135,[1]нормы!$A$21:$BC$151,21,0),"")</f>
        <v>0</v>
      </c>
      <c r="P135" s="35">
        <f>IFERROR(VLOOKUP($G135,[1]нормы!$A$21:$BC$151,19,0),"")</f>
        <v>0</v>
      </c>
      <c r="Q135" s="35">
        <f>IFERROR(VLOOKUP($G135,[1]нормы!$A$21:$BC$151,23,0),"")</f>
        <v>0</v>
      </c>
      <c r="R135" s="231">
        <f>IFERROR(VLOOKUP($G135,[1]нормы!$A$21:$BC$151,29,0),"")</f>
        <v>0</v>
      </c>
      <c r="S135" s="35">
        <f>IFERROR(VLOOKUP($G135,[1]нормы!$A$21:$BC$151,31,0),"")</f>
        <v>0</v>
      </c>
      <c r="T135" s="32">
        <f>IFERROR(VLOOKUP($G135,[1]нормы!$A$21:$BC$151,25,0),"")</f>
        <v>0</v>
      </c>
      <c r="U135" s="232" t="str">
        <f>IFERROR(W135/(((100*Y135/Y141)*I140)/100),"")</f>
        <v/>
      </c>
      <c r="V135" s="234" t="str">
        <f>IFERROR(VLOOKUP($G135,нормы!$A$14:$BC$57,38,0),"")</f>
        <v/>
      </c>
      <c r="W135" s="136"/>
      <c r="X135" s="236"/>
      <c r="Y135" s="152" t="str">
        <f>IFERROR(VLOOKUP($G135,нормы!$A$14:$BC$57,42,0)*W135,"")</f>
        <v/>
      </c>
      <c r="Z135" s="163">
        <f>IFERROR(VLOOKUP($G135,нормы!$A$14:$BC$57,14,0)*W135/1000,0)</f>
        <v>0</v>
      </c>
      <c r="AA135" s="33"/>
      <c r="AB135" s="36"/>
      <c r="AC135" s="36"/>
      <c r="AD135" s="36"/>
      <c r="AE135" s="34"/>
      <c r="AF135" s="159"/>
      <c r="AG135" s="390"/>
      <c r="AH135" s="393"/>
      <c r="AI135" s="396"/>
      <c r="AJ135" s="407">
        <f>AG135+AH135</f>
        <v>0</v>
      </c>
      <c r="AK135" s="359"/>
      <c r="AL135" s="359"/>
      <c r="AM135" s="359"/>
      <c r="AN135" s="287">
        <f>IFERROR(Y135*AJ135/Y141,)</f>
        <v>0</v>
      </c>
      <c r="AO135" s="197" t="str">
        <f>IFERROR(VLOOKUP($G135,нормы!$A$14:$BC$57,53,0)*$W135,"")</f>
        <v/>
      </c>
      <c r="AP135" s="288">
        <f>IFERROR(Y135*AI135/Y141,)</f>
        <v>0</v>
      </c>
      <c r="AQ135" s="197" t="str">
        <f>IFERROR(VLOOKUP($G135,нормы!$A$14:$BC$57,54,0)*$W135,"")</f>
        <v/>
      </c>
      <c r="AR135" s="288">
        <f>IFERROR(AS135/SUM(AS135:AS140)*AL135,0)</f>
        <v>0</v>
      </c>
      <c r="AS135" s="197" t="str">
        <f>IFERROR(VLOOKUP($G135,нормы!$A$14:$BC$57,55,0)*W135,"")</f>
        <v/>
      </c>
      <c r="AT135" s="288">
        <f>IFERROR(AU135/SUM(AU135:AU140)*AM135,0)</f>
        <v>0</v>
      </c>
      <c r="AU135" s="197" t="str">
        <f>IFERROR(VLOOKUP($G135,нормы!$A$14:$BI$57,56,0)*W135,"")</f>
        <v/>
      </c>
      <c r="AV135" s="288">
        <f>IFERROR(AW135/SUM(AW135:AW140)*AK135,0)</f>
        <v>0</v>
      </c>
      <c r="AW135" s="202" t="str">
        <f>IFERROR(VLOOKUP($G135,нормы!$A$14:$BI$57,57,0)*W135,"")</f>
        <v/>
      </c>
      <c r="AX135" s="33"/>
      <c r="AY135" s="203" t="str">
        <f>IFERROR(VLOOKUP($G135,нормы!$A$14:$BI$57,58,0)*W135,"")</f>
        <v/>
      </c>
      <c r="AZ135" s="204"/>
      <c r="BA135" s="200" t="str">
        <f>IFERROR(VLOOKUP($G135,нормы!$A$14:$BI$57,61,0)*$W135,"")</f>
        <v/>
      </c>
      <c r="BB135" s="33"/>
      <c r="BC135" s="203" t="str">
        <f>IFERROR(VLOOKUP($G135,нормы!$A$14:$BI$57,60,0)*W135,"")</f>
        <v/>
      </c>
      <c r="BD135" s="200" t="str">
        <f>IFERROR(VLOOKUP($G135,нормы!$A$14:$BG$57,44,0),"")</f>
        <v/>
      </c>
      <c r="BE135" s="199" t="str">
        <f>IFERROR(W135/VLOOKUP($G135,нормы!$A$14:$BI$57,45,0),"")</f>
        <v/>
      </c>
    </row>
    <row r="136" spans="1:57" s="1" customFormat="1" ht="21.6" customHeight="1" x14ac:dyDescent="0.4">
      <c r="A136" s="37" t="str">
        <f t="shared" ref="A136:A164" si="62">A135</f>
        <v>3Д</v>
      </c>
      <c r="B136" s="12">
        <f t="shared" ref="B136:D140" si="63">B135</f>
        <v>46025</v>
      </c>
      <c r="C136" s="97">
        <f t="shared" si="63"/>
        <v>0</v>
      </c>
      <c r="D136" s="97">
        <f t="shared" si="63"/>
        <v>1</v>
      </c>
      <c r="E136" s="54"/>
      <c r="F136" s="151" t="str">
        <f>IFERROR(VLOOKUP($G136,нормы!$A$14:$BC$57,2,0),"")</f>
        <v/>
      </c>
      <c r="G136" s="93"/>
      <c r="H136" s="54">
        <f t="shared" ref="H136:H140" si="64">IF(C136=1,"Кульков С.А.", IF(C136=2,"Чудаков А.А.",IF(C136=3,"Королев В.Н.",IF(C136=4,"Николашин М.П.",IF(C136=5," Кульков С.А.",IF(C136=6,"А.А. Чудаков",IF(C136=7,"В.Н. Королев",IF(C136=8,"М.П. Николашин",0))))))))</f>
        <v>0</v>
      </c>
      <c r="I136" s="55"/>
      <c r="J136" s="333"/>
      <c r="K136" s="30">
        <f>IFERROR(VLOOKUP($G136,[1]нормы!$A$21:$BC$151,15,0),"")</f>
        <v>0</v>
      </c>
      <c r="L136" s="31">
        <f>IFERROR(VLOOKUP($G136,[1]нормы!$A$21:$BC$151,17,0),"")</f>
        <v>0</v>
      </c>
      <c r="M136" s="306">
        <f>IFERROR(VLOOKUP($G136,[1]нормы!$A$21:$BC$151,27,0),"")</f>
        <v>0</v>
      </c>
      <c r="N136" s="307" t="str">
        <f>IFERROR(Y136/Y141*(1.1*J135*I140),"")</f>
        <v/>
      </c>
      <c r="O136" s="300">
        <f>IFERROR(VLOOKUP($G136,[1]нормы!$A$21:$BC$151,21,0),"")</f>
        <v>0</v>
      </c>
      <c r="P136" s="35">
        <f>IFERROR(VLOOKUP($G136,[1]нормы!$A$21:$BC$151,19,0),"")</f>
        <v>0</v>
      </c>
      <c r="Q136" s="35">
        <f>IFERROR(VLOOKUP($G136,[1]нормы!$A$21:$BC$151,23,0),"")</f>
        <v>0</v>
      </c>
      <c r="R136" s="231">
        <f>IFERROR(VLOOKUP($G136,[1]нормы!$A$21:$BC$151,29,0),"")</f>
        <v>0</v>
      </c>
      <c r="S136" s="35">
        <f>IFERROR(VLOOKUP($G136,[1]нормы!$A$21:$BC$151,31,0),"")</f>
        <v>0</v>
      </c>
      <c r="T136" s="32">
        <f>IFERROR(VLOOKUP($G136,[1]нормы!$A$21:$BC$151,25,0),"")</f>
        <v>0</v>
      </c>
      <c r="U136" s="233" t="str">
        <f>IFERROR(W136/(((100*Y136/Y141)*I140)/100),"")</f>
        <v/>
      </c>
      <c r="V136" s="234" t="str">
        <f>IFERROR(VLOOKUP($G136,нормы!$A$14:$BC$57,38,0),"")</f>
        <v/>
      </c>
      <c r="W136" s="136"/>
      <c r="X136" s="237"/>
      <c r="Y136" s="152" t="str">
        <f>IFERROR(VLOOKUP($G136,нормы!$A$14:$BC$57,42,0)*W136,"")</f>
        <v/>
      </c>
      <c r="Z136" s="163">
        <f>IFERROR(VLOOKUP($G136,нормы!$A$14:$BC$57,14,0)*W136/1000,0)</f>
        <v>0</v>
      </c>
      <c r="AA136" s="142"/>
      <c r="AB136" s="35"/>
      <c r="AC136" s="35"/>
      <c r="AD136" s="35"/>
      <c r="AE136" s="31"/>
      <c r="AF136" s="160"/>
      <c r="AG136" s="391"/>
      <c r="AH136" s="394"/>
      <c r="AI136" s="397"/>
      <c r="AJ136" s="408"/>
      <c r="AK136" s="360"/>
      <c r="AL136" s="360"/>
      <c r="AM136" s="360"/>
      <c r="AN136" s="289">
        <f>IFERROR(Y136*AJ135/Y141,)</f>
        <v>0</v>
      </c>
      <c r="AO136" s="197" t="str">
        <f>IFERROR(VLOOKUP($G136,нормы!$A$14:$BC$57,53,0)*$W136,"")</f>
        <v/>
      </c>
      <c r="AP136" s="290">
        <f>IFERROR(Y136*AI135/Y141,)</f>
        <v>0</v>
      </c>
      <c r="AQ136" s="197" t="str">
        <f>IFERROR(VLOOKUP($G136,нормы!$A$14:$BC$57,54,0)*$W136,"")</f>
        <v/>
      </c>
      <c r="AR136" s="290">
        <f>IFERROR(AS136/SUM(AS135:AS140)*AL135,0)</f>
        <v>0</v>
      </c>
      <c r="AS136" s="197" t="str">
        <f>IFERROR(VLOOKUP($G136,нормы!$A$14:$BC$57,55,0)*W136,"")</f>
        <v/>
      </c>
      <c r="AT136" s="290">
        <f>IFERROR(AU136/SUM(AU135:AU140)*AM135,0)</f>
        <v>0</v>
      </c>
      <c r="AU136" s="197" t="str">
        <f>IFERROR(VLOOKUP($G136,нормы!$A$14:$BI$57,56,0)*W136,"")</f>
        <v/>
      </c>
      <c r="AV136" s="290">
        <f>IFERROR(AW136/SUM(AW135:AW140)*AK135,0)</f>
        <v>0</v>
      </c>
      <c r="AW136" s="202" t="str">
        <f>IFERROR(VLOOKUP($G136,нормы!$A$14:$BI$57,57,0)*W136,"")</f>
        <v/>
      </c>
      <c r="AX136" s="30"/>
      <c r="AY136" s="203" t="str">
        <f>IFERROR(VLOOKUP($G136,нормы!$A$14:$BI$57,58,0)*W136,"")</f>
        <v/>
      </c>
      <c r="AZ136" s="205"/>
      <c r="BA136" s="200" t="str">
        <f>IFERROR(VLOOKUP($G136,нормы!$A$14:$BI$57,61,0)*$W136,"")</f>
        <v/>
      </c>
      <c r="BB136" s="30"/>
      <c r="BC136" s="203" t="str">
        <f>IFERROR(VLOOKUP($G136,нормы!$A$14:$BI$57,60,0)*W136,"")</f>
        <v/>
      </c>
      <c r="BD136" s="200" t="str">
        <f>IFERROR(VLOOKUP($G136,нормы!$A$14:$BG$57,44,0),"")</f>
        <v/>
      </c>
      <c r="BE136" s="199" t="str">
        <f>IFERROR(W136/VLOOKUP($G136,нормы!$A$14:$BI$57,45,0),"")</f>
        <v/>
      </c>
    </row>
    <row r="137" spans="1:57" s="1" customFormat="1" ht="20.25" customHeight="1" x14ac:dyDescent="0.4">
      <c r="A137" s="37" t="str">
        <f t="shared" si="62"/>
        <v>3Д</v>
      </c>
      <c r="B137" s="12">
        <f t="shared" si="63"/>
        <v>46025</v>
      </c>
      <c r="C137" s="97">
        <f t="shared" si="63"/>
        <v>0</v>
      </c>
      <c r="D137" s="97">
        <f t="shared" si="63"/>
        <v>1</v>
      </c>
      <c r="E137" s="54"/>
      <c r="F137" s="151" t="str">
        <f>IFERROR(VLOOKUP($G137,нормы!$A$14:$BC$57,2,0),"")</f>
        <v/>
      </c>
      <c r="G137" s="38"/>
      <c r="H137" s="54">
        <f t="shared" si="64"/>
        <v>0</v>
      </c>
      <c r="I137" s="89" t="s">
        <v>85</v>
      </c>
      <c r="J137" s="333"/>
      <c r="K137" s="30">
        <f>IFERROR(VLOOKUP($G137,[1]нормы!$A$21:$BC$151,15,0),"")</f>
        <v>0</v>
      </c>
      <c r="L137" s="31">
        <f>IFERROR(VLOOKUP($G137,[1]нормы!$A$21:$BC$151,17,0),"")</f>
        <v>0</v>
      </c>
      <c r="M137" s="306">
        <f>IFERROR(VLOOKUP($G137,[1]нормы!$A$21:$BC$151,27,0),"")</f>
        <v>0</v>
      </c>
      <c r="N137" s="307" t="str">
        <f>IFERROR(Y137/Y141*(1.1*J135*I140),"")</f>
        <v/>
      </c>
      <c r="O137" s="300">
        <f>IFERROR(VLOOKUP($G137,[1]нормы!$A$21:$BC$151,21,0),"")</f>
        <v>0</v>
      </c>
      <c r="P137" s="35">
        <f>IFERROR(VLOOKUP($G137,[1]нормы!$A$21:$BC$151,19,0),"")</f>
        <v>0</v>
      </c>
      <c r="Q137" s="35">
        <f>IFERROR(VLOOKUP($G137,[1]нормы!$A$21:$BC$151,23,0),"")</f>
        <v>0</v>
      </c>
      <c r="R137" s="231">
        <f>IFERROR(VLOOKUP($G137,[1]нормы!$A$21:$BC$151,29,0),"")</f>
        <v>0</v>
      </c>
      <c r="S137" s="35">
        <f>IFERROR(VLOOKUP($G137,[1]нормы!$A$21:$BC$151,31,0),"")</f>
        <v>0</v>
      </c>
      <c r="T137" s="32">
        <f>IFERROR(VLOOKUP($G137,[1]нормы!$A$21:$BC$151,25,0),"")</f>
        <v>0</v>
      </c>
      <c r="U137" s="233" t="str">
        <f>IFERROR(W137/(((100*Y137/Y141)*I140)/100),"")</f>
        <v/>
      </c>
      <c r="V137" s="234" t="str">
        <f>IFERROR(VLOOKUP($G137,нормы!$A$14:$BC$57,38,0),"")</f>
        <v/>
      </c>
      <c r="W137" s="136"/>
      <c r="X137" s="237"/>
      <c r="Y137" s="152" t="str">
        <f>IFERROR(VLOOKUP($G137,нормы!$A$14:$BC$57,42,0)*W137,"")</f>
        <v/>
      </c>
      <c r="Z137" s="163">
        <f>IFERROR(VLOOKUP($G137,нормы!$A$14:$BC$57,14,0)*W137/1000,0)</f>
        <v>0</v>
      </c>
      <c r="AA137" s="30"/>
      <c r="AB137" s="35"/>
      <c r="AC137" s="35"/>
      <c r="AD137" s="35"/>
      <c r="AE137" s="31"/>
      <c r="AF137" s="160"/>
      <c r="AG137" s="391"/>
      <c r="AH137" s="394"/>
      <c r="AI137" s="397"/>
      <c r="AJ137" s="408"/>
      <c r="AK137" s="360"/>
      <c r="AL137" s="360"/>
      <c r="AM137" s="360"/>
      <c r="AN137" s="289">
        <f>IFERROR(Y137*AJ135/Y141,)</f>
        <v>0</v>
      </c>
      <c r="AO137" s="197" t="str">
        <f>IFERROR(VLOOKUP($G137,нормы!$A$14:$BC$57,53,0)*$W137,"")</f>
        <v/>
      </c>
      <c r="AP137" s="290">
        <f>IFERROR(Y137*AI135/Y141,)</f>
        <v>0</v>
      </c>
      <c r="AQ137" s="197" t="str">
        <f>IFERROR(VLOOKUP($G137,нормы!$A$14:$BC$57,54,0)*$W137,"")</f>
        <v/>
      </c>
      <c r="AR137" s="290">
        <f>IFERROR(AS137/SUM(AS135:AS140)*AL135,0)</f>
        <v>0</v>
      </c>
      <c r="AS137" s="197" t="str">
        <f>IFERROR(VLOOKUP($G137,нормы!$A$14:$BC$57,55,0)*W137,"")</f>
        <v/>
      </c>
      <c r="AT137" s="290">
        <f>IFERROR(AU137/SUM(AU135:AU140)*AM135,0)</f>
        <v>0</v>
      </c>
      <c r="AU137" s="197" t="str">
        <f>IFERROR(VLOOKUP($G137,нормы!$A$14:$BI$57,56,0)*W137,"")</f>
        <v/>
      </c>
      <c r="AV137" s="290">
        <f>IFERROR(AW137/SUM(AW135:AW140)*AK135,0)</f>
        <v>0</v>
      </c>
      <c r="AW137" s="202" t="str">
        <f>IFERROR(VLOOKUP($G137,нормы!$A$14:$BI$57,57,0)*W137,"")</f>
        <v/>
      </c>
      <c r="AX137" s="30"/>
      <c r="AY137" s="203" t="str">
        <f>IFERROR(VLOOKUP($G137,нормы!$A$14:$BI$57,58,0)*W137,"")</f>
        <v/>
      </c>
      <c r="AZ137" s="205"/>
      <c r="BA137" s="200" t="str">
        <f>IFERROR(VLOOKUP($G137,нормы!$A$14:$BI$57,61,0)*$W137,"")</f>
        <v/>
      </c>
      <c r="BB137" s="30"/>
      <c r="BC137" s="203" t="str">
        <f>IFERROR(VLOOKUP($G137,нормы!$A$14:$BI$57,60,0)*W137,"")</f>
        <v/>
      </c>
      <c r="BD137" s="200" t="str">
        <f>IFERROR(VLOOKUP($G137,нормы!$A$14:$BG$57,44,0),"")</f>
        <v/>
      </c>
      <c r="BE137" s="199" t="str">
        <f>IFERROR(W137/VLOOKUP($G137,нормы!$A$14:$BI$57,45,0),"")</f>
        <v/>
      </c>
    </row>
    <row r="138" spans="1:57" s="1" customFormat="1" ht="20.25" customHeight="1" x14ac:dyDescent="0.4">
      <c r="A138" s="37" t="str">
        <f t="shared" si="62"/>
        <v>3Д</v>
      </c>
      <c r="B138" s="12">
        <f t="shared" si="63"/>
        <v>46025</v>
      </c>
      <c r="C138" s="97">
        <f t="shared" si="63"/>
        <v>0</v>
      </c>
      <c r="D138" s="97">
        <f t="shared" si="63"/>
        <v>1</v>
      </c>
      <c r="E138" s="54"/>
      <c r="F138" s="151" t="str">
        <f>IFERROR(VLOOKUP($G138,нормы!$A$14:$BC$57,2,0),"")</f>
        <v/>
      </c>
      <c r="G138" s="93"/>
      <c r="H138" s="54">
        <f t="shared" si="64"/>
        <v>0</v>
      </c>
      <c r="I138" s="55"/>
      <c r="J138" s="333"/>
      <c r="K138" s="30">
        <f>IFERROR(VLOOKUP($G138,[1]нормы!$A$21:$BC$151,15,0),"")</f>
        <v>0</v>
      </c>
      <c r="L138" s="31">
        <f>IFERROR(VLOOKUP($G138,[1]нормы!$A$21:$BC$151,17,0),"")</f>
        <v>0</v>
      </c>
      <c r="M138" s="306">
        <f>IFERROR(VLOOKUP($G138,[1]нормы!$A$21:$BC$151,27,0),"")</f>
        <v>0</v>
      </c>
      <c r="N138" s="307" t="str">
        <f>IFERROR(Y138/Y141*(1.1*J135*I143),"")</f>
        <v/>
      </c>
      <c r="O138" s="300">
        <f>IFERROR(VLOOKUP($G138,[1]нормы!$A$21:$BC$151,21,0),"")</f>
        <v>0</v>
      </c>
      <c r="P138" s="35">
        <f>IFERROR(VLOOKUP($G138,[1]нормы!$A$21:$BC$151,19,0),"")</f>
        <v>0</v>
      </c>
      <c r="Q138" s="35">
        <f>IFERROR(VLOOKUP($G138,[1]нормы!$A$21:$BC$151,23,0),"")</f>
        <v>0</v>
      </c>
      <c r="R138" s="231">
        <f>IFERROR(VLOOKUP($G138,[1]нормы!$A$21:$BC$151,29,0),"")</f>
        <v>0</v>
      </c>
      <c r="S138" s="35">
        <f>IFERROR(VLOOKUP($G138,[1]нормы!$A$21:$BC$151,31,0),"")</f>
        <v>0</v>
      </c>
      <c r="T138" s="32">
        <f>IFERROR(VLOOKUP($G138,[1]нормы!$A$21:$BC$151,25,0),"")</f>
        <v>0</v>
      </c>
      <c r="U138" s="233" t="str">
        <f>IFERROR(W138/(((100*Y138/Y141)*I140)/100),"")</f>
        <v/>
      </c>
      <c r="V138" s="234" t="str">
        <f>IFERROR(VLOOKUP($G138,нормы!$A$14:$BC$57,38,0),"")</f>
        <v/>
      </c>
      <c r="W138" s="136"/>
      <c r="X138" s="237"/>
      <c r="Y138" s="152" t="str">
        <f>IFERROR(VLOOKUP($G138,нормы!$A$14:$BC$57,42,0)*W138,"")</f>
        <v/>
      </c>
      <c r="Z138" s="163">
        <f>IFERROR(VLOOKUP($G138,нормы!$A$14:$BC$57,14,0)*W138/1000,0)</f>
        <v>0</v>
      </c>
      <c r="AA138" s="30"/>
      <c r="AB138" s="35"/>
      <c r="AC138" s="35"/>
      <c r="AD138" s="35"/>
      <c r="AE138" s="31"/>
      <c r="AF138" s="160"/>
      <c r="AG138" s="391"/>
      <c r="AH138" s="394"/>
      <c r="AI138" s="397"/>
      <c r="AJ138" s="408"/>
      <c r="AK138" s="360"/>
      <c r="AL138" s="360"/>
      <c r="AM138" s="360"/>
      <c r="AN138" s="289">
        <f>IFERROR(Y138*AJ135/Y141,)</f>
        <v>0</v>
      </c>
      <c r="AO138" s="197" t="str">
        <f>IFERROR(VLOOKUP($G138,нормы!$A$14:$BC$57,53,0)*$W138,"")</f>
        <v/>
      </c>
      <c r="AP138" s="290">
        <f>IFERROR(Y138*AI135/Y141,)</f>
        <v>0</v>
      </c>
      <c r="AQ138" s="197" t="str">
        <f>IFERROR(VLOOKUP($G138,нормы!$A$14:$BC$57,54,0)*$W138,"")</f>
        <v/>
      </c>
      <c r="AR138" s="290">
        <f>IFERROR(AS138/SUM(AS135:AS140)*AL135,0)</f>
        <v>0</v>
      </c>
      <c r="AS138" s="197" t="str">
        <f>IFERROR(VLOOKUP($G138,нормы!$A$14:$BC$57,55,0)*W138,"")</f>
        <v/>
      </c>
      <c r="AT138" s="290">
        <f>IFERROR(AU138/SUM(AU135:AU140)*AM135,0)</f>
        <v>0</v>
      </c>
      <c r="AU138" s="197" t="str">
        <f>IFERROR(VLOOKUP($G138,нормы!$A$14:$BI$57,56,0)*W138,"")</f>
        <v/>
      </c>
      <c r="AV138" s="290">
        <f>IFERROR(AW138/SUM(AW135:AW140)*AK135,0)</f>
        <v>0</v>
      </c>
      <c r="AW138" s="202" t="str">
        <f>IFERROR(VLOOKUP($G138,нормы!$A$14:$BI$57,57,0)*W138,"")</f>
        <v/>
      </c>
      <c r="AX138" s="30"/>
      <c r="AY138" s="203" t="str">
        <f>IFERROR(VLOOKUP($G138,нормы!$A$14:$BI$57,58,0)*W138,"")</f>
        <v/>
      </c>
      <c r="AZ138" s="205"/>
      <c r="BA138" s="200" t="str">
        <f>IFERROR(VLOOKUP($G138,нормы!$A$14:$BI$57,61,0)*$W138,"")</f>
        <v/>
      </c>
      <c r="BB138" s="30"/>
      <c r="BC138" s="203" t="str">
        <f>IFERROR(VLOOKUP($G138,нормы!$A$14:$BI$57,60,0)*W138,"")</f>
        <v/>
      </c>
      <c r="BD138" s="200" t="str">
        <f>IFERROR(VLOOKUP($G138,нормы!$A$14:$BG$57,44,0),"")</f>
        <v/>
      </c>
      <c r="BE138" s="199" t="str">
        <f>IFERROR(W138/VLOOKUP($G138,нормы!$A$14:$BI$57,45,0),"")</f>
        <v/>
      </c>
    </row>
    <row r="139" spans="1:57" s="1" customFormat="1" ht="20.25" customHeight="1" x14ac:dyDescent="0.4">
      <c r="A139" s="37" t="str">
        <f t="shared" si="62"/>
        <v>3Д</v>
      </c>
      <c r="B139" s="12">
        <f t="shared" si="63"/>
        <v>46025</v>
      </c>
      <c r="C139" s="97">
        <f t="shared" si="63"/>
        <v>0</v>
      </c>
      <c r="D139" s="97">
        <f t="shared" si="63"/>
        <v>1</v>
      </c>
      <c r="E139" s="54"/>
      <c r="F139" s="151" t="str">
        <f>IFERROR(VLOOKUP($G139,нормы!$A$14:$BC$57,2,0),"")</f>
        <v/>
      </c>
      <c r="G139" s="38"/>
      <c r="H139" s="54">
        <f t="shared" si="64"/>
        <v>0</v>
      </c>
      <c r="I139" s="89" t="s">
        <v>73</v>
      </c>
      <c r="J139" s="333"/>
      <c r="K139" s="30">
        <f>IFERROR(VLOOKUP($G139,[1]нормы!$A$21:$BC$151,15,0),"")</f>
        <v>0</v>
      </c>
      <c r="L139" s="31">
        <f>IFERROR(VLOOKUP($G139,[1]нормы!$A$21:$BC$151,17,0),"")</f>
        <v>0</v>
      </c>
      <c r="M139" s="306">
        <f>IFERROR(VLOOKUP($G139,[1]нормы!$A$21:$BC$151,27,0),"")</f>
        <v>0</v>
      </c>
      <c r="N139" s="307" t="str">
        <f>IFERROR(Y139/Y141*(1.1*J135*I144),"")</f>
        <v/>
      </c>
      <c r="O139" s="300">
        <f>IFERROR(VLOOKUP($G139,[1]нормы!$A$21:$BC$151,21,0),"")</f>
        <v>0</v>
      </c>
      <c r="P139" s="35">
        <f>IFERROR(VLOOKUP($G139,[1]нормы!$A$21:$BC$151,19,0),"")</f>
        <v>0</v>
      </c>
      <c r="Q139" s="35">
        <f>IFERROR(VLOOKUP($G139,[1]нормы!$A$21:$BC$151,23,0),"")</f>
        <v>0</v>
      </c>
      <c r="R139" s="231">
        <f>IFERROR(VLOOKUP($G139,[1]нормы!$A$21:$BC$151,29,0),"")</f>
        <v>0</v>
      </c>
      <c r="S139" s="35">
        <f>IFERROR(VLOOKUP($G139,[1]нормы!$A$21:$BC$151,31,0),"")</f>
        <v>0</v>
      </c>
      <c r="T139" s="32">
        <f>IFERROR(VLOOKUP($G139,[1]нормы!$A$21:$BC$151,25,0),"")</f>
        <v>0</v>
      </c>
      <c r="U139" s="233" t="str">
        <f>IFERROR(W139/(((100*Y139/Y141)*I140)/100),"")</f>
        <v/>
      </c>
      <c r="V139" s="234" t="str">
        <f>IFERROR(VLOOKUP($G139,нормы!$A$14:$BC$57,38,0),"")</f>
        <v/>
      </c>
      <c r="W139" s="136"/>
      <c r="X139" s="237"/>
      <c r="Y139" s="152" t="str">
        <f>IFERROR(VLOOKUP($G139,нормы!$A$14:$BC$57,42,0)*W139,"")</f>
        <v/>
      </c>
      <c r="Z139" s="163">
        <f>IFERROR(VLOOKUP($G139,нормы!$A$14:$BC$57,14,0)*W139/1000,0)</f>
        <v>0</v>
      </c>
      <c r="AA139" s="30"/>
      <c r="AB139" s="35"/>
      <c r="AC139" s="35"/>
      <c r="AD139" s="35"/>
      <c r="AE139" s="31"/>
      <c r="AF139" s="160"/>
      <c r="AG139" s="391"/>
      <c r="AH139" s="394"/>
      <c r="AI139" s="397"/>
      <c r="AJ139" s="408"/>
      <c r="AK139" s="360"/>
      <c r="AL139" s="360"/>
      <c r="AM139" s="360"/>
      <c r="AN139" s="289">
        <f>IFERROR(Y139*AJ135/Y141,)</f>
        <v>0</v>
      </c>
      <c r="AO139" s="197" t="str">
        <f>IFERROR(VLOOKUP($G139,нормы!$A$14:$BC$57,53,0)*$W139,"")</f>
        <v/>
      </c>
      <c r="AP139" s="290">
        <f>IFERROR(Y139*AI135/Y141,)</f>
        <v>0</v>
      </c>
      <c r="AQ139" s="197" t="str">
        <f>IFERROR(VLOOKUP($G139,нормы!$A$14:$BC$57,54,0)*$W139,"")</f>
        <v/>
      </c>
      <c r="AR139" s="290">
        <f>IFERROR(AS139/SUM(AS135:AS140)*AL135,0)</f>
        <v>0</v>
      </c>
      <c r="AS139" s="197" t="str">
        <f>IFERROR(VLOOKUP($G139,нормы!$A$14:$BC$57,55,0)*W139,"")</f>
        <v/>
      </c>
      <c r="AT139" s="290">
        <f>IFERROR(AU139/SUM(AU135:AU140)*AM135,0)</f>
        <v>0</v>
      </c>
      <c r="AU139" s="197" t="str">
        <f>IFERROR(VLOOKUP($G139,нормы!$A$14:$BI$57,56,0)*W139,"")</f>
        <v/>
      </c>
      <c r="AV139" s="290">
        <f>IFERROR(AW139/SUM(AW135:AW140)*AK135,0)</f>
        <v>0</v>
      </c>
      <c r="AW139" s="202" t="str">
        <f>IFERROR(VLOOKUP($G139,нормы!$A$14:$BI$57,57,0)*W139,"")</f>
        <v/>
      </c>
      <c r="AX139" s="30"/>
      <c r="AY139" s="203" t="str">
        <f>IFERROR(VLOOKUP($G139,нормы!$A$14:$BI$57,58,0)*W139,"")</f>
        <v/>
      </c>
      <c r="AZ139" s="205"/>
      <c r="BA139" s="200" t="str">
        <f>IFERROR(VLOOKUP($G139,нормы!$A$14:$BI$57,61,0)*$W139,"")</f>
        <v/>
      </c>
      <c r="BB139" s="30"/>
      <c r="BC139" s="203" t="str">
        <f>IFERROR(VLOOKUP($G139,нормы!$A$14:$BI$57,60,0)*W139,"")</f>
        <v/>
      </c>
      <c r="BD139" s="200" t="str">
        <f>IFERROR(VLOOKUP($G139,нормы!$A$14:$BG$57,44,0),"")</f>
        <v/>
      </c>
      <c r="BE139" s="199" t="str">
        <f>IFERROR(W139/VLOOKUP($G139,нормы!$A$14:$BI$57,45,0),"")</f>
        <v/>
      </c>
    </row>
    <row r="140" spans="1:57" s="1" customFormat="1" ht="21" customHeight="1" thickBot="1" x14ac:dyDescent="0.45">
      <c r="A140" s="37" t="str">
        <f t="shared" si="62"/>
        <v>3Д</v>
      </c>
      <c r="B140" s="12">
        <f t="shared" si="63"/>
        <v>46025</v>
      </c>
      <c r="C140" s="97">
        <f t="shared" si="63"/>
        <v>0</v>
      </c>
      <c r="D140" s="97">
        <f t="shared" si="63"/>
        <v>1</v>
      </c>
      <c r="E140" s="54"/>
      <c r="F140" s="151" t="str">
        <f>IFERROR(VLOOKUP($G140,нормы!$A$14:$BC$57,2,0),"")</f>
        <v/>
      </c>
      <c r="G140" s="93"/>
      <c r="H140" s="63">
        <f t="shared" si="64"/>
        <v>0</v>
      </c>
      <c r="I140" s="153">
        <f>I136+I138</f>
        <v>0</v>
      </c>
      <c r="J140" s="334"/>
      <c r="K140" s="30">
        <f>IFERROR(VLOOKUP($G140,[1]нормы!$A$21:$BC$151,15,0),"")</f>
        <v>0</v>
      </c>
      <c r="L140" s="31">
        <f>IFERROR(VLOOKUP($G140,[1]нормы!$A$21:$BC$151,17,0),"")</f>
        <v>0</v>
      </c>
      <c r="M140" s="308">
        <f>IFERROR(VLOOKUP($G140,[1]нормы!$A$21:$BC$151,27,0),"")</f>
        <v>0</v>
      </c>
      <c r="N140" s="309" t="str">
        <f>IFERROR(Y140/Y141*(1.1*J135*I145),"")</f>
        <v/>
      </c>
      <c r="O140" s="300">
        <f>IFERROR(VLOOKUP($G140,[1]нормы!$A$21:$BC$151,21,0),"")</f>
        <v>0</v>
      </c>
      <c r="P140" s="35">
        <f>IFERROR(VLOOKUP($G140,[1]нормы!$A$21:$BC$151,19,0),"")</f>
        <v>0</v>
      </c>
      <c r="Q140" s="35">
        <f>IFERROR(VLOOKUP($G140,[1]нормы!$A$21:$BC$151,23,0),"")</f>
        <v>0</v>
      </c>
      <c r="R140" s="231">
        <f>IFERROR(VLOOKUP($G140,[1]нормы!$A$21:$BC$151,29,0),"")</f>
        <v>0</v>
      </c>
      <c r="S140" s="35">
        <f>IFERROR(VLOOKUP($G140,[1]нормы!$A$21:$BC$151,31,0),"")</f>
        <v>0</v>
      </c>
      <c r="T140" s="32">
        <f>IFERROR(VLOOKUP($G140,[1]нормы!$A$21:$BC$151,25,0),"")</f>
        <v>0</v>
      </c>
      <c r="U140" s="235" t="str">
        <f>IFERROR(W140/(((100*Y140/Y141)*I140)/100),"")</f>
        <v/>
      </c>
      <c r="V140" s="234" t="str">
        <f>IFERROR(VLOOKUP($G140,нормы!$A$14:$BC$57,38,0),"")</f>
        <v/>
      </c>
      <c r="W140" s="154"/>
      <c r="X140" s="238"/>
      <c r="Y140" s="152" t="str">
        <f>IFERROR(VLOOKUP($G140,нормы!$A$14:$BC$57,42,0)*W140,"")</f>
        <v/>
      </c>
      <c r="Z140" s="163">
        <f>IFERROR(VLOOKUP($G140,нормы!$A$14:$BC$57,14,0)*W140/1000,0)</f>
        <v>0</v>
      </c>
      <c r="AA140" s="56"/>
      <c r="AB140" s="58"/>
      <c r="AC140" s="58"/>
      <c r="AD140" s="58"/>
      <c r="AE140" s="57"/>
      <c r="AF140" s="161"/>
      <c r="AG140" s="392"/>
      <c r="AH140" s="395"/>
      <c r="AI140" s="398"/>
      <c r="AJ140" s="409"/>
      <c r="AK140" s="361"/>
      <c r="AL140" s="361"/>
      <c r="AM140" s="361"/>
      <c r="AN140" s="291">
        <f>IFERROR(Y140*AJ135/Y141,)</f>
        <v>0</v>
      </c>
      <c r="AO140" s="197" t="str">
        <f>IFERROR(VLOOKUP($G140,нормы!$A$14:$BC$57,53,0)*$W140,"")</f>
        <v/>
      </c>
      <c r="AP140" s="292">
        <f>IFERROR(Y140*AI135/Y141,)</f>
        <v>0</v>
      </c>
      <c r="AQ140" s="197" t="str">
        <f>IFERROR(VLOOKUP($G140,нормы!$A$14:$BC$57,54,0)*$W140,"")</f>
        <v/>
      </c>
      <c r="AR140" s="290">
        <f>IFERROR(AS140/SUM(AS135:AS140)*AL135,0)</f>
        <v>0</v>
      </c>
      <c r="AS140" s="197" t="str">
        <f>IFERROR(VLOOKUP($G140,нормы!$A$14:$BC$57,55,0)*W140,"")</f>
        <v/>
      </c>
      <c r="AT140" s="292">
        <f>IFERROR(AU140/SUM(AU135:AU140)*AM135,0)</f>
        <v>0</v>
      </c>
      <c r="AU140" s="197" t="str">
        <f>IFERROR(VLOOKUP($G140,нормы!$A$14:$BI$57,56,0)*W140,"")</f>
        <v/>
      </c>
      <c r="AV140" s="292">
        <f>IFERROR(AW140/SUM(AW135:AW140)*AK135,0)</f>
        <v>0</v>
      </c>
      <c r="AW140" s="202" t="str">
        <f>IFERROR(VLOOKUP($G140,нормы!$A$14:$BI$57,57,0)*W140,"")</f>
        <v/>
      </c>
      <c r="AX140" s="56"/>
      <c r="AY140" s="203" t="str">
        <f>IFERROR(VLOOKUP($G140,нормы!$A$14:$BI$57,58,0)*W140,"")</f>
        <v/>
      </c>
      <c r="AZ140" s="206"/>
      <c r="BA140" s="200" t="str">
        <f>IFERROR(VLOOKUP($G140,нормы!$A$14:$BI$57,61,0)*$W140,"")</f>
        <v/>
      </c>
      <c r="BB140" s="56"/>
      <c r="BC140" s="203" t="str">
        <f>IFERROR(VLOOKUP($G140,нормы!$A$14:$BI$57,60,0)*W140,"")</f>
        <v/>
      </c>
      <c r="BD140" s="200" t="str">
        <f>IFERROR(VLOOKUP($G140,нормы!$A$14:$BG$57,44,0),"")</f>
        <v/>
      </c>
      <c r="BE140" s="199" t="str">
        <f>IFERROR(W140/VLOOKUP($G140,нормы!$A$14:$BI$57,45,0),"")</f>
        <v/>
      </c>
    </row>
    <row r="141" spans="1:57" s="1" customFormat="1" ht="29.4" customHeight="1" thickBot="1" x14ac:dyDescent="0.45">
      <c r="A141" s="37" t="str">
        <f t="shared" si="62"/>
        <v>3Д</v>
      </c>
      <c r="B141" s="59"/>
      <c r="C141" s="51"/>
      <c r="D141" s="51"/>
      <c r="E141" s="51"/>
      <c r="F141" s="295" t="s">
        <v>148</v>
      </c>
      <c r="G141" s="51"/>
      <c r="H141" s="51"/>
      <c r="I141" s="60"/>
      <c r="J141" s="60"/>
      <c r="K141" s="319" t="s">
        <v>213</v>
      </c>
      <c r="L141" s="316"/>
      <c r="M141" s="303" t="s">
        <v>213</v>
      </c>
      <c r="N141" s="317">
        <f>SUM(N135:N140)</f>
        <v>0</v>
      </c>
      <c r="O141" s="304" t="s">
        <v>216</v>
      </c>
      <c r="P141" s="318">
        <f>N141*8.937/1000</f>
        <v>0</v>
      </c>
      <c r="Q141" s="305" t="s">
        <v>215</v>
      </c>
      <c r="R141" s="61"/>
      <c r="S141" s="61"/>
      <c r="T141" s="61"/>
      <c r="U141" s="109"/>
      <c r="V141" s="109"/>
      <c r="W141" s="94"/>
      <c r="X141" s="155"/>
      <c r="Y141" s="96">
        <f>SUM(Y135:Y140)</f>
        <v>0</v>
      </c>
      <c r="Z141" s="164">
        <f>SUM(Z135:Z140)</f>
        <v>0</v>
      </c>
      <c r="AA141" s="62"/>
      <c r="AB141" s="62"/>
      <c r="AC141" s="62"/>
      <c r="AD141" s="62"/>
      <c r="AE141" s="62"/>
      <c r="AF141" s="62"/>
      <c r="AG141" s="162" t="s">
        <v>140</v>
      </c>
      <c r="AH141" s="162" t="s">
        <v>141</v>
      </c>
      <c r="AI141" s="162" t="s">
        <v>142</v>
      </c>
      <c r="AJ141" s="91" t="s">
        <v>126</v>
      </c>
      <c r="AK141" s="198" t="s">
        <v>136</v>
      </c>
      <c r="AL141" s="198" t="s">
        <v>137</v>
      </c>
      <c r="AM141" s="198" t="s">
        <v>138</v>
      </c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53" t="str">
        <f>IFERROR(W141/VLOOKUP($G141,нормы!$A$14:$BI$15,28,0),"")</f>
        <v/>
      </c>
    </row>
    <row r="142" spans="1:57" s="1" customFormat="1" ht="21.6" customHeight="1" x14ac:dyDescent="0.4">
      <c r="A142" s="37" t="str">
        <f t="shared" si="62"/>
        <v>3Д</v>
      </c>
      <c r="B142" s="12">
        <f>B140</f>
        <v>46025</v>
      </c>
      <c r="C142" s="97"/>
      <c r="D142" s="97">
        <v>2</v>
      </c>
      <c r="E142" s="29"/>
      <c r="F142" s="151" t="str">
        <f>IFERROR(VLOOKUP($G142,нормы!$A$14:$BC$57,2,0),"")</f>
        <v/>
      </c>
      <c r="G142" s="93"/>
      <c r="H142" s="54">
        <f>IF(C142=1,"Кульков С.А.", IF(C142=2,"Чудаков А.А.",IF(C142=3,"Королев В.Н.",IF(C142=4,"Николашин М.П.",IF(C142=5," Кульков С.А.",IF(C142=6,"А.А. Чудаков",IF(C142=7,"В.Н. Королев",IF(C142=8,"М.П. Николашин",0))))))))</f>
        <v>0</v>
      </c>
      <c r="I142" s="88" t="s">
        <v>211</v>
      </c>
      <c r="J142" s="332"/>
      <c r="K142" s="30">
        <f>IFERROR(VLOOKUP($G142,[1]нормы!$A$21:$BC$151,15,0),"")</f>
        <v>0</v>
      </c>
      <c r="L142" s="31">
        <f>IFERROR(VLOOKUP($G142,[1]нормы!$A$21:$BC$151,17,0),"")</f>
        <v>0</v>
      </c>
      <c r="M142" s="310">
        <f>IFERROR(VLOOKUP($G142,[1]нормы!$A$21:$BC$151,27,0),"")</f>
        <v>0</v>
      </c>
      <c r="N142" s="311" t="str">
        <f>IFERROR(Y142/Y148*(1.1*J142*I147),"")</f>
        <v/>
      </c>
      <c r="O142" s="300">
        <f>IFERROR(VLOOKUP($G142,[1]нормы!$A$21:$BC$151,21,0),"")</f>
        <v>0</v>
      </c>
      <c r="P142" s="35">
        <f>IFERROR(VLOOKUP($G142,[1]нормы!$A$21:$BC$151,19,0),"")</f>
        <v>0</v>
      </c>
      <c r="Q142" s="35">
        <f>IFERROR(VLOOKUP($G142,[1]нормы!$A$21:$BC$151,23,0),"")</f>
        <v>0</v>
      </c>
      <c r="R142" s="231">
        <f>IFERROR(VLOOKUP($G142,[1]нормы!$A$21:$BC$151,29,0),"")</f>
        <v>0</v>
      </c>
      <c r="S142" s="35">
        <f>IFERROR(VLOOKUP($G142,[1]нормы!$A$21:$BC$151,31,0),"")</f>
        <v>0</v>
      </c>
      <c r="T142" s="32">
        <f>IFERROR(VLOOKUP($G142,[1]нормы!$A$21:$BC$151,25,0),"")</f>
        <v>0</v>
      </c>
      <c r="U142" s="232" t="str">
        <f>IFERROR(W142/(((100*Y142/Y148)*I147)/100),"")</f>
        <v/>
      </c>
      <c r="V142" s="234" t="str">
        <f>IFERROR(VLOOKUP($G142,нормы!$A$14:$BC$57,38,0),"")</f>
        <v/>
      </c>
      <c r="W142" s="136"/>
      <c r="X142" s="236"/>
      <c r="Y142" s="152" t="str">
        <f>IFERROR(VLOOKUP($G142,нормы!$A$14:$BC$57,42,0)*W142,"")</f>
        <v/>
      </c>
      <c r="Z142" s="163">
        <f>IFERROR(VLOOKUP($G142,нормы!$A$14:$BC$57,14,0)*W142/1000,0)</f>
        <v>0</v>
      </c>
      <c r="AA142" s="33"/>
      <c r="AB142" s="36"/>
      <c r="AC142" s="36"/>
      <c r="AD142" s="36"/>
      <c r="AE142" s="34"/>
      <c r="AF142" s="159"/>
      <c r="AG142" s="390"/>
      <c r="AH142" s="393"/>
      <c r="AI142" s="396"/>
      <c r="AJ142" s="407">
        <f>AG142+AH142</f>
        <v>0</v>
      </c>
      <c r="AK142" s="359"/>
      <c r="AL142" s="359"/>
      <c r="AM142" s="359"/>
      <c r="AN142" s="287">
        <f>IFERROR(Y142*AJ142/Y148,)</f>
        <v>0</v>
      </c>
      <c r="AO142" s="197" t="str">
        <f>IFERROR(VLOOKUP($G142,нормы!$A$14:$BC$57,53,0)*$W142,"")</f>
        <v/>
      </c>
      <c r="AP142" s="288">
        <f>IFERROR(Y142*AI142/Y148,)</f>
        <v>0</v>
      </c>
      <c r="AQ142" s="197" t="str">
        <f>IFERROR(VLOOKUP($G142,нормы!$A$14:$BC$57,54,0)*$W142,"")</f>
        <v/>
      </c>
      <c r="AR142" s="288">
        <f>IFERROR(AS142/SUM(AS142:AS147)*AL142,0)</f>
        <v>0</v>
      </c>
      <c r="AS142" s="197" t="str">
        <f>IFERROR(VLOOKUP($G142,нормы!$A$14:$BC$57,55,0)*W142,"")</f>
        <v/>
      </c>
      <c r="AT142" s="288">
        <f>IFERROR(AU142/SUM(AU142:AU147)*AM142,0)</f>
        <v>0</v>
      </c>
      <c r="AU142" s="197" t="str">
        <f>IFERROR(VLOOKUP($G142,нормы!$A$14:$BI$57,56,0)*W142,"")</f>
        <v/>
      </c>
      <c r="AV142" s="288">
        <f>IFERROR(AW142/SUM(AW142:AW147)*AK142,0)</f>
        <v>0</v>
      </c>
      <c r="AW142" s="202" t="str">
        <f>IFERROR(VLOOKUP($G142,нормы!$A$14:$BI$57,57,0)*W142,"")</f>
        <v/>
      </c>
      <c r="AX142" s="33"/>
      <c r="AY142" s="203" t="str">
        <f>IFERROR(VLOOKUP($G142,нормы!$A$14:$BI$57,58,0)*W142,"")</f>
        <v/>
      </c>
      <c r="AZ142" s="204"/>
      <c r="BA142" s="200" t="str">
        <f>IFERROR(VLOOKUP($G142,нормы!$A$14:$BI$57,61,0)*$W142,"")</f>
        <v/>
      </c>
      <c r="BB142" s="33"/>
      <c r="BC142" s="203" t="str">
        <f>IFERROR(VLOOKUP($G142,нормы!$A$14:$BI$57,60,0)*W142,"")</f>
        <v/>
      </c>
      <c r="BD142" s="200" t="str">
        <f>IFERROR(VLOOKUP($G142,нормы!$A$14:$BG$57,44,0),"")</f>
        <v/>
      </c>
      <c r="BE142" s="199" t="str">
        <f>IFERROR(W142/VLOOKUP($G142,нормы!$A$14:$BI$57,45,0),"")</f>
        <v/>
      </c>
    </row>
    <row r="143" spans="1:57" s="1" customFormat="1" ht="21.6" customHeight="1" x14ac:dyDescent="0.4">
      <c r="A143" s="37" t="str">
        <f t="shared" si="62"/>
        <v>3Д</v>
      </c>
      <c r="B143" s="12">
        <f t="shared" ref="B143:D147" si="65">B142</f>
        <v>46025</v>
      </c>
      <c r="C143" s="97">
        <f t="shared" si="65"/>
        <v>0</v>
      </c>
      <c r="D143" s="97">
        <f t="shared" si="65"/>
        <v>2</v>
      </c>
      <c r="E143" s="54"/>
      <c r="F143" s="151" t="str">
        <f>IFERROR(VLOOKUP($G143,нормы!$A$14:$BC$57,2,0),"")</f>
        <v/>
      </c>
      <c r="G143" s="93"/>
      <c r="H143" s="54">
        <f t="shared" ref="H143:H147" si="66">IF(C143=1,"Кульков С.А.", IF(C143=2,"Чудаков А.А.",IF(C143=3,"Королев В.Н.",IF(C143=4,"Николашин М.П.",IF(C143=5," Кульков С.А.",IF(C143=6,"А.А. Чудаков",IF(C143=7,"В.Н. Королев",IF(C143=8,"М.П. Николашин",0))))))))</f>
        <v>0</v>
      </c>
      <c r="I143" s="55"/>
      <c r="J143" s="333"/>
      <c r="K143" s="30">
        <f>IFERROR(VLOOKUP($G143,[1]нормы!$A$21:$BC$151,15,0),"")</f>
        <v>0</v>
      </c>
      <c r="L143" s="31">
        <f>IFERROR(VLOOKUP($G143,[1]нормы!$A$21:$BC$151,17,0),"")</f>
        <v>0</v>
      </c>
      <c r="M143" s="306">
        <f>IFERROR(VLOOKUP($G143,[1]нормы!$A$21:$BC$151,27,0),"")</f>
        <v>0</v>
      </c>
      <c r="N143" s="307" t="str">
        <f>IFERROR(Y143/Y148*(1.1*J142*I147),"")</f>
        <v/>
      </c>
      <c r="O143" s="300">
        <f>IFERROR(VLOOKUP($G143,[1]нормы!$A$21:$BC$151,21,0),"")</f>
        <v>0</v>
      </c>
      <c r="P143" s="35">
        <f>IFERROR(VLOOKUP($G143,[1]нормы!$A$21:$BC$151,19,0),"")</f>
        <v>0</v>
      </c>
      <c r="Q143" s="35">
        <f>IFERROR(VLOOKUP($G143,[1]нормы!$A$21:$BC$151,23,0),"")</f>
        <v>0</v>
      </c>
      <c r="R143" s="231">
        <f>IFERROR(VLOOKUP($G143,[1]нормы!$A$21:$BC$151,29,0),"")</f>
        <v>0</v>
      </c>
      <c r="S143" s="35">
        <f>IFERROR(VLOOKUP($G143,[1]нормы!$A$21:$BC$151,31,0),"")</f>
        <v>0</v>
      </c>
      <c r="T143" s="32">
        <f>IFERROR(VLOOKUP($G143,[1]нормы!$A$21:$BC$151,25,0),"")</f>
        <v>0</v>
      </c>
      <c r="U143" s="233" t="str">
        <f>IFERROR(W143/(((100*Y143/Y148)*I147)/100),"")</f>
        <v/>
      </c>
      <c r="V143" s="234" t="str">
        <f>IFERROR(VLOOKUP($G143,нормы!$A$14:$BC$57,38,0),"")</f>
        <v/>
      </c>
      <c r="W143" s="136"/>
      <c r="X143" s="237"/>
      <c r="Y143" s="152" t="str">
        <f>IFERROR(VLOOKUP($G143,нормы!$A$14:$BC$57,42,0)*W143,"")</f>
        <v/>
      </c>
      <c r="Z143" s="163">
        <f>IFERROR(VLOOKUP($G143,нормы!$A$14:$BC$57,14,0)*W143/1000,0)</f>
        <v>0</v>
      </c>
      <c r="AA143" s="142"/>
      <c r="AB143" s="35"/>
      <c r="AC143" s="35"/>
      <c r="AD143" s="35"/>
      <c r="AE143" s="31"/>
      <c r="AF143" s="160"/>
      <c r="AG143" s="391"/>
      <c r="AH143" s="394"/>
      <c r="AI143" s="397"/>
      <c r="AJ143" s="408"/>
      <c r="AK143" s="360"/>
      <c r="AL143" s="360"/>
      <c r="AM143" s="360"/>
      <c r="AN143" s="289">
        <f>IFERROR(Y143*AJ142/Y148,)</f>
        <v>0</v>
      </c>
      <c r="AO143" s="197" t="str">
        <f>IFERROR(VLOOKUP($G143,нормы!$A$14:$BC$57,53,0)*$W143,"")</f>
        <v/>
      </c>
      <c r="AP143" s="290">
        <f>IFERROR(Y143*AI142/Y148,)</f>
        <v>0</v>
      </c>
      <c r="AQ143" s="197" t="str">
        <f>IFERROR(VLOOKUP($G143,нормы!$A$14:$BC$57,54,0)*$W143,"")</f>
        <v/>
      </c>
      <c r="AR143" s="290">
        <f>IFERROR(AS143/SUM(AS142:AS147)*AL142,0)</f>
        <v>0</v>
      </c>
      <c r="AS143" s="197" t="str">
        <f>IFERROR(VLOOKUP($G143,нормы!$A$14:$BC$57,55,0)*W143,"")</f>
        <v/>
      </c>
      <c r="AT143" s="290">
        <f>IFERROR(AU143/SUM(AU142:AU147)*AM142,0)</f>
        <v>0</v>
      </c>
      <c r="AU143" s="197" t="str">
        <f>IFERROR(VLOOKUP($G143,нормы!$A$14:$BI$57,56,0)*W143,"")</f>
        <v/>
      </c>
      <c r="AV143" s="290">
        <f>IFERROR(AW143/SUM(AW142:AW147)*AK142,0)</f>
        <v>0</v>
      </c>
      <c r="AW143" s="202" t="str">
        <f>IFERROR(VLOOKUP($G143,нормы!$A$14:$BI$57,57,0)*W143,"")</f>
        <v/>
      </c>
      <c r="AX143" s="30"/>
      <c r="AY143" s="203" t="str">
        <f>IFERROR(VLOOKUP($G143,нормы!$A$14:$BI$57,58,0)*W143,"")</f>
        <v/>
      </c>
      <c r="AZ143" s="205"/>
      <c r="BA143" s="200" t="str">
        <f>IFERROR(VLOOKUP($G143,нормы!$A$14:$BI$57,61,0)*$W143,"")</f>
        <v/>
      </c>
      <c r="BB143" s="30"/>
      <c r="BC143" s="203" t="str">
        <f>IFERROR(VLOOKUP($G143,нормы!$A$14:$BI$57,60,0)*W143,"")</f>
        <v/>
      </c>
      <c r="BD143" s="200" t="str">
        <f>IFERROR(VLOOKUP($G143,нормы!$A$14:$BG$57,44,0),"")</f>
        <v/>
      </c>
      <c r="BE143" s="199" t="str">
        <f>IFERROR(W143/VLOOKUP($G143,нормы!$A$14:$BI$57,45,0),"")</f>
        <v/>
      </c>
    </row>
    <row r="144" spans="1:57" s="1" customFormat="1" ht="20.25" customHeight="1" x14ac:dyDescent="0.4">
      <c r="A144" s="37" t="str">
        <f t="shared" si="62"/>
        <v>3Д</v>
      </c>
      <c r="B144" s="12">
        <f t="shared" si="65"/>
        <v>46025</v>
      </c>
      <c r="C144" s="97">
        <f t="shared" si="65"/>
        <v>0</v>
      </c>
      <c r="D144" s="97">
        <f t="shared" si="65"/>
        <v>2</v>
      </c>
      <c r="E144" s="54"/>
      <c r="F144" s="151" t="str">
        <f>IFERROR(VLOOKUP($G144,нормы!$A$14:$BC$57,2,0),"")</f>
        <v/>
      </c>
      <c r="G144" s="38"/>
      <c r="H144" s="54">
        <f t="shared" si="66"/>
        <v>0</v>
      </c>
      <c r="I144" s="89" t="s">
        <v>212</v>
      </c>
      <c r="J144" s="333"/>
      <c r="K144" s="30">
        <f>IFERROR(VLOOKUP($G144,[1]нормы!$A$21:$BC$151,15,0),"")</f>
        <v>0</v>
      </c>
      <c r="L144" s="31">
        <f>IFERROR(VLOOKUP($G144,[1]нормы!$A$21:$BC$151,17,0),"")</f>
        <v>0</v>
      </c>
      <c r="M144" s="306">
        <f>IFERROR(VLOOKUP($G144,[1]нормы!$A$21:$BC$151,27,0),"")</f>
        <v>0</v>
      </c>
      <c r="N144" s="307" t="str">
        <f>IFERROR(Y144/Y148*(1.1*J142*I147),"")</f>
        <v/>
      </c>
      <c r="O144" s="300">
        <f>IFERROR(VLOOKUP($G144,[1]нормы!$A$21:$BC$151,21,0),"")</f>
        <v>0</v>
      </c>
      <c r="P144" s="35">
        <f>IFERROR(VLOOKUP($G144,[1]нормы!$A$21:$BC$151,19,0),"")</f>
        <v>0</v>
      </c>
      <c r="Q144" s="35">
        <f>IFERROR(VLOOKUP($G144,[1]нормы!$A$21:$BC$151,23,0),"")</f>
        <v>0</v>
      </c>
      <c r="R144" s="231">
        <f>IFERROR(VLOOKUP($G144,[1]нормы!$A$21:$BC$151,29,0),"")</f>
        <v>0</v>
      </c>
      <c r="S144" s="35">
        <f>IFERROR(VLOOKUP($G144,[1]нормы!$A$21:$BC$151,31,0),"")</f>
        <v>0</v>
      </c>
      <c r="T144" s="32">
        <f>IFERROR(VLOOKUP($G144,[1]нормы!$A$21:$BC$151,25,0),"")</f>
        <v>0</v>
      </c>
      <c r="U144" s="233" t="str">
        <f>IFERROR(W144/(((100*Y144/Y148)*I147)/100),"")</f>
        <v/>
      </c>
      <c r="V144" s="234" t="str">
        <f>IFERROR(VLOOKUP($G144,нормы!$A$14:$BC$57,38,0),"")</f>
        <v/>
      </c>
      <c r="W144" s="136"/>
      <c r="X144" s="237"/>
      <c r="Y144" s="152" t="str">
        <f>IFERROR(VLOOKUP($G144,нормы!$A$14:$BC$57,42,0)*W144,"")</f>
        <v/>
      </c>
      <c r="Z144" s="163">
        <f>IFERROR(VLOOKUP($G144,нормы!$A$14:$BC$57,14,0)*W144/1000,0)</f>
        <v>0</v>
      </c>
      <c r="AA144" s="30"/>
      <c r="AB144" s="35"/>
      <c r="AC144" s="35"/>
      <c r="AD144" s="35"/>
      <c r="AE144" s="31"/>
      <c r="AF144" s="160"/>
      <c r="AG144" s="391"/>
      <c r="AH144" s="394"/>
      <c r="AI144" s="397"/>
      <c r="AJ144" s="408"/>
      <c r="AK144" s="360"/>
      <c r="AL144" s="360"/>
      <c r="AM144" s="360"/>
      <c r="AN144" s="289">
        <f>IFERROR(Y144*AJ142/Y148,)</f>
        <v>0</v>
      </c>
      <c r="AO144" s="197" t="str">
        <f>IFERROR(VLOOKUP($G144,нормы!$A$14:$BC$57,53,0)*$W144,"")</f>
        <v/>
      </c>
      <c r="AP144" s="290">
        <f>IFERROR(Y144*AI142/Y148,)</f>
        <v>0</v>
      </c>
      <c r="AQ144" s="197" t="str">
        <f>IFERROR(VLOOKUP($G144,нормы!$A$14:$BC$57,54,0)*$W144,"")</f>
        <v/>
      </c>
      <c r="AR144" s="290">
        <f>IFERROR(AS144/SUM(AS142:AS147)*AL142,0)</f>
        <v>0</v>
      </c>
      <c r="AS144" s="197" t="str">
        <f>IFERROR(VLOOKUP($G144,нормы!$A$14:$BC$57,55,0)*W144,"")</f>
        <v/>
      </c>
      <c r="AT144" s="290">
        <f>IFERROR(AU144/SUM(AU142:AU147)*AM142,0)</f>
        <v>0</v>
      </c>
      <c r="AU144" s="197" t="str">
        <f>IFERROR(VLOOKUP($G144,нормы!$A$14:$BI$57,56,0)*W144,"")</f>
        <v/>
      </c>
      <c r="AV144" s="290">
        <f>IFERROR(AW144/SUM(AW142:AW147)*AK142,0)</f>
        <v>0</v>
      </c>
      <c r="AW144" s="202" t="str">
        <f>IFERROR(VLOOKUP($G144,нормы!$A$14:$BI$57,57,0)*W144,"")</f>
        <v/>
      </c>
      <c r="AX144" s="30"/>
      <c r="AY144" s="203" t="str">
        <f>IFERROR(VLOOKUP($G144,нормы!$A$14:$BI$57,58,0)*W144,"")</f>
        <v/>
      </c>
      <c r="AZ144" s="205"/>
      <c r="BA144" s="200" t="str">
        <f>IFERROR(VLOOKUP($G144,нормы!$A$14:$BI$57,61,0)*$W144,"")</f>
        <v/>
      </c>
      <c r="BB144" s="30"/>
      <c r="BC144" s="203" t="str">
        <f>IFERROR(VLOOKUP($G144,нормы!$A$14:$BI$57,60,0)*W144,"")</f>
        <v/>
      </c>
      <c r="BD144" s="200" t="str">
        <f>IFERROR(VLOOKUP($G144,нормы!$A$14:$BG$57,44,0),"")</f>
        <v/>
      </c>
      <c r="BE144" s="199" t="str">
        <f>IFERROR(W144/VLOOKUP($G144,нормы!$A$14:$BI$57,45,0),"")</f>
        <v/>
      </c>
    </row>
    <row r="145" spans="1:57" s="1" customFormat="1" ht="20.25" customHeight="1" x14ac:dyDescent="0.4">
      <c r="A145" s="37" t="str">
        <f t="shared" si="62"/>
        <v>3Д</v>
      </c>
      <c r="B145" s="12">
        <f t="shared" si="65"/>
        <v>46025</v>
      </c>
      <c r="C145" s="97">
        <f t="shared" si="65"/>
        <v>0</v>
      </c>
      <c r="D145" s="97">
        <f t="shared" si="65"/>
        <v>2</v>
      </c>
      <c r="E145" s="54"/>
      <c r="F145" s="151" t="str">
        <f>IFERROR(VLOOKUP($G145,нормы!$A$14:$BC$57,2,0),"")</f>
        <v/>
      </c>
      <c r="G145" s="93"/>
      <c r="H145" s="54">
        <f t="shared" si="66"/>
        <v>0</v>
      </c>
      <c r="I145" s="55"/>
      <c r="J145" s="333"/>
      <c r="K145" s="30">
        <f>IFERROR(VLOOKUP($G145,[1]нормы!$A$21:$BC$151,15,0),"")</f>
        <v>0</v>
      </c>
      <c r="L145" s="31">
        <f>IFERROR(VLOOKUP($G145,[1]нормы!$A$21:$BC$151,17,0),"")</f>
        <v>0</v>
      </c>
      <c r="M145" s="306">
        <f>IFERROR(VLOOKUP($G145,[1]нормы!$A$21:$BC$151,27,0),"")</f>
        <v>0</v>
      </c>
      <c r="N145" s="307" t="str">
        <f>IFERROR(Y145/Y148*(1.1*J142*I150),"")</f>
        <v/>
      </c>
      <c r="O145" s="300">
        <f>IFERROR(VLOOKUP($G145,[1]нормы!$A$21:$BC$151,21,0),"")</f>
        <v>0</v>
      </c>
      <c r="P145" s="35">
        <f>IFERROR(VLOOKUP($G145,[1]нормы!$A$21:$BC$151,19,0),"")</f>
        <v>0</v>
      </c>
      <c r="Q145" s="35">
        <f>IFERROR(VLOOKUP($G145,[1]нормы!$A$21:$BC$151,23,0),"")</f>
        <v>0</v>
      </c>
      <c r="R145" s="231">
        <f>IFERROR(VLOOKUP($G145,[1]нормы!$A$21:$BC$151,29,0),"")</f>
        <v>0</v>
      </c>
      <c r="S145" s="35">
        <f>IFERROR(VLOOKUP($G145,[1]нормы!$A$21:$BC$151,31,0),"")</f>
        <v>0</v>
      </c>
      <c r="T145" s="32">
        <f>IFERROR(VLOOKUP($G145,[1]нормы!$A$21:$BC$151,25,0),"")</f>
        <v>0</v>
      </c>
      <c r="U145" s="233" t="str">
        <f>IFERROR(W145/(((100*Y145/Y148)*I147)/100),"")</f>
        <v/>
      </c>
      <c r="V145" s="234" t="str">
        <f>IFERROR(VLOOKUP($G145,нормы!$A$14:$BC$57,38,0),"")</f>
        <v/>
      </c>
      <c r="W145" s="136"/>
      <c r="X145" s="237"/>
      <c r="Y145" s="152" t="str">
        <f>IFERROR(VLOOKUP($G145,нормы!$A$14:$BC$57,42,0)*W145,"")</f>
        <v/>
      </c>
      <c r="Z145" s="163">
        <f>IFERROR(VLOOKUP($G145,нормы!$A$14:$BC$57,14,0)*W145/1000,0)</f>
        <v>0</v>
      </c>
      <c r="AA145" s="30"/>
      <c r="AB145" s="35"/>
      <c r="AC145" s="35"/>
      <c r="AD145" s="35"/>
      <c r="AE145" s="31"/>
      <c r="AF145" s="160"/>
      <c r="AG145" s="391"/>
      <c r="AH145" s="394"/>
      <c r="AI145" s="397"/>
      <c r="AJ145" s="408"/>
      <c r="AK145" s="360"/>
      <c r="AL145" s="360"/>
      <c r="AM145" s="360"/>
      <c r="AN145" s="289">
        <f>IFERROR(Y145*AJ142/Y148,)</f>
        <v>0</v>
      </c>
      <c r="AO145" s="197" t="str">
        <f>IFERROR(VLOOKUP($G145,нормы!$A$14:$BC$57,53,0)*$W145,"")</f>
        <v/>
      </c>
      <c r="AP145" s="290">
        <f>IFERROR(Y145*AI142/Y148,)</f>
        <v>0</v>
      </c>
      <c r="AQ145" s="197" t="str">
        <f>IFERROR(VLOOKUP($G145,нормы!$A$14:$BC$57,54,0)*$W145,"")</f>
        <v/>
      </c>
      <c r="AR145" s="290">
        <f>IFERROR(AS145/SUM(AS142:AS147)*AL142,0)</f>
        <v>0</v>
      </c>
      <c r="AS145" s="197" t="str">
        <f>IFERROR(VLOOKUP($G145,нормы!$A$14:$BC$57,55,0)*W145,"")</f>
        <v/>
      </c>
      <c r="AT145" s="290">
        <f>IFERROR(AU145/SUM(AU142:AU147)*AM142,0)</f>
        <v>0</v>
      </c>
      <c r="AU145" s="197" t="str">
        <f>IFERROR(VLOOKUP($G145,нормы!$A$14:$BI$57,56,0)*W145,"")</f>
        <v/>
      </c>
      <c r="AV145" s="290">
        <f>IFERROR(AW145/SUM(AW142:AW147)*AK142,0)</f>
        <v>0</v>
      </c>
      <c r="AW145" s="202" t="str">
        <f>IFERROR(VLOOKUP($G145,нормы!$A$14:$BI$57,57,0)*W145,"")</f>
        <v/>
      </c>
      <c r="AX145" s="30"/>
      <c r="AY145" s="203" t="str">
        <f>IFERROR(VLOOKUP($G145,нормы!$A$14:$BI$57,58,0)*W145,"")</f>
        <v/>
      </c>
      <c r="AZ145" s="205"/>
      <c r="BA145" s="200" t="str">
        <f>IFERROR(VLOOKUP($G145,нормы!$A$14:$BI$57,61,0)*$W145,"")</f>
        <v/>
      </c>
      <c r="BB145" s="30"/>
      <c r="BC145" s="203" t="str">
        <f>IFERROR(VLOOKUP($G145,нормы!$A$14:$BI$57,60,0)*W145,"")</f>
        <v/>
      </c>
      <c r="BD145" s="200" t="str">
        <f>IFERROR(VLOOKUP($G145,нормы!$A$14:$BG$57,44,0),"")</f>
        <v/>
      </c>
      <c r="BE145" s="199" t="str">
        <f>IFERROR(W145/VLOOKUP($G145,нормы!$A$14:$BI$57,45,0),"")</f>
        <v/>
      </c>
    </row>
    <row r="146" spans="1:57" s="1" customFormat="1" ht="20.25" customHeight="1" x14ac:dyDescent="0.4">
      <c r="A146" s="37" t="str">
        <f t="shared" si="62"/>
        <v>3Д</v>
      </c>
      <c r="B146" s="12">
        <f t="shared" si="65"/>
        <v>46025</v>
      </c>
      <c r="C146" s="97">
        <f t="shared" si="65"/>
        <v>0</v>
      </c>
      <c r="D146" s="97">
        <f t="shared" si="65"/>
        <v>2</v>
      </c>
      <c r="E146" s="54"/>
      <c r="F146" s="151" t="str">
        <f>IFERROR(VLOOKUP($G146,нормы!$A$14:$BC$57,2,0),"")</f>
        <v/>
      </c>
      <c r="G146" s="38"/>
      <c r="H146" s="54">
        <f t="shared" si="66"/>
        <v>0</v>
      </c>
      <c r="I146" s="89" t="s">
        <v>73</v>
      </c>
      <c r="J146" s="333"/>
      <c r="K146" s="30">
        <f>IFERROR(VLOOKUP($G146,[1]нормы!$A$21:$BC$151,15,0),"")</f>
        <v>0</v>
      </c>
      <c r="L146" s="31">
        <f>IFERROR(VLOOKUP($G146,[1]нормы!$A$21:$BC$151,17,0),"")</f>
        <v>0</v>
      </c>
      <c r="M146" s="306">
        <f>IFERROR(VLOOKUP($G146,[1]нормы!$A$21:$BC$151,27,0),"")</f>
        <v>0</v>
      </c>
      <c r="N146" s="307" t="str">
        <f>IFERROR(Y146/Y148*(1.1*J142*I151),"")</f>
        <v/>
      </c>
      <c r="O146" s="300">
        <f>IFERROR(VLOOKUP($G146,[1]нормы!$A$21:$BC$151,21,0),"")</f>
        <v>0</v>
      </c>
      <c r="P146" s="35">
        <f>IFERROR(VLOOKUP($G146,[1]нормы!$A$21:$BC$151,19,0),"")</f>
        <v>0</v>
      </c>
      <c r="Q146" s="35">
        <f>IFERROR(VLOOKUP($G146,[1]нормы!$A$21:$BC$151,23,0),"")</f>
        <v>0</v>
      </c>
      <c r="R146" s="231">
        <f>IFERROR(VLOOKUP($G146,[1]нормы!$A$21:$BC$151,29,0),"")</f>
        <v>0</v>
      </c>
      <c r="S146" s="35">
        <f>IFERROR(VLOOKUP($G146,[1]нормы!$A$21:$BC$151,31,0),"")</f>
        <v>0</v>
      </c>
      <c r="T146" s="32">
        <f>IFERROR(VLOOKUP($G146,[1]нормы!$A$21:$BC$151,25,0),"")</f>
        <v>0</v>
      </c>
      <c r="U146" s="233" t="str">
        <f>IFERROR(W146/(((100*Y146/Y148)*I147)/100),"")</f>
        <v/>
      </c>
      <c r="V146" s="234" t="str">
        <f>IFERROR(VLOOKUP($G146,нормы!$A$14:$BC$57,38,0),"")</f>
        <v/>
      </c>
      <c r="W146" s="136"/>
      <c r="X146" s="237"/>
      <c r="Y146" s="152" t="str">
        <f>IFERROR(VLOOKUP($G146,нормы!$A$14:$BC$57,42,0)*W146,"")</f>
        <v/>
      </c>
      <c r="Z146" s="163">
        <f>IFERROR(VLOOKUP($G146,нормы!$A$14:$BC$57,14,0)*W146/1000,0)</f>
        <v>0</v>
      </c>
      <c r="AA146" s="30"/>
      <c r="AB146" s="35"/>
      <c r="AC146" s="35"/>
      <c r="AD146" s="35"/>
      <c r="AE146" s="31"/>
      <c r="AF146" s="160"/>
      <c r="AG146" s="391"/>
      <c r="AH146" s="394"/>
      <c r="AI146" s="397"/>
      <c r="AJ146" s="408"/>
      <c r="AK146" s="360"/>
      <c r="AL146" s="360"/>
      <c r="AM146" s="360"/>
      <c r="AN146" s="289">
        <f>IFERROR(Y146*AJ142/Y148,)</f>
        <v>0</v>
      </c>
      <c r="AO146" s="197" t="str">
        <f>IFERROR(VLOOKUP($G146,нормы!$A$14:$BC$57,53,0)*$W146,"")</f>
        <v/>
      </c>
      <c r="AP146" s="290">
        <f>IFERROR(Y146*AI142/Y148,)</f>
        <v>0</v>
      </c>
      <c r="AQ146" s="197" t="str">
        <f>IFERROR(VLOOKUP($G146,нормы!$A$14:$BC$57,54,0)*$W146,"")</f>
        <v/>
      </c>
      <c r="AR146" s="290">
        <f>IFERROR(AS146/SUM(AS142:AS147)*AL142,0)</f>
        <v>0</v>
      </c>
      <c r="AS146" s="197" t="str">
        <f>IFERROR(VLOOKUP($G146,нормы!$A$14:$BC$57,55,0)*W146,"")</f>
        <v/>
      </c>
      <c r="AT146" s="290">
        <f>IFERROR(AU146/SUM(AU142:AU147)*AM142,0)</f>
        <v>0</v>
      </c>
      <c r="AU146" s="197" t="str">
        <f>IFERROR(VLOOKUP($G146,нормы!$A$14:$BI$57,56,0)*W146,"")</f>
        <v/>
      </c>
      <c r="AV146" s="290">
        <f>IFERROR(AW146/SUM(AW142:AW147)*AK142,0)</f>
        <v>0</v>
      </c>
      <c r="AW146" s="202" t="str">
        <f>IFERROR(VLOOKUP($G146,нормы!$A$14:$BI$57,57,0)*W146,"")</f>
        <v/>
      </c>
      <c r="AX146" s="30"/>
      <c r="AY146" s="203" t="str">
        <f>IFERROR(VLOOKUP($G146,нормы!$A$14:$BI$57,58,0)*W146,"")</f>
        <v/>
      </c>
      <c r="AZ146" s="205"/>
      <c r="BA146" s="200" t="str">
        <f>IFERROR(VLOOKUP($G146,нормы!$A$14:$BI$57,61,0)*$W146,"")</f>
        <v/>
      </c>
      <c r="BB146" s="30"/>
      <c r="BC146" s="203" t="str">
        <f>IFERROR(VLOOKUP($G146,нормы!$A$14:$BI$57,60,0)*W146,"")</f>
        <v/>
      </c>
      <c r="BD146" s="200" t="str">
        <f>IFERROR(VLOOKUP($G146,нормы!$A$14:$BG$57,44,0),"")</f>
        <v/>
      </c>
      <c r="BE146" s="199" t="str">
        <f>IFERROR(W146/VLOOKUP($G146,нормы!$A$14:$BI$57,45,0),"")</f>
        <v/>
      </c>
    </row>
    <row r="147" spans="1:57" s="1" customFormat="1" ht="21" customHeight="1" thickBot="1" x14ac:dyDescent="0.45">
      <c r="A147" s="37" t="str">
        <f t="shared" si="62"/>
        <v>3Д</v>
      </c>
      <c r="B147" s="12">
        <f t="shared" si="65"/>
        <v>46025</v>
      </c>
      <c r="C147" s="97">
        <f t="shared" si="65"/>
        <v>0</v>
      </c>
      <c r="D147" s="97">
        <f t="shared" si="65"/>
        <v>2</v>
      </c>
      <c r="E147" s="54"/>
      <c r="F147" s="151" t="str">
        <f>IFERROR(VLOOKUP($G147,нормы!$A$14:$BC$57,2,0),"")</f>
        <v/>
      </c>
      <c r="G147" s="93"/>
      <c r="H147" s="63">
        <f t="shared" si="66"/>
        <v>0</v>
      </c>
      <c r="I147" s="153">
        <f>I143+I145</f>
        <v>0</v>
      </c>
      <c r="J147" s="334"/>
      <c r="K147" s="30">
        <f>IFERROR(VLOOKUP($G147,[1]нормы!$A$21:$BC$151,15,0),"")</f>
        <v>0</v>
      </c>
      <c r="L147" s="31">
        <f>IFERROR(VLOOKUP($G147,[1]нормы!$A$21:$BC$151,17,0),"")</f>
        <v>0</v>
      </c>
      <c r="M147" s="308">
        <f>IFERROR(VLOOKUP($G147,[1]нормы!$A$21:$BC$151,27,0),"")</f>
        <v>0</v>
      </c>
      <c r="N147" s="309" t="str">
        <f>IFERROR(Y147/Y148*(1.1*J142*I152),"")</f>
        <v/>
      </c>
      <c r="O147" s="300">
        <f>IFERROR(VLOOKUP($G147,[1]нормы!$A$21:$BC$151,21,0),"")</f>
        <v>0</v>
      </c>
      <c r="P147" s="35">
        <f>IFERROR(VLOOKUP($G147,[1]нормы!$A$21:$BC$151,19,0),"")</f>
        <v>0</v>
      </c>
      <c r="Q147" s="35">
        <f>IFERROR(VLOOKUP($G147,[1]нормы!$A$21:$BC$151,23,0),"")</f>
        <v>0</v>
      </c>
      <c r="R147" s="231">
        <f>IFERROR(VLOOKUP($G147,[1]нормы!$A$21:$BC$151,29,0),"")</f>
        <v>0</v>
      </c>
      <c r="S147" s="35">
        <f>IFERROR(VLOOKUP($G147,[1]нормы!$A$21:$BC$151,31,0),"")</f>
        <v>0</v>
      </c>
      <c r="T147" s="32">
        <f>IFERROR(VLOOKUP($G147,[1]нормы!$A$21:$BC$151,25,0),"")</f>
        <v>0</v>
      </c>
      <c r="U147" s="235" t="str">
        <f>IFERROR(W147/(((100*Y147/Y148)*I147)/100),"")</f>
        <v/>
      </c>
      <c r="V147" s="234" t="str">
        <f>IFERROR(VLOOKUP($G147,нормы!$A$14:$BC$57,38,0),"")</f>
        <v/>
      </c>
      <c r="W147" s="154"/>
      <c r="X147" s="238"/>
      <c r="Y147" s="152" t="str">
        <f>IFERROR(VLOOKUP($G147,нормы!$A$14:$BC$57,42,0)*W147,"")</f>
        <v/>
      </c>
      <c r="Z147" s="163">
        <f>IFERROR(VLOOKUP($G147,нормы!$A$14:$BC$57,14,0)*W147/1000,0)</f>
        <v>0</v>
      </c>
      <c r="AA147" s="56"/>
      <c r="AB147" s="58"/>
      <c r="AC147" s="58"/>
      <c r="AD147" s="58"/>
      <c r="AE147" s="57"/>
      <c r="AF147" s="161"/>
      <c r="AG147" s="392"/>
      <c r="AH147" s="395"/>
      <c r="AI147" s="398"/>
      <c r="AJ147" s="409"/>
      <c r="AK147" s="361"/>
      <c r="AL147" s="361"/>
      <c r="AM147" s="361"/>
      <c r="AN147" s="291">
        <f>IFERROR(Y147*AJ142/Y148,)</f>
        <v>0</v>
      </c>
      <c r="AO147" s="197" t="str">
        <f>IFERROR(VLOOKUP($G147,нормы!$A$14:$BC$57,53,0)*$W147,"")</f>
        <v/>
      </c>
      <c r="AP147" s="292">
        <f>IFERROR(Y147*AI142/Y148,)</f>
        <v>0</v>
      </c>
      <c r="AQ147" s="197" t="str">
        <f>IFERROR(VLOOKUP($G147,нормы!$A$14:$BC$57,54,0)*$W147,"")</f>
        <v/>
      </c>
      <c r="AR147" s="290">
        <f>IFERROR(AS147/SUM(AS142:AS147)*AL142,0)</f>
        <v>0</v>
      </c>
      <c r="AS147" s="197" t="str">
        <f>IFERROR(VLOOKUP($G147,нормы!$A$14:$BC$57,55,0)*W147,"")</f>
        <v/>
      </c>
      <c r="AT147" s="292">
        <f>IFERROR(AU147/SUM(AU142:AU147)*AM142,0)</f>
        <v>0</v>
      </c>
      <c r="AU147" s="197" t="str">
        <f>IFERROR(VLOOKUP($G147,нормы!$A$14:$BI$57,56,0)*W147,"")</f>
        <v/>
      </c>
      <c r="AV147" s="292">
        <f>IFERROR(AW147/SUM(AW142:AW147)*AK142,0)</f>
        <v>0</v>
      </c>
      <c r="AW147" s="202" t="str">
        <f>IFERROR(VLOOKUP($G147,нормы!$A$14:$BI$57,57,0)*W147,"")</f>
        <v/>
      </c>
      <c r="AX147" s="56"/>
      <c r="AY147" s="203" t="str">
        <f>IFERROR(VLOOKUP($G147,нормы!$A$14:$BI$57,58,0)*W147,"")</f>
        <v/>
      </c>
      <c r="AZ147" s="206"/>
      <c r="BA147" s="200" t="str">
        <f>IFERROR(VLOOKUP($G147,нормы!$A$14:$BI$57,61,0)*$W147,"")</f>
        <v/>
      </c>
      <c r="BB147" s="56"/>
      <c r="BC147" s="203" t="str">
        <f>IFERROR(VLOOKUP($G147,нормы!$A$14:$BI$57,60,0)*W147,"")</f>
        <v/>
      </c>
      <c r="BD147" s="200" t="str">
        <f>IFERROR(VLOOKUP($G147,нормы!$A$14:$BG$57,44,0),"")</f>
        <v/>
      </c>
      <c r="BE147" s="199" t="str">
        <f>IFERROR(W147/VLOOKUP($G147,нормы!$A$14:$BI$57,45,0),"")</f>
        <v/>
      </c>
    </row>
    <row r="148" spans="1:57" s="1" customFormat="1" ht="29.4" customHeight="1" thickBot="1" x14ac:dyDescent="0.45">
      <c r="A148" s="37" t="str">
        <f t="shared" si="62"/>
        <v>3Д</v>
      </c>
      <c r="B148" s="59"/>
      <c r="C148" s="51"/>
      <c r="D148" s="51"/>
      <c r="E148" s="51"/>
      <c r="F148" s="51"/>
      <c r="G148" s="51"/>
      <c r="H148" s="51"/>
      <c r="I148" s="60"/>
      <c r="J148" s="60"/>
      <c r="K148" s="319" t="s">
        <v>213</v>
      </c>
      <c r="L148" s="316"/>
      <c r="M148" s="303" t="s">
        <v>213</v>
      </c>
      <c r="N148" s="317">
        <f>SUM(N142:N147)</f>
        <v>0</v>
      </c>
      <c r="O148" s="304" t="s">
        <v>217</v>
      </c>
      <c r="P148" s="318">
        <f>N148*8.937/1000</f>
        <v>0</v>
      </c>
      <c r="Q148" s="305" t="s">
        <v>215</v>
      </c>
      <c r="R148" s="61"/>
      <c r="S148" s="61"/>
      <c r="T148" s="61"/>
      <c r="U148" s="109"/>
      <c r="V148" s="109"/>
      <c r="W148" s="94"/>
      <c r="X148" s="155"/>
      <c r="Y148" s="96">
        <f>SUM(Y142:Y147)</f>
        <v>0</v>
      </c>
      <c r="Z148" s="164">
        <f>SUM(Z142:Z147)</f>
        <v>0</v>
      </c>
      <c r="AA148" s="207">
        <f>(AA134+AA135+AA136+AA137+AA138+AA139+AA140+AA142+AA143+AA144+AA145+AA146+AA147)-AG135</f>
        <v>1</v>
      </c>
      <c r="AB148" s="208">
        <f>(AB134+AB135+AB136+AB137+AB138+AB139+AB140+AB142+AB143+AB144+AB145+AB146+AB147)-AH135</f>
        <v>2</v>
      </c>
      <c r="AC148" s="208">
        <f>(AC134+AC135+AC136+AC137+AC138+AC139+AC140+AC142+AC143+AC144+AC145+AC146+AC147)-AG142</f>
        <v>3</v>
      </c>
      <c r="AD148" s="208">
        <f>(AD134+AD135+AD136+AD137+AD138+AD139+AD140+AD142+AD143+AD144+AD145+AD146+AD147)-AH142</f>
        <v>4</v>
      </c>
      <c r="AE148" s="208">
        <f>(AE134+AE135+AE136+AE137+AE138+AE139+AE140+AE142+AE143+AE144+AE145+AE146+AE147)-AI135</f>
        <v>5</v>
      </c>
      <c r="AF148" s="209">
        <f>(AF134+AF135+AF136+AF137+AF138+AF139+AF140+AF142+AF143+AF144+AF145+AF146+AF147)-AI142</f>
        <v>6</v>
      </c>
      <c r="AG148" s="62"/>
      <c r="AH148" s="62"/>
      <c r="AI148" s="62"/>
      <c r="AJ148" s="62"/>
      <c r="AK148" s="62"/>
      <c r="AL148" s="62"/>
      <c r="AM148" s="62"/>
      <c r="AN148" s="91">
        <f>SUM(AN142:AN147)</f>
        <v>0</v>
      </c>
      <c r="AO148" s="91">
        <f>SUM(AO142:AO147)</f>
        <v>0</v>
      </c>
      <c r="AP148" s="91"/>
      <c r="AQ148" s="91"/>
      <c r="AR148" s="91">
        <f>SUM(AR142:AR147)</f>
        <v>0</v>
      </c>
      <c r="AS148" s="91">
        <f t="shared" ref="AS148:AW148" si="67">SUM(AS142:AS147)</f>
        <v>0</v>
      </c>
      <c r="AT148" s="91">
        <f t="shared" si="67"/>
        <v>0</v>
      </c>
      <c r="AU148" s="91">
        <f t="shared" si="67"/>
        <v>0</v>
      </c>
      <c r="AV148" s="91">
        <f t="shared" si="67"/>
        <v>0</v>
      </c>
      <c r="AW148" s="91">
        <f t="shared" si="67"/>
        <v>0</v>
      </c>
      <c r="AX148" s="91">
        <f>SUM(AX142:AX147)</f>
        <v>0</v>
      </c>
      <c r="AY148" s="91">
        <f>SUM(AY142:AY147)</f>
        <v>0</v>
      </c>
      <c r="AZ148" s="91">
        <f>SUM(AZ142:AZ147)</f>
        <v>0</v>
      </c>
      <c r="BA148" s="91"/>
      <c r="BB148" s="91"/>
      <c r="BC148" s="91"/>
      <c r="BD148" s="91" t="str">
        <f>IFERROR(VLOOKUP($G148,нормы!$A$14:$BG$15,27,0),"")</f>
        <v/>
      </c>
      <c r="BE148" s="53" t="str">
        <f>IFERROR(W148/VLOOKUP($G148,нормы!$A$14:$BI$15,28,0),"")</f>
        <v/>
      </c>
    </row>
    <row r="149" spans="1:57" s="1" customFormat="1" ht="29.4" customHeight="1" thickBot="1" x14ac:dyDescent="0.5">
      <c r="A149" s="37" t="str">
        <f t="shared" si="62"/>
        <v>3Д</v>
      </c>
      <c r="B149" s="166" t="s">
        <v>130</v>
      </c>
      <c r="C149" s="167"/>
      <c r="D149" s="167"/>
      <c r="E149" s="167"/>
      <c r="F149" s="165"/>
      <c r="G149" s="167"/>
      <c r="H149" s="167"/>
      <c r="I149" s="168"/>
      <c r="J149" s="168"/>
      <c r="K149" s="168"/>
      <c r="L149" s="168"/>
      <c r="M149" s="168"/>
      <c r="N149" s="168"/>
      <c r="O149" s="167"/>
      <c r="P149" s="169"/>
      <c r="Q149" s="169"/>
      <c r="R149" s="169"/>
      <c r="S149" s="169"/>
      <c r="T149" s="169"/>
      <c r="U149" s="170"/>
      <c r="V149" s="170"/>
      <c r="W149" s="171"/>
      <c r="X149" s="171"/>
      <c r="Y149" s="172"/>
      <c r="Z149" s="172"/>
      <c r="AA149" s="201" t="s">
        <v>144</v>
      </c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64"/>
      <c r="AN149" s="167"/>
      <c r="AO149" s="167"/>
      <c r="AP149" s="167"/>
      <c r="AQ149" s="167"/>
      <c r="AR149" s="64"/>
      <c r="AS149" s="64"/>
      <c r="AT149" s="65"/>
      <c r="AU149" s="64"/>
      <c r="AV149" s="49"/>
      <c r="AW149" s="49"/>
      <c r="AX149" s="167"/>
      <c r="AY149" s="167"/>
      <c r="AZ149" s="167"/>
      <c r="BA149" s="167"/>
      <c r="BB149" s="167"/>
      <c r="BC149" s="167"/>
      <c r="BD149" s="66"/>
      <c r="BE149" s="66"/>
    </row>
    <row r="150" spans="1:57" s="1" customFormat="1" ht="23.25" customHeight="1" x14ac:dyDescent="0.4">
      <c r="A150" s="37" t="str">
        <f t="shared" si="62"/>
        <v>3Д</v>
      </c>
      <c r="B150" s="183"/>
      <c r="C150" s="100"/>
      <c r="D150" s="185"/>
      <c r="E150" s="186" t="s">
        <v>57</v>
      </c>
      <c r="F150" s="66" t="s">
        <v>87</v>
      </c>
      <c r="G150" s="66"/>
      <c r="H150" s="108" t="s">
        <v>131</v>
      </c>
      <c r="I150" s="101"/>
      <c r="J150" s="101"/>
      <c r="K150" s="101"/>
      <c r="L150" s="101"/>
      <c r="M150" s="101"/>
      <c r="N150" s="101"/>
      <c r="O150" s="67"/>
      <c r="P150" s="102"/>
      <c r="Q150" s="102"/>
      <c r="R150" s="102"/>
      <c r="S150" s="102"/>
      <c r="T150" s="102"/>
      <c r="U150" s="67"/>
      <c r="V150" s="67"/>
      <c r="W150" s="103"/>
      <c r="X150" s="187"/>
      <c r="Y150" s="68" t="s">
        <v>74</v>
      </c>
      <c r="Z150" s="69"/>
      <c r="AA150" s="90"/>
      <c r="AB150" s="100"/>
      <c r="AC150" s="100"/>
      <c r="AD150" s="186" t="s">
        <v>57</v>
      </c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190"/>
      <c r="AU150" s="66"/>
      <c r="AV150" s="165"/>
      <c r="AW150" s="293"/>
      <c r="AX150" s="66"/>
      <c r="AY150" s="66"/>
      <c r="AZ150" s="66"/>
      <c r="BA150" s="66"/>
      <c r="BB150" s="66"/>
      <c r="BC150" s="66"/>
      <c r="BD150" s="68" t="s">
        <v>74</v>
      </c>
      <c r="BE150" s="69"/>
    </row>
    <row r="151" spans="1:57" s="1" customFormat="1" ht="23.25" customHeight="1" thickBot="1" x14ac:dyDescent="0.45">
      <c r="A151" s="37" t="str">
        <f t="shared" si="62"/>
        <v>3Д</v>
      </c>
      <c r="B151" s="183"/>
      <c r="C151" s="41"/>
      <c r="D151" s="184"/>
      <c r="E151" s="50"/>
      <c r="F151" s="70"/>
      <c r="G151" s="70"/>
      <c r="H151" s="70"/>
      <c r="I151" s="104"/>
      <c r="J151" s="104"/>
      <c r="K151" s="104"/>
      <c r="L151" s="104"/>
      <c r="M151" s="104"/>
      <c r="N151" s="104"/>
      <c r="O151" s="71"/>
      <c r="P151" s="105"/>
      <c r="Q151" s="105"/>
      <c r="R151" s="105"/>
      <c r="S151" s="105"/>
      <c r="T151" s="105"/>
      <c r="U151" s="71"/>
      <c r="V151" s="71"/>
      <c r="W151" s="106"/>
      <c r="X151" s="188"/>
      <c r="Y151" s="72"/>
      <c r="Z151" s="73"/>
      <c r="AA151" s="90"/>
      <c r="AB151" s="41"/>
      <c r="AC151" s="41"/>
      <c r="AD151" s="50"/>
      <c r="AE151" s="47"/>
      <c r="AF151" s="47"/>
      <c r="AG151" s="47"/>
      <c r="AH151" s="47"/>
      <c r="AI151" s="47"/>
      <c r="AJ151" s="47"/>
      <c r="AK151" s="47"/>
      <c r="AL151" s="47"/>
      <c r="AM151" s="70"/>
      <c r="AN151" s="47"/>
      <c r="AO151" s="70"/>
      <c r="AP151" s="70"/>
      <c r="AQ151" s="70"/>
      <c r="AR151" s="70"/>
      <c r="AS151" s="70"/>
      <c r="AT151" s="191"/>
      <c r="AU151" s="70"/>
      <c r="AV151" s="192"/>
      <c r="AW151" s="294"/>
      <c r="AX151" s="70"/>
      <c r="AY151" s="70"/>
      <c r="AZ151" s="70"/>
      <c r="BA151" s="70"/>
      <c r="BB151" s="70"/>
      <c r="BC151" s="70"/>
      <c r="BD151" s="72"/>
      <c r="BE151" s="73"/>
    </row>
    <row r="152" spans="1:57" s="1" customFormat="1" ht="21.9" customHeight="1" x14ac:dyDescent="0.4">
      <c r="A152" s="37" t="str">
        <f t="shared" si="62"/>
        <v>3Д</v>
      </c>
      <c r="B152" s="183"/>
      <c r="C152" s="41"/>
      <c r="D152" s="184"/>
      <c r="E152" s="281">
        <f>B147</f>
        <v>46025</v>
      </c>
      <c r="F152" s="337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98">
        <v>1</v>
      </c>
      <c r="Y152" s="74">
        <v>1</v>
      </c>
      <c r="Z152" s="75">
        <f t="shared" ref="Z152:Z163" si="68">Y152-X152</f>
        <v>0</v>
      </c>
      <c r="AA152" s="189"/>
      <c r="AB152" s="41"/>
      <c r="AC152" s="184"/>
      <c r="AD152" s="210">
        <f>E152</f>
        <v>46025</v>
      </c>
      <c r="AE152" s="387"/>
      <c r="AF152" s="388"/>
      <c r="AG152" s="388"/>
      <c r="AH152" s="388"/>
      <c r="AI152" s="388"/>
      <c r="AJ152" s="388"/>
      <c r="AK152" s="388"/>
      <c r="AL152" s="388"/>
      <c r="AM152" s="388"/>
      <c r="AN152" s="388"/>
      <c r="AO152" s="388"/>
      <c r="AP152" s="388"/>
      <c r="AQ152" s="388"/>
      <c r="AR152" s="388"/>
      <c r="AS152" s="388"/>
      <c r="AT152" s="388"/>
      <c r="AU152" s="388"/>
      <c r="AV152" s="388"/>
      <c r="AW152" s="388"/>
      <c r="AX152" s="388"/>
      <c r="AY152" s="388"/>
      <c r="AZ152" s="388"/>
      <c r="BA152" s="388"/>
      <c r="BB152" s="389"/>
      <c r="BC152" s="98">
        <v>1</v>
      </c>
      <c r="BD152" s="74">
        <v>1</v>
      </c>
      <c r="BE152" s="75">
        <f t="shared" ref="BE152:BE163" si="69">BD152-BC152</f>
        <v>0</v>
      </c>
    </row>
    <row r="153" spans="1:57" s="1" customFormat="1" ht="18" customHeight="1" x14ac:dyDescent="0.4">
      <c r="A153" s="37" t="str">
        <f t="shared" si="62"/>
        <v>3Д</v>
      </c>
      <c r="B153" s="183"/>
      <c r="C153" s="41"/>
      <c r="D153" s="184"/>
      <c r="E153" s="282">
        <f>E152</f>
        <v>46025</v>
      </c>
      <c r="F153" s="335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98">
        <v>1</v>
      </c>
      <c r="Y153" s="74">
        <v>1</v>
      </c>
      <c r="Z153" s="75">
        <f t="shared" si="68"/>
        <v>0</v>
      </c>
      <c r="AA153" s="107">
        <f>AA152</f>
        <v>0</v>
      </c>
      <c r="AB153" s="41"/>
      <c r="AC153" s="184"/>
      <c r="AD153" s="212">
        <f>AD152</f>
        <v>46025</v>
      </c>
      <c r="AE153" s="387"/>
      <c r="AF153" s="388"/>
      <c r="AG153" s="388"/>
      <c r="AH153" s="388"/>
      <c r="AI153" s="388"/>
      <c r="AJ153" s="388"/>
      <c r="AK153" s="388"/>
      <c r="AL153" s="388"/>
      <c r="AM153" s="388"/>
      <c r="AN153" s="388"/>
      <c r="AO153" s="388"/>
      <c r="AP153" s="388"/>
      <c r="AQ153" s="388"/>
      <c r="AR153" s="388"/>
      <c r="AS153" s="388"/>
      <c r="AT153" s="388"/>
      <c r="AU153" s="388"/>
      <c r="AV153" s="388"/>
      <c r="AW153" s="388"/>
      <c r="AX153" s="388"/>
      <c r="AY153" s="388"/>
      <c r="AZ153" s="388"/>
      <c r="BA153" s="388"/>
      <c r="BB153" s="389"/>
      <c r="BC153" s="98">
        <v>1</v>
      </c>
      <c r="BD153" s="74">
        <v>1</v>
      </c>
      <c r="BE153" s="75">
        <f t="shared" si="69"/>
        <v>0</v>
      </c>
    </row>
    <row r="154" spans="1:57" s="1" customFormat="1" ht="18" customHeight="1" x14ac:dyDescent="0.4">
      <c r="A154" s="37" t="str">
        <f t="shared" si="62"/>
        <v>3Д</v>
      </c>
      <c r="B154" s="183"/>
      <c r="C154" s="41"/>
      <c r="D154" s="184"/>
      <c r="E154" s="282">
        <f t="shared" ref="E154:E163" si="70">E153</f>
        <v>46025</v>
      </c>
      <c r="F154" s="335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98">
        <v>1</v>
      </c>
      <c r="Y154" s="74">
        <v>1</v>
      </c>
      <c r="Z154" s="75">
        <f t="shared" si="68"/>
        <v>0</v>
      </c>
      <c r="AA154" s="107">
        <f>AA153</f>
        <v>0</v>
      </c>
      <c r="AB154" s="41"/>
      <c r="AC154" s="184"/>
      <c r="AD154" s="212">
        <f t="shared" ref="AD154:AD163" si="71">AD153</f>
        <v>46025</v>
      </c>
      <c r="AE154" s="387"/>
      <c r="AF154" s="388"/>
      <c r="AG154" s="388"/>
      <c r="AH154" s="388"/>
      <c r="AI154" s="388"/>
      <c r="AJ154" s="388"/>
      <c r="AK154" s="388"/>
      <c r="AL154" s="388"/>
      <c r="AM154" s="388"/>
      <c r="AN154" s="388"/>
      <c r="AO154" s="388"/>
      <c r="AP154" s="388"/>
      <c r="AQ154" s="388"/>
      <c r="AR154" s="388"/>
      <c r="AS154" s="388"/>
      <c r="AT154" s="388"/>
      <c r="AU154" s="388"/>
      <c r="AV154" s="388"/>
      <c r="AW154" s="388"/>
      <c r="AX154" s="388"/>
      <c r="AY154" s="388"/>
      <c r="AZ154" s="388"/>
      <c r="BA154" s="388"/>
      <c r="BB154" s="389"/>
      <c r="BC154" s="98">
        <v>1</v>
      </c>
      <c r="BD154" s="74">
        <v>1</v>
      </c>
      <c r="BE154" s="75">
        <f t="shared" si="69"/>
        <v>0</v>
      </c>
    </row>
    <row r="155" spans="1:57" s="1" customFormat="1" ht="21.9" customHeight="1" x14ac:dyDescent="0.4">
      <c r="A155" s="37" t="str">
        <f t="shared" si="62"/>
        <v>3Д</v>
      </c>
      <c r="B155" s="183"/>
      <c r="C155" s="41"/>
      <c r="D155" s="184"/>
      <c r="E155" s="282">
        <f t="shared" si="70"/>
        <v>46025</v>
      </c>
      <c r="F155" s="335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98">
        <v>1</v>
      </c>
      <c r="Y155" s="74">
        <v>1</v>
      </c>
      <c r="Z155" s="75">
        <f t="shared" si="68"/>
        <v>0</v>
      </c>
      <c r="AA155" s="107">
        <f t="shared" ref="AA155:AA163" si="72">AA154</f>
        <v>0</v>
      </c>
      <c r="AB155" s="41"/>
      <c r="AC155" s="184"/>
      <c r="AD155" s="212">
        <f t="shared" si="71"/>
        <v>46025</v>
      </c>
      <c r="AE155" s="387"/>
      <c r="AF155" s="388"/>
      <c r="AG155" s="388"/>
      <c r="AH155" s="388"/>
      <c r="AI155" s="388"/>
      <c r="AJ155" s="388"/>
      <c r="AK155" s="388"/>
      <c r="AL155" s="388"/>
      <c r="AM155" s="388"/>
      <c r="AN155" s="388"/>
      <c r="AO155" s="388"/>
      <c r="AP155" s="388"/>
      <c r="AQ155" s="388"/>
      <c r="AR155" s="388"/>
      <c r="AS155" s="388"/>
      <c r="AT155" s="388"/>
      <c r="AU155" s="388"/>
      <c r="AV155" s="388"/>
      <c r="AW155" s="388"/>
      <c r="AX155" s="388"/>
      <c r="AY155" s="388"/>
      <c r="AZ155" s="388"/>
      <c r="BA155" s="388"/>
      <c r="BB155" s="389"/>
      <c r="BC155" s="98">
        <v>1</v>
      </c>
      <c r="BD155" s="74">
        <v>1</v>
      </c>
      <c r="BE155" s="75">
        <f t="shared" si="69"/>
        <v>0</v>
      </c>
    </row>
    <row r="156" spans="1:57" s="1" customFormat="1" ht="18" customHeight="1" x14ac:dyDescent="0.4">
      <c r="A156" s="37" t="str">
        <f t="shared" si="62"/>
        <v>3Д</v>
      </c>
      <c r="B156" s="183"/>
      <c r="C156" s="41"/>
      <c r="D156" s="184"/>
      <c r="E156" s="282">
        <f t="shared" si="70"/>
        <v>46025</v>
      </c>
      <c r="F156" s="335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98">
        <v>1</v>
      </c>
      <c r="Y156" s="74">
        <v>1</v>
      </c>
      <c r="Z156" s="75">
        <f t="shared" si="68"/>
        <v>0</v>
      </c>
      <c r="AA156" s="107">
        <f t="shared" si="72"/>
        <v>0</v>
      </c>
      <c r="AB156" s="41"/>
      <c r="AC156" s="184"/>
      <c r="AD156" s="212">
        <f t="shared" si="71"/>
        <v>46025</v>
      </c>
      <c r="AE156" s="387"/>
      <c r="AF156" s="388"/>
      <c r="AG156" s="388"/>
      <c r="AH156" s="388"/>
      <c r="AI156" s="388"/>
      <c r="AJ156" s="388"/>
      <c r="AK156" s="388"/>
      <c r="AL156" s="388"/>
      <c r="AM156" s="388"/>
      <c r="AN156" s="388"/>
      <c r="AO156" s="388"/>
      <c r="AP156" s="388"/>
      <c r="AQ156" s="388"/>
      <c r="AR156" s="388"/>
      <c r="AS156" s="388"/>
      <c r="AT156" s="388"/>
      <c r="AU156" s="388"/>
      <c r="AV156" s="388"/>
      <c r="AW156" s="388"/>
      <c r="AX156" s="388"/>
      <c r="AY156" s="388"/>
      <c r="AZ156" s="388"/>
      <c r="BA156" s="388"/>
      <c r="BB156" s="389"/>
      <c r="BC156" s="98">
        <v>1</v>
      </c>
      <c r="BD156" s="74">
        <v>1</v>
      </c>
      <c r="BE156" s="75">
        <f t="shared" si="69"/>
        <v>0</v>
      </c>
    </row>
    <row r="157" spans="1:57" s="1" customFormat="1" ht="18" customHeight="1" x14ac:dyDescent="0.4">
      <c r="A157" s="37" t="str">
        <f t="shared" si="62"/>
        <v>3Д</v>
      </c>
      <c r="B157" s="183"/>
      <c r="C157" s="41"/>
      <c r="D157" s="184"/>
      <c r="E157" s="282">
        <f t="shared" si="70"/>
        <v>46025</v>
      </c>
      <c r="F157" s="335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98">
        <v>1</v>
      </c>
      <c r="Y157" s="74">
        <v>1</v>
      </c>
      <c r="Z157" s="75">
        <f t="shared" si="68"/>
        <v>0</v>
      </c>
      <c r="AA157" s="107">
        <f t="shared" si="72"/>
        <v>0</v>
      </c>
      <c r="AB157" s="41"/>
      <c r="AC157" s="184"/>
      <c r="AD157" s="212">
        <f t="shared" si="71"/>
        <v>46025</v>
      </c>
      <c r="AE157" s="387"/>
      <c r="AF157" s="388"/>
      <c r="AG157" s="388"/>
      <c r="AH157" s="388"/>
      <c r="AI157" s="388"/>
      <c r="AJ157" s="388"/>
      <c r="AK157" s="388"/>
      <c r="AL157" s="388"/>
      <c r="AM157" s="388"/>
      <c r="AN157" s="388"/>
      <c r="AO157" s="388"/>
      <c r="AP157" s="388"/>
      <c r="AQ157" s="388"/>
      <c r="AR157" s="388"/>
      <c r="AS157" s="388"/>
      <c r="AT157" s="388"/>
      <c r="AU157" s="388"/>
      <c r="AV157" s="388"/>
      <c r="AW157" s="388"/>
      <c r="AX157" s="388"/>
      <c r="AY157" s="388"/>
      <c r="AZ157" s="388"/>
      <c r="BA157" s="388"/>
      <c r="BB157" s="389"/>
      <c r="BC157" s="98">
        <v>1</v>
      </c>
      <c r="BD157" s="74">
        <v>1</v>
      </c>
      <c r="BE157" s="75">
        <f t="shared" si="69"/>
        <v>0</v>
      </c>
    </row>
    <row r="158" spans="1:57" s="1" customFormat="1" ht="18" customHeight="1" x14ac:dyDescent="0.4">
      <c r="A158" s="37" t="str">
        <f t="shared" si="62"/>
        <v>3Д</v>
      </c>
      <c r="B158" s="183"/>
      <c r="C158" s="41"/>
      <c r="D158" s="184"/>
      <c r="E158" s="282">
        <f t="shared" si="70"/>
        <v>46025</v>
      </c>
      <c r="F158" s="335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98">
        <v>1</v>
      </c>
      <c r="Y158" s="74">
        <v>1</v>
      </c>
      <c r="Z158" s="75">
        <f t="shared" si="68"/>
        <v>0</v>
      </c>
      <c r="AA158" s="107">
        <f t="shared" si="72"/>
        <v>0</v>
      </c>
      <c r="AB158" s="41"/>
      <c r="AC158" s="184"/>
      <c r="AD158" s="212">
        <f t="shared" si="71"/>
        <v>46025</v>
      </c>
      <c r="AE158" s="387"/>
      <c r="AF158" s="388"/>
      <c r="AG158" s="388"/>
      <c r="AH158" s="388"/>
      <c r="AI158" s="388"/>
      <c r="AJ158" s="388"/>
      <c r="AK158" s="388"/>
      <c r="AL158" s="388"/>
      <c r="AM158" s="388"/>
      <c r="AN158" s="388"/>
      <c r="AO158" s="388"/>
      <c r="AP158" s="388"/>
      <c r="AQ158" s="388"/>
      <c r="AR158" s="388"/>
      <c r="AS158" s="388"/>
      <c r="AT158" s="388"/>
      <c r="AU158" s="388"/>
      <c r="AV158" s="388"/>
      <c r="AW158" s="388"/>
      <c r="AX158" s="388"/>
      <c r="AY158" s="388"/>
      <c r="AZ158" s="388"/>
      <c r="BA158" s="388"/>
      <c r="BB158" s="389"/>
      <c r="BC158" s="98">
        <v>1</v>
      </c>
      <c r="BD158" s="74">
        <v>1</v>
      </c>
      <c r="BE158" s="75">
        <f t="shared" si="69"/>
        <v>0</v>
      </c>
    </row>
    <row r="159" spans="1:57" s="1" customFormat="1" ht="18" customHeight="1" x14ac:dyDescent="0.4">
      <c r="A159" s="37" t="str">
        <f t="shared" si="62"/>
        <v>3Д</v>
      </c>
      <c r="B159" s="183"/>
      <c r="C159" s="41"/>
      <c r="D159" s="184"/>
      <c r="E159" s="282">
        <f t="shared" si="70"/>
        <v>46025</v>
      </c>
      <c r="F159" s="335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98">
        <v>1</v>
      </c>
      <c r="Y159" s="74">
        <v>1</v>
      </c>
      <c r="Z159" s="75">
        <f t="shared" si="68"/>
        <v>0</v>
      </c>
      <c r="AA159" s="107">
        <f t="shared" si="72"/>
        <v>0</v>
      </c>
      <c r="AB159" s="41"/>
      <c r="AC159" s="184"/>
      <c r="AD159" s="212">
        <f t="shared" si="71"/>
        <v>46025</v>
      </c>
      <c r="AE159" s="387"/>
      <c r="AF159" s="388"/>
      <c r="AG159" s="388"/>
      <c r="AH159" s="388"/>
      <c r="AI159" s="388"/>
      <c r="AJ159" s="388"/>
      <c r="AK159" s="388"/>
      <c r="AL159" s="388"/>
      <c r="AM159" s="388"/>
      <c r="AN159" s="388"/>
      <c r="AO159" s="388"/>
      <c r="AP159" s="388"/>
      <c r="AQ159" s="388"/>
      <c r="AR159" s="388"/>
      <c r="AS159" s="388"/>
      <c r="AT159" s="388"/>
      <c r="AU159" s="388"/>
      <c r="AV159" s="388"/>
      <c r="AW159" s="388"/>
      <c r="AX159" s="388"/>
      <c r="AY159" s="388"/>
      <c r="AZ159" s="388"/>
      <c r="BA159" s="388"/>
      <c r="BB159" s="389"/>
      <c r="BC159" s="98">
        <v>1</v>
      </c>
      <c r="BD159" s="74">
        <v>1</v>
      </c>
      <c r="BE159" s="75">
        <f t="shared" si="69"/>
        <v>0</v>
      </c>
    </row>
    <row r="160" spans="1:57" s="1" customFormat="1" ht="18" customHeight="1" x14ac:dyDescent="0.4">
      <c r="A160" s="37" t="str">
        <f t="shared" si="62"/>
        <v>3Д</v>
      </c>
      <c r="B160" s="183"/>
      <c r="C160" s="41"/>
      <c r="D160" s="184"/>
      <c r="E160" s="282">
        <f t="shared" si="70"/>
        <v>46025</v>
      </c>
      <c r="F160" s="335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98">
        <v>1</v>
      </c>
      <c r="Y160" s="74">
        <v>1</v>
      </c>
      <c r="Z160" s="75">
        <f t="shared" si="68"/>
        <v>0</v>
      </c>
      <c r="AA160" s="107">
        <f t="shared" si="72"/>
        <v>0</v>
      </c>
      <c r="AB160" s="41"/>
      <c r="AC160" s="184"/>
      <c r="AD160" s="212">
        <f t="shared" si="71"/>
        <v>46025</v>
      </c>
      <c r="AE160" s="387"/>
      <c r="AF160" s="388"/>
      <c r="AG160" s="388"/>
      <c r="AH160" s="388"/>
      <c r="AI160" s="388"/>
      <c r="AJ160" s="388"/>
      <c r="AK160" s="388"/>
      <c r="AL160" s="388"/>
      <c r="AM160" s="388"/>
      <c r="AN160" s="388"/>
      <c r="AO160" s="388"/>
      <c r="AP160" s="388"/>
      <c r="AQ160" s="388"/>
      <c r="AR160" s="388"/>
      <c r="AS160" s="388"/>
      <c r="AT160" s="388"/>
      <c r="AU160" s="388"/>
      <c r="AV160" s="388"/>
      <c r="AW160" s="388"/>
      <c r="AX160" s="388"/>
      <c r="AY160" s="388"/>
      <c r="AZ160" s="388"/>
      <c r="BA160" s="388"/>
      <c r="BB160" s="389"/>
      <c r="BC160" s="98">
        <v>1</v>
      </c>
      <c r="BD160" s="74">
        <v>1</v>
      </c>
      <c r="BE160" s="75">
        <f t="shared" si="69"/>
        <v>0</v>
      </c>
    </row>
    <row r="161" spans="1:57" s="1" customFormat="1" ht="18" customHeight="1" x14ac:dyDescent="0.4">
      <c r="A161" s="37" t="str">
        <f t="shared" si="62"/>
        <v>3Д</v>
      </c>
      <c r="B161" s="183"/>
      <c r="C161" s="41"/>
      <c r="D161" s="184"/>
      <c r="E161" s="282">
        <f t="shared" si="70"/>
        <v>46025</v>
      </c>
      <c r="F161" s="335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98">
        <v>1</v>
      </c>
      <c r="Y161" s="74">
        <v>1</v>
      </c>
      <c r="Z161" s="75">
        <f t="shared" si="68"/>
        <v>0</v>
      </c>
      <c r="AA161" s="107">
        <f t="shared" si="72"/>
        <v>0</v>
      </c>
      <c r="AB161" s="41"/>
      <c r="AC161" s="184"/>
      <c r="AD161" s="212">
        <f t="shared" si="71"/>
        <v>46025</v>
      </c>
      <c r="AE161" s="387"/>
      <c r="AF161" s="388"/>
      <c r="AG161" s="388"/>
      <c r="AH161" s="388"/>
      <c r="AI161" s="388"/>
      <c r="AJ161" s="388"/>
      <c r="AK161" s="388"/>
      <c r="AL161" s="388"/>
      <c r="AM161" s="388"/>
      <c r="AN161" s="388"/>
      <c r="AO161" s="388"/>
      <c r="AP161" s="388"/>
      <c r="AQ161" s="388"/>
      <c r="AR161" s="388"/>
      <c r="AS161" s="388"/>
      <c r="AT161" s="388"/>
      <c r="AU161" s="388"/>
      <c r="AV161" s="388"/>
      <c r="AW161" s="388"/>
      <c r="AX161" s="388"/>
      <c r="AY161" s="388"/>
      <c r="AZ161" s="388"/>
      <c r="BA161" s="388"/>
      <c r="BB161" s="389"/>
      <c r="BC161" s="98">
        <v>1</v>
      </c>
      <c r="BD161" s="74">
        <v>1</v>
      </c>
      <c r="BE161" s="75">
        <f t="shared" si="69"/>
        <v>0</v>
      </c>
    </row>
    <row r="162" spans="1:57" s="1" customFormat="1" ht="18" customHeight="1" x14ac:dyDescent="0.4">
      <c r="A162" s="37" t="str">
        <f t="shared" si="62"/>
        <v>3Д</v>
      </c>
      <c r="B162" s="183"/>
      <c r="C162" s="41"/>
      <c r="D162" s="184"/>
      <c r="E162" s="282">
        <f t="shared" si="70"/>
        <v>46025</v>
      </c>
      <c r="F162" s="335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98">
        <v>1</v>
      </c>
      <c r="Y162" s="74">
        <v>1</v>
      </c>
      <c r="Z162" s="75">
        <f t="shared" si="68"/>
        <v>0</v>
      </c>
      <c r="AA162" s="107">
        <f t="shared" si="72"/>
        <v>0</v>
      </c>
      <c r="AB162" s="41"/>
      <c r="AC162" s="184"/>
      <c r="AD162" s="212">
        <f t="shared" si="71"/>
        <v>46025</v>
      </c>
      <c r="AE162" s="387"/>
      <c r="AF162" s="388"/>
      <c r="AG162" s="388"/>
      <c r="AH162" s="388"/>
      <c r="AI162" s="388"/>
      <c r="AJ162" s="388"/>
      <c r="AK162" s="388"/>
      <c r="AL162" s="388"/>
      <c r="AM162" s="388"/>
      <c r="AN162" s="388"/>
      <c r="AO162" s="388"/>
      <c r="AP162" s="388"/>
      <c r="AQ162" s="388"/>
      <c r="AR162" s="388"/>
      <c r="AS162" s="388"/>
      <c r="AT162" s="388"/>
      <c r="AU162" s="388"/>
      <c r="AV162" s="388"/>
      <c r="AW162" s="388"/>
      <c r="AX162" s="388"/>
      <c r="AY162" s="388"/>
      <c r="AZ162" s="388"/>
      <c r="BA162" s="388"/>
      <c r="BB162" s="389"/>
      <c r="BC162" s="98">
        <v>1</v>
      </c>
      <c r="BD162" s="74">
        <v>1</v>
      </c>
      <c r="BE162" s="75">
        <f t="shared" si="69"/>
        <v>0</v>
      </c>
    </row>
    <row r="163" spans="1:57" s="1" customFormat="1" ht="18" customHeight="1" thickBot="1" x14ac:dyDescent="0.45">
      <c r="A163" s="37" t="str">
        <f t="shared" si="62"/>
        <v>3Д</v>
      </c>
      <c r="B163" s="183"/>
      <c r="C163" s="41"/>
      <c r="D163" s="184"/>
      <c r="E163" s="283">
        <f t="shared" si="70"/>
        <v>46025</v>
      </c>
      <c r="F163" s="339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99">
        <v>1</v>
      </c>
      <c r="Y163" s="76">
        <v>1</v>
      </c>
      <c r="Z163" s="77">
        <f t="shared" si="68"/>
        <v>0</v>
      </c>
      <c r="AA163" s="107">
        <f t="shared" si="72"/>
        <v>0</v>
      </c>
      <c r="AB163" s="41"/>
      <c r="AC163" s="184"/>
      <c r="AD163" s="211">
        <f t="shared" si="71"/>
        <v>46025</v>
      </c>
      <c r="AE163" s="410"/>
      <c r="AF163" s="411"/>
      <c r="AG163" s="411"/>
      <c r="AH163" s="411"/>
      <c r="AI163" s="411"/>
      <c r="AJ163" s="411"/>
      <c r="AK163" s="411"/>
      <c r="AL163" s="411"/>
      <c r="AM163" s="411"/>
      <c r="AN163" s="411"/>
      <c r="AO163" s="411"/>
      <c r="AP163" s="411"/>
      <c r="AQ163" s="411"/>
      <c r="AR163" s="411"/>
      <c r="AS163" s="411"/>
      <c r="AT163" s="411"/>
      <c r="AU163" s="411"/>
      <c r="AV163" s="411"/>
      <c r="AW163" s="411"/>
      <c r="AX163" s="411"/>
      <c r="AY163" s="411"/>
      <c r="AZ163" s="411"/>
      <c r="BA163" s="411"/>
      <c r="BB163" s="412"/>
      <c r="BC163" s="99">
        <v>1</v>
      </c>
      <c r="BD163" s="76">
        <v>1</v>
      </c>
      <c r="BE163" s="75">
        <f t="shared" si="69"/>
        <v>0</v>
      </c>
    </row>
    <row r="164" spans="1:57" s="1" customFormat="1" ht="23.25" customHeight="1" thickBot="1" x14ac:dyDescent="0.45">
      <c r="A164" s="37" t="str">
        <f t="shared" si="62"/>
        <v>3Д</v>
      </c>
      <c r="B164" s="193"/>
      <c r="C164" s="47"/>
      <c r="D164" s="47"/>
      <c r="E164" s="47"/>
      <c r="F164" s="78"/>
      <c r="G164" s="78"/>
      <c r="H164" s="78"/>
      <c r="I164" s="80"/>
      <c r="J164" s="80"/>
      <c r="K164" s="80"/>
      <c r="L164" s="80"/>
      <c r="M164" s="80"/>
      <c r="N164" s="80"/>
      <c r="O164" s="78"/>
      <c r="P164" s="81"/>
      <c r="Q164" s="81"/>
      <c r="R164" s="81"/>
      <c r="S164" s="81"/>
      <c r="T164" s="81"/>
      <c r="U164" s="82"/>
      <c r="V164" s="82"/>
      <c r="W164" s="86"/>
      <c r="X164" s="194"/>
      <c r="Y164" s="83"/>
      <c r="Z164" s="83"/>
      <c r="AA164" s="78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84"/>
      <c r="AN164" s="47"/>
      <c r="AO164" s="78"/>
      <c r="AP164" s="78"/>
      <c r="AQ164" s="78"/>
      <c r="AR164" s="84"/>
      <c r="AS164" s="78"/>
      <c r="AT164" s="85"/>
      <c r="AU164" s="78"/>
      <c r="AV164" s="83"/>
      <c r="AW164" s="83"/>
      <c r="AX164" s="78"/>
      <c r="AY164" s="78"/>
      <c r="AZ164" s="78"/>
      <c r="BA164" s="78"/>
      <c r="BB164" s="78"/>
      <c r="BC164" s="78"/>
      <c r="BD164" s="79"/>
      <c r="BE164" s="79"/>
    </row>
    <row r="165" spans="1:57" s="1" customFormat="1" ht="21.6" customHeight="1" thickBot="1" x14ac:dyDescent="0.45">
      <c r="A165" s="37" t="s">
        <v>151</v>
      </c>
      <c r="B165" s="59"/>
      <c r="C165" s="51"/>
      <c r="D165" s="51"/>
      <c r="E165" s="51"/>
      <c r="F165" s="158" t="s">
        <v>220</v>
      </c>
      <c r="G165" s="51"/>
      <c r="H165" s="51"/>
      <c r="I165" s="156"/>
      <c r="J165" s="156"/>
      <c r="K165" s="156"/>
      <c r="L165" s="156"/>
      <c r="M165" s="156"/>
      <c r="N165" s="156"/>
      <c r="O165" s="91"/>
      <c r="P165" s="52"/>
      <c r="Q165" s="52"/>
      <c r="R165" s="52"/>
      <c r="S165" s="52"/>
      <c r="T165" s="52"/>
      <c r="U165" s="157"/>
      <c r="V165" s="157"/>
      <c r="W165" s="94"/>
      <c r="X165" s="94"/>
      <c r="Y165" s="51"/>
      <c r="Z165" s="51"/>
      <c r="AA165" s="157">
        <f>AA148</f>
        <v>1</v>
      </c>
      <c r="AB165" s="157">
        <f t="shared" ref="AB165:AF165" si="73">AB148</f>
        <v>2</v>
      </c>
      <c r="AC165" s="157">
        <f t="shared" si="73"/>
        <v>3</v>
      </c>
      <c r="AD165" s="157">
        <f t="shared" si="73"/>
        <v>4</v>
      </c>
      <c r="AE165" s="157">
        <f t="shared" si="73"/>
        <v>5</v>
      </c>
      <c r="AF165" s="157">
        <f t="shared" si="73"/>
        <v>6</v>
      </c>
      <c r="AG165" s="162" t="s">
        <v>123</v>
      </c>
      <c r="AH165" s="162" t="s">
        <v>124</v>
      </c>
      <c r="AI165" s="162" t="s">
        <v>125</v>
      </c>
      <c r="AJ165" s="91" t="s">
        <v>126</v>
      </c>
      <c r="AK165" s="198" t="s">
        <v>136</v>
      </c>
      <c r="AL165" s="198" t="s">
        <v>137</v>
      </c>
      <c r="AM165" s="198" t="s">
        <v>138</v>
      </c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</row>
    <row r="166" spans="1:57" s="1" customFormat="1" ht="21.6" customHeight="1" x14ac:dyDescent="0.4">
      <c r="A166" s="37" t="str">
        <f>A165</f>
        <v>3Н</v>
      </c>
      <c r="B166" s="12">
        <f>B147</f>
        <v>46025</v>
      </c>
      <c r="C166" s="97"/>
      <c r="D166" s="97">
        <v>1</v>
      </c>
      <c r="E166" s="29"/>
      <c r="F166" s="151" t="str">
        <f>IFERROR(VLOOKUP($G166,нормы!$A$14:$BC$57,2,0),"")</f>
        <v/>
      </c>
      <c r="G166" s="93"/>
      <c r="H166" s="54">
        <f>IF(C166=1,"Кульков С.А.", IF(C166=2,"Чудаков А.А.",IF(C166=3,"Королев В.Н.",IF(C166=4,"Николашин М.П.",IF(C166=5," Кульков С.А.",IF(C166=6,"А.А. Чудаков",IF(C166=7,"В.Н. Королев",IF(C166=8,"М.П. Николашин",0))))))))</f>
        <v>0</v>
      </c>
      <c r="I166" s="88" t="s">
        <v>84</v>
      </c>
      <c r="J166" s="332"/>
      <c r="K166" s="30">
        <f>IFERROR(VLOOKUP($G166,[1]нормы!$A$21:$BC$151,15,0),"")</f>
        <v>0</v>
      </c>
      <c r="L166" s="31">
        <f>IFERROR(VLOOKUP($G166,[1]нормы!$A$21:$BC$151,17,0),"")</f>
        <v>0</v>
      </c>
      <c r="M166" s="310">
        <f>IFERROR(VLOOKUP($G166,[1]нормы!$A$21:$BC$151,27,0),"")</f>
        <v>0</v>
      </c>
      <c r="N166" s="311" t="str">
        <f>IFERROR(Y166/Y172*(1.1*J166*I171),"")</f>
        <v/>
      </c>
      <c r="O166" s="300">
        <f>IFERROR(VLOOKUP($G166,[1]нормы!$A$21:$BC$151,21,0),"")</f>
        <v>0</v>
      </c>
      <c r="P166" s="35">
        <f>IFERROR(VLOOKUP($G166,[1]нормы!$A$21:$BC$151,19,0),"")</f>
        <v>0</v>
      </c>
      <c r="Q166" s="35">
        <f>IFERROR(VLOOKUP($G166,[1]нормы!$A$21:$BC$151,23,0),"")</f>
        <v>0</v>
      </c>
      <c r="R166" s="231">
        <f>IFERROR(VLOOKUP($G166,[1]нормы!$A$21:$BC$151,29,0),"")</f>
        <v>0</v>
      </c>
      <c r="S166" s="35">
        <f>IFERROR(VLOOKUP($G166,[1]нормы!$A$21:$BC$151,31,0),"")</f>
        <v>0</v>
      </c>
      <c r="T166" s="32">
        <f>IFERROR(VLOOKUP($G166,[1]нормы!$A$21:$BC$151,25,0),"")</f>
        <v>0</v>
      </c>
      <c r="U166" s="232" t="str">
        <f>IFERROR(W166/(((100*Y166/Y172)*I171)/100),"")</f>
        <v/>
      </c>
      <c r="V166" s="234" t="str">
        <f>IFERROR(VLOOKUP($G166,нормы!$A$14:$BC$57,38,0),"")</f>
        <v/>
      </c>
      <c r="W166" s="136"/>
      <c r="X166" s="236"/>
      <c r="Y166" s="152" t="str">
        <f>IFERROR(VLOOKUP($G166,нормы!$A$14:$BC$57,42,0)*W166,"")</f>
        <v/>
      </c>
      <c r="Z166" s="163">
        <f>IFERROR(VLOOKUP($G166,нормы!$A$14:$BC$57,14,0)*W166/1000,0)</f>
        <v>0</v>
      </c>
      <c r="AA166" s="33"/>
      <c r="AB166" s="36"/>
      <c r="AC166" s="36"/>
      <c r="AD166" s="36"/>
      <c r="AE166" s="34"/>
      <c r="AF166" s="159"/>
      <c r="AG166" s="390"/>
      <c r="AH166" s="393"/>
      <c r="AI166" s="396"/>
      <c r="AJ166" s="407">
        <f>AG166+AH166</f>
        <v>0</v>
      </c>
      <c r="AK166" s="359"/>
      <c r="AL166" s="359"/>
      <c r="AM166" s="359"/>
      <c r="AN166" s="287">
        <f>IFERROR(Y166*AJ166/Y172,)</f>
        <v>0</v>
      </c>
      <c r="AO166" s="197" t="str">
        <f>IFERROR(VLOOKUP($G166,нормы!$A$14:$BC$57,53,0)*$W166,"")</f>
        <v/>
      </c>
      <c r="AP166" s="288">
        <f>IFERROR(Y166*AI166/Y172,)</f>
        <v>0</v>
      </c>
      <c r="AQ166" s="197" t="str">
        <f>IFERROR(VLOOKUP($G166,нормы!$A$14:$BC$57,54,0)*$W166,"")</f>
        <v/>
      </c>
      <c r="AR166" s="288">
        <f>IFERROR(AS166/SUM(AS166:AS171)*AL166,0)</f>
        <v>0</v>
      </c>
      <c r="AS166" s="197" t="str">
        <f>IFERROR(VLOOKUP($G166,нормы!$A$14:$BC$57,55,0)*W166,"")</f>
        <v/>
      </c>
      <c r="AT166" s="288">
        <f>IFERROR(AU166/SUM(AU166:AU171)*AM166,0)</f>
        <v>0</v>
      </c>
      <c r="AU166" s="197" t="str">
        <f>IFERROR(VLOOKUP($G166,нормы!$A$14:$BI$57,56,0)*W166,"")</f>
        <v/>
      </c>
      <c r="AV166" s="288">
        <f>IFERROR(AW166/SUM(AW166:AW171)*AK166,0)</f>
        <v>0</v>
      </c>
      <c r="AW166" s="202" t="str">
        <f>IFERROR(VLOOKUP($G166,нормы!$A$14:$BI$57,57,0)*W166,"")</f>
        <v/>
      </c>
      <c r="AX166" s="33"/>
      <c r="AY166" s="203" t="str">
        <f>IFERROR(VLOOKUP($G166,нормы!$A$14:$BI$57,58,0)*W166,"")</f>
        <v/>
      </c>
      <c r="AZ166" s="204"/>
      <c r="BA166" s="200" t="str">
        <f>IFERROR(VLOOKUP($G166,нормы!$A$14:$BI$57,61,0)*$W166,"")</f>
        <v/>
      </c>
      <c r="BB166" s="33"/>
      <c r="BC166" s="203" t="str">
        <f>IFERROR(VLOOKUP($G166,нормы!$A$14:$BI$57,60,0)*W166,"")</f>
        <v/>
      </c>
      <c r="BD166" s="200" t="str">
        <f>IFERROR(VLOOKUP($G166,нормы!$A$14:$BG$57,44,0),"")</f>
        <v/>
      </c>
      <c r="BE166" s="199" t="str">
        <f>IFERROR(W166/VLOOKUP($G166,нормы!$A$14:$BI$57,45,0),"")</f>
        <v/>
      </c>
    </row>
    <row r="167" spans="1:57" s="1" customFormat="1" ht="21.6" customHeight="1" x14ac:dyDescent="0.4">
      <c r="A167" s="37" t="str">
        <f t="shared" ref="A167:A195" si="74">A166</f>
        <v>3Н</v>
      </c>
      <c r="B167" s="12">
        <f t="shared" ref="B167:D171" si="75">B166</f>
        <v>46025</v>
      </c>
      <c r="C167" s="97">
        <f t="shared" si="75"/>
        <v>0</v>
      </c>
      <c r="D167" s="97">
        <f t="shared" si="75"/>
        <v>1</v>
      </c>
      <c r="E167" s="54"/>
      <c r="F167" s="151" t="str">
        <f>IFERROR(VLOOKUP($G167,нормы!$A$14:$BC$57,2,0),"")</f>
        <v/>
      </c>
      <c r="G167" s="93"/>
      <c r="H167" s="54">
        <f t="shared" ref="H167:H171" si="76">IF(C167=1,"Кульков С.А.", IF(C167=2,"Чудаков А.А.",IF(C167=3,"Королев В.Н.",IF(C167=4,"Николашин М.П.",IF(C167=5," Кульков С.А.",IF(C167=6,"А.А. Чудаков",IF(C167=7,"В.Н. Королев",IF(C167=8,"М.П. Николашин",0))))))))</f>
        <v>0</v>
      </c>
      <c r="I167" s="55"/>
      <c r="J167" s="333"/>
      <c r="K167" s="30">
        <f>IFERROR(VLOOKUP($G167,[1]нормы!$A$21:$BC$151,15,0),"")</f>
        <v>0</v>
      </c>
      <c r="L167" s="31">
        <f>IFERROR(VLOOKUP($G167,[1]нормы!$A$21:$BC$151,17,0),"")</f>
        <v>0</v>
      </c>
      <c r="M167" s="306">
        <f>IFERROR(VLOOKUP($G167,[1]нормы!$A$21:$BC$151,27,0),"")</f>
        <v>0</v>
      </c>
      <c r="N167" s="307" t="str">
        <f>IFERROR(Y167/Y172*(1.1*J166*I171),"")</f>
        <v/>
      </c>
      <c r="O167" s="300">
        <f>IFERROR(VLOOKUP($G167,[1]нормы!$A$21:$BC$151,21,0),"")</f>
        <v>0</v>
      </c>
      <c r="P167" s="35">
        <f>IFERROR(VLOOKUP($G167,[1]нормы!$A$21:$BC$151,19,0),"")</f>
        <v>0</v>
      </c>
      <c r="Q167" s="35">
        <f>IFERROR(VLOOKUP($G167,[1]нормы!$A$21:$BC$151,23,0),"")</f>
        <v>0</v>
      </c>
      <c r="R167" s="231">
        <f>IFERROR(VLOOKUP($G167,[1]нормы!$A$21:$BC$151,29,0),"")</f>
        <v>0</v>
      </c>
      <c r="S167" s="35">
        <f>IFERROR(VLOOKUP($G167,[1]нормы!$A$21:$BC$151,31,0),"")</f>
        <v>0</v>
      </c>
      <c r="T167" s="32">
        <f>IFERROR(VLOOKUP($G167,[1]нормы!$A$21:$BC$151,25,0),"")</f>
        <v>0</v>
      </c>
      <c r="U167" s="233" t="str">
        <f>IFERROR(W167/(((100*Y167/Y172)*I171)/100),"")</f>
        <v/>
      </c>
      <c r="V167" s="234" t="str">
        <f>IFERROR(VLOOKUP($G167,нормы!$A$14:$BC$57,38,0),"")</f>
        <v/>
      </c>
      <c r="W167" s="136"/>
      <c r="X167" s="237"/>
      <c r="Y167" s="152" t="str">
        <f>IFERROR(VLOOKUP($G167,нормы!$A$14:$BC$57,42,0)*W167,"")</f>
        <v/>
      </c>
      <c r="Z167" s="163">
        <f>IFERROR(VLOOKUP($G167,нормы!$A$14:$BC$57,14,0)*W167/1000,0)</f>
        <v>0</v>
      </c>
      <c r="AA167" s="142"/>
      <c r="AB167" s="35"/>
      <c r="AC167" s="35"/>
      <c r="AD167" s="35"/>
      <c r="AE167" s="31"/>
      <c r="AF167" s="160"/>
      <c r="AG167" s="391"/>
      <c r="AH167" s="394"/>
      <c r="AI167" s="397"/>
      <c r="AJ167" s="408"/>
      <c r="AK167" s="360"/>
      <c r="AL167" s="360"/>
      <c r="AM167" s="360"/>
      <c r="AN167" s="289">
        <f>IFERROR(Y167*AJ166/Y172,)</f>
        <v>0</v>
      </c>
      <c r="AO167" s="197" t="str">
        <f>IFERROR(VLOOKUP($G167,нормы!$A$14:$BC$57,53,0)*$W167,"")</f>
        <v/>
      </c>
      <c r="AP167" s="290">
        <f>IFERROR(Y167*AI166/Y172,)</f>
        <v>0</v>
      </c>
      <c r="AQ167" s="197" t="str">
        <f>IFERROR(VLOOKUP($G167,нормы!$A$14:$BC$57,54,0)*$W167,"")</f>
        <v/>
      </c>
      <c r="AR167" s="290">
        <f>IFERROR(AS167/SUM(AS166:AS171)*AL166,0)</f>
        <v>0</v>
      </c>
      <c r="AS167" s="197" t="str">
        <f>IFERROR(VLOOKUP($G167,нормы!$A$14:$BC$57,55,0)*W167,"")</f>
        <v/>
      </c>
      <c r="AT167" s="290">
        <f>IFERROR(AU167/SUM(AU166:AU171)*AM166,0)</f>
        <v>0</v>
      </c>
      <c r="AU167" s="197" t="str">
        <f>IFERROR(VLOOKUP($G167,нормы!$A$14:$BI$57,56,0)*W167,"")</f>
        <v/>
      </c>
      <c r="AV167" s="290">
        <f>IFERROR(AW167/SUM(AW166:AW171)*AK166,0)</f>
        <v>0</v>
      </c>
      <c r="AW167" s="202" t="str">
        <f>IFERROR(VLOOKUP($G167,нормы!$A$14:$BI$57,57,0)*W167,"")</f>
        <v/>
      </c>
      <c r="AX167" s="30"/>
      <c r="AY167" s="203" t="str">
        <f>IFERROR(VLOOKUP($G167,нормы!$A$14:$BI$57,58,0)*W167,"")</f>
        <v/>
      </c>
      <c r="AZ167" s="205"/>
      <c r="BA167" s="200" t="str">
        <f>IFERROR(VLOOKUP($G167,нормы!$A$14:$BI$57,61,0)*$W167,"")</f>
        <v/>
      </c>
      <c r="BB167" s="30"/>
      <c r="BC167" s="203" t="str">
        <f>IFERROR(VLOOKUP($G167,нормы!$A$14:$BI$57,60,0)*W167,"")</f>
        <v/>
      </c>
      <c r="BD167" s="200" t="str">
        <f>IFERROR(VLOOKUP($G167,нормы!$A$14:$BG$57,44,0),"")</f>
        <v/>
      </c>
      <c r="BE167" s="199" t="str">
        <f>IFERROR(W167/VLOOKUP($G167,нормы!$A$14:$BI$57,45,0),"")</f>
        <v/>
      </c>
    </row>
    <row r="168" spans="1:57" s="1" customFormat="1" ht="20.25" customHeight="1" x14ac:dyDescent="0.4">
      <c r="A168" s="37" t="str">
        <f t="shared" si="74"/>
        <v>3Н</v>
      </c>
      <c r="B168" s="12">
        <f t="shared" si="75"/>
        <v>46025</v>
      </c>
      <c r="C168" s="97">
        <f t="shared" si="75"/>
        <v>0</v>
      </c>
      <c r="D168" s="97">
        <f t="shared" si="75"/>
        <v>1</v>
      </c>
      <c r="E168" s="54"/>
      <c r="F168" s="151" t="str">
        <f>IFERROR(VLOOKUP($G168,нормы!$A$14:$BC$57,2,0),"")</f>
        <v/>
      </c>
      <c r="G168" s="38"/>
      <c r="H168" s="54">
        <f t="shared" si="76"/>
        <v>0</v>
      </c>
      <c r="I168" s="89" t="s">
        <v>85</v>
      </c>
      <c r="J168" s="333"/>
      <c r="K168" s="30">
        <f>IFERROR(VLOOKUP($G168,[1]нормы!$A$21:$BC$151,15,0),"")</f>
        <v>0</v>
      </c>
      <c r="L168" s="31">
        <f>IFERROR(VLOOKUP($G168,[1]нормы!$A$21:$BC$151,17,0),"")</f>
        <v>0</v>
      </c>
      <c r="M168" s="306">
        <f>IFERROR(VLOOKUP($G168,[1]нормы!$A$21:$BC$151,27,0),"")</f>
        <v>0</v>
      </c>
      <c r="N168" s="307" t="str">
        <f>IFERROR(Y168/Y172*(1.1*J166*I171),"")</f>
        <v/>
      </c>
      <c r="O168" s="300">
        <f>IFERROR(VLOOKUP($G168,[1]нормы!$A$21:$BC$151,21,0),"")</f>
        <v>0</v>
      </c>
      <c r="P168" s="35">
        <f>IFERROR(VLOOKUP($G168,[1]нормы!$A$21:$BC$151,19,0),"")</f>
        <v>0</v>
      </c>
      <c r="Q168" s="35">
        <f>IFERROR(VLOOKUP($G168,[1]нормы!$A$21:$BC$151,23,0),"")</f>
        <v>0</v>
      </c>
      <c r="R168" s="231">
        <f>IFERROR(VLOOKUP($G168,[1]нормы!$A$21:$BC$151,29,0),"")</f>
        <v>0</v>
      </c>
      <c r="S168" s="35">
        <f>IFERROR(VLOOKUP($G168,[1]нормы!$A$21:$BC$151,31,0),"")</f>
        <v>0</v>
      </c>
      <c r="T168" s="32">
        <f>IFERROR(VLOOKUP($G168,[1]нормы!$A$21:$BC$151,25,0),"")</f>
        <v>0</v>
      </c>
      <c r="U168" s="233" t="str">
        <f>IFERROR(W168/(((100*Y168/Y172)*I171)/100),"")</f>
        <v/>
      </c>
      <c r="V168" s="234" t="str">
        <f>IFERROR(VLOOKUP($G168,нормы!$A$14:$BC$57,38,0),"")</f>
        <v/>
      </c>
      <c r="W168" s="136"/>
      <c r="X168" s="237"/>
      <c r="Y168" s="152" t="str">
        <f>IFERROR(VLOOKUP($G168,нормы!$A$14:$BC$57,42,0)*W168,"")</f>
        <v/>
      </c>
      <c r="Z168" s="163">
        <f>IFERROR(VLOOKUP($G168,нормы!$A$14:$BC$57,14,0)*W168/1000,0)</f>
        <v>0</v>
      </c>
      <c r="AA168" s="30"/>
      <c r="AB168" s="35"/>
      <c r="AC168" s="35"/>
      <c r="AD168" s="35"/>
      <c r="AE168" s="31"/>
      <c r="AF168" s="160"/>
      <c r="AG168" s="391"/>
      <c r="AH168" s="394"/>
      <c r="AI168" s="397"/>
      <c r="AJ168" s="408"/>
      <c r="AK168" s="360"/>
      <c r="AL168" s="360"/>
      <c r="AM168" s="360"/>
      <c r="AN168" s="289">
        <f>IFERROR(Y168*AJ166/Y172,)</f>
        <v>0</v>
      </c>
      <c r="AO168" s="197" t="str">
        <f>IFERROR(VLOOKUP($G168,нормы!$A$14:$BC$57,53,0)*$W168,"")</f>
        <v/>
      </c>
      <c r="AP168" s="290">
        <f>IFERROR(Y168*AI166/Y172,)</f>
        <v>0</v>
      </c>
      <c r="AQ168" s="197" t="str">
        <f>IFERROR(VLOOKUP($G168,нормы!$A$14:$BC$57,54,0)*$W168,"")</f>
        <v/>
      </c>
      <c r="AR168" s="290">
        <f>IFERROR(AS168/SUM(AS166:AS171)*AL166,0)</f>
        <v>0</v>
      </c>
      <c r="AS168" s="197" t="str">
        <f>IFERROR(VLOOKUP($G168,нормы!$A$14:$BC$57,55,0)*W168,"")</f>
        <v/>
      </c>
      <c r="AT168" s="290">
        <f>IFERROR(AU168/SUM(AU166:AU171)*AM166,0)</f>
        <v>0</v>
      </c>
      <c r="AU168" s="197" t="str">
        <f>IFERROR(VLOOKUP($G168,нормы!$A$14:$BI$57,56,0)*W168,"")</f>
        <v/>
      </c>
      <c r="AV168" s="290">
        <f>IFERROR(AW168/SUM(AW166:AW171)*AK166,0)</f>
        <v>0</v>
      </c>
      <c r="AW168" s="202" t="str">
        <f>IFERROR(VLOOKUP($G168,нормы!$A$14:$BI$57,57,0)*W168,"")</f>
        <v/>
      </c>
      <c r="AX168" s="30"/>
      <c r="AY168" s="203" t="str">
        <f>IFERROR(VLOOKUP($G168,нормы!$A$14:$BI$57,58,0)*W168,"")</f>
        <v/>
      </c>
      <c r="AZ168" s="205"/>
      <c r="BA168" s="200" t="str">
        <f>IFERROR(VLOOKUP($G168,нормы!$A$14:$BI$57,61,0)*$W168,"")</f>
        <v/>
      </c>
      <c r="BB168" s="30"/>
      <c r="BC168" s="203" t="str">
        <f>IFERROR(VLOOKUP($G168,нормы!$A$14:$BI$57,60,0)*W168,"")</f>
        <v/>
      </c>
      <c r="BD168" s="200" t="str">
        <f>IFERROR(VLOOKUP($G168,нормы!$A$14:$BG$57,44,0),"")</f>
        <v/>
      </c>
      <c r="BE168" s="199" t="str">
        <f>IFERROR(W168/VLOOKUP($G168,нормы!$A$14:$BI$57,45,0),"")</f>
        <v/>
      </c>
    </row>
    <row r="169" spans="1:57" s="1" customFormat="1" ht="20.25" customHeight="1" x14ac:dyDescent="0.4">
      <c r="A169" s="37" t="str">
        <f t="shared" si="74"/>
        <v>3Н</v>
      </c>
      <c r="B169" s="12">
        <f t="shared" si="75"/>
        <v>46025</v>
      </c>
      <c r="C169" s="97">
        <f t="shared" si="75"/>
        <v>0</v>
      </c>
      <c r="D169" s="97">
        <f t="shared" si="75"/>
        <v>1</v>
      </c>
      <c r="E169" s="54"/>
      <c r="F169" s="151" t="str">
        <f>IFERROR(VLOOKUP($G169,нормы!$A$14:$BC$57,2,0),"")</f>
        <v/>
      </c>
      <c r="G169" s="93"/>
      <c r="H169" s="54">
        <f t="shared" si="76"/>
        <v>0</v>
      </c>
      <c r="I169" s="55"/>
      <c r="J169" s="333"/>
      <c r="K169" s="30">
        <f>IFERROR(VLOOKUP($G169,[1]нормы!$A$21:$BC$151,15,0),"")</f>
        <v>0</v>
      </c>
      <c r="L169" s="31">
        <f>IFERROR(VLOOKUP($G169,[1]нормы!$A$21:$BC$151,17,0),"")</f>
        <v>0</v>
      </c>
      <c r="M169" s="306">
        <f>IFERROR(VLOOKUP($G169,[1]нормы!$A$21:$BC$151,27,0),"")</f>
        <v>0</v>
      </c>
      <c r="N169" s="307" t="str">
        <f>IFERROR(Y169/Y172*(1.1*J166*I174),"")</f>
        <v/>
      </c>
      <c r="O169" s="300">
        <f>IFERROR(VLOOKUP($G169,[1]нормы!$A$21:$BC$151,21,0),"")</f>
        <v>0</v>
      </c>
      <c r="P169" s="35">
        <f>IFERROR(VLOOKUP($G169,[1]нормы!$A$21:$BC$151,19,0),"")</f>
        <v>0</v>
      </c>
      <c r="Q169" s="35">
        <f>IFERROR(VLOOKUP($G169,[1]нормы!$A$21:$BC$151,23,0),"")</f>
        <v>0</v>
      </c>
      <c r="R169" s="231">
        <f>IFERROR(VLOOKUP($G169,[1]нормы!$A$21:$BC$151,29,0),"")</f>
        <v>0</v>
      </c>
      <c r="S169" s="35">
        <f>IFERROR(VLOOKUP($G169,[1]нормы!$A$21:$BC$151,31,0),"")</f>
        <v>0</v>
      </c>
      <c r="T169" s="32">
        <f>IFERROR(VLOOKUP($G169,[1]нормы!$A$21:$BC$151,25,0),"")</f>
        <v>0</v>
      </c>
      <c r="U169" s="233" t="str">
        <f>IFERROR(W169/(((100*Y169/Y172)*I171)/100),"")</f>
        <v/>
      </c>
      <c r="V169" s="234" t="str">
        <f>IFERROR(VLOOKUP($G169,нормы!$A$14:$BC$57,38,0),"")</f>
        <v/>
      </c>
      <c r="W169" s="136"/>
      <c r="X169" s="237"/>
      <c r="Y169" s="152" t="str">
        <f>IFERROR(VLOOKUP($G169,нормы!$A$14:$BC$57,42,0)*W169,"")</f>
        <v/>
      </c>
      <c r="Z169" s="163">
        <f>IFERROR(VLOOKUP($G169,нормы!$A$14:$BC$57,14,0)*W169/1000,0)</f>
        <v>0</v>
      </c>
      <c r="AA169" s="30"/>
      <c r="AB169" s="35"/>
      <c r="AC169" s="35"/>
      <c r="AD169" s="35"/>
      <c r="AE169" s="31"/>
      <c r="AF169" s="160"/>
      <c r="AG169" s="391"/>
      <c r="AH169" s="394"/>
      <c r="AI169" s="397"/>
      <c r="AJ169" s="408"/>
      <c r="AK169" s="360"/>
      <c r="AL169" s="360"/>
      <c r="AM169" s="360"/>
      <c r="AN169" s="289">
        <f>IFERROR(Y169*AJ166/Y172,)</f>
        <v>0</v>
      </c>
      <c r="AO169" s="197" t="str">
        <f>IFERROR(VLOOKUP($G169,нормы!$A$14:$BC$57,53,0)*$W169,"")</f>
        <v/>
      </c>
      <c r="AP169" s="290">
        <f>IFERROR(Y169*AI166/Y172,)</f>
        <v>0</v>
      </c>
      <c r="AQ169" s="197" t="str">
        <f>IFERROR(VLOOKUP($G169,нормы!$A$14:$BC$57,54,0)*$W169,"")</f>
        <v/>
      </c>
      <c r="AR169" s="290">
        <f>IFERROR(AS169/SUM(AS166:AS171)*AL166,0)</f>
        <v>0</v>
      </c>
      <c r="AS169" s="197" t="str">
        <f>IFERROR(VLOOKUP($G169,нормы!$A$14:$BC$57,55,0)*W169,"")</f>
        <v/>
      </c>
      <c r="AT169" s="290">
        <f>IFERROR(AU169/SUM(AU166:AU171)*AM166,0)</f>
        <v>0</v>
      </c>
      <c r="AU169" s="197" t="str">
        <f>IFERROR(VLOOKUP($G169,нормы!$A$14:$BI$57,56,0)*W169,"")</f>
        <v/>
      </c>
      <c r="AV169" s="290">
        <f>IFERROR(AW169/SUM(AW166:AW171)*AK166,0)</f>
        <v>0</v>
      </c>
      <c r="AW169" s="202" t="str">
        <f>IFERROR(VLOOKUP($G169,нормы!$A$14:$BI$57,57,0)*W169,"")</f>
        <v/>
      </c>
      <c r="AX169" s="30"/>
      <c r="AY169" s="203" t="str">
        <f>IFERROR(VLOOKUP($G169,нормы!$A$14:$BI$57,58,0)*W169,"")</f>
        <v/>
      </c>
      <c r="AZ169" s="205"/>
      <c r="BA169" s="200" t="str">
        <f>IFERROR(VLOOKUP($G169,нормы!$A$14:$BI$57,61,0)*$W169,"")</f>
        <v/>
      </c>
      <c r="BB169" s="30"/>
      <c r="BC169" s="203" t="str">
        <f>IFERROR(VLOOKUP($G169,нормы!$A$14:$BI$57,60,0)*W169,"")</f>
        <v/>
      </c>
      <c r="BD169" s="200" t="str">
        <f>IFERROR(VLOOKUP($G169,нормы!$A$14:$BG$57,44,0),"")</f>
        <v/>
      </c>
      <c r="BE169" s="199" t="str">
        <f>IFERROR(W169/VLOOKUP($G169,нормы!$A$14:$BI$57,45,0),"")</f>
        <v/>
      </c>
    </row>
    <row r="170" spans="1:57" s="1" customFormat="1" ht="20.25" customHeight="1" x14ac:dyDescent="0.4">
      <c r="A170" s="37" t="str">
        <f t="shared" si="74"/>
        <v>3Н</v>
      </c>
      <c r="B170" s="12">
        <f t="shared" si="75"/>
        <v>46025</v>
      </c>
      <c r="C170" s="97">
        <f t="shared" si="75"/>
        <v>0</v>
      </c>
      <c r="D170" s="97">
        <f t="shared" si="75"/>
        <v>1</v>
      </c>
      <c r="E170" s="54"/>
      <c r="F170" s="151" t="str">
        <f>IFERROR(VLOOKUP($G170,нормы!$A$14:$BC$57,2,0),"")</f>
        <v/>
      </c>
      <c r="G170" s="38"/>
      <c r="H170" s="54">
        <f t="shared" si="76"/>
        <v>0</v>
      </c>
      <c r="I170" s="89" t="s">
        <v>73</v>
      </c>
      <c r="J170" s="333"/>
      <c r="K170" s="30">
        <f>IFERROR(VLOOKUP($G170,[1]нормы!$A$21:$BC$151,15,0),"")</f>
        <v>0</v>
      </c>
      <c r="L170" s="31">
        <f>IFERROR(VLOOKUP($G170,[1]нормы!$A$21:$BC$151,17,0),"")</f>
        <v>0</v>
      </c>
      <c r="M170" s="306">
        <f>IFERROR(VLOOKUP($G170,[1]нормы!$A$21:$BC$151,27,0),"")</f>
        <v>0</v>
      </c>
      <c r="N170" s="307" t="str">
        <f>IFERROR(Y170/Y172*(1.1*J166*I175),"")</f>
        <v/>
      </c>
      <c r="O170" s="300">
        <f>IFERROR(VLOOKUP($G170,[1]нормы!$A$21:$BC$151,21,0),"")</f>
        <v>0</v>
      </c>
      <c r="P170" s="35">
        <f>IFERROR(VLOOKUP($G170,[1]нормы!$A$21:$BC$151,19,0),"")</f>
        <v>0</v>
      </c>
      <c r="Q170" s="35">
        <f>IFERROR(VLOOKUP($G170,[1]нормы!$A$21:$BC$151,23,0),"")</f>
        <v>0</v>
      </c>
      <c r="R170" s="231">
        <f>IFERROR(VLOOKUP($G170,[1]нормы!$A$21:$BC$151,29,0),"")</f>
        <v>0</v>
      </c>
      <c r="S170" s="35">
        <f>IFERROR(VLOOKUP($G170,[1]нормы!$A$21:$BC$151,31,0),"")</f>
        <v>0</v>
      </c>
      <c r="T170" s="32">
        <f>IFERROR(VLOOKUP($G170,[1]нормы!$A$21:$BC$151,25,0),"")</f>
        <v>0</v>
      </c>
      <c r="U170" s="233" t="str">
        <f>IFERROR(W170/(((100*Y170/Y172)*I171)/100),"")</f>
        <v/>
      </c>
      <c r="V170" s="234" t="str">
        <f>IFERROR(VLOOKUP($G170,нормы!$A$14:$BC$57,38,0),"")</f>
        <v/>
      </c>
      <c r="W170" s="136"/>
      <c r="X170" s="237"/>
      <c r="Y170" s="152" t="str">
        <f>IFERROR(VLOOKUP($G170,нормы!$A$14:$BC$57,42,0)*W170,"")</f>
        <v/>
      </c>
      <c r="Z170" s="163">
        <f>IFERROR(VLOOKUP($G170,нормы!$A$14:$BC$57,14,0)*W170/1000,0)</f>
        <v>0</v>
      </c>
      <c r="AA170" s="30"/>
      <c r="AB170" s="35"/>
      <c r="AC170" s="35"/>
      <c r="AD170" s="35"/>
      <c r="AE170" s="31"/>
      <c r="AF170" s="160"/>
      <c r="AG170" s="391"/>
      <c r="AH170" s="394"/>
      <c r="AI170" s="397"/>
      <c r="AJ170" s="408"/>
      <c r="AK170" s="360"/>
      <c r="AL170" s="360"/>
      <c r="AM170" s="360"/>
      <c r="AN170" s="289">
        <f>IFERROR(Y170*AJ166/Y172,)</f>
        <v>0</v>
      </c>
      <c r="AO170" s="197" t="str">
        <f>IFERROR(VLOOKUP($G170,нормы!$A$14:$BC$57,53,0)*$W170,"")</f>
        <v/>
      </c>
      <c r="AP170" s="290">
        <f>IFERROR(Y170*AI166/Y172,)</f>
        <v>0</v>
      </c>
      <c r="AQ170" s="197" t="str">
        <f>IFERROR(VLOOKUP($G170,нормы!$A$14:$BC$57,54,0)*$W170,"")</f>
        <v/>
      </c>
      <c r="AR170" s="290">
        <f>IFERROR(AS170/SUM(AS166:AS171)*AL166,0)</f>
        <v>0</v>
      </c>
      <c r="AS170" s="197" t="str">
        <f>IFERROR(VLOOKUP($G170,нормы!$A$14:$BC$57,55,0)*W170,"")</f>
        <v/>
      </c>
      <c r="AT170" s="290">
        <f>IFERROR(AU170/SUM(AU166:AU171)*AM166,0)</f>
        <v>0</v>
      </c>
      <c r="AU170" s="197" t="str">
        <f>IFERROR(VLOOKUP($G170,нормы!$A$14:$BI$57,56,0)*W170,"")</f>
        <v/>
      </c>
      <c r="AV170" s="290">
        <f>IFERROR(AW170/SUM(AW166:AW171)*AK166,0)</f>
        <v>0</v>
      </c>
      <c r="AW170" s="202" t="str">
        <f>IFERROR(VLOOKUP($G170,нормы!$A$14:$BI$57,57,0)*W170,"")</f>
        <v/>
      </c>
      <c r="AX170" s="30"/>
      <c r="AY170" s="203" t="str">
        <f>IFERROR(VLOOKUP($G170,нормы!$A$14:$BI$57,58,0)*W170,"")</f>
        <v/>
      </c>
      <c r="AZ170" s="205"/>
      <c r="BA170" s="200" t="str">
        <f>IFERROR(VLOOKUP($G170,нормы!$A$14:$BI$57,61,0)*$W170,"")</f>
        <v/>
      </c>
      <c r="BB170" s="30"/>
      <c r="BC170" s="203" t="str">
        <f>IFERROR(VLOOKUP($G170,нормы!$A$14:$BI$57,60,0)*W170,"")</f>
        <v/>
      </c>
      <c r="BD170" s="200" t="str">
        <f>IFERROR(VLOOKUP($G170,нормы!$A$14:$BG$57,44,0),"")</f>
        <v/>
      </c>
      <c r="BE170" s="199" t="str">
        <f>IFERROR(W170/VLOOKUP($G170,нормы!$A$14:$BI$57,45,0),"")</f>
        <v/>
      </c>
    </row>
    <row r="171" spans="1:57" s="1" customFormat="1" ht="21" customHeight="1" thickBot="1" x14ac:dyDescent="0.45">
      <c r="A171" s="37" t="str">
        <f t="shared" si="74"/>
        <v>3Н</v>
      </c>
      <c r="B171" s="12">
        <f t="shared" si="75"/>
        <v>46025</v>
      </c>
      <c r="C171" s="97">
        <f t="shared" si="75"/>
        <v>0</v>
      </c>
      <c r="D171" s="97">
        <f t="shared" si="75"/>
        <v>1</v>
      </c>
      <c r="E171" s="54"/>
      <c r="F171" s="151" t="str">
        <f>IFERROR(VLOOKUP($G171,нормы!$A$14:$BC$57,2,0),"")</f>
        <v/>
      </c>
      <c r="G171" s="93"/>
      <c r="H171" s="63">
        <f t="shared" si="76"/>
        <v>0</v>
      </c>
      <c r="I171" s="153">
        <f>I167+I169</f>
        <v>0</v>
      </c>
      <c r="J171" s="334"/>
      <c r="K171" s="30">
        <f>IFERROR(VLOOKUP($G171,[1]нормы!$A$21:$BC$151,15,0),"")</f>
        <v>0</v>
      </c>
      <c r="L171" s="31">
        <f>IFERROR(VLOOKUP($G171,[1]нормы!$A$21:$BC$151,17,0),"")</f>
        <v>0</v>
      </c>
      <c r="M171" s="308">
        <f>IFERROR(VLOOKUP($G171,[1]нормы!$A$21:$BC$151,27,0),"")</f>
        <v>0</v>
      </c>
      <c r="N171" s="309" t="str">
        <f>IFERROR(Y171/Y172*(1.1*J166*I176),"")</f>
        <v/>
      </c>
      <c r="O171" s="300">
        <f>IFERROR(VLOOKUP($G171,[1]нормы!$A$21:$BC$151,21,0),"")</f>
        <v>0</v>
      </c>
      <c r="P171" s="35">
        <f>IFERROR(VLOOKUP($G171,[1]нормы!$A$21:$BC$151,19,0),"")</f>
        <v>0</v>
      </c>
      <c r="Q171" s="35">
        <f>IFERROR(VLOOKUP($G171,[1]нормы!$A$21:$BC$151,23,0),"")</f>
        <v>0</v>
      </c>
      <c r="R171" s="231">
        <f>IFERROR(VLOOKUP($G171,[1]нормы!$A$21:$BC$151,29,0),"")</f>
        <v>0</v>
      </c>
      <c r="S171" s="35">
        <f>IFERROR(VLOOKUP($G171,[1]нормы!$A$21:$BC$151,31,0),"")</f>
        <v>0</v>
      </c>
      <c r="T171" s="32">
        <f>IFERROR(VLOOKUP($G171,[1]нормы!$A$21:$BC$151,25,0),"")</f>
        <v>0</v>
      </c>
      <c r="U171" s="235" t="str">
        <f>IFERROR(W171/(((100*Y171/Y172)*I171)/100),"")</f>
        <v/>
      </c>
      <c r="V171" s="234" t="str">
        <f>IFERROR(VLOOKUP($G171,нормы!$A$14:$BC$57,38,0),"")</f>
        <v/>
      </c>
      <c r="W171" s="154"/>
      <c r="X171" s="238"/>
      <c r="Y171" s="152" t="str">
        <f>IFERROR(VLOOKUP($G171,нормы!$A$14:$BC$57,42,0)*W171,"")</f>
        <v/>
      </c>
      <c r="Z171" s="163">
        <f>IFERROR(VLOOKUP($G171,нормы!$A$14:$BC$57,14,0)*W171/1000,0)</f>
        <v>0</v>
      </c>
      <c r="AA171" s="56"/>
      <c r="AB171" s="58"/>
      <c r="AC171" s="58"/>
      <c r="AD171" s="58"/>
      <c r="AE171" s="57"/>
      <c r="AF171" s="161"/>
      <c r="AG171" s="392"/>
      <c r="AH171" s="395"/>
      <c r="AI171" s="398"/>
      <c r="AJ171" s="409"/>
      <c r="AK171" s="361"/>
      <c r="AL171" s="361"/>
      <c r="AM171" s="361"/>
      <c r="AN171" s="291">
        <f>IFERROR(Y171*AJ166/Y172,)</f>
        <v>0</v>
      </c>
      <c r="AO171" s="197" t="str">
        <f>IFERROR(VLOOKUP($G171,нормы!$A$14:$BC$57,53,0)*$W171,"")</f>
        <v/>
      </c>
      <c r="AP171" s="292">
        <f>IFERROR(Y171*AI166/Y172,)</f>
        <v>0</v>
      </c>
      <c r="AQ171" s="197" t="str">
        <f>IFERROR(VLOOKUP($G171,нормы!$A$14:$BC$57,54,0)*$W171,"")</f>
        <v/>
      </c>
      <c r="AR171" s="290">
        <f>IFERROR(AS171/SUM(AS166:AS171)*AL166,0)</f>
        <v>0</v>
      </c>
      <c r="AS171" s="197" t="str">
        <f>IFERROR(VLOOKUP($G171,нормы!$A$14:$BC$57,55,0)*W171,"")</f>
        <v/>
      </c>
      <c r="AT171" s="292">
        <f>IFERROR(AU171/SUM(AU166:AU171)*AM166,0)</f>
        <v>0</v>
      </c>
      <c r="AU171" s="197" t="str">
        <f>IFERROR(VLOOKUP($G171,нормы!$A$14:$BI$57,56,0)*W171,"")</f>
        <v/>
      </c>
      <c r="AV171" s="292">
        <f>IFERROR(AW171/SUM(AW166:AW171)*AK166,0)</f>
        <v>0</v>
      </c>
      <c r="AW171" s="202" t="str">
        <f>IFERROR(VLOOKUP($G171,нормы!$A$14:$BI$57,57,0)*W171,"")</f>
        <v/>
      </c>
      <c r="AX171" s="56"/>
      <c r="AY171" s="203" t="str">
        <f>IFERROR(VLOOKUP($G171,нормы!$A$14:$BI$57,58,0)*W171,"")</f>
        <v/>
      </c>
      <c r="AZ171" s="206"/>
      <c r="BA171" s="200" t="str">
        <f>IFERROR(VLOOKUP($G171,нормы!$A$14:$BI$57,61,0)*$W171,"")</f>
        <v/>
      </c>
      <c r="BB171" s="56"/>
      <c r="BC171" s="203" t="str">
        <f>IFERROR(VLOOKUP($G171,нормы!$A$14:$BI$57,60,0)*W171,"")</f>
        <v/>
      </c>
      <c r="BD171" s="200" t="str">
        <f>IFERROR(VLOOKUP($G171,нормы!$A$14:$BG$57,44,0),"")</f>
        <v/>
      </c>
      <c r="BE171" s="199" t="str">
        <f>IFERROR(W171/VLOOKUP($G171,нормы!$A$14:$BI$57,45,0),"")</f>
        <v/>
      </c>
    </row>
    <row r="172" spans="1:57" s="1" customFormat="1" ht="29.4" customHeight="1" thickBot="1" x14ac:dyDescent="0.45">
      <c r="A172" s="37" t="str">
        <f t="shared" si="74"/>
        <v>3Н</v>
      </c>
      <c r="B172" s="59"/>
      <c r="C172" s="51"/>
      <c r="D172" s="51"/>
      <c r="E172" s="51"/>
      <c r="F172" s="295" t="s">
        <v>149</v>
      </c>
      <c r="G172" s="51"/>
      <c r="H172" s="51"/>
      <c r="I172" s="60"/>
      <c r="J172" s="60"/>
      <c r="K172" s="319" t="s">
        <v>213</v>
      </c>
      <c r="L172" s="316"/>
      <c r="M172" s="303" t="s">
        <v>213</v>
      </c>
      <c r="N172" s="317">
        <f>SUM(N166:N171)</f>
        <v>0</v>
      </c>
      <c r="O172" s="304" t="s">
        <v>216</v>
      </c>
      <c r="P172" s="318">
        <f>N172*8.937/1000</f>
        <v>0</v>
      </c>
      <c r="Q172" s="305" t="s">
        <v>215</v>
      </c>
      <c r="R172" s="61"/>
      <c r="S172" s="61"/>
      <c r="T172" s="61"/>
      <c r="U172" s="109"/>
      <c r="V172" s="109"/>
      <c r="W172" s="94"/>
      <c r="X172" s="155"/>
      <c r="Y172" s="96">
        <f>SUM(Y166:Y171)</f>
        <v>0</v>
      </c>
      <c r="Z172" s="164">
        <f>SUM(Z166:Z171)</f>
        <v>0</v>
      </c>
      <c r="AA172" s="62"/>
      <c r="AB172" s="62"/>
      <c r="AC172" s="62"/>
      <c r="AD172" s="62"/>
      <c r="AE172" s="62"/>
      <c r="AF172" s="62"/>
      <c r="AG172" s="162" t="s">
        <v>140</v>
      </c>
      <c r="AH172" s="162" t="s">
        <v>141</v>
      </c>
      <c r="AI172" s="162" t="s">
        <v>142</v>
      </c>
      <c r="AJ172" s="91" t="s">
        <v>126</v>
      </c>
      <c r="AK172" s="198" t="s">
        <v>136</v>
      </c>
      <c r="AL172" s="198" t="s">
        <v>137</v>
      </c>
      <c r="AM172" s="198" t="s">
        <v>138</v>
      </c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53" t="str">
        <f>IFERROR(W172/VLOOKUP($G172,нормы!$A$14:$BI$15,28,0),"")</f>
        <v/>
      </c>
    </row>
    <row r="173" spans="1:57" s="1" customFormat="1" ht="21.6" customHeight="1" x14ac:dyDescent="0.4">
      <c r="A173" s="37" t="str">
        <f t="shared" si="74"/>
        <v>3Н</v>
      </c>
      <c r="B173" s="12">
        <f>B171</f>
        <v>46025</v>
      </c>
      <c r="C173" s="97"/>
      <c r="D173" s="97">
        <v>2</v>
      </c>
      <c r="E173" s="29"/>
      <c r="F173" s="151" t="str">
        <f>IFERROR(VLOOKUP($G173,нормы!$A$14:$BC$57,2,0),"")</f>
        <v/>
      </c>
      <c r="G173" s="93"/>
      <c r="H173" s="54">
        <f>IF(C173=1,"Кульков С.А.", IF(C173=2,"Чудаков А.А.",IF(C173=3,"Королев В.Н.",IF(C173=4,"Николашин М.П.",IF(C173=5," Кульков С.А.",IF(C173=6,"А.А. Чудаков",IF(C173=7,"В.Н. Королев",IF(C173=8,"М.П. Николашин",0))))))))</f>
        <v>0</v>
      </c>
      <c r="I173" s="88" t="s">
        <v>211</v>
      </c>
      <c r="J173" s="332"/>
      <c r="K173" s="30">
        <f>IFERROR(VLOOKUP($G173,[1]нормы!$A$21:$BC$151,15,0),"")</f>
        <v>0</v>
      </c>
      <c r="L173" s="31">
        <f>IFERROR(VLOOKUP($G173,[1]нормы!$A$21:$BC$151,17,0),"")</f>
        <v>0</v>
      </c>
      <c r="M173" s="310">
        <f>IFERROR(VLOOKUP($G173,[1]нормы!$A$21:$BC$151,27,0),"")</f>
        <v>0</v>
      </c>
      <c r="N173" s="311" t="str">
        <f>IFERROR(Y173/Y179*(1.1*J173*I178),"")</f>
        <v/>
      </c>
      <c r="O173" s="300">
        <f>IFERROR(VLOOKUP($G173,[1]нормы!$A$21:$BC$151,21,0),"")</f>
        <v>0</v>
      </c>
      <c r="P173" s="35">
        <f>IFERROR(VLOOKUP($G173,[1]нормы!$A$21:$BC$151,19,0),"")</f>
        <v>0</v>
      </c>
      <c r="Q173" s="35">
        <f>IFERROR(VLOOKUP($G173,[1]нормы!$A$21:$BC$151,23,0),"")</f>
        <v>0</v>
      </c>
      <c r="R173" s="231">
        <f>IFERROR(VLOOKUP($G173,[1]нормы!$A$21:$BC$151,29,0),"")</f>
        <v>0</v>
      </c>
      <c r="S173" s="35">
        <f>IFERROR(VLOOKUP($G173,[1]нормы!$A$21:$BC$151,31,0),"")</f>
        <v>0</v>
      </c>
      <c r="T173" s="32">
        <f>IFERROR(VLOOKUP($G173,[1]нормы!$A$21:$BC$151,25,0),"")</f>
        <v>0</v>
      </c>
      <c r="U173" s="232" t="str">
        <f>IFERROR(W173/(((100*Y173/Y179)*I178)/100),"")</f>
        <v/>
      </c>
      <c r="V173" s="234" t="str">
        <f>IFERROR(VLOOKUP($G173,нормы!$A$14:$BC$57,38,0),"")</f>
        <v/>
      </c>
      <c r="W173" s="136"/>
      <c r="X173" s="236"/>
      <c r="Y173" s="152" t="str">
        <f>IFERROR(VLOOKUP($G173,нормы!$A$14:$BC$57,42,0)*W173,"")</f>
        <v/>
      </c>
      <c r="Z173" s="163">
        <f>IFERROR(VLOOKUP($G173,нормы!$A$14:$BC$57,14,0)*W173/1000,0)</f>
        <v>0</v>
      </c>
      <c r="AA173" s="33"/>
      <c r="AB173" s="36"/>
      <c r="AC173" s="36"/>
      <c r="AD173" s="36"/>
      <c r="AE173" s="34"/>
      <c r="AF173" s="159"/>
      <c r="AG173" s="390"/>
      <c r="AH173" s="393"/>
      <c r="AI173" s="396"/>
      <c r="AJ173" s="407">
        <f>AG173+AH173</f>
        <v>0</v>
      </c>
      <c r="AK173" s="359"/>
      <c r="AL173" s="359"/>
      <c r="AM173" s="359"/>
      <c r="AN173" s="287">
        <f>IFERROR(Y173*AJ173/Y179,)</f>
        <v>0</v>
      </c>
      <c r="AO173" s="197" t="str">
        <f>IFERROR(VLOOKUP($G173,нормы!$A$14:$BC$57,53,0)*$W173,"")</f>
        <v/>
      </c>
      <c r="AP173" s="288">
        <f>IFERROR(Y173*AI173/Y179,)</f>
        <v>0</v>
      </c>
      <c r="AQ173" s="197" t="str">
        <f>IFERROR(VLOOKUP($G173,нормы!$A$14:$BC$57,54,0)*$W173,"")</f>
        <v/>
      </c>
      <c r="AR173" s="288">
        <f>IFERROR(AS173/SUM(AS173:AS178)*AL173,0)</f>
        <v>0</v>
      </c>
      <c r="AS173" s="197" t="str">
        <f>IFERROR(VLOOKUP($G173,нормы!$A$14:$BC$57,55,0)*W173,"")</f>
        <v/>
      </c>
      <c r="AT173" s="288">
        <f>IFERROR(AU173/SUM(AU173:AU178)*AM173,0)</f>
        <v>0</v>
      </c>
      <c r="AU173" s="197" t="str">
        <f>IFERROR(VLOOKUP($G173,нормы!$A$14:$BI$57,56,0)*W173,"")</f>
        <v/>
      </c>
      <c r="AV173" s="288">
        <f>IFERROR(AW173/SUM(AW173:AW178)*AK173,0)</f>
        <v>0</v>
      </c>
      <c r="AW173" s="202" t="str">
        <f>IFERROR(VLOOKUP($G173,нормы!$A$14:$BI$57,57,0)*W173,"")</f>
        <v/>
      </c>
      <c r="AX173" s="33"/>
      <c r="AY173" s="203" t="str">
        <f>IFERROR(VLOOKUP($G173,нормы!$A$14:$BI$57,58,0)*W173,"")</f>
        <v/>
      </c>
      <c r="AZ173" s="204"/>
      <c r="BA173" s="200" t="str">
        <f>IFERROR(VLOOKUP($G173,нормы!$A$14:$BI$57,61,0)*$W173,"")</f>
        <v/>
      </c>
      <c r="BB173" s="33"/>
      <c r="BC173" s="203" t="str">
        <f>IFERROR(VLOOKUP($G173,нормы!$A$14:$BI$57,60,0)*W173,"")</f>
        <v/>
      </c>
      <c r="BD173" s="200" t="str">
        <f>IFERROR(VLOOKUP($G173,нормы!$A$14:$BG$57,44,0),"")</f>
        <v/>
      </c>
      <c r="BE173" s="199" t="str">
        <f>IFERROR(W173/VLOOKUP($G173,нормы!$A$14:$BI$57,45,0),"")</f>
        <v/>
      </c>
    </row>
    <row r="174" spans="1:57" s="1" customFormat="1" ht="21.6" customHeight="1" x14ac:dyDescent="0.4">
      <c r="A174" s="37" t="str">
        <f t="shared" si="74"/>
        <v>3Н</v>
      </c>
      <c r="B174" s="12">
        <f t="shared" ref="B174:D178" si="77">B173</f>
        <v>46025</v>
      </c>
      <c r="C174" s="97">
        <f t="shared" si="77"/>
        <v>0</v>
      </c>
      <c r="D174" s="97">
        <f t="shared" si="77"/>
        <v>2</v>
      </c>
      <c r="E174" s="54"/>
      <c r="F174" s="151" t="str">
        <f>IFERROR(VLOOKUP($G174,нормы!$A$14:$BC$57,2,0),"")</f>
        <v/>
      </c>
      <c r="G174" s="93"/>
      <c r="H174" s="54">
        <f t="shared" ref="H174:H178" si="78">IF(C174=1,"Кульков С.А.", IF(C174=2,"Чудаков А.А.",IF(C174=3,"Королев В.Н.",IF(C174=4,"Николашин М.П.",IF(C174=5," Кульков С.А.",IF(C174=6,"А.А. Чудаков",IF(C174=7,"В.Н. Королев",IF(C174=8,"М.П. Николашин",0))))))))</f>
        <v>0</v>
      </c>
      <c r="I174" s="55"/>
      <c r="J174" s="333"/>
      <c r="K174" s="30">
        <f>IFERROR(VLOOKUP($G174,[1]нормы!$A$21:$BC$151,15,0),"")</f>
        <v>0</v>
      </c>
      <c r="L174" s="31">
        <f>IFERROR(VLOOKUP($G174,[1]нормы!$A$21:$BC$151,17,0),"")</f>
        <v>0</v>
      </c>
      <c r="M174" s="306">
        <f>IFERROR(VLOOKUP($G174,[1]нормы!$A$21:$BC$151,27,0),"")</f>
        <v>0</v>
      </c>
      <c r="N174" s="307" t="str">
        <f>IFERROR(Y174/Y179*(1.1*J173*I178),"")</f>
        <v/>
      </c>
      <c r="O174" s="300">
        <f>IFERROR(VLOOKUP($G174,[1]нормы!$A$21:$BC$151,21,0),"")</f>
        <v>0</v>
      </c>
      <c r="P174" s="35">
        <f>IFERROR(VLOOKUP($G174,[1]нормы!$A$21:$BC$151,19,0),"")</f>
        <v>0</v>
      </c>
      <c r="Q174" s="35">
        <f>IFERROR(VLOOKUP($G174,[1]нормы!$A$21:$BC$151,23,0),"")</f>
        <v>0</v>
      </c>
      <c r="R174" s="231">
        <f>IFERROR(VLOOKUP($G174,[1]нормы!$A$21:$BC$151,29,0),"")</f>
        <v>0</v>
      </c>
      <c r="S174" s="35">
        <f>IFERROR(VLOOKUP($G174,[1]нормы!$A$21:$BC$151,31,0),"")</f>
        <v>0</v>
      </c>
      <c r="T174" s="32">
        <f>IFERROR(VLOOKUP($G174,[1]нормы!$A$21:$BC$151,25,0),"")</f>
        <v>0</v>
      </c>
      <c r="U174" s="233" t="str">
        <f>IFERROR(W174/(((100*Y174/Y179)*I178)/100),"")</f>
        <v/>
      </c>
      <c r="V174" s="234" t="str">
        <f>IFERROR(VLOOKUP($G174,нормы!$A$14:$BC$57,38,0),"")</f>
        <v/>
      </c>
      <c r="W174" s="136"/>
      <c r="X174" s="237"/>
      <c r="Y174" s="152" t="str">
        <f>IFERROR(VLOOKUP($G174,нормы!$A$14:$BC$57,42,0)*W174,"")</f>
        <v/>
      </c>
      <c r="Z174" s="163">
        <f>IFERROR(VLOOKUP($G174,нормы!$A$14:$BC$57,14,0)*W174/1000,0)</f>
        <v>0</v>
      </c>
      <c r="AA174" s="142"/>
      <c r="AB174" s="35"/>
      <c r="AC174" s="35"/>
      <c r="AD174" s="35"/>
      <c r="AE174" s="31"/>
      <c r="AF174" s="160"/>
      <c r="AG174" s="391"/>
      <c r="AH174" s="394"/>
      <c r="AI174" s="397"/>
      <c r="AJ174" s="408"/>
      <c r="AK174" s="360"/>
      <c r="AL174" s="360"/>
      <c r="AM174" s="360"/>
      <c r="AN174" s="289">
        <f>IFERROR(Y174*AJ173/Y179,)</f>
        <v>0</v>
      </c>
      <c r="AO174" s="197" t="str">
        <f>IFERROR(VLOOKUP($G174,нормы!$A$14:$BC$57,53,0)*$W174,"")</f>
        <v/>
      </c>
      <c r="AP174" s="290">
        <f>IFERROR(Y174*AI173/Y179,)</f>
        <v>0</v>
      </c>
      <c r="AQ174" s="197" t="str">
        <f>IFERROR(VLOOKUP($G174,нормы!$A$14:$BC$57,54,0)*$W174,"")</f>
        <v/>
      </c>
      <c r="AR174" s="290">
        <f>IFERROR(AS174/SUM(AS173:AS178)*AL173,0)</f>
        <v>0</v>
      </c>
      <c r="AS174" s="197" t="str">
        <f>IFERROR(VLOOKUP($G174,нормы!$A$14:$BC$57,55,0)*W174,"")</f>
        <v/>
      </c>
      <c r="AT174" s="290">
        <f>IFERROR(AU174/SUM(AU173:AU178)*AM173,0)</f>
        <v>0</v>
      </c>
      <c r="AU174" s="197" t="str">
        <f>IFERROR(VLOOKUP($G174,нормы!$A$14:$BI$57,56,0)*W174,"")</f>
        <v/>
      </c>
      <c r="AV174" s="290">
        <f>IFERROR(AW174/SUM(AW173:AW178)*AK173,0)</f>
        <v>0</v>
      </c>
      <c r="AW174" s="202" t="str">
        <f>IFERROR(VLOOKUP($G174,нормы!$A$14:$BI$57,57,0)*W174,"")</f>
        <v/>
      </c>
      <c r="AX174" s="30"/>
      <c r="AY174" s="203" t="str">
        <f>IFERROR(VLOOKUP($G174,нормы!$A$14:$BI$57,58,0)*W174,"")</f>
        <v/>
      </c>
      <c r="AZ174" s="205"/>
      <c r="BA174" s="200" t="str">
        <f>IFERROR(VLOOKUP($G174,нормы!$A$14:$BI$57,61,0)*$W174,"")</f>
        <v/>
      </c>
      <c r="BB174" s="30"/>
      <c r="BC174" s="203" t="str">
        <f>IFERROR(VLOOKUP($G174,нормы!$A$14:$BI$57,60,0)*W174,"")</f>
        <v/>
      </c>
      <c r="BD174" s="200" t="str">
        <f>IFERROR(VLOOKUP($G174,нормы!$A$14:$BG$57,44,0),"")</f>
        <v/>
      </c>
      <c r="BE174" s="199" t="str">
        <f>IFERROR(W174/VLOOKUP($G174,нормы!$A$14:$BI$57,45,0),"")</f>
        <v/>
      </c>
    </row>
    <row r="175" spans="1:57" s="1" customFormat="1" ht="20.25" customHeight="1" x14ac:dyDescent="0.4">
      <c r="A175" s="37" t="str">
        <f t="shared" si="74"/>
        <v>3Н</v>
      </c>
      <c r="B175" s="12">
        <f t="shared" si="77"/>
        <v>46025</v>
      </c>
      <c r="C175" s="97">
        <f t="shared" si="77"/>
        <v>0</v>
      </c>
      <c r="D175" s="97">
        <f t="shared" si="77"/>
        <v>2</v>
      </c>
      <c r="E175" s="54"/>
      <c r="F175" s="151" t="str">
        <f>IFERROR(VLOOKUP($G175,нормы!$A$14:$BC$57,2,0),"")</f>
        <v/>
      </c>
      <c r="G175" s="38"/>
      <c r="H175" s="54">
        <f t="shared" si="78"/>
        <v>0</v>
      </c>
      <c r="I175" s="89" t="s">
        <v>212</v>
      </c>
      <c r="J175" s="333"/>
      <c r="K175" s="30">
        <f>IFERROR(VLOOKUP($G175,[1]нормы!$A$21:$BC$151,15,0),"")</f>
        <v>0</v>
      </c>
      <c r="L175" s="31">
        <f>IFERROR(VLOOKUP($G175,[1]нормы!$A$21:$BC$151,17,0),"")</f>
        <v>0</v>
      </c>
      <c r="M175" s="306">
        <f>IFERROR(VLOOKUP($G175,[1]нормы!$A$21:$BC$151,27,0),"")</f>
        <v>0</v>
      </c>
      <c r="N175" s="307" t="str">
        <f>IFERROR(Y175/Y179*(1.1*J173*I178),"")</f>
        <v/>
      </c>
      <c r="O175" s="300">
        <f>IFERROR(VLOOKUP($G175,[1]нормы!$A$21:$BC$151,21,0),"")</f>
        <v>0</v>
      </c>
      <c r="P175" s="35">
        <f>IFERROR(VLOOKUP($G175,[1]нормы!$A$21:$BC$151,19,0),"")</f>
        <v>0</v>
      </c>
      <c r="Q175" s="35">
        <f>IFERROR(VLOOKUP($G175,[1]нормы!$A$21:$BC$151,23,0),"")</f>
        <v>0</v>
      </c>
      <c r="R175" s="231">
        <f>IFERROR(VLOOKUP($G175,[1]нормы!$A$21:$BC$151,29,0),"")</f>
        <v>0</v>
      </c>
      <c r="S175" s="35">
        <f>IFERROR(VLOOKUP($G175,[1]нормы!$A$21:$BC$151,31,0),"")</f>
        <v>0</v>
      </c>
      <c r="T175" s="32">
        <f>IFERROR(VLOOKUP($G175,[1]нормы!$A$21:$BC$151,25,0),"")</f>
        <v>0</v>
      </c>
      <c r="U175" s="233" t="str">
        <f>IFERROR(W175/(((100*Y175/Y179)*I178)/100),"")</f>
        <v/>
      </c>
      <c r="V175" s="234" t="str">
        <f>IFERROR(VLOOKUP($G175,нормы!$A$14:$BC$57,38,0),"")</f>
        <v/>
      </c>
      <c r="W175" s="136"/>
      <c r="X175" s="237"/>
      <c r="Y175" s="152" t="str">
        <f>IFERROR(VLOOKUP($G175,нормы!$A$14:$BC$57,42,0)*W175,"")</f>
        <v/>
      </c>
      <c r="Z175" s="163">
        <f>IFERROR(VLOOKUP($G175,нормы!$A$14:$BC$57,14,0)*W175/1000,0)</f>
        <v>0</v>
      </c>
      <c r="AA175" s="30"/>
      <c r="AB175" s="35"/>
      <c r="AC175" s="35"/>
      <c r="AD175" s="35"/>
      <c r="AE175" s="31"/>
      <c r="AF175" s="160"/>
      <c r="AG175" s="391"/>
      <c r="AH175" s="394"/>
      <c r="AI175" s="397"/>
      <c r="AJ175" s="408"/>
      <c r="AK175" s="360"/>
      <c r="AL175" s="360"/>
      <c r="AM175" s="360"/>
      <c r="AN175" s="289">
        <f>IFERROR(Y175*AJ173/Y179,)</f>
        <v>0</v>
      </c>
      <c r="AO175" s="197" t="str">
        <f>IFERROR(VLOOKUP($G175,нормы!$A$14:$BC$57,53,0)*$W175,"")</f>
        <v/>
      </c>
      <c r="AP175" s="290">
        <f>IFERROR(Y175*AI173/Y179,)</f>
        <v>0</v>
      </c>
      <c r="AQ175" s="197" t="str">
        <f>IFERROR(VLOOKUP($G175,нормы!$A$14:$BC$57,54,0)*$W175,"")</f>
        <v/>
      </c>
      <c r="AR175" s="290">
        <f>IFERROR(AS175/SUM(AS173:AS178)*AL173,0)</f>
        <v>0</v>
      </c>
      <c r="AS175" s="197" t="str">
        <f>IFERROR(VLOOKUP($G175,нормы!$A$14:$BC$57,55,0)*W175,"")</f>
        <v/>
      </c>
      <c r="AT175" s="290">
        <f>IFERROR(AU175/SUM(AU173:AU178)*AM173,0)</f>
        <v>0</v>
      </c>
      <c r="AU175" s="197" t="str">
        <f>IFERROR(VLOOKUP($G175,нормы!$A$14:$BI$57,56,0)*W175,"")</f>
        <v/>
      </c>
      <c r="AV175" s="290">
        <f>IFERROR(AW175/SUM(AW173:AW178)*AK173,0)</f>
        <v>0</v>
      </c>
      <c r="AW175" s="202" t="str">
        <f>IFERROR(VLOOKUP($G175,нормы!$A$14:$BI$57,57,0)*W175,"")</f>
        <v/>
      </c>
      <c r="AX175" s="30"/>
      <c r="AY175" s="203" t="str">
        <f>IFERROR(VLOOKUP($G175,нормы!$A$14:$BI$57,58,0)*W175,"")</f>
        <v/>
      </c>
      <c r="AZ175" s="205"/>
      <c r="BA175" s="200" t="str">
        <f>IFERROR(VLOOKUP($G175,нормы!$A$14:$BI$57,61,0)*$W175,"")</f>
        <v/>
      </c>
      <c r="BB175" s="30"/>
      <c r="BC175" s="203" t="str">
        <f>IFERROR(VLOOKUP($G175,нормы!$A$14:$BI$57,60,0)*W175,"")</f>
        <v/>
      </c>
      <c r="BD175" s="200" t="str">
        <f>IFERROR(VLOOKUP($G175,нормы!$A$14:$BG$57,44,0),"")</f>
        <v/>
      </c>
      <c r="BE175" s="199" t="str">
        <f>IFERROR(W175/VLOOKUP($G175,нормы!$A$14:$BI$57,45,0),"")</f>
        <v/>
      </c>
    </row>
    <row r="176" spans="1:57" s="1" customFormat="1" ht="20.25" customHeight="1" x14ac:dyDescent="0.4">
      <c r="A176" s="37" t="str">
        <f t="shared" si="74"/>
        <v>3Н</v>
      </c>
      <c r="B176" s="12">
        <f t="shared" si="77"/>
        <v>46025</v>
      </c>
      <c r="C176" s="97">
        <f t="shared" si="77"/>
        <v>0</v>
      </c>
      <c r="D176" s="97">
        <f t="shared" si="77"/>
        <v>2</v>
      </c>
      <c r="E176" s="54"/>
      <c r="F176" s="151" t="str">
        <f>IFERROR(VLOOKUP($G176,нормы!$A$14:$BC$57,2,0),"")</f>
        <v/>
      </c>
      <c r="G176" s="93"/>
      <c r="H176" s="54">
        <f t="shared" si="78"/>
        <v>0</v>
      </c>
      <c r="I176" s="55"/>
      <c r="J176" s="333"/>
      <c r="K176" s="30">
        <f>IFERROR(VLOOKUP($G176,[1]нормы!$A$21:$BC$151,15,0),"")</f>
        <v>0</v>
      </c>
      <c r="L176" s="31">
        <f>IFERROR(VLOOKUP($G176,[1]нормы!$A$21:$BC$151,17,0),"")</f>
        <v>0</v>
      </c>
      <c r="M176" s="306">
        <f>IFERROR(VLOOKUP($G176,[1]нормы!$A$21:$BC$151,27,0),"")</f>
        <v>0</v>
      </c>
      <c r="N176" s="307" t="str">
        <f>IFERROR(Y176/Y179*(1.1*J173*I181),"")</f>
        <v/>
      </c>
      <c r="O176" s="300">
        <f>IFERROR(VLOOKUP($G176,[1]нормы!$A$21:$BC$151,21,0),"")</f>
        <v>0</v>
      </c>
      <c r="P176" s="35">
        <f>IFERROR(VLOOKUP($G176,[1]нормы!$A$21:$BC$151,19,0),"")</f>
        <v>0</v>
      </c>
      <c r="Q176" s="35">
        <f>IFERROR(VLOOKUP($G176,[1]нормы!$A$21:$BC$151,23,0),"")</f>
        <v>0</v>
      </c>
      <c r="R176" s="231">
        <f>IFERROR(VLOOKUP($G176,[1]нормы!$A$21:$BC$151,29,0),"")</f>
        <v>0</v>
      </c>
      <c r="S176" s="35">
        <f>IFERROR(VLOOKUP($G176,[1]нормы!$A$21:$BC$151,31,0),"")</f>
        <v>0</v>
      </c>
      <c r="T176" s="32">
        <f>IFERROR(VLOOKUP($G176,[1]нормы!$A$21:$BC$151,25,0),"")</f>
        <v>0</v>
      </c>
      <c r="U176" s="233" t="str">
        <f>IFERROR(W176/(((100*Y176/Y179)*I178)/100),"")</f>
        <v/>
      </c>
      <c r="V176" s="234" t="str">
        <f>IFERROR(VLOOKUP($G176,нормы!$A$14:$BC$57,38,0),"")</f>
        <v/>
      </c>
      <c r="W176" s="136"/>
      <c r="X176" s="237"/>
      <c r="Y176" s="152" t="str">
        <f>IFERROR(VLOOKUP($G176,нормы!$A$14:$BC$57,42,0)*W176,"")</f>
        <v/>
      </c>
      <c r="Z176" s="163">
        <f>IFERROR(VLOOKUP($G176,нормы!$A$14:$BC$57,14,0)*W176/1000,0)</f>
        <v>0</v>
      </c>
      <c r="AA176" s="30"/>
      <c r="AB176" s="35"/>
      <c r="AC176" s="35"/>
      <c r="AD176" s="35"/>
      <c r="AE176" s="31"/>
      <c r="AF176" s="160"/>
      <c r="AG176" s="391"/>
      <c r="AH176" s="394"/>
      <c r="AI176" s="397"/>
      <c r="AJ176" s="408"/>
      <c r="AK176" s="360"/>
      <c r="AL176" s="360"/>
      <c r="AM176" s="360"/>
      <c r="AN176" s="289">
        <f>IFERROR(Y176*AJ173/Y179,)</f>
        <v>0</v>
      </c>
      <c r="AO176" s="197" t="str">
        <f>IFERROR(VLOOKUP($G176,нормы!$A$14:$BC$57,53,0)*$W176,"")</f>
        <v/>
      </c>
      <c r="AP176" s="290">
        <f>IFERROR(Y176*AI173/Y179,)</f>
        <v>0</v>
      </c>
      <c r="AQ176" s="197" t="str">
        <f>IFERROR(VLOOKUP($G176,нормы!$A$14:$BC$57,54,0)*$W176,"")</f>
        <v/>
      </c>
      <c r="AR176" s="290">
        <f>IFERROR(AS176/SUM(AS173:AS178)*AL173,0)</f>
        <v>0</v>
      </c>
      <c r="AS176" s="197" t="str">
        <f>IFERROR(VLOOKUP($G176,нормы!$A$14:$BC$57,55,0)*W176,"")</f>
        <v/>
      </c>
      <c r="AT176" s="290">
        <f>IFERROR(AU176/SUM(AU173:AU178)*AM173,0)</f>
        <v>0</v>
      </c>
      <c r="AU176" s="197" t="str">
        <f>IFERROR(VLOOKUP($G176,нормы!$A$14:$BI$57,56,0)*W176,"")</f>
        <v/>
      </c>
      <c r="AV176" s="290">
        <f>IFERROR(AW176/SUM(AW173:AW178)*AK173,0)</f>
        <v>0</v>
      </c>
      <c r="AW176" s="202" t="str">
        <f>IFERROR(VLOOKUP($G176,нормы!$A$14:$BI$57,57,0)*W176,"")</f>
        <v/>
      </c>
      <c r="AX176" s="30"/>
      <c r="AY176" s="203" t="str">
        <f>IFERROR(VLOOKUP($G176,нормы!$A$14:$BI$57,58,0)*W176,"")</f>
        <v/>
      </c>
      <c r="AZ176" s="205"/>
      <c r="BA176" s="200" t="str">
        <f>IFERROR(VLOOKUP($G176,нормы!$A$14:$BI$57,61,0)*$W176,"")</f>
        <v/>
      </c>
      <c r="BB176" s="30"/>
      <c r="BC176" s="203" t="str">
        <f>IFERROR(VLOOKUP($G176,нормы!$A$14:$BI$57,60,0)*W176,"")</f>
        <v/>
      </c>
      <c r="BD176" s="200" t="str">
        <f>IFERROR(VLOOKUP($G176,нормы!$A$14:$BG$57,44,0),"")</f>
        <v/>
      </c>
      <c r="BE176" s="199" t="str">
        <f>IFERROR(W176/VLOOKUP($G176,нормы!$A$14:$BI$57,45,0),"")</f>
        <v/>
      </c>
    </row>
    <row r="177" spans="1:57" s="1" customFormat="1" ht="20.25" customHeight="1" x14ac:dyDescent="0.4">
      <c r="A177" s="37" t="str">
        <f t="shared" si="74"/>
        <v>3Н</v>
      </c>
      <c r="B177" s="12">
        <f t="shared" si="77"/>
        <v>46025</v>
      </c>
      <c r="C177" s="97">
        <f t="shared" si="77"/>
        <v>0</v>
      </c>
      <c r="D177" s="97">
        <f t="shared" si="77"/>
        <v>2</v>
      </c>
      <c r="E177" s="54"/>
      <c r="F177" s="151" t="str">
        <f>IFERROR(VLOOKUP($G177,нормы!$A$14:$BC$57,2,0),"")</f>
        <v/>
      </c>
      <c r="G177" s="38"/>
      <c r="H177" s="54">
        <f t="shared" si="78"/>
        <v>0</v>
      </c>
      <c r="I177" s="89" t="s">
        <v>73</v>
      </c>
      <c r="J177" s="333"/>
      <c r="K177" s="30">
        <f>IFERROR(VLOOKUP($G177,[1]нормы!$A$21:$BC$151,15,0),"")</f>
        <v>0</v>
      </c>
      <c r="L177" s="31">
        <f>IFERROR(VLOOKUP($G177,[1]нормы!$A$21:$BC$151,17,0),"")</f>
        <v>0</v>
      </c>
      <c r="M177" s="306">
        <f>IFERROR(VLOOKUP($G177,[1]нормы!$A$21:$BC$151,27,0),"")</f>
        <v>0</v>
      </c>
      <c r="N177" s="307" t="str">
        <f>IFERROR(Y177/Y179*(1.1*J173*I182),"")</f>
        <v/>
      </c>
      <c r="O177" s="300">
        <f>IFERROR(VLOOKUP($G177,[1]нормы!$A$21:$BC$151,21,0),"")</f>
        <v>0</v>
      </c>
      <c r="P177" s="35">
        <f>IFERROR(VLOOKUP($G177,[1]нормы!$A$21:$BC$151,19,0),"")</f>
        <v>0</v>
      </c>
      <c r="Q177" s="35">
        <f>IFERROR(VLOOKUP($G177,[1]нормы!$A$21:$BC$151,23,0),"")</f>
        <v>0</v>
      </c>
      <c r="R177" s="231">
        <f>IFERROR(VLOOKUP($G177,[1]нормы!$A$21:$BC$151,29,0),"")</f>
        <v>0</v>
      </c>
      <c r="S177" s="35">
        <f>IFERROR(VLOOKUP($G177,[1]нормы!$A$21:$BC$151,31,0),"")</f>
        <v>0</v>
      </c>
      <c r="T177" s="32">
        <f>IFERROR(VLOOKUP($G177,[1]нормы!$A$21:$BC$151,25,0),"")</f>
        <v>0</v>
      </c>
      <c r="U177" s="233" t="str">
        <f>IFERROR(W177/(((100*Y177/Y179)*I178)/100),"")</f>
        <v/>
      </c>
      <c r="V177" s="234" t="str">
        <f>IFERROR(VLOOKUP($G177,нормы!$A$14:$BC$57,38,0),"")</f>
        <v/>
      </c>
      <c r="W177" s="136"/>
      <c r="X177" s="237"/>
      <c r="Y177" s="152" t="str">
        <f>IFERROR(VLOOKUP($G177,нормы!$A$14:$BC$57,42,0)*W177,"")</f>
        <v/>
      </c>
      <c r="Z177" s="163">
        <f>IFERROR(VLOOKUP($G177,нормы!$A$14:$BC$57,14,0)*W177/1000,0)</f>
        <v>0</v>
      </c>
      <c r="AA177" s="30"/>
      <c r="AB177" s="35"/>
      <c r="AC177" s="35"/>
      <c r="AD177" s="35"/>
      <c r="AE177" s="31"/>
      <c r="AF177" s="160"/>
      <c r="AG177" s="391"/>
      <c r="AH177" s="394"/>
      <c r="AI177" s="397"/>
      <c r="AJ177" s="408"/>
      <c r="AK177" s="360"/>
      <c r="AL177" s="360"/>
      <c r="AM177" s="360"/>
      <c r="AN177" s="289">
        <f>IFERROR(Y177*AJ173/Y179,)</f>
        <v>0</v>
      </c>
      <c r="AO177" s="197" t="str">
        <f>IFERROR(VLOOKUP($G177,нормы!$A$14:$BC$57,53,0)*$W177,"")</f>
        <v/>
      </c>
      <c r="AP177" s="290">
        <f>IFERROR(Y177*AI173/Y179,)</f>
        <v>0</v>
      </c>
      <c r="AQ177" s="197" t="str">
        <f>IFERROR(VLOOKUP($G177,нормы!$A$14:$BC$57,54,0)*$W177,"")</f>
        <v/>
      </c>
      <c r="AR177" s="290">
        <f>IFERROR(AS177/SUM(AS173:AS178)*AL173,0)</f>
        <v>0</v>
      </c>
      <c r="AS177" s="197" t="str">
        <f>IFERROR(VLOOKUP($G177,нормы!$A$14:$BC$57,55,0)*W177,"")</f>
        <v/>
      </c>
      <c r="AT177" s="290">
        <f>IFERROR(AU177/SUM(AU173:AU178)*AM173,0)</f>
        <v>0</v>
      </c>
      <c r="AU177" s="197" t="str">
        <f>IFERROR(VLOOKUP($G177,нормы!$A$14:$BI$57,56,0)*W177,"")</f>
        <v/>
      </c>
      <c r="AV177" s="290">
        <f>IFERROR(AW177/SUM(AW173:AW178)*AK173,0)</f>
        <v>0</v>
      </c>
      <c r="AW177" s="202" t="str">
        <f>IFERROR(VLOOKUP($G177,нормы!$A$14:$BI$57,57,0)*W177,"")</f>
        <v/>
      </c>
      <c r="AX177" s="30"/>
      <c r="AY177" s="203" t="str">
        <f>IFERROR(VLOOKUP($G177,нормы!$A$14:$BI$57,58,0)*W177,"")</f>
        <v/>
      </c>
      <c r="AZ177" s="205"/>
      <c r="BA177" s="200" t="str">
        <f>IFERROR(VLOOKUP($G177,нормы!$A$14:$BI$57,61,0)*$W177,"")</f>
        <v/>
      </c>
      <c r="BB177" s="30"/>
      <c r="BC177" s="203" t="str">
        <f>IFERROR(VLOOKUP($G177,нормы!$A$14:$BI$57,60,0)*W177,"")</f>
        <v/>
      </c>
      <c r="BD177" s="200" t="str">
        <f>IFERROR(VLOOKUP($G177,нормы!$A$14:$BG$57,44,0),"")</f>
        <v/>
      </c>
      <c r="BE177" s="199" t="str">
        <f>IFERROR(W177/VLOOKUP($G177,нормы!$A$14:$BI$57,45,0),"")</f>
        <v/>
      </c>
    </row>
    <row r="178" spans="1:57" s="1" customFormat="1" ht="21" customHeight="1" thickBot="1" x14ac:dyDescent="0.45">
      <c r="A178" s="37" t="str">
        <f t="shared" si="74"/>
        <v>3Н</v>
      </c>
      <c r="B178" s="12">
        <f t="shared" si="77"/>
        <v>46025</v>
      </c>
      <c r="C178" s="97">
        <f t="shared" si="77"/>
        <v>0</v>
      </c>
      <c r="D178" s="97">
        <f t="shared" si="77"/>
        <v>2</v>
      </c>
      <c r="E178" s="54"/>
      <c r="F178" s="151" t="str">
        <f>IFERROR(VLOOKUP($G178,нормы!$A$14:$BC$57,2,0),"")</f>
        <v/>
      </c>
      <c r="G178" s="93"/>
      <c r="H178" s="63">
        <f t="shared" si="78"/>
        <v>0</v>
      </c>
      <c r="I178" s="153">
        <f>I174+I176</f>
        <v>0</v>
      </c>
      <c r="J178" s="334"/>
      <c r="K178" s="30">
        <f>IFERROR(VLOOKUP($G178,[1]нормы!$A$21:$BC$151,15,0),"")</f>
        <v>0</v>
      </c>
      <c r="L178" s="31">
        <f>IFERROR(VLOOKUP($G178,[1]нормы!$A$21:$BC$151,17,0),"")</f>
        <v>0</v>
      </c>
      <c r="M178" s="308">
        <f>IFERROR(VLOOKUP($G178,[1]нормы!$A$21:$BC$151,27,0),"")</f>
        <v>0</v>
      </c>
      <c r="N178" s="309" t="str">
        <f>IFERROR(Y178/Y179*(1.1*J173*I183),"")</f>
        <v/>
      </c>
      <c r="O178" s="300">
        <f>IFERROR(VLOOKUP($G178,[1]нормы!$A$21:$BC$151,21,0),"")</f>
        <v>0</v>
      </c>
      <c r="P178" s="35">
        <f>IFERROR(VLOOKUP($G178,[1]нормы!$A$21:$BC$151,19,0),"")</f>
        <v>0</v>
      </c>
      <c r="Q178" s="35">
        <f>IFERROR(VLOOKUP($G178,[1]нормы!$A$21:$BC$151,23,0),"")</f>
        <v>0</v>
      </c>
      <c r="R178" s="231">
        <f>IFERROR(VLOOKUP($G178,[1]нормы!$A$21:$BC$151,29,0),"")</f>
        <v>0</v>
      </c>
      <c r="S178" s="35">
        <f>IFERROR(VLOOKUP($G178,[1]нормы!$A$21:$BC$151,31,0),"")</f>
        <v>0</v>
      </c>
      <c r="T178" s="32">
        <f>IFERROR(VLOOKUP($G178,[1]нормы!$A$21:$BC$151,25,0),"")</f>
        <v>0</v>
      </c>
      <c r="U178" s="235" t="str">
        <f>IFERROR(W178/(((100*Y178/Y179)*I178)/100),"")</f>
        <v/>
      </c>
      <c r="V178" s="234" t="str">
        <f>IFERROR(VLOOKUP($G178,нормы!$A$14:$BC$57,38,0),"")</f>
        <v/>
      </c>
      <c r="W178" s="154"/>
      <c r="X178" s="238"/>
      <c r="Y178" s="152" t="str">
        <f>IFERROR(VLOOKUP($G178,нормы!$A$14:$BC$57,42,0)*W178,"")</f>
        <v/>
      </c>
      <c r="Z178" s="163">
        <f>IFERROR(VLOOKUP($G178,нормы!$A$14:$BC$57,14,0)*W178/1000,0)</f>
        <v>0</v>
      </c>
      <c r="AA178" s="56"/>
      <c r="AB178" s="58"/>
      <c r="AC178" s="58"/>
      <c r="AD178" s="58"/>
      <c r="AE178" s="57"/>
      <c r="AF178" s="161"/>
      <c r="AG178" s="392"/>
      <c r="AH178" s="395"/>
      <c r="AI178" s="398"/>
      <c r="AJ178" s="409"/>
      <c r="AK178" s="361"/>
      <c r="AL178" s="361"/>
      <c r="AM178" s="361"/>
      <c r="AN178" s="291">
        <f>IFERROR(Y178*AJ173/Y179,)</f>
        <v>0</v>
      </c>
      <c r="AO178" s="197" t="str">
        <f>IFERROR(VLOOKUP($G178,нормы!$A$14:$BC$57,53,0)*$W178,"")</f>
        <v/>
      </c>
      <c r="AP178" s="292">
        <f>IFERROR(Y178*AI173/Y179,)</f>
        <v>0</v>
      </c>
      <c r="AQ178" s="197" t="str">
        <f>IFERROR(VLOOKUP($G178,нормы!$A$14:$BC$57,54,0)*$W178,"")</f>
        <v/>
      </c>
      <c r="AR178" s="290">
        <f>IFERROR(AS178/SUM(AS173:AS178)*AL173,0)</f>
        <v>0</v>
      </c>
      <c r="AS178" s="197" t="str">
        <f>IFERROR(VLOOKUP($G178,нормы!$A$14:$BC$57,55,0)*W178,"")</f>
        <v/>
      </c>
      <c r="AT178" s="292">
        <f>IFERROR(AU178/SUM(AU173:AU178)*AM173,0)</f>
        <v>0</v>
      </c>
      <c r="AU178" s="197" t="str">
        <f>IFERROR(VLOOKUP($G178,нормы!$A$14:$BI$57,56,0)*W178,"")</f>
        <v/>
      </c>
      <c r="AV178" s="292">
        <f>IFERROR(AW178/SUM(AW173:AW178)*AK173,0)</f>
        <v>0</v>
      </c>
      <c r="AW178" s="202" t="str">
        <f>IFERROR(VLOOKUP($G178,нормы!$A$14:$BI$57,57,0)*W178,"")</f>
        <v/>
      </c>
      <c r="AX178" s="56"/>
      <c r="AY178" s="203" t="str">
        <f>IFERROR(VLOOKUP($G178,нормы!$A$14:$BI$57,58,0)*W178,"")</f>
        <v/>
      </c>
      <c r="AZ178" s="206"/>
      <c r="BA178" s="200" t="str">
        <f>IFERROR(VLOOKUP($G178,нормы!$A$14:$BI$57,61,0)*$W178,"")</f>
        <v/>
      </c>
      <c r="BB178" s="56"/>
      <c r="BC178" s="203" t="str">
        <f>IFERROR(VLOOKUP($G178,нормы!$A$14:$BI$57,60,0)*W178,"")</f>
        <v/>
      </c>
      <c r="BD178" s="200" t="str">
        <f>IFERROR(VLOOKUP($G178,нормы!$A$14:$BG$57,44,0),"")</f>
        <v/>
      </c>
      <c r="BE178" s="199" t="str">
        <f>IFERROR(W178/VLOOKUP($G178,нормы!$A$14:$BI$57,45,0),"")</f>
        <v/>
      </c>
    </row>
    <row r="179" spans="1:57" s="1" customFormat="1" ht="29.4" customHeight="1" thickBot="1" x14ac:dyDescent="0.45">
      <c r="A179" s="37" t="str">
        <f t="shared" si="74"/>
        <v>3Н</v>
      </c>
      <c r="B179" s="59"/>
      <c r="C179" s="51"/>
      <c r="D179" s="51"/>
      <c r="E179" s="51"/>
      <c r="F179" s="51"/>
      <c r="G179" s="51"/>
      <c r="H179" s="51"/>
      <c r="I179" s="60"/>
      <c r="J179" s="60"/>
      <c r="K179" s="319" t="s">
        <v>213</v>
      </c>
      <c r="L179" s="316"/>
      <c r="M179" s="303" t="s">
        <v>213</v>
      </c>
      <c r="N179" s="317">
        <f>SUM(N173:N178)</f>
        <v>0</v>
      </c>
      <c r="O179" s="304" t="s">
        <v>217</v>
      </c>
      <c r="P179" s="318">
        <f>N179*8.937/1000</f>
        <v>0</v>
      </c>
      <c r="Q179" s="305" t="s">
        <v>215</v>
      </c>
      <c r="R179" s="61"/>
      <c r="S179" s="61"/>
      <c r="T179" s="61"/>
      <c r="U179" s="109"/>
      <c r="V179" s="109"/>
      <c r="W179" s="94"/>
      <c r="X179" s="155"/>
      <c r="Y179" s="96">
        <f>SUM(Y173:Y178)</f>
        <v>0</v>
      </c>
      <c r="Z179" s="164">
        <f>SUM(Z173:Z178)</f>
        <v>0</v>
      </c>
      <c r="AA179" s="207">
        <f>(AA165+AA166+AA167+AA168+AA169+AA170+AA171+AA173+AA174+AA175+AA176+AA177+AA178)-AG166</f>
        <v>1</v>
      </c>
      <c r="AB179" s="208">
        <f>(AB165+AB166+AB167+AB168+AB169+AB170+AB171+AB173+AB174+AB175+AB176+AB177+AB178)-AH166</f>
        <v>2</v>
      </c>
      <c r="AC179" s="208">
        <f>(AC165+AC166+AC167+AC168+AC169+AC170+AC171+AC173+AC174+AC175+AC176+AC177+AC178)-AG173</f>
        <v>3</v>
      </c>
      <c r="AD179" s="208">
        <f>(AD165+AD166+AD167+AD168+AD169+AD170+AD171+AD173+AD174+AD175+AD176+AD177+AD178)-AH173</f>
        <v>4</v>
      </c>
      <c r="AE179" s="208">
        <f>(AE165+AE166+AE167+AE168+AE169+AE170+AE171+AE173+AE174+AE175+AE176+AE177+AE178)-AI166</f>
        <v>5</v>
      </c>
      <c r="AF179" s="209">
        <f>(AF165+AF166+AF167+AF168+AF169+AF170+AF171+AF173+AF174+AF175+AF176+AF177+AF178)-AI173</f>
        <v>6</v>
      </c>
      <c r="AG179" s="62"/>
      <c r="AH179" s="62"/>
      <c r="AI179" s="62"/>
      <c r="AJ179" s="62"/>
      <c r="AK179" s="62"/>
      <c r="AL179" s="62"/>
      <c r="AM179" s="62"/>
      <c r="AN179" s="91">
        <f>SUM(AN173:AN178)</f>
        <v>0</v>
      </c>
      <c r="AO179" s="91">
        <f>SUM(AO173:AO178)</f>
        <v>0</v>
      </c>
      <c r="AP179" s="91"/>
      <c r="AQ179" s="91"/>
      <c r="AR179" s="91">
        <f>SUM(AR173:AR178)</f>
        <v>0</v>
      </c>
      <c r="AS179" s="91">
        <f t="shared" ref="AS179:AW179" si="79">SUM(AS173:AS178)</f>
        <v>0</v>
      </c>
      <c r="AT179" s="91">
        <f t="shared" si="79"/>
        <v>0</v>
      </c>
      <c r="AU179" s="91">
        <f t="shared" si="79"/>
        <v>0</v>
      </c>
      <c r="AV179" s="91">
        <f t="shared" si="79"/>
        <v>0</v>
      </c>
      <c r="AW179" s="91">
        <f t="shared" si="79"/>
        <v>0</v>
      </c>
      <c r="AX179" s="91">
        <f>SUM(AX173:AX178)</f>
        <v>0</v>
      </c>
      <c r="AY179" s="91">
        <f>SUM(AY173:AY178)</f>
        <v>0</v>
      </c>
      <c r="AZ179" s="91">
        <f>SUM(AZ173:AZ178)</f>
        <v>0</v>
      </c>
      <c r="BA179" s="91"/>
      <c r="BB179" s="91"/>
      <c r="BC179" s="91"/>
      <c r="BD179" s="91" t="str">
        <f>IFERROR(VLOOKUP($G179,нормы!$A$14:$BG$15,27,0),"")</f>
        <v/>
      </c>
      <c r="BE179" s="53" t="str">
        <f>IFERROR(W179/VLOOKUP($G179,нормы!$A$14:$BI$15,28,0),"")</f>
        <v/>
      </c>
    </row>
    <row r="180" spans="1:57" s="1" customFormat="1" ht="29.4" customHeight="1" thickBot="1" x14ac:dyDescent="0.5">
      <c r="A180" s="37" t="str">
        <f t="shared" si="74"/>
        <v>3Н</v>
      </c>
      <c r="B180" s="166" t="s">
        <v>130</v>
      </c>
      <c r="C180" s="167"/>
      <c r="D180" s="167"/>
      <c r="E180" s="167"/>
      <c r="F180" s="165"/>
      <c r="G180" s="167"/>
      <c r="H180" s="167"/>
      <c r="I180" s="168"/>
      <c r="J180" s="168"/>
      <c r="K180" s="168"/>
      <c r="L180" s="168"/>
      <c r="M180" s="168"/>
      <c r="N180" s="168"/>
      <c r="O180" s="167"/>
      <c r="P180" s="169"/>
      <c r="Q180" s="169"/>
      <c r="R180" s="169"/>
      <c r="S180" s="169"/>
      <c r="T180" s="169"/>
      <c r="U180" s="170"/>
      <c r="V180" s="170"/>
      <c r="W180" s="171"/>
      <c r="X180" s="171"/>
      <c r="Y180" s="172"/>
      <c r="Z180" s="172"/>
      <c r="AA180" s="201" t="s">
        <v>144</v>
      </c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64"/>
      <c r="AN180" s="167"/>
      <c r="AO180" s="167"/>
      <c r="AP180" s="167"/>
      <c r="AQ180" s="167"/>
      <c r="AR180" s="64"/>
      <c r="AS180" s="64"/>
      <c r="AT180" s="65"/>
      <c r="AU180" s="64"/>
      <c r="AV180" s="49"/>
      <c r="AW180" s="49"/>
      <c r="AX180" s="167"/>
      <c r="AY180" s="167"/>
      <c r="AZ180" s="167"/>
      <c r="BA180" s="167"/>
      <c r="BB180" s="167"/>
      <c r="BC180" s="167"/>
      <c r="BD180" s="66"/>
      <c r="BE180" s="66"/>
    </row>
    <row r="181" spans="1:57" s="1" customFormat="1" ht="23.25" customHeight="1" x14ac:dyDescent="0.4">
      <c r="A181" s="37" t="str">
        <f t="shared" si="74"/>
        <v>3Н</v>
      </c>
      <c r="B181" s="183"/>
      <c r="C181" s="100"/>
      <c r="D181" s="185"/>
      <c r="E181" s="186" t="s">
        <v>57</v>
      </c>
      <c r="F181" s="66" t="s">
        <v>87</v>
      </c>
      <c r="G181" s="66"/>
      <c r="H181" s="108" t="s">
        <v>131</v>
      </c>
      <c r="I181" s="101"/>
      <c r="J181" s="101"/>
      <c r="K181" s="101"/>
      <c r="L181" s="101"/>
      <c r="M181" s="101"/>
      <c r="N181" s="101"/>
      <c r="O181" s="67"/>
      <c r="P181" s="102"/>
      <c r="Q181" s="102"/>
      <c r="R181" s="102"/>
      <c r="S181" s="102"/>
      <c r="T181" s="102"/>
      <c r="U181" s="67"/>
      <c r="V181" s="67"/>
      <c r="W181" s="103"/>
      <c r="X181" s="187"/>
      <c r="Y181" s="68" t="s">
        <v>74</v>
      </c>
      <c r="Z181" s="69"/>
      <c r="AA181" s="90"/>
      <c r="AB181" s="100"/>
      <c r="AC181" s="100"/>
      <c r="AD181" s="186" t="s">
        <v>57</v>
      </c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190"/>
      <c r="AU181" s="66"/>
      <c r="AV181" s="165"/>
      <c r="AW181" s="293"/>
      <c r="AX181" s="66"/>
      <c r="AY181" s="66"/>
      <c r="AZ181" s="66"/>
      <c r="BA181" s="66"/>
      <c r="BB181" s="66"/>
      <c r="BC181" s="66"/>
      <c r="BD181" s="68" t="s">
        <v>74</v>
      </c>
      <c r="BE181" s="69"/>
    </row>
    <row r="182" spans="1:57" s="1" customFormat="1" ht="23.25" customHeight="1" thickBot="1" x14ac:dyDescent="0.45">
      <c r="A182" s="37" t="str">
        <f t="shared" si="74"/>
        <v>3Н</v>
      </c>
      <c r="B182" s="183"/>
      <c r="C182" s="41"/>
      <c r="D182" s="184"/>
      <c r="E182" s="50"/>
      <c r="F182" s="70"/>
      <c r="G182" s="70"/>
      <c r="H182" s="70"/>
      <c r="I182" s="104"/>
      <c r="J182" s="104"/>
      <c r="K182" s="104"/>
      <c r="L182" s="104"/>
      <c r="M182" s="104"/>
      <c r="N182" s="104"/>
      <c r="O182" s="71"/>
      <c r="P182" s="105"/>
      <c r="Q182" s="105"/>
      <c r="R182" s="105"/>
      <c r="S182" s="105"/>
      <c r="T182" s="105"/>
      <c r="U182" s="71"/>
      <c r="V182" s="71"/>
      <c r="W182" s="106"/>
      <c r="X182" s="188"/>
      <c r="Y182" s="72"/>
      <c r="Z182" s="73"/>
      <c r="AA182" s="90"/>
      <c r="AB182" s="41"/>
      <c r="AC182" s="41"/>
      <c r="AD182" s="50"/>
      <c r="AE182" s="47"/>
      <c r="AF182" s="47"/>
      <c r="AG182" s="47"/>
      <c r="AH182" s="47"/>
      <c r="AI182" s="47"/>
      <c r="AJ182" s="47"/>
      <c r="AK182" s="47"/>
      <c r="AL182" s="47"/>
      <c r="AM182" s="70"/>
      <c r="AN182" s="47"/>
      <c r="AO182" s="70"/>
      <c r="AP182" s="70"/>
      <c r="AQ182" s="70"/>
      <c r="AR182" s="70"/>
      <c r="AS182" s="70"/>
      <c r="AT182" s="191"/>
      <c r="AU182" s="70"/>
      <c r="AV182" s="192"/>
      <c r="AW182" s="294"/>
      <c r="AX182" s="70"/>
      <c r="AY182" s="70"/>
      <c r="AZ182" s="70"/>
      <c r="BA182" s="70"/>
      <c r="BB182" s="70"/>
      <c r="BC182" s="70"/>
      <c r="BD182" s="72"/>
      <c r="BE182" s="73"/>
    </row>
    <row r="183" spans="1:57" s="1" customFormat="1" ht="18" customHeight="1" x14ac:dyDescent="0.4">
      <c r="A183" s="37" t="str">
        <f t="shared" si="74"/>
        <v>3Н</v>
      </c>
      <c r="B183" s="183"/>
      <c r="C183" s="41"/>
      <c r="D183" s="184"/>
      <c r="E183" s="281">
        <f>B178</f>
        <v>46025</v>
      </c>
      <c r="F183" s="337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98">
        <v>1</v>
      </c>
      <c r="Y183" s="74">
        <v>1</v>
      </c>
      <c r="Z183" s="75">
        <f t="shared" ref="Z183:Z194" si="80">Y183-X183</f>
        <v>0</v>
      </c>
      <c r="AA183" s="189"/>
      <c r="AB183" s="41"/>
      <c r="AC183" s="184"/>
      <c r="AD183" s="210">
        <f>E183</f>
        <v>46025</v>
      </c>
      <c r="AE183" s="387"/>
      <c r="AF183" s="388"/>
      <c r="AG183" s="388"/>
      <c r="AH183" s="388"/>
      <c r="AI183" s="388"/>
      <c r="AJ183" s="388"/>
      <c r="AK183" s="388"/>
      <c r="AL183" s="388"/>
      <c r="AM183" s="388"/>
      <c r="AN183" s="388"/>
      <c r="AO183" s="388"/>
      <c r="AP183" s="388"/>
      <c r="AQ183" s="388"/>
      <c r="AR183" s="388"/>
      <c r="AS183" s="388"/>
      <c r="AT183" s="388"/>
      <c r="AU183" s="388"/>
      <c r="AV183" s="388"/>
      <c r="AW183" s="388"/>
      <c r="AX183" s="388"/>
      <c r="AY183" s="388"/>
      <c r="AZ183" s="388"/>
      <c r="BA183" s="388"/>
      <c r="BB183" s="389"/>
      <c r="BC183" s="98">
        <v>1</v>
      </c>
      <c r="BD183" s="74">
        <v>1</v>
      </c>
      <c r="BE183" s="75">
        <f t="shared" ref="BE183:BE194" si="81">BD183-BC183</f>
        <v>0</v>
      </c>
    </row>
    <row r="184" spans="1:57" s="1" customFormat="1" ht="18" customHeight="1" x14ac:dyDescent="0.4">
      <c r="A184" s="37" t="str">
        <f t="shared" si="74"/>
        <v>3Н</v>
      </c>
      <c r="B184" s="183"/>
      <c r="C184" s="41"/>
      <c r="D184" s="184"/>
      <c r="E184" s="282">
        <f>E183</f>
        <v>46025</v>
      </c>
      <c r="F184" s="335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98">
        <v>1</v>
      </c>
      <c r="Y184" s="74">
        <v>1</v>
      </c>
      <c r="Z184" s="75">
        <f t="shared" si="80"/>
        <v>0</v>
      </c>
      <c r="AA184" s="107">
        <f>AA183</f>
        <v>0</v>
      </c>
      <c r="AB184" s="41"/>
      <c r="AC184" s="184"/>
      <c r="AD184" s="212">
        <f>AD183</f>
        <v>46025</v>
      </c>
      <c r="AE184" s="387"/>
      <c r="AF184" s="388"/>
      <c r="AG184" s="388"/>
      <c r="AH184" s="388"/>
      <c r="AI184" s="388"/>
      <c r="AJ184" s="388"/>
      <c r="AK184" s="388"/>
      <c r="AL184" s="388"/>
      <c r="AM184" s="388"/>
      <c r="AN184" s="388"/>
      <c r="AO184" s="388"/>
      <c r="AP184" s="388"/>
      <c r="AQ184" s="388"/>
      <c r="AR184" s="388"/>
      <c r="AS184" s="388"/>
      <c r="AT184" s="388"/>
      <c r="AU184" s="388"/>
      <c r="AV184" s="388"/>
      <c r="AW184" s="388"/>
      <c r="AX184" s="388"/>
      <c r="AY184" s="388"/>
      <c r="AZ184" s="388"/>
      <c r="BA184" s="388"/>
      <c r="BB184" s="389"/>
      <c r="BC184" s="98">
        <v>1</v>
      </c>
      <c r="BD184" s="74">
        <v>1</v>
      </c>
      <c r="BE184" s="75">
        <f t="shared" si="81"/>
        <v>0</v>
      </c>
    </row>
    <row r="185" spans="1:57" s="1" customFormat="1" ht="18" customHeight="1" x14ac:dyDescent="0.4">
      <c r="A185" s="37" t="str">
        <f t="shared" si="74"/>
        <v>3Н</v>
      </c>
      <c r="B185" s="183"/>
      <c r="C185" s="41"/>
      <c r="D185" s="184"/>
      <c r="E185" s="282">
        <f t="shared" ref="E185:E194" si="82">E184</f>
        <v>46025</v>
      </c>
      <c r="F185" s="335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98">
        <v>1</v>
      </c>
      <c r="Y185" s="74">
        <v>1</v>
      </c>
      <c r="Z185" s="75">
        <f t="shared" si="80"/>
        <v>0</v>
      </c>
      <c r="AA185" s="107">
        <f>AA184</f>
        <v>0</v>
      </c>
      <c r="AB185" s="41"/>
      <c r="AC185" s="184"/>
      <c r="AD185" s="212">
        <f t="shared" ref="AD185:AD194" si="83">AD184</f>
        <v>46025</v>
      </c>
      <c r="AE185" s="387"/>
      <c r="AF185" s="388"/>
      <c r="AG185" s="388"/>
      <c r="AH185" s="388"/>
      <c r="AI185" s="388"/>
      <c r="AJ185" s="388"/>
      <c r="AK185" s="388"/>
      <c r="AL185" s="388"/>
      <c r="AM185" s="388"/>
      <c r="AN185" s="388"/>
      <c r="AO185" s="388"/>
      <c r="AP185" s="388"/>
      <c r="AQ185" s="388"/>
      <c r="AR185" s="388"/>
      <c r="AS185" s="388"/>
      <c r="AT185" s="388"/>
      <c r="AU185" s="388"/>
      <c r="AV185" s="388"/>
      <c r="AW185" s="388"/>
      <c r="AX185" s="388"/>
      <c r="AY185" s="388"/>
      <c r="AZ185" s="388"/>
      <c r="BA185" s="388"/>
      <c r="BB185" s="389"/>
      <c r="BC185" s="98">
        <v>1</v>
      </c>
      <c r="BD185" s="74">
        <v>1</v>
      </c>
      <c r="BE185" s="75">
        <f t="shared" si="81"/>
        <v>0</v>
      </c>
    </row>
    <row r="186" spans="1:57" s="1" customFormat="1" ht="18" customHeight="1" x14ac:dyDescent="0.4">
      <c r="A186" s="37" t="str">
        <f t="shared" si="74"/>
        <v>3Н</v>
      </c>
      <c r="B186" s="183"/>
      <c r="C186" s="41"/>
      <c r="D186" s="184"/>
      <c r="E186" s="282">
        <f t="shared" si="82"/>
        <v>46025</v>
      </c>
      <c r="F186" s="335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98">
        <v>1</v>
      </c>
      <c r="Y186" s="74">
        <v>1</v>
      </c>
      <c r="Z186" s="75">
        <f t="shared" si="80"/>
        <v>0</v>
      </c>
      <c r="AA186" s="107">
        <f t="shared" ref="AA186:AA194" si="84">AA185</f>
        <v>0</v>
      </c>
      <c r="AB186" s="41"/>
      <c r="AC186" s="184"/>
      <c r="AD186" s="212">
        <f t="shared" si="83"/>
        <v>46025</v>
      </c>
      <c r="AE186" s="387"/>
      <c r="AF186" s="388"/>
      <c r="AG186" s="388"/>
      <c r="AH186" s="388"/>
      <c r="AI186" s="388"/>
      <c r="AJ186" s="388"/>
      <c r="AK186" s="388"/>
      <c r="AL186" s="388"/>
      <c r="AM186" s="388"/>
      <c r="AN186" s="388"/>
      <c r="AO186" s="388"/>
      <c r="AP186" s="388"/>
      <c r="AQ186" s="388"/>
      <c r="AR186" s="388"/>
      <c r="AS186" s="388"/>
      <c r="AT186" s="388"/>
      <c r="AU186" s="388"/>
      <c r="AV186" s="388"/>
      <c r="AW186" s="388"/>
      <c r="AX186" s="388"/>
      <c r="AY186" s="388"/>
      <c r="AZ186" s="388"/>
      <c r="BA186" s="388"/>
      <c r="BB186" s="389"/>
      <c r="BC186" s="98">
        <v>1</v>
      </c>
      <c r="BD186" s="74">
        <v>1</v>
      </c>
      <c r="BE186" s="75">
        <f t="shared" si="81"/>
        <v>0</v>
      </c>
    </row>
    <row r="187" spans="1:57" s="1" customFormat="1" ht="18" customHeight="1" x14ac:dyDescent="0.4">
      <c r="A187" s="37" t="str">
        <f t="shared" si="74"/>
        <v>3Н</v>
      </c>
      <c r="B187" s="183"/>
      <c r="C187" s="41"/>
      <c r="D187" s="184"/>
      <c r="E187" s="282">
        <f t="shared" si="82"/>
        <v>46025</v>
      </c>
      <c r="F187" s="335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98">
        <v>1</v>
      </c>
      <c r="Y187" s="74">
        <v>1</v>
      </c>
      <c r="Z187" s="75">
        <f t="shared" si="80"/>
        <v>0</v>
      </c>
      <c r="AA187" s="107">
        <f t="shared" si="84"/>
        <v>0</v>
      </c>
      <c r="AB187" s="41"/>
      <c r="AC187" s="184"/>
      <c r="AD187" s="212">
        <f t="shared" si="83"/>
        <v>46025</v>
      </c>
      <c r="AE187" s="387"/>
      <c r="AF187" s="388"/>
      <c r="AG187" s="388"/>
      <c r="AH187" s="388"/>
      <c r="AI187" s="388"/>
      <c r="AJ187" s="388"/>
      <c r="AK187" s="388"/>
      <c r="AL187" s="388"/>
      <c r="AM187" s="388"/>
      <c r="AN187" s="388"/>
      <c r="AO187" s="388"/>
      <c r="AP187" s="388"/>
      <c r="AQ187" s="388"/>
      <c r="AR187" s="388"/>
      <c r="AS187" s="388"/>
      <c r="AT187" s="388"/>
      <c r="AU187" s="388"/>
      <c r="AV187" s="388"/>
      <c r="AW187" s="388"/>
      <c r="AX187" s="388"/>
      <c r="AY187" s="388"/>
      <c r="AZ187" s="388"/>
      <c r="BA187" s="388"/>
      <c r="BB187" s="389"/>
      <c r="BC187" s="98">
        <v>1</v>
      </c>
      <c r="BD187" s="74">
        <v>1</v>
      </c>
      <c r="BE187" s="75">
        <f t="shared" si="81"/>
        <v>0</v>
      </c>
    </row>
    <row r="188" spans="1:57" s="1" customFormat="1" ht="18" customHeight="1" x14ac:dyDescent="0.4">
      <c r="A188" s="37" t="str">
        <f t="shared" si="74"/>
        <v>3Н</v>
      </c>
      <c r="B188" s="183"/>
      <c r="C188" s="41"/>
      <c r="D188" s="184"/>
      <c r="E188" s="282">
        <f t="shared" si="82"/>
        <v>46025</v>
      </c>
      <c r="F188" s="335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98">
        <v>1</v>
      </c>
      <c r="Y188" s="74">
        <v>1</v>
      </c>
      <c r="Z188" s="75">
        <f t="shared" si="80"/>
        <v>0</v>
      </c>
      <c r="AA188" s="107">
        <f t="shared" si="84"/>
        <v>0</v>
      </c>
      <c r="AB188" s="41"/>
      <c r="AC188" s="184"/>
      <c r="AD188" s="212">
        <f t="shared" si="83"/>
        <v>46025</v>
      </c>
      <c r="AE188" s="387"/>
      <c r="AF188" s="388"/>
      <c r="AG188" s="388"/>
      <c r="AH188" s="388"/>
      <c r="AI188" s="388"/>
      <c r="AJ188" s="388"/>
      <c r="AK188" s="388"/>
      <c r="AL188" s="388"/>
      <c r="AM188" s="388"/>
      <c r="AN188" s="388"/>
      <c r="AO188" s="388"/>
      <c r="AP188" s="388"/>
      <c r="AQ188" s="388"/>
      <c r="AR188" s="388"/>
      <c r="AS188" s="388"/>
      <c r="AT188" s="388"/>
      <c r="AU188" s="388"/>
      <c r="AV188" s="388"/>
      <c r="AW188" s="388"/>
      <c r="AX188" s="388"/>
      <c r="AY188" s="388"/>
      <c r="AZ188" s="388"/>
      <c r="BA188" s="388"/>
      <c r="BB188" s="389"/>
      <c r="BC188" s="98">
        <v>1</v>
      </c>
      <c r="BD188" s="74">
        <v>1</v>
      </c>
      <c r="BE188" s="75">
        <f t="shared" si="81"/>
        <v>0</v>
      </c>
    </row>
    <row r="189" spans="1:57" s="1" customFormat="1" ht="18" customHeight="1" x14ac:dyDescent="0.4">
      <c r="A189" s="37" t="str">
        <f t="shared" si="74"/>
        <v>3Н</v>
      </c>
      <c r="B189" s="183"/>
      <c r="C189" s="41"/>
      <c r="D189" s="184"/>
      <c r="E189" s="282">
        <f t="shared" si="82"/>
        <v>46025</v>
      </c>
      <c r="F189" s="335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98">
        <v>1</v>
      </c>
      <c r="Y189" s="74">
        <v>1</v>
      </c>
      <c r="Z189" s="75">
        <f t="shared" si="80"/>
        <v>0</v>
      </c>
      <c r="AA189" s="107">
        <f t="shared" si="84"/>
        <v>0</v>
      </c>
      <c r="AB189" s="41"/>
      <c r="AC189" s="184"/>
      <c r="AD189" s="212">
        <f t="shared" si="83"/>
        <v>46025</v>
      </c>
      <c r="AE189" s="387"/>
      <c r="AF189" s="388"/>
      <c r="AG189" s="388"/>
      <c r="AH189" s="388"/>
      <c r="AI189" s="388"/>
      <c r="AJ189" s="388"/>
      <c r="AK189" s="388"/>
      <c r="AL189" s="388"/>
      <c r="AM189" s="388"/>
      <c r="AN189" s="388"/>
      <c r="AO189" s="388"/>
      <c r="AP189" s="388"/>
      <c r="AQ189" s="388"/>
      <c r="AR189" s="388"/>
      <c r="AS189" s="388"/>
      <c r="AT189" s="388"/>
      <c r="AU189" s="388"/>
      <c r="AV189" s="388"/>
      <c r="AW189" s="388"/>
      <c r="AX189" s="388"/>
      <c r="AY189" s="388"/>
      <c r="AZ189" s="388"/>
      <c r="BA189" s="388"/>
      <c r="BB189" s="389"/>
      <c r="BC189" s="98">
        <v>1</v>
      </c>
      <c r="BD189" s="74">
        <v>1</v>
      </c>
      <c r="BE189" s="75">
        <f t="shared" si="81"/>
        <v>0</v>
      </c>
    </row>
    <row r="190" spans="1:57" s="1" customFormat="1" ht="18" customHeight="1" x14ac:dyDescent="0.4">
      <c r="A190" s="37" t="str">
        <f t="shared" si="74"/>
        <v>3Н</v>
      </c>
      <c r="B190" s="183"/>
      <c r="C190" s="41"/>
      <c r="D190" s="184"/>
      <c r="E190" s="282">
        <f t="shared" si="82"/>
        <v>46025</v>
      </c>
      <c r="F190" s="335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98">
        <v>1</v>
      </c>
      <c r="Y190" s="74">
        <v>1</v>
      </c>
      <c r="Z190" s="75">
        <f t="shared" si="80"/>
        <v>0</v>
      </c>
      <c r="AA190" s="107">
        <f t="shared" si="84"/>
        <v>0</v>
      </c>
      <c r="AB190" s="41"/>
      <c r="AC190" s="184"/>
      <c r="AD190" s="212">
        <f t="shared" si="83"/>
        <v>46025</v>
      </c>
      <c r="AE190" s="387"/>
      <c r="AF190" s="388"/>
      <c r="AG190" s="388"/>
      <c r="AH190" s="388"/>
      <c r="AI190" s="388"/>
      <c r="AJ190" s="388"/>
      <c r="AK190" s="388"/>
      <c r="AL190" s="388"/>
      <c r="AM190" s="388"/>
      <c r="AN190" s="388"/>
      <c r="AO190" s="388"/>
      <c r="AP190" s="388"/>
      <c r="AQ190" s="388"/>
      <c r="AR190" s="388"/>
      <c r="AS190" s="388"/>
      <c r="AT190" s="388"/>
      <c r="AU190" s="388"/>
      <c r="AV190" s="388"/>
      <c r="AW190" s="388"/>
      <c r="AX190" s="388"/>
      <c r="AY190" s="388"/>
      <c r="AZ190" s="388"/>
      <c r="BA190" s="388"/>
      <c r="BB190" s="389"/>
      <c r="BC190" s="98">
        <v>1</v>
      </c>
      <c r="BD190" s="74">
        <v>1</v>
      </c>
      <c r="BE190" s="75">
        <f t="shared" si="81"/>
        <v>0</v>
      </c>
    </row>
    <row r="191" spans="1:57" s="1" customFormat="1" ht="18" customHeight="1" x14ac:dyDescent="0.4">
      <c r="A191" s="37" t="str">
        <f t="shared" si="74"/>
        <v>3Н</v>
      </c>
      <c r="B191" s="183"/>
      <c r="C191" s="41"/>
      <c r="D191" s="184"/>
      <c r="E191" s="282">
        <f t="shared" si="82"/>
        <v>46025</v>
      </c>
      <c r="F191" s="335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98">
        <v>1</v>
      </c>
      <c r="Y191" s="74">
        <v>1</v>
      </c>
      <c r="Z191" s="75">
        <f t="shared" si="80"/>
        <v>0</v>
      </c>
      <c r="AA191" s="107">
        <f t="shared" si="84"/>
        <v>0</v>
      </c>
      <c r="AB191" s="41"/>
      <c r="AC191" s="184"/>
      <c r="AD191" s="212">
        <f t="shared" si="83"/>
        <v>46025</v>
      </c>
      <c r="AE191" s="387"/>
      <c r="AF191" s="388"/>
      <c r="AG191" s="388"/>
      <c r="AH191" s="388"/>
      <c r="AI191" s="388"/>
      <c r="AJ191" s="388"/>
      <c r="AK191" s="388"/>
      <c r="AL191" s="388"/>
      <c r="AM191" s="388"/>
      <c r="AN191" s="388"/>
      <c r="AO191" s="388"/>
      <c r="AP191" s="388"/>
      <c r="AQ191" s="388"/>
      <c r="AR191" s="388"/>
      <c r="AS191" s="388"/>
      <c r="AT191" s="388"/>
      <c r="AU191" s="388"/>
      <c r="AV191" s="388"/>
      <c r="AW191" s="388"/>
      <c r="AX191" s="388"/>
      <c r="AY191" s="388"/>
      <c r="AZ191" s="388"/>
      <c r="BA191" s="388"/>
      <c r="BB191" s="389"/>
      <c r="BC191" s="98">
        <v>1</v>
      </c>
      <c r="BD191" s="74">
        <v>1</v>
      </c>
      <c r="BE191" s="75">
        <f t="shared" si="81"/>
        <v>0</v>
      </c>
    </row>
    <row r="192" spans="1:57" s="1" customFormat="1" ht="18" customHeight="1" x14ac:dyDescent="0.4">
      <c r="A192" s="37" t="str">
        <f t="shared" si="74"/>
        <v>3Н</v>
      </c>
      <c r="B192" s="183"/>
      <c r="C192" s="41"/>
      <c r="D192" s="184"/>
      <c r="E192" s="282">
        <f t="shared" si="82"/>
        <v>46025</v>
      </c>
      <c r="F192" s="335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98">
        <v>1</v>
      </c>
      <c r="Y192" s="74">
        <v>1</v>
      </c>
      <c r="Z192" s="75">
        <f t="shared" si="80"/>
        <v>0</v>
      </c>
      <c r="AA192" s="107">
        <f t="shared" si="84"/>
        <v>0</v>
      </c>
      <c r="AB192" s="41"/>
      <c r="AC192" s="184"/>
      <c r="AD192" s="212">
        <f t="shared" si="83"/>
        <v>46025</v>
      </c>
      <c r="AE192" s="387"/>
      <c r="AF192" s="388"/>
      <c r="AG192" s="388"/>
      <c r="AH192" s="388"/>
      <c r="AI192" s="388"/>
      <c r="AJ192" s="388"/>
      <c r="AK192" s="388"/>
      <c r="AL192" s="388"/>
      <c r="AM192" s="388"/>
      <c r="AN192" s="388"/>
      <c r="AO192" s="388"/>
      <c r="AP192" s="388"/>
      <c r="AQ192" s="388"/>
      <c r="AR192" s="388"/>
      <c r="AS192" s="388"/>
      <c r="AT192" s="388"/>
      <c r="AU192" s="388"/>
      <c r="AV192" s="388"/>
      <c r="AW192" s="388"/>
      <c r="AX192" s="388"/>
      <c r="AY192" s="388"/>
      <c r="AZ192" s="388"/>
      <c r="BA192" s="388"/>
      <c r="BB192" s="389"/>
      <c r="BC192" s="98">
        <v>1</v>
      </c>
      <c r="BD192" s="74">
        <v>1</v>
      </c>
      <c r="BE192" s="75">
        <f t="shared" si="81"/>
        <v>0</v>
      </c>
    </row>
    <row r="193" spans="1:57" s="1" customFormat="1" ht="18" customHeight="1" x14ac:dyDescent="0.4">
      <c r="A193" s="37" t="str">
        <f t="shared" si="74"/>
        <v>3Н</v>
      </c>
      <c r="B193" s="183"/>
      <c r="C193" s="41"/>
      <c r="D193" s="184"/>
      <c r="E193" s="282">
        <f t="shared" si="82"/>
        <v>46025</v>
      </c>
      <c r="F193" s="335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98">
        <v>1</v>
      </c>
      <c r="Y193" s="74">
        <v>1</v>
      </c>
      <c r="Z193" s="75">
        <f t="shared" si="80"/>
        <v>0</v>
      </c>
      <c r="AA193" s="107">
        <f t="shared" si="84"/>
        <v>0</v>
      </c>
      <c r="AB193" s="41"/>
      <c r="AC193" s="184"/>
      <c r="AD193" s="212">
        <f t="shared" si="83"/>
        <v>46025</v>
      </c>
      <c r="AE193" s="387"/>
      <c r="AF193" s="388"/>
      <c r="AG193" s="388"/>
      <c r="AH193" s="388"/>
      <c r="AI193" s="388"/>
      <c r="AJ193" s="388"/>
      <c r="AK193" s="388"/>
      <c r="AL193" s="388"/>
      <c r="AM193" s="388"/>
      <c r="AN193" s="388"/>
      <c r="AO193" s="388"/>
      <c r="AP193" s="388"/>
      <c r="AQ193" s="388"/>
      <c r="AR193" s="388"/>
      <c r="AS193" s="388"/>
      <c r="AT193" s="388"/>
      <c r="AU193" s="388"/>
      <c r="AV193" s="388"/>
      <c r="AW193" s="388"/>
      <c r="AX193" s="388"/>
      <c r="AY193" s="388"/>
      <c r="AZ193" s="388"/>
      <c r="BA193" s="388"/>
      <c r="BB193" s="389"/>
      <c r="BC193" s="98">
        <v>1</v>
      </c>
      <c r="BD193" s="74">
        <v>1</v>
      </c>
      <c r="BE193" s="75">
        <f t="shared" si="81"/>
        <v>0</v>
      </c>
    </row>
    <row r="194" spans="1:57" s="1" customFormat="1" ht="18" customHeight="1" thickBot="1" x14ac:dyDescent="0.45">
      <c r="A194" s="37" t="str">
        <f t="shared" si="74"/>
        <v>3Н</v>
      </c>
      <c r="B194" s="183"/>
      <c r="C194" s="41"/>
      <c r="D194" s="184"/>
      <c r="E194" s="283">
        <f t="shared" si="82"/>
        <v>46025</v>
      </c>
      <c r="F194" s="339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99">
        <v>1</v>
      </c>
      <c r="Y194" s="76">
        <v>1</v>
      </c>
      <c r="Z194" s="77">
        <f t="shared" si="80"/>
        <v>0</v>
      </c>
      <c r="AA194" s="107">
        <f t="shared" si="84"/>
        <v>0</v>
      </c>
      <c r="AB194" s="41"/>
      <c r="AC194" s="184"/>
      <c r="AD194" s="211">
        <f t="shared" si="83"/>
        <v>46025</v>
      </c>
      <c r="AE194" s="410"/>
      <c r="AF194" s="411"/>
      <c r="AG194" s="411"/>
      <c r="AH194" s="411"/>
      <c r="AI194" s="411"/>
      <c r="AJ194" s="411"/>
      <c r="AK194" s="411"/>
      <c r="AL194" s="411"/>
      <c r="AM194" s="411"/>
      <c r="AN194" s="411"/>
      <c r="AO194" s="411"/>
      <c r="AP194" s="411"/>
      <c r="AQ194" s="411"/>
      <c r="AR194" s="411"/>
      <c r="AS194" s="411"/>
      <c r="AT194" s="411"/>
      <c r="AU194" s="411"/>
      <c r="AV194" s="411"/>
      <c r="AW194" s="411"/>
      <c r="AX194" s="411"/>
      <c r="AY194" s="411"/>
      <c r="AZ194" s="411"/>
      <c r="BA194" s="411"/>
      <c r="BB194" s="412"/>
      <c r="BC194" s="99">
        <v>1</v>
      </c>
      <c r="BD194" s="76">
        <v>1</v>
      </c>
      <c r="BE194" s="75">
        <f t="shared" si="81"/>
        <v>0</v>
      </c>
    </row>
    <row r="195" spans="1:57" s="1" customFormat="1" ht="23.25" customHeight="1" thickBot="1" x14ac:dyDescent="0.45">
      <c r="A195" s="37" t="str">
        <f t="shared" si="74"/>
        <v>3Н</v>
      </c>
      <c r="B195" s="193"/>
      <c r="C195" s="47"/>
      <c r="D195" s="47"/>
      <c r="E195" s="47"/>
      <c r="F195" s="78"/>
      <c r="G195" s="78"/>
      <c r="H195" s="78"/>
      <c r="I195" s="80"/>
      <c r="J195" s="80"/>
      <c r="K195" s="80"/>
      <c r="L195" s="80"/>
      <c r="M195" s="80"/>
      <c r="N195" s="80"/>
      <c r="O195" s="78"/>
      <c r="P195" s="81"/>
      <c r="Q195" s="81"/>
      <c r="R195" s="81"/>
      <c r="S195" s="81"/>
      <c r="T195" s="81"/>
      <c r="U195" s="82"/>
      <c r="V195" s="82"/>
      <c r="W195" s="86"/>
      <c r="X195" s="194"/>
      <c r="Y195" s="83"/>
      <c r="Z195" s="83"/>
      <c r="AA195" s="78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84"/>
      <c r="AN195" s="47"/>
      <c r="AO195" s="78"/>
      <c r="AP195" s="78"/>
      <c r="AQ195" s="78"/>
      <c r="AR195" s="84"/>
      <c r="AS195" s="78"/>
      <c r="AT195" s="85"/>
      <c r="AU195" s="78"/>
      <c r="AV195" s="83"/>
      <c r="AW195" s="83"/>
      <c r="AX195" s="78"/>
      <c r="AY195" s="78"/>
      <c r="AZ195" s="78"/>
      <c r="BA195" s="78"/>
      <c r="BB195" s="78"/>
      <c r="BC195" s="78"/>
      <c r="BD195" s="79"/>
      <c r="BE195" s="79"/>
    </row>
    <row r="196" spans="1:57" s="1" customFormat="1" ht="21.6" customHeight="1" thickBot="1" x14ac:dyDescent="0.45">
      <c r="A196" s="37" t="s">
        <v>152</v>
      </c>
      <c r="B196" s="59"/>
      <c r="C196" s="51"/>
      <c r="D196" s="51"/>
      <c r="E196" s="51"/>
      <c r="F196" s="158" t="s">
        <v>147</v>
      </c>
      <c r="G196" s="51"/>
      <c r="H196" s="51"/>
      <c r="I196" s="156"/>
      <c r="J196" s="156"/>
      <c r="K196" s="156"/>
      <c r="L196" s="156"/>
      <c r="M196" s="156"/>
      <c r="N196" s="156"/>
      <c r="O196" s="91"/>
      <c r="P196" s="52"/>
      <c r="Q196" s="52"/>
      <c r="R196" s="52"/>
      <c r="S196" s="52"/>
      <c r="T196" s="52"/>
      <c r="U196" s="157"/>
      <c r="V196" s="157"/>
      <c r="W196" s="94"/>
      <c r="X196" s="94"/>
      <c r="Y196" s="51"/>
      <c r="Z196" s="51"/>
      <c r="AA196" s="157">
        <f>AA179</f>
        <v>1</v>
      </c>
      <c r="AB196" s="157">
        <f t="shared" ref="AB196:AF196" si="85">AB179</f>
        <v>2</v>
      </c>
      <c r="AC196" s="157">
        <f t="shared" si="85"/>
        <v>3</v>
      </c>
      <c r="AD196" s="157">
        <f t="shared" si="85"/>
        <v>4</v>
      </c>
      <c r="AE196" s="157">
        <f t="shared" si="85"/>
        <v>5</v>
      </c>
      <c r="AF196" s="157">
        <f t="shared" si="85"/>
        <v>6</v>
      </c>
      <c r="AG196" s="162" t="s">
        <v>123</v>
      </c>
      <c r="AH196" s="162" t="s">
        <v>124</v>
      </c>
      <c r="AI196" s="162" t="s">
        <v>125</v>
      </c>
      <c r="AJ196" s="91" t="s">
        <v>126</v>
      </c>
      <c r="AK196" s="198" t="s">
        <v>136</v>
      </c>
      <c r="AL196" s="198" t="s">
        <v>137</v>
      </c>
      <c r="AM196" s="198" t="s">
        <v>138</v>
      </c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</row>
    <row r="197" spans="1:57" s="1" customFormat="1" ht="21.6" customHeight="1" x14ac:dyDescent="0.4">
      <c r="A197" s="37" t="str">
        <f>A196</f>
        <v>4Д</v>
      </c>
      <c r="B197" s="12">
        <f>B178+1</f>
        <v>46026</v>
      </c>
      <c r="C197" s="97"/>
      <c r="D197" s="97">
        <v>1</v>
      </c>
      <c r="E197" s="29"/>
      <c r="F197" s="151" t="str">
        <f>IFERROR(VLOOKUP($G197,нормы!$A$14:$BC$57,2,0),"")</f>
        <v/>
      </c>
      <c r="G197" s="93"/>
      <c r="H197" s="54">
        <f>IF(C197=1,"Кульков С.А.", IF(C197=2,"Чудаков А.А.",IF(C197=3,"Королев В.Н.",IF(C197=4,"Николашин М.П.",IF(C197=5," Кульков С.А.",IF(C197=6,"А.А. Чудаков",IF(C197=7,"В.Н. Королев",IF(C197=8,"М.П. Николашин",0))))))))</f>
        <v>0</v>
      </c>
      <c r="I197" s="88" t="s">
        <v>84</v>
      </c>
      <c r="J197" s="332"/>
      <c r="K197" s="30">
        <f>IFERROR(VLOOKUP($G197,[1]нормы!$A$21:$BC$151,15,0),"")</f>
        <v>0</v>
      </c>
      <c r="L197" s="31">
        <f>IFERROR(VLOOKUP($G197,[1]нормы!$A$21:$BC$151,17,0),"")</f>
        <v>0</v>
      </c>
      <c r="M197" s="310">
        <f>IFERROR(VLOOKUP($G197,[1]нормы!$A$21:$BC$151,27,0),"")</f>
        <v>0</v>
      </c>
      <c r="N197" s="311" t="str">
        <f>IFERROR(Y197/Y203*(1.1*J197*I202),"")</f>
        <v/>
      </c>
      <c r="O197" s="300">
        <f>IFERROR(VLOOKUP($G197,[1]нормы!$A$21:$BC$151,21,0),"")</f>
        <v>0</v>
      </c>
      <c r="P197" s="35">
        <f>IFERROR(VLOOKUP($G197,[1]нормы!$A$21:$BC$151,19,0),"")</f>
        <v>0</v>
      </c>
      <c r="Q197" s="35">
        <f>IFERROR(VLOOKUP($G197,[1]нормы!$A$21:$BC$151,23,0),"")</f>
        <v>0</v>
      </c>
      <c r="R197" s="231">
        <f>IFERROR(VLOOKUP($G197,[1]нормы!$A$21:$BC$151,29,0),"")</f>
        <v>0</v>
      </c>
      <c r="S197" s="35">
        <f>IFERROR(VLOOKUP($G197,[1]нормы!$A$21:$BC$151,31,0),"")</f>
        <v>0</v>
      </c>
      <c r="T197" s="32">
        <f>IFERROR(VLOOKUP($G197,[1]нормы!$A$21:$BC$151,25,0),"")</f>
        <v>0</v>
      </c>
      <c r="U197" s="232" t="str">
        <f>IFERROR(W197/(((100*Y197/Y203)*I202)/100),"")</f>
        <v/>
      </c>
      <c r="V197" s="234" t="str">
        <f>IFERROR(VLOOKUP($G197,нормы!$A$14:$BC$57,38,0),"")</f>
        <v/>
      </c>
      <c r="W197" s="136"/>
      <c r="X197" s="236"/>
      <c r="Y197" s="152" t="str">
        <f>IFERROR(VLOOKUP($G197,нормы!$A$14:$BC$57,42,0)*W197,"")</f>
        <v/>
      </c>
      <c r="Z197" s="163">
        <f>IFERROR(VLOOKUP($G197,нормы!$A$14:$BC$57,14,0)*W197/1000,0)</f>
        <v>0</v>
      </c>
      <c r="AA197" s="33"/>
      <c r="AB197" s="36"/>
      <c r="AC197" s="36"/>
      <c r="AD197" s="36"/>
      <c r="AE197" s="34"/>
      <c r="AF197" s="159"/>
      <c r="AG197" s="390"/>
      <c r="AH197" s="393"/>
      <c r="AI197" s="396"/>
      <c r="AJ197" s="407">
        <f>AG197+AH197</f>
        <v>0</v>
      </c>
      <c r="AK197" s="359"/>
      <c r="AL197" s="359"/>
      <c r="AM197" s="359"/>
      <c r="AN197" s="287">
        <f>IFERROR(Y197*AJ197/Y203,)</f>
        <v>0</v>
      </c>
      <c r="AO197" s="197" t="str">
        <f>IFERROR(VLOOKUP($G197,нормы!$A$14:$BC$57,53,0)*$W197,"")</f>
        <v/>
      </c>
      <c r="AP197" s="288">
        <f>IFERROR(Y197*AI197/Y203,)</f>
        <v>0</v>
      </c>
      <c r="AQ197" s="197" t="str">
        <f>IFERROR(VLOOKUP($G197,нормы!$A$14:$BC$57,54,0)*$W197,"")</f>
        <v/>
      </c>
      <c r="AR197" s="288">
        <f>IFERROR(AS197/SUM(AS197:AS202)*AL197,0)</f>
        <v>0</v>
      </c>
      <c r="AS197" s="197" t="str">
        <f>IFERROR(VLOOKUP($G197,нормы!$A$14:$BC$57,55,0)*W197,"")</f>
        <v/>
      </c>
      <c r="AT197" s="288">
        <f>IFERROR(AU197/SUM(AU197:AU202)*AM197,0)</f>
        <v>0</v>
      </c>
      <c r="AU197" s="197" t="str">
        <f>IFERROR(VLOOKUP($G197,нормы!$A$14:$BI$57,56,0)*W197,"")</f>
        <v/>
      </c>
      <c r="AV197" s="288">
        <f>IFERROR(AW197/SUM(AW197:AW202)*AK197,0)</f>
        <v>0</v>
      </c>
      <c r="AW197" s="202" t="str">
        <f>IFERROR(VLOOKUP($G197,нормы!$A$14:$BI$57,57,0)*W197,"")</f>
        <v/>
      </c>
      <c r="AX197" s="33"/>
      <c r="AY197" s="203" t="str">
        <f>IFERROR(VLOOKUP($G197,нормы!$A$14:$BI$57,58,0)*W197,"")</f>
        <v/>
      </c>
      <c r="AZ197" s="204"/>
      <c r="BA197" s="200" t="str">
        <f>IFERROR(VLOOKUP($G197,нормы!$A$14:$BI$57,61,0)*$W197,"")</f>
        <v/>
      </c>
      <c r="BB197" s="33"/>
      <c r="BC197" s="203" t="str">
        <f>IFERROR(VLOOKUP($G197,нормы!$A$14:$BI$57,60,0)*W197,"")</f>
        <v/>
      </c>
      <c r="BD197" s="200" t="str">
        <f>IFERROR(VLOOKUP($G197,нормы!$A$14:$BG$57,44,0),"")</f>
        <v/>
      </c>
      <c r="BE197" s="199" t="str">
        <f>IFERROR(W197/VLOOKUP($G197,нормы!$A$14:$BI$57,45,0),"")</f>
        <v/>
      </c>
    </row>
    <row r="198" spans="1:57" s="1" customFormat="1" ht="21.6" customHeight="1" x14ac:dyDescent="0.4">
      <c r="A198" s="37" t="str">
        <f t="shared" ref="A198:A226" si="86">A197</f>
        <v>4Д</v>
      </c>
      <c r="B198" s="12">
        <f t="shared" ref="B198:D202" si="87">B197</f>
        <v>46026</v>
      </c>
      <c r="C198" s="97">
        <f t="shared" si="87"/>
        <v>0</v>
      </c>
      <c r="D198" s="97">
        <f t="shared" si="87"/>
        <v>1</v>
      </c>
      <c r="E198" s="54"/>
      <c r="F198" s="151" t="str">
        <f>IFERROR(VLOOKUP($G198,нормы!$A$14:$BC$57,2,0),"")</f>
        <v/>
      </c>
      <c r="G198" s="93"/>
      <c r="H198" s="54">
        <f t="shared" ref="H198:H202" si="88">IF(C198=1,"Кульков С.А.", IF(C198=2,"Чудаков А.А.",IF(C198=3,"Королев В.Н.",IF(C198=4,"Николашин М.П.",IF(C198=5," Кульков С.А.",IF(C198=6,"А.А. Чудаков",IF(C198=7,"В.Н. Королев",IF(C198=8,"М.П. Николашин",0))))))))</f>
        <v>0</v>
      </c>
      <c r="I198" s="55"/>
      <c r="J198" s="333"/>
      <c r="K198" s="30">
        <f>IFERROR(VLOOKUP($G198,[1]нормы!$A$21:$BC$151,15,0),"")</f>
        <v>0</v>
      </c>
      <c r="L198" s="31">
        <f>IFERROR(VLOOKUP($G198,[1]нормы!$A$21:$BC$151,17,0),"")</f>
        <v>0</v>
      </c>
      <c r="M198" s="306">
        <f>IFERROR(VLOOKUP($G198,[1]нормы!$A$21:$BC$151,27,0),"")</f>
        <v>0</v>
      </c>
      <c r="N198" s="307" t="str">
        <f>IFERROR(Y198/Y203*(1.1*J197*I202),"")</f>
        <v/>
      </c>
      <c r="O198" s="300">
        <f>IFERROR(VLOOKUP($G198,[1]нормы!$A$21:$BC$151,21,0),"")</f>
        <v>0</v>
      </c>
      <c r="P198" s="35">
        <f>IFERROR(VLOOKUP($G198,[1]нормы!$A$21:$BC$151,19,0),"")</f>
        <v>0</v>
      </c>
      <c r="Q198" s="35">
        <f>IFERROR(VLOOKUP($G198,[1]нормы!$A$21:$BC$151,23,0),"")</f>
        <v>0</v>
      </c>
      <c r="R198" s="231">
        <f>IFERROR(VLOOKUP($G198,[1]нормы!$A$21:$BC$151,29,0),"")</f>
        <v>0</v>
      </c>
      <c r="S198" s="35">
        <f>IFERROR(VLOOKUP($G198,[1]нормы!$A$21:$BC$151,31,0),"")</f>
        <v>0</v>
      </c>
      <c r="T198" s="32">
        <f>IFERROR(VLOOKUP($G198,[1]нормы!$A$21:$BC$151,25,0),"")</f>
        <v>0</v>
      </c>
      <c r="U198" s="233" t="str">
        <f>IFERROR(W198/(((100*Y198/Y203)*I202)/100),"")</f>
        <v/>
      </c>
      <c r="V198" s="234" t="str">
        <f>IFERROR(VLOOKUP($G198,нормы!$A$14:$BC$57,38,0),"")</f>
        <v/>
      </c>
      <c r="W198" s="136"/>
      <c r="X198" s="237"/>
      <c r="Y198" s="152" t="str">
        <f>IFERROR(VLOOKUP($G198,нормы!$A$14:$BC$57,42,0)*W198,"")</f>
        <v/>
      </c>
      <c r="Z198" s="163">
        <f>IFERROR(VLOOKUP($G198,нормы!$A$14:$BC$57,14,0)*W198/1000,0)</f>
        <v>0</v>
      </c>
      <c r="AA198" s="142"/>
      <c r="AB198" s="35"/>
      <c r="AC198" s="35"/>
      <c r="AD198" s="35"/>
      <c r="AE198" s="31"/>
      <c r="AF198" s="160"/>
      <c r="AG198" s="391"/>
      <c r="AH198" s="394"/>
      <c r="AI198" s="397"/>
      <c r="AJ198" s="408"/>
      <c r="AK198" s="360"/>
      <c r="AL198" s="360"/>
      <c r="AM198" s="360"/>
      <c r="AN198" s="289">
        <f>IFERROR(Y198*AJ197/Y203,)</f>
        <v>0</v>
      </c>
      <c r="AO198" s="197" t="str">
        <f>IFERROR(VLOOKUP($G198,нормы!$A$14:$BC$57,53,0)*$W198,"")</f>
        <v/>
      </c>
      <c r="AP198" s="290">
        <f>IFERROR(Y198*AI197/Y203,)</f>
        <v>0</v>
      </c>
      <c r="AQ198" s="197" t="str">
        <f>IFERROR(VLOOKUP($G198,нормы!$A$14:$BC$57,54,0)*$W198,"")</f>
        <v/>
      </c>
      <c r="AR198" s="290">
        <f>IFERROR(AS198/SUM(AS197:AS202)*AL197,0)</f>
        <v>0</v>
      </c>
      <c r="AS198" s="197" t="str">
        <f>IFERROR(VLOOKUP($G198,нормы!$A$14:$BC$57,55,0)*W198,"")</f>
        <v/>
      </c>
      <c r="AT198" s="290">
        <f>IFERROR(AU198/SUM(AU197:AU202)*AM197,0)</f>
        <v>0</v>
      </c>
      <c r="AU198" s="197" t="str">
        <f>IFERROR(VLOOKUP($G198,нормы!$A$14:$BI$57,56,0)*W198,"")</f>
        <v/>
      </c>
      <c r="AV198" s="290">
        <f>IFERROR(AW198/SUM(AW197:AW202)*AK197,0)</f>
        <v>0</v>
      </c>
      <c r="AW198" s="202" t="str">
        <f>IFERROR(VLOOKUP($G198,нормы!$A$14:$BI$57,57,0)*W198,"")</f>
        <v/>
      </c>
      <c r="AX198" s="30"/>
      <c r="AY198" s="203" t="str">
        <f>IFERROR(VLOOKUP($G198,нормы!$A$14:$BI$57,58,0)*W198,"")</f>
        <v/>
      </c>
      <c r="AZ198" s="205"/>
      <c r="BA198" s="200" t="str">
        <f>IFERROR(VLOOKUP($G198,нормы!$A$14:$BI$57,61,0)*$W198,"")</f>
        <v/>
      </c>
      <c r="BB198" s="30"/>
      <c r="BC198" s="203" t="str">
        <f>IFERROR(VLOOKUP($G198,нормы!$A$14:$BI$57,60,0)*W198,"")</f>
        <v/>
      </c>
      <c r="BD198" s="200" t="str">
        <f>IFERROR(VLOOKUP($G198,нормы!$A$14:$BG$57,44,0),"")</f>
        <v/>
      </c>
      <c r="BE198" s="199" t="str">
        <f>IFERROR(W198/VLOOKUP($G198,нормы!$A$14:$BI$57,45,0),"")</f>
        <v/>
      </c>
    </row>
    <row r="199" spans="1:57" s="1" customFormat="1" ht="20.25" customHeight="1" x14ac:dyDescent="0.4">
      <c r="A199" s="37" t="str">
        <f t="shared" si="86"/>
        <v>4Д</v>
      </c>
      <c r="B199" s="12">
        <f t="shared" si="87"/>
        <v>46026</v>
      </c>
      <c r="C199" s="97">
        <f t="shared" si="87"/>
        <v>0</v>
      </c>
      <c r="D199" s="97">
        <f t="shared" si="87"/>
        <v>1</v>
      </c>
      <c r="E199" s="54"/>
      <c r="F199" s="151" t="str">
        <f>IFERROR(VLOOKUP($G199,нормы!$A$14:$BC$57,2,0),"")</f>
        <v/>
      </c>
      <c r="G199" s="38"/>
      <c r="H199" s="54">
        <f t="shared" si="88"/>
        <v>0</v>
      </c>
      <c r="I199" s="89" t="s">
        <v>85</v>
      </c>
      <c r="J199" s="333"/>
      <c r="K199" s="30">
        <f>IFERROR(VLOOKUP($G199,[1]нормы!$A$21:$BC$151,15,0),"")</f>
        <v>0</v>
      </c>
      <c r="L199" s="31">
        <f>IFERROR(VLOOKUP($G199,[1]нормы!$A$21:$BC$151,17,0),"")</f>
        <v>0</v>
      </c>
      <c r="M199" s="306">
        <f>IFERROR(VLOOKUP($G199,[1]нормы!$A$21:$BC$151,27,0),"")</f>
        <v>0</v>
      </c>
      <c r="N199" s="307" t="str">
        <f>IFERROR(Y199/Y203*(1.1*J197*I202),"")</f>
        <v/>
      </c>
      <c r="O199" s="300">
        <f>IFERROR(VLOOKUP($G199,[1]нормы!$A$21:$BC$151,21,0),"")</f>
        <v>0</v>
      </c>
      <c r="P199" s="35">
        <f>IFERROR(VLOOKUP($G199,[1]нормы!$A$21:$BC$151,19,0),"")</f>
        <v>0</v>
      </c>
      <c r="Q199" s="35">
        <f>IFERROR(VLOOKUP($G199,[1]нормы!$A$21:$BC$151,23,0),"")</f>
        <v>0</v>
      </c>
      <c r="R199" s="231">
        <f>IFERROR(VLOOKUP($G199,[1]нормы!$A$21:$BC$151,29,0),"")</f>
        <v>0</v>
      </c>
      <c r="S199" s="35">
        <f>IFERROR(VLOOKUP($G199,[1]нормы!$A$21:$BC$151,31,0),"")</f>
        <v>0</v>
      </c>
      <c r="T199" s="32">
        <f>IFERROR(VLOOKUP($G199,[1]нормы!$A$21:$BC$151,25,0),"")</f>
        <v>0</v>
      </c>
      <c r="U199" s="233" t="str">
        <f>IFERROR(W199/(((100*Y199/Y203)*I202)/100),"")</f>
        <v/>
      </c>
      <c r="V199" s="234" t="str">
        <f>IFERROR(VLOOKUP($G199,нормы!$A$14:$BC$57,38,0),"")</f>
        <v/>
      </c>
      <c r="W199" s="136"/>
      <c r="X199" s="237"/>
      <c r="Y199" s="152" t="str">
        <f>IFERROR(VLOOKUP($G199,нормы!$A$14:$BC$57,42,0)*W199,"")</f>
        <v/>
      </c>
      <c r="Z199" s="163">
        <f>IFERROR(VLOOKUP($G199,нормы!$A$14:$BC$57,14,0)*W199/1000,0)</f>
        <v>0</v>
      </c>
      <c r="AA199" s="30"/>
      <c r="AB199" s="35"/>
      <c r="AC199" s="35"/>
      <c r="AD199" s="35"/>
      <c r="AE199" s="31"/>
      <c r="AF199" s="160"/>
      <c r="AG199" s="391"/>
      <c r="AH199" s="394"/>
      <c r="AI199" s="397"/>
      <c r="AJ199" s="408"/>
      <c r="AK199" s="360"/>
      <c r="AL199" s="360"/>
      <c r="AM199" s="360"/>
      <c r="AN199" s="289">
        <f>IFERROR(Y199*AJ197/Y203,)</f>
        <v>0</v>
      </c>
      <c r="AO199" s="197" t="str">
        <f>IFERROR(VLOOKUP($G199,нормы!$A$14:$BC$57,53,0)*$W199,"")</f>
        <v/>
      </c>
      <c r="AP199" s="290">
        <f>IFERROR(Y199*AI197/Y203,)</f>
        <v>0</v>
      </c>
      <c r="AQ199" s="197" t="str">
        <f>IFERROR(VLOOKUP($G199,нормы!$A$14:$BC$57,54,0)*$W199,"")</f>
        <v/>
      </c>
      <c r="AR199" s="290">
        <f>IFERROR(AS199/SUM(AS197:AS202)*AL197,0)</f>
        <v>0</v>
      </c>
      <c r="AS199" s="197" t="str">
        <f>IFERROR(VLOOKUP($G199,нормы!$A$14:$BC$57,55,0)*W199,"")</f>
        <v/>
      </c>
      <c r="AT199" s="290">
        <f>IFERROR(AU199/SUM(AU197:AU202)*AM197,0)</f>
        <v>0</v>
      </c>
      <c r="AU199" s="197" t="str">
        <f>IFERROR(VLOOKUP($G199,нормы!$A$14:$BI$57,56,0)*W199,"")</f>
        <v/>
      </c>
      <c r="AV199" s="290">
        <f>IFERROR(AW199/SUM(AW197:AW202)*AK197,0)</f>
        <v>0</v>
      </c>
      <c r="AW199" s="202" t="str">
        <f>IFERROR(VLOOKUP($G199,нормы!$A$14:$BI$57,57,0)*W199,"")</f>
        <v/>
      </c>
      <c r="AX199" s="30"/>
      <c r="AY199" s="203" t="str">
        <f>IFERROR(VLOOKUP($G199,нормы!$A$14:$BI$57,58,0)*W199,"")</f>
        <v/>
      </c>
      <c r="AZ199" s="205"/>
      <c r="BA199" s="200" t="str">
        <f>IFERROR(VLOOKUP($G199,нормы!$A$14:$BI$57,61,0)*$W199,"")</f>
        <v/>
      </c>
      <c r="BB199" s="30"/>
      <c r="BC199" s="203" t="str">
        <f>IFERROR(VLOOKUP($G199,нормы!$A$14:$BI$57,60,0)*W199,"")</f>
        <v/>
      </c>
      <c r="BD199" s="200" t="str">
        <f>IFERROR(VLOOKUP($G199,нормы!$A$14:$BG$57,44,0),"")</f>
        <v/>
      </c>
      <c r="BE199" s="199" t="str">
        <f>IFERROR(W199/VLOOKUP($G199,нормы!$A$14:$BI$57,45,0),"")</f>
        <v/>
      </c>
    </row>
    <row r="200" spans="1:57" s="1" customFormat="1" ht="20.25" customHeight="1" x14ac:dyDescent="0.4">
      <c r="A200" s="37" t="str">
        <f t="shared" si="86"/>
        <v>4Д</v>
      </c>
      <c r="B200" s="12">
        <f t="shared" si="87"/>
        <v>46026</v>
      </c>
      <c r="C200" s="97">
        <f t="shared" si="87"/>
        <v>0</v>
      </c>
      <c r="D200" s="97">
        <f t="shared" si="87"/>
        <v>1</v>
      </c>
      <c r="E200" s="54"/>
      <c r="F200" s="151" t="str">
        <f>IFERROR(VLOOKUP($G200,нормы!$A$14:$BC$57,2,0),"")</f>
        <v/>
      </c>
      <c r="G200" s="93"/>
      <c r="H200" s="54">
        <f t="shared" si="88"/>
        <v>0</v>
      </c>
      <c r="I200" s="55"/>
      <c r="J200" s="333"/>
      <c r="K200" s="30">
        <f>IFERROR(VLOOKUP($G200,[1]нормы!$A$21:$BC$151,15,0),"")</f>
        <v>0</v>
      </c>
      <c r="L200" s="31">
        <f>IFERROR(VLOOKUP($G200,[1]нормы!$A$21:$BC$151,17,0),"")</f>
        <v>0</v>
      </c>
      <c r="M200" s="306">
        <f>IFERROR(VLOOKUP($G200,[1]нормы!$A$21:$BC$151,27,0),"")</f>
        <v>0</v>
      </c>
      <c r="N200" s="307" t="str">
        <f>IFERROR(Y200/Y203*(1.1*J197*I205),"")</f>
        <v/>
      </c>
      <c r="O200" s="300">
        <f>IFERROR(VLOOKUP($G200,[1]нормы!$A$21:$BC$151,21,0),"")</f>
        <v>0</v>
      </c>
      <c r="P200" s="35">
        <f>IFERROR(VLOOKUP($G200,[1]нормы!$A$21:$BC$151,19,0),"")</f>
        <v>0</v>
      </c>
      <c r="Q200" s="35">
        <f>IFERROR(VLOOKUP($G200,[1]нормы!$A$21:$BC$151,23,0),"")</f>
        <v>0</v>
      </c>
      <c r="R200" s="231">
        <f>IFERROR(VLOOKUP($G200,[1]нормы!$A$21:$BC$151,29,0),"")</f>
        <v>0</v>
      </c>
      <c r="S200" s="35">
        <f>IFERROR(VLOOKUP($G200,[1]нормы!$A$21:$BC$151,31,0),"")</f>
        <v>0</v>
      </c>
      <c r="T200" s="32">
        <f>IFERROR(VLOOKUP($G200,[1]нормы!$A$21:$BC$151,25,0),"")</f>
        <v>0</v>
      </c>
      <c r="U200" s="233" t="str">
        <f>IFERROR(W200/(((100*Y200/Y203)*I202)/100),"")</f>
        <v/>
      </c>
      <c r="V200" s="234" t="str">
        <f>IFERROR(VLOOKUP($G200,нормы!$A$14:$BC$57,38,0),"")</f>
        <v/>
      </c>
      <c r="W200" s="136"/>
      <c r="X200" s="237"/>
      <c r="Y200" s="152" t="str">
        <f>IFERROR(VLOOKUP($G200,нормы!$A$14:$BC$57,42,0)*W200,"")</f>
        <v/>
      </c>
      <c r="Z200" s="163">
        <f>IFERROR(VLOOKUP($G200,нормы!$A$14:$BC$57,14,0)*W200/1000,0)</f>
        <v>0</v>
      </c>
      <c r="AA200" s="30"/>
      <c r="AB200" s="35"/>
      <c r="AC200" s="35"/>
      <c r="AD200" s="35"/>
      <c r="AE200" s="31"/>
      <c r="AF200" s="160"/>
      <c r="AG200" s="391"/>
      <c r="AH200" s="394"/>
      <c r="AI200" s="397"/>
      <c r="AJ200" s="408"/>
      <c r="AK200" s="360"/>
      <c r="AL200" s="360"/>
      <c r="AM200" s="360"/>
      <c r="AN200" s="289">
        <f>IFERROR(Y200*AJ197/Y203,)</f>
        <v>0</v>
      </c>
      <c r="AO200" s="197" t="str">
        <f>IFERROR(VLOOKUP($G200,нормы!$A$14:$BC$57,53,0)*$W200,"")</f>
        <v/>
      </c>
      <c r="AP200" s="290">
        <f>IFERROR(Y200*AI197/Y203,)</f>
        <v>0</v>
      </c>
      <c r="AQ200" s="197" t="str">
        <f>IFERROR(VLOOKUP($G200,нормы!$A$14:$BC$57,54,0)*$W200,"")</f>
        <v/>
      </c>
      <c r="AR200" s="290">
        <f>IFERROR(AS200/SUM(AS197:AS202)*AL197,0)</f>
        <v>0</v>
      </c>
      <c r="AS200" s="197" t="str">
        <f>IFERROR(VLOOKUP($G200,нормы!$A$14:$BC$57,55,0)*W200,"")</f>
        <v/>
      </c>
      <c r="AT200" s="290">
        <f>IFERROR(AU200/SUM(AU197:AU202)*AM197,0)</f>
        <v>0</v>
      </c>
      <c r="AU200" s="197" t="str">
        <f>IFERROR(VLOOKUP($G200,нормы!$A$14:$BI$57,56,0)*W200,"")</f>
        <v/>
      </c>
      <c r="AV200" s="290">
        <f>IFERROR(AW200/SUM(AW197:AW202)*AK197,0)</f>
        <v>0</v>
      </c>
      <c r="AW200" s="202" t="str">
        <f>IFERROR(VLOOKUP($G200,нормы!$A$14:$BI$57,57,0)*W200,"")</f>
        <v/>
      </c>
      <c r="AX200" s="30"/>
      <c r="AY200" s="203" t="str">
        <f>IFERROR(VLOOKUP($G200,нормы!$A$14:$BI$57,58,0)*W200,"")</f>
        <v/>
      </c>
      <c r="AZ200" s="205"/>
      <c r="BA200" s="200" t="str">
        <f>IFERROR(VLOOKUP($G200,нормы!$A$14:$BI$57,61,0)*$W200,"")</f>
        <v/>
      </c>
      <c r="BB200" s="30"/>
      <c r="BC200" s="203" t="str">
        <f>IFERROR(VLOOKUP($G200,нормы!$A$14:$BI$57,60,0)*W200,"")</f>
        <v/>
      </c>
      <c r="BD200" s="200" t="str">
        <f>IFERROR(VLOOKUP($G200,нормы!$A$14:$BG$57,44,0),"")</f>
        <v/>
      </c>
      <c r="BE200" s="199" t="str">
        <f>IFERROR(W200/VLOOKUP($G200,нормы!$A$14:$BI$57,45,0),"")</f>
        <v/>
      </c>
    </row>
    <row r="201" spans="1:57" s="1" customFormat="1" ht="20.25" customHeight="1" x14ac:dyDescent="0.4">
      <c r="A201" s="37" t="str">
        <f t="shared" si="86"/>
        <v>4Д</v>
      </c>
      <c r="B201" s="12">
        <f t="shared" si="87"/>
        <v>46026</v>
      </c>
      <c r="C201" s="97">
        <f t="shared" si="87"/>
        <v>0</v>
      </c>
      <c r="D201" s="97">
        <f t="shared" si="87"/>
        <v>1</v>
      </c>
      <c r="E201" s="54"/>
      <c r="F201" s="151" t="str">
        <f>IFERROR(VLOOKUP($G201,нормы!$A$14:$BC$57,2,0),"")</f>
        <v/>
      </c>
      <c r="G201" s="38"/>
      <c r="H201" s="54">
        <f t="shared" si="88"/>
        <v>0</v>
      </c>
      <c r="I201" s="89" t="s">
        <v>73</v>
      </c>
      <c r="J201" s="333"/>
      <c r="K201" s="30">
        <f>IFERROR(VLOOKUP($G201,[1]нормы!$A$21:$BC$151,15,0),"")</f>
        <v>0</v>
      </c>
      <c r="L201" s="31">
        <f>IFERROR(VLOOKUP($G201,[1]нормы!$A$21:$BC$151,17,0),"")</f>
        <v>0</v>
      </c>
      <c r="M201" s="306">
        <f>IFERROR(VLOOKUP($G201,[1]нормы!$A$21:$BC$151,27,0),"")</f>
        <v>0</v>
      </c>
      <c r="N201" s="307" t="str">
        <f>IFERROR(Y201/Y203*(1.1*J197*I206),"")</f>
        <v/>
      </c>
      <c r="O201" s="300">
        <f>IFERROR(VLOOKUP($G201,[1]нормы!$A$21:$BC$151,21,0),"")</f>
        <v>0</v>
      </c>
      <c r="P201" s="35">
        <f>IFERROR(VLOOKUP($G201,[1]нормы!$A$21:$BC$151,19,0),"")</f>
        <v>0</v>
      </c>
      <c r="Q201" s="35">
        <f>IFERROR(VLOOKUP($G201,[1]нормы!$A$21:$BC$151,23,0),"")</f>
        <v>0</v>
      </c>
      <c r="R201" s="231">
        <f>IFERROR(VLOOKUP($G201,[1]нормы!$A$21:$BC$151,29,0),"")</f>
        <v>0</v>
      </c>
      <c r="S201" s="35">
        <f>IFERROR(VLOOKUP($G201,[1]нормы!$A$21:$BC$151,31,0),"")</f>
        <v>0</v>
      </c>
      <c r="T201" s="32">
        <f>IFERROR(VLOOKUP($G201,[1]нормы!$A$21:$BC$151,25,0),"")</f>
        <v>0</v>
      </c>
      <c r="U201" s="233" t="str">
        <f>IFERROR(W201/(((100*Y201/Y203)*I202)/100),"")</f>
        <v/>
      </c>
      <c r="V201" s="234" t="str">
        <f>IFERROR(VLOOKUP($G201,нормы!$A$14:$BC$57,38,0),"")</f>
        <v/>
      </c>
      <c r="W201" s="136"/>
      <c r="X201" s="237"/>
      <c r="Y201" s="152" t="str">
        <f>IFERROR(VLOOKUP($G201,нормы!$A$14:$BC$57,42,0)*W201,"")</f>
        <v/>
      </c>
      <c r="Z201" s="163">
        <f>IFERROR(VLOOKUP($G201,нормы!$A$14:$BC$57,14,0)*W201/1000,0)</f>
        <v>0</v>
      </c>
      <c r="AA201" s="30"/>
      <c r="AB201" s="35"/>
      <c r="AC201" s="35"/>
      <c r="AD201" s="35"/>
      <c r="AE201" s="31"/>
      <c r="AF201" s="160"/>
      <c r="AG201" s="391"/>
      <c r="AH201" s="394"/>
      <c r="AI201" s="397"/>
      <c r="AJ201" s="408"/>
      <c r="AK201" s="360"/>
      <c r="AL201" s="360"/>
      <c r="AM201" s="360"/>
      <c r="AN201" s="289">
        <f>IFERROR(Y201*AJ197/Y203,)</f>
        <v>0</v>
      </c>
      <c r="AO201" s="197" t="str">
        <f>IFERROR(VLOOKUP($G201,нормы!$A$14:$BC$57,53,0)*$W201,"")</f>
        <v/>
      </c>
      <c r="AP201" s="290">
        <f>IFERROR(Y201*AI197/Y203,)</f>
        <v>0</v>
      </c>
      <c r="AQ201" s="197" t="str">
        <f>IFERROR(VLOOKUP($G201,нормы!$A$14:$BC$57,54,0)*$W201,"")</f>
        <v/>
      </c>
      <c r="AR201" s="290">
        <f>IFERROR(AS201/SUM(AS197:AS202)*AL197,0)</f>
        <v>0</v>
      </c>
      <c r="AS201" s="197" t="str">
        <f>IFERROR(VLOOKUP($G201,нормы!$A$14:$BC$57,55,0)*W201,"")</f>
        <v/>
      </c>
      <c r="AT201" s="290">
        <f>IFERROR(AU201/SUM(AU197:AU202)*AM197,0)</f>
        <v>0</v>
      </c>
      <c r="AU201" s="197" t="str">
        <f>IFERROR(VLOOKUP($G201,нормы!$A$14:$BI$57,56,0)*W201,"")</f>
        <v/>
      </c>
      <c r="AV201" s="290">
        <f>IFERROR(AW201/SUM(AW197:AW202)*AK197,0)</f>
        <v>0</v>
      </c>
      <c r="AW201" s="202" t="str">
        <f>IFERROR(VLOOKUP($G201,нормы!$A$14:$BI$57,57,0)*W201,"")</f>
        <v/>
      </c>
      <c r="AX201" s="30"/>
      <c r="AY201" s="203" t="str">
        <f>IFERROR(VLOOKUP($G201,нормы!$A$14:$BI$57,58,0)*W201,"")</f>
        <v/>
      </c>
      <c r="AZ201" s="205"/>
      <c r="BA201" s="200" t="str">
        <f>IFERROR(VLOOKUP($G201,нормы!$A$14:$BI$57,61,0)*$W201,"")</f>
        <v/>
      </c>
      <c r="BB201" s="30"/>
      <c r="BC201" s="203" t="str">
        <f>IFERROR(VLOOKUP($G201,нормы!$A$14:$BI$57,60,0)*W201,"")</f>
        <v/>
      </c>
      <c r="BD201" s="200" t="str">
        <f>IFERROR(VLOOKUP($G201,нормы!$A$14:$BG$57,44,0),"")</f>
        <v/>
      </c>
      <c r="BE201" s="199" t="str">
        <f>IFERROR(W201/VLOOKUP($G201,нормы!$A$14:$BI$57,45,0),"")</f>
        <v/>
      </c>
    </row>
    <row r="202" spans="1:57" s="1" customFormat="1" ht="21" customHeight="1" thickBot="1" x14ac:dyDescent="0.45">
      <c r="A202" s="37" t="str">
        <f t="shared" si="86"/>
        <v>4Д</v>
      </c>
      <c r="B202" s="12">
        <f t="shared" si="87"/>
        <v>46026</v>
      </c>
      <c r="C202" s="97">
        <f t="shared" si="87"/>
        <v>0</v>
      </c>
      <c r="D202" s="97">
        <f t="shared" si="87"/>
        <v>1</v>
      </c>
      <c r="E202" s="54"/>
      <c r="F202" s="151" t="str">
        <f>IFERROR(VLOOKUP($G202,нормы!$A$14:$BC$57,2,0),"")</f>
        <v/>
      </c>
      <c r="G202" s="93"/>
      <c r="H202" s="63">
        <f t="shared" si="88"/>
        <v>0</v>
      </c>
      <c r="I202" s="153">
        <f>I198+I200</f>
        <v>0</v>
      </c>
      <c r="J202" s="334"/>
      <c r="K202" s="30">
        <f>IFERROR(VLOOKUP($G202,[1]нормы!$A$21:$BC$151,15,0),"")</f>
        <v>0</v>
      </c>
      <c r="L202" s="31">
        <f>IFERROR(VLOOKUP($G202,[1]нормы!$A$21:$BC$151,17,0),"")</f>
        <v>0</v>
      </c>
      <c r="M202" s="308">
        <f>IFERROR(VLOOKUP($G202,[1]нормы!$A$21:$BC$151,27,0),"")</f>
        <v>0</v>
      </c>
      <c r="N202" s="309" t="str">
        <f>IFERROR(Y202/Y203*(1.1*J197*I207),"")</f>
        <v/>
      </c>
      <c r="O202" s="300">
        <f>IFERROR(VLOOKUP($G202,[1]нормы!$A$21:$BC$151,21,0),"")</f>
        <v>0</v>
      </c>
      <c r="P202" s="35">
        <f>IFERROR(VLOOKUP($G202,[1]нормы!$A$21:$BC$151,19,0),"")</f>
        <v>0</v>
      </c>
      <c r="Q202" s="35">
        <f>IFERROR(VLOOKUP($G202,[1]нормы!$A$21:$BC$151,23,0),"")</f>
        <v>0</v>
      </c>
      <c r="R202" s="231">
        <f>IFERROR(VLOOKUP($G202,[1]нормы!$A$21:$BC$151,29,0),"")</f>
        <v>0</v>
      </c>
      <c r="S202" s="35">
        <f>IFERROR(VLOOKUP($G202,[1]нормы!$A$21:$BC$151,31,0),"")</f>
        <v>0</v>
      </c>
      <c r="T202" s="32">
        <f>IFERROR(VLOOKUP($G202,[1]нормы!$A$21:$BC$151,25,0),"")</f>
        <v>0</v>
      </c>
      <c r="U202" s="235" t="str">
        <f>IFERROR(W202/(((100*Y202/Y203)*I202)/100),"")</f>
        <v/>
      </c>
      <c r="V202" s="234" t="str">
        <f>IFERROR(VLOOKUP($G202,нормы!$A$14:$BC$57,38,0),"")</f>
        <v/>
      </c>
      <c r="W202" s="154"/>
      <c r="X202" s="238"/>
      <c r="Y202" s="152" t="str">
        <f>IFERROR(VLOOKUP($G202,нормы!$A$14:$BC$57,42,0)*W202,"")</f>
        <v/>
      </c>
      <c r="Z202" s="163">
        <f>IFERROR(VLOOKUP($G202,нормы!$A$14:$BC$57,14,0)*W202/1000,0)</f>
        <v>0</v>
      </c>
      <c r="AA202" s="56"/>
      <c r="AB202" s="58"/>
      <c r="AC202" s="58"/>
      <c r="AD202" s="58"/>
      <c r="AE202" s="57"/>
      <c r="AF202" s="161"/>
      <c r="AG202" s="392"/>
      <c r="AH202" s="395"/>
      <c r="AI202" s="398"/>
      <c r="AJ202" s="409"/>
      <c r="AK202" s="361"/>
      <c r="AL202" s="361"/>
      <c r="AM202" s="361"/>
      <c r="AN202" s="291">
        <f>IFERROR(Y202*AJ197/Y203,)</f>
        <v>0</v>
      </c>
      <c r="AO202" s="197" t="str">
        <f>IFERROR(VLOOKUP($G202,нормы!$A$14:$BC$57,53,0)*$W202,"")</f>
        <v/>
      </c>
      <c r="AP202" s="292">
        <f>IFERROR(Y202*AI197/Y203,)</f>
        <v>0</v>
      </c>
      <c r="AQ202" s="197" t="str">
        <f>IFERROR(VLOOKUP($G202,нормы!$A$14:$BC$57,54,0)*$W202,"")</f>
        <v/>
      </c>
      <c r="AR202" s="290">
        <f>IFERROR(AS202/SUM(AS197:AS202)*AL197,0)</f>
        <v>0</v>
      </c>
      <c r="AS202" s="197" t="str">
        <f>IFERROR(VLOOKUP($G202,нормы!$A$14:$BC$57,55,0)*W202,"")</f>
        <v/>
      </c>
      <c r="AT202" s="292">
        <f>IFERROR(AU202/SUM(AU197:AU202)*AM197,0)</f>
        <v>0</v>
      </c>
      <c r="AU202" s="197" t="str">
        <f>IFERROR(VLOOKUP($G202,нормы!$A$14:$BI$57,56,0)*W202,"")</f>
        <v/>
      </c>
      <c r="AV202" s="292">
        <f>IFERROR(AW202/SUM(AW197:AW202)*AK197,0)</f>
        <v>0</v>
      </c>
      <c r="AW202" s="202" t="str">
        <f>IFERROR(VLOOKUP($G202,нормы!$A$14:$BI$57,57,0)*W202,"")</f>
        <v/>
      </c>
      <c r="AX202" s="56"/>
      <c r="AY202" s="203" t="str">
        <f>IFERROR(VLOOKUP($G202,нормы!$A$14:$BI$57,58,0)*W202,"")</f>
        <v/>
      </c>
      <c r="AZ202" s="206"/>
      <c r="BA202" s="200" t="str">
        <f>IFERROR(VLOOKUP($G202,нормы!$A$14:$BI$57,61,0)*$W202,"")</f>
        <v/>
      </c>
      <c r="BB202" s="56"/>
      <c r="BC202" s="203" t="str">
        <f>IFERROR(VLOOKUP($G202,нормы!$A$14:$BI$57,60,0)*W202,"")</f>
        <v/>
      </c>
      <c r="BD202" s="200" t="str">
        <f>IFERROR(VLOOKUP($G202,нормы!$A$14:$BG$57,44,0),"")</f>
        <v/>
      </c>
      <c r="BE202" s="199" t="str">
        <f>IFERROR(W202/VLOOKUP($G202,нормы!$A$14:$BI$57,45,0),"")</f>
        <v/>
      </c>
    </row>
    <row r="203" spans="1:57" s="1" customFormat="1" ht="29.4" customHeight="1" thickBot="1" x14ac:dyDescent="0.45">
      <c r="A203" s="37" t="str">
        <f t="shared" si="86"/>
        <v>4Д</v>
      </c>
      <c r="B203" s="59"/>
      <c r="C203" s="51"/>
      <c r="D203" s="51"/>
      <c r="E203" s="51"/>
      <c r="F203" s="295" t="s">
        <v>148</v>
      </c>
      <c r="G203" s="51"/>
      <c r="H203" s="51"/>
      <c r="I203" s="60"/>
      <c r="J203" s="60"/>
      <c r="K203" s="319" t="s">
        <v>213</v>
      </c>
      <c r="L203" s="316"/>
      <c r="M203" s="303" t="s">
        <v>213</v>
      </c>
      <c r="N203" s="317">
        <f>SUM(N197:N202)</f>
        <v>0</v>
      </c>
      <c r="O203" s="304" t="s">
        <v>216</v>
      </c>
      <c r="P203" s="318">
        <f>N203*8.937/1000</f>
        <v>0</v>
      </c>
      <c r="Q203" s="305" t="s">
        <v>215</v>
      </c>
      <c r="R203" s="61"/>
      <c r="S203" s="61"/>
      <c r="T203" s="61"/>
      <c r="U203" s="109"/>
      <c r="V203" s="109"/>
      <c r="W203" s="94"/>
      <c r="X203" s="155"/>
      <c r="Y203" s="96">
        <f>SUM(Y197:Y202)</f>
        <v>0</v>
      </c>
      <c r="Z203" s="164">
        <f>SUM(Z197:Z202)</f>
        <v>0</v>
      </c>
      <c r="AA203" s="62"/>
      <c r="AB203" s="62"/>
      <c r="AC203" s="62"/>
      <c r="AD203" s="62"/>
      <c r="AE203" s="62"/>
      <c r="AF203" s="62"/>
      <c r="AG203" s="162" t="s">
        <v>140</v>
      </c>
      <c r="AH203" s="162" t="s">
        <v>141</v>
      </c>
      <c r="AI203" s="162" t="s">
        <v>142</v>
      </c>
      <c r="AJ203" s="91" t="s">
        <v>126</v>
      </c>
      <c r="AK203" s="198" t="s">
        <v>136</v>
      </c>
      <c r="AL203" s="198" t="s">
        <v>137</v>
      </c>
      <c r="AM203" s="198" t="s">
        <v>138</v>
      </c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53" t="str">
        <f>IFERROR(W203/VLOOKUP($G203,нормы!$A$14:$BI$15,28,0),"")</f>
        <v/>
      </c>
    </row>
    <row r="204" spans="1:57" s="1" customFormat="1" ht="21.6" customHeight="1" x14ac:dyDescent="0.4">
      <c r="A204" s="37" t="str">
        <f t="shared" si="86"/>
        <v>4Д</v>
      </c>
      <c r="B204" s="12">
        <f>B202</f>
        <v>46026</v>
      </c>
      <c r="C204" s="97"/>
      <c r="D204" s="97">
        <v>2</v>
      </c>
      <c r="E204" s="29"/>
      <c r="F204" s="151" t="str">
        <f>IFERROR(VLOOKUP($G204,нормы!$A$14:$BC$57,2,0),"")</f>
        <v/>
      </c>
      <c r="G204" s="93"/>
      <c r="H204" s="54">
        <f>IF(C204=1,"Кульков С.А.", IF(C204=2,"Чудаков А.А.",IF(C204=3,"Королев В.Н.",IF(C204=4,"Николашин М.П.",IF(C204=5," Кульков С.А.",IF(C204=6,"А.А. Чудаков",IF(C204=7,"В.Н. Королев",IF(C204=8,"М.П. Николашин",0))))))))</f>
        <v>0</v>
      </c>
      <c r="I204" s="88" t="s">
        <v>211</v>
      </c>
      <c r="J204" s="332"/>
      <c r="K204" s="30">
        <f>IFERROR(VLOOKUP($G204,[1]нормы!$A$21:$BC$151,15,0),"")</f>
        <v>0</v>
      </c>
      <c r="L204" s="31">
        <f>IFERROR(VLOOKUP($G204,[1]нормы!$A$21:$BC$151,17,0),"")</f>
        <v>0</v>
      </c>
      <c r="M204" s="310">
        <f>IFERROR(VLOOKUP($G204,[1]нормы!$A$21:$BC$151,27,0),"")</f>
        <v>0</v>
      </c>
      <c r="N204" s="311" t="str">
        <f>IFERROR(Y204/Y210*(1.1*J204*I209),"")</f>
        <v/>
      </c>
      <c r="O204" s="300">
        <f>IFERROR(VLOOKUP($G204,[1]нормы!$A$21:$BC$151,21,0),"")</f>
        <v>0</v>
      </c>
      <c r="P204" s="35">
        <f>IFERROR(VLOOKUP($G204,[1]нормы!$A$21:$BC$151,19,0),"")</f>
        <v>0</v>
      </c>
      <c r="Q204" s="35">
        <f>IFERROR(VLOOKUP($G204,[1]нормы!$A$21:$BC$151,23,0),"")</f>
        <v>0</v>
      </c>
      <c r="R204" s="231">
        <f>IFERROR(VLOOKUP($G204,[1]нормы!$A$21:$BC$151,29,0),"")</f>
        <v>0</v>
      </c>
      <c r="S204" s="35">
        <f>IFERROR(VLOOKUP($G204,[1]нормы!$A$21:$BC$151,31,0),"")</f>
        <v>0</v>
      </c>
      <c r="T204" s="32">
        <f>IFERROR(VLOOKUP($G204,[1]нормы!$A$21:$BC$151,25,0),"")</f>
        <v>0</v>
      </c>
      <c r="U204" s="232" t="str">
        <f>IFERROR(W204/(((100*Y204/Y210)*I209)/100),"")</f>
        <v/>
      </c>
      <c r="V204" s="234" t="str">
        <f>IFERROR(VLOOKUP($G204,нормы!$A$14:$BC$57,38,0),"")</f>
        <v/>
      </c>
      <c r="W204" s="136"/>
      <c r="X204" s="236"/>
      <c r="Y204" s="152" t="str">
        <f>IFERROR(VLOOKUP($G204,нормы!$A$14:$BC$57,42,0)*W204,"")</f>
        <v/>
      </c>
      <c r="Z204" s="163">
        <f>IFERROR(VLOOKUP($G204,нормы!$A$14:$BC$57,14,0)*W204/1000,0)</f>
        <v>0</v>
      </c>
      <c r="AA204" s="33"/>
      <c r="AB204" s="36"/>
      <c r="AC204" s="36"/>
      <c r="AD204" s="36"/>
      <c r="AE204" s="34"/>
      <c r="AF204" s="159"/>
      <c r="AG204" s="390"/>
      <c r="AH204" s="393"/>
      <c r="AI204" s="396"/>
      <c r="AJ204" s="407">
        <f>AG204+AH204</f>
        <v>0</v>
      </c>
      <c r="AK204" s="359"/>
      <c r="AL204" s="359"/>
      <c r="AM204" s="359"/>
      <c r="AN204" s="287">
        <f>IFERROR(Y204*AJ204/Y210,)</f>
        <v>0</v>
      </c>
      <c r="AO204" s="197" t="str">
        <f>IFERROR(VLOOKUP($G204,нормы!$A$14:$BC$57,53,0)*$W204,"")</f>
        <v/>
      </c>
      <c r="AP204" s="288">
        <f>IFERROR(Y204*AI204/Y210,)</f>
        <v>0</v>
      </c>
      <c r="AQ204" s="197" t="str">
        <f>IFERROR(VLOOKUP($G204,нормы!$A$14:$BC$57,54,0)*$W204,"")</f>
        <v/>
      </c>
      <c r="AR204" s="288">
        <f>IFERROR(AS204/SUM(AS204:AS209)*AL204,0)</f>
        <v>0</v>
      </c>
      <c r="AS204" s="197" t="str">
        <f>IFERROR(VLOOKUP($G204,нормы!$A$14:$BC$57,55,0)*W204,"")</f>
        <v/>
      </c>
      <c r="AT204" s="288">
        <f>IFERROR(AU204/SUM(AU204:AU209)*AM204,0)</f>
        <v>0</v>
      </c>
      <c r="AU204" s="197" t="str">
        <f>IFERROR(VLOOKUP($G204,нормы!$A$14:$BI$57,56,0)*W204,"")</f>
        <v/>
      </c>
      <c r="AV204" s="288">
        <f>IFERROR(AW204/SUM(AW204:AW209)*AK204,0)</f>
        <v>0</v>
      </c>
      <c r="AW204" s="202" t="str">
        <f>IFERROR(VLOOKUP($G204,нормы!$A$14:$BI$57,57,0)*W204,"")</f>
        <v/>
      </c>
      <c r="AX204" s="33"/>
      <c r="AY204" s="203" t="str">
        <f>IFERROR(VLOOKUP($G204,нормы!$A$14:$BI$57,58,0)*W204,"")</f>
        <v/>
      </c>
      <c r="AZ204" s="204"/>
      <c r="BA204" s="200" t="str">
        <f>IFERROR(VLOOKUP($G204,нормы!$A$14:$BI$57,61,0)*$W204,"")</f>
        <v/>
      </c>
      <c r="BB204" s="33"/>
      <c r="BC204" s="203" t="str">
        <f>IFERROR(VLOOKUP($G204,нормы!$A$14:$BI$57,60,0)*W204,"")</f>
        <v/>
      </c>
      <c r="BD204" s="200" t="str">
        <f>IFERROR(VLOOKUP($G204,нормы!$A$14:$BG$57,44,0),"")</f>
        <v/>
      </c>
      <c r="BE204" s="199" t="str">
        <f>IFERROR(W204/VLOOKUP($G204,нормы!$A$14:$BI$57,45,0),"")</f>
        <v/>
      </c>
    </row>
    <row r="205" spans="1:57" s="1" customFormat="1" ht="21.6" customHeight="1" x14ac:dyDescent="0.4">
      <c r="A205" s="37" t="str">
        <f t="shared" si="86"/>
        <v>4Д</v>
      </c>
      <c r="B205" s="12">
        <f t="shared" ref="B205:D209" si="89">B204</f>
        <v>46026</v>
      </c>
      <c r="C205" s="97">
        <f t="shared" si="89"/>
        <v>0</v>
      </c>
      <c r="D205" s="97">
        <f t="shared" si="89"/>
        <v>2</v>
      </c>
      <c r="E205" s="54"/>
      <c r="F205" s="151" t="str">
        <f>IFERROR(VLOOKUP($G205,нормы!$A$14:$BC$57,2,0),"")</f>
        <v/>
      </c>
      <c r="G205" s="93"/>
      <c r="H205" s="54">
        <f t="shared" ref="H205:H209" si="90">IF(C205=1,"Кульков С.А.", IF(C205=2,"Чудаков А.А.",IF(C205=3,"Королев В.Н.",IF(C205=4,"Николашин М.П.",IF(C205=5," Кульков С.А.",IF(C205=6,"А.А. Чудаков",IF(C205=7,"В.Н. Королев",IF(C205=8,"М.П. Николашин",0))))))))</f>
        <v>0</v>
      </c>
      <c r="I205" s="55"/>
      <c r="J205" s="333"/>
      <c r="K205" s="30">
        <f>IFERROR(VLOOKUP($G205,[1]нормы!$A$21:$BC$151,15,0),"")</f>
        <v>0</v>
      </c>
      <c r="L205" s="31">
        <f>IFERROR(VLOOKUP($G205,[1]нормы!$A$21:$BC$151,17,0),"")</f>
        <v>0</v>
      </c>
      <c r="M205" s="306">
        <f>IFERROR(VLOOKUP($G205,[1]нормы!$A$21:$BC$151,27,0),"")</f>
        <v>0</v>
      </c>
      <c r="N205" s="307" t="str">
        <f>IFERROR(Y205/Y210*(1.1*J204*I209),"")</f>
        <v/>
      </c>
      <c r="O205" s="300">
        <f>IFERROR(VLOOKUP($G205,[1]нормы!$A$21:$BC$151,21,0),"")</f>
        <v>0</v>
      </c>
      <c r="P205" s="35">
        <f>IFERROR(VLOOKUP($G205,[1]нормы!$A$21:$BC$151,19,0),"")</f>
        <v>0</v>
      </c>
      <c r="Q205" s="35">
        <f>IFERROR(VLOOKUP($G205,[1]нормы!$A$21:$BC$151,23,0),"")</f>
        <v>0</v>
      </c>
      <c r="R205" s="231">
        <f>IFERROR(VLOOKUP($G205,[1]нормы!$A$21:$BC$151,29,0),"")</f>
        <v>0</v>
      </c>
      <c r="S205" s="35">
        <f>IFERROR(VLOOKUP($G205,[1]нормы!$A$21:$BC$151,31,0),"")</f>
        <v>0</v>
      </c>
      <c r="T205" s="32">
        <f>IFERROR(VLOOKUP($G205,[1]нормы!$A$21:$BC$151,25,0),"")</f>
        <v>0</v>
      </c>
      <c r="U205" s="233" t="str">
        <f>IFERROR(W205/(((100*Y205/Y210)*I209)/100),"")</f>
        <v/>
      </c>
      <c r="V205" s="234" t="str">
        <f>IFERROR(VLOOKUP($G205,нормы!$A$14:$BC$57,38,0),"")</f>
        <v/>
      </c>
      <c r="W205" s="136"/>
      <c r="X205" s="237"/>
      <c r="Y205" s="152" t="str">
        <f>IFERROR(VLOOKUP($G205,нормы!$A$14:$BC$57,42,0)*W205,"")</f>
        <v/>
      </c>
      <c r="Z205" s="163">
        <f>IFERROR(VLOOKUP($G205,нормы!$A$14:$BC$57,14,0)*W205/1000,0)</f>
        <v>0</v>
      </c>
      <c r="AA205" s="142"/>
      <c r="AB205" s="35"/>
      <c r="AC205" s="35"/>
      <c r="AD205" s="35"/>
      <c r="AE205" s="31"/>
      <c r="AF205" s="160"/>
      <c r="AG205" s="391"/>
      <c r="AH205" s="394"/>
      <c r="AI205" s="397"/>
      <c r="AJ205" s="408"/>
      <c r="AK205" s="360"/>
      <c r="AL205" s="360"/>
      <c r="AM205" s="360"/>
      <c r="AN205" s="289">
        <f>IFERROR(Y205*AJ204/Y210,)</f>
        <v>0</v>
      </c>
      <c r="AO205" s="197" t="str">
        <f>IFERROR(VLOOKUP($G205,нормы!$A$14:$BC$57,53,0)*$W205,"")</f>
        <v/>
      </c>
      <c r="AP205" s="290">
        <f>IFERROR(Y205*AI204/Y210,)</f>
        <v>0</v>
      </c>
      <c r="AQ205" s="197" t="str">
        <f>IFERROR(VLOOKUP($G205,нормы!$A$14:$BC$57,54,0)*$W205,"")</f>
        <v/>
      </c>
      <c r="AR205" s="290">
        <f>IFERROR(AS205/SUM(AS204:AS209)*AL204,0)</f>
        <v>0</v>
      </c>
      <c r="AS205" s="197" t="str">
        <f>IFERROR(VLOOKUP($G205,нормы!$A$14:$BC$57,55,0)*W205,"")</f>
        <v/>
      </c>
      <c r="AT205" s="290">
        <f>IFERROR(AU205/SUM(AU204:AU209)*AM204,0)</f>
        <v>0</v>
      </c>
      <c r="AU205" s="197" t="str">
        <f>IFERROR(VLOOKUP($G205,нормы!$A$14:$BI$57,56,0)*W205,"")</f>
        <v/>
      </c>
      <c r="AV205" s="290">
        <f>IFERROR(AW205/SUM(AW204:AW209)*AK204,0)</f>
        <v>0</v>
      </c>
      <c r="AW205" s="202" t="str">
        <f>IFERROR(VLOOKUP($G205,нормы!$A$14:$BI$57,57,0)*W205,"")</f>
        <v/>
      </c>
      <c r="AX205" s="30"/>
      <c r="AY205" s="203" t="str">
        <f>IFERROR(VLOOKUP($G205,нормы!$A$14:$BI$57,58,0)*W205,"")</f>
        <v/>
      </c>
      <c r="AZ205" s="205"/>
      <c r="BA205" s="200" t="str">
        <f>IFERROR(VLOOKUP($G205,нормы!$A$14:$BI$57,61,0)*$W205,"")</f>
        <v/>
      </c>
      <c r="BB205" s="30"/>
      <c r="BC205" s="203" t="str">
        <f>IFERROR(VLOOKUP($G205,нормы!$A$14:$BI$57,60,0)*W205,"")</f>
        <v/>
      </c>
      <c r="BD205" s="200" t="str">
        <f>IFERROR(VLOOKUP($G205,нормы!$A$14:$BG$57,44,0),"")</f>
        <v/>
      </c>
      <c r="BE205" s="199" t="str">
        <f>IFERROR(W205/VLOOKUP($G205,нормы!$A$14:$BI$57,45,0),"")</f>
        <v/>
      </c>
    </row>
    <row r="206" spans="1:57" s="1" customFormat="1" ht="20.25" customHeight="1" x14ac:dyDescent="0.4">
      <c r="A206" s="37" t="str">
        <f t="shared" si="86"/>
        <v>4Д</v>
      </c>
      <c r="B206" s="12">
        <f t="shared" si="89"/>
        <v>46026</v>
      </c>
      <c r="C206" s="97">
        <f t="shared" si="89"/>
        <v>0</v>
      </c>
      <c r="D206" s="97">
        <f t="shared" si="89"/>
        <v>2</v>
      </c>
      <c r="E206" s="54"/>
      <c r="F206" s="151" t="str">
        <f>IFERROR(VLOOKUP($G206,нормы!$A$14:$BC$57,2,0),"")</f>
        <v/>
      </c>
      <c r="G206" s="38"/>
      <c r="H206" s="54">
        <f t="shared" si="90"/>
        <v>0</v>
      </c>
      <c r="I206" s="89" t="s">
        <v>212</v>
      </c>
      <c r="J206" s="333"/>
      <c r="K206" s="30">
        <f>IFERROR(VLOOKUP($G206,[1]нормы!$A$21:$BC$151,15,0),"")</f>
        <v>0</v>
      </c>
      <c r="L206" s="31">
        <f>IFERROR(VLOOKUP($G206,[1]нормы!$A$21:$BC$151,17,0),"")</f>
        <v>0</v>
      </c>
      <c r="M206" s="306">
        <f>IFERROR(VLOOKUP($G206,[1]нормы!$A$21:$BC$151,27,0),"")</f>
        <v>0</v>
      </c>
      <c r="N206" s="307" t="str">
        <f>IFERROR(Y206/Y210*(1.1*J204*I209),"")</f>
        <v/>
      </c>
      <c r="O206" s="300">
        <f>IFERROR(VLOOKUP($G206,[1]нормы!$A$21:$BC$151,21,0),"")</f>
        <v>0</v>
      </c>
      <c r="P206" s="35">
        <f>IFERROR(VLOOKUP($G206,[1]нормы!$A$21:$BC$151,19,0),"")</f>
        <v>0</v>
      </c>
      <c r="Q206" s="35">
        <f>IFERROR(VLOOKUP($G206,[1]нормы!$A$21:$BC$151,23,0),"")</f>
        <v>0</v>
      </c>
      <c r="R206" s="231">
        <f>IFERROR(VLOOKUP($G206,[1]нормы!$A$21:$BC$151,29,0),"")</f>
        <v>0</v>
      </c>
      <c r="S206" s="35">
        <f>IFERROR(VLOOKUP($G206,[1]нормы!$A$21:$BC$151,31,0),"")</f>
        <v>0</v>
      </c>
      <c r="T206" s="32">
        <f>IFERROR(VLOOKUP($G206,[1]нормы!$A$21:$BC$151,25,0),"")</f>
        <v>0</v>
      </c>
      <c r="U206" s="233" t="str">
        <f>IFERROR(W206/(((100*Y206/Y210)*I209)/100),"")</f>
        <v/>
      </c>
      <c r="V206" s="234" t="str">
        <f>IFERROR(VLOOKUP($G206,нормы!$A$14:$BC$57,38,0),"")</f>
        <v/>
      </c>
      <c r="W206" s="136"/>
      <c r="X206" s="237"/>
      <c r="Y206" s="152" t="str">
        <f>IFERROR(VLOOKUP($G206,нормы!$A$14:$BC$57,42,0)*W206,"")</f>
        <v/>
      </c>
      <c r="Z206" s="163">
        <f>IFERROR(VLOOKUP($G206,нормы!$A$14:$BC$57,14,0)*W206/1000,0)</f>
        <v>0</v>
      </c>
      <c r="AA206" s="30"/>
      <c r="AB206" s="35"/>
      <c r="AC206" s="35"/>
      <c r="AD206" s="35"/>
      <c r="AE206" s="31"/>
      <c r="AF206" s="160"/>
      <c r="AG206" s="391"/>
      <c r="AH206" s="394"/>
      <c r="AI206" s="397"/>
      <c r="AJ206" s="408"/>
      <c r="AK206" s="360"/>
      <c r="AL206" s="360"/>
      <c r="AM206" s="360"/>
      <c r="AN206" s="289">
        <f>IFERROR(Y206*AJ204/Y210,)</f>
        <v>0</v>
      </c>
      <c r="AO206" s="197" t="str">
        <f>IFERROR(VLOOKUP($G206,нормы!$A$14:$BC$57,53,0)*$W206,"")</f>
        <v/>
      </c>
      <c r="AP206" s="290">
        <f>IFERROR(Y206*AI204/Y210,)</f>
        <v>0</v>
      </c>
      <c r="AQ206" s="197" t="str">
        <f>IFERROR(VLOOKUP($G206,нормы!$A$14:$BC$57,54,0)*$W206,"")</f>
        <v/>
      </c>
      <c r="AR206" s="290">
        <f>IFERROR(AS206/SUM(AS204:AS209)*AL204,0)</f>
        <v>0</v>
      </c>
      <c r="AS206" s="197" t="str">
        <f>IFERROR(VLOOKUP($G206,нормы!$A$14:$BC$57,55,0)*W206,"")</f>
        <v/>
      </c>
      <c r="AT206" s="290">
        <f>IFERROR(AU206/SUM(AU204:AU209)*AM204,0)</f>
        <v>0</v>
      </c>
      <c r="AU206" s="197" t="str">
        <f>IFERROR(VLOOKUP($G206,нормы!$A$14:$BI$57,56,0)*W206,"")</f>
        <v/>
      </c>
      <c r="AV206" s="290">
        <f>IFERROR(AW206/SUM(AW204:AW209)*AK204,0)</f>
        <v>0</v>
      </c>
      <c r="AW206" s="202" t="str">
        <f>IFERROR(VLOOKUP($G206,нормы!$A$14:$BI$57,57,0)*W206,"")</f>
        <v/>
      </c>
      <c r="AX206" s="30"/>
      <c r="AY206" s="203" t="str">
        <f>IFERROR(VLOOKUP($G206,нормы!$A$14:$BI$57,58,0)*W206,"")</f>
        <v/>
      </c>
      <c r="AZ206" s="205"/>
      <c r="BA206" s="200" t="str">
        <f>IFERROR(VLOOKUP($G206,нормы!$A$14:$BI$57,61,0)*$W206,"")</f>
        <v/>
      </c>
      <c r="BB206" s="30"/>
      <c r="BC206" s="203" t="str">
        <f>IFERROR(VLOOKUP($G206,нормы!$A$14:$BI$57,60,0)*W206,"")</f>
        <v/>
      </c>
      <c r="BD206" s="200" t="str">
        <f>IFERROR(VLOOKUP($G206,нормы!$A$14:$BG$57,44,0),"")</f>
        <v/>
      </c>
      <c r="BE206" s="199" t="str">
        <f>IFERROR(W206/VLOOKUP($G206,нормы!$A$14:$BI$57,45,0),"")</f>
        <v/>
      </c>
    </row>
    <row r="207" spans="1:57" s="1" customFormat="1" ht="20.25" customHeight="1" x14ac:dyDescent="0.4">
      <c r="A207" s="37" t="str">
        <f t="shared" si="86"/>
        <v>4Д</v>
      </c>
      <c r="B207" s="12">
        <f t="shared" si="89"/>
        <v>46026</v>
      </c>
      <c r="C207" s="97">
        <f t="shared" si="89"/>
        <v>0</v>
      </c>
      <c r="D207" s="97">
        <f t="shared" si="89"/>
        <v>2</v>
      </c>
      <c r="E207" s="54"/>
      <c r="F207" s="151" t="str">
        <f>IFERROR(VLOOKUP($G207,нормы!$A$14:$BC$57,2,0),"")</f>
        <v/>
      </c>
      <c r="G207" s="93"/>
      <c r="H207" s="54">
        <f t="shared" si="90"/>
        <v>0</v>
      </c>
      <c r="I207" s="55"/>
      <c r="J207" s="333"/>
      <c r="K207" s="30">
        <f>IFERROR(VLOOKUP($G207,[1]нормы!$A$21:$BC$151,15,0),"")</f>
        <v>0</v>
      </c>
      <c r="L207" s="31">
        <f>IFERROR(VLOOKUP($G207,[1]нормы!$A$21:$BC$151,17,0),"")</f>
        <v>0</v>
      </c>
      <c r="M207" s="306">
        <f>IFERROR(VLOOKUP($G207,[1]нормы!$A$21:$BC$151,27,0),"")</f>
        <v>0</v>
      </c>
      <c r="N207" s="307" t="str">
        <f>IFERROR(Y207/Y210*(1.1*J204*I212),"")</f>
        <v/>
      </c>
      <c r="O207" s="300">
        <f>IFERROR(VLOOKUP($G207,[1]нормы!$A$21:$BC$151,21,0),"")</f>
        <v>0</v>
      </c>
      <c r="P207" s="35">
        <f>IFERROR(VLOOKUP($G207,[1]нормы!$A$21:$BC$151,19,0),"")</f>
        <v>0</v>
      </c>
      <c r="Q207" s="35">
        <f>IFERROR(VLOOKUP($G207,[1]нормы!$A$21:$BC$151,23,0),"")</f>
        <v>0</v>
      </c>
      <c r="R207" s="231">
        <f>IFERROR(VLOOKUP($G207,[1]нормы!$A$21:$BC$151,29,0),"")</f>
        <v>0</v>
      </c>
      <c r="S207" s="35">
        <f>IFERROR(VLOOKUP($G207,[1]нормы!$A$21:$BC$151,31,0),"")</f>
        <v>0</v>
      </c>
      <c r="T207" s="32">
        <f>IFERROR(VLOOKUP($G207,[1]нормы!$A$21:$BC$151,25,0),"")</f>
        <v>0</v>
      </c>
      <c r="U207" s="233" t="str">
        <f>IFERROR(W207/(((100*Y207/Y210)*I209)/100),"")</f>
        <v/>
      </c>
      <c r="V207" s="234" t="str">
        <f>IFERROR(VLOOKUP($G207,нормы!$A$14:$BC$57,38,0),"")</f>
        <v/>
      </c>
      <c r="W207" s="136"/>
      <c r="X207" s="237"/>
      <c r="Y207" s="152" t="str">
        <f>IFERROR(VLOOKUP($G207,нормы!$A$14:$BC$57,42,0)*W207,"")</f>
        <v/>
      </c>
      <c r="Z207" s="163">
        <f>IFERROR(VLOOKUP($G207,нормы!$A$14:$BC$57,14,0)*W207/1000,0)</f>
        <v>0</v>
      </c>
      <c r="AA207" s="30"/>
      <c r="AB207" s="35"/>
      <c r="AC207" s="35"/>
      <c r="AD207" s="35"/>
      <c r="AE207" s="31"/>
      <c r="AF207" s="160"/>
      <c r="AG207" s="391"/>
      <c r="AH207" s="394"/>
      <c r="AI207" s="397"/>
      <c r="AJ207" s="408"/>
      <c r="AK207" s="360"/>
      <c r="AL207" s="360"/>
      <c r="AM207" s="360"/>
      <c r="AN207" s="289">
        <f>IFERROR(Y207*AJ204/Y210,)</f>
        <v>0</v>
      </c>
      <c r="AO207" s="197" t="str">
        <f>IFERROR(VLOOKUP($G207,нормы!$A$14:$BC$57,53,0)*$W207,"")</f>
        <v/>
      </c>
      <c r="AP207" s="290">
        <f>IFERROR(Y207*AI204/Y210,)</f>
        <v>0</v>
      </c>
      <c r="AQ207" s="197" t="str">
        <f>IFERROR(VLOOKUP($G207,нормы!$A$14:$BC$57,54,0)*$W207,"")</f>
        <v/>
      </c>
      <c r="AR207" s="290">
        <f>IFERROR(AS207/SUM(AS204:AS209)*AL204,0)</f>
        <v>0</v>
      </c>
      <c r="AS207" s="197" t="str">
        <f>IFERROR(VLOOKUP($G207,нормы!$A$14:$BC$57,55,0)*W207,"")</f>
        <v/>
      </c>
      <c r="AT207" s="290">
        <f>IFERROR(AU207/SUM(AU204:AU209)*AM204,0)</f>
        <v>0</v>
      </c>
      <c r="AU207" s="197" t="str">
        <f>IFERROR(VLOOKUP($G207,нормы!$A$14:$BI$57,56,0)*W207,"")</f>
        <v/>
      </c>
      <c r="AV207" s="290">
        <f>IFERROR(AW207/SUM(AW204:AW209)*AK204,0)</f>
        <v>0</v>
      </c>
      <c r="AW207" s="202" t="str">
        <f>IFERROR(VLOOKUP($G207,нормы!$A$14:$BI$57,57,0)*W207,"")</f>
        <v/>
      </c>
      <c r="AX207" s="30"/>
      <c r="AY207" s="203" t="str">
        <f>IFERROR(VLOOKUP($G207,нормы!$A$14:$BI$57,58,0)*W207,"")</f>
        <v/>
      </c>
      <c r="AZ207" s="205"/>
      <c r="BA207" s="200" t="str">
        <f>IFERROR(VLOOKUP($G207,нормы!$A$14:$BI$57,61,0)*$W207,"")</f>
        <v/>
      </c>
      <c r="BB207" s="30"/>
      <c r="BC207" s="203" t="str">
        <f>IFERROR(VLOOKUP($G207,нормы!$A$14:$BI$57,60,0)*W207,"")</f>
        <v/>
      </c>
      <c r="BD207" s="200" t="str">
        <f>IFERROR(VLOOKUP($G207,нормы!$A$14:$BG$57,44,0),"")</f>
        <v/>
      </c>
      <c r="BE207" s="199" t="str">
        <f>IFERROR(W207/VLOOKUP($G207,нормы!$A$14:$BI$57,45,0),"")</f>
        <v/>
      </c>
    </row>
    <row r="208" spans="1:57" s="1" customFormat="1" ht="20.25" customHeight="1" x14ac:dyDescent="0.4">
      <c r="A208" s="37" t="str">
        <f t="shared" si="86"/>
        <v>4Д</v>
      </c>
      <c r="B208" s="12">
        <f t="shared" si="89"/>
        <v>46026</v>
      </c>
      <c r="C208" s="97">
        <f t="shared" si="89"/>
        <v>0</v>
      </c>
      <c r="D208" s="97">
        <f t="shared" si="89"/>
        <v>2</v>
      </c>
      <c r="E208" s="54"/>
      <c r="F208" s="151" t="str">
        <f>IFERROR(VLOOKUP($G208,нормы!$A$14:$BC$57,2,0),"")</f>
        <v/>
      </c>
      <c r="G208" s="38"/>
      <c r="H208" s="54">
        <f t="shared" si="90"/>
        <v>0</v>
      </c>
      <c r="I208" s="89" t="s">
        <v>73</v>
      </c>
      <c r="J208" s="333"/>
      <c r="K208" s="30">
        <f>IFERROR(VLOOKUP($G208,[1]нормы!$A$21:$BC$151,15,0),"")</f>
        <v>0</v>
      </c>
      <c r="L208" s="31">
        <f>IFERROR(VLOOKUP($G208,[1]нормы!$A$21:$BC$151,17,0),"")</f>
        <v>0</v>
      </c>
      <c r="M208" s="306">
        <f>IFERROR(VLOOKUP($G208,[1]нормы!$A$21:$BC$151,27,0),"")</f>
        <v>0</v>
      </c>
      <c r="N208" s="307" t="str">
        <f>IFERROR(Y208/Y210*(1.1*J204*I213),"")</f>
        <v/>
      </c>
      <c r="O208" s="300">
        <f>IFERROR(VLOOKUP($G208,[1]нормы!$A$21:$BC$151,21,0),"")</f>
        <v>0</v>
      </c>
      <c r="P208" s="35">
        <f>IFERROR(VLOOKUP($G208,[1]нормы!$A$21:$BC$151,19,0),"")</f>
        <v>0</v>
      </c>
      <c r="Q208" s="35">
        <f>IFERROR(VLOOKUP($G208,[1]нормы!$A$21:$BC$151,23,0),"")</f>
        <v>0</v>
      </c>
      <c r="R208" s="231">
        <f>IFERROR(VLOOKUP($G208,[1]нормы!$A$21:$BC$151,29,0),"")</f>
        <v>0</v>
      </c>
      <c r="S208" s="35">
        <f>IFERROR(VLOOKUP($G208,[1]нормы!$A$21:$BC$151,31,0),"")</f>
        <v>0</v>
      </c>
      <c r="T208" s="32">
        <f>IFERROR(VLOOKUP($G208,[1]нормы!$A$21:$BC$151,25,0),"")</f>
        <v>0</v>
      </c>
      <c r="U208" s="233" t="str">
        <f>IFERROR(W208/(((100*Y208/Y210)*I209)/100),"")</f>
        <v/>
      </c>
      <c r="V208" s="234" t="str">
        <f>IFERROR(VLOOKUP($G208,нормы!$A$14:$BC$57,38,0),"")</f>
        <v/>
      </c>
      <c r="W208" s="136"/>
      <c r="X208" s="237"/>
      <c r="Y208" s="152" t="str">
        <f>IFERROR(VLOOKUP($G208,нормы!$A$14:$BC$57,42,0)*W208,"")</f>
        <v/>
      </c>
      <c r="Z208" s="163">
        <f>IFERROR(VLOOKUP($G208,нормы!$A$14:$BC$57,14,0)*W208/1000,0)</f>
        <v>0</v>
      </c>
      <c r="AA208" s="30"/>
      <c r="AB208" s="35"/>
      <c r="AC208" s="35"/>
      <c r="AD208" s="35"/>
      <c r="AE208" s="31"/>
      <c r="AF208" s="160"/>
      <c r="AG208" s="391"/>
      <c r="AH208" s="394"/>
      <c r="AI208" s="397"/>
      <c r="AJ208" s="408"/>
      <c r="AK208" s="360"/>
      <c r="AL208" s="360"/>
      <c r="AM208" s="360"/>
      <c r="AN208" s="289">
        <f>IFERROR(Y208*AJ204/Y210,)</f>
        <v>0</v>
      </c>
      <c r="AO208" s="197" t="str">
        <f>IFERROR(VLOOKUP($G208,нормы!$A$14:$BC$57,53,0)*$W208,"")</f>
        <v/>
      </c>
      <c r="AP208" s="290">
        <f>IFERROR(Y208*AI204/Y210,)</f>
        <v>0</v>
      </c>
      <c r="AQ208" s="197" t="str">
        <f>IFERROR(VLOOKUP($G208,нормы!$A$14:$BC$57,54,0)*$W208,"")</f>
        <v/>
      </c>
      <c r="AR208" s="290">
        <f>IFERROR(AS208/SUM(AS204:AS209)*AL204,0)</f>
        <v>0</v>
      </c>
      <c r="AS208" s="197" t="str">
        <f>IFERROR(VLOOKUP($G208,нормы!$A$14:$BC$57,55,0)*W208,"")</f>
        <v/>
      </c>
      <c r="AT208" s="290">
        <f>IFERROR(AU208/SUM(AU204:AU209)*AM204,0)</f>
        <v>0</v>
      </c>
      <c r="AU208" s="197" t="str">
        <f>IFERROR(VLOOKUP($G208,нормы!$A$14:$BI$57,56,0)*W208,"")</f>
        <v/>
      </c>
      <c r="AV208" s="290">
        <f>IFERROR(AW208/SUM(AW204:AW209)*AK204,0)</f>
        <v>0</v>
      </c>
      <c r="AW208" s="202" t="str">
        <f>IFERROR(VLOOKUP($G208,нормы!$A$14:$BI$57,57,0)*W208,"")</f>
        <v/>
      </c>
      <c r="AX208" s="30"/>
      <c r="AY208" s="203" t="str">
        <f>IFERROR(VLOOKUP($G208,нормы!$A$14:$BI$57,58,0)*W208,"")</f>
        <v/>
      </c>
      <c r="AZ208" s="205"/>
      <c r="BA208" s="200" t="str">
        <f>IFERROR(VLOOKUP($G208,нормы!$A$14:$BI$57,61,0)*$W208,"")</f>
        <v/>
      </c>
      <c r="BB208" s="30"/>
      <c r="BC208" s="203" t="str">
        <f>IFERROR(VLOOKUP($G208,нормы!$A$14:$BI$57,60,0)*W208,"")</f>
        <v/>
      </c>
      <c r="BD208" s="200" t="str">
        <f>IFERROR(VLOOKUP($G208,нормы!$A$14:$BG$57,44,0),"")</f>
        <v/>
      </c>
      <c r="BE208" s="199" t="str">
        <f>IFERROR(W208/VLOOKUP($G208,нормы!$A$14:$BI$57,45,0),"")</f>
        <v/>
      </c>
    </row>
    <row r="209" spans="1:57" s="1" customFormat="1" ht="21" customHeight="1" thickBot="1" x14ac:dyDescent="0.45">
      <c r="A209" s="37" t="str">
        <f t="shared" si="86"/>
        <v>4Д</v>
      </c>
      <c r="B209" s="12">
        <f t="shared" si="89"/>
        <v>46026</v>
      </c>
      <c r="C209" s="97">
        <f t="shared" si="89"/>
        <v>0</v>
      </c>
      <c r="D209" s="97">
        <f t="shared" si="89"/>
        <v>2</v>
      </c>
      <c r="E209" s="54"/>
      <c r="F209" s="151" t="str">
        <f>IFERROR(VLOOKUP($G209,нормы!$A$14:$BC$57,2,0),"")</f>
        <v/>
      </c>
      <c r="G209" s="93"/>
      <c r="H209" s="63">
        <f t="shared" si="90"/>
        <v>0</v>
      </c>
      <c r="I209" s="153">
        <f>I205+I207</f>
        <v>0</v>
      </c>
      <c r="J209" s="334"/>
      <c r="K209" s="30">
        <f>IFERROR(VLOOKUP($G209,[1]нормы!$A$21:$BC$151,15,0),"")</f>
        <v>0</v>
      </c>
      <c r="L209" s="31">
        <f>IFERROR(VLOOKUP($G209,[1]нормы!$A$21:$BC$151,17,0),"")</f>
        <v>0</v>
      </c>
      <c r="M209" s="308">
        <f>IFERROR(VLOOKUP($G209,[1]нормы!$A$21:$BC$151,27,0),"")</f>
        <v>0</v>
      </c>
      <c r="N209" s="309" t="str">
        <f>IFERROR(Y209/Y210*(1.1*J204*I214),"")</f>
        <v/>
      </c>
      <c r="O209" s="300">
        <f>IFERROR(VLOOKUP($G209,[1]нормы!$A$21:$BC$151,21,0),"")</f>
        <v>0</v>
      </c>
      <c r="P209" s="35">
        <f>IFERROR(VLOOKUP($G209,[1]нормы!$A$21:$BC$151,19,0),"")</f>
        <v>0</v>
      </c>
      <c r="Q209" s="35">
        <f>IFERROR(VLOOKUP($G209,[1]нормы!$A$21:$BC$151,23,0),"")</f>
        <v>0</v>
      </c>
      <c r="R209" s="231">
        <f>IFERROR(VLOOKUP($G209,[1]нормы!$A$21:$BC$151,29,0),"")</f>
        <v>0</v>
      </c>
      <c r="S209" s="35">
        <f>IFERROR(VLOOKUP($G209,[1]нормы!$A$21:$BC$151,31,0),"")</f>
        <v>0</v>
      </c>
      <c r="T209" s="32">
        <f>IFERROR(VLOOKUP($G209,[1]нормы!$A$21:$BC$151,25,0),"")</f>
        <v>0</v>
      </c>
      <c r="U209" s="235" t="str">
        <f>IFERROR(W209/(((100*Y209/Y210)*I209)/100),"")</f>
        <v/>
      </c>
      <c r="V209" s="234" t="str">
        <f>IFERROR(VLOOKUP($G209,нормы!$A$14:$BC$57,38,0),"")</f>
        <v/>
      </c>
      <c r="W209" s="154"/>
      <c r="X209" s="238"/>
      <c r="Y209" s="152" t="str">
        <f>IFERROR(VLOOKUP($G209,нормы!$A$14:$BC$57,42,0)*W209,"")</f>
        <v/>
      </c>
      <c r="Z209" s="163">
        <f>IFERROR(VLOOKUP($G209,нормы!$A$14:$BC$57,14,0)*W209/1000,0)</f>
        <v>0</v>
      </c>
      <c r="AA209" s="56"/>
      <c r="AB209" s="58"/>
      <c r="AC209" s="58"/>
      <c r="AD209" s="58"/>
      <c r="AE209" s="57"/>
      <c r="AF209" s="161"/>
      <c r="AG209" s="392"/>
      <c r="AH209" s="395"/>
      <c r="AI209" s="398"/>
      <c r="AJ209" s="409"/>
      <c r="AK209" s="361"/>
      <c r="AL209" s="361"/>
      <c r="AM209" s="361"/>
      <c r="AN209" s="291">
        <f>IFERROR(Y209*AJ204/Y210,)</f>
        <v>0</v>
      </c>
      <c r="AO209" s="197" t="str">
        <f>IFERROR(VLOOKUP($G209,нормы!$A$14:$BC$57,53,0)*$W209,"")</f>
        <v/>
      </c>
      <c r="AP209" s="292">
        <f>IFERROR(Y209*AI204/Y210,)</f>
        <v>0</v>
      </c>
      <c r="AQ209" s="197" t="str">
        <f>IFERROR(VLOOKUP($G209,нормы!$A$14:$BC$57,54,0)*$W209,"")</f>
        <v/>
      </c>
      <c r="AR209" s="290">
        <f>IFERROR(AS209/SUM(AS204:AS209)*AL204,0)</f>
        <v>0</v>
      </c>
      <c r="AS209" s="197" t="str">
        <f>IFERROR(VLOOKUP($G209,нормы!$A$14:$BC$57,55,0)*W209,"")</f>
        <v/>
      </c>
      <c r="AT209" s="292">
        <f>IFERROR(AU209/SUM(AU204:AU209)*AM204,0)</f>
        <v>0</v>
      </c>
      <c r="AU209" s="197" t="str">
        <f>IFERROR(VLOOKUP($G209,нормы!$A$14:$BI$57,56,0)*W209,"")</f>
        <v/>
      </c>
      <c r="AV209" s="292">
        <f>IFERROR(AW209/SUM(AW204:AW209)*AK204,0)</f>
        <v>0</v>
      </c>
      <c r="AW209" s="202" t="str">
        <f>IFERROR(VLOOKUP($G209,нормы!$A$14:$BI$57,57,0)*W209,"")</f>
        <v/>
      </c>
      <c r="AX209" s="56"/>
      <c r="AY209" s="203" t="str">
        <f>IFERROR(VLOOKUP($G209,нормы!$A$14:$BI$57,58,0)*W209,"")</f>
        <v/>
      </c>
      <c r="AZ209" s="206"/>
      <c r="BA209" s="200" t="str">
        <f>IFERROR(VLOOKUP($G209,нормы!$A$14:$BI$57,61,0)*$W209,"")</f>
        <v/>
      </c>
      <c r="BB209" s="56"/>
      <c r="BC209" s="203" t="str">
        <f>IFERROR(VLOOKUP($G209,нормы!$A$14:$BI$57,60,0)*W209,"")</f>
        <v/>
      </c>
      <c r="BD209" s="200" t="str">
        <f>IFERROR(VLOOKUP($G209,нормы!$A$14:$BG$57,44,0),"")</f>
        <v/>
      </c>
      <c r="BE209" s="199" t="str">
        <f>IFERROR(W209/VLOOKUP($G209,нормы!$A$14:$BI$57,45,0),"")</f>
        <v/>
      </c>
    </row>
    <row r="210" spans="1:57" s="1" customFormat="1" ht="29.4" customHeight="1" thickBot="1" x14ac:dyDescent="0.45">
      <c r="A210" s="37" t="str">
        <f t="shared" si="86"/>
        <v>4Д</v>
      </c>
      <c r="B210" s="59"/>
      <c r="C210" s="51"/>
      <c r="D210" s="51"/>
      <c r="E210" s="51"/>
      <c r="F210" s="51"/>
      <c r="G210" s="51"/>
      <c r="H210" s="51"/>
      <c r="I210" s="60"/>
      <c r="J210" s="60"/>
      <c r="K210" s="319" t="s">
        <v>213</v>
      </c>
      <c r="L210" s="316"/>
      <c r="M210" s="303" t="s">
        <v>213</v>
      </c>
      <c r="N210" s="317">
        <f>SUM(N204:N209)</f>
        <v>0</v>
      </c>
      <c r="O210" s="304" t="s">
        <v>217</v>
      </c>
      <c r="P210" s="318">
        <f>N210*8.937/1000</f>
        <v>0</v>
      </c>
      <c r="Q210" s="305" t="s">
        <v>215</v>
      </c>
      <c r="R210" s="61"/>
      <c r="S210" s="61"/>
      <c r="T210" s="61"/>
      <c r="U210" s="109"/>
      <c r="V210" s="109"/>
      <c r="W210" s="94"/>
      <c r="X210" s="155"/>
      <c r="Y210" s="96">
        <f>SUM(Y204:Y209)</f>
        <v>0</v>
      </c>
      <c r="Z210" s="164">
        <f>SUM(Z204:Z209)</f>
        <v>0</v>
      </c>
      <c r="AA210" s="207">
        <f>(AA196+AA197+AA198+AA199+AA200+AA201+AA202+AA204+AA205+AA206+AA207+AA208+AA209)-AG197</f>
        <v>1</v>
      </c>
      <c r="AB210" s="208">
        <f>(AB196+AB197+AB198+AB199+AB200+AB201+AB202+AB204+AB205+AB206+AB207+AB208+AB209)-AH197</f>
        <v>2</v>
      </c>
      <c r="AC210" s="208">
        <f>(AC196+AC197+AC198+AC199+AC200+AC201+AC202+AC204+AC205+AC206+AC207+AC208+AC209)-AG204</f>
        <v>3</v>
      </c>
      <c r="AD210" s="208">
        <f>(AD196+AD197+AD198+AD199+AD200+AD201+AD202+AD204+AD205+AD206+AD207+AD208+AD209)-AH204</f>
        <v>4</v>
      </c>
      <c r="AE210" s="208">
        <f>(AE196+AE197+AE198+AE199+AE200+AE201+AE202+AE204+AE205+AE206+AE207+AE208+AE209)-AI197</f>
        <v>5</v>
      </c>
      <c r="AF210" s="209">
        <f>(AF196+AF197+AF198+AF199+AF200+AF201+AF202+AF204+AF205+AF206+AF207+AF208+AF209)-AI204</f>
        <v>6</v>
      </c>
      <c r="AG210" s="62"/>
      <c r="AH210" s="62"/>
      <c r="AI210" s="62"/>
      <c r="AJ210" s="62"/>
      <c r="AK210" s="62"/>
      <c r="AL210" s="62"/>
      <c r="AM210" s="62"/>
      <c r="AN210" s="91">
        <f>SUM(AN204:AN209)</f>
        <v>0</v>
      </c>
      <c r="AO210" s="91">
        <f>SUM(AO204:AO209)</f>
        <v>0</v>
      </c>
      <c r="AP210" s="91"/>
      <c r="AQ210" s="91"/>
      <c r="AR210" s="91">
        <f>SUM(AR204:AR209)</f>
        <v>0</v>
      </c>
      <c r="AS210" s="91">
        <f t="shared" ref="AS210:AW210" si="91">SUM(AS204:AS209)</f>
        <v>0</v>
      </c>
      <c r="AT210" s="91">
        <f t="shared" si="91"/>
        <v>0</v>
      </c>
      <c r="AU210" s="91">
        <f t="shared" si="91"/>
        <v>0</v>
      </c>
      <c r="AV210" s="91">
        <f t="shared" si="91"/>
        <v>0</v>
      </c>
      <c r="AW210" s="91">
        <f t="shared" si="91"/>
        <v>0</v>
      </c>
      <c r="AX210" s="91">
        <f>SUM(AX204:AX209)</f>
        <v>0</v>
      </c>
      <c r="AY210" s="91">
        <f>SUM(AY204:AY209)</f>
        <v>0</v>
      </c>
      <c r="AZ210" s="91">
        <f>SUM(AZ204:AZ209)</f>
        <v>0</v>
      </c>
      <c r="BA210" s="91"/>
      <c r="BB210" s="91"/>
      <c r="BC210" s="91"/>
      <c r="BD210" s="91" t="str">
        <f>IFERROR(VLOOKUP($G210,нормы!$A$14:$BG$15,27,0),"")</f>
        <v/>
      </c>
      <c r="BE210" s="53" t="str">
        <f>IFERROR(W210/VLOOKUP($G210,нормы!$A$14:$BI$15,28,0),"")</f>
        <v/>
      </c>
    </row>
    <row r="211" spans="1:57" s="1" customFormat="1" ht="29.4" customHeight="1" thickBot="1" x14ac:dyDescent="0.5">
      <c r="A211" s="37" t="str">
        <f t="shared" si="86"/>
        <v>4Д</v>
      </c>
      <c r="B211" s="166" t="s">
        <v>130</v>
      </c>
      <c r="C211" s="167"/>
      <c r="D211" s="167"/>
      <c r="E211" s="167"/>
      <c r="F211" s="165"/>
      <c r="G211" s="167"/>
      <c r="H211" s="167"/>
      <c r="I211" s="168"/>
      <c r="J211" s="168"/>
      <c r="K211" s="168"/>
      <c r="L211" s="168"/>
      <c r="M211" s="168"/>
      <c r="N211" s="168"/>
      <c r="O211" s="167"/>
      <c r="P211" s="169"/>
      <c r="Q211" s="169"/>
      <c r="R211" s="169"/>
      <c r="S211" s="169"/>
      <c r="T211" s="169"/>
      <c r="U211" s="170"/>
      <c r="V211" s="170"/>
      <c r="W211" s="171"/>
      <c r="X211" s="171"/>
      <c r="Y211" s="172"/>
      <c r="Z211" s="172"/>
      <c r="AA211" s="201" t="s">
        <v>144</v>
      </c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64"/>
      <c r="AN211" s="167"/>
      <c r="AO211" s="167"/>
      <c r="AP211" s="167"/>
      <c r="AQ211" s="167"/>
      <c r="AR211" s="64"/>
      <c r="AS211" s="64"/>
      <c r="AT211" s="65"/>
      <c r="AU211" s="64"/>
      <c r="AV211" s="49"/>
      <c r="AW211" s="49"/>
      <c r="AX211" s="167"/>
      <c r="AY211" s="167"/>
      <c r="AZ211" s="167"/>
      <c r="BA211" s="167"/>
      <c r="BB211" s="167"/>
      <c r="BC211" s="167"/>
      <c r="BD211" s="66"/>
      <c r="BE211" s="66"/>
    </row>
    <row r="212" spans="1:57" s="1" customFormat="1" ht="23.25" customHeight="1" x14ac:dyDescent="0.4">
      <c r="A212" s="37" t="str">
        <f t="shared" si="86"/>
        <v>4Д</v>
      </c>
      <c r="B212" s="183"/>
      <c r="C212" s="100"/>
      <c r="D212" s="185"/>
      <c r="E212" s="186" t="s">
        <v>57</v>
      </c>
      <c r="F212" s="66" t="s">
        <v>87</v>
      </c>
      <c r="G212" s="66"/>
      <c r="H212" s="108" t="s">
        <v>131</v>
      </c>
      <c r="I212" s="101"/>
      <c r="J212" s="101"/>
      <c r="K212" s="101"/>
      <c r="L212" s="101"/>
      <c r="M212" s="101"/>
      <c r="N212" s="101"/>
      <c r="O212" s="67"/>
      <c r="P212" s="102"/>
      <c r="Q212" s="102"/>
      <c r="R212" s="102"/>
      <c r="S212" s="102"/>
      <c r="T212" s="102"/>
      <c r="U212" s="67"/>
      <c r="V212" s="67"/>
      <c r="W212" s="103"/>
      <c r="X212" s="187"/>
      <c r="Y212" s="68" t="s">
        <v>74</v>
      </c>
      <c r="Z212" s="69"/>
      <c r="AA212" s="90"/>
      <c r="AB212" s="100"/>
      <c r="AC212" s="100"/>
      <c r="AD212" s="186" t="s">
        <v>57</v>
      </c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190"/>
      <c r="AU212" s="66"/>
      <c r="AV212" s="165"/>
      <c r="AW212" s="293"/>
      <c r="AX212" s="66"/>
      <c r="AY212" s="66"/>
      <c r="AZ212" s="66"/>
      <c r="BA212" s="66"/>
      <c r="BB212" s="66"/>
      <c r="BC212" s="66"/>
      <c r="BD212" s="68" t="s">
        <v>74</v>
      </c>
      <c r="BE212" s="69"/>
    </row>
    <row r="213" spans="1:57" s="1" customFormat="1" ht="23.25" customHeight="1" thickBot="1" x14ac:dyDescent="0.45">
      <c r="A213" s="37" t="str">
        <f t="shared" si="86"/>
        <v>4Д</v>
      </c>
      <c r="B213" s="183"/>
      <c r="C213" s="41"/>
      <c r="D213" s="184"/>
      <c r="E213" s="50"/>
      <c r="F213" s="70"/>
      <c r="G213" s="70"/>
      <c r="H213" s="70"/>
      <c r="I213" s="104"/>
      <c r="J213" s="104"/>
      <c r="K213" s="104"/>
      <c r="L213" s="104"/>
      <c r="M213" s="104"/>
      <c r="N213" s="104"/>
      <c r="O213" s="71"/>
      <c r="P213" s="105"/>
      <c r="Q213" s="105"/>
      <c r="R213" s="105"/>
      <c r="S213" s="105"/>
      <c r="T213" s="105"/>
      <c r="U213" s="71"/>
      <c r="V213" s="71"/>
      <c r="W213" s="106"/>
      <c r="X213" s="188"/>
      <c r="Y213" s="72"/>
      <c r="Z213" s="73"/>
      <c r="AA213" s="90"/>
      <c r="AB213" s="41"/>
      <c r="AC213" s="41"/>
      <c r="AD213" s="50"/>
      <c r="AE213" s="47"/>
      <c r="AF213" s="47"/>
      <c r="AG213" s="47"/>
      <c r="AH213" s="47"/>
      <c r="AI213" s="47"/>
      <c r="AJ213" s="47"/>
      <c r="AK213" s="47"/>
      <c r="AL213" s="47"/>
      <c r="AM213" s="70"/>
      <c r="AN213" s="47"/>
      <c r="AO213" s="70"/>
      <c r="AP213" s="70"/>
      <c r="AQ213" s="70"/>
      <c r="AR213" s="70"/>
      <c r="AS213" s="70"/>
      <c r="AT213" s="191"/>
      <c r="AU213" s="70"/>
      <c r="AV213" s="192"/>
      <c r="AW213" s="294"/>
      <c r="AX213" s="70"/>
      <c r="AY213" s="70"/>
      <c r="AZ213" s="70"/>
      <c r="BA213" s="70"/>
      <c r="BB213" s="70"/>
      <c r="BC213" s="70"/>
      <c r="BD213" s="72"/>
      <c r="BE213" s="73"/>
    </row>
    <row r="214" spans="1:57" s="1" customFormat="1" ht="30.75" customHeight="1" x14ac:dyDescent="0.4">
      <c r="A214" s="37" t="str">
        <f t="shared" si="86"/>
        <v>4Д</v>
      </c>
      <c r="B214" s="183"/>
      <c r="C214" s="41"/>
      <c r="D214" s="184"/>
      <c r="E214" s="281">
        <f>B209</f>
        <v>46026</v>
      </c>
      <c r="F214" s="337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98">
        <v>1</v>
      </c>
      <c r="Y214" s="74">
        <v>1</v>
      </c>
      <c r="Z214" s="75">
        <f t="shared" ref="Z214:Z225" si="92">Y214-X214</f>
        <v>0</v>
      </c>
      <c r="AA214" s="189"/>
      <c r="AB214" s="41"/>
      <c r="AC214" s="184"/>
      <c r="AD214" s="210">
        <f>E214</f>
        <v>46026</v>
      </c>
      <c r="AE214" s="387"/>
      <c r="AF214" s="388"/>
      <c r="AG214" s="388"/>
      <c r="AH214" s="388"/>
      <c r="AI214" s="388"/>
      <c r="AJ214" s="388"/>
      <c r="AK214" s="388"/>
      <c r="AL214" s="388"/>
      <c r="AM214" s="388"/>
      <c r="AN214" s="388"/>
      <c r="AO214" s="388"/>
      <c r="AP214" s="388"/>
      <c r="AQ214" s="388"/>
      <c r="AR214" s="388"/>
      <c r="AS214" s="388"/>
      <c r="AT214" s="388"/>
      <c r="AU214" s="388"/>
      <c r="AV214" s="388"/>
      <c r="AW214" s="388"/>
      <c r="AX214" s="388"/>
      <c r="AY214" s="388"/>
      <c r="AZ214" s="388"/>
      <c r="BA214" s="388"/>
      <c r="BB214" s="389"/>
      <c r="BC214" s="98">
        <v>1</v>
      </c>
      <c r="BD214" s="74">
        <v>1</v>
      </c>
      <c r="BE214" s="75">
        <f t="shared" ref="BE214:BE225" si="93">BD214-BC214</f>
        <v>0</v>
      </c>
    </row>
    <row r="215" spans="1:57" s="1" customFormat="1" ht="18" customHeight="1" x14ac:dyDescent="0.4">
      <c r="A215" s="37" t="str">
        <f t="shared" si="86"/>
        <v>4Д</v>
      </c>
      <c r="B215" s="183"/>
      <c r="C215" s="41"/>
      <c r="D215" s="184"/>
      <c r="E215" s="282">
        <f>E214</f>
        <v>46026</v>
      </c>
      <c r="F215" s="335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98">
        <v>1</v>
      </c>
      <c r="Y215" s="74">
        <v>1</v>
      </c>
      <c r="Z215" s="75">
        <f t="shared" si="92"/>
        <v>0</v>
      </c>
      <c r="AA215" s="107">
        <f>AA214</f>
        <v>0</v>
      </c>
      <c r="AB215" s="41"/>
      <c r="AC215" s="184"/>
      <c r="AD215" s="212">
        <f>AD214</f>
        <v>46026</v>
      </c>
      <c r="AE215" s="387"/>
      <c r="AF215" s="388"/>
      <c r="AG215" s="388"/>
      <c r="AH215" s="388"/>
      <c r="AI215" s="388"/>
      <c r="AJ215" s="388"/>
      <c r="AK215" s="388"/>
      <c r="AL215" s="388"/>
      <c r="AM215" s="388"/>
      <c r="AN215" s="388"/>
      <c r="AO215" s="388"/>
      <c r="AP215" s="388"/>
      <c r="AQ215" s="388"/>
      <c r="AR215" s="388"/>
      <c r="AS215" s="388"/>
      <c r="AT215" s="388"/>
      <c r="AU215" s="388"/>
      <c r="AV215" s="388"/>
      <c r="AW215" s="388"/>
      <c r="AX215" s="388"/>
      <c r="AY215" s="388"/>
      <c r="AZ215" s="388"/>
      <c r="BA215" s="388"/>
      <c r="BB215" s="389"/>
      <c r="BC215" s="98">
        <v>1</v>
      </c>
      <c r="BD215" s="74">
        <v>1</v>
      </c>
      <c r="BE215" s="75">
        <f t="shared" si="93"/>
        <v>0</v>
      </c>
    </row>
    <row r="216" spans="1:57" s="1" customFormat="1" ht="18" customHeight="1" x14ac:dyDescent="0.4">
      <c r="A216" s="37" t="str">
        <f t="shared" si="86"/>
        <v>4Д</v>
      </c>
      <c r="B216" s="183"/>
      <c r="C216" s="41"/>
      <c r="D216" s="184"/>
      <c r="E216" s="282">
        <f t="shared" ref="E216:E225" si="94">E215</f>
        <v>46026</v>
      </c>
      <c r="F216" s="335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98">
        <v>1</v>
      </c>
      <c r="Y216" s="74">
        <v>1</v>
      </c>
      <c r="Z216" s="75">
        <f t="shared" si="92"/>
        <v>0</v>
      </c>
      <c r="AA216" s="107">
        <f>AA215</f>
        <v>0</v>
      </c>
      <c r="AB216" s="41"/>
      <c r="AC216" s="184"/>
      <c r="AD216" s="212">
        <f t="shared" ref="AD216:AD225" si="95">AD215</f>
        <v>46026</v>
      </c>
      <c r="AE216" s="387"/>
      <c r="AF216" s="388"/>
      <c r="AG216" s="388"/>
      <c r="AH216" s="388"/>
      <c r="AI216" s="388"/>
      <c r="AJ216" s="388"/>
      <c r="AK216" s="388"/>
      <c r="AL216" s="388"/>
      <c r="AM216" s="388"/>
      <c r="AN216" s="388"/>
      <c r="AO216" s="388"/>
      <c r="AP216" s="388"/>
      <c r="AQ216" s="388"/>
      <c r="AR216" s="388"/>
      <c r="AS216" s="388"/>
      <c r="AT216" s="388"/>
      <c r="AU216" s="388"/>
      <c r="AV216" s="388"/>
      <c r="AW216" s="388"/>
      <c r="AX216" s="388"/>
      <c r="AY216" s="388"/>
      <c r="AZ216" s="388"/>
      <c r="BA216" s="388"/>
      <c r="BB216" s="389"/>
      <c r="BC216" s="98">
        <v>1</v>
      </c>
      <c r="BD216" s="74">
        <v>1</v>
      </c>
      <c r="BE216" s="75">
        <f t="shared" si="93"/>
        <v>0</v>
      </c>
    </row>
    <row r="217" spans="1:57" s="1" customFormat="1" ht="18" customHeight="1" x14ac:dyDescent="0.4">
      <c r="A217" s="37" t="str">
        <f t="shared" si="86"/>
        <v>4Д</v>
      </c>
      <c r="B217" s="183"/>
      <c r="C217" s="41"/>
      <c r="D217" s="184"/>
      <c r="E217" s="282">
        <f t="shared" si="94"/>
        <v>46026</v>
      </c>
      <c r="F217" s="335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98">
        <v>1</v>
      </c>
      <c r="Y217" s="74">
        <v>1</v>
      </c>
      <c r="Z217" s="75">
        <f t="shared" si="92"/>
        <v>0</v>
      </c>
      <c r="AA217" s="107">
        <f t="shared" ref="AA217:AA225" si="96">AA216</f>
        <v>0</v>
      </c>
      <c r="AB217" s="41"/>
      <c r="AC217" s="184"/>
      <c r="AD217" s="212">
        <f t="shared" si="95"/>
        <v>46026</v>
      </c>
      <c r="AE217" s="387"/>
      <c r="AF217" s="388"/>
      <c r="AG217" s="388"/>
      <c r="AH217" s="388"/>
      <c r="AI217" s="388"/>
      <c r="AJ217" s="388"/>
      <c r="AK217" s="388"/>
      <c r="AL217" s="388"/>
      <c r="AM217" s="388"/>
      <c r="AN217" s="388"/>
      <c r="AO217" s="388"/>
      <c r="AP217" s="388"/>
      <c r="AQ217" s="388"/>
      <c r="AR217" s="388"/>
      <c r="AS217" s="388"/>
      <c r="AT217" s="388"/>
      <c r="AU217" s="388"/>
      <c r="AV217" s="388"/>
      <c r="AW217" s="388"/>
      <c r="AX217" s="388"/>
      <c r="AY217" s="388"/>
      <c r="AZ217" s="388"/>
      <c r="BA217" s="388"/>
      <c r="BB217" s="389"/>
      <c r="BC217" s="98">
        <v>1</v>
      </c>
      <c r="BD217" s="74">
        <v>1</v>
      </c>
      <c r="BE217" s="75">
        <f t="shared" si="93"/>
        <v>0</v>
      </c>
    </row>
    <row r="218" spans="1:57" s="1" customFormat="1" ht="18" customHeight="1" x14ac:dyDescent="0.4">
      <c r="A218" s="37" t="str">
        <f t="shared" si="86"/>
        <v>4Д</v>
      </c>
      <c r="B218" s="183"/>
      <c r="C218" s="41"/>
      <c r="D218" s="184"/>
      <c r="E218" s="282">
        <f t="shared" si="94"/>
        <v>46026</v>
      </c>
      <c r="F218" s="335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98">
        <v>1</v>
      </c>
      <c r="Y218" s="74">
        <v>1</v>
      </c>
      <c r="Z218" s="75">
        <f t="shared" si="92"/>
        <v>0</v>
      </c>
      <c r="AA218" s="107">
        <f t="shared" si="96"/>
        <v>0</v>
      </c>
      <c r="AB218" s="41"/>
      <c r="AC218" s="184"/>
      <c r="AD218" s="212">
        <f t="shared" si="95"/>
        <v>46026</v>
      </c>
      <c r="AE218" s="387"/>
      <c r="AF218" s="388"/>
      <c r="AG218" s="388"/>
      <c r="AH218" s="388"/>
      <c r="AI218" s="388"/>
      <c r="AJ218" s="388"/>
      <c r="AK218" s="388"/>
      <c r="AL218" s="388"/>
      <c r="AM218" s="388"/>
      <c r="AN218" s="388"/>
      <c r="AO218" s="388"/>
      <c r="AP218" s="388"/>
      <c r="AQ218" s="388"/>
      <c r="AR218" s="388"/>
      <c r="AS218" s="388"/>
      <c r="AT218" s="388"/>
      <c r="AU218" s="388"/>
      <c r="AV218" s="388"/>
      <c r="AW218" s="388"/>
      <c r="AX218" s="388"/>
      <c r="AY218" s="388"/>
      <c r="AZ218" s="388"/>
      <c r="BA218" s="388"/>
      <c r="BB218" s="389"/>
      <c r="BC218" s="98">
        <v>1</v>
      </c>
      <c r="BD218" s="74">
        <v>1</v>
      </c>
      <c r="BE218" s="75">
        <f t="shared" si="93"/>
        <v>0</v>
      </c>
    </row>
    <row r="219" spans="1:57" s="1" customFormat="1" ht="18" customHeight="1" x14ac:dyDescent="0.4">
      <c r="A219" s="37" t="str">
        <f t="shared" si="86"/>
        <v>4Д</v>
      </c>
      <c r="B219" s="183"/>
      <c r="C219" s="41"/>
      <c r="D219" s="184"/>
      <c r="E219" s="282">
        <f t="shared" si="94"/>
        <v>46026</v>
      </c>
      <c r="F219" s="335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98">
        <v>1</v>
      </c>
      <c r="Y219" s="74">
        <v>1</v>
      </c>
      <c r="Z219" s="75">
        <f t="shared" si="92"/>
        <v>0</v>
      </c>
      <c r="AA219" s="107">
        <f t="shared" si="96"/>
        <v>0</v>
      </c>
      <c r="AB219" s="41"/>
      <c r="AC219" s="184"/>
      <c r="AD219" s="212">
        <f t="shared" si="95"/>
        <v>46026</v>
      </c>
      <c r="AE219" s="387"/>
      <c r="AF219" s="388"/>
      <c r="AG219" s="388"/>
      <c r="AH219" s="388"/>
      <c r="AI219" s="388"/>
      <c r="AJ219" s="388"/>
      <c r="AK219" s="388"/>
      <c r="AL219" s="388"/>
      <c r="AM219" s="388"/>
      <c r="AN219" s="388"/>
      <c r="AO219" s="388"/>
      <c r="AP219" s="388"/>
      <c r="AQ219" s="388"/>
      <c r="AR219" s="388"/>
      <c r="AS219" s="388"/>
      <c r="AT219" s="388"/>
      <c r="AU219" s="388"/>
      <c r="AV219" s="388"/>
      <c r="AW219" s="388"/>
      <c r="AX219" s="388"/>
      <c r="AY219" s="388"/>
      <c r="AZ219" s="388"/>
      <c r="BA219" s="388"/>
      <c r="BB219" s="389"/>
      <c r="BC219" s="98">
        <v>1</v>
      </c>
      <c r="BD219" s="74">
        <v>1</v>
      </c>
      <c r="BE219" s="75">
        <f t="shared" si="93"/>
        <v>0</v>
      </c>
    </row>
    <row r="220" spans="1:57" s="1" customFormat="1" ht="18" customHeight="1" x14ac:dyDescent="0.4">
      <c r="A220" s="37" t="str">
        <f t="shared" si="86"/>
        <v>4Д</v>
      </c>
      <c r="B220" s="183"/>
      <c r="C220" s="41"/>
      <c r="D220" s="184"/>
      <c r="E220" s="282">
        <f t="shared" si="94"/>
        <v>46026</v>
      </c>
      <c r="F220" s="335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98">
        <v>1</v>
      </c>
      <c r="Y220" s="74">
        <v>1</v>
      </c>
      <c r="Z220" s="75">
        <f t="shared" si="92"/>
        <v>0</v>
      </c>
      <c r="AA220" s="107">
        <f t="shared" si="96"/>
        <v>0</v>
      </c>
      <c r="AB220" s="41"/>
      <c r="AC220" s="184"/>
      <c r="AD220" s="212">
        <f t="shared" si="95"/>
        <v>46026</v>
      </c>
      <c r="AE220" s="387"/>
      <c r="AF220" s="388"/>
      <c r="AG220" s="388"/>
      <c r="AH220" s="388"/>
      <c r="AI220" s="388"/>
      <c r="AJ220" s="388"/>
      <c r="AK220" s="388"/>
      <c r="AL220" s="388"/>
      <c r="AM220" s="388"/>
      <c r="AN220" s="388"/>
      <c r="AO220" s="388"/>
      <c r="AP220" s="388"/>
      <c r="AQ220" s="388"/>
      <c r="AR220" s="388"/>
      <c r="AS220" s="388"/>
      <c r="AT220" s="388"/>
      <c r="AU220" s="388"/>
      <c r="AV220" s="388"/>
      <c r="AW220" s="388"/>
      <c r="AX220" s="388"/>
      <c r="AY220" s="388"/>
      <c r="AZ220" s="388"/>
      <c r="BA220" s="388"/>
      <c r="BB220" s="389"/>
      <c r="BC220" s="98">
        <v>1</v>
      </c>
      <c r="BD220" s="74">
        <v>1</v>
      </c>
      <c r="BE220" s="75">
        <f t="shared" si="93"/>
        <v>0</v>
      </c>
    </row>
    <row r="221" spans="1:57" s="1" customFormat="1" ht="18" customHeight="1" x14ac:dyDescent="0.4">
      <c r="A221" s="37" t="str">
        <f t="shared" si="86"/>
        <v>4Д</v>
      </c>
      <c r="B221" s="183"/>
      <c r="C221" s="41"/>
      <c r="D221" s="184"/>
      <c r="E221" s="282">
        <f t="shared" si="94"/>
        <v>46026</v>
      </c>
      <c r="F221" s="335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98">
        <v>1</v>
      </c>
      <c r="Y221" s="74">
        <v>1</v>
      </c>
      <c r="Z221" s="75">
        <f t="shared" si="92"/>
        <v>0</v>
      </c>
      <c r="AA221" s="107">
        <f t="shared" si="96"/>
        <v>0</v>
      </c>
      <c r="AB221" s="41"/>
      <c r="AC221" s="184"/>
      <c r="AD221" s="212">
        <f t="shared" si="95"/>
        <v>46026</v>
      </c>
      <c r="AE221" s="387"/>
      <c r="AF221" s="388"/>
      <c r="AG221" s="388"/>
      <c r="AH221" s="388"/>
      <c r="AI221" s="388"/>
      <c r="AJ221" s="388"/>
      <c r="AK221" s="388"/>
      <c r="AL221" s="388"/>
      <c r="AM221" s="388"/>
      <c r="AN221" s="388"/>
      <c r="AO221" s="388"/>
      <c r="AP221" s="388"/>
      <c r="AQ221" s="388"/>
      <c r="AR221" s="388"/>
      <c r="AS221" s="388"/>
      <c r="AT221" s="388"/>
      <c r="AU221" s="388"/>
      <c r="AV221" s="388"/>
      <c r="AW221" s="388"/>
      <c r="AX221" s="388"/>
      <c r="AY221" s="388"/>
      <c r="AZ221" s="388"/>
      <c r="BA221" s="388"/>
      <c r="BB221" s="389"/>
      <c r="BC221" s="98">
        <v>1</v>
      </c>
      <c r="BD221" s="74">
        <v>1</v>
      </c>
      <c r="BE221" s="75">
        <f t="shared" si="93"/>
        <v>0</v>
      </c>
    </row>
    <row r="222" spans="1:57" s="1" customFormat="1" ht="18" customHeight="1" x14ac:dyDescent="0.4">
      <c r="A222" s="37" t="str">
        <f t="shared" si="86"/>
        <v>4Д</v>
      </c>
      <c r="B222" s="183"/>
      <c r="C222" s="41"/>
      <c r="D222" s="184"/>
      <c r="E222" s="282">
        <f t="shared" si="94"/>
        <v>46026</v>
      </c>
      <c r="F222" s="335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98">
        <v>1</v>
      </c>
      <c r="Y222" s="74">
        <v>1</v>
      </c>
      <c r="Z222" s="75">
        <f t="shared" si="92"/>
        <v>0</v>
      </c>
      <c r="AA222" s="107">
        <f t="shared" si="96"/>
        <v>0</v>
      </c>
      <c r="AB222" s="41"/>
      <c r="AC222" s="184"/>
      <c r="AD222" s="212">
        <f t="shared" si="95"/>
        <v>46026</v>
      </c>
      <c r="AE222" s="387"/>
      <c r="AF222" s="388"/>
      <c r="AG222" s="388"/>
      <c r="AH222" s="388"/>
      <c r="AI222" s="388"/>
      <c r="AJ222" s="388"/>
      <c r="AK222" s="388"/>
      <c r="AL222" s="388"/>
      <c r="AM222" s="388"/>
      <c r="AN222" s="388"/>
      <c r="AO222" s="388"/>
      <c r="AP222" s="388"/>
      <c r="AQ222" s="388"/>
      <c r="AR222" s="388"/>
      <c r="AS222" s="388"/>
      <c r="AT222" s="388"/>
      <c r="AU222" s="388"/>
      <c r="AV222" s="388"/>
      <c r="AW222" s="388"/>
      <c r="AX222" s="388"/>
      <c r="AY222" s="388"/>
      <c r="AZ222" s="388"/>
      <c r="BA222" s="388"/>
      <c r="BB222" s="389"/>
      <c r="BC222" s="98">
        <v>1</v>
      </c>
      <c r="BD222" s="74">
        <v>1</v>
      </c>
      <c r="BE222" s="75">
        <f t="shared" si="93"/>
        <v>0</v>
      </c>
    </row>
    <row r="223" spans="1:57" s="1" customFormat="1" ht="18" customHeight="1" x14ac:dyDescent="0.4">
      <c r="A223" s="37" t="str">
        <f t="shared" si="86"/>
        <v>4Д</v>
      </c>
      <c r="B223" s="183"/>
      <c r="C223" s="41"/>
      <c r="D223" s="184"/>
      <c r="E223" s="282">
        <f t="shared" si="94"/>
        <v>46026</v>
      </c>
      <c r="F223" s="335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98">
        <v>1</v>
      </c>
      <c r="Y223" s="74">
        <v>1</v>
      </c>
      <c r="Z223" s="75">
        <f t="shared" si="92"/>
        <v>0</v>
      </c>
      <c r="AA223" s="107">
        <f t="shared" si="96"/>
        <v>0</v>
      </c>
      <c r="AB223" s="41"/>
      <c r="AC223" s="184"/>
      <c r="AD223" s="212">
        <f t="shared" si="95"/>
        <v>46026</v>
      </c>
      <c r="AE223" s="387"/>
      <c r="AF223" s="388"/>
      <c r="AG223" s="388"/>
      <c r="AH223" s="388"/>
      <c r="AI223" s="388"/>
      <c r="AJ223" s="388"/>
      <c r="AK223" s="388"/>
      <c r="AL223" s="388"/>
      <c r="AM223" s="388"/>
      <c r="AN223" s="388"/>
      <c r="AO223" s="388"/>
      <c r="AP223" s="388"/>
      <c r="AQ223" s="388"/>
      <c r="AR223" s="388"/>
      <c r="AS223" s="388"/>
      <c r="AT223" s="388"/>
      <c r="AU223" s="388"/>
      <c r="AV223" s="388"/>
      <c r="AW223" s="388"/>
      <c r="AX223" s="388"/>
      <c r="AY223" s="388"/>
      <c r="AZ223" s="388"/>
      <c r="BA223" s="388"/>
      <c r="BB223" s="389"/>
      <c r="BC223" s="98">
        <v>1</v>
      </c>
      <c r="BD223" s="74">
        <v>1</v>
      </c>
      <c r="BE223" s="75">
        <f t="shared" si="93"/>
        <v>0</v>
      </c>
    </row>
    <row r="224" spans="1:57" s="1" customFormat="1" ht="18" customHeight="1" x14ac:dyDescent="0.4">
      <c r="A224" s="37" t="str">
        <f t="shared" si="86"/>
        <v>4Д</v>
      </c>
      <c r="B224" s="183"/>
      <c r="C224" s="41"/>
      <c r="D224" s="184"/>
      <c r="E224" s="282">
        <f t="shared" si="94"/>
        <v>46026</v>
      </c>
      <c r="F224" s="335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98">
        <v>1</v>
      </c>
      <c r="Y224" s="74">
        <v>1</v>
      </c>
      <c r="Z224" s="75">
        <f t="shared" si="92"/>
        <v>0</v>
      </c>
      <c r="AA224" s="107">
        <f t="shared" si="96"/>
        <v>0</v>
      </c>
      <c r="AB224" s="41"/>
      <c r="AC224" s="184"/>
      <c r="AD224" s="212">
        <f t="shared" si="95"/>
        <v>46026</v>
      </c>
      <c r="AE224" s="387"/>
      <c r="AF224" s="388"/>
      <c r="AG224" s="388"/>
      <c r="AH224" s="388"/>
      <c r="AI224" s="388"/>
      <c r="AJ224" s="388"/>
      <c r="AK224" s="388"/>
      <c r="AL224" s="388"/>
      <c r="AM224" s="388"/>
      <c r="AN224" s="388"/>
      <c r="AO224" s="388"/>
      <c r="AP224" s="388"/>
      <c r="AQ224" s="388"/>
      <c r="AR224" s="388"/>
      <c r="AS224" s="388"/>
      <c r="AT224" s="388"/>
      <c r="AU224" s="388"/>
      <c r="AV224" s="388"/>
      <c r="AW224" s="388"/>
      <c r="AX224" s="388"/>
      <c r="AY224" s="388"/>
      <c r="AZ224" s="388"/>
      <c r="BA224" s="388"/>
      <c r="BB224" s="389"/>
      <c r="BC224" s="98">
        <v>1</v>
      </c>
      <c r="BD224" s="74">
        <v>1</v>
      </c>
      <c r="BE224" s="75">
        <f t="shared" si="93"/>
        <v>0</v>
      </c>
    </row>
    <row r="225" spans="1:57" s="1" customFormat="1" ht="18" customHeight="1" thickBot="1" x14ac:dyDescent="0.45">
      <c r="A225" s="37" t="str">
        <f t="shared" si="86"/>
        <v>4Д</v>
      </c>
      <c r="B225" s="183"/>
      <c r="C225" s="41"/>
      <c r="D225" s="184"/>
      <c r="E225" s="283">
        <f t="shared" si="94"/>
        <v>46026</v>
      </c>
      <c r="F225" s="339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99">
        <v>1</v>
      </c>
      <c r="Y225" s="76">
        <v>1</v>
      </c>
      <c r="Z225" s="77">
        <f t="shared" si="92"/>
        <v>0</v>
      </c>
      <c r="AA225" s="107">
        <f t="shared" si="96"/>
        <v>0</v>
      </c>
      <c r="AB225" s="41"/>
      <c r="AC225" s="184"/>
      <c r="AD225" s="211">
        <f t="shared" si="95"/>
        <v>46026</v>
      </c>
      <c r="AE225" s="410"/>
      <c r="AF225" s="411"/>
      <c r="AG225" s="411"/>
      <c r="AH225" s="411"/>
      <c r="AI225" s="411"/>
      <c r="AJ225" s="411"/>
      <c r="AK225" s="411"/>
      <c r="AL225" s="411"/>
      <c r="AM225" s="411"/>
      <c r="AN225" s="411"/>
      <c r="AO225" s="411"/>
      <c r="AP225" s="411"/>
      <c r="AQ225" s="411"/>
      <c r="AR225" s="411"/>
      <c r="AS225" s="411"/>
      <c r="AT225" s="411"/>
      <c r="AU225" s="411"/>
      <c r="AV225" s="411"/>
      <c r="AW225" s="411"/>
      <c r="AX225" s="411"/>
      <c r="AY225" s="411"/>
      <c r="AZ225" s="411"/>
      <c r="BA225" s="411"/>
      <c r="BB225" s="412"/>
      <c r="BC225" s="99">
        <v>1</v>
      </c>
      <c r="BD225" s="76">
        <v>1</v>
      </c>
      <c r="BE225" s="75">
        <f t="shared" si="93"/>
        <v>0</v>
      </c>
    </row>
    <row r="226" spans="1:57" s="1" customFormat="1" ht="23.25" customHeight="1" thickBot="1" x14ac:dyDescent="0.45">
      <c r="A226" s="37" t="str">
        <f t="shared" si="86"/>
        <v>4Д</v>
      </c>
      <c r="B226" s="193"/>
      <c r="C226" s="47"/>
      <c r="D226" s="47"/>
      <c r="E226" s="47"/>
      <c r="F226" s="78"/>
      <c r="G226" s="78"/>
      <c r="H226" s="78"/>
      <c r="I226" s="80"/>
      <c r="J226" s="80"/>
      <c r="K226" s="80"/>
      <c r="L226" s="80"/>
      <c r="M226" s="80"/>
      <c r="N226" s="80"/>
      <c r="O226" s="78"/>
      <c r="P226" s="81"/>
      <c r="Q226" s="81"/>
      <c r="R226" s="81"/>
      <c r="S226" s="81"/>
      <c r="T226" s="81"/>
      <c r="U226" s="82"/>
      <c r="V226" s="82"/>
      <c r="W226" s="86"/>
      <c r="X226" s="194"/>
      <c r="Y226" s="83"/>
      <c r="Z226" s="83"/>
      <c r="AA226" s="78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84"/>
      <c r="AN226" s="47"/>
      <c r="AO226" s="78"/>
      <c r="AP226" s="78"/>
      <c r="AQ226" s="78"/>
      <c r="AR226" s="84"/>
      <c r="AS226" s="78"/>
      <c r="AT226" s="85"/>
      <c r="AU226" s="78"/>
      <c r="AV226" s="83"/>
      <c r="AW226" s="83"/>
      <c r="AX226" s="78"/>
      <c r="AY226" s="78"/>
      <c r="AZ226" s="78"/>
      <c r="BA226" s="78"/>
      <c r="BB226" s="78"/>
      <c r="BC226" s="78"/>
      <c r="BD226" s="79"/>
      <c r="BE226" s="79"/>
    </row>
    <row r="227" spans="1:57" s="1" customFormat="1" ht="21.6" customHeight="1" thickBot="1" x14ac:dyDescent="0.45">
      <c r="A227" s="37" t="s">
        <v>153</v>
      </c>
      <c r="B227" s="59"/>
      <c r="C227" s="51"/>
      <c r="D227" s="51"/>
      <c r="E227" s="51"/>
      <c r="F227" s="158" t="s">
        <v>220</v>
      </c>
      <c r="G227" s="51"/>
      <c r="H227" s="51"/>
      <c r="I227" s="156"/>
      <c r="J227" s="156"/>
      <c r="K227" s="156"/>
      <c r="L227" s="156"/>
      <c r="M227" s="156"/>
      <c r="N227" s="156"/>
      <c r="O227" s="91"/>
      <c r="P227" s="52"/>
      <c r="Q227" s="52"/>
      <c r="R227" s="52"/>
      <c r="S227" s="52"/>
      <c r="T227" s="52"/>
      <c r="U227" s="157"/>
      <c r="V227" s="157"/>
      <c r="W227" s="94"/>
      <c r="X227" s="94"/>
      <c r="Y227" s="51"/>
      <c r="Z227" s="51"/>
      <c r="AA227" s="157">
        <f>AA210</f>
        <v>1</v>
      </c>
      <c r="AB227" s="157">
        <f t="shared" ref="AB227:AF227" si="97">AB210</f>
        <v>2</v>
      </c>
      <c r="AC227" s="157">
        <f t="shared" si="97"/>
        <v>3</v>
      </c>
      <c r="AD227" s="157">
        <f t="shared" si="97"/>
        <v>4</v>
      </c>
      <c r="AE227" s="157">
        <f t="shared" si="97"/>
        <v>5</v>
      </c>
      <c r="AF227" s="157">
        <f t="shared" si="97"/>
        <v>6</v>
      </c>
      <c r="AG227" s="162" t="s">
        <v>123</v>
      </c>
      <c r="AH227" s="162" t="s">
        <v>124</v>
      </c>
      <c r="AI227" s="162" t="s">
        <v>125</v>
      </c>
      <c r="AJ227" s="91" t="s">
        <v>126</v>
      </c>
      <c r="AK227" s="198" t="s">
        <v>136</v>
      </c>
      <c r="AL227" s="198" t="s">
        <v>137</v>
      </c>
      <c r="AM227" s="198" t="s">
        <v>138</v>
      </c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</row>
    <row r="228" spans="1:57" s="1" customFormat="1" ht="21.6" customHeight="1" x14ac:dyDescent="0.4">
      <c r="A228" s="37" t="str">
        <f>A227</f>
        <v>4Н</v>
      </c>
      <c r="B228" s="12">
        <f>B209</f>
        <v>46026</v>
      </c>
      <c r="C228" s="97"/>
      <c r="D228" s="97">
        <v>1</v>
      </c>
      <c r="E228" s="29"/>
      <c r="F228" s="151" t="str">
        <f>IFERROR(VLOOKUP($G228,нормы!$A$14:$BC$57,2,0),"")</f>
        <v/>
      </c>
      <c r="G228" s="93"/>
      <c r="H228" s="54">
        <f>IF(C228=1,"Кульков С.А.", IF(C228=2,"Чудаков А.А.",IF(C228=3,"Королев В.Н.",IF(C228=4,"Николашин М.П.",IF(C228=5," Кульков С.А.",IF(C228=6,"А.А. Чудаков",IF(C228=7,"В.Н. Королев",IF(C228=8,"М.П. Николашин",0))))))))</f>
        <v>0</v>
      </c>
      <c r="I228" s="88" t="s">
        <v>84</v>
      </c>
      <c r="J228" s="332"/>
      <c r="K228" s="30">
        <f>IFERROR(VLOOKUP($G228,[1]нормы!$A$21:$BC$151,15,0),"")</f>
        <v>0</v>
      </c>
      <c r="L228" s="31">
        <f>IFERROR(VLOOKUP($G228,[1]нормы!$A$21:$BC$151,17,0),"")</f>
        <v>0</v>
      </c>
      <c r="M228" s="310">
        <f>IFERROR(VLOOKUP($G228,[1]нормы!$A$21:$BC$151,27,0),"")</f>
        <v>0</v>
      </c>
      <c r="N228" s="311" t="str">
        <f>IFERROR(Y228/Y234*(1.1*J228*I233),"")</f>
        <v/>
      </c>
      <c r="O228" s="300">
        <f>IFERROR(VLOOKUP($G228,[1]нормы!$A$21:$BC$151,21,0),"")</f>
        <v>0</v>
      </c>
      <c r="P228" s="35">
        <f>IFERROR(VLOOKUP($G228,[1]нормы!$A$21:$BC$151,19,0),"")</f>
        <v>0</v>
      </c>
      <c r="Q228" s="35">
        <f>IFERROR(VLOOKUP($G228,[1]нормы!$A$21:$BC$151,23,0),"")</f>
        <v>0</v>
      </c>
      <c r="R228" s="231">
        <f>IFERROR(VLOOKUP($G228,[1]нормы!$A$21:$BC$151,29,0),"")</f>
        <v>0</v>
      </c>
      <c r="S228" s="35">
        <f>IFERROR(VLOOKUP($G228,[1]нормы!$A$21:$BC$151,31,0),"")</f>
        <v>0</v>
      </c>
      <c r="T228" s="32">
        <f>IFERROR(VLOOKUP($G228,[1]нормы!$A$21:$BC$151,25,0),"")</f>
        <v>0</v>
      </c>
      <c r="U228" s="232" t="str">
        <f>IFERROR(W228/(((100*Y228/Y234)*I233)/100),"")</f>
        <v/>
      </c>
      <c r="V228" s="234" t="str">
        <f>IFERROR(VLOOKUP($G228,нормы!$A$14:$BC$57,38,0),"")</f>
        <v/>
      </c>
      <c r="W228" s="136"/>
      <c r="X228" s="236"/>
      <c r="Y228" s="152" t="str">
        <f>IFERROR(VLOOKUP($G228,нормы!$A$14:$BC$57,42,0)*W228,"")</f>
        <v/>
      </c>
      <c r="Z228" s="163">
        <f>IFERROR(VLOOKUP($G228,нормы!$A$14:$BC$57,14,0)*W228/1000,0)</f>
        <v>0</v>
      </c>
      <c r="AA228" s="33"/>
      <c r="AB228" s="36"/>
      <c r="AC228" s="36"/>
      <c r="AD228" s="36"/>
      <c r="AE228" s="34"/>
      <c r="AF228" s="159"/>
      <c r="AG228" s="390"/>
      <c r="AH228" s="393"/>
      <c r="AI228" s="396"/>
      <c r="AJ228" s="407">
        <f>AG228+AH228</f>
        <v>0</v>
      </c>
      <c r="AK228" s="359"/>
      <c r="AL228" s="359"/>
      <c r="AM228" s="359"/>
      <c r="AN228" s="287">
        <f>IFERROR(Y228*AJ228/Y234,)</f>
        <v>0</v>
      </c>
      <c r="AO228" s="197" t="str">
        <f>IFERROR(VLOOKUP($G228,нормы!$A$14:$BC$57,53,0)*$W228,"")</f>
        <v/>
      </c>
      <c r="AP228" s="288">
        <f>IFERROR(Y228*AI228/Y234,)</f>
        <v>0</v>
      </c>
      <c r="AQ228" s="197" t="str">
        <f>IFERROR(VLOOKUP($G228,нормы!$A$14:$BC$57,54,0)*$W228,"")</f>
        <v/>
      </c>
      <c r="AR228" s="288">
        <f>IFERROR(AS228/SUM(AS228:AS233)*AL228,0)</f>
        <v>0</v>
      </c>
      <c r="AS228" s="197" t="str">
        <f>IFERROR(VLOOKUP($G228,нормы!$A$14:$BC$57,55,0)*W228,"")</f>
        <v/>
      </c>
      <c r="AT228" s="288">
        <f>IFERROR(AU228/SUM(AU228:AU233)*AM228,0)</f>
        <v>0</v>
      </c>
      <c r="AU228" s="197" t="str">
        <f>IFERROR(VLOOKUP($G228,нормы!$A$14:$BI$57,56,0)*W228,"")</f>
        <v/>
      </c>
      <c r="AV228" s="288">
        <f>IFERROR(AW228/SUM(AW228:AW233)*AK228,0)</f>
        <v>0</v>
      </c>
      <c r="AW228" s="202" t="str">
        <f>IFERROR(VLOOKUP($G228,нормы!$A$14:$BI$57,57,0)*W228,"")</f>
        <v/>
      </c>
      <c r="AX228" s="33"/>
      <c r="AY228" s="203" t="str">
        <f>IFERROR(VLOOKUP($G228,нормы!$A$14:$BI$57,58,0)*W228,"")</f>
        <v/>
      </c>
      <c r="AZ228" s="204"/>
      <c r="BA228" s="200" t="str">
        <f>IFERROR(VLOOKUP($G228,нормы!$A$14:$BI$57,61,0)*$W228,"")</f>
        <v/>
      </c>
      <c r="BB228" s="33"/>
      <c r="BC228" s="203" t="str">
        <f>IFERROR(VLOOKUP($G228,нормы!$A$14:$BI$57,60,0)*W228,"")</f>
        <v/>
      </c>
      <c r="BD228" s="200" t="str">
        <f>IFERROR(VLOOKUP($G228,нормы!$A$14:$BG$57,44,0),"")</f>
        <v/>
      </c>
      <c r="BE228" s="199" t="str">
        <f>IFERROR(W228/VLOOKUP($G228,нормы!$A$14:$BI$57,45,0),"")</f>
        <v/>
      </c>
    </row>
    <row r="229" spans="1:57" s="1" customFormat="1" ht="21.6" customHeight="1" x14ac:dyDescent="0.4">
      <c r="A229" s="37" t="str">
        <f t="shared" ref="A229:A257" si="98">A228</f>
        <v>4Н</v>
      </c>
      <c r="B229" s="12">
        <f t="shared" ref="B229:D233" si="99">B228</f>
        <v>46026</v>
      </c>
      <c r="C229" s="97">
        <f t="shared" si="99"/>
        <v>0</v>
      </c>
      <c r="D229" s="97">
        <f t="shared" si="99"/>
        <v>1</v>
      </c>
      <c r="E229" s="54"/>
      <c r="F229" s="151" t="str">
        <f>IFERROR(VLOOKUP($G229,нормы!$A$14:$BC$57,2,0),"")</f>
        <v/>
      </c>
      <c r="G229" s="93"/>
      <c r="H229" s="54">
        <f t="shared" ref="H229:H233" si="100">IF(C229=1,"Кульков С.А.", IF(C229=2,"Чудаков А.А.",IF(C229=3,"Королев В.Н.",IF(C229=4,"Николашин М.П.",IF(C229=5," Кульков С.А.",IF(C229=6,"А.А. Чудаков",IF(C229=7,"В.Н. Королев",IF(C229=8,"М.П. Николашин",0))))))))</f>
        <v>0</v>
      </c>
      <c r="I229" s="55"/>
      <c r="J229" s="333"/>
      <c r="K229" s="30">
        <f>IFERROR(VLOOKUP($G229,[1]нормы!$A$21:$BC$151,15,0),"")</f>
        <v>0</v>
      </c>
      <c r="L229" s="31">
        <f>IFERROR(VLOOKUP($G229,[1]нормы!$A$21:$BC$151,17,0),"")</f>
        <v>0</v>
      </c>
      <c r="M229" s="306">
        <f>IFERROR(VLOOKUP($G229,[1]нормы!$A$21:$BC$151,27,0),"")</f>
        <v>0</v>
      </c>
      <c r="N229" s="307" t="str">
        <f>IFERROR(Y229/Y234*(1.1*J228*I233),"")</f>
        <v/>
      </c>
      <c r="O229" s="300">
        <f>IFERROR(VLOOKUP($G229,[1]нормы!$A$21:$BC$151,21,0),"")</f>
        <v>0</v>
      </c>
      <c r="P229" s="35">
        <f>IFERROR(VLOOKUP($G229,[1]нормы!$A$21:$BC$151,19,0),"")</f>
        <v>0</v>
      </c>
      <c r="Q229" s="35">
        <f>IFERROR(VLOOKUP($G229,[1]нормы!$A$21:$BC$151,23,0),"")</f>
        <v>0</v>
      </c>
      <c r="R229" s="231">
        <f>IFERROR(VLOOKUP($G229,[1]нормы!$A$21:$BC$151,29,0),"")</f>
        <v>0</v>
      </c>
      <c r="S229" s="35">
        <f>IFERROR(VLOOKUP($G229,[1]нормы!$A$21:$BC$151,31,0),"")</f>
        <v>0</v>
      </c>
      <c r="T229" s="32">
        <f>IFERROR(VLOOKUP($G229,[1]нормы!$A$21:$BC$151,25,0),"")</f>
        <v>0</v>
      </c>
      <c r="U229" s="233" t="str">
        <f>IFERROR(W229/(((100*Y229/Y234)*I233)/100),"")</f>
        <v/>
      </c>
      <c r="V229" s="234" t="str">
        <f>IFERROR(VLOOKUP($G229,нормы!$A$14:$BC$57,38,0),"")</f>
        <v/>
      </c>
      <c r="W229" s="136"/>
      <c r="X229" s="237"/>
      <c r="Y229" s="152" t="str">
        <f>IFERROR(VLOOKUP($G229,нормы!$A$14:$BC$57,42,0)*W229,"")</f>
        <v/>
      </c>
      <c r="Z229" s="163">
        <f>IFERROR(VLOOKUP($G229,нормы!$A$14:$BC$57,14,0)*W229/1000,0)</f>
        <v>0</v>
      </c>
      <c r="AA229" s="142"/>
      <c r="AB229" s="35"/>
      <c r="AC229" s="35"/>
      <c r="AD229" s="35"/>
      <c r="AE229" s="31"/>
      <c r="AF229" s="160"/>
      <c r="AG229" s="391"/>
      <c r="AH229" s="394"/>
      <c r="AI229" s="397"/>
      <c r="AJ229" s="408"/>
      <c r="AK229" s="360"/>
      <c r="AL229" s="360"/>
      <c r="AM229" s="360"/>
      <c r="AN229" s="289">
        <f>IFERROR(Y229*AJ228/Y234,)</f>
        <v>0</v>
      </c>
      <c r="AO229" s="197" t="str">
        <f>IFERROR(VLOOKUP($G229,нормы!$A$14:$BC$57,53,0)*$W229,"")</f>
        <v/>
      </c>
      <c r="AP229" s="290">
        <f>IFERROR(Y229*AI228/Y234,)</f>
        <v>0</v>
      </c>
      <c r="AQ229" s="197" t="str">
        <f>IFERROR(VLOOKUP($G229,нормы!$A$14:$BC$57,54,0)*$W229,"")</f>
        <v/>
      </c>
      <c r="AR229" s="290">
        <f>IFERROR(AS229/SUM(AS228:AS233)*AL228,0)</f>
        <v>0</v>
      </c>
      <c r="AS229" s="197" t="str">
        <f>IFERROR(VLOOKUP($G229,нормы!$A$14:$BC$57,55,0)*W229,"")</f>
        <v/>
      </c>
      <c r="AT229" s="290">
        <f>IFERROR(AU229/SUM(AU228:AU233)*AM228,0)</f>
        <v>0</v>
      </c>
      <c r="AU229" s="197" t="str">
        <f>IFERROR(VLOOKUP($G229,нормы!$A$14:$BI$57,56,0)*W229,"")</f>
        <v/>
      </c>
      <c r="AV229" s="290">
        <f>IFERROR(AW229/SUM(AW228:AW233)*AK228,0)</f>
        <v>0</v>
      </c>
      <c r="AW229" s="202" t="str">
        <f>IFERROR(VLOOKUP($G229,нормы!$A$14:$BI$57,57,0)*W229,"")</f>
        <v/>
      </c>
      <c r="AX229" s="30"/>
      <c r="AY229" s="203" t="str">
        <f>IFERROR(VLOOKUP($G229,нормы!$A$14:$BI$57,58,0)*W229,"")</f>
        <v/>
      </c>
      <c r="AZ229" s="205"/>
      <c r="BA229" s="200" t="str">
        <f>IFERROR(VLOOKUP($G229,нормы!$A$14:$BI$57,61,0)*$W229,"")</f>
        <v/>
      </c>
      <c r="BB229" s="30"/>
      <c r="BC229" s="203" t="str">
        <f>IFERROR(VLOOKUP($G229,нормы!$A$14:$BI$57,60,0)*W229,"")</f>
        <v/>
      </c>
      <c r="BD229" s="200" t="str">
        <f>IFERROR(VLOOKUP($G229,нормы!$A$14:$BG$57,44,0),"")</f>
        <v/>
      </c>
      <c r="BE229" s="199" t="str">
        <f>IFERROR(W229/VLOOKUP($G229,нормы!$A$14:$BI$57,45,0),"")</f>
        <v/>
      </c>
    </row>
    <row r="230" spans="1:57" s="1" customFormat="1" ht="20.25" customHeight="1" x14ac:dyDescent="0.4">
      <c r="A230" s="37" t="str">
        <f t="shared" si="98"/>
        <v>4Н</v>
      </c>
      <c r="B230" s="12">
        <f t="shared" si="99"/>
        <v>46026</v>
      </c>
      <c r="C230" s="97">
        <f t="shared" si="99"/>
        <v>0</v>
      </c>
      <c r="D230" s="97">
        <f t="shared" si="99"/>
        <v>1</v>
      </c>
      <c r="E230" s="54"/>
      <c r="F230" s="151" t="str">
        <f>IFERROR(VLOOKUP($G230,нормы!$A$14:$BC$57,2,0),"")</f>
        <v/>
      </c>
      <c r="G230" s="38"/>
      <c r="H230" s="54">
        <f t="shared" si="100"/>
        <v>0</v>
      </c>
      <c r="I230" s="89" t="s">
        <v>85</v>
      </c>
      <c r="J230" s="333"/>
      <c r="K230" s="30">
        <f>IFERROR(VLOOKUP($G230,[1]нормы!$A$21:$BC$151,15,0),"")</f>
        <v>0</v>
      </c>
      <c r="L230" s="31">
        <f>IFERROR(VLOOKUP($G230,[1]нормы!$A$21:$BC$151,17,0),"")</f>
        <v>0</v>
      </c>
      <c r="M230" s="306">
        <f>IFERROR(VLOOKUP($G230,[1]нормы!$A$21:$BC$151,27,0),"")</f>
        <v>0</v>
      </c>
      <c r="N230" s="307" t="str">
        <f>IFERROR(Y230/Y234*(1.1*J228*I233),"")</f>
        <v/>
      </c>
      <c r="O230" s="300">
        <f>IFERROR(VLOOKUP($G230,[1]нормы!$A$21:$BC$151,21,0),"")</f>
        <v>0</v>
      </c>
      <c r="P230" s="35">
        <f>IFERROR(VLOOKUP($G230,[1]нормы!$A$21:$BC$151,19,0),"")</f>
        <v>0</v>
      </c>
      <c r="Q230" s="35">
        <f>IFERROR(VLOOKUP($G230,[1]нормы!$A$21:$BC$151,23,0),"")</f>
        <v>0</v>
      </c>
      <c r="R230" s="231">
        <f>IFERROR(VLOOKUP($G230,[1]нормы!$A$21:$BC$151,29,0),"")</f>
        <v>0</v>
      </c>
      <c r="S230" s="35">
        <f>IFERROR(VLOOKUP($G230,[1]нормы!$A$21:$BC$151,31,0),"")</f>
        <v>0</v>
      </c>
      <c r="T230" s="32">
        <f>IFERROR(VLOOKUP($G230,[1]нормы!$A$21:$BC$151,25,0),"")</f>
        <v>0</v>
      </c>
      <c r="U230" s="233" t="str">
        <f>IFERROR(W230/(((100*Y230/Y234)*I233)/100),"")</f>
        <v/>
      </c>
      <c r="V230" s="234" t="str">
        <f>IFERROR(VLOOKUP($G230,нормы!$A$14:$BC$57,38,0),"")</f>
        <v/>
      </c>
      <c r="W230" s="136"/>
      <c r="X230" s="237"/>
      <c r="Y230" s="152" t="str">
        <f>IFERROR(VLOOKUP($G230,нормы!$A$14:$BC$57,42,0)*W230,"")</f>
        <v/>
      </c>
      <c r="Z230" s="163">
        <f>IFERROR(VLOOKUP($G230,нормы!$A$14:$BC$57,14,0)*W230/1000,0)</f>
        <v>0</v>
      </c>
      <c r="AA230" s="30"/>
      <c r="AB230" s="35"/>
      <c r="AC230" s="35"/>
      <c r="AD230" s="35"/>
      <c r="AE230" s="31"/>
      <c r="AF230" s="160"/>
      <c r="AG230" s="391"/>
      <c r="AH230" s="394"/>
      <c r="AI230" s="397"/>
      <c r="AJ230" s="408"/>
      <c r="AK230" s="360"/>
      <c r="AL230" s="360"/>
      <c r="AM230" s="360"/>
      <c r="AN230" s="289">
        <f>IFERROR(Y230*AJ228/Y234,)</f>
        <v>0</v>
      </c>
      <c r="AO230" s="197" t="str">
        <f>IFERROR(VLOOKUP($G230,нормы!$A$14:$BC$57,53,0)*$W230,"")</f>
        <v/>
      </c>
      <c r="AP230" s="290">
        <f>IFERROR(Y230*AI228/Y234,)</f>
        <v>0</v>
      </c>
      <c r="AQ230" s="197" t="str">
        <f>IFERROR(VLOOKUP($G230,нормы!$A$14:$BC$57,54,0)*$W230,"")</f>
        <v/>
      </c>
      <c r="AR230" s="290">
        <f>IFERROR(AS230/SUM(AS228:AS233)*AL228,0)</f>
        <v>0</v>
      </c>
      <c r="AS230" s="197" t="str">
        <f>IFERROR(VLOOKUP($G230,нормы!$A$14:$BC$57,55,0)*W230,"")</f>
        <v/>
      </c>
      <c r="AT230" s="290">
        <f>IFERROR(AU230/SUM(AU228:AU233)*AM228,0)</f>
        <v>0</v>
      </c>
      <c r="AU230" s="197" t="str">
        <f>IFERROR(VLOOKUP($G230,нормы!$A$14:$BI$57,56,0)*W230,"")</f>
        <v/>
      </c>
      <c r="AV230" s="290">
        <f>IFERROR(AW230/SUM(AW228:AW233)*AK228,0)</f>
        <v>0</v>
      </c>
      <c r="AW230" s="202" t="str">
        <f>IFERROR(VLOOKUP($G230,нормы!$A$14:$BI$57,57,0)*W230,"")</f>
        <v/>
      </c>
      <c r="AX230" s="30"/>
      <c r="AY230" s="203" t="str">
        <f>IFERROR(VLOOKUP($G230,нормы!$A$14:$BI$57,58,0)*W230,"")</f>
        <v/>
      </c>
      <c r="AZ230" s="205"/>
      <c r="BA230" s="200" t="str">
        <f>IFERROR(VLOOKUP($G230,нормы!$A$14:$BI$57,61,0)*$W230,"")</f>
        <v/>
      </c>
      <c r="BB230" s="30"/>
      <c r="BC230" s="203" t="str">
        <f>IFERROR(VLOOKUP($G230,нормы!$A$14:$BI$57,60,0)*W230,"")</f>
        <v/>
      </c>
      <c r="BD230" s="200" t="str">
        <f>IFERROR(VLOOKUP($G230,нормы!$A$14:$BG$57,44,0),"")</f>
        <v/>
      </c>
      <c r="BE230" s="199" t="str">
        <f>IFERROR(W230/VLOOKUP($G230,нормы!$A$14:$BI$57,45,0),"")</f>
        <v/>
      </c>
    </row>
    <row r="231" spans="1:57" s="1" customFormat="1" ht="20.25" customHeight="1" x14ac:dyDescent="0.4">
      <c r="A231" s="37" t="str">
        <f t="shared" si="98"/>
        <v>4Н</v>
      </c>
      <c r="B231" s="12">
        <f t="shared" si="99"/>
        <v>46026</v>
      </c>
      <c r="C231" s="97">
        <f t="shared" si="99"/>
        <v>0</v>
      </c>
      <c r="D231" s="97">
        <f t="shared" si="99"/>
        <v>1</v>
      </c>
      <c r="E231" s="54"/>
      <c r="F231" s="151" t="str">
        <f>IFERROR(VLOOKUP($G231,нормы!$A$14:$BC$57,2,0),"")</f>
        <v/>
      </c>
      <c r="G231" s="93"/>
      <c r="H231" s="54">
        <f t="shared" si="100"/>
        <v>0</v>
      </c>
      <c r="I231" s="55"/>
      <c r="J231" s="333"/>
      <c r="K231" s="30">
        <f>IFERROR(VLOOKUP($G231,[1]нормы!$A$21:$BC$151,15,0),"")</f>
        <v>0</v>
      </c>
      <c r="L231" s="31">
        <f>IFERROR(VLOOKUP($G231,[1]нормы!$A$21:$BC$151,17,0),"")</f>
        <v>0</v>
      </c>
      <c r="M231" s="306">
        <f>IFERROR(VLOOKUP($G231,[1]нормы!$A$21:$BC$151,27,0),"")</f>
        <v>0</v>
      </c>
      <c r="N231" s="307" t="str">
        <f>IFERROR(Y231/Y234*(1.1*J228*I236),"")</f>
        <v/>
      </c>
      <c r="O231" s="300">
        <f>IFERROR(VLOOKUP($G231,[1]нормы!$A$21:$BC$151,21,0),"")</f>
        <v>0</v>
      </c>
      <c r="P231" s="35">
        <f>IFERROR(VLOOKUP($G231,[1]нормы!$A$21:$BC$151,19,0),"")</f>
        <v>0</v>
      </c>
      <c r="Q231" s="35">
        <f>IFERROR(VLOOKUP($G231,[1]нормы!$A$21:$BC$151,23,0),"")</f>
        <v>0</v>
      </c>
      <c r="R231" s="231">
        <f>IFERROR(VLOOKUP($G231,[1]нормы!$A$21:$BC$151,29,0),"")</f>
        <v>0</v>
      </c>
      <c r="S231" s="35">
        <f>IFERROR(VLOOKUP($G231,[1]нормы!$A$21:$BC$151,31,0),"")</f>
        <v>0</v>
      </c>
      <c r="T231" s="32">
        <f>IFERROR(VLOOKUP($G231,[1]нормы!$A$21:$BC$151,25,0),"")</f>
        <v>0</v>
      </c>
      <c r="U231" s="233" t="str">
        <f>IFERROR(W231/(((100*Y231/Y234)*I233)/100),"")</f>
        <v/>
      </c>
      <c r="V231" s="234" t="str">
        <f>IFERROR(VLOOKUP($G231,нормы!$A$14:$BC$57,38,0),"")</f>
        <v/>
      </c>
      <c r="W231" s="136"/>
      <c r="X231" s="237"/>
      <c r="Y231" s="152" t="str">
        <f>IFERROR(VLOOKUP($G231,нормы!$A$14:$BC$57,42,0)*W231,"")</f>
        <v/>
      </c>
      <c r="Z231" s="163">
        <f>IFERROR(VLOOKUP($G231,нормы!$A$14:$BC$57,14,0)*W231/1000,0)</f>
        <v>0</v>
      </c>
      <c r="AA231" s="30"/>
      <c r="AB231" s="35"/>
      <c r="AC231" s="35"/>
      <c r="AD231" s="35"/>
      <c r="AE231" s="31"/>
      <c r="AF231" s="160"/>
      <c r="AG231" s="391"/>
      <c r="AH231" s="394"/>
      <c r="AI231" s="397"/>
      <c r="AJ231" s="408"/>
      <c r="AK231" s="360"/>
      <c r="AL231" s="360"/>
      <c r="AM231" s="360"/>
      <c r="AN231" s="289">
        <f>IFERROR(Y231*AJ228/Y234,)</f>
        <v>0</v>
      </c>
      <c r="AO231" s="197" t="str">
        <f>IFERROR(VLOOKUP($G231,нормы!$A$14:$BC$57,53,0)*$W231,"")</f>
        <v/>
      </c>
      <c r="AP231" s="290">
        <f>IFERROR(Y231*AI228/Y234,)</f>
        <v>0</v>
      </c>
      <c r="AQ231" s="197" t="str">
        <f>IFERROR(VLOOKUP($G231,нормы!$A$14:$BC$57,54,0)*$W231,"")</f>
        <v/>
      </c>
      <c r="AR231" s="290">
        <f>IFERROR(AS231/SUM(AS228:AS233)*AL228,0)</f>
        <v>0</v>
      </c>
      <c r="AS231" s="197" t="str">
        <f>IFERROR(VLOOKUP($G231,нормы!$A$14:$BC$57,55,0)*W231,"")</f>
        <v/>
      </c>
      <c r="AT231" s="290">
        <f>IFERROR(AU231/SUM(AU228:AU233)*AM228,0)</f>
        <v>0</v>
      </c>
      <c r="AU231" s="197" t="str">
        <f>IFERROR(VLOOKUP($G231,нормы!$A$14:$BI$57,56,0)*W231,"")</f>
        <v/>
      </c>
      <c r="AV231" s="290">
        <f>IFERROR(AW231/SUM(AW228:AW233)*AK228,0)</f>
        <v>0</v>
      </c>
      <c r="AW231" s="202" t="str">
        <f>IFERROR(VLOOKUP($G231,нормы!$A$14:$BI$57,57,0)*W231,"")</f>
        <v/>
      </c>
      <c r="AX231" s="30"/>
      <c r="AY231" s="203" t="str">
        <f>IFERROR(VLOOKUP($G231,нормы!$A$14:$BI$57,58,0)*W231,"")</f>
        <v/>
      </c>
      <c r="AZ231" s="205"/>
      <c r="BA231" s="200" t="str">
        <f>IFERROR(VLOOKUP($G231,нормы!$A$14:$BI$57,61,0)*$W231,"")</f>
        <v/>
      </c>
      <c r="BB231" s="30"/>
      <c r="BC231" s="203" t="str">
        <f>IFERROR(VLOOKUP($G231,нормы!$A$14:$BI$57,60,0)*W231,"")</f>
        <v/>
      </c>
      <c r="BD231" s="200" t="str">
        <f>IFERROR(VLOOKUP($G231,нормы!$A$14:$BG$57,44,0),"")</f>
        <v/>
      </c>
      <c r="BE231" s="199" t="str">
        <f>IFERROR(W231/VLOOKUP($G231,нормы!$A$14:$BI$57,45,0),"")</f>
        <v/>
      </c>
    </row>
    <row r="232" spans="1:57" s="1" customFormat="1" ht="20.25" customHeight="1" x14ac:dyDescent="0.4">
      <c r="A232" s="37" t="str">
        <f t="shared" si="98"/>
        <v>4Н</v>
      </c>
      <c r="B232" s="12">
        <f t="shared" si="99"/>
        <v>46026</v>
      </c>
      <c r="C232" s="97">
        <f t="shared" si="99"/>
        <v>0</v>
      </c>
      <c r="D232" s="97">
        <f t="shared" si="99"/>
        <v>1</v>
      </c>
      <c r="E232" s="54"/>
      <c r="F232" s="151" t="str">
        <f>IFERROR(VLOOKUP($G232,нормы!$A$14:$BC$57,2,0),"")</f>
        <v/>
      </c>
      <c r="G232" s="38"/>
      <c r="H232" s="54">
        <f t="shared" si="100"/>
        <v>0</v>
      </c>
      <c r="I232" s="89" t="s">
        <v>73</v>
      </c>
      <c r="J232" s="333"/>
      <c r="K232" s="30">
        <f>IFERROR(VLOOKUP($G232,[1]нормы!$A$21:$BC$151,15,0),"")</f>
        <v>0</v>
      </c>
      <c r="L232" s="31">
        <f>IFERROR(VLOOKUP($G232,[1]нормы!$A$21:$BC$151,17,0),"")</f>
        <v>0</v>
      </c>
      <c r="M232" s="306">
        <f>IFERROR(VLOOKUP($G232,[1]нормы!$A$21:$BC$151,27,0),"")</f>
        <v>0</v>
      </c>
      <c r="N232" s="307" t="str">
        <f>IFERROR(Y232/Y234*(1.1*J228*I237),"")</f>
        <v/>
      </c>
      <c r="O232" s="300">
        <f>IFERROR(VLOOKUP($G232,[1]нормы!$A$21:$BC$151,21,0),"")</f>
        <v>0</v>
      </c>
      <c r="P232" s="35">
        <f>IFERROR(VLOOKUP($G232,[1]нормы!$A$21:$BC$151,19,0),"")</f>
        <v>0</v>
      </c>
      <c r="Q232" s="35">
        <f>IFERROR(VLOOKUP($G232,[1]нормы!$A$21:$BC$151,23,0),"")</f>
        <v>0</v>
      </c>
      <c r="R232" s="231">
        <f>IFERROR(VLOOKUP($G232,[1]нормы!$A$21:$BC$151,29,0),"")</f>
        <v>0</v>
      </c>
      <c r="S232" s="35">
        <f>IFERROR(VLOOKUP($G232,[1]нормы!$A$21:$BC$151,31,0),"")</f>
        <v>0</v>
      </c>
      <c r="T232" s="32">
        <f>IFERROR(VLOOKUP($G232,[1]нормы!$A$21:$BC$151,25,0),"")</f>
        <v>0</v>
      </c>
      <c r="U232" s="233" t="str">
        <f>IFERROR(W232/(((100*Y232/Y234)*I233)/100),"")</f>
        <v/>
      </c>
      <c r="V232" s="234" t="str">
        <f>IFERROR(VLOOKUP($G232,нормы!$A$14:$BC$57,38,0),"")</f>
        <v/>
      </c>
      <c r="W232" s="136"/>
      <c r="X232" s="237"/>
      <c r="Y232" s="152" t="str">
        <f>IFERROR(VLOOKUP($G232,нормы!$A$14:$BC$57,42,0)*W232,"")</f>
        <v/>
      </c>
      <c r="Z232" s="163">
        <f>IFERROR(VLOOKUP($G232,нормы!$A$14:$BC$57,14,0)*W232/1000,0)</f>
        <v>0</v>
      </c>
      <c r="AA232" s="30"/>
      <c r="AB232" s="35"/>
      <c r="AC232" s="35"/>
      <c r="AD232" s="35"/>
      <c r="AE232" s="31"/>
      <c r="AF232" s="160"/>
      <c r="AG232" s="391"/>
      <c r="AH232" s="394"/>
      <c r="AI232" s="397"/>
      <c r="AJ232" s="408"/>
      <c r="AK232" s="360"/>
      <c r="AL232" s="360"/>
      <c r="AM232" s="360"/>
      <c r="AN232" s="289">
        <f>IFERROR(Y232*AJ228/Y234,)</f>
        <v>0</v>
      </c>
      <c r="AO232" s="197" t="str">
        <f>IFERROR(VLOOKUP($G232,нормы!$A$14:$BC$57,53,0)*$W232,"")</f>
        <v/>
      </c>
      <c r="AP232" s="290">
        <f>IFERROR(Y232*AI228/Y234,)</f>
        <v>0</v>
      </c>
      <c r="AQ232" s="197" t="str">
        <f>IFERROR(VLOOKUP($G232,нормы!$A$14:$BC$57,54,0)*$W232,"")</f>
        <v/>
      </c>
      <c r="AR232" s="290">
        <f>IFERROR(AS232/SUM(AS228:AS233)*AL228,0)</f>
        <v>0</v>
      </c>
      <c r="AS232" s="197" t="str">
        <f>IFERROR(VLOOKUP($G232,нормы!$A$14:$BC$57,55,0)*W232,"")</f>
        <v/>
      </c>
      <c r="AT232" s="290">
        <f>IFERROR(AU232/SUM(AU228:AU233)*AM228,0)</f>
        <v>0</v>
      </c>
      <c r="AU232" s="197" t="str">
        <f>IFERROR(VLOOKUP($G232,нормы!$A$14:$BI$57,56,0)*W232,"")</f>
        <v/>
      </c>
      <c r="AV232" s="290">
        <f>IFERROR(AW232/SUM(AW228:AW233)*AK228,0)</f>
        <v>0</v>
      </c>
      <c r="AW232" s="202" t="str">
        <f>IFERROR(VLOOKUP($G232,нормы!$A$14:$BI$57,57,0)*W232,"")</f>
        <v/>
      </c>
      <c r="AX232" s="30"/>
      <c r="AY232" s="203" t="str">
        <f>IFERROR(VLOOKUP($G232,нормы!$A$14:$BI$57,58,0)*W232,"")</f>
        <v/>
      </c>
      <c r="AZ232" s="205"/>
      <c r="BA232" s="200" t="str">
        <f>IFERROR(VLOOKUP($G232,нормы!$A$14:$BI$57,61,0)*$W232,"")</f>
        <v/>
      </c>
      <c r="BB232" s="30"/>
      <c r="BC232" s="203" t="str">
        <f>IFERROR(VLOOKUP($G232,нормы!$A$14:$BI$57,60,0)*W232,"")</f>
        <v/>
      </c>
      <c r="BD232" s="200" t="str">
        <f>IFERROR(VLOOKUP($G232,нормы!$A$14:$BG$57,44,0),"")</f>
        <v/>
      </c>
      <c r="BE232" s="199" t="str">
        <f>IFERROR(W232/VLOOKUP($G232,нормы!$A$14:$BI$57,45,0),"")</f>
        <v/>
      </c>
    </row>
    <row r="233" spans="1:57" s="1" customFormat="1" ht="21" customHeight="1" thickBot="1" x14ac:dyDescent="0.45">
      <c r="A233" s="37" t="str">
        <f t="shared" si="98"/>
        <v>4Н</v>
      </c>
      <c r="B233" s="12">
        <f t="shared" si="99"/>
        <v>46026</v>
      </c>
      <c r="C233" s="97">
        <f t="shared" si="99"/>
        <v>0</v>
      </c>
      <c r="D233" s="97">
        <f t="shared" si="99"/>
        <v>1</v>
      </c>
      <c r="E233" s="54"/>
      <c r="F233" s="151" t="str">
        <f>IFERROR(VLOOKUP($G233,нормы!$A$14:$BC$57,2,0),"")</f>
        <v/>
      </c>
      <c r="G233" s="93"/>
      <c r="H233" s="63">
        <f t="shared" si="100"/>
        <v>0</v>
      </c>
      <c r="I233" s="153">
        <f>I229+I231</f>
        <v>0</v>
      </c>
      <c r="J233" s="334"/>
      <c r="K233" s="30">
        <f>IFERROR(VLOOKUP($G233,[1]нормы!$A$21:$BC$151,15,0),"")</f>
        <v>0</v>
      </c>
      <c r="L233" s="31">
        <f>IFERROR(VLOOKUP($G233,[1]нормы!$A$21:$BC$151,17,0),"")</f>
        <v>0</v>
      </c>
      <c r="M233" s="308">
        <f>IFERROR(VLOOKUP($G233,[1]нормы!$A$21:$BC$151,27,0),"")</f>
        <v>0</v>
      </c>
      <c r="N233" s="309" t="str">
        <f>IFERROR(Y233/Y234*(1.1*J228*I238),"")</f>
        <v/>
      </c>
      <c r="O233" s="300">
        <f>IFERROR(VLOOKUP($G233,[1]нормы!$A$21:$BC$151,21,0),"")</f>
        <v>0</v>
      </c>
      <c r="P233" s="35">
        <f>IFERROR(VLOOKUP($G233,[1]нормы!$A$21:$BC$151,19,0),"")</f>
        <v>0</v>
      </c>
      <c r="Q233" s="35">
        <f>IFERROR(VLOOKUP($G233,[1]нормы!$A$21:$BC$151,23,0),"")</f>
        <v>0</v>
      </c>
      <c r="R233" s="231">
        <f>IFERROR(VLOOKUP($G233,[1]нормы!$A$21:$BC$151,29,0),"")</f>
        <v>0</v>
      </c>
      <c r="S233" s="35">
        <f>IFERROR(VLOOKUP($G233,[1]нормы!$A$21:$BC$151,31,0),"")</f>
        <v>0</v>
      </c>
      <c r="T233" s="32">
        <f>IFERROR(VLOOKUP($G233,[1]нормы!$A$21:$BC$151,25,0),"")</f>
        <v>0</v>
      </c>
      <c r="U233" s="235" t="str">
        <f>IFERROR(W233/(((100*Y233/Y234)*I233)/100),"")</f>
        <v/>
      </c>
      <c r="V233" s="234" t="str">
        <f>IFERROR(VLOOKUP($G233,нормы!$A$14:$BC$57,38,0),"")</f>
        <v/>
      </c>
      <c r="W233" s="154"/>
      <c r="X233" s="238"/>
      <c r="Y233" s="152" t="str">
        <f>IFERROR(VLOOKUP($G233,нормы!$A$14:$BC$57,42,0)*W233,"")</f>
        <v/>
      </c>
      <c r="Z233" s="163">
        <f>IFERROR(VLOOKUP($G233,нормы!$A$14:$BC$57,14,0)*W233/1000,0)</f>
        <v>0</v>
      </c>
      <c r="AA233" s="56"/>
      <c r="AB233" s="58"/>
      <c r="AC233" s="58"/>
      <c r="AD233" s="58"/>
      <c r="AE233" s="57"/>
      <c r="AF233" s="161"/>
      <c r="AG233" s="392"/>
      <c r="AH233" s="395"/>
      <c r="AI233" s="398"/>
      <c r="AJ233" s="409"/>
      <c r="AK233" s="361"/>
      <c r="AL233" s="361"/>
      <c r="AM233" s="361"/>
      <c r="AN233" s="291">
        <f>IFERROR(Y233*AJ228/Y234,)</f>
        <v>0</v>
      </c>
      <c r="AO233" s="197" t="str">
        <f>IFERROR(VLOOKUP($G233,нормы!$A$14:$BC$57,53,0)*$W233,"")</f>
        <v/>
      </c>
      <c r="AP233" s="292">
        <f>IFERROR(Y233*AI228/Y234,)</f>
        <v>0</v>
      </c>
      <c r="AQ233" s="197" t="str">
        <f>IFERROR(VLOOKUP($G233,нормы!$A$14:$BC$57,54,0)*$W233,"")</f>
        <v/>
      </c>
      <c r="AR233" s="290">
        <f>IFERROR(AS233/SUM(AS228:AS233)*AL228,0)</f>
        <v>0</v>
      </c>
      <c r="AS233" s="197" t="str">
        <f>IFERROR(VLOOKUP($G233,нормы!$A$14:$BC$57,55,0)*W233,"")</f>
        <v/>
      </c>
      <c r="AT233" s="292">
        <f>IFERROR(AU233/SUM(AU228:AU233)*AM228,0)</f>
        <v>0</v>
      </c>
      <c r="AU233" s="197" t="str">
        <f>IFERROR(VLOOKUP($G233,нормы!$A$14:$BI$57,56,0)*W233,"")</f>
        <v/>
      </c>
      <c r="AV233" s="292">
        <f>IFERROR(AW233/SUM(AW228:AW233)*AK228,0)</f>
        <v>0</v>
      </c>
      <c r="AW233" s="202" t="str">
        <f>IFERROR(VLOOKUP($G233,нормы!$A$14:$BI$57,57,0)*W233,"")</f>
        <v/>
      </c>
      <c r="AX233" s="56"/>
      <c r="AY233" s="203" t="str">
        <f>IFERROR(VLOOKUP($G233,нормы!$A$14:$BI$57,58,0)*W233,"")</f>
        <v/>
      </c>
      <c r="AZ233" s="206"/>
      <c r="BA233" s="200" t="str">
        <f>IFERROR(VLOOKUP($G233,нормы!$A$14:$BI$57,61,0)*$W233,"")</f>
        <v/>
      </c>
      <c r="BB233" s="56"/>
      <c r="BC233" s="203" t="str">
        <f>IFERROR(VLOOKUP($G233,нормы!$A$14:$BI$57,60,0)*W233,"")</f>
        <v/>
      </c>
      <c r="BD233" s="200" t="str">
        <f>IFERROR(VLOOKUP($G233,нормы!$A$14:$BG$57,44,0),"")</f>
        <v/>
      </c>
      <c r="BE233" s="199" t="str">
        <f>IFERROR(W233/VLOOKUP($G233,нормы!$A$14:$BI$57,45,0),"")</f>
        <v/>
      </c>
    </row>
    <row r="234" spans="1:57" s="1" customFormat="1" ht="29.4" customHeight="1" thickBot="1" x14ac:dyDescent="0.45">
      <c r="A234" s="37" t="str">
        <f t="shared" si="98"/>
        <v>4Н</v>
      </c>
      <c r="B234" s="59"/>
      <c r="C234" s="51"/>
      <c r="D234" s="51"/>
      <c r="E234" s="51"/>
      <c r="F234" s="295" t="s">
        <v>149</v>
      </c>
      <c r="G234" s="51"/>
      <c r="H234" s="51"/>
      <c r="I234" s="60"/>
      <c r="J234" s="60"/>
      <c r="K234" s="319" t="s">
        <v>213</v>
      </c>
      <c r="L234" s="316"/>
      <c r="M234" s="303" t="s">
        <v>213</v>
      </c>
      <c r="N234" s="317">
        <f>SUM(N228:N233)</f>
        <v>0</v>
      </c>
      <c r="O234" s="304" t="s">
        <v>216</v>
      </c>
      <c r="P234" s="318">
        <f>N234*8.937/1000</f>
        <v>0</v>
      </c>
      <c r="Q234" s="305" t="s">
        <v>215</v>
      </c>
      <c r="R234" s="61"/>
      <c r="S234" s="61"/>
      <c r="T234" s="61"/>
      <c r="U234" s="109"/>
      <c r="V234" s="109"/>
      <c r="W234" s="94"/>
      <c r="X234" s="155"/>
      <c r="Y234" s="96">
        <f>SUM(Y228:Y233)</f>
        <v>0</v>
      </c>
      <c r="Z234" s="164">
        <f>SUM(Z228:Z233)</f>
        <v>0</v>
      </c>
      <c r="AA234" s="62"/>
      <c r="AB234" s="62"/>
      <c r="AC234" s="62"/>
      <c r="AD234" s="62"/>
      <c r="AE234" s="62"/>
      <c r="AF234" s="62"/>
      <c r="AG234" s="162" t="s">
        <v>140</v>
      </c>
      <c r="AH234" s="162" t="s">
        <v>141</v>
      </c>
      <c r="AI234" s="162" t="s">
        <v>142</v>
      </c>
      <c r="AJ234" s="91" t="s">
        <v>126</v>
      </c>
      <c r="AK234" s="198" t="s">
        <v>136</v>
      </c>
      <c r="AL234" s="198" t="s">
        <v>137</v>
      </c>
      <c r="AM234" s="198" t="s">
        <v>138</v>
      </c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53" t="str">
        <f>IFERROR(W234/VLOOKUP($G234,нормы!$A$14:$BI$15,28,0),"")</f>
        <v/>
      </c>
    </row>
    <row r="235" spans="1:57" s="1" customFormat="1" ht="21.6" customHeight="1" x14ac:dyDescent="0.4">
      <c r="A235" s="37" t="str">
        <f t="shared" si="98"/>
        <v>4Н</v>
      </c>
      <c r="B235" s="12">
        <f>B233</f>
        <v>46026</v>
      </c>
      <c r="C235" s="97"/>
      <c r="D235" s="97">
        <v>2</v>
      </c>
      <c r="E235" s="29"/>
      <c r="F235" s="151" t="str">
        <f>IFERROR(VLOOKUP($G235,нормы!$A$14:$BC$57,2,0),"")</f>
        <v/>
      </c>
      <c r="G235" s="93"/>
      <c r="H235" s="54">
        <f>IF(C235=1,"Кульков С.А.", IF(C235=2,"Чудаков А.А.",IF(C235=3,"Королев В.Н.",IF(C235=4,"Николашин М.П.",IF(C235=5," Кульков С.А.",IF(C235=6,"А.А. Чудаков",IF(C235=7,"В.Н. Королев",IF(C235=8,"М.П. Николашин",0))))))))</f>
        <v>0</v>
      </c>
      <c r="I235" s="88" t="s">
        <v>211</v>
      </c>
      <c r="J235" s="332"/>
      <c r="K235" s="30">
        <f>IFERROR(VLOOKUP($G235,[1]нормы!$A$21:$BC$151,15,0),"")</f>
        <v>0</v>
      </c>
      <c r="L235" s="31">
        <f>IFERROR(VLOOKUP($G235,[1]нормы!$A$21:$BC$151,17,0),"")</f>
        <v>0</v>
      </c>
      <c r="M235" s="310">
        <f>IFERROR(VLOOKUP($G235,[1]нормы!$A$21:$BC$151,27,0),"")</f>
        <v>0</v>
      </c>
      <c r="N235" s="311" t="str">
        <f>IFERROR(Y235/Y241*(1.1*J235*I240),"")</f>
        <v/>
      </c>
      <c r="O235" s="300">
        <f>IFERROR(VLOOKUP($G235,[1]нормы!$A$21:$BC$151,21,0),"")</f>
        <v>0</v>
      </c>
      <c r="P235" s="35">
        <f>IFERROR(VLOOKUP($G235,[1]нормы!$A$21:$BC$151,19,0),"")</f>
        <v>0</v>
      </c>
      <c r="Q235" s="35">
        <f>IFERROR(VLOOKUP($G235,[1]нормы!$A$21:$BC$151,23,0),"")</f>
        <v>0</v>
      </c>
      <c r="R235" s="231">
        <f>IFERROR(VLOOKUP($G235,[1]нормы!$A$21:$BC$151,29,0),"")</f>
        <v>0</v>
      </c>
      <c r="S235" s="35">
        <f>IFERROR(VLOOKUP($G235,[1]нормы!$A$21:$BC$151,31,0),"")</f>
        <v>0</v>
      </c>
      <c r="T235" s="32">
        <f>IFERROR(VLOOKUP($G235,[1]нормы!$A$21:$BC$151,25,0),"")</f>
        <v>0</v>
      </c>
      <c r="U235" s="232" t="str">
        <f>IFERROR(W235/(((100*Y235/Y241)*I240)/100),"")</f>
        <v/>
      </c>
      <c r="V235" s="234" t="str">
        <f>IFERROR(VLOOKUP($G235,нормы!$A$14:$BC$57,38,0),"")</f>
        <v/>
      </c>
      <c r="W235" s="136"/>
      <c r="X235" s="236"/>
      <c r="Y235" s="152" t="str">
        <f>IFERROR(VLOOKUP($G235,нормы!$A$14:$BC$57,42,0)*W235,"")</f>
        <v/>
      </c>
      <c r="Z235" s="163">
        <f>IFERROR(VLOOKUP($G235,нормы!$A$14:$BC$57,14,0)*W235/1000,0)</f>
        <v>0</v>
      </c>
      <c r="AA235" s="33"/>
      <c r="AB235" s="36"/>
      <c r="AC235" s="36"/>
      <c r="AD235" s="36"/>
      <c r="AE235" s="34"/>
      <c r="AF235" s="159"/>
      <c r="AG235" s="390"/>
      <c r="AH235" s="393"/>
      <c r="AI235" s="396"/>
      <c r="AJ235" s="407">
        <f>AG235+AH235</f>
        <v>0</v>
      </c>
      <c r="AK235" s="359"/>
      <c r="AL235" s="359"/>
      <c r="AM235" s="359"/>
      <c r="AN235" s="287">
        <f>IFERROR(Y235*AJ235/Y241,)</f>
        <v>0</v>
      </c>
      <c r="AO235" s="197" t="str">
        <f>IFERROR(VLOOKUP($G235,нормы!$A$14:$BC$57,53,0)*$W235,"")</f>
        <v/>
      </c>
      <c r="AP235" s="288">
        <f>IFERROR(Y235*AI235/Y241,)</f>
        <v>0</v>
      </c>
      <c r="AQ235" s="197" t="str">
        <f>IFERROR(VLOOKUP($G235,нормы!$A$14:$BC$57,54,0)*$W235,"")</f>
        <v/>
      </c>
      <c r="AR235" s="288">
        <f>IFERROR(AS235/SUM(AS235:AS240)*AL235,0)</f>
        <v>0</v>
      </c>
      <c r="AS235" s="197" t="str">
        <f>IFERROR(VLOOKUP($G235,нормы!$A$14:$BC$57,55,0)*W235,"")</f>
        <v/>
      </c>
      <c r="AT235" s="288">
        <f>IFERROR(AU235/SUM(AU235:AU240)*AM235,0)</f>
        <v>0</v>
      </c>
      <c r="AU235" s="197" t="str">
        <f>IFERROR(VLOOKUP($G235,нормы!$A$14:$BI$57,56,0)*W235,"")</f>
        <v/>
      </c>
      <c r="AV235" s="288">
        <f>IFERROR(AW235/SUM(AW235:AW240)*AK235,0)</f>
        <v>0</v>
      </c>
      <c r="AW235" s="202" t="str">
        <f>IFERROR(VLOOKUP($G235,нормы!$A$14:$BI$57,57,0)*W235,"")</f>
        <v/>
      </c>
      <c r="AX235" s="33"/>
      <c r="AY235" s="203" t="str">
        <f>IFERROR(VLOOKUP($G235,нормы!$A$14:$BI$57,58,0)*W235,"")</f>
        <v/>
      </c>
      <c r="AZ235" s="204"/>
      <c r="BA235" s="200" t="str">
        <f>IFERROR(VLOOKUP($G235,нормы!$A$14:$BI$57,61,0)*$W235,"")</f>
        <v/>
      </c>
      <c r="BB235" s="33"/>
      <c r="BC235" s="203" t="str">
        <f>IFERROR(VLOOKUP($G235,нормы!$A$14:$BI$57,60,0)*W235,"")</f>
        <v/>
      </c>
      <c r="BD235" s="200" t="str">
        <f>IFERROR(VLOOKUP($G235,нормы!$A$14:$BG$57,44,0),"")</f>
        <v/>
      </c>
      <c r="BE235" s="199" t="str">
        <f>IFERROR(W235/VLOOKUP($G235,нормы!$A$14:$BI$57,45,0),"")</f>
        <v/>
      </c>
    </row>
    <row r="236" spans="1:57" s="1" customFormat="1" ht="21.6" customHeight="1" x14ac:dyDescent="0.4">
      <c r="A236" s="37" t="str">
        <f t="shared" si="98"/>
        <v>4Н</v>
      </c>
      <c r="B236" s="12">
        <f t="shared" ref="B236:D240" si="101">B235</f>
        <v>46026</v>
      </c>
      <c r="C236" s="97">
        <f t="shared" si="101"/>
        <v>0</v>
      </c>
      <c r="D236" s="97">
        <f t="shared" si="101"/>
        <v>2</v>
      </c>
      <c r="E236" s="54"/>
      <c r="F236" s="151" t="str">
        <f>IFERROR(VLOOKUP($G236,нормы!$A$14:$BC$57,2,0),"")</f>
        <v/>
      </c>
      <c r="G236" s="93"/>
      <c r="H236" s="54">
        <f t="shared" ref="H236:H240" si="102">IF(C236=1,"Кульков С.А.", IF(C236=2,"Чудаков А.А.",IF(C236=3,"Королев В.Н.",IF(C236=4,"Николашин М.П.",IF(C236=5," Кульков С.А.",IF(C236=6,"А.А. Чудаков",IF(C236=7,"В.Н. Королев",IF(C236=8,"М.П. Николашин",0))))))))</f>
        <v>0</v>
      </c>
      <c r="I236" s="55"/>
      <c r="J236" s="333"/>
      <c r="K236" s="30">
        <f>IFERROR(VLOOKUP($G236,[1]нормы!$A$21:$BC$151,15,0),"")</f>
        <v>0</v>
      </c>
      <c r="L236" s="31">
        <f>IFERROR(VLOOKUP($G236,[1]нормы!$A$21:$BC$151,17,0),"")</f>
        <v>0</v>
      </c>
      <c r="M236" s="306">
        <f>IFERROR(VLOOKUP($G236,[1]нормы!$A$21:$BC$151,27,0),"")</f>
        <v>0</v>
      </c>
      <c r="N236" s="307" t="str">
        <f>IFERROR(Y236/Y241*(1.1*J235*I240),"")</f>
        <v/>
      </c>
      <c r="O236" s="300">
        <f>IFERROR(VLOOKUP($G236,[1]нормы!$A$21:$BC$151,21,0),"")</f>
        <v>0</v>
      </c>
      <c r="P236" s="35">
        <f>IFERROR(VLOOKUP($G236,[1]нормы!$A$21:$BC$151,19,0),"")</f>
        <v>0</v>
      </c>
      <c r="Q236" s="35">
        <f>IFERROR(VLOOKUP($G236,[1]нормы!$A$21:$BC$151,23,0),"")</f>
        <v>0</v>
      </c>
      <c r="R236" s="231">
        <f>IFERROR(VLOOKUP($G236,[1]нормы!$A$21:$BC$151,29,0),"")</f>
        <v>0</v>
      </c>
      <c r="S236" s="35">
        <f>IFERROR(VLOOKUP($G236,[1]нормы!$A$21:$BC$151,31,0),"")</f>
        <v>0</v>
      </c>
      <c r="T236" s="32">
        <f>IFERROR(VLOOKUP($G236,[1]нормы!$A$21:$BC$151,25,0),"")</f>
        <v>0</v>
      </c>
      <c r="U236" s="233" t="str">
        <f>IFERROR(W236/(((100*Y236/Y241)*I240)/100),"")</f>
        <v/>
      </c>
      <c r="V236" s="234" t="str">
        <f>IFERROR(VLOOKUP($G236,нормы!$A$14:$BC$57,38,0),"")</f>
        <v/>
      </c>
      <c r="W236" s="136"/>
      <c r="X236" s="237"/>
      <c r="Y236" s="152" t="str">
        <f>IFERROR(VLOOKUP($G236,нормы!$A$14:$BC$57,42,0)*W236,"")</f>
        <v/>
      </c>
      <c r="Z236" s="163">
        <f>IFERROR(VLOOKUP($G236,нормы!$A$14:$BC$57,14,0)*W236/1000,0)</f>
        <v>0</v>
      </c>
      <c r="AA236" s="142"/>
      <c r="AB236" s="35"/>
      <c r="AC236" s="35"/>
      <c r="AD236" s="35"/>
      <c r="AE236" s="31"/>
      <c r="AF236" s="160"/>
      <c r="AG236" s="391"/>
      <c r="AH236" s="394"/>
      <c r="AI236" s="397"/>
      <c r="AJ236" s="408"/>
      <c r="AK236" s="360"/>
      <c r="AL236" s="360"/>
      <c r="AM236" s="360"/>
      <c r="AN236" s="289">
        <f>IFERROR(Y236*AJ235/Y241,)</f>
        <v>0</v>
      </c>
      <c r="AO236" s="197" t="str">
        <f>IFERROR(VLOOKUP($G236,нормы!$A$14:$BC$57,53,0)*$W236,"")</f>
        <v/>
      </c>
      <c r="AP236" s="290">
        <f>IFERROR(Y236*AI235/Y241,)</f>
        <v>0</v>
      </c>
      <c r="AQ236" s="197" t="str">
        <f>IFERROR(VLOOKUP($G236,нормы!$A$14:$BC$57,54,0)*$W236,"")</f>
        <v/>
      </c>
      <c r="AR236" s="290">
        <f>IFERROR(AS236/SUM(AS235:AS240)*AL235,0)</f>
        <v>0</v>
      </c>
      <c r="AS236" s="197" t="str">
        <f>IFERROR(VLOOKUP($G236,нормы!$A$14:$BC$57,55,0)*W236,"")</f>
        <v/>
      </c>
      <c r="AT236" s="290">
        <f>IFERROR(AU236/SUM(AU235:AU240)*AM235,0)</f>
        <v>0</v>
      </c>
      <c r="AU236" s="197" t="str">
        <f>IFERROR(VLOOKUP($G236,нормы!$A$14:$BI$57,56,0)*W236,"")</f>
        <v/>
      </c>
      <c r="AV236" s="290">
        <f>IFERROR(AW236/SUM(AW235:AW240)*AK235,0)</f>
        <v>0</v>
      </c>
      <c r="AW236" s="202" t="str">
        <f>IFERROR(VLOOKUP($G236,нормы!$A$14:$BI$57,57,0)*W236,"")</f>
        <v/>
      </c>
      <c r="AX236" s="30"/>
      <c r="AY236" s="203" t="str">
        <f>IFERROR(VLOOKUP($G236,нормы!$A$14:$BI$57,58,0)*W236,"")</f>
        <v/>
      </c>
      <c r="AZ236" s="205"/>
      <c r="BA236" s="200" t="str">
        <f>IFERROR(VLOOKUP($G236,нормы!$A$14:$BI$57,61,0)*$W236,"")</f>
        <v/>
      </c>
      <c r="BB236" s="30"/>
      <c r="BC236" s="203" t="str">
        <f>IFERROR(VLOOKUP($G236,нормы!$A$14:$BI$57,60,0)*W236,"")</f>
        <v/>
      </c>
      <c r="BD236" s="200" t="str">
        <f>IFERROR(VLOOKUP($G236,нормы!$A$14:$BG$57,44,0),"")</f>
        <v/>
      </c>
      <c r="BE236" s="199" t="str">
        <f>IFERROR(W236/VLOOKUP($G236,нормы!$A$14:$BI$57,45,0),"")</f>
        <v/>
      </c>
    </row>
    <row r="237" spans="1:57" s="1" customFormat="1" ht="20.25" customHeight="1" x14ac:dyDescent="0.4">
      <c r="A237" s="37" t="str">
        <f t="shared" si="98"/>
        <v>4Н</v>
      </c>
      <c r="B237" s="12">
        <f t="shared" si="101"/>
        <v>46026</v>
      </c>
      <c r="C237" s="97">
        <f t="shared" si="101"/>
        <v>0</v>
      </c>
      <c r="D237" s="97">
        <f t="shared" si="101"/>
        <v>2</v>
      </c>
      <c r="E237" s="54"/>
      <c r="F237" s="151" t="str">
        <f>IFERROR(VLOOKUP($G237,нормы!$A$14:$BC$57,2,0),"")</f>
        <v/>
      </c>
      <c r="G237" s="38"/>
      <c r="H237" s="54">
        <f t="shared" si="102"/>
        <v>0</v>
      </c>
      <c r="I237" s="89" t="s">
        <v>212</v>
      </c>
      <c r="J237" s="333"/>
      <c r="K237" s="30">
        <f>IFERROR(VLOOKUP($G237,[1]нормы!$A$21:$BC$151,15,0),"")</f>
        <v>0</v>
      </c>
      <c r="L237" s="31">
        <f>IFERROR(VLOOKUP($G237,[1]нормы!$A$21:$BC$151,17,0),"")</f>
        <v>0</v>
      </c>
      <c r="M237" s="306">
        <f>IFERROR(VLOOKUP($G237,[1]нормы!$A$21:$BC$151,27,0),"")</f>
        <v>0</v>
      </c>
      <c r="N237" s="307" t="str">
        <f>IFERROR(Y237/Y241*(1.1*J235*I240),"")</f>
        <v/>
      </c>
      <c r="O237" s="300">
        <f>IFERROR(VLOOKUP($G237,[1]нормы!$A$21:$BC$151,21,0),"")</f>
        <v>0</v>
      </c>
      <c r="P237" s="35">
        <f>IFERROR(VLOOKUP($G237,[1]нормы!$A$21:$BC$151,19,0),"")</f>
        <v>0</v>
      </c>
      <c r="Q237" s="35">
        <f>IFERROR(VLOOKUP($G237,[1]нормы!$A$21:$BC$151,23,0),"")</f>
        <v>0</v>
      </c>
      <c r="R237" s="231">
        <f>IFERROR(VLOOKUP($G237,[1]нормы!$A$21:$BC$151,29,0),"")</f>
        <v>0</v>
      </c>
      <c r="S237" s="35">
        <f>IFERROR(VLOOKUP($G237,[1]нормы!$A$21:$BC$151,31,0),"")</f>
        <v>0</v>
      </c>
      <c r="T237" s="32">
        <f>IFERROR(VLOOKUP($G237,[1]нормы!$A$21:$BC$151,25,0),"")</f>
        <v>0</v>
      </c>
      <c r="U237" s="233" t="str">
        <f>IFERROR(W237/(((100*Y237/Y241)*I240)/100),"")</f>
        <v/>
      </c>
      <c r="V237" s="234" t="str">
        <f>IFERROR(VLOOKUP($G237,нормы!$A$14:$BC$57,38,0),"")</f>
        <v/>
      </c>
      <c r="W237" s="136"/>
      <c r="X237" s="237"/>
      <c r="Y237" s="152" t="str">
        <f>IFERROR(VLOOKUP($G237,нормы!$A$14:$BC$57,42,0)*W237,"")</f>
        <v/>
      </c>
      <c r="Z237" s="163">
        <f>IFERROR(VLOOKUP($G237,нормы!$A$14:$BC$57,14,0)*W237/1000,0)</f>
        <v>0</v>
      </c>
      <c r="AA237" s="30"/>
      <c r="AB237" s="35"/>
      <c r="AC237" s="35"/>
      <c r="AD237" s="35"/>
      <c r="AE237" s="31"/>
      <c r="AF237" s="160"/>
      <c r="AG237" s="391"/>
      <c r="AH237" s="394"/>
      <c r="AI237" s="397"/>
      <c r="AJ237" s="408"/>
      <c r="AK237" s="360"/>
      <c r="AL237" s="360"/>
      <c r="AM237" s="360"/>
      <c r="AN237" s="289">
        <f>IFERROR(Y237*AJ235/Y241,)</f>
        <v>0</v>
      </c>
      <c r="AO237" s="197" t="str">
        <f>IFERROR(VLOOKUP($G237,нормы!$A$14:$BC$57,53,0)*$W237,"")</f>
        <v/>
      </c>
      <c r="AP237" s="290">
        <f>IFERROR(Y237*AI235/Y241,)</f>
        <v>0</v>
      </c>
      <c r="AQ237" s="197" t="str">
        <f>IFERROR(VLOOKUP($G237,нормы!$A$14:$BC$57,54,0)*$W237,"")</f>
        <v/>
      </c>
      <c r="AR237" s="290">
        <f>IFERROR(AS237/SUM(AS235:AS240)*AL235,0)</f>
        <v>0</v>
      </c>
      <c r="AS237" s="197" t="str">
        <f>IFERROR(VLOOKUP($G237,нормы!$A$14:$BC$57,55,0)*W237,"")</f>
        <v/>
      </c>
      <c r="AT237" s="290">
        <f>IFERROR(AU237/SUM(AU235:AU240)*AM235,0)</f>
        <v>0</v>
      </c>
      <c r="AU237" s="197" t="str">
        <f>IFERROR(VLOOKUP($G237,нормы!$A$14:$BI$57,56,0)*W237,"")</f>
        <v/>
      </c>
      <c r="AV237" s="290">
        <f>IFERROR(AW237/SUM(AW235:AW240)*AK235,0)</f>
        <v>0</v>
      </c>
      <c r="AW237" s="202" t="str">
        <f>IFERROR(VLOOKUP($G237,нормы!$A$14:$BI$57,57,0)*W237,"")</f>
        <v/>
      </c>
      <c r="AX237" s="30"/>
      <c r="AY237" s="203" t="str">
        <f>IFERROR(VLOOKUP($G237,нормы!$A$14:$BI$57,58,0)*W237,"")</f>
        <v/>
      </c>
      <c r="AZ237" s="205"/>
      <c r="BA237" s="200" t="str">
        <f>IFERROR(VLOOKUP($G237,нормы!$A$14:$BI$57,61,0)*$W237,"")</f>
        <v/>
      </c>
      <c r="BB237" s="30"/>
      <c r="BC237" s="203" t="str">
        <f>IFERROR(VLOOKUP($G237,нормы!$A$14:$BI$57,60,0)*W237,"")</f>
        <v/>
      </c>
      <c r="BD237" s="200" t="str">
        <f>IFERROR(VLOOKUP($G237,нормы!$A$14:$BG$57,44,0),"")</f>
        <v/>
      </c>
      <c r="BE237" s="199" t="str">
        <f>IFERROR(W237/VLOOKUP($G237,нормы!$A$14:$BI$57,45,0),"")</f>
        <v/>
      </c>
    </row>
    <row r="238" spans="1:57" s="1" customFormat="1" ht="20.25" customHeight="1" x14ac:dyDescent="0.4">
      <c r="A238" s="37" t="str">
        <f t="shared" si="98"/>
        <v>4Н</v>
      </c>
      <c r="B238" s="12">
        <f t="shared" si="101"/>
        <v>46026</v>
      </c>
      <c r="C238" s="97">
        <f t="shared" si="101"/>
        <v>0</v>
      </c>
      <c r="D238" s="97">
        <f t="shared" si="101"/>
        <v>2</v>
      </c>
      <c r="E238" s="54"/>
      <c r="F238" s="151" t="str">
        <f>IFERROR(VLOOKUP($G238,нормы!$A$14:$BC$57,2,0),"")</f>
        <v/>
      </c>
      <c r="G238" s="93"/>
      <c r="H238" s="54">
        <f t="shared" si="102"/>
        <v>0</v>
      </c>
      <c r="I238" s="55"/>
      <c r="J238" s="333"/>
      <c r="K238" s="30">
        <f>IFERROR(VLOOKUP($G238,[1]нормы!$A$21:$BC$151,15,0),"")</f>
        <v>0</v>
      </c>
      <c r="L238" s="31">
        <f>IFERROR(VLOOKUP($G238,[1]нормы!$A$21:$BC$151,17,0),"")</f>
        <v>0</v>
      </c>
      <c r="M238" s="306">
        <f>IFERROR(VLOOKUP($G238,[1]нормы!$A$21:$BC$151,27,0),"")</f>
        <v>0</v>
      </c>
      <c r="N238" s="307" t="str">
        <f>IFERROR(Y238/Y241*(1.1*J235*I243),"")</f>
        <v/>
      </c>
      <c r="O238" s="300">
        <f>IFERROR(VLOOKUP($G238,[1]нормы!$A$21:$BC$151,21,0),"")</f>
        <v>0</v>
      </c>
      <c r="P238" s="35">
        <f>IFERROR(VLOOKUP($G238,[1]нормы!$A$21:$BC$151,19,0),"")</f>
        <v>0</v>
      </c>
      <c r="Q238" s="35">
        <f>IFERROR(VLOOKUP($G238,[1]нормы!$A$21:$BC$151,23,0),"")</f>
        <v>0</v>
      </c>
      <c r="R238" s="231">
        <f>IFERROR(VLOOKUP($G238,[1]нормы!$A$21:$BC$151,29,0),"")</f>
        <v>0</v>
      </c>
      <c r="S238" s="35">
        <f>IFERROR(VLOOKUP($G238,[1]нормы!$A$21:$BC$151,31,0),"")</f>
        <v>0</v>
      </c>
      <c r="T238" s="32">
        <f>IFERROR(VLOOKUP($G238,[1]нормы!$A$21:$BC$151,25,0),"")</f>
        <v>0</v>
      </c>
      <c r="U238" s="233" t="str">
        <f>IFERROR(W238/(((100*Y238/Y241)*I240)/100),"")</f>
        <v/>
      </c>
      <c r="V238" s="234" t="str">
        <f>IFERROR(VLOOKUP($G238,нормы!$A$14:$BC$57,38,0),"")</f>
        <v/>
      </c>
      <c r="W238" s="136"/>
      <c r="X238" s="237"/>
      <c r="Y238" s="152" t="str">
        <f>IFERROR(VLOOKUP($G238,нормы!$A$14:$BC$57,42,0)*W238,"")</f>
        <v/>
      </c>
      <c r="Z238" s="163">
        <f>IFERROR(VLOOKUP($G238,нормы!$A$14:$BC$57,14,0)*W238/1000,0)</f>
        <v>0</v>
      </c>
      <c r="AA238" s="30"/>
      <c r="AB238" s="35"/>
      <c r="AC238" s="35"/>
      <c r="AD238" s="35"/>
      <c r="AE238" s="31"/>
      <c r="AF238" s="160"/>
      <c r="AG238" s="391"/>
      <c r="AH238" s="394"/>
      <c r="AI238" s="397"/>
      <c r="AJ238" s="408"/>
      <c r="AK238" s="360"/>
      <c r="AL238" s="360"/>
      <c r="AM238" s="360"/>
      <c r="AN238" s="289">
        <f>IFERROR(Y238*AJ235/Y241,)</f>
        <v>0</v>
      </c>
      <c r="AO238" s="197" t="str">
        <f>IFERROR(VLOOKUP($G238,нормы!$A$14:$BC$57,53,0)*$W238,"")</f>
        <v/>
      </c>
      <c r="AP238" s="290">
        <f>IFERROR(Y238*AI235/Y241,)</f>
        <v>0</v>
      </c>
      <c r="AQ238" s="197" t="str">
        <f>IFERROR(VLOOKUP($G238,нормы!$A$14:$BC$57,54,0)*$W238,"")</f>
        <v/>
      </c>
      <c r="AR238" s="290">
        <f>IFERROR(AS238/SUM(AS235:AS240)*AL235,0)</f>
        <v>0</v>
      </c>
      <c r="AS238" s="197" t="str">
        <f>IFERROR(VLOOKUP($G238,нормы!$A$14:$BC$57,55,0)*W238,"")</f>
        <v/>
      </c>
      <c r="AT238" s="290">
        <f>IFERROR(AU238/SUM(AU235:AU240)*AM235,0)</f>
        <v>0</v>
      </c>
      <c r="AU238" s="197" t="str">
        <f>IFERROR(VLOOKUP($G238,нормы!$A$14:$BI$57,56,0)*W238,"")</f>
        <v/>
      </c>
      <c r="AV238" s="290">
        <f>IFERROR(AW238/SUM(AW235:AW240)*AK235,0)</f>
        <v>0</v>
      </c>
      <c r="AW238" s="202" t="str">
        <f>IFERROR(VLOOKUP($G238,нормы!$A$14:$BI$57,57,0)*W238,"")</f>
        <v/>
      </c>
      <c r="AX238" s="30"/>
      <c r="AY238" s="203" t="str">
        <f>IFERROR(VLOOKUP($G238,нормы!$A$14:$BI$57,58,0)*W238,"")</f>
        <v/>
      </c>
      <c r="AZ238" s="205"/>
      <c r="BA238" s="200" t="str">
        <f>IFERROR(VLOOKUP($G238,нормы!$A$14:$BI$57,61,0)*$W238,"")</f>
        <v/>
      </c>
      <c r="BB238" s="30"/>
      <c r="BC238" s="203" t="str">
        <f>IFERROR(VLOOKUP($G238,нормы!$A$14:$BI$57,60,0)*W238,"")</f>
        <v/>
      </c>
      <c r="BD238" s="200" t="str">
        <f>IFERROR(VLOOKUP($G238,нормы!$A$14:$BG$57,44,0),"")</f>
        <v/>
      </c>
      <c r="BE238" s="199" t="str">
        <f>IFERROR(W238/VLOOKUP($G238,нормы!$A$14:$BI$57,45,0),"")</f>
        <v/>
      </c>
    </row>
    <row r="239" spans="1:57" s="1" customFormat="1" ht="20.25" customHeight="1" x14ac:dyDescent="0.4">
      <c r="A239" s="37" t="str">
        <f t="shared" si="98"/>
        <v>4Н</v>
      </c>
      <c r="B239" s="12">
        <f t="shared" si="101"/>
        <v>46026</v>
      </c>
      <c r="C239" s="97">
        <f t="shared" si="101"/>
        <v>0</v>
      </c>
      <c r="D239" s="97">
        <f t="shared" si="101"/>
        <v>2</v>
      </c>
      <c r="E239" s="54"/>
      <c r="F239" s="151" t="str">
        <f>IFERROR(VLOOKUP($G239,нормы!$A$14:$BC$57,2,0),"")</f>
        <v/>
      </c>
      <c r="G239" s="38"/>
      <c r="H239" s="54">
        <f t="shared" si="102"/>
        <v>0</v>
      </c>
      <c r="I239" s="89" t="s">
        <v>73</v>
      </c>
      <c r="J239" s="333"/>
      <c r="K239" s="30">
        <f>IFERROR(VLOOKUP($G239,[1]нормы!$A$21:$BC$151,15,0),"")</f>
        <v>0</v>
      </c>
      <c r="L239" s="31">
        <f>IFERROR(VLOOKUP($G239,[1]нормы!$A$21:$BC$151,17,0),"")</f>
        <v>0</v>
      </c>
      <c r="M239" s="306">
        <f>IFERROR(VLOOKUP($G239,[1]нормы!$A$21:$BC$151,27,0),"")</f>
        <v>0</v>
      </c>
      <c r="N239" s="307" t="str">
        <f>IFERROR(Y239/Y241*(1.1*J235*I244),"")</f>
        <v/>
      </c>
      <c r="O239" s="300">
        <f>IFERROR(VLOOKUP($G239,[1]нормы!$A$21:$BC$151,21,0),"")</f>
        <v>0</v>
      </c>
      <c r="P239" s="35">
        <f>IFERROR(VLOOKUP($G239,[1]нормы!$A$21:$BC$151,19,0),"")</f>
        <v>0</v>
      </c>
      <c r="Q239" s="35">
        <f>IFERROR(VLOOKUP($G239,[1]нормы!$A$21:$BC$151,23,0),"")</f>
        <v>0</v>
      </c>
      <c r="R239" s="231">
        <f>IFERROR(VLOOKUP($G239,[1]нормы!$A$21:$BC$151,29,0),"")</f>
        <v>0</v>
      </c>
      <c r="S239" s="35">
        <f>IFERROR(VLOOKUP($G239,[1]нормы!$A$21:$BC$151,31,0),"")</f>
        <v>0</v>
      </c>
      <c r="T239" s="32">
        <f>IFERROR(VLOOKUP($G239,[1]нормы!$A$21:$BC$151,25,0),"")</f>
        <v>0</v>
      </c>
      <c r="U239" s="233" t="str">
        <f>IFERROR(W239/(((100*Y239/Y241)*I240)/100),"")</f>
        <v/>
      </c>
      <c r="V239" s="234" t="str">
        <f>IFERROR(VLOOKUP($G239,нормы!$A$14:$BC$57,38,0),"")</f>
        <v/>
      </c>
      <c r="W239" s="136"/>
      <c r="X239" s="237"/>
      <c r="Y239" s="152" t="str">
        <f>IFERROR(VLOOKUP($G239,нормы!$A$14:$BC$57,42,0)*W239,"")</f>
        <v/>
      </c>
      <c r="Z239" s="163">
        <f>IFERROR(VLOOKUP($G239,нормы!$A$14:$BC$57,14,0)*W239/1000,0)</f>
        <v>0</v>
      </c>
      <c r="AA239" s="30"/>
      <c r="AB239" s="35"/>
      <c r="AC239" s="35"/>
      <c r="AD239" s="35"/>
      <c r="AE239" s="31"/>
      <c r="AF239" s="160"/>
      <c r="AG239" s="391"/>
      <c r="AH239" s="394"/>
      <c r="AI239" s="397"/>
      <c r="AJ239" s="408"/>
      <c r="AK239" s="360"/>
      <c r="AL239" s="360"/>
      <c r="AM239" s="360"/>
      <c r="AN239" s="289">
        <f>IFERROR(Y239*AJ235/Y241,)</f>
        <v>0</v>
      </c>
      <c r="AO239" s="197" t="str">
        <f>IFERROR(VLOOKUP($G239,нормы!$A$14:$BC$57,53,0)*$W239,"")</f>
        <v/>
      </c>
      <c r="AP239" s="290">
        <f>IFERROR(Y239*AI235/Y241,)</f>
        <v>0</v>
      </c>
      <c r="AQ239" s="197" t="str">
        <f>IFERROR(VLOOKUP($G239,нормы!$A$14:$BC$57,54,0)*$W239,"")</f>
        <v/>
      </c>
      <c r="AR239" s="290">
        <f>IFERROR(AS239/SUM(AS235:AS240)*AL235,0)</f>
        <v>0</v>
      </c>
      <c r="AS239" s="197" t="str">
        <f>IFERROR(VLOOKUP($G239,нормы!$A$14:$BC$57,55,0)*W239,"")</f>
        <v/>
      </c>
      <c r="AT239" s="290">
        <f>IFERROR(AU239/SUM(AU235:AU240)*AM235,0)</f>
        <v>0</v>
      </c>
      <c r="AU239" s="197" t="str">
        <f>IFERROR(VLOOKUP($G239,нормы!$A$14:$BI$57,56,0)*W239,"")</f>
        <v/>
      </c>
      <c r="AV239" s="290">
        <f>IFERROR(AW239/SUM(AW235:AW240)*AK235,0)</f>
        <v>0</v>
      </c>
      <c r="AW239" s="202" t="str">
        <f>IFERROR(VLOOKUP($G239,нормы!$A$14:$BI$57,57,0)*W239,"")</f>
        <v/>
      </c>
      <c r="AX239" s="30"/>
      <c r="AY239" s="203" t="str">
        <f>IFERROR(VLOOKUP($G239,нормы!$A$14:$BI$57,58,0)*W239,"")</f>
        <v/>
      </c>
      <c r="AZ239" s="205"/>
      <c r="BA239" s="200" t="str">
        <f>IFERROR(VLOOKUP($G239,нормы!$A$14:$BI$57,61,0)*$W239,"")</f>
        <v/>
      </c>
      <c r="BB239" s="30"/>
      <c r="BC239" s="203" t="str">
        <f>IFERROR(VLOOKUP($G239,нормы!$A$14:$BI$57,60,0)*W239,"")</f>
        <v/>
      </c>
      <c r="BD239" s="200" t="str">
        <f>IFERROR(VLOOKUP($G239,нормы!$A$14:$BG$57,44,0),"")</f>
        <v/>
      </c>
      <c r="BE239" s="199" t="str">
        <f>IFERROR(W239/VLOOKUP($G239,нормы!$A$14:$BI$57,45,0),"")</f>
        <v/>
      </c>
    </row>
    <row r="240" spans="1:57" s="1" customFormat="1" ht="21" customHeight="1" thickBot="1" x14ac:dyDescent="0.45">
      <c r="A240" s="37" t="str">
        <f t="shared" si="98"/>
        <v>4Н</v>
      </c>
      <c r="B240" s="12">
        <f t="shared" si="101"/>
        <v>46026</v>
      </c>
      <c r="C240" s="97">
        <f t="shared" si="101"/>
        <v>0</v>
      </c>
      <c r="D240" s="97">
        <f t="shared" si="101"/>
        <v>2</v>
      </c>
      <c r="E240" s="54"/>
      <c r="F240" s="151" t="str">
        <f>IFERROR(VLOOKUP($G240,нормы!$A$14:$BC$57,2,0),"")</f>
        <v/>
      </c>
      <c r="G240" s="93"/>
      <c r="H240" s="63">
        <f t="shared" si="102"/>
        <v>0</v>
      </c>
      <c r="I240" s="153">
        <f>I236+I238</f>
        <v>0</v>
      </c>
      <c r="J240" s="334"/>
      <c r="K240" s="30">
        <f>IFERROR(VLOOKUP($G240,[1]нормы!$A$21:$BC$151,15,0),"")</f>
        <v>0</v>
      </c>
      <c r="L240" s="31">
        <f>IFERROR(VLOOKUP($G240,[1]нормы!$A$21:$BC$151,17,0),"")</f>
        <v>0</v>
      </c>
      <c r="M240" s="308">
        <f>IFERROR(VLOOKUP($G240,[1]нормы!$A$21:$BC$151,27,0),"")</f>
        <v>0</v>
      </c>
      <c r="N240" s="309" t="str">
        <f>IFERROR(Y240/Y241*(1.1*J235*I245),"")</f>
        <v/>
      </c>
      <c r="O240" s="300">
        <f>IFERROR(VLOOKUP($G240,[1]нормы!$A$21:$BC$151,21,0),"")</f>
        <v>0</v>
      </c>
      <c r="P240" s="35">
        <f>IFERROR(VLOOKUP($G240,[1]нормы!$A$21:$BC$151,19,0),"")</f>
        <v>0</v>
      </c>
      <c r="Q240" s="35">
        <f>IFERROR(VLOOKUP($G240,[1]нормы!$A$21:$BC$151,23,0),"")</f>
        <v>0</v>
      </c>
      <c r="R240" s="231">
        <f>IFERROR(VLOOKUP($G240,[1]нормы!$A$21:$BC$151,29,0),"")</f>
        <v>0</v>
      </c>
      <c r="S240" s="35">
        <f>IFERROR(VLOOKUP($G240,[1]нормы!$A$21:$BC$151,31,0),"")</f>
        <v>0</v>
      </c>
      <c r="T240" s="32">
        <f>IFERROR(VLOOKUP($G240,[1]нормы!$A$21:$BC$151,25,0),"")</f>
        <v>0</v>
      </c>
      <c r="U240" s="235" t="str">
        <f>IFERROR(W240/(((100*Y240/Y241)*I240)/100),"")</f>
        <v/>
      </c>
      <c r="V240" s="234" t="str">
        <f>IFERROR(VLOOKUP($G240,нормы!$A$14:$BC$57,38,0),"")</f>
        <v/>
      </c>
      <c r="W240" s="154"/>
      <c r="X240" s="238"/>
      <c r="Y240" s="152" t="str">
        <f>IFERROR(VLOOKUP($G240,нормы!$A$14:$BC$57,42,0)*W240,"")</f>
        <v/>
      </c>
      <c r="Z240" s="163">
        <f>IFERROR(VLOOKUP($G240,нормы!$A$14:$BC$57,14,0)*W240/1000,0)</f>
        <v>0</v>
      </c>
      <c r="AA240" s="56"/>
      <c r="AB240" s="58"/>
      <c r="AC240" s="58"/>
      <c r="AD240" s="58"/>
      <c r="AE240" s="57"/>
      <c r="AF240" s="161"/>
      <c r="AG240" s="392"/>
      <c r="AH240" s="395"/>
      <c r="AI240" s="398"/>
      <c r="AJ240" s="409"/>
      <c r="AK240" s="361"/>
      <c r="AL240" s="361"/>
      <c r="AM240" s="361"/>
      <c r="AN240" s="291">
        <f>IFERROR(Y240*AJ235/Y241,)</f>
        <v>0</v>
      </c>
      <c r="AO240" s="197" t="str">
        <f>IFERROR(VLOOKUP($G240,нормы!$A$14:$BC$57,53,0)*$W240,"")</f>
        <v/>
      </c>
      <c r="AP240" s="292">
        <f>IFERROR(Y240*AI235/Y241,)</f>
        <v>0</v>
      </c>
      <c r="AQ240" s="197" t="str">
        <f>IFERROR(VLOOKUP($G240,нормы!$A$14:$BC$57,54,0)*$W240,"")</f>
        <v/>
      </c>
      <c r="AR240" s="290">
        <f>IFERROR(AS240/SUM(AS235:AS240)*AL235,0)</f>
        <v>0</v>
      </c>
      <c r="AS240" s="197" t="str">
        <f>IFERROR(VLOOKUP($G240,нормы!$A$14:$BC$57,55,0)*W240,"")</f>
        <v/>
      </c>
      <c r="AT240" s="292">
        <f>IFERROR(AU240/SUM(AU235:AU240)*AM235,0)</f>
        <v>0</v>
      </c>
      <c r="AU240" s="197" t="str">
        <f>IFERROR(VLOOKUP($G240,нормы!$A$14:$BI$57,56,0)*W240,"")</f>
        <v/>
      </c>
      <c r="AV240" s="292">
        <f>IFERROR(AW240/SUM(AW235:AW240)*AK235,0)</f>
        <v>0</v>
      </c>
      <c r="AW240" s="202" t="str">
        <f>IFERROR(VLOOKUP($G240,нормы!$A$14:$BI$57,57,0)*W240,"")</f>
        <v/>
      </c>
      <c r="AX240" s="56"/>
      <c r="AY240" s="203" t="str">
        <f>IFERROR(VLOOKUP($G240,нормы!$A$14:$BI$57,58,0)*W240,"")</f>
        <v/>
      </c>
      <c r="AZ240" s="206"/>
      <c r="BA240" s="200" t="str">
        <f>IFERROR(VLOOKUP($G240,нормы!$A$14:$BI$57,61,0)*$W240,"")</f>
        <v/>
      </c>
      <c r="BB240" s="56"/>
      <c r="BC240" s="203" t="str">
        <f>IFERROR(VLOOKUP($G240,нормы!$A$14:$BI$57,60,0)*W240,"")</f>
        <v/>
      </c>
      <c r="BD240" s="200" t="str">
        <f>IFERROR(VLOOKUP($G240,нормы!$A$14:$BG$57,44,0),"")</f>
        <v/>
      </c>
      <c r="BE240" s="199" t="str">
        <f>IFERROR(W240/VLOOKUP($G240,нормы!$A$14:$BI$57,45,0),"")</f>
        <v/>
      </c>
    </row>
    <row r="241" spans="1:57" s="1" customFormat="1" ht="29.4" customHeight="1" thickBot="1" x14ac:dyDescent="0.45">
      <c r="A241" s="37" t="str">
        <f t="shared" si="98"/>
        <v>4Н</v>
      </c>
      <c r="B241" s="59"/>
      <c r="C241" s="51"/>
      <c r="D241" s="51"/>
      <c r="E241" s="51"/>
      <c r="F241" s="51"/>
      <c r="G241" s="51"/>
      <c r="H241" s="51"/>
      <c r="I241" s="60"/>
      <c r="J241" s="60"/>
      <c r="K241" s="319" t="s">
        <v>213</v>
      </c>
      <c r="L241" s="316"/>
      <c r="M241" s="303" t="s">
        <v>213</v>
      </c>
      <c r="N241" s="317">
        <f>SUM(N235:N240)</f>
        <v>0</v>
      </c>
      <c r="O241" s="304" t="s">
        <v>217</v>
      </c>
      <c r="P241" s="318">
        <f>N241*8.937/1000</f>
        <v>0</v>
      </c>
      <c r="Q241" s="305" t="s">
        <v>215</v>
      </c>
      <c r="R241" s="61"/>
      <c r="S241" s="61"/>
      <c r="T241" s="61"/>
      <c r="U241" s="109"/>
      <c r="V241" s="109"/>
      <c r="W241" s="94"/>
      <c r="X241" s="155"/>
      <c r="Y241" s="96">
        <f>SUM(Y235:Y240)</f>
        <v>0</v>
      </c>
      <c r="Z241" s="164">
        <f>SUM(Z235:Z240)</f>
        <v>0</v>
      </c>
      <c r="AA241" s="207">
        <f>(AA227+AA228+AA229+AA230+AA231+AA232+AA233+AA235+AA236+AA237+AA238+AA239+AA240)-AG228</f>
        <v>1</v>
      </c>
      <c r="AB241" s="208">
        <f>(AB227+AB228+AB229+AB230+AB231+AB232+AB233+AB235+AB236+AB237+AB238+AB239+AB240)-AH228</f>
        <v>2</v>
      </c>
      <c r="AC241" s="208">
        <f>(AC227+AC228+AC229+AC230+AC231+AC232+AC233+AC235+AC236+AC237+AC238+AC239+AC240)-AG235</f>
        <v>3</v>
      </c>
      <c r="AD241" s="208">
        <f>(AD227+AD228+AD229+AD230+AD231+AD232+AD233+AD235+AD236+AD237+AD238+AD239+AD240)-AH235</f>
        <v>4</v>
      </c>
      <c r="AE241" s="208">
        <f>(AE227+AE228+AE229+AE230+AE231+AE232+AE233+AE235+AE236+AE237+AE238+AE239+AE240)-AI228</f>
        <v>5</v>
      </c>
      <c r="AF241" s="209">
        <f>(AF227+AF228+AF229+AF230+AF231+AF232+AF233+AF235+AF236+AF237+AF238+AF239+AF240)-AI235</f>
        <v>6</v>
      </c>
      <c r="AG241" s="62"/>
      <c r="AH241" s="62"/>
      <c r="AI241" s="62"/>
      <c r="AJ241" s="62"/>
      <c r="AK241" s="62"/>
      <c r="AL241" s="62"/>
      <c r="AM241" s="62"/>
      <c r="AN241" s="91">
        <f>SUM(AN235:AN240)</f>
        <v>0</v>
      </c>
      <c r="AO241" s="91">
        <f>SUM(AO235:AO240)</f>
        <v>0</v>
      </c>
      <c r="AP241" s="91"/>
      <c r="AQ241" s="91"/>
      <c r="AR241" s="91">
        <f>SUM(AR235:AR240)</f>
        <v>0</v>
      </c>
      <c r="AS241" s="91">
        <f t="shared" ref="AS241:AW241" si="103">SUM(AS235:AS240)</f>
        <v>0</v>
      </c>
      <c r="AT241" s="91">
        <f t="shared" si="103"/>
        <v>0</v>
      </c>
      <c r="AU241" s="91">
        <f t="shared" si="103"/>
        <v>0</v>
      </c>
      <c r="AV241" s="91">
        <f t="shared" si="103"/>
        <v>0</v>
      </c>
      <c r="AW241" s="91">
        <f t="shared" si="103"/>
        <v>0</v>
      </c>
      <c r="AX241" s="91">
        <f>SUM(AX235:AX240)</f>
        <v>0</v>
      </c>
      <c r="AY241" s="91">
        <f>SUM(AY235:AY240)</f>
        <v>0</v>
      </c>
      <c r="AZ241" s="91">
        <f>SUM(AZ235:AZ240)</f>
        <v>0</v>
      </c>
      <c r="BA241" s="91"/>
      <c r="BB241" s="91"/>
      <c r="BC241" s="91"/>
      <c r="BD241" s="91" t="str">
        <f>IFERROR(VLOOKUP($G241,нормы!$A$14:$BG$15,27,0),"")</f>
        <v/>
      </c>
      <c r="BE241" s="53" t="str">
        <f>IFERROR(W241/VLOOKUP($G241,нормы!$A$14:$BI$15,28,0),"")</f>
        <v/>
      </c>
    </row>
    <row r="242" spans="1:57" s="1" customFormat="1" ht="29.4" customHeight="1" thickBot="1" x14ac:dyDescent="0.5">
      <c r="A242" s="37" t="str">
        <f t="shared" si="98"/>
        <v>4Н</v>
      </c>
      <c r="B242" s="166" t="s">
        <v>130</v>
      </c>
      <c r="C242" s="167"/>
      <c r="D242" s="167"/>
      <c r="E242" s="167"/>
      <c r="F242" s="165"/>
      <c r="G242" s="167"/>
      <c r="H242" s="167"/>
      <c r="I242" s="168"/>
      <c r="J242" s="168"/>
      <c r="K242" s="168"/>
      <c r="L242" s="168"/>
      <c r="M242" s="168"/>
      <c r="N242" s="168"/>
      <c r="O242" s="167"/>
      <c r="P242" s="169"/>
      <c r="Q242" s="169"/>
      <c r="R242" s="169"/>
      <c r="S242" s="169"/>
      <c r="T242" s="169"/>
      <c r="U242" s="170"/>
      <c r="V242" s="170"/>
      <c r="W242" s="171"/>
      <c r="X242" s="171"/>
      <c r="Y242" s="172"/>
      <c r="Z242" s="172"/>
      <c r="AA242" s="201" t="s">
        <v>144</v>
      </c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64"/>
      <c r="AN242" s="167"/>
      <c r="AO242" s="167"/>
      <c r="AP242" s="167"/>
      <c r="AQ242" s="167"/>
      <c r="AR242" s="64"/>
      <c r="AS242" s="64"/>
      <c r="AT242" s="65"/>
      <c r="AU242" s="64"/>
      <c r="AV242" s="49"/>
      <c r="AW242" s="49"/>
      <c r="AX242" s="167"/>
      <c r="AY242" s="167"/>
      <c r="AZ242" s="167"/>
      <c r="BA242" s="167"/>
      <c r="BB242" s="167"/>
      <c r="BC242" s="167"/>
      <c r="BD242" s="66"/>
      <c r="BE242" s="66"/>
    </row>
    <row r="243" spans="1:57" s="1" customFormat="1" ht="23.25" customHeight="1" x14ac:dyDescent="0.4">
      <c r="A243" s="37" t="str">
        <f t="shared" si="98"/>
        <v>4Н</v>
      </c>
      <c r="B243" s="183"/>
      <c r="C243" s="100"/>
      <c r="D243" s="185"/>
      <c r="E243" s="186" t="s">
        <v>57</v>
      </c>
      <c r="F243" s="66" t="s">
        <v>87</v>
      </c>
      <c r="G243" s="66"/>
      <c r="H243" s="108" t="s">
        <v>131</v>
      </c>
      <c r="I243" s="101"/>
      <c r="J243" s="101"/>
      <c r="K243" s="101"/>
      <c r="L243" s="101"/>
      <c r="M243" s="101"/>
      <c r="N243" s="101"/>
      <c r="O243" s="67"/>
      <c r="P243" s="102"/>
      <c r="Q243" s="102"/>
      <c r="R243" s="102"/>
      <c r="S243" s="102"/>
      <c r="T243" s="102"/>
      <c r="U243" s="67"/>
      <c r="V243" s="67"/>
      <c r="W243" s="103"/>
      <c r="X243" s="187"/>
      <c r="Y243" s="68" t="s">
        <v>74</v>
      </c>
      <c r="Z243" s="69"/>
      <c r="AA243" s="90"/>
      <c r="AB243" s="100"/>
      <c r="AC243" s="100"/>
      <c r="AD243" s="186" t="s">
        <v>57</v>
      </c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190"/>
      <c r="AU243" s="66"/>
      <c r="AV243" s="165"/>
      <c r="AW243" s="293"/>
      <c r="AX243" s="66"/>
      <c r="AY243" s="66"/>
      <c r="AZ243" s="66"/>
      <c r="BA243" s="66"/>
      <c r="BB243" s="66"/>
      <c r="BC243" s="66"/>
      <c r="BD243" s="68" t="s">
        <v>74</v>
      </c>
      <c r="BE243" s="69"/>
    </row>
    <row r="244" spans="1:57" s="1" customFormat="1" ht="23.25" customHeight="1" thickBot="1" x14ac:dyDescent="0.45">
      <c r="A244" s="37" t="str">
        <f t="shared" si="98"/>
        <v>4Н</v>
      </c>
      <c r="B244" s="183"/>
      <c r="C244" s="41"/>
      <c r="D244" s="184"/>
      <c r="E244" s="50"/>
      <c r="F244" s="70"/>
      <c r="G244" s="70"/>
      <c r="H244" s="70"/>
      <c r="I244" s="104"/>
      <c r="J244" s="104"/>
      <c r="K244" s="104"/>
      <c r="L244" s="104"/>
      <c r="M244" s="104"/>
      <c r="N244" s="104"/>
      <c r="O244" s="71"/>
      <c r="P244" s="105"/>
      <c r="Q244" s="105"/>
      <c r="R244" s="105"/>
      <c r="S244" s="105"/>
      <c r="T244" s="105"/>
      <c r="U244" s="71"/>
      <c r="V244" s="71"/>
      <c r="W244" s="106"/>
      <c r="X244" s="188"/>
      <c r="Y244" s="72"/>
      <c r="Z244" s="73"/>
      <c r="AA244" s="90"/>
      <c r="AB244" s="41"/>
      <c r="AC244" s="41"/>
      <c r="AD244" s="50"/>
      <c r="AE244" s="47"/>
      <c r="AF244" s="47"/>
      <c r="AG244" s="47"/>
      <c r="AH244" s="47"/>
      <c r="AI244" s="47"/>
      <c r="AJ244" s="47"/>
      <c r="AK244" s="47"/>
      <c r="AL244" s="47"/>
      <c r="AM244" s="70"/>
      <c r="AN244" s="47"/>
      <c r="AO244" s="70"/>
      <c r="AP244" s="70"/>
      <c r="AQ244" s="70"/>
      <c r="AR244" s="70"/>
      <c r="AS244" s="70"/>
      <c r="AT244" s="191"/>
      <c r="AU244" s="70"/>
      <c r="AV244" s="192"/>
      <c r="AW244" s="294"/>
      <c r="AX244" s="70"/>
      <c r="AY244" s="70"/>
      <c r="AZ244" s="70"/>
      <c r="BA244" s="70"/>
      <c r="BB244" s="70"/>
      <c r="BC244" s="70"/>
      <c r="BD244" s="72"/>
      <c r="BE244" s="73"/>
    </row>
    <row r="245" spans="1:57" s="1" customFormat="1" ht="18" customHeight="1" x14ac:dyDescent="0.4">
      <c r="A245" s="37" t="str">
        <f t="shared" si="98"/>
        <v>4Н</v>
      </c>
      <c r="B245" s="183"/>
      <c r="C245" s="41"/>
      <c r="D245" s="184"/>
      <c r="E245" s="281">
        <f>B240</f>
        <v>46026</v>
      </c>
      <c r="F245" s="337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98">
        <v>1</v>
      </c>
      <c r="Y245" s="74">
        <v>1</v>
      </c>
      <c r="Z245" s="75">
        <f t="shared" ref="Z245:Z256" si="104">Y245-X245</f>
        <v>0</v>
      </c>
      <c r="AA245" s="189"/>
      <c r="AB245" s="41"/>
      <c r="AC245" s="184"/>
      <c r="AD245" s="210">
        <f>E245</f>
        <v>46026</v>
      </c>
      <c r="AE245" s="387"/>
      <c r="AF245" s="388"/>
      <c r="AG245" s="388"/>
      <c r="AH245" s="388"/>
      <c r="AI245" s="388"/>
      <c r="AJ245" s="388"/>
      <c r="AK245" s="388"/>
      <c r="AL245" s="388"/>
      <c r="AM245" s="388"/>
      <c r="AN245" s="388"/>
      <c r="AO245" s="388"/>
      <c r="AP245" s="388"/>
      <c r="AQ245" s="388"/>
      <c r="AR245" s="388"/>
      <c r="AS245" s="388"/>
      <c r="AT245" s="388"/>
      <c r="AU245" s="388"/>
      <c r="AV245" s="388"/>
      <c r="AW245" s="388"/>
      <c r="AX245" s="388"/>
      <c r="AY245" s="388"/>
      <c r="AZ245" s="388"/>
      <c r="BA245" s="388"/>
      <c r="BB245" s="389"/>
      <c r="BC245" s="98">
        <v>1</v>
      </c>
      <c r="BD245" s="74">
        <v>1</v>
      </c>
      <c r="BE245" s="75">
        <f t="shared" ref="BE245:BE256" si="105">BD245-BC245</f>
        <v>0</v>
      </c>
    </row>
    <row r="246" spans="1:57" s="1" customFormat="1" ht="18" customHeight="1" x14ac:dyDescent="0.4">
      <c r="A246" s="37" t="str">
        <f t="shared" si="98"/>
        <v>4Н</v>
      </c>
      <c r="B246" s="183"/>
      <c r="C246" s="41"/>
      <c r="D246" s="184"/>
      <c r="E246" s="282">
        <f>E245</f>
        <v>46026</v>
      </c>
      <c r="F246" s="335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  <c r="V246" s="336"/>
      <c r="W246" s="336"/>
      <c r="X246" s="98">
        <v>1</v>
      </c>
      <c r="Y246" s="74">
        <v>1</v>
      </c>
      <c r="Z246" s="75">
        <f t="shared" si="104"/>
        <v>0</v>
      </c>
      <c r="AA246" s="107">
        <f>AA245</f>
        <v>0</v>
      </c>
      <c r="AB246" s="41"/>
      <c r="AC246" s="184"/>
      <c r="AD246" s="212">
        <f>AD245</f>
        <v>46026</v>
      </c>
      <c r="AE246" s="387"/>
      <c r="AF246" s="388"/>
      <c r="AG246" s="388"/>
      <c r="AH246" s="388"/>
      <c r="AI246" s="388"/>
      <c r="AJ246" s="388"/>
      <c r="AK246" s="388"/>
      <c r="AL246" s="388"/>
      <c r="AM246" s="388"/>
      <c r="AN246" s="388"/>
      <c r="AO246" s="388"/>
      <c r="AP246" s="388"/>
      <c r="AQ246" s="388"/>
      <c r="AR246" s="388"/>
      <c r="AS246" s="388"/>
      <c r="AT246" s="388"/>
      <c r="AU246" s="388"/>
      <c r="AV246" s="388"/>
      <c r="AW246" s="388"/>
      <c r="AX246" s="388"/>
      <c r="AY246" s="388"/>
      <c r="AZ246" s="388"/>
      <c r="BA246" s="388"/>
      <c r="BB246" s="389"/>
      <c r="BC246" s="98">
        <v>1</v>
      </c>
      <c r="BD246" s="74">
        <v>1</v>
      </c>
      <c r="BE246" s="75">
        <f t="shared" si="105"/>
        <v>0</v>
      </c>
    </row>
    <row r="247" spans="1:57" s="1" customFormat="1" ht="18" customHeight="1" x14ac:dyDescent="0.4">
      <c r="A247" s="37" t="str">
        <f t="shared" si="98"/>
        <v>4Н</v>
      </c>
      <c r="B247" s="183"/>
      <c r="C247" s="41"/>
      <c r="D247" s="184"/>
      <c r="E247" s="282">
        <f t="shared" ref="E247:E256" si="106">E246</f>
        <v>46026</v>
      </c>
      <c r="F247" s="335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  <c r="V247" s="336"/>
      <c r="W247" s="336"/>
      <c r="X247" s="98">
        <v>1</v>
      </c>
      <c r="Y247" s="74">
        <v>1</v>
      </c>
      <c r="Z247" s="75">
        <f t="shared" si="104"/>
        <v>0</v>
      </c>
      <c r="AA247" s="107">
        <f>AA246</f>
        <v>0</v>
      </c>
      <c r="AB247" s="41"/>
      <c r="AC247" s="184"/>
      <c r="AD247" s="212">
        <f t="shared" ref="AD247:AD256" si="107">AD246</f>
        <v>46026</v>
      </c>
      <c r="AE247" s="387"/>
      <c r="AF247" s="388"/>
      <c r="AG247" s="388"/>
      <c r="AH247" s="388"/>
      <c r="AI247" s="388"/>
      <c r="AJ247" s="388"/>
      <c r="AK247" s="388"/>
      <c r="AL247" s="388"/>
      <c r="AM247" s="388"/>
      <c r="AN247" s="388"/>
      <c r="AO247" s="388"/>
      <c r="AP247" s="388"/>
      <c r="AQ247" s="388"/>
      <c r="AR247" s="388"/>
      <c r="AS247" s="388"/>
      <c r="AT247" s="388"/>
      <c r="AU247" s="388"/>
      <c r="AV247" s="388"/>
      <c r="AW247" s="388"/>
      <c r="AX247" s="388"/>
      <c r="AY247" s="388"/>
      <c r="AZ247" s="388"/>
      <c r="BA247" s="388"/>
      <c r="BB247" s="389"/>
      <c r="BC247" s="98">
        <v>1</v>
      </c>
      <c r="BD247" s="74">
        <v>1</v>
      </c>
      <c r="BE247" s="75">
        <f t="shared" si="105"/>
        <v>0</v>
      </c>
    </row>
    <row r="248" spans="1:57" s="1" customFormat="1" ht="18" customHeight="1" x14ac:dyDescent="0.4">
      <c r="A248" s="37" t="str">
        <f t="shared" si="98"/>
        <v>4Н</v>
      </c>
      <c r="B248" s="183"/>
      <c r="C248" s="41"/>
      <c r="D248" s="184"/>
      <c r="E248" s="282">
        <f t="shared" si="106"/>
        <v>46026</v>
      </c>
      <c r="F248" s="335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  <c r="W248" s="336"/>
      <c r="X248" s="98">
        <v>1</v>
      </c>
      <c r="Y248" s="74">
        <v>1</v>
      </c>
      <c r="Z248" s="75">
        <f t="shared" si="104"/>
        <v>0</v>
      </c>
      <c r="AA248" s="107">
        <f t="shared" ref="AA248:AA256" si="108">AA247</f>
        <v>0</v>
      </c>
      <c r="AB248" s="41"/>
      <c r="AC248" s="184"/>
      <c r="AD248" s="212">
        <f t="shared" si="107"/>
        <v>46026</v>
      </c>
      <c r="AE248" s="387"/>
      <c r="AF248" s="388"/>
      <c r="AG248" s="388"/>
      <c r="AH248" s="388"/>
      <c r="AI248" s="388"/>
      <c r="AJ248" s="388"/>
      <c r="AK248" s="388"/>
      <c r="AL248" s="388"/>
      <c r="AM248" s="388"/>
      <c r="AN248" s="388"/>
      <c r="AO248" s="388"/>
      <c r="AP248" s="388"/>
      <c r="AQ248" s="388"/>
      <c r="AR248" s="388"/>
      <c r="AS248" s="388"/>
      <c r="AT248" s="388"/>
      <c r="AU248" s="388"/>
      <c r="AV248" s="388"/>
      <c r="AW248" s="388"/>
      <c r="AX248" s="388"/>
      <c r="AY248" s="388"/>
      <c r="AZ248" s="388"/>
      <c r="BA248" s="388"/>
      <c r="BB248" s="389"/>
      <c r="BC248" s="98">
        <v>1</v>
      </c>
      <c r="BD248" s="74">
        <v>1</v>
      </c>
      <c r="BE248" s="75">
        <f t="shared" si="105"/>
        <v>0</v>
      </c>
    </row>
    <row r="249" spans="1:57" s="1" customFormat="1" ht="18" customHeight="1" x14ac:dyDescent="0.4">
      <c r="A249" s="37" t="str">
        <f t="shared" si="98"/>
        <v>4Н</v>
      </c>
      <c r="B249" s="183"/>
      <c r="C249" s="41"/>
      <c r="D249" s="184"/>
      <c r="E249" s="282">
        <f t="shared" si="106"/>
        <v>46026</v>
      </c>
      <c r="F249" s="335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98">
        <v>1</v>
      </c>
      <c r="Y249" s="74">
        <v>1</v>
      </c>
      <c r="Z249" s="75">
        <f t="shared" si="104"/>
        <v>0</v>
      </c>
      <c r="AA249" s="107">
        <f t="shared" si="108"/>
        <v>0</v>
      </c>
      <c r="AB249" s="41"/>
      <c r="AC249" s="184"/>
      <c r="AD249" s="212">
        <f t="shared" si="107"/>
        <v>46026</v>
      </c>
      <c r="AE249" s="387"/>
      <c r="AF249" s="388"/>
      <c r="AG249" s="388"/>
      <c r="AH249" s="388"/>
      <c r="AI249" s="388"/>
      <c r="AJ249" s="388"/>
      <c r="AK249" s="388"/>
      <c r="AL249" s="388"/>
      <c r="AM249" s="388"/>
      <c r="AN249" s="388"/>
      <c r="AO249" s="388"/>
      <c r="AP249" s="388"/>
      <c r="AQ249" s="388"/>
      <c r="AR249" s="388"/>
      <c r="AS249" s="388"/>
      <c r="AT249" s="388"/>
      <c r="AU249" s="388"/>
      <c r="AV249" s="388"/>
      <c r="AW249" s="388"/>
      <c r="AX249" s="388"/>
      <c r="AY249" s="388"/>
      <c r="AZ249" s="388"/>
      <c r="BA249" s="388"/>
      <c r="BB249" s="389"/>
      <c r="BC249" s="98">
        <v>1</v>
      </c>
      <c r="BD249" s="74">
        <v>1</v>
      </c>
      <c r="BE249" s="75">
        <f t="shared" si="105"/>
        <v>0</v>
      </c>
    </row>
    <row r="250" spans="1:57" s="1" customFormat="1" ht="18" customHeight="1" x14ac:dyDescent="0.4">
      <c r="A250" s="37" t="str">
        <f t="shared" si="98"/>
        <v>4Н</v>
      </c>
      <c r="B250" s="183"/>
      <c r="C250" s="41"/>
      <c r="D250" s="184"/>
      <c r="E250" s="282">
        <f t="shared" si="106"/>
        <v>46026</v>
      </c>
      <c r="F250" s="335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  <c r="V250" s="336"/>
      <c r="W250" s="336"/>
      <c r="X250" s="98">
        <v>1</v>
      </c>
      <c r="Y250" s="74">
        <v>1</v>
      </c>
      <c r="Z250" s="75">
        <f t="shared" si="104"/>
        <v>0</v>
      </c>
      <c r="AA250" s="107">
        <f t="shared" si="108"/>
        <v>0</v>
      </c>
      <c r="AB250" s="41"/>
      <c r="AC250" s="184"/>
      <c r="AD250" s="212">
        <f t="shared" si="107"/>
        <v>46026</v>
      </c>
      <c r="AE250" s="387"/>
      <c r="AF250" s="388"/>
      <c r="AG250" s="388"/>
      <c r="AH250" s="388"/>
      <c r="AI250" s="388"/>
      <c r="AJ250" s="388"/>
      <c r="AK250" s="388"/>
      <c r="AL250" s="388"/>
      <c r="AM250" s="388"/>
      <c r="AN250" s="388"/>
      <c r="AO250" s="388"/>
      <c r="AP250" s="388"/>
      <c r="AQ250" s="388"/>
      <c r="AR250" s="388"/>
      <c r="AS250" s="388"/>
      <c r="AT250" s="388"/>
      <c r="AU250" s="388"/>
      <c r="AV250" s="388"/>
      <c r="AW250" s="388"/>
      <c r="AX250" s="388"/>
      <c r="AY250" s="388"/>
      <c r="AZ250" s="388"/>
      <c r="BA250" s="388"/>
      <c r="BB250" s="389"/>
      <c r="BC250" s="98">
        <v>1</v>
      </c>
      <c r="BD250" s="74">
        <v>1</v>
      </c>
      <c r="BE250" s="75">
        <f t="shared" si="105"/>
        <v>0</v>
      </c>
    </row>
    <row r="251" spans="1:57" s="1" customFormat="1" ht="18" customHeight="1" x14ac:dyDescent="0.4">
      <c r="A251" s="37" t="str">
        <f t="shared" si="98"/>
        <v>4Н</v>
      </c>
      <c r="B251" s="183"/>
      <c r="C251" s="41"/>
      <c r="D251" s="184"/>
      <c r="E251" s="282">
        <f t="shared" si="106"/>
        <v>46026</v>
      </c>
      <c r="F251" s="335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  <c r="V251" s="336"/>
      <c r="W251" s="336"/>
      <c r="X251" s="98">
        <v>1</v>
      </c>
      <c r="Y251" s="74">
        <v>1</v>
      </c>
      <c r="Z251" s="75">
        <f t="shared" si="104"/>
        <v>0</v>
      </c>
      <c r="AA251" s="107">
        <f t="shared" si="108"/>
        <v>0</v>
      </c>
      <c r="AB251" s="41"/>
      <c r="AC251" s="184"/>
      <c r="AD251" s="212">
        <f t="shared" si="107"/>
        <v>46026</v>
      </c>
      <c r="AE251" s="387"/>
      <c r="AF251" s="388"/>
      <c r="AG251" s="388"/>
      <c r="AH251" s="388"/>
      <c r="AI251" s="388"/>
      <c r="AJ251" s="388"/>
      <c r="AK251" s="388"/>
      <c r="AL251" s="388"/>
      <c r="AM251" s="388"/>
      <c r="AN251" s="388"/>
      <c r="AO251" s="388"/>
      <c r="AP251" s="388"/>
      <c r="AQ251" s="388"/>
      <c r="AR251" s="388"/>
      <c r="AS251" s="388"/>
      <c r="AT251" s="388"/>
      <c r="AU251" s="388"/>
      <c r="AV251" s="388"/>
      <c r="AW251" s="388"/>
      <c r="AX251" s="388"/>
      <c r="AY251" s="388"/>
      <c r="AZ251" s="388"/>
      <c r="BA251" s="388"/>
      <c r="BB251" s="389"/>
      <c r="BC251" s="98">
        <v>1</v>
      </c>
      <c r="BD251" s="74">
        <v>1</v>
      </c>
      <c r="BE251" s="75">
        <f t="shared" si="105"/>
        <v>0</v>
      </c>
    </row>
    <row r="252" spans="1:57" s="1" customFormat="1" ht="18" customHeight="1" x14ac:dyDescent="0.4">
      <c r="A252" s="37" t="str">
        <f t="shared" si="98"/>
        <v>4Н</v>
      </c>
      <c r="B252" s="183"/>
      <c r="C252" s="41"/>
      <c r="D252" s="184"/>
      <c r="E252" s="282">
        <f t="shared" si="106"/>
        <v>46026</v>
      </c>
      <c r="F252" s="335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  <c r="V252" s="336"/>
      <c r="W252" s="336"/>
      <c r="X252" s="98">
        <v>1</v>
      </c>
      <c r="Y252" s="74">
        <v>1</v>
      </c>
      <c r="Z252" s="75">
        <f t="shared" si="104"/>
        <v>0</v>
      </c>
      <c r="AA252" s="107">
        <f t="shared" si="108"/>
        <v>0</v>
      </c>
      <c r="AB252" s="41"/>
      <c r="AC252" s="184"/>
      <c r="AD252" s="212">
        <f t="shared" si="107"/>
        <v>46026</v>
      </c>
      <c r="AE252" s="387"/>
      <c r="AF252" s="388"/>
      <c r="AG252" s="388"/>
      <c r="AH252" s="388"/>
      <c r="AI252" s="388"/>
      <c r="AJ252" s="388"/>
      <c r="AK252" s="388"/>
      <c r="AL252" s="388"/>
      <c r="AM252" s="388"/>
      <c r="AN252" s="388"/>
      <c r="AO252" s="388"/>
      <c r="AP252" s="388"/>
      <c r="AQ252" s="388"/>
      <c r="AR252" s="388"/>
      <c r="AS252" s="388"/>
      <c r="AT252" s="388"/>
      <c r="AU252" s="388"/>
      <c r="AV252" s="388"/>
      <c r="AW252" s="388"/>
      <c r="AX252" s="388"/>
      <c r="AY252" s="388"/>
      <c r="AZ252" s="388"/>
      <c r="BA252" s="388"/>
      <c r="BB252" s="389"/>
      <c r="BC252" s="98">
        <v>1</v>
      </c>
      <c r="BD252" s="74">
        <v>1</v>
      </c>
      <c r="BE252" s="75">
        <f t="shared" si="105"/>
        <v>0</v>
      </c>
    </row>
    <row r="253" spans="1:57" s="1" customFormat="1" ht="18" customHeight="1" x14ac:dyDescent="0.4">
      <c r="A253" s="37" t="str">
        <f t="shared" si="98"/>
        <v>4Н</v>
      </c>
      <c r="B253" s="183"/>
      <c r="C253" s="41"/>
      <c r="D253" s="184"/>
      <c r="E253" s="282">
        <f t="shared" si="106"/>
        <v>46026</v>
      </c>
      <c r="F253" s="335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  <c r="V253" s="336"/>
      <c r="W253" s="336"/>
      <c r="X253" s="98">
        <v>1</v>
      </c>
      <c r="Y253" s="74">
        <v>1</v>
      </c>
      <c r="Z253" s="75">
        <f t="shared" si="104"/>
        <v>0</v>
      </c>
      <c r="AA253" s="107">
        <f t="shared" si="108"/>
        <v>0</v>
      </c>
      <c r="AB253" s="41"/>
      <c r="AC253" s="184"/>
      <c r="AD253" s="212">
        <f t="shared" si="107"/>
        <v>46026</v>
      </c>
      <c r="AE253" s="387"/>
      <c r="AF253" s="388"/>
      <c r="AG253" s="388"/>
      <c r="AH253" s="388"/>
      <c r="AI253" s="388"/>
      <c r="AJ253" s="388"/>
      <c r="AK253" s="388"/>
      <c r="AL253" s="388"/>
      <c r="AM253" s="388"/>
      <c r="AN253" s="388"/>
      <c r="AO253" s="388"/>
      <c r="AP253" s="388"/>
      <c r="AQ253" s="388"/>
      <c r="AR253" s="388"/>
      <c r="AS253" s="388"/>
      <c r="AT253" s="388"/>
      <c r="AU253" s="388"/>
      <c r="AV253" s="388"/>
      <c r="AW253" s="388"/>
      <c r="AX253" s="388"/>
      <c r="AY253" s="388"/>
      <c r="AZ253" s="388"/>
      <c r="BA253" s="388"/>
      <c r="BB253" s="389"/>
      <c r="BC253" s="98">
        <v>1</v>
      </c>
      <c r="BD253" s="74">
        <v>1</v>
      </c>
      <c r="BE253" s="75">
        <f t="shared" si="105"/>
        <v>0</v>
      </c>
    </row>
    <row r="254" spans="1:57" s="1" customFormat="1" ht="18" customHeight="1" x14ac:dyDescent="0.4">
      <c r="A254" s="37" t="str">
        <f t="shared" si="98"/>
        <v>4Н</v>
      </c>
      <c r="B254" s="183"/>
      <c r="C254" s="41"/>
      <c r="D254" s="184"/>
      <c r="E254" s="282">
        <f t="shared" si="106"/>
        <v>46026</v>
      </c>
      <c r="F254" s="335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  <c r="V254" s="336"/>
      <c r="W254" s="336"/>
      <c r="X254" s="98">
        <v>1</v>
      </c>
      <c r="Y254" s="74">
        <v>1</v>
      </c>
      <c r="Z254" s="75">
        <f t="shared" si="104"/>
        <v>0</v>
      </c>
      <c r="AA254" s="107">
        <f t="shared" si="108"/>
        <v>0</v>
      </c>
      <c r="AB254" s="41"/>
      <c r="AC254" s="184"/>
      <c r="AD254" s="212">
        <f t="shared" si="107"/>
        <v>46026</v>
      </c>
      <c r="AE254" s="387"/>
      <c r="AF254" s="388"/>
      <c r="AG254" s="388"/>
      <c r="AH254" s="388"/>
      <c r="AI254" s="388"/>
      <c r="AJ254" s="388"/>
      <c r="AK254" s="388"/>
      <c r="AL254" s="388"/>
      <c r="AM254" s="388"/>
      <c r="AN254" s="388"/>
      <c r="AO254" s="388"/>
      <c r="AP254" s="388"/>
      <c r="AQ254" s="388"/>
      <c r="AR254" s="388"/>
      <c r="AS254" s="388"/>
      <c r="AT254" s="388"/>
      <c r="AU254" s="388"/>
      <c r="AV254" s="388"/>
      <c r="AW254" s="388"/>
      <c r="AX254" s="388"/>
      <c r="AY254" s="388"/>
      <c r="AZ254" s="388"/>
      <c r="BA254" s="388"/>
      <c r="BB254" s="389"/>
      <c r="BC254" s="98">
        <v>1</v>
      </c>
      <c r="BD254" s="74">
        <v>1</v>
      </c>
      <c r="BE254" s="75">
        <f t="shared" si="105"/>
        <v>0</v>
      </c>
    </row>
    <row r="255" spans="1:57" s="1" customFormat="1" ht="18" customHeight="1" x14ac:dyDescent="0.4">
      <c r="A255" s="37" t="str">
        <f t="shared" si="98"/>
        <v>4Н</v>
      </c>
      <c r="B255" s="183"/>
      <c r="C255" s="41"/>
      <c r="D255" s="184"/>
      <c r="E255" s="282">
        <f t="shared" si="106"/>
        <v>46026</v>
      </c>
      <c r="F255" s="335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  <c r="V255" s="336"/>
      <c r="W255" s="336"/>
      <c r="X255" s="98">
        <v>1</v>
      </c>
      <c r="Y255" s="74">
        <v>1</v>
      </c>
      <c r="Z255" s="75">
        <f t="shared" si="104"/>
        <v>0</v>
      </c>
      <c r="AA255" s="107">
        <f t="shared" si="108"/>
        <v>0</v>
      </c>
      <c r="AB255" s="41"/>
      <c r="AC255" s="184"/>
      <c r="AD255" s="212">
        <f t="shared" si="107"/>
        <v>46026</v>
      </c>
      <c r="AE255" s="387"/>
      <c r="AF255" s="388"/>
      <c r="AG255" s="388"/>
      <c r="AH255" s="388"/>
      <c r="AI255" s="388"/>
      <c r="AJ255" s="388"/>
      <c r="AK255" s="388"/>
      <c r="AL255" s="388"/>
      <c r="AM255" s="388"/>
      <c r="AN255" s="388"/>
      <c r="AO255" s="388"/>
      <c r="AP255" s="388"/>
      <c r="AQ255" s="388"/>
      <c r="AR255" s="388"/>
      <c r="AS255" s="388"/>
      <c r="AT255" s="388"/>
      <c r="AU255" s="388"/>
      <c r="AV255" s="388"/>
      <c r="AW255" s="388"/>
      <c r="AX255" s="388"/>
      <c r="AY255" s="388"/>
      <c r="AZ255" s="388"/>
      <c r="BA255" s="388"/>
      <c r="BB255" s="389"/>
      <c r="BC255" s="98">
        <v>1</v>
      </c>
      <c r="BD255" s="74">
        <v>1</v>
      </c>
      <c r="BE255" s="75">
        <f t="shared" si="105"/>
        <v>0</v>
      </c>
    </row>
    <row r="256" spans="1:57" s="1" customFormat="1" ht="18" customHeight="1" thickBot="1" x14ac:dyDescent="0.45">
      <c r="A256" s="37" t="str">
        <f t="shared" si="98"/>
        <v>4Н</v>
      </c>
      <c r="B256" s="183"/>
      <c r="C256" s="41"/>
      <c r="D256" s="184"/>
      <c r="E256" s="283">
        <f t="shared" si="106"/>
        <v>46026</v>
      </c>
      <c r="F256" s="339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99">
        <v>1</v>
      </c>
      <c r="Y256" s="76">
        <v>1</v>
      </c>
      <c r="Z256" s="77">
        <f t="shared" si="104"/>
        <v>0</v>
      </c>
      <c r="AA256" s="107">
        <f t="shared" si="108"/>
        <v>0</v>
      </c>
      <c r="AB256" s="41"/>
      <c r="AC256" s="184"/>
      <c r="AD256" s="211">
        <f t="shared" si="107"/>
        <v>46026</v>
      </c>
      <c r="AE256" s="410"/>
      <c r="AF256" s="411"/>
      <c r="AG256" s="411"/>
      <c r="AH256" s="411"/>
      <c r="AI256" s="411"/>
      <c r="AJ256" s="411"/>
      <c r="AK256" s="411"/>
      <c r="AL256" s="411"/>
      <c r="AM256" s="411"/>
      <c r="AN256" s="411"/>
      <c r="AO256" s="411"/>
      <c r="AP256" s="411"/>
      <c r="AQ256" s="411"/>
      <c r="AR256" s="411"/>
      <c r="AS256" s="411"/>
      <c r="AT256" s="411"/>
      <c r="AU256" s="411"/>
      <c r="AV256" s="411"/>
      <c r="AW256" s="411"/>
      <c r="AX256" s="411"/>
      <c r="AY256" s="411"/>
      <c r="AZ256" s="411"/>
      <c r="BA256" s="411"/>
      <c r="BB256" s="412"/>
      <c r="BC256" s="99">
        <v>1</v>
      </c>
      <c r="BD256" s="76">
        <v>1</v>
      </c>
      <c r="BE256" s="75">
        <f t="shared" si="105"/>
        <v>0</v>
      </c>
    </row>
    <row r="257" spans="1:57" s="1" customFormat="1" ht="23.25" customHeight="1" thickBot="1" x14ac:dyDescent="0.45">
      <c r="A257" s="37" t="str">
        <f t="shared" si="98"/>
        <v>4Н</v>
      </c>
      <c r="B257" s="193"/>
      <c r="C257" s="47"/>
      <c r="D257" s="47"/>
      <c r="E257" s="47"/>
      <c r="F257" s="78"/>
      <c r="G257" s="78"/>
      <c r="H257" s="78"/>
      <c r="I257" s="80"/>
      <c r="J257" s="80"/>
      <c r="K257" s="80"/>
      <c r="L257" s="80"/>
      <c r="M257" s="80"/>
      <c r="N257" s="80"/>
      <c r="O257" s="78"/>
      <c r="P257" s="81"/>
      <c r="Q257" s="81"/>
      <c r="R257" s="81"/>
      <c r="S257" s="81"/>
      <c r="T257" s="81"/>
      <c r="U257" s="82"/>
      <c r="V257" s="82"/>
      <c r="W257" s="86"/>
      <c r="X257" s="194"/>
      <c r="Y257" s="83"/>
      <c r="Z257" s="83"/>
      <c r="AA257" s="78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84"/>
      <c r="AN257" s="47"/>
      <c r="AO257" s="78"/>
      <c r="AP257" s="78"/>
      <c r="AQ257" s="78"/>
      <c r="AR257" s="84"/>
      <c r="AS257" s="78"/>
      <c r="AT257" s="85"/>
      <c r="AU257" s="78"/>
      <c r="AV257" s="83"/>
      <c r="AW257" s="83"/>
      <c r="AX257" s="78"/>
      <c r="AY257" s="78"/>
      <c r="AZ257" s="78"/>
      <c r="BA257" s="78"/>
      <c r="BB257" s="78"/>
      <c r="BC257" s="78"/>
      <c r="BD257" s="79"/>
      <c r="BE257" s="79"/>
    </row>
    <row r="258" spans="1:57" s="1" customFormat="1" ht="21.6" customHeight="1" thickBot="1" x14ac:dyDescent="0.45">
      <c r="A258" s="37" t="s">
        <v>154</v>
      </c>
      <c r="B258" s="59"/>
      <c r="C258" s="51"/>
      <c r="D258" s="51"/>
      <c r="E258" s="51"/>
      <c r="F258" s="158" t="s">
        <v>147</v>
      </c>
      <c r="G258" s="51"/>
      <c r="H258" s="51"/>
      <c r="I258" s="156"/>
      <c r="J258" s="156"/>
      <c r="K258" s="156"/>
      <c r="L258" s="156"/>
      <c r="M258" s="156"/>
      <c r="N258" s="156"/>
      <c r="O258" s="91"/>
      <c r="P258" s="52"/>
      <c r="Q258" s="52"/>
      <c r="R258" s="52"/>
      <c r="S258" s="52"/>
      <c r="T258" s="52"/>
      <c r="U258" s="157"/>
      <c r="V258" s="157"/>
      <c r="W258" s="94"/>
      <c r="X258" s="94"/>
      <c r="Y258" s="51"/>
      <c r="Z258" s="51"/>
      <c r="AA258" s="157">
        <f>AA241</f>
        <v>1</v>
      </c>
      <c r="AB258" s="157">
        <f t="shared" ref="AB258:AF258" si="109">AB241</f>
        <v>2</v>
      </c>
      <c r="AC258" s="157">
        <f t="shared" si="109"/>
        <v>3</v>
      </c>
      <c r="AD258" s="157">
        <f t="shared" si="109"/>
        <v>4</v>
      </c>
      <c r="AE258" s="157">
        <f t="shared" si="109"/>
        <v>5</v>
      </c>
      <c r="AF258" s="157">
        <f t="shared" si="109"/>
        <v>6</v>
      </c>
      <c r="AG258" s="162" t="s">
        <v>123</v>
      </c>
      <c r="AH258" s="162" t="s">
        <v>124</v>
      </c>
      <c r="AI258" s="162" t="s">
        <v>125</v>
      </c>
      <c r="AJ258" s="91" t="s">
        <v>126</v>
      </c>
      <c r="AK258" s="198" t="s">
        <v>136</v>
      </c>
      <c r="AL258" s="198" t="s">
        <v>137</v>
      </c>
      <c r="AM258" s="198" t="s">
        <v>138</v>
      </c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</row>
    <row r="259" spans="1:57" s="1" customFormat="1" ht="21.6" customHeight="1" x14ac:dyDescent="0.4">
      <c r="A259" s="37" t="str">
        <f>A258</f>
        <v>5Д</v>
      </c>
      <c r="B259" s="12">
        <f>B240+1</f>
        <v>46027</v>
      </c>
      <c r="C259" s="97"/>
      <c r="D259" s="97">
        <v>1</v>
      </c>
      <c r="E259" s="29"/>
      <c r="F259" s="151" t="str">
        <f>IFERROR(VLOOKUP($G259,нормы!$A$14:$BC$57,2,0),"")</f>
        <v/>
      </c>
      <c r="G259" s="93"/>
      <c r="H259" s="54">
        <f>IF(C259=1,"Кульков С.А.", IF(C259=2,"Чудаков А.А.",IF(C259=3,"Королев В.Н.",IF(C259=4,"Николашин М.П.",IF(C259=5," Кульков С.А.",IF(C259=6,"А.А. Чудаков",IF(C259=7,"В.Н. Королев",IF(C259=8,"М.П. Николашин",0))))))))</f>
        <v>0</v>
      </c>
      <c r="I259" s="88" t="s">
        <v>84</v>
      </c>
      <c r="J259" s="332"/>
      <c r="K259" s="30">
        <f>IFERROR(VLOOKUP($G259,[1]нормы!$A$21:$BC$151,15,0),"")</f>
        <v>0</v>
      </c>
      <c r="L259" s="31">
        <f>IFERROR(VLOOKUP($G259,[1]нормы!$A$21:$BC$151,17,0),"")</f>
        <v>0</v>
      </c>
      <c r="M259" s="310">
        <f>IFERROR(VLOOKUP($G259,[1]нормы!$A$21:$BC$151,27,0),"")</f>
        <v>0</v>
      </c>
      <c r="N259" s="311" t="str">
        <f>IFERROR(Y259/Y265*(1.1*J259*I264),"")</f>
        <v/>
      </c>
      <c r="O259" s="300">
        <f>IFERROR(VLOOKUP($G259,[1]нормы!$A$21:$BC$151,21,0),"")</f>
        <v>0</v>
      </c>
      <c r="P259" s="35">
        <f>IFERROR(VLOOKUP($G259,[1]нормы!$A$21:$BC$151,19,0),"")</f>
        <v>0</v>
      </c>
      <c r="Q259" s="35">
        <f>IFERROR(VLOOKUP($G259,[1]нормы!$A$21:$BC$151,23,0),"")</f>
        <v>0</v>
      </c>
      <c r="R259" s="231">
        <f>IFERROR(VLOOKUP($G259,[1]нормы!$A$21:$BC$151,29,0),"")</f>
        <v>0</v>
      </c>
      <c r="S259" s="35">
        <f>IFERROR(VLOOKUP($G259,[1]нормы!$A$21:$BC$151,31,0),"")</f>
        <v>0</v>
      </c>
      <c r="T259" s="32">
        <f>IFERROR(VLOOKUP($G259,[1]нормы!$A$21:$BC$151,25,0),"")</f>
        <v>0</v>
      </c>
      <c r="U259" s="232" t="str">
        <f>IFERROR(W259/(((100*Y259/Y265)*I264)/100),"")</f>
        <v/>
      </c>
      <c r="V259" s="234" t="str">
        <f>IFERROR(VLOOKUP($G259,нормы!$A$14:$BC$57,38,0),"")</f>
        <v/>
      </c>
      <c r="W259" s="136"/>
      <c r="X259" s="236"/>
      <c r="Y259" s="152" t="str">
        <f>IFERROR(VLOOKUP($G259,нормы!$A$14:$BC$57,42,0)*W259,"")</f>
        <v/>
      </c>
      <c r="Z259" s="163">
        <f>IFERROR(VLOOKUP($G259,нормы!$A$14:$BC$57,14,0)*W259/1000,0)</f>
        <v>0</v>
      </c>
      <c r="AA259" s="33"/>
      <c r="AB259" s="36"/>
      <c r="AC259" s="36"/>
      <c r="AD259" s="36"/>
      <c r="AE259" s="34"/>
      <c r="AF259" s="159"/>
      <c r="AG259" s="390"/>
      <c r="AH259" s="393"/>
      <c r="AI259" s="396"/>
      <c r="AJ259" s="407">
        <f>AG259+AH259</f>
        <v>0</v>
      </c>
      <c r="AK259" s="359"/>
      <c r="AL259" s="359"/>
      <c r="AM259" s="359"/>
      <c r="AN259" s="287">
        <f>IFERROR(Y259*AJ259/Y265,)</f>
        <v>0</v>
      </c>
      <c r="AO259" s="197" t="str">
        <f>IFERROR(VLOOKUP($G259,нормы!$A$14:$BC$57,53,0)*$W259,"")</f>
        <v/>
      </c>
      <c r="AP259" s="288">
        <f>IFERROR(Y259*AI259/Y265,)</f>
        <v>0</v>
      </c>
      <c r="AQ259" s="197" t="str">
        <f>IFERROR(VLOOKUP($G259,нормы!$A$14:$BC$57,54,0)*$W259,"")</f>
        <v/>
      </c>
      <c r="AR259" s="288">
        <f>IFERROR(AS259/SUM(AS259:AS264)*AL259,0)</f>
        <v>0</v>
      </c>
      <c r="AS259" s="197" t="str">
        <f>IFERROR(VLOOKUP($G259,нормы!$A$14:$BC$57,55,0)*W259,"")</f>
        <v/>
      </c>
      <c r="AT259" s="288">
        <f>IFERROR(AU259/SUM(AU259:AU264)*AM259,0)</f>
        <v>0</v>
      </c>
      <c r="AU259" s="197" t="str">
        <f>IFERROR(VLOOKUP($G259,нормы!$A$14:$BI$57,56,0)*W259,"")</f>
        <v/>
      </c>
      <c r="AV259" s="288">
        <f>IFERROR(AW259/SUM(AW259:AW264)*AK259,0)</f>
        <v>0</v>
      </c>
      <c r="AW259" s="202" t="str">
        <f>IFERROR(VLOOKUP($G259,нормы!$A$14:$BI$57,57,0)*W259,"")</f>
        <v/>
      </c>
      <c r="AX259" s="33"/>
      <c r="AY259" s="203" t="str">
        <f>IFERROR(VLOOKUP($G259,нормы!$A$14:$BI$57,58,0)*W259,"")</f>
        <v/>
      </c>
      <c r="AZ259" s="204"/>
      <c r="BA259" s="200" t="str">
        <f>IFERROR(VLOOKUP($G259,нормы!$A$14:$BI$57,61,0)*$W259,"")</f>
        <v/>
      </c>
      <c r="BB259" s="33"/>
      <c r="BC259" s="203" t="str">
        <f>IFERROR(VLOOKUP($G259,нормы!$A$14:$BI$57,60,0)*W259,"")</f>
        <v/>
      </c>
      <c r="BD259" s="200" t="str">
        <f>IFERROR(VLOOKUP($G259,нормы!$A$14:$BG$57,44,0),"")</f>
        <v/>
      </c>
      <c r="BE259" s="199" t="str">
        <f>IFERROR(W259/VLOOKUP($G259,нормы!$A$14:$BI$57,45,0),"")</f>
        <v/>
      </c>
    </row>
    <row r="260" spans="1:57" s="1" customFormat="1" ht="21.6" customHeight="1" x14ac:dyDescent="0.4">
      <c r="A260" s="37" t="str">
        <f t="shared" ref="A260:A288" si="110">A259</f>
        <v>5Д</v>
      </c>
      <c r="B260" s="12">
        <f t="shared" ref="B260:D264" si="111">B259</f>
        <v>46027</v>
      </c>
      <c r="C260" s="97">
        <f t="shared" si="111"/>
        <v>0</v>
      </c>
      <c r="D260" s="97">
        <f t="shared" si="111"/>
        <v>1</v>
      </c>
      <c r="E260" s="54"/>
      <c r="F260" s="151" t="str">
        <f>IFERROR(VLOOKUP($G260,нормы!$A$14:$BC$57,2,0),"")</f>
        <v/>
      </c>
      <c r="G260" s="93"/>
      <c r="H260" s="54">
        <f t="shared" ref="H260:H264" si="112">IF(C260=1,"Кульков С.А.", IF(C260=2,"Чудаков А.А.",IF(C260=3,"Королев В.Н.",IF(C260=4,"Николашин М.П.",IF(C260=5," Кульков С.А.",IF(C260=6,"А.А. Чудаков",IF(C260=7,"В.Н. Королев",IF(C260=8,"М.П. Николашин",0))))))))</f>
        <v>0</v>
      </c>
      <c r="I260" s="55"/>
      <c r="J260" s="333"/>
      <c r="K260" s="30">
        <f>IFERROR(VLOOKUP($G260,[1]нормы!$A$21:$BC$151,15,0),"")</f>
        <v>0</v>
      </c>
      <c r="L260" s="31">
        <f>IFERROR(VLOOKUP($G260,[1]нормы!$A$21:$BC$151,17,0),"")</f>
        <v>0</v>
      </c>
      <c r="M260" s="306">
        <f>IFERROR(VLOOKUP($G260,[1]нормы!$A$21:$BC$151,27,0),"")</f>
        <v>0</v>
      </c>
      <c r="N260" s="307" t="str">
        <f>IFERROR(Y260/Y265*(1.1*J259*I264),"")</f>
        <v/>
      </c>
      <c r="O260" s="300">
        <f>IFERROR(VLOOKUP($G260,[1]нормы!$A$21:$BC$151,21,0),"")</f>
        <v>0</v>
      </c>
      <c r="P260" s="35">
        <f>IFERROR(VLOOKUP($G260,[1]нормы!$A$21:$BC$151,19,0),"")</f>
        <v>0</v>
      </c>
      <c r="Q260" s="35">
        <f>IFERROR(VLOOKUP($G260,[1]нормы!$A$21:$BC$151,23,0),"")</f>
        <v>0</v>
      </c>
      <c r="R260" s="231">
        <f>IFERROR(VLOOKUP($G260,[1]нормы!$A$21:$BC$151,29,0),"")</f>
        <v>0</v>
      </c>
      <c r="S260" s="35">
        <f>IFERROR(VLOOKUP($G260,[1]нормы!$A$21:$BC$151,31,0),"")</f>
        <v>0</v>
      </c>
      <c r="T260" s="32">
        <f>IFERROR(VLOOKUP($G260,[1]нормы!$A$21:$BC$151,25,0),"")</f>
        <v>0</v>
      </c>
      <c r="U260" s="233" t="str">
        <f>IFERROR(W260/(((100*Y260/Y265)*I264)/100),"")</f>
        <v/>
      </c>
      <c r="V260" s="234" t="str">
        <f>IFERROR(VLOOKUP($G260,нормы!$A$14:$BC$57,38,0),"")</f>
        <v/>
      </c>
      <c r="W260" s="136"/>
      <c r="X260" s="237"/>
      <c r="Y260" s="152" t="str">
        <f>IFERROR(VLOOKUP($G260,нормы!$A$14:$BC$57,42,0)*W260,"")</f>
        <v/>
      </c>
      <c r="Z260" s="163">
        <f>IFERROR(VLOOKUP($G260,нормы!$A$14:$BC$57,14,0)*W260/1000,0)</f>
        <v>0</v>
      </c>
      <c r="AA260" s="142"/>
      <c r="AB260" s="35"/>
      <c r="AC260" s="35"/>
      <c r="AD260" s="35"/>
      <c r="AE260" s="31"/>
      <c r="AF260" s="160"/>
      <c r="AG260" s="391"/>
      <c r="AH260" s="394"/>
      <c r="AI260" s="397"/>
      <c r="AJ260" s="408"/>
      <c r="AK260" s="360"/>
      <c r="AL260" s="360"/>
      <c r="AM260" s="360"/>
      <c r="AN260" s="289">
        <f>IFERROR(Y260*AJ259/Y265,)</f>
        <v>0</v>
      </c>
      <c r="AO260" s="197" t="str">
        <f>IFERROR(VLOOKUP($G260,нормы!$A$14:$BC$57,53,0)*$W260,"")</f>
        <v/>
      </c>
      <c r="AP260" s="290">
        <f>IFERROR(Y260*AI259/Y265,)</f>
        <v>0</v>
      </c>
      <c r="AQ260" s="197" t="str">
        <f>IFERROR(VLOOKUP($G260,нормы!$A$14:$BC$57,54,0)*$W260,"")</f>
        <v/>
      </c>
      <c r="AR260" s="290">
        <f>IFERROR(AS260/SUM(AS259:AS264)*AL259,0)</f>
        <v>0</v>
      </c>
      <c r="AS260" s="197" t="str">
        <f>IFERROR(VLOOKUP($G260,нормы!$A$14:$BC$57,55,0)*W260,"")</f>
        <v/>
      </c>
      <c r="AT260" s="290">
        <f>IFERROR(AU260/SUM(AU259:AU264)*AM259,0)</f>
        <v>0</v>
      </c>
      <c r="AU260" s="197" t="str">
        <f>IFERROR(VLOOKUP($G260,нормы!$A$14:$BI$57,56,0)*W260,"")</f>
        <v/>
      </c>
      <c r="AV260" s="290">
        <f>IFERROR(AW260/SUM(AW259:AW264)*AK259,0)</f>
        <v>0</v>
      </c>
      <c r="AW260" s="202" t="str">
        <f>IFERROR(VLOOKUP($G260,нормы!$A$14:$BI$57,57,0)*W260,"")</f>
        <v/>
      </c>
      <c r="AX260" s="30"/>
      <c r="AY260" s="203" t="str">
        <f>IFERROR(VLOOKUP($G260,нормы!$A$14:$BI$57,58,0)*W260,"")</f>
        <v/>
      </c>
      <c r="AZ260" s="205"/>
      <c r="BA260" s="200" t="str">
        <f>IFERROR(VLOOKUP($G260,нормы!$A$14:$BI$57,61,0)*$W260,"")</f>
        <v/>
      </c>
      <c r="BB260" s="30"/>
      <c r="BC260" s="203" t="str">
        <f>IFERROR(VLOOKUP($G260,нормы!$A$14:$BI$57,60,0)*W260,"")</f>
        <v/>
      </c>
      <c r="BD260" s="200" t="str">
        <f>IFERROR(VLOOKUP($G260,нормы!$A$14:$BG$57,44,0),"")</f>
        <v/>
      </c>
      <c r="BE260" s="199" t="str">
        <f>IFERROR(W260/VLOOKUP($G260,нормы!$A$14:$BI$57,45,0),"")</f>
        <v/>
      </c>
    </row>
    <row r="261" spans="1:57" s="1" customFormat="1" ht="20.25" customHeight="1" x14ac:dyDescent="0.4">
      <c r="A261" s="37" t="str">
        <f t="shared" si="110"/>
        <v>5Д</v>
      </c>
      <c r="B261" s="12">
        <f t="shared" si="111"/>
        <v>46027</v>
      </c>
      <c r="C261" s="97">
        <f t="shared" si="111"/>
        <v>0</v>
      </c>
      <c r="D261" s="97">
        <f t="shared" si="111"/>
        <v>1</v>
      </c>
      <c r="E261" s="54"/>
      <c r="F261" s="151" t="str">
        <f>IFERROR(VLOOKUP($G261,нормы!$A$14:$BC$57,2,0),"")</f>
        <v/>
      </c>
      <c r="G261" s="38"/>
      <c r="H261" s="54">
        <f t="shared" si="112"/>
        <v>0</v>
      </c>
      <c r="I261" s="89" t="s">
        <v>85</v>
      </c>
      <c r="J261" s="333"/>
      <c r="K261" s="30">
        <f>IFERROR(VLOOKUP($G261,[1]нормы!$A$21:$BC$151,15,0),"")</f>
        <v>0</v>
      </c>
      <c r="L261" s="31">
        <f>IFERROR(VLOOKUP($G261,[1]нормы!$A$21:$BC$151,17,0),"")</f>
        <v>0</v>
      </c>
      <c r="M261" s="306">
        <f>IFERROR(VLOOKUP($G261,[1]нормы!$A$21:$BC$151,27,0),"")</f>
        <v>0</v>
      </c>
      <c r="N261" s="307" t="str">
        <f>IFERROR(Y261/Y265*(1.1*J259*I264),"")</f>
        <v/>
      </c>
      <c r="O261" s="300">
        <f>IFERROR(VLOOKUP($G261,[1]нормы!$A$21:$BC$151,21,0),"")</f>
        <v>0</v>
      </c>
      <c r="P261" s="35">
        <f>IFERROR(VLOOKUP($G261,[1]нормы!$A$21:$BC$151,19,0),"")</f>
        <v>0</v>
      </c>
      <c r="Q261" s="35">
        <f>IFERROR(VLOOKUP($G261,[1]нормы!$A$21:$BC$151,23,0),"")</f>
        <v>0</v>
      </c>
      <c r="R261" s="231">
        <f>IFERROR(VLOOKUP($G261,[1]нормы!$A$21:$BC$151,29,0),"")</f>
        <v>0</v>
      </c>
      <c r="S261" s="35">
        <f>IFERROR(VLOOKUP($G261,[1]нормы!$A$21:$BC$151,31,0),"")</f>
        <v>0</v>
      </c>
      <c r="T261" s="32">
        <f>IFERROR(VLOOKUP($G261,[1]нормы!$A$21:$BC$151,25,0),"")</f>
        <v>0</v>
      </c>
      <c r="U261" s="233" t="str">
        <f>IFERROR(W261/(((100*Y261/Y265)*I264)/100),"")</f>
        <v/>
      </c>
      <c r="V261" s="234" t="str">
        <f>IFERROR(VLOOKUP($G261,нормы!$A$14:$BC$57,38,0),"")</f>
        <v/>
      </c>
      <c r="W261" s="136"/>
      <c r="X261" s="237"/>
      <c r="Y261" s="152" t="str">
        <f>IFERROR(VLOOKUP($G261,нормы!$A$14:$BC$57,42,0)*W261,"")</f>
        <v/>
      </c>
      <c r="Z261" s="163">
        <f>IFERROR(VLOOKUP($G261,нормы!$A$14:$BC$57,14,0)*W261/1000,0)</f>
        <v>0</v>
      </c>
      <c r="AA261" s="30"/>
      <c r="AB261" s="35"/>
      <c r="AC261" s="35"/>
      <c r="AD261" s="35"/>
      <c r="AE261" s="31"/>
      <c r="AF261" s="160"/>
      <c r="AG261" s="391"/>
      <c r="AH261" s="394"/>
      <c r="AI261" s="397"/>
      <c r="AJ261" s="408"/>
      <c r="AK261" s="360"/>
      <c r="AL261" s="360"/>
      <c r="AM261" s="360"/>
      <c r="AN261" s="289">
        <f>IFERROR(Y261*AJ259/Y265,)</f>
        <v>0</v>
      </c>
      <c r="AO261" s="197" t="str">
        <f>IFERROR(VLOOKUP($G261,нормы!$A$14:$BC$57,53,0)*$W261,"")</f>
        <v/>
      </c>
      <c r="AP261" s="290">
        <f>IFERROR(Y261*AI259/Y265,)</f>
        <v>0</v>
      </c>
      <c r="AQ261" s="197" t="str">
        <f>IFERROR(VLOOKUP($G261,нормы!$A$14:$BC$57,54,0)*$W261,"")</f>
        <v/>
      </c>
      <c r="AR261" s="290">
        <f>IFERROR(AS261/SUM(AS259:AS264)*AL259,0)</f>
        <v>0</v>
      </c>
      <c r="AS261" s="197" t="str">
        <f>IFERROR(VLOOKUP($G261,нормы!$A$14:$BC$57,55,0)*W261,"")</f>
        <v/>
      </c>
      <c r="AT261" s="290">
        <f>IFERROR(AU261/SUM(AU259:AU264)*AM259,0)</f>
        <v>0</v>
      </c>
      <c r="AU261" s="197" t="str">
        <f>IFERROR(VLOOKUP($G261,нормы!$A$14:$BI$57,56,0)*W261,"")</f>
        <v/>
      </c>
      <c r="AV261" s="290">
        <f>IFERROR(AW261/SUM(AW259:AW264)*AK259,0)</f>
        <v>0</v>
      </c>
      <c r="AW261" s="202" t="str">
        <f>IFERROR(VLOOKUP($G261,нормы!$A$14:$BI$57,57,0)*W261,"")</f>
        <v/>
      </c>
      <c r="AX261" s="30"/>
      <c r="AY261" s="203" t="str">
        <f>IFERROR(VLOOKUP($G261,нормы!$A$14:$BI$57,58,0)*W261,"")</f>
        <v/>
      </c>
      <c r="AZ261" s="205"/>
      <c r="BA261" s="200" t="str">
        <f>IFERROR(VLOOKUP($G261,нормы!$A$14:$BI$57,61,0)*$W261,"")</f>
        <v/>
      </c>
      <c r="BB261" s="30"/>
      <c r="BC261" s="203" t="str">
        <f>IFERROR(VLOOKUP($G261,нормы!$A$14:$BI$57,60,0)*W261,"")</f>
        <v/>
      </c>
      <c r="BD261" s="200" t="str">
        <f>IFERROR(VLOOKUP($G261,нормы!$A$14:$BG$57,44,0),"")</f>
        <v/>
      </c>
      <c r="BE261" s="199" t="str">
        <f>IFERROR(W261/VLOOKUP($G261,нормы!$A$14:$BI$57,45,0),"")</f>
        <v/>
      </c>
    </row>
    <row r="262" spans="1:57" s="1" customFormat="1" ht="20.25" customHeight="1" x14ac:dyDescent="0.4">
      <c r="A262" s="37" t="str">
        <f t="shared" si="110"/>
        <v>5Д</v>
      </c>
      <c r="B262" s="12">
        <f t="shared" si="111"/>
        <v>46027</v>
      </c>
      <c r="C262" s="97">
        <f t="shared" si="111"/>
        <v>0</v>
      </c>
      <c r="D262" s="97">
        <f t="shared" si="111"/>
        <v>1</v>
      </c>
      <c r="E262" s="54"/>
      <c r="F262" s="151" t="str">
        <f>IFERROR(VLOOKUP($G262,нормы!$A$14:$BC$57,2,0),"")</f>
        <v/>
      </c>
      <c r="G262" s="93"/>
      <c r="H262" s="54">
        <f t="shared" si="112"/>
        <v>0</v>
      </c>
      <c r="I262" s="55"/>
      <c r="J262" s="333"/>
      <c r="K262" s="30">
        <f>IFERROR(VLOOKUP($G262,[1]нормы!$A$21:$BC$151,15,0),"")</f>
        <v>0</v>
      </c>
      <c r="L262" s="31">
        <f>IFERROR(VLOOKUP($G262,[1]нормы!$A$21:$BC$151,17,0),"")</f>
        <v>0</v>
      </c>
      <c r="M262" s="306">
        <f>IFERROR(VLOOKUP($G262,[1]нормы!$A$21:$BC$151,27,0),"")</f>
        <v>0</v>
      </c>
      <c r="N262" s="307" t="str">
        <f>IFERROR(Y262/Y265*(1.1*J259*I267),"")</f>
        <v/>
      </c>
      <c r="O262" s="300">
        <f>IFERROR(VLOOKUP($G262,[1]нормы!$A$21:$BC$151,21,0),"")</f>
        <v>0</v>
      </c>
      <c r="P262" s="35">
        <f>IFERROR(VLOOKUP($G262,[1]нормы!$A$21:$BC$151,19,0),"")</f>
        <v>0</v>
      </c>
      <c r="Q262" s="35">
        <f>IFERROR(VLOOKUP($G262,[1]нормы!$A$21:$BC$151,23,0),"")</f>
        <v>0</v>
      </c>
      <c r="R262" s="231">
        <f>IFERROR(VLOOKUP($G262,[1]нормы!$A$21:$BC$151,29,0),"")</f>
        <v>0</v>
      </c>
      <c r="S262" s="35">
        <f>IFERROR(VLOOKUP($G262,[1]нормы!$A$21:$BC$151,31,0),"")</f>
        <v>0</v>
      </c>
      <c r="T262" s="32">
        <f>IFERROR(VLOOKUP($G262,[1]нормы!$A$21:$BC$151,25,0),"")</f>
        <v>0</v>
      </c>
      <c r="U262" s="233" t="str">
        <f>IFERROR(W262/(((100*Y262/Y265)*I264)/100),"")</f>
        <v/>
      </c>
      <c r="V262" s="234" t="str">
        <f>IFERROR(VLOOKUP($G262,нормы!$A$14:$BC$57,38,0),"")</f>
        <v/>
      </c>
      <c r="W262" s="136"/>
      <c r="X262" s="237"/>
      <c r="Y262" s="152" t="str">
        <f>IFERROR(VLOOKUP($G262,нормы!$A$14:$BC$57,42,0)*W262,"")</f>
        <v/>
      </c>
      <c r="Z262" s="163">
        <f>IFERROR(VLOOKUP($G262,нормы!$A$14:$BC$57,14,0)*W262/1000,0)</f>
        <v>0</v>
      </c>
      <c r="AA262" s="30"/>
      <c r="AB262" s="35"/>
      <c r="AC262" s="35"/>
      <c r="AD262" s="35"/>
      <c r="AE262" s="31"/>
      <c r="AF262" s="160"/>
      <c r="AG262" s="391"/>
      <c r="AH262" s="394"/>
      <c r="AI262" s="397"/>
      <c r="AJ262" s="408"/>
      <c r="AK262" s="360"/>
      <c r="AL262" s="360"/>
      <c r="AM262" s="360"/>
      <c r="AN262" s="289">
        <f>IFERROR(Y262*AJ259/Y265,)</f>
        <v>0</v>
      </c>
      <c r="AO262" s="197" t="str">
        <f>IFERROR(VLOOKUP($G262,нормы!$A$14:$BC$57,53,0)*$W262,"")</f>
        <v/>
      </c>
      <c r="AP262" s="290">
        <f>IFERROR(Y262*AI259/Y265,)</f>
        <v>0</v>
      </c>
      <c r="AQ262" s="197" t="str">
        <f>IFERROR(VLOOKUP($G262,нормы!$A$14:$BC$57,54,0)*$W262,"")</f>
        <v/>
      </c>
      <c r="AR262" s="290">
        <f>IFERROR(AS262/SUM(AS259:AS264)*AL259,0)</f>
        <v>0</v>
      </c>
      <c r="AS262" s="197" t="str">
        <f>IFERROR(VLOOKUP($G262,нормы!$A$14:$BC$57,55,0)*W262,"")</f>
        <v/>
      </c>
      <c r="AT262" s="290">
        <f>IFERROR(AU262/SUM(AU259:AU264)*AM259,0)</f>
        <v>0</v>
      </c>
      <c r="AU262" s="197" t="str">
        <f>IFERROR(VLOOKUP($G262,нормы!$A$14:$BI$57,56,0)*W262,"")</f>
        <v/>
      </c>
      <c r="AV262" s="290">
        <f>IFERROR(AW262/SUM(AW259:AW264)*AK259,0)</f>
        <v>0</v>
      </c>
      <c r="AW262" s="202" t="str">
        <f>IFERROR(VLOOKUP($G262,нормы!$A$14:$BI$57,57,0)*W262,"")</f>
        <v/>
      </c>
      <c r="AX262" s="30"/>
      <c r="AY262" s="203" t="str">
        <f>IFERROR(VLOOKUP($G262,нормы!$A$14:$BI$57,58,0)*W262,"")</f>
        <v/>
      </c>
      <c r="AZ262" s="205"/>
      <c r="BA262" s="200" t="str">
        <f>IFERROR(VLOOKUP($G262,нормы!$A$14:$BI$57,61,0)*$W262,"")</f>
        <v/>
      </c>
      <c r="BB262" s="30"/>
      <c r="BC262" s="203" t="str">
        <f>IFERROR(VLOOKUP($G262,нормы!$A$14:$BI$57,60,0)*W262,"")</f>
        <v/>
      </c>
      <c r="BD262" s="200" t="str">
        <f>IFERROR(VLOOKUP($G262,нормы!$A$14:$BG$57,44,0),"")</f>
        <v/>
      </c>
      <c r="BE262" s="199" t="str">
        <f>IFERROR(W262/VLOOKUP($G262,нормы!$A$14:$BI$57,45,0),"")</f>
        <v/>
      </c>
    </row>
    <row r="263" spans="1:57" s="1" customFormat="1" ht="20.25" customHeight="1" x14ac:dyDescent="0.4">
      <c r="A263" s="37" t="str">
        <f t="shared" si="110"/>
        <v>5Д</v>
      </c>
      <c r="B263" s="12">
        <f t="shared" si="111"/>
        <v>46027</v>
      </c>
      <c r="C263" s="97">
        <f t="shared" si="111"/>
        <v>0</v>
      </c>
      <c r="D263" s="97">
        <f t="shared" si="111"/>
        <v>1</v>
      </c>
      <c r="E263" s="54"/>
      <c r="F263" s="151" t="str">
        <f>IFERROR(VLOOKUP($G263,нормы!$A$14:$BC$57,2,0),"")</f>
        <v/>
      </c>
      <c r="G263" s="38"/>
      <c r="H263" s="54">
        <f t="shared" si="112"/>
        <v>0</v>
      </c>
      <c r="I263" s="89" t="s">
        <v>73</v>
      </c>
      <c r="J263" s="333"/>
      <c r="K263" s="30">
        <f>IFERROR(VLOOKUP($G263,[1]нормы!$A$21:$BC$151,15,0),"")</f>
        <v>0</v>
      </c>
      <c r="L263" s="31">
        <f>IFERROR(VLOOKUP($G263,[1]нормы!$A$21:$BC$151,17,0),"")</f>
        <v>0</v>
      </c>
      <c r="M263" s="306">
        <f>IFERROR(VLOOKUP($G263,[1]нормы!$A$21:$BC$151,27,0),"")</f>
        <v>0</v>
      </c>
      <c r="N263" s="307" t="str">
        <f>IFERROR(Y263/Y265*(1.1*J259*I268),"")</f>
        <v/>
      </c>
      <c r="O263" s="300">
        <f>IFERROR(VLOOKUP($G263,[1]нормы!$A$21:$BC$151,21,0),"")</f>
        <v>0</v>
      </c>
      <c r="P263" s="35">
        <f>IFERROR(VLOOKUP($G263,[1]нормы!$A$21:$BC$151,19,0),"")</f>
        <v>0</v>
      </c>
      <c r="Q263" s="35">
        <f>IFERROR(VLOOKUP($G263,[1]нормы!$A$21:$BC$151,23,0),"")</f>
        <v>0</v>
      </c>
      <c r="R263" s="231">
        <f>IFERROR(VLOOKUP($G263,[1]нормы!$A$21:$BC$151,29,0),"")</f>
        <v>0</v>
      </c>
      <c r="S263" s="35">
        <f>IFERROR(VLOOKUP($G263,[1]нормы!$A$21:$BC$151,31,0),"")</f>
        <v>0</v>
      </c>
      <c r="T263" s="32">
        <f>IFERROR(VLOOKUP($G263,[1]нормы!$A$21:$BC$151,25,0),"")</f>
        <v>0</v>
      </c>
      <c r="U263" s="233" t="str">
        <f>IFERROR(W263/(((100*Y263/Y265)*I264)/100),"")</f>
        <v/>
      </c>
      <c r="V263" s="234" t="str">
        <f>IFERROR(VLOOKUP($G263,нормы!$A$14:$BC$57,38,0),"")</f>
        <v/>
      </c>
      <c r="W263" s="136"/>
      <c r="X263" s="237"/>
      <c r="Y263" s="152" t="str">
        <f>IFERROR(VLOOKUP($G263,нормы!$A$14:$BC$57,42,0)*W263,"")</f>
        <v/>
      </c>
      <c r="Z263" s="163">
        <f>IFERROR(VLOOKUP($G263,нормы!$A$14:$BC$57,14,0)*W263/1000,0)</f>
        <v>0</v>
      </c>
      <c r="AA263" s="30"/>
      <c r="AB263" s="35"/>
      <c r="AC263" s="35"/>
      <c r="AD263" s="35"/>
      <c r="AE263" s="31"/>
      <c r="AF263" s="160"/>
      <c r="AG263" s="391"/>
      <c r="AH263" s="394"/>
      <c r="AI263" s="397"/>
      <c r="AJ263" s="408"/>
      <c r="AK263" s="360"/>
      <c r="AL263" s="360"/>
      <c r="AM263" s="360"/>
      <c r="AN263" s="289">
        <f>IFERROR(Y263*AJ259/Y265,)</f>
        <v>0</v>
      </c>
      <c r="AO263" s="197" t="str">
        <f>IFERROR(VLOOKUP($G263,нормы!$A$14:$BC$57,53,0)*$W263,"")</f>
        <v/>
      </c>
      <c r="AP263" s="290">
        <f>IFERROR(Y263*AI259/Y265,)</f>
        <v>0</v>
      </c>
      <c r="AQ263" s="197" t="str">
        <f>IFERROR(VLOOKUP($G263,нормы!$A$14:$BC$57,54,0)*$W263,"")</f>
        <v/>
      </c>
      <c r="AR263" s="290">
        <f>IFERROR(AS263/SUM(AS259:AS264)*AL259,0)</f>
        <v>0</v>
      </c>
      <c r="AS263" s="197" t="str">
        <f>IFERROR(VLOOKUP($G263,нормы!$A$14:$BC$57,55,0)*W263,"")</f>
        <v/>
      </c>
      <c r="AT263" s="290">
        <f>IFERROR(AU263/SUM(AU259:AU264)*AM259,0)</f>
        <v>0</v>
      </c>
      <c r="AU263" s="197" t="str">
        <f>IFERROR(VLOOKUP($G263,нормы!$A$14:$BI$57,56,0)*W263,"")</f>
        <v/>
      </c>
      <c r="AV263" s="290">
        <f>IFERROR(AW263/SUM(AW259:AW264)*AK259,0)</f>
        <v>0</v>
      </c>
      <c r="AW263" s="202" t="str">
        <f>IFERROR(VLOOKUP($G263,нормы!$A$14:$BI$57,57,0)*W263,"")</f>
        <v/>
      </c>
      <c r="AX263" s="30"/>
      <c r="AY263" s="203" t="str">
        <f>IFERROR(VLOOKUP($G263,нормы!$A$14:$BI$57,58,0)*W263,"")</f>
        <v/>
      </c>
      <c r="AZ263" s="205"/>
      <c r="BA263" s="200" t="str">
        <f>IFERROR(VLOOKUP($G263,нормы!$A$14:$BI$57,61,0)*$W263,"")</f>
        <v/>
      </c>
      <c r="BB263" s="30"/>
      <c r="BC263" s="203" t="str">
        <f>IFERROR(VLOOKUP($G263,нормы!$A$14:$BI$57,60,0)*W263,"")</f>
        <v/>
      </c>
      <c r="BD263" s="200" t="str">
        <f>IFERROR(VLOOKUP($G263,нормы!$A$14:$BG$57,44,0),"")</f>
        <v/>
      </c>
      <c r="BE263" s="199" t="str">
        <f>IFERROR(W263/VLOOKUP($G263,нормы!$A$14:$BI$57,45,0),"")</f>
        <v/>
      </c>
    </row>
    <row r="264" spans="1:57" s="1" customFormat="1" ht="21" customHeight="1" thickBot="1" x14ac:dyDescent="0.45">
      <c r="A264" s="37" t="str">
        <f t="shared" si="110"/>
        <v>5Д</v>
      </c>
      <c r="B264" s="12">
        <f t="shared" si="111"/>
        <v>46027</v>
      </c>
      <c r="C264" s="97">
        <f t="shared" si="111"/>
        <v>0</v>
      </c>
      <c r="D264" s="97">
        <f t="shared" si="111"/>
        <v>1</v>
      </c>
      <c r="E264" s="54"/>
      <c r="F264" s="151" t="str">
        <f>IFERROR(VLOOKUP($G264,нормы!$A$14:$BC$57,2,0),"")</f>
        <v/>
      </c>
      <c r="G264" s="93"/>
      <c r="H264" s="63">
        <f t="shared" si="112"/>
        <v>0</v>
      </c>
      <c r="I264" s="153">
        <f>I260+I262</f>
        <v>0</v>
      </c>
      <c r="J264" s="334"/>
      <c r="K264" s="30">
        <f>IFERROR(VLOOKUP($G264,[1]нормы!$A$21:$BC$151,15,0),"")</f>
        <v>0</v>
      </c>
      <c r="L264" s="31">
        <f>IFERROR(VLOOKUP($G264,[1]нормы!$A$21:$BC$151,17,0),"")</f>
        <v>0</v>
      </c>
      <c r="M264" s="308">
        <f>IFERROR(VLOOKUP($G264,[1]нормы!$A$21:$BC$151,27,0),"")</f>
        <v>0</v>
      </c>
      <c r="N264" s="309" t="str">
        <f>IFERROR(Y264/Y265*(1.1*J259*I269),"")</f>
        <v/>
      </c>
      <c r="O264" s="300">
        <f>IFERROR(VLOOKUP($G264,[1]нормы!$A$21:$BC$151,21,0),"")</f>
        <v>0</v>
      </c>
      <c r="P264" s="35">
        <f>IFERROR(VLOOKUP($G264,[1]нормы!$A$21:$BC$151,19,0),"")</f>
        <v>0</v>
      </c>
      <c r="Q264" s="35">
        <f>IFERROR(VLOOKUP($G264,[1]нормы!$A$21:$BC$151,23,0),"")</f>
        <v>0</v>
      </c>
      <c r="R264" s="231">
        <f>IFERROR(VLOOKUP($G264,[1]нормы!$A$21:$BC$151,29,0),"")</f>
        <v>0</v>
      </c>
      <c r="S264" s="35">
        <f>IFERROR(VLOOKUP($G264,[1]нормы!$A$21:$BC$151,31,0),"")</f>
        <v>0</v>
      </c>
      <c r="T264" s="32">
        <f>IFERROR(VLOOKUP($G264,[1]нормы!$A$21:$BC$151,25,0),"")</f>
        <v>0</v>
      </c>
      <c r="U264" s="235" t="str">
        <f>IFERROR(W264/(((100*Y264/Y265)*I264)/100),"")</f>
        <v/>
      </c>
      <c r="V264" s="234" t="str">
        <f>IFERROR(VLOOKUP($G264,нормы!$A$14:$BC$57,38,0),"")</f>
        <v/>
      </c>
      <c r="W264" s="154"/>
      <c r="X264" s="238"/>
      <c r="Y264" s="152" t="str">
        <f>IFERROR(VLOOKUP($G264,нормы!$A$14:$BC$57,42,0)*W264,"")</f>
        <v/>
      </c>
      <c r="Z264" s="163">
        <f>IFERROR(VLOOKUP($G264,нормы!$A$14:$BC$57,14,0)*W264/1000,0)</f>
        <v>0</v>
      </c>
      <c r="AA264" s="56"/>
      <c r="AB264" s="58"/>
      <c r="AC264" s="58"/>
      <c r="AD264" s="58"/>
      <c r="AE264" s="57"/>
      <c r="AF264" s="161"/>
      <c r="AG264" s="392"/>
      <c r="AH264" s="395"/>
      <c r="AI264" s="398"/>
      <c r="AJ264" s="409"/>
      <c r="AK264" s="361"/>
      <c r="AL264" s="361"/>
      <c r="AM264" s="361"/>
      <c r="AN264" s="291">
        <f>IFERROR(Y264*AJ259/Y265,)</f>
        <v>0</v>
      </c>
      <c r="AO264" s="197" t="str">
        <f>IFERROR(VLOOKUP($G264,нормы!$A$14:$BC$57,53,0)*$W264,"")</f>
        <v/>
      </c>
      <c r="AP264" s="292">
        <f>IFERROR(Y264*AI259/Y265,)</f>
        <v>0</v>
      </c>
      <c r="AQ264" s="197" t="str">
        <f>IFERROR(VLOOKUP($G264,нормы!$A$14:$BC$57,54,0)*$W264,"")</f>
        <v/>
      </c>
      <c r="AR264" s="290">
        <f>IFERROR(AS264/SUM(AS259:AS264)*AL259,0)</f>
        <v>0</v>
      </c>
      <c r="AS264" s="197" t="str">
        <f>IFERROR(VLOOKUP($G264,нормы!$A$14:$BC$57,55,0)*W264,"")</f>
        <v/>
      </c>
      <c r="AT264" s="292">
        <f>IFERROR(AU264/SUM(AU259:AU264)*AM259,0)</f>
        <v>0</v>
      </c>
      <c r="AU264" s="197" t="str">
        <f>IFERROR(VLOOKUP($G264,нормы!$A$14:$BI$57,56,0)*W264,"")</f>
        <v/>
      </c>
      <c r="AV264" s="292">
        <f>IFERROR(AW264/SUM(AW259:AW264)*AK259,0)</f>
        <v>0</v>
      </c>
      <c r="AW264" s="202" t="str">
        <f>IFERROR(VLOOKUP($G264,нормы!$A$14:$BI$57,57,0)*W264,"")</f>
        <v/>
      </c>
      <c r="AX264" s="56"/>
      <c r="AY264" s="203" t="str">
        <f>IFERROR(VLOOKUP($G264,нормы!$A$14:$BI$57,58,0)*W264,"")</f>
        <v/>
      </c>
      <c r="AZ264" s="206"/>
      <c r="BA264" s="200" t="str">
        <f>IFERROR(VLOOKUP($G264,нормы!$A$14:$BI$57,61,0)*$W264,"")</f>
        <v/>
      </c>
      <c r="BB264" s="56"/>
      <c r="BC264" s="203" t="str">
        <f>IFERROR(VLOOKUP($G264,нормы!$A$14:$BI$57,60,0)*W264,"")</f>
        <v/>
      </c>
      <c r="BD264" s="200" t="str">
        <f>IFERROR(VLOOKUP($G264,нормы!$A$14:$BG$57,44,0),"")</f>
        <v/>
      </c>
      <c r="BE264" s="199" t="str">
        <f>IFERROR(W264/VLOOKUP($G264,нормы!$A$14:$BI$57,45,0),"")</f>
        <v/>
      </c>
    </row>
    <row r="265" spans="1:57" s="1" customFormat="1" ht="29.4" customHeight="1" thickBot="1" x14ac:dyDescent="0.45">
      <c r="A265" s="37" t="str">
        <f t="shared" si="110"/>
        <v>5Д</v>
      </c>
      <c r="B265" s="59"/>
      <c r="C265" s="51"/>
      <c r="D265" s="51"/>
      <c r="E265" s="51"/>
      <c r="F265" s="295" t="s">
        <v>148</v>
      </c>
      <c r="G265" s="51"/>
      <c r="H265" s="51"/>
      <c r="I265" s="60"/>
      <c r="J265" s="60"/>
      <c r="K265" s="319" t="s">
        <v>213</v>
      </c>
      <c r="L265" s="316"/>
      <c r="M265" s="303" t="s">
        <v>213</v>
      </c>
      <c r="N265" s="317">
        <f>SUM(N259:N264)</f>
        <v>0</v>
      </c>
      <c r="O265" s="304" t="s">
        <v>216</v>
      </c>
      <c r="P265" s="318">
        <f>N265*8.937/1000</f>
        <v>0</v>
      </c>
      <c r="Q265" s="305" t="s">
        <v>215</v>
      </c>
      <c r="R265" s="61"/>
      <c r="S265" s="61"/>
      <c r="T265" s="61"/>
      <c r="U265" s="109"/>
      <c r="V265" s="109"/>
      <c r="W265" s="94"/>
      <c r="X265" s="155"/>
      <c r="Y265" s="96">
        <f>SUM(Y259:Y264)</f>
        <v>0</v>
      </c>
      <c r="Z265" s="164">
        <f>SUM(Z259:Z264)</f>
        <v>0</v>
      </c>
      <c r="AA265" s="62"/>
      <c r="AB265" s="62"/>
      <c r="AC265" s="62"/>
      <c r="AD265" s="62"/>
      <c r="AE265" s="62"/>
      <c r="AF265" s="62"/>
      <c r="AG265" s="162" t="s">
        <v>140</v>
      </c>
      <c r="AH265" s="162" t="s">
        <v>141</v>
      </c>
      <c r="AI265" s="162" t="s">
        <v>142</v>
      </c>
      <c r="AJ265" s="91" t="s">
        <v>126</v>
      </c>
      <c r="AK265" s="198" t="s">
        <v>136</v>
      </c>
      <c r="AL265" s="198" t="s">
        <v>137</v>
      </c>
      <c r="AM265" s="198" t="s">
        <v>138</v>
      </c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53" t="str">
        <f>IFERROR(W265/VLOOKUP($G265,нормы!$A$14:$BI$15,28,0),"")</f>
        <v/>
      </c>
    </row>
    <row r="266" spans="1:57" s="1" customFormat="1" ht="21.6" customHeight="1" x14ac:dyDescent="0.4">
      <c r="A266" s="37" t="str">
        <f t="shared" si="110"/>
        <v>5Д</v>
      </c>
      <c r="B266" s="12">
        <f>B264</f>
        <v>46027</v>
      </c>
      <c r="C266" s="97"/>
      <c r="D266" s="97">
        <v>2</v>
      </c>
      <c r="E266" s="29"/>
      <c r="F266" s="151" t="str">
        <f>IFERROR(VLOOKUP($G266,нормы!$A$14:$BC$57,2,0),"")</f>
        <v/>
      </c>
      <c r="G266" s="93"/>
      <c r="H266" s="54">
        <f>IF(C266=1,"Кульков С.А.", IF(C266=2,"Чудаков А.А.",IF(C266=3,"Королев В.Н.",IF(C266=4,"Николашин М.П.",IF(C266=5," Кульков С.А.",IF(C266=6,"А.А. Чудаков",IF(C266=7,"В.Н. Королев",IF(C266=8,"М.П. Николашин",0))))))))</f>
        <v>0</v>
      </c>
      <c r="I266" s="88" t="s">
        <v>211</v>
      </c>
      <c r="J266" s="332"/>
      <c r="K266" s="30">
        <f>IFERROR(VLOOKUP($G266,[1]нормы!$A$21:$BC$151,15,0),"")</f>
        <v>0</v>
      </c>
      <c r="L266" s="31">
        <f>IFERROR(VLOOKUP($G266,[1]нормы!$A$21:$BC$151,17,0),"")</f>
        <v>0</v>
      </c>
      <c r="M266" s="310">
        <f>IFERROR(VLOOKUP($G266,[1]нормы!$A$21:$BC$151,27,0),"")</f>
        <v>0</v>
      </c>
      <c r="N266" s="311" t="str">
        <f>IFERROR(Y266/Y272*(1.1*J266*I271),"")</f>
        <v/>
      </c>
      <c r="O266" s="300">
        <f>IFERROR(VLOOKUP($G266,[1]нормы!$A$21:$BC$151,21,0),"")</f>
        <v>0</v>
      </c>
      <c r="P266" s="35">
        <f>IFERROR(VLOOKUP($G266,[1]нормы!$A$21:$BC$151,19,0),"")</f>
        <v>0</v>
      </c>
      <c r="Q266" s="35">
        <f>IFERROR(VLOOKUP($G266,[1]нормы!$A$21:$BC$151,23,0),"")</f>
        <v>0</v>
      </c>
      <c r="R266" s="231">
        <f>IFERROR(VLOOKUP($G266,[1]нормы!$A$21:$BC$151,29,0),"")</f>
        <v>0</v>
      </c>
      <c r="S266" s="35">
        <f>IFERROR(VLOOKUP($G266,[1]нормы!$A$21:$BC$151,31,0),"")</f>
        <v>0</v>
      </c>
      <c r="T266" s="32">
        <f>IFERROR(VLOOKUP($G266,[1]нормы!$A$21:$BC$151,25,0),"")</f>
        <v>0</v>
      </c>
      <c r="U266" s="232" t="str">
        <f>IFERROR(W266/(((100*Y266/Y272)*I271)/100),"")</f>
        <v/>
      </c>
      <c r="V266" s="234" t="str">
        <f>IFERROR(VLOOKUP($G266,нормы!$A$14:$BC$57,38,0),"")</f>
        <v/>
      </c>
      <c r="W266" s="136"/>
      <c r="X266" s="236"/>
      <c r="Y266" s="152" t="str">
        <f>IFERROR(VLOOKUP($G266,нормы!$A$14:$BC$57,42,0)*W266,"")</f>
        <v/>
      </c>
      <c r="Z266" s="163">
        <f>IFERROR(VLOOKUP($G266,нормы!$A$14:$BC$57,14,0)*W266/1000,0)</f>
        <v>0</v>
      </c>
      <c r="AA266" s="33"/>
      <c r="AB266" s="36"/>
      <c r="AC266" s="36"/>
      <c r="AD266" s="36"/>
      <c r="AE266" s="34"/>
      <c r="AF266" s="159"/>
      <c r="AG266" s="390"/>
      <c r="AH266" s="393"/>
      <c r="AI266" s="396"/>
      <c r="AJ266" s="407">
        <f>AG266+AH266</f>
        <v>0</v>
      </c>
      <c r="AK266" s="359"/>
      <c r="AL266" s="359"/>
      <c r="AM266" s="359"/>
      <c r="AN266" s="287">
        <f>IFERROR(Y266*AJ266/Y272,)</f>
        <v>0</v>
      </c>
      <c r="AO266" s="197" t="str">
        <f>IFERROR(VLOOKUP($G266,нормы!$A$14:$BC$57,53,0)*$W266,"")</f>
        <v/>
      </c>
      <c r="AP266" s="288">
        <f>IFERROR(Y266*AI266/Y272,)</f>
        <v>0</v>
      </c>
      <c r="AQ266" s="197" t="str">
        <f>IFERROR(VLOOKUP($G266,нормы!$A$14:$BC$57,54,0)*$W266,"")</f>
        <v/>
      </c>
      <c r="AR266" s="288">
        <f>IFERROR(AS266/SUM(AS266:AS271)*AL266,0)</f>
        <v>0</v>
      </c>
      <c r="AS266" s="197" t="str">
        <f>IFERROR(VLOOKUP($G266,нормы!$A$14:$BC$57,55,0)*W266,"")</f>
        <v/>
      </c>
      <c r="AT266" s="288">
        <f>IFERROR(AU266/SUM(AU266:AU271)*AM266,0)</f>
        <v>0</v>
      </c>
      <c r="AU266" s="197" t="str">
        <f>IFERROR(VLOOKUP($G266,нормы!$A$14:$BI$57,56,0)*W266,"")</f>
        <v/>
      </c>
      <c r="AV266" s="288">
        <f>IFERROR(AW266/SUM(AW266:AW271)*AK266,0)</f>
        <v>0</v>
      </c>
      <c r="AW266" s="202" t="str">
        <f>IFERROR(VLOOKUP($G266,нормы!$A$14:$BI$57,57,0)*W266,"")</f>
        <v/>
      </c>
      <c r="AX266" s="33"/>
      <c r="AY266" s="203" t="str">
        <f>IFERROR(VLOOKUP($G266,нормы!$A$14:$BI$57,58,0)*W266,"")</f>
        <v/>
      </c>
      <c r="AZ266" s="204"/>
      <c r="BA266" s="200" t="str">
        <f>IFERROR(VLOOKUP($G266,нормы!$A$14:$BI$57,61,0)*$W266,"")</f>
        <v/>
      </c>
      <c r="BB266" s="33"/>
      <c r="BC266" s="203" t="str">
        <f>IFERROR(VLOOKUP($G266,нормы!$A$14:$BI$57,60,0)*W266,"")</f>
        <v/>
      </c>
      <c r="BD266" s="200" t="str">
        <f>IFERROR(VLOOKUP($G266,нормы!$A$14:$BG$57,44,0),"")</f>
        <v/>
      </c>
      <c r="BE266" s="199" t="str">
        <f>IFERROR(W266/VLOOKUP($G266,нормы!$A$14:$BI$57,45,0),"")</f>
        <v/>
      </c>
    </row>
    <row r="267" spans="1:57" s="1" customFormat="1" ht="21.6" customHeight="1" x14ac:dyDescent="0.4">
      <c r="A267" s="37" t="str">
        <f t="shared" si="110"/>
        <v>5Д</v>
      </c>
      <c r="B267" s="12">
        <f t="shared" ref="B267:D271" si="113">B266</f>
        <v>46027</v>
      </c>
      <c r="C267" s="97">
        <f t="shared" si="113"/>
        <v>0</v>
      </c>
      <c r="D267" s="97">
        <f t="shared" si="113"/>
        <v>2</v>
      </c>
      <c r="E267" s="54"/>
      <c r="F267" s="151" t="str">
        <f>IFERROR(VLOOKUP($G267,нормы!$A$14:$BC$57,2,0),"")</f>
        <v/>
      </c>
      <c r="G267" s="93"/>
      <c r="H267" s="54">
        <f t="shared" ref="H267:H271" si="114">IF(C267=1,"Кульков С.А.", IF(C267=2,"Чудаков А.А.",IF(C267=3,"Королев В.Н.",IF(C267=4,"Николашин М.П.",IF(C267=5," Кульков С.А.",IF(C267=6,"А.А. Чудаков",IF(C267=7,"В.Н. Королев",IF(C267=8,"М.П. Николашин",0))))))))</f>
        <v>0</v>
      </c>
      <c r="I267" s="55"/>
      <c r="J267" s="333"/>
      <c r="K267" s="30">
        <f>IFERROR(VLOOKUP($G267,[1]нормы!$A$21:$BC$151,15,0),"")</f>
        <v>0</v>
      </c>
      <c r="L267" s="31">
        <f>IFERROR(VLOOKUP($G267,[1]нормы!$A$21:$BC$151,17,0),"")</f>
        <v>0</v>
      </c>
      <c r="M267" s="306">
        <f>IFERROR(VLOOKUP($G267,[1]нормы!$A$21:$BC$151,27,0),"")</f>
        <v>0</v>
      </c>
      <c r="N267" s="307" t="str">
        <f>IFERROR(Y267/Y272*(1.1*J266*I271),"")</f>
        <v/>
      </c>
      <c r="O267" s="300">
        <f>IFERROR(VLOOKUP($G267,[1]нормы!$A$21:$BC$151,21,0),"")</f>
        <v>0</v>
      </c>
      <c r="P267" s="35">
        <f>IFERROR(VLOOKUP($G267,[1]нормы!$A$21:$BC$151,19,0),"")</f>
        <v>0</v>
      </c>
      <c r="Q267" s="35">
        <f>IFERROR(VLOOKUP($G267,[1]нормы!$A$21:$BC$151,23,0),"")</f>
        <v>0</v>
      </c>
      <c r="R267" s="231">
        <f>IFERROR(VLOOKUP($G267,[1]нормы!$A$21:$BC$151,29,0),"")</f>
        <v>0</v>
      </c>
      <c r="S267" s="35">
        <f>IFERROR(VLOOKUP($G267,[1]нормы!$A$21:$BC$151,31,0),"")</f>
        <v>0</v>
      </c>
      <c r="T267" s="32">
        <f>IFERROR(VLOOKUP($G267,[1]нормы!$A$21:$BC$151,25,0),"")</f>
        <v>0</v>
      </c>
      <c r="U267" s="233" t="str">
        <f>IFERROR(W267/(((100*Y267/Y272)*I271)/100),"")</f>
        <v/>
      </c>
      <c r="V267" s="234" t="str">
        <f>IFERROR(VLOOKUP($G267,нормы!$A$14:$BC$57,38,0),"")</f>
        <v/>
      </c>
      <c r="W267" s="136"/>
      <c r="X267" s="237"/>
      <c r="Y267" s="152" t="str">
        <f>IFERROR(VLOOKUP($G267,нормы!$A$14:$BC$57,42,0)*W267,"")</f>
        <v/>
      </c>
      <c r="Z267" s="163">
        <f>IFERROR(VLOOKUP($G267,нормы!$A$14:$BC$57,14,0)*W267/1000,0)</f>
        <v>0</v>
      </c>
      <c r="AA267" s="142"/>
      <c r="AB267" s="35"/>
      <c r="AC267" s="35"/>
      <c r="AD267" s="35"/>
      <c r="AE267" s="31"/>
      <c r="AF267" s="160"/>
      <c r="AG267" s="391"/>
      <c r="AH267" s="394"/>
      <c r="AI267" s="397"/>
      <c r="AJ267" s="408"/>
      <c r="AK267" s="360"/>
      <c r="AL267" s="360"/>
      <c r="AM267" s="360"/>
      <c r="AN267" s="289">
        <f>IFERROR(Y267*AJ266/Y272,)</f>
        <v>0</v>
      </c>
      <c r="AO267" s="197" t="str">
        <f>IFERROR(VLOOKUP($G267,нормы!$A$14:$BC$57,53,0)*$W267,"")</f>
        <v/>
      </c>
      <c r="AP267" s="290">
        <f>IFERROR(Y267*AI266/Y272,)</f>
        <v>0</v>
      </c>
      <c r="AQ267" s="197" t="str">
        <f>IFERROR(VLOOKUP($G267,нормы!$A$14:$BC$57,54,0)*$W267,"")</f>
        <v/>
      </c>
      <c r="AR267" s="290">
        <f>IFERROR(AS267/SUM(AS266:AS271)*AL266,0)</f>
        <v>0</v>
      </c>
      <c r="AS267" s="197" t="str">
        <f>IFERROR(VLOOKUP($G267,нормы!$A$14:$BC$57,55,0)*W267,"")</f>
        <v/>
      </c>
      <c r="AT267" s="290">
        <f>IFERROR(AU267/SUM(AU266:AU271)*AM266,0)</f>
        <v>0</v>
      </c>
      <c r="AU267" s="197" t="str">
        <f>IFERROR(VLOOKUP($G267,нормы!$A$14:$BI$57,56,0)*W267,"")</f>
        <v/>
      </c>
      <c r="AV267" s="290">
        <f>IFERROR(AW267/SUM(AW266:AW271)*AK266,0)</f>
        <v>0</v>
      </c>
      <c r="AW267" s="202" t="str">
        <f>IFERROR(VLOOKUP($G267,нормы!$A$14:$BI$57,57,0)*W267,"")</f>
        <v/>
      </c>
      <c r="AX267" s="30"/>
      <c r="AY267" s="203" t="str">
        <f>IFERROR(VLOOKUP($G267,нормы!$A$14:$BI$57,58,0)*W267,"")</f>
        <v/>
      </c>
      <c r="AZ267" s="205"/>
      <c r="BA267" s="200" t="str">
        <f>IFERROR(VLOOKUP($G267,нормы!$A$14:$BI$57,61,0)*$W267,"")</f>
        <v/>
      </c>
      <c r="BB267" s="30"/>
      <c r="BC267" s="203" t="str">
        <f>IFERROR(VLOOKUP($G267,нормы!$A$14:$BI$57,60,0)*W267,"")</f>
        <v/>
      </c>
      <c r="BD267" s="200" t="str">
        <f>IFERROR(VLOOKUP($G267,нормы!$A$14:$BG$57,44,0),"")</f>
        <v/>
      </c>
      <c r="BE267" s="199" t="str">
        <f>IFERROR(W267/VLOOKUP($G267,нормы!$A$14:$BI$57,45,0),"")</f>
        <v/>
      </c>
    </row>
    <row r="268" spans="1:57" s="1" customFormat="1" ht="20.25" customHeight="1" x14ac:dyDescent="0.4">
      <c r="A268" s="37" t="str">
        <f t="shared" si="110"/>
        <v>5Д</v>
      </c>
      <c r="B268" s="12">
        <f t="shared" si="113"/>
        <v>46027</v>
      </c>
      <c r="C268" s="97">
        <f t="shared" si="113"/>
        <v>0</v>
      </c>
      <c r="D268" s="97">
        <f t="shared" si="113"/>
        <v>2</v>
      </c>
      <c r="E268" s="54"/>
      <c r="F268" s="151" t="str">
        <f>IFERROR(VLOOKUP($G268,нормы!$A$14:$BC$57,2,0),"")</f>
        <v/>
      </c>
      <c r="G268" s="38"/>
      <c r="H268" s="54">
        <f t="shared" si="114"/>
        <v>0</v>
      </c>
      <c r="I268" s="89" t="s">
        <v>212</v>
      </c>
      <c r="J268" s="333"/>
      <c r="K268" s="30">
        <f>IFERROR(VLOOKUP($G268,[1]нормы!$A$21:$BC$151,15,0),"")</f>
        <v>0</v>
      </c>
      <c r="L268" s="31">
        <f>IFERROR(VLOOKUP($G268,[1]нормы!$A$21:$BC$151,17,0),"")</f>
        <v>0</v>
      </c>
      <c r="M268" s="306">
        <f>IFERROR(VLOOKUP($G268,[1]нормы!$A$21:$BC$151,27,0),"")</f>
        <v>0</v>
      </c>
      <c r="N268" s="307" t="str">
        <f>IFERROR(Y268/Y272*(1.1*J266*I271),"")</f>
        <v/>
      </c>
      <c r="O268" s="300">
        <f>IFERROR(VLOOKUP($G268,[1]нормы!$A$21:$BC$151,21,0),"")</f>
        <v>0</v>
      </c>
      <c r="P268" s="35">
        <f>IFERROR(VLOOKUP($G268,[1]нормы!$A$21:$BC$151,19,0),"")</f>
        <v>0</v>
      </c>
      <c r="Q268" s="35">
        <f>IFERROR(VLOOKUP($G268,[1]нормы!$A$21:$BC$151,23,0),"")</f>
        <v>0</v>
      </c>
      <c r="R268" s="231">
        <f>IFERROR(VLOOKUP($G268,[1]нормы!$A$21:$BC$151,29,0),"")</f>
        <v>0</v>
      </c>
      <c r="S268" s="35">
        <f>IFERROR(VLOOKUP($G268,[1]нормы!$A$21:$BC$151,31,0),"")</f>
        <v>0</v>
      </c>
      <c r="T268" s="32">
        <f>IFERROR(VLOOKUP($G268,[1]нормы!$A$21:$BC$151,25,0),"")</f>
        <v>0</v>
      </c>
      <c r="U268" s="233" t="str">
        <f>IFERROR(W268/(((100*Y268/Y272)*I271)/100),"")</f>
        <v/>
      </c>
      <c r="V268" s="234" t="str">
        <f>IFERROR(VLOOKUP($G268,нормы!$A$14:$BC$57,38,0),"")</f>
        <v/>
      </c>
      <c r="W268" s="136"/>
      <c r="X268" s="237"/>
      <c r="Y268" s="152" t="str">
        <f>IFERROR(VLOOKUP($G268,нормы!$A$14:$BC$57,42,0)*W268,"")</f>
        <v/>
      </c>
      <c r="Z268" s="163">
        <f>IFERROR(VLOOKUP($G268,нормы!$A$14:$BC$57,14,0)*W268/1000,0)</f>
        <v>0</v>
      </c>
      <c r="AA268" s="30"/>
      <c r="AB268" s="35"/>
      <c r="AC268" s="35"/>
      <c r="AD268" s="35"/>
      <c r="AE268" s="31"/>
      <c r="AF268" s="160"/>
      <c r="AG268" s="391"/>
      <c r="AH268" s="394"/>
      <c r="AI268" s="397"/>
      <c r="AJ268" s="408"/>
      <c r="AK268" s="360"/>
      <c r="AL268" s="360"/>
      <c r="AM268" s="360"/>
      <c r="AN268" s="289">
        <f>IFERROR(Y268*AJ266/Y272,)</f>
        <v>0</v>
      </c>
      <c r="AO268" s="197" t="str">
        <f>IFERROR(VLOOKUP($G268,нормы!$A$14:$BC$57,53,0)*$W268,"")</f>
        <v/>
      </c>
      <c r="AP268" s="290">
        <f>IFERROR(Y268*AI266/Y272,)</f>
        <v>0</v>
      </c>
      <c r="AQ268" s="197" t="str">
        <f>IFERROR(VLOOKUP($G268,нормы!$A$14:$BC$57,54,0)*$W268,"")</f>
        <v/>
      </c>
      <c r="AR268" s="290">
        <f>IFERROR(AS268/SUM(AS266:AS271)*AL266,0)</f>
        <v>0</v>
      </c>
      <c r="AS268" s="197" t="str">
        <f>IFERROR(VLOOKUP($G268,нормы!$A$14:$BC$57,55,0)*W268,"")</f>
        <v/>
      </c>
      <c r="AT268" s="290">
        <f>IFERROR(AU268/SUM(AU266:AU271)*AM266,0)</f>
        <v>0</v>
      </c>
      <c r="AU268" s="197" t="str">
        <f>IFERROR(VLOOKUP($G268,нормы!$A$14:$BI$57,56,0)*W268,"")</f>
        <v/>
      </c>
      <c r="AV268" s="290">
        <f>IFERROR(AW268/SUM(AW266:AW271)*AK266,0)</f>
        <v>0</v>
      </c>
      <c r="AW268" s="202" t="str">
        <f>IFERROR(VLOOKUP($G268,нормы!$A$14:$BI$57,57,0)*W268,"")</f>
        <v/>
      </c>
      <c r="AX268" s="30"/>
      <c r="AY268" s="203" t="str">
        <f>IFERROR(VLOOKUP($G268,нормы!$A$14:$BI$57,58,0)*W268,"")</f>
        <v/>
      </c>
      <c r="AZ268" s="205"/>
      <c r="BA268" s="200" t="str">
        <f>IFERROR(VLOOKUP($G268,нормы!$A$14:$BI$57,61,0)*$W268,"")</f>
        <v/>
      </c>
      <c r="BB268" s="30"/>
      <c r="BC268" s="203" t="str">
        <f>IFERROR(VLOOKUP($G268,нормы!$A$14:$BI$57,60,0)*W268,"")</f>
        <v/>
      </c>
      <c r="BD268" s="200" t="str">
        <f>IFERROR(VLOOKUP($G268,нормы!$A$14:$BG$57,44,0),"")</f>
        <v/>
      </c>
      <c r="BE268" s="199" t="str">
        <f>IFERROR(W268/VLOOKUP($G268,нормы!$A$14:$BI$57,45,0),"")</f>
        <v/>
      </c>
    </row>
    <row r="269" spans="1:57" s="1" customFormat="1" ht="20.25" customHeight="1" x14ac:dyDescent="0.4">
      <c r="A269" s="37" t="str">
        <f t="shared" si="110"/>
        <v>5Д</v>
      </c>
      <c r="B269" s="12">
        <f t="shared" si="113"/>
        <v>46027</v>
      </c>
      <c r="C269" s="97">
        <f t="shared" si="113"/>
        <v>0</v>
      </c>
      <c r="D269" s="97">
        <f t="shared" si="113"/>
        <v>2</v>
      </c>
      <c r="E269" s="54"/>
      <c r="F269" s="151" t="str">
        <f>IFERROR(VLOOKUP($G269,нормы!$A$14:$BC$57,2,0),"")</f>
        <v/>
      </c>
      <c r="G269" s="93"/>
      <c r="H269" s="54">
        <f t="shared" si="114"/>
        <v>0</v>
      </c>
      <c r="I269" s="55"/>
      <c r="J269" s="333"/>
      <c r="K269" s="30">
        <f>IFERROR(VLOOKUP($G269,[1]нормы!$A$21:$BC$151,15,0),"")</f>
        <v>0</v>
      </c>
      <c r="L269" s="31">
        <f>IFERROR(VLOOKUP($G269,[1]нормы!$A$21:$BC$151,17,0),"")</f>
        <v>0</v>
      </c>
      <c r="M269" s="306">
        <f>IFERROR(VLOOKUP($G269,[1]нормы!$A$21:$BC$151,27,0),"")</f>
        <v>0</v>
      </c>
      <c r="N269" s="307" t="str">
        <f>IFERROR(Y269/Y272*(1.1*J266*I274),"")</f>
        <v/>
      </c>
      <c r="O269" s="300">
        <f>IFERROR(VLOOKUP($G269,[1]нормы!$A$21:$BC$151,21,0),"")</f>
        <v>0</v>
      </c>
      <c r="P269" s="35">
        <f>IFERROR(VLOOKUP($G269,[1]нормы!$A$21:$BC$151,19,0),"")</f>
        <v>0</v>
      </c>
      <c r="Q269" s="35">
        <f>IFERROR(VLOOKUP($G269,[1]нормы!$A$21:$BC$151,23,0),"")</f>
        <v>0</v>
      </c>
      <c r="R269" s="231">
        <f>IFERROR(VLOOKUP($G269,[1]нормы!$A$21:$BC$151,29,0),"")</f>
        <v>0</v>
      </c>
      <c r="S269" s="35">
        <f>IFERROR(VLOOKUP($G269,[1]нормы!$A$21:$BC$151,31,0),"")</f>
        <v>0</v>
      </c>
      <c r="T269" s="32">
        <f>IFERROR(VLOOKUP($G269,[1]нормы!$A$21:$BC$151,25,0),"")</f>
        <v>0</v>
      </c>
      <c r="U269" s="233" t="str">
        <f>IFERROR(W269/(((100*Y269/Y272)*I271)/100),"")</f>
        <v/>
      </c>
      <c r="V269" s="234" t="str">
        <f>IFERROR(VLOOKUP($G269,нормы!$A$14:$BC$57,38,0),"")</f>
        <v/>
      </c>
      <c r="W269" s="136"/>
      <c r="X269" s="237"/>
      <c r="Y269" s="152" t="str">
        <f>IFERROR(VLOOKUP($G269,нормы!$A$14:$BC$57,42,0)*W269,"")</f>
        <v/>
      </c>
      <c r="Z269" s="163">
        <f>IFERROR(VLOOKUP($G269,нормы!$A$14:$BC$57,14,0)*W269/1000,0)</f>
        <v>0</v>
      </c>
      <c r="AA269" s="30"/>
      <c r="AB269" s="35"/>
      <c r="AC269" s="35"/>
      <c r="AD269" s="35"/>
      <c r="AE269" s="31"/>
      <c r="AF269" s="160"/>
      <c r="AG269" s="391"/>
      <c r="AH269" s="394"/>
      <c r="AI269" s="397"/>
      <c r="AJ269" s="408"/>
      <c r="AK269" s="360"/>
      <c r="AL269" s="360"/>
      <c r="AM269" s="360"/>
      <c r="AN269" s="289">
        <f>IFERROR(Y269*AJ266/Y272,)</f>
        <v>0</v>
      </c>
      <c r="AO269" s="197" t="str">
        <f>IFERROR(VLOOKUP($G269,нормы!$A$14:$BC$57,53,0)*$W269,"")</f>
        <v/>
      </c>
      <c r="AP269" s="290">
        <f>IFERROR(Y269*AI266/Y272,)</f>
        <v>0</v>
      </c>
      <c r="AQ269" s="197" t="str">
        <f>IFERROR(VLOOKUP($G269,нормы!$A$14:$BC$57,54,0)*$W269,"")</f>
        <v/>
      </c>
      <c r="AR269" s="290">
        <f>IFERROR(AS269/SUM(AS266:AS271)*AL266,0)</f>
        <v>0</v>
      </c>
      <c r="AS269" s="197" t="str">
        <f>IFERROR(VLOOKUP($G269,нормы!$A$14:$BC$57,55,0)*W269,"")</f>
        <v/>
      </c>
      <c r="AT269" s="290">
        <f>IFERROR(AU269/SUM(AU266:AU271)*AM266,0)</f>
        <v>0</v>
      </c>
      <c r="AU269" s="197" t="str">
        <f>IFERROR(VLOOKUP($G269,нормы!$A$14:$BI$57,56,0)*W269,"")</f>
        <v/>
      </c>
      <c r="AV269" s="290">
        <f>IFERROR(AW269/SUM(AW266:AW271)*AK266,0)</f>
        <v>0</v>
      </c>
      <c r="AW269" s="202" t="str">
        <f>IFERROR(VLOOKUP($G269,нормы!$A$14:$BI$57,57,0)*W269,"")</f>
        <v/>
      </c>
      <c r="AX269" s="30"/>
      <c r="AY269" s="203" t="str">
        <f>IFERROR(VLOOKUP($G269,нормы!$A$14:$BI$57,58,0)*W269,"")</f>
        <v/>
      </c>
      <c r="AZ269" s="205"/>
      <c r="BA269" s="200" t="str">
        <f>IFERROR(VLOOKUP($G269,нормы!$A$14:$BI$57,61,0)*$W269,"")</f>
        <v/>
      </c>
      <c r="BB269" s="30"/>
      <c r="BC269" s="203" t="str">
        <f>IFERROR(VLOOKUP($G269,нормы!$A$14:$BI$57,60,0)*W269,"")</f>
        <v/>
      </c>
      <c r="BD269" s="200" t="str">
        <f>IFERROR(VLOOKUP($G269,нормы!$A$14:$BG$57,44,0),"")</f>
        <v/>
      </c>
      <c r="BE269" s="199" t="str">
        <f>IFERROR(W269/VLOOKUP($G269,нормы!$A$14:$BI$57,45,0),"")</f>
        <v/>
      </c>
    </row>
    <row r="270" spans="1:57" s="1" customFormat="1" ht="20.25" customHeight="1" x14ac:dyDescent="0.4">
      <c r="A270" s="37" t="str">
        <f t="shared" si="110"/>
        <v>5Д</v>
      </c>
      <c r="B270" s="12">
        <f t="shared" si="113"/>
        <v>46027</v>
      </c>
      <c r="C270" s="97">
        <f t="shared" si="113"/>
        <v>0</v>
      </c>
      <c r="D270" s="97">
        <f t="shared" si="113"/>
        <v>2</v>
      </c>
      <c r="E270" s="54"/>
      <c r="F270" s="151" t="str">
        <f>IFERROR(VLOOKUP($G270,нормы!$A$14:$BC$57,2,0),"")</f>
        <v/>
      </c>
      <c r="G270" s="38"/>
      <c r="H270" s="54">
        <f t="shared" si="114"/>
        <v>0</v>
      </c>
      <c r="I270" s="89" t="s">
        <v>73</v>
      </c>
      <c r="J270" s="333"/>
      <c r="K270" s="30">
        <f>IFERROR(VLOOKUP($G270,[1]нормы!$A$21:$BC$151,15,0),"")</f>
        <v>0</v>
      </c>
      <c r="L270" s="31">
        <f>IFERROR(VLOOKUP($G270,[1]нормы!$A$21:$BC$151,17,0),"")</f>
        <v>0</v>
      </c>
      <c r="M270" s="306">
        <f>IFERROR(VLOOKUP($G270,[1]нормы!$A$21:$BC$151,27,0),"")</f>
        <v>0</v>
      </c>
      <c r="N270" s="307" t="str">
        <f>IFERROR(Y270/Y272*(1.1*J266*I275),"")</f>
        <v/>
      </c>
      <c r="O270" s="300">
        <f>IFERROR(VLOOKUP($G270,[1]нормы!$A$21:$BC$151,21,0),"")</f>
        <v>0</v>
      </c>
      <c r="P270" s="35">
        <f>IFERROR(VLOOKUP($G270,[1]нормы!$A$21:$BC$151,19,0),"")</f>
        <v>0</v>
      </c>
      <c r="Q270" s="35">
        <f>IFERROR(VLOOKUP($G270,[1]нормы!$A$21:$BC$151,23,0),"")</f>
        <v>0</v>
      </c>
      <c r="R270" s="231">
        <f>IFERROR(VLOOKUP($G270,[1]нормы!$A$21:$BC$151,29,0),"")</f>
        <v>0</v>
      </c>
      <c r="S270" s="35">
        <f>IFERROR(VLOOKUP($G270,[1]нормы!$A$21:$BC$151,31,0),"")</f>
        <v>0</v>
      </c>
      <c r="T270" s="32">
        <f>IFERROR(VLOOKUP($G270,[1]нормы!$A$21:$BC$151,25,0),"")</f>
        <v>0</v>
      </c>
      <c r="U270" s="233" t="str">
        <f>IFERROR(W270/(((100*Y270/Y272)*I271)/100),"")</f>
        <v/>
      </c>
      <c r="V270" s="234" t="str">
        <f>IFERROR(VLOOKUP($G270,нормы!$A$14:$BC$57,38,0),"")</f>
        <v/>
      </c>
      <c r="W270" s="136"/>
      <c r="X270" s="237"/>
      <c r="Y270" s="152" t="str">
        <f>IFERROR(VLOOKUP($G270,нормы!$A$14:$BC$57,42,0)*W270,"")</f>
        <v/>
      </c>
      <c r="Z270" s="163">
        <f>IFERROR(VLOOKUP($G270,нормы!$A$14:$BC$57,14,0)*W270/1000,0)</f>
        <v>0</v>
      </c>
      <c r="AA270" s="30"/>
      <c r="AB270" s="35"/>
      <c r="AC270" s="35"/>
      <c r="AD270" s="35"/>
      <c r="AE270" s="31"/>
      <c r="AF270" s="160"/>
      <c r="AG270" s="391"/>
      <c r="AH270" s="394"/>
      <c r="AI270" s="397"/>
      <c r="AJ270" s="408"/>
      <c r="AK270" s="360"/>
      <c r="AL270" s="360"/>
      <c r="AM270" s="360"/>
      <c r="AN270" s="289">
        <f>IFERROR(Y270*AJ266/Y272,)</f>
        <v>0</v>
      </c>
      <c r="AO270" s="197" t="str">
        <f>IFERROR(VLOOKUP($G270,нормы!$A$14:$BC$57,53,0)*$W270,"")</f>
        <v/>
      </c>
      <c r="AP270" s="290">
        <f>IFERROR(Y270*AI266/Y272,)</f>
        <v>0</v>
      </c>
      <c r="AQ270" s="197" t="str">
        <f>IFERROR(VLOOKUP($G270,нормы!$A$14:$BC$57,54,0)*$W270,"")</f>
        <v/>
      </c>
      <c r="AR270" s="290">
        <f>IFERROR(AS270/SUM(AS266:AS271)*AL266,0)</f>
        <v>0</v>
      </c>
      <c r="AS270" s="197" t="str">
        <f>IFERROR(VLOOKUP($G270,нормы!$A$14:$BC$57,55,0)*W270,"")</f>
        <v/>
      </c>
      <c r="AT270" s="290">
        <f>IFERROR(AU270/SUM(AU266:AU271)*AM266,0)</f>
        <v>0</v>
      </c>
      <c r="AU270" s="197" t="str">
        <f>IFERROR(VLOOKUP($G270,нормы!$A$14:$BI$57,56,0)*W270,"")</f>
        <v/>
      </c>
      <c r="AV270" s="290">
        <f>IFERROR(AW270/SUM(AW266:AW271)*AK266,0)</f>
        <v>0</v>
      </c>
      <c r="AW270" s="202" t="str">
        <f>IFERROR(VLOOKUP($G270,нормы!$A$14:$BI$57,57,0)*W270,"")</f>
        <v/>
      </c>
      <c r="AX270" s="30"/>
      <c r="AY270" s="203" t="str">
        <f>IFERROR(VLOOKUP($G270,нормы!$A$14:$BI$57,58,0)*W270,"")</f>
        <v/>
      </c>
      <c r="AZ270" s="205"/>
      <c r="BA270" s="200" t="str">
        <f>IFERROR(VLOOKUP($G270,нормы!$A$14:$BI$57,61,0)*$W270,"")</f>
        <v/>
      </c>
      <c r="BB270" s="30"/>
      <c r="BC270" s="203" t="str">
        <f>IFERROR(VLOOKUP($G270,нормы!$A$14:$BI$57,60,0)*W270,"")</f>
        <v/>
      </c>
      <c r="BD270" s="200" t="str">
        <f>IFERROR(VLOOKUP($G270,нормы!$A$14:$BG$57,44,0),"")</f>
        <v/>
      </c>
      <c r="BE270" s="199" t="str">
        <f>IFERROR(W270/VLOOKUP($G270,нормы!$A$14:$BI$57,45,0),"")</f>
        <v/>
      </c>
    </row>
    <row r="271" spans="1:57" s="1" customFormat="1" ht="21" customHeight="1" thickBot="1" x14ac:dyDescent="0.45">
      <c r="A271" s="37" t="str">
        <f t="shared" si="110"/>
        <v>5Д</v>
      </c>
      <c r="B271" s="12">
        <f t="shared" si="113"/>
        <v>46027</v>
      </c>
      <c r="C271" s="97">
        <f t="shared" si="113"/>
        <v>0</v>
      </c>
      <c r="D271" s="97">
        <f t="shared" si="113"/>
        <v>2</v>
      </c>
      <c r="E271" s="54"/>
      <c r="F271" s="151" t="str">
        <f>IFERROR(VLOOKUP($G271,нормы!$A$14:$BC$57,2,0),"")</f>
        <v/>
      </c>
      <c r="G271" s="93"/>
      <c r="H271" s="63">
        <f t="shared" si="114"/>
        <v>0</v>
      </c>
      <c r="I271" s="153">
        <f>I267+I269</f>
        <v>0</v>
      </c>
      <c r="J271" s="334"/>
      <c r="K271" s="30">
        <f>IFERROR(VLOOKUP($G271,[1]нормы!$A$21:$BC$151,15,0),"")</f>
        <v>0</v>
      </c>
      <c r="L271" s="31">
        <f>IFERROR(VLOOKUP($G271,[1]нормы!$A$21:$BC$151,17,0),"")</f>
        <v>0</v>
      </c>
      <c r="M271" s="308">
        <f>IFERROR(VLOOKUP($G271,[1]нормы!$A$21:$BC$151,27,0),"")</f>
        <v>0</v>
      </c>
      <c r="N271" s="309" t="str">
        <f>IFERROR(Y271/Y272*(1.1*J266*I276),"")</f>
        <v/>
      </c>
      <c r="O271" s="300">
        <f>IFERROR(VLOOKUP($G271,[1]нормы!$A$21:$BC$151,21,0),"")</f>
        <v>0</v>
      </c>
      <c r="P271" s="35">
        <f>IFERROR(VLOOKUP($G271,[1]нормы!$A$21:$BC$151,19,0),"")</f>
        <v>0</v>
      </c>
      <c r="Q271" s="35">
        <f>IFERROR(VLOOKUP($G271,[1]нормы!$A$21:$BC$151,23,0),"")</f>
        <v>0</v>
      </c>
      <c r="R271" s="231">
        <f>IFERROR(VLOOKUP($G271,[1]нормы!$A$21:$BC$151,29,0),"")</f>
        <v>0</v>
      </c>
      <c r="S271" s="35">
        <f>IFERROR(VLOOKUP($G271,[1]нормы!$A$21:$BC$151,31,0),"")</f>
        <v>0</v>
      </c>
      <c r="T271" s="32">
        <f>IFERROR(VLOOKUP($G271,[1]нормы!$A$21:$BC$151,25,0),"")</f>
        <v>0</v>
      </c>
      <c r="U271" s="235" t="str">
        <f>IFERROR(W271/(((100*Y271/Y272)*I271)/100),"")</f>
        <v/>
      </c>
      <c r="V271" s="234" t="str">
        <f>IFERROR(VLOOKUP($G271,нормы!$A$14:$BC$57,38,0),"")</f>
        <v/>
      </c>
      <c r="W271" s="154"/>
      <c r="X271" s="238"/>
      <c r="Y271" s="152" t="str">
        <f>IFERROR(VLOOKUP($G271,нормы!$A$14:$BC$57,42,0)*W271,"")</f>
        <v/>
      </c>
      <c r="Z271" s="163">
        <f>IFERROR(VLOOKUP($G271,нормы!$A$14:$BC$57,14,0)*W271/1000,0)</f>
        <v>0</v>
      </c>
      <c r="AA271" s="56"/>
      <c r="AB271" s="58"/>
      <c r="AC271" s="58"/>
      <c r="AD271" s="58"/>
      <c r="AE271" s="57"/>
      <c r="AF271" s="161"/>
      <c r="AG271" s="392"/>
      <c r="AH271" s="395"/>
      <c r="AI271" s="398"/>
      <c r="AJ271" s="409"/>
      <c r="AK271" s="361"/>
      <c r="AL271" s="361"/>
      <c r="AM271" s="361"/>
      <c r="AN271" s="291">
        <f>IFERROR(Y271*AJ266/Y272,)</f>
        <v>0</v>
      </c>
      <c r="AO271" s="197" t="str">
        <f>IFERROR(VLOOKUP($G271,нормы!$A$14:$BC$57,53,0)*$W271,"")</f>
        <v/>
      </c>
      <c r="AP271" s="292">
        <f>IFERROR(Y271*AI266/Y272,)</f>
        <v>0</v>
      </c>
      <c r="AQ271" s="197" t="str">
        <f>IFERROR(VLOOKUP($G271,нормы!$A$14:$BC$57,54,0)*$W271,"")</f>
        <v/>
      </c>
      <c r="AR271" s="290">
        <f>IFERROR(AS271/SUM(AS266:AS271)*AL266,0)</f>
        <v>0</v>
      </c>
      <c r="AS271" s="197" t="str">
        <f>IFERROR(VLOOKUP($G271,нормы!$A$14:$BC$57,55,0)*W271,"")</f>
        <v/>
      </c>
      <c r="AT271" s="292">
        <f>IFERROR(AU271/SUM(AU266:AU271)*AM266,0)</f>
        <v>0</v>
      </c>
      <c r="AU271" s="197" t="str">
        <f>IFERROR(VLOOKUP($G271,нормы!$A$14:$BI$57,56,0)*W271,"")</f>
        <v/>
      </c>
      <c r="AV271" s="292">
        <f>IFERROR(AW271/SUM(AW266:AW271)*AK266,0)</f>
        <v>0</v>
      </c>
      <c r="AW271" s="202" t="str">
        <f>IFERROR(VLOOKUP($G271,нормы!$A$14:$BI$57,57,0)*W271,"")</f>
        <v/>
      </c>
      <c r="AX271" s="56"/>
      <c r="AY271" s="203" t="str">
        <f>IFERROR(VLOOKUP($G271,нормы!$A$14:$BI$57,58,0)*W271,"")</f>
        <v/>
      </c>
      <c r="AZ271" s="206"/>
      <c r="BA271" s="200" t="str">
        <f>IFERROR(VLOOKUP($G271,нормы!$A$14:$BI$57,61,0)*$W271,"")</f>
        <v/>
      </c>
      <c r="BB271" s="56"/>
      <c r="BC271" s="203" t="str">
        <f>IFERROR(VLOOKUP($G271,нормы!$A$14:$BI$57,60,0)*W271,"")</f>
        <v/>
      </c>
      <c r="BD271" s="200" t="str">
        <f>IFERROR(VLOOKUP($G271,нормы!$A$14:$BG$57,44,0),"")</f>
        <v/>
      </c>
      <c r="BE271" s="199" t="str">
        <f>IFERROR(W271/VLOOKUP($G271,нормы!$A$14:$BI$57,45,0),"")</f>
        <v/>
      </c>
    </row>
    <row r="272" spans="1:57" s="1" customFormat="1" ht="29.4" customHeight="1" thickBot="1" x14ac:dyDescent="0.45">
      <c r="A272" s="37" t="str">
        <f t="shared" si="110"/>
        <v>5Д</v>
      </c>
      <c r="B272" s="59"/>
      <c r="C272" s="51"/>
      <c r="D272" s="51"/>
      <c r="E272" s="51"/>
      <c r="F272" s="51"/>
      <c r="G272" s="51"/>
      <c r="H272" s="51"/>
      <c r="I272" s="60"/>
      <c r="J272" s="60"/>
      <c r="K272" s="319" t="s">
        <v>213</v>
      </c>
      <c r="L272" s="316"/>
      <c r="M272" s="303" t="s">
        <v>213</v>
      </c>
      <c r="N272" s="317">
        <f>SUM(N266:N271)</f>
        <v>0</v>
      </c>
      <c r="O272" s="304" t="s">
        <v>217</v>
      </c>
      <c r="P272" s="318">
        <f>N272*8.937/1000</f>
        <v>0</v>
      </c>
      <c r="Q272" s="305" t="s">
        <v>215</v>
      </c>
      <c r="R272" s="61"/>
      <c r="S272" s="61"/>
      <c r="T272" s="61"/>
      <c r="U272" s="109"/>
      <c r="V272" s="109"/>
      <c r="W272" s="94"/>
      <c r="X272" s="155"/>
      <c r="Y272" s="96">
        <f>SUM(Y266:Y271)</f>
        <v>0</v>
      </c>
      <c r="Z272" s="164">
        <f>SUM(Z266:Z271)</f>
        <v>0</v>
      </c>
      <c r="AA272" s="207">
        <f>(AA258+AA259+AA260+AA261+AA262+AA263+AA264+AA266+AA267+AA268+AA269+AA270+AA271)-AG259</f>
        <v>1</v>
      </c>
      <c r="AB272" s="208">
        <f>(AB258+AB259+AB260+AB261+AB262+AB263+AB264+AB266+AB267+AB268+AB269+AB270+AB271)-AH259</f>
        <v>2</v>
      </c>
      <c r="AC272" s="208">
        <f>(AC258+AC259+AC260+AC261+AC262+AC263+AC264+AC266+AC267+AC268+AC269+AC270+AC271)-AG266</f>
        <v>3</v>
      </c>
      <c r="AD272" s="208">
        <f>(AD258+AD259+AD260+AD261+AD262+AD263+AD264+AD266+AD267+AD268+AD269+AD270+AD271)-AH266</f>
        <v>4</v>
      </c>
      <c r="AE272" s="208">
        <f>(AE258+AE259+AE260+AE261+AE262+AE263+AE264+AE266+AE267+AE268+AE269+AE270+AE271)-AI259</f>
        <v>5</v>
      </c>
      <c r="AF272" s="209">
        <f>(AF258+AF259+AF260+AF261+AF262+AF263+AF264+AF266+AF267+AF268+AF269+AF270+AF271)-AI266</f>
        <v>6</v>
      </c>
      <c r="AG272" s="62"/>
      <c r="AH272" s="62"/>
      <c r="AI272" s="62"/>
      <c r="AJ272" s="62"/>
      <c r="AK272" s="62"/>
      <c r="AL272" s="62"/>
      <c r="AM272" s="62"/>
      <c r="AN272" s="91">
        <f>SUM(AN266:AN271)</f>
        <v>0</v>
      </c>
      <c r="AO272" s="91">
        <f>SUM(AO266:AO271)</f>
        <v>0</v>
      </c>
      <c r="AP272" s="91"/>
      <c r="AQ272" s="91"/>
      <c r="AR272" s="91">
        <f>SUM(AR266:AR271)</f>
        <v>0</v>
      </c>
      <c r="AS272" s="91">
        <f t="shared" ref="AS272:AW272" si="115">SUM(AS266:AS271)</f>
        <v>0</v>
      </c>
      <c r="AT272" s="91">
        <f t="shared" si="115"/>
        <v>0</v>
      </c>
      <c r="AU272" s="91">
        <f t="shared" si="115"/>
        <v>0</v>
      </c>
      <c r="AV272" s="91">
        <f t="shared" si="115"/>
        <v>0</v>
      </c>
      <c r="AW272" s="91">
        <f t="shared" si="115"/>
        <v>0</v>
      </c>
      <c r="AX272" s="91">
        <f>SUM(AX266:AX271)</f>
        <v>0</v>
      </c>
      <c r="AY272" s="91">
        <f>SUM(AY266:AY271)</f>
        <v>0</v>
      </c>
      <c r="AZ272" s="91">
        <f>SUM(AZ266:AZ271)</f>
        <v>0</v>
      </c>
      <c r="BA272" s="91"/>
      <c r="BB272" s="91"/>
      <c r="BC272" s="91"/>
      <c r="BD272" s="91" t="str">
        <f>IFERROR(VLOOKUP($G272,нормы!$A$14:$BG$15,27,0),"")</f>
        <v/>
      </c>
      <c r="BE272" s="53" t="str">
        <f>IFERROR(W272/VLOOKUP($G272,нормы!$A$14:$BI$15,28,0),"")</f>
        <v/>
      </c>
    </row>
    <row r="273" spans="1:57" s="1" customFormat="1" ht="29.4" customHeight="1" thickBot="1" x14ac:dyDescent="0.5">
      <c r="A273" s="37" t="str">
        <f t="shared" si="110"/>
        <v>5Д</v>
      </c>
      <c r="B273" s="166" t="s">
        <v>130</v>
      </c>
      <c r="C273" s="167"/>
      <c r="D273" s="167"/>
      <c r="E273" s="167"/>
      <c r="F273" s="165"/>
      <c r="G273" s="167"/>
      <c r="H273" s="167"/>
      <c r="I273" s="168"/>
      <c r="J273" s="168"/>
      <c r="K273" s="168"/>
      <c r="L273" s="168"/>
      <c r="M273" s="168"/>
      <c r="N273" s="168"/>
      <c r="O273" s="167"/>
      <c r="P273" s="169"/>
      <c r="Q273" s="169"/>
      <c r="R273" s="169"/>
      <c r="S273" s="169"/>
      <c r="T273" s="169"/>
      <c r="U273" s="170"/>
      <c r="V273" s="170"/>
      <c r="W273" s="171"/>
      <c r="X273" s="171"/>
      <c r="Y273" s="172"/>
      <c r="Z273" s="172"/>
      <c r="AA273" s="201" t="s">
        <v>144</v>
      </c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64"/>
      <c r="AN273" s="167"/>
      <c r="AO273" s="167"/>
      <c r="AP273" s="167"/>
      <c r="AQ273" s="167"/>
      <c r="AR273" s="64"/>
      <c r="AS273" s="64"/>
      <c r="AT273" s="65"/>
      <c r="AU273" s="64"/>
      <c r="AV273" s="49"/>
      <c r="AW273" s="49"/>
      <c r="AX273" s="167"/>
      <c r="AY273" s="167"/>
      <c r="AZ273" s="167"/>
      <c r="BA273" s="167"/>
      <c r="BB273" s="167"/>
      <c r="BC273" s="167"/>
      <c r="BD273" s="66"/>
      <c r="BE273" s="66"/>
    </row>
    <row r="274" spans="1:57" s="1" customFormat="1" ht="23.25" customHeight="1" x14ac:dyDescent="0.4">
      <c r="A274" s="37" t="str">
        <f t="shared" si="110"/>
        <v>5Д</v>
      </c>
      <c r="B274" s="183"/>
      <c r="C274" s="100"/>
      <c r="D274" s="185"/>
      <c r="E274" s="186" t="s">
        <v>57</v>
      </c>
      <c r="F274" s="66" t="s">
        <v>87</v>
      </c>
      <c r="G274" s="66"/>
      <c r="H274" s="108" t="s">
        <v>131</v>
      </c>
      <c r="I274" s="101"/>
      <c r="J274" s="101"/>
      <c r="K274" s="101"/>
      <c r="L274" s="101"/>
      <c r="M274" s="101"/>
      <c r="N274" s="101"/>
      <c r="O274" s="67"/>
      <c r="P274" s="102"/>
      <c r="Q274" s="102"/>
      <c r="R274" s="102"/>
      <c r="S274" s="102"/>
      <c r="T274" s="102"/>
      <c r="U274" s="67"/>
      <c r="V274" s="67"/>
      <c r="W274" s="103"/>
      <c r="X274" s="187"/>
      <c r="Y274" s="68" t="s">
        <v>74</v>
      </c>
      <c r="Z274" s="69"/>
      <c r="AA274" s="90"/>
      <c r="AB274" s="100"/>
      <c r="AC274" s="100"/>
      <c r="AD274" s="186" t="s">
        <v>57</v>
      </c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190"/>
      <c r="AU274" s="66"/>
      <c r="AV274" s="165"/>
      <c r="AW274" s="293"/>
      <c r="AX274" s="66"/>
      <c r="AY274" s="66"/>
      <c r="AZ274" s="66"/>
      <c r="BA274" s="66"/>
      <c r="BB274" s="66"/>
      <c r="BC274" s="66"/>
      <c r="BD274" s="68" t="s">
        <v>74</v>
      </c>
      <c r="BE274" s="69"/>
    </row>
    <row r="275" spans="1:57" s="1" customFormat="1" ht="23.25" customHeight="1" thickBot="1" x14ac:dyDescent="0.45">
      <c r="A275" s="37" t="str">
        <f t="shared" si="110"/>
        <v>5Д</v>
      </c>
      <c r="B275" s="183"/>
      <c r="C275" s="41"/>
      <c r="D275" s="184"/>
      <c r="E275" s="50"/>
      <c r="F275" s="70"/>
      <c r="G275" s="70"/>
      <c r="H275" s="70"/>
      <c r="I275" s="104"/>
      <c r="J275" s="104"/>
      <c r="K275" s="104"/>
      <c r="L275" s="104"/>
      <c r="M275" s="104"/>
      <c r="N275" s="104"/>
      <c r="O275" s="71"/>
      <c r="P275" s="105"/>
      <c r="Q275" s="105"/>
      <c r="R275" s="105"/>
      <c r="S275" s="105"/>
      <c r="T275" s="105"/>
      <c r="U275" s="71"/>
      <c r="V275" s="71"/>
      <c r="W275" s="106"/>
      <c r="X275" s="188"/>
      <c r="Y275" s="72"/>
      <c r="Z275" s="73"/>
      <c r="AA275" s="90"/>
      <c r="AB275" s="41"/>
      <c r="AC275" s="41"/>
      <c r="AD275" s="50"/>
      <c r="AE275" s="47"/>
      <c r="AF275" s="47"/>
      <c r="AG275" s="47"/>
      <c r="AH275" s="47"/>
      <c r="AI275" s="47"/>
      <c r="AJ275" s="47"/>
      <c r="AK275" s="47"/>
      <c r="AL275" s="47"/>
      <c r="AM275" s="70"/>
      <c r="AN275" s="47"/>
      <c r="AO275" s="70"/>
      <c r="AP275" s="70"/>
      <c r="AQ275" s="70"/>
      <c r="AR275" s="70"/>
      <c r="AS275" s="70"/>
      <c r="AT275" s="191"/>
      <c r="AU275" s="70"/>
      <c r="AV275" s="192"/>
      <c r="AW275" s="294"/>
      <c r="AX275" s="70"/>
      <c r="AY275" s="70"/>
      <c r="AZ275" s="70"/>
      <c r="BA275" s="70"/>
      <c r="BB275" s="70"/>
      <c r="BC275" s="70"/>
      <c r="BD275" s="72"/>
      <c r="BE275" s="73"/>
    </row>
    <row r="276" spans="1:57" s="1" customFormat="1" ht="18" customHeight="1" x14ac:dyDescent="0.4">
      <c r="A276" s="37" t="str">
        <f t="shared" si="110"/>
        <v>5Д</v>
      </c>
      <c r="B276" s="183"/>
      <c r="C276" s="41"/>
      <c r="D276" s="184"/>
      <c r="E276" s="281">
        <f>B271</f>
        <v>46027</v>
      </c>
      <c r="F276" s="337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98">
        <v>1</v>
      </c>
      <c r="Y276" s="74">
        <v>1</v>
      </c>
      <c r="Z276" s="75">
        <f t="shared" ref="Z276:Z287" si="116">Y276-X276</f>
        <v>0</v>
      </c>
      <c r="AA276" s="189"/>
      <c r="AB276" s="41"/>
      <c r="AC276" s="184"/>
      <c r="AD276" s="210">
        <f>E276</f>
        <v>46027</v>
      </c>
      <c r="AE276" s="387"/>
      <c r="AF276" s="388"/>
      <c r="AG276" s="388"/>
      <c r="AH276" s="388"/>
      <c r="AI276" s="388"/>
      <c r="AJ276" s="388"/>
      <c r="AK276" s="388"/>
      <c r="AL276" s="388"/>
      <c r="AM276" s="388"/>
      <c r="AN276" s="388"/>
      <c r="AO276" s="388"/>
      <c r="AP276" s="388"/>
      <c r="AQ276" s="388"/>
      <c r="AR276" s="388"/>
      <c r="AS276" s="388"/>
      <c r="AT276" s="388"/>
      <c r="AU276" s="388"/>
      <c r="AV276" s="388"/>
      <c r="AW276" s="388"/>
      <c r="AX276" s="388"/>
      <c r="AY276" s="388"/>
      <c r="AZ276" s="388"/>
      <c r="BA276" s="388"/>
      <c r="BB276" s="389"/>
      <c r="BC276" s="98">
        <v>1</v>
      </c>
      <c r="BD276" s="74">
        <v>1</v>
      </c>
      <c r="BE276" s="75">
        <f t="shared" ref="BE276:BE287" si="117">BD276-BC276</f>
        <v>0</v>
      </c>
    </row>
    <row r="277" spans="1:57" s="1" customFormat="1" ht="18" customHeight="1" x14ac:dyDescent="0.4">
      <c r="A277" s="37" t="str">
        <f t="shared" si="110"/>
        <v>5Д</v>
      </c>
      <c r="B277" s="183"/>
      <c r="C277" s="41"/>
      <c r="D277" s="184"/>
      <c r="E277" s="282">
        <f>E276</f>
        <v>46027</v>
      </c>
      <c r="F277" s="335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  <c r="R277" s="336"/>
      <c r="S277" s="336"/>
      <c r="T277" s="336"/>
      <c r="U277" s="336"/>
      <c r="V277" s="336"/>
      <c r="W277" s="336"/>
      <c r="X277" s="98">
        <v>1</v>
      </c>
      <c r="Y277" s="74">
        <v>1</v>
      </c>
      <c r="Z277" s="75">
        <f t="shared" si="116"/>
        <v>0</v>
      </c>
      <c r="AA277" s="107">
        <f>AA276</f>
        <v>0</v>
      </c>
      <c r="AB277" s="41"/>
      <c r="AC277" s="184"/>
      <c r="AD277" s="212">
        <f>AD276</f>
        <v>46027</v>
      </c>
      <c r="AE277" s="387"/>
      <c r="AF277" s="388"/>
      <c r="AG277" s="388"/>
      <c r="AH277" s="388"/>
      <c r="AI277" s="388"/>
      <c r="AJ277" s="388"/>
      <c r="AK277" s="388"/>
      <c r="AL277" s="388"/>
      <c r="AM277" s="388"/>
      <c r="AN277" s="388"/>
      <c r="AO277" s="388"/>
      <c r="AP277" s="388"/>
      <c r="AQ277" s="388"/>
      <c r="AR277" s="388"/>
      <c r="AS277" s="388"/>
      <c r="AT277" s="388"/>
      <c r="AU277" s="388"/>
      <c r="AV277" s="388"/>
      <c r="AW277" s="388"/>
      <c r="AX277" s="388"/>
      <c r="AY277" s="388"/>
      <c r="AZ277" s="388"/>
      <c r="BA277" s="388"/>
      <c r="BB277" s="389"/>
      <c r="BC277" s="98">
        <v>1</v>
      </c>
      <c r="BD277" s="74">
        <v>1</v>
      </c>
      <c r="BE277" s="75">
        <f t="shared" si="117"/>
        <v>0</v>
      </c>
    </row>
    <row r="278" spans="1:57" s="1" customFormat="1" ht="18" customHeight="1" x14ac:dyDescent="0.4">
      <c r="A278" s="37" t="str">
        <f t="shared" si="110"/>
        <v>5Д</v>
      </c>
      <c r="B278" s="183"/>
      <c r="C278" s="41"/>
      <c r="D278" s="184"/>
      <c r="E278" s="282">
        <f t="shared" ref="E278:E287" si="118">E277</f>
        <v>46027</v>
      </c>
      <c r="F278" s="335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  <c r="R278" s="336"/>
      <c r="S278" s="336"/>
      <c r="T278" s="336"/>
      <c r="U278" s="336"/>
      <c r="V278" s="336"/>
      <c r="W278" s="336"/>
      <c r="X278" s="98">
        <v>1</v>
      </c>
      <c r="Y278" s="74">
        <v>1</v>
      </c>
      <c r="Z278" s="75">
        <f t="shared" si="116"/>
        <v>0</v>
      </c>
      <c r="AA278" s="107">
        <f>AA277</f>
        <v>0</v>
      </c>
      <c r="AB278" s="41"/>
      <c r="AC278" s="184"/>
      <c r="AD278" s="212">
        <f t="shared" ref="AD278:AD287" si="119">AD277</f>
        <v>46027</v>
      </c>
      <c r="AE278" s="387"/>
      <c r="AF278" s="388"/>
      <c r="AG278" s="388"/>
      <c r="AH278" s="388"/>
      <c r="AI278" s="388"/>
      <c r="AJ278" s="388"/>
      <c r="AK278" s="388"/>
      <c r="AL278" s="388"/>
      <c r="AM278" s="388"/>
      <c r="AN278" s="388"/>
      <c r="AO278" s="388"/>
      <c r="AP278" s="388"/>
      <c r="AQ278" s="388"/>
      <c r="AR278" s="388"/>
      <c r="AS278" s="388"/>
      <c r="AT278" s="388"/>
      <c r="AU278" s="388"/>
      <c r="AV278" s="388"/>
      <c r="AW278" s="388"/>
      <c r="AX278" s="388"/>
      <c r="AY278" s="388"/>
      <c r="AZ278" s="388"/>
      <c r="BA278" s="388"/>
      <c r="BB278" s="389"/>
      <c r="BC278" s="98">
        <v>1</v>
      </c>
      <c r="BD278" s="74">
        <v>1</v>
      </c>
      <c r="BE278" s="75">
        <f t="shared" si="117"/>
        <v>0</v>
      </c>
    </row>
    <row r="279" spans="1:57" s="1" customFormat="1" ht="18" customHeight="1" x14ac:dyDescent="0.4">
      <c r="A279" s="37" t="str">
        <f t="shared" si="110"/>
        <v>5Д</v>
      </c>
      <c r="B279" s="183"/>
      <c r="C279" s="41"/>
      <c r="D279" s="184"/>
      <c r="E279" s="282">
        <f t="shared" si="118"/>
        <v>46027</v>
      </c>
      <c r="F279" s="335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98">
        <v>1</v>
      </c>
      <c r="Y279" s="74">
        <v>1</v>
      </c>
      <c r="Z279" s="75">
        <f t="shared" si="116"/>
        <v>0</v>
      </c>
      <c r="AA279" s="107">
        <f t="shared" ref="AA279:AA287" si="120">AA278</f>
        <v>0</v>
      </c>
      <c r="AB279" s="41"/>
      <c r="AC279" s="184"/>
      <c r="AD279" s="212">
        <f t="shared" si="119"/>
        <v>46027</v>
      </c>
      <c r="AE279" s="387"/>
      <c r="AF279" s="388"/>
      <c r="AG279" s="388"/>
      <c r="AH279" s="388"/>
      <c r="AI279" s="388"/>
      <c r="AJ279" s="388"/>
      <c r="AK279" s="388"/>
      <c r="AL279" s="388"/>
      <c r="AM279" s="388"/>
      <c r="AN279" s="388"/>
      <c r="AO279" s="388"/>
      <c r="AP279" s="388"/>
      <c r="AQ279" s="388"/>
      <c r="AR279" s="388"/>
      <c r="AS279" s="388"/>
      <c r="AT279" s="388"/>
      <c r="AU279" s="388"/>
      <c r="AV279" s="388"/>
      <c r="AW279" s="388"/>
      <c r="AX279" s="388"/>
      <c r="AY279" s="388"/>
      <c r="AZ279" s="388"/>
      <c r="BA279" s="388"/>
      <c r="BB279" s="389"/>
      <c r="BC279" s="98">
        <v>1</v>
      </c>
      <c r="BD279" s="74">
        <v>1</v>
      </c>
      <c r="BE279" s="75">
        <f t="shared" si="117"/>
        <v>0</v>
      </c>
    </row>
    <row r="280" spans="1:57" s="1" customFormat="1" ht="18" customHeight="1" x14ac:dyDescent="0.4">
      <c r="A280" s="37" t="str">
        <f t="shared" si="110"/>
        <v>5Д</v>
      </c>
      <c r="B280" s="183"/>
      <c r="C280" s="41"/>
      <c r="D280" s="184"/>
      <c r="E280" s="282">
        <f t="shared" si="118"/>
        <v>46027</v>
      </c>
      <c r="F280" s="335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  <c r="R280" s="336"/>
      <c r="S280" s="336"/>
      <c r="T280" s="336"/>
      <c r="U280" s="336"/>
      <c r="V280" s="336"/>
      <c r="W280" s="336"/>
      <c r="X280" s="98">
        <v>1</v>
      </c>
      <c r="Y280" s="74">
        <v>1</v>
      </c>
      <c r="Z280" s="75">
        <f t="shared" si="116"/>
        <v>0</v>
      </c>
      <c r="AA280" s="107">
        <f t="shared" si="120"/>
        <v>0</v>
      </c>
      <c r="AB280" s="41"/>
      <c r="AC280" s="184"/>
      <c r="AD280" s="212">
        <f t="shared" si="119"/>
        <v>46027</v>
      </c>
      <c r="AE280" s="387"/>
      <c r="AF280" s="388"/>
      <c r="AG280" s="388"/>
      <c r="AH280" s="388"/>
      <c r="AI280" s="388"/>
      <c r="AJ280" s="388"/>
      <c r="AK280" s="388"/>
      <c r="AL280" s="388"/>
      <c r="AM280" s="388"/>
      <c r="AN280" s="388"/>
      <c r="AO280" s="388"/>
      <c r="AP280" s="388"/>
      <c r="AQ280" s="388"/>
      <c r="AR280" s="388"/>
      <c r="AS280" s="388"/>
      <c r="AT280" s="388"/>
      <c r="AU280" s="388"/>
      <c r="AV280" s="388"/>
      <c r="AW280" s="388"/>
      <c r="AX280" s="388"/>
      <c r="AY280" s="388"/>
      <c r="AZ280" s="388"/>
      <c r="BA280" s="388"/>
      <c r="BB280" s="389"/>
      <c r="BC280" s="98">
        <v>1</v>
      </c>
      <c r="BD280" s="74">
        <v>1</v>
      </c>
      <c r="BE280" s="75">
        <f t="shared" si="117"/>
        <v>0</v>
      </c>
    </row>
    <row r="281" spans="1:57" s="1" customFormat="1" ht="18" customHeight="1" x14ac:dyDescent="0.4">
      <c r="A281" s="37" t="str">
        <f t="shared" si="110"/>
        <v>5Д</v>
      </c>
      <c r="B281" s="183"/>
      <c r="C281" s="41"/>
      <c r="D281" s="184"/>
      <c r="E281" s="282">
        <f t="shared" si="118"/>
        <v>46027</v>
      </c>
      <c r="F281" s="335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  <c r="W281" s="336"/>
      <c r="X281" s="98">
        <v>1</v>
      </c>
      <c r="Y281" s="74">
        <v>1</v>
      </c>
      <c r="Z281" s="75">
        <f t="shared" si="116"/>
        <v>0</v>
      </c>
      <c r="AA281" s="107">
        <f t="shared" si="120"/>
        <v>0</v>
      </c>
      <c r="AB281" s="41"/>
      <c r="AC281" s="184"/>
      <c r="AD281" s="212">
        <f t="shared" si="119"/>
        <v>46027</v>
      </c>
      <c r="AE281" s="387"/>
      <c r="AF281" s="388"/>
      <c r="AG281" s="388"/>
      <c r="AH281" s="388"/>
      <c r="AI281" s="388"/>
      <c r="AJ281" s="388"/>
      <c r="AK281" s="388"/>
      <c r="AL281" s="388"/>
      <c r="AM281" s="388"/>
      <c r="AN281" s="388"/>
      <c r="AO281" s="388"/>
      <c r="AP281" s="388"/>
      <c r="AQ281" s="388"/>
      <c r="AR281" s="388"/>
      <c r="AS281" s="388"/>
      <c r="AT281" s="388"/>
      <c r="AU281" s="388"/>
      <c r="AV281" s="388"/>
      <c r="AW281" s="388"/>
      <c r="AX281" s="388"/>
      <c r="AY281" s="388"/>
      <c r="AZ281" s="388"/>
      <c r="BA281" s="388"/>
      <c r="BB281" s="389"/>
      <c r="BC281" s="98">
        <v>1</v>
      </c>
      <c r="BD281" s="74">
        <v>1</v>
      </c>
      <c r="BE281" s="75">
        <f t="shared" si="117"/>
        <v>0</v>
      </c>
    </row>
    <row r="282" spans="1:57" s="1" customFormat="1" ht="18" customHeight="1" x14ac:dyDescent="0.4">
      <c r="A282" s="37" t="str">
        <f t="shared" si="110"/>
        <v>5Д</v>
      </c>
      <c r="B282" s="183"/>
      <c r="C282" s="41"/>
      <c r="D282" s="184"/>
      <c r="E282" s="282">
        <f t="shared" si="118"/>
        <v>46027</v>
      </c>
      <c r="F282" s="335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  <c r="R282" s="336"/>
      <c r="S282" s="336"/>
      <c r="T282" s="336"/>
      <c r="U282" s="336"/>
      <c r="V282" s="336"/>
      <c r="W282" s="336"/>
      <c r="X282" s="98">
        <v>1</v>
      </c>
      <c r="Y282" s="74">
        <v>1</v>
      </c>
      <c r="Z282" s="75">
        <f t="shared" si="116"/>
        <v>0</v>
      </c>
      <c r="AA282" s="107">
        <f t="shared" si="120"/>
        <v>0</v>
      </c>
      <c r="AB282" s="41"/>
      <c r="AC282" s="184"/>
      <c r="AD282" s="212">
        <f t="shared" si="119"/>
        <v>46027</v>
      </c>
      <c r="AE282" s="387"/>
      <c r="AF282" s="388"/>
      <c r="AG282" s="388"/>
      <c r="AH282" s="388"/>
      <c r="AI282" s="388"/>
      <c r="AJ282" s="388"/>
      <c r="AK282" s="388"/>
      <c r="AL282" s="388"/>
      <c r="AM282" s="388"/>
      <c r="AN282" s="388"/>
      <c r="AO282" s="388"/>
      <c r="AP282" s="388"/>
      <c r="AQ282" s="388"/>
      <c r="AR282" s="388"/>
      <c r="AS282" s="388"/>
      <c r="AT282" s="388"/>
      <c r="AU282" s="388"/>
      <c r="AV282" s="388"/>
      <c r="AW282" s="388"/>
      <c r="AX282" s="388"/>
      <c r="AY282" s="388"/>
      <c r="AZ282" s="388"/>
      <c r="BA282" s="388"/>
      <c r="BB282" s="389"/>
      <c r="BC282" s="98">
        <v>1</v>
      </c>
      <c r="BD282" s="74">
        <v>1</v>
      </c>
      <c r="BE282" s="75">
        <f t="shared" si="117"/>
        <v>0</v>
      </c>
    </row>
    <row r="283" spans="1:57" s="1" customFormat="1" ht="18" customHeight="1" x14ac:dyDescent="0.4">
      <c r="A283" s="37" t="str">
        <f t="shared" si="110"/>
        <v>5Д</v>
      </c>
      <c r="B283" s="183"/>
      <c r="C283" s="41"/>
      <c r="D283" s="184"/>
      <c r="E283" s="282">
        <f t="shared" si="118"/>
        <v>46027</v>
      </c>
      <c r="F283" s="335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  <c r="R283" s="336"/>
      <c r="S283" s="336"/>
      <c r="T283" s="336"/>
      <c r="U283" s="336"/>
      <c r="V283" s="336"/>
      <c r="W283" s="336"/>
      <c r="X283" s="98">
        <v>1</v>
      </c>
      <c r="Y283" s="74">
        <v>1</v>
      </c>
      <c r="Z283" s="75">
        <f t="shared" si="116"/>
        <v>0</v>
      </c>
      <c r="AA283" s="107">
        <f t="shared" si="120"/>
        <v>0</v>
      </c>
      <c r="AB283" s="41"/>
      <c r="AC283" s="184"/>
      <c r="AD283" s="212">
        <f t="shared" si="119"/>
        <v>46027</v>
      </c>
      <c r="AE283" s="387"/>
      <c r="AF283" s="388"/>
      <c r="AG283" s="388"/>
      <c r="AH283" s="388"/>
      <c r="AI283" s="388"/>
      <c r="AJ283" s="388"/>
      <c r="AK283" s="388"/>
      <c r="AL283" s="388"/>
      <c r="AM283" s="388"/>
      <c r="AN283" s="388"/>
      <c r="AO283" s="388"/>
      <c r="AP283" s="388"/>
      <c r="AQ283" s="388"/>
      <c r="AR283" s="388"/>
      <c r="AS283" s="388"/>
      <c r="AT283" s="388"/>
      <c r="AU283" s="388"/>
      <c r="AV283" s="388"/>
      <c r="AW283" s="388"/>
      <c r="AX283" s="388"/>
      <c r="AY283" s="388"/>
      <c r="AZ283" s="388"/>
      <c r="BA283" s="388"/>
      <c r="BB283" s="389"/>
      <c r="BC283" s="98">
        <v>1</v>
      </c>
      <c r="BD283" s="74">
        <v>1</v>
      </c>
      <c r="BE283" s="75">
        <f t="shared" si="117"/>
        <v>0</v>
      </c>
    </row>
    <row r="284" spans="1:57" s="1" customFormat="1" ht="18" customHeight="1" x14ac:dyDescent="0.4">
      <c r="A284" s="37" t="str">
        <f t="shared" si="110"/>
        <v>5Д</v>
      </c>
      <c r="B284" s="183"/>
      <c r="C284" s="41"/>
      <c r="D284" s="184"/>
      <c r="E284" s="282">
        <f t="shared" si="118"/>
        <v>46027</v>
      </c>
      <c r="F284" s="335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  <c r="R284" s="336"/>
      <c r="S284" s="336"/>
      <c r="T284" s="336"/>
      <c r="U284" s="336"/>
      <c r="V284" s="336"/>
      <c r="W284" s="336"/>
      <c r="X284" s="98">
        <v>1</v>
      </c>
      <c r="Y284" s="74">
        <v>1</v>
      </c>
      <c r="Z284" s="75">
        <f t="shared" si="116"/>
        <v>0</v>
      </c>
      <c r="AA284" s="107">
        <f t="shared" si="120"/>
        <v>0</v>
      </c>
      <c r="AB284" s="41"/>
      <c r="AC284" s="184"/>
      <c r="AD284" s="212">
        <f t="shared" si="119"/>
        <v>46027</v>
      </c>
      <c r="AE284" s="387"/>
      <c r="AF284" s="388"/>
      <c r="AG284" s="388"/>
      <c r="AH284" s="388"/>
      <c r="AI284" s="388"/>
      <c r="AJ284" s="388"/>
      <c r="AK284" s="388"/>
      <c r="AL284" s="388"/>
      <c r="AM284" s="388"/>
      <c r="AN284" s="388"/>
      <c r="AO284" s="388"/>
      <c r="AP284" s="388"/>
      <c r="AQ284" s="388"/>
      <c r="AR284" s="388"/>
      <c r="AS284" s="388"/>
      <c r="AT284" s="388"/>
      <c r="AU284" s="388"/>
      <c r="AV284" s="388"/>
      <c r="AW284" s="388"/>
      <c r="AX284" s="388"/>
      <c r="AY284" s="388"/>
      <c r="AZ284" s="388"/>
      <c r="BA284" s="388"/>
      <c r="BB284" s="389"/>
      <c r="BC284" s="98">
        <v>1</v>
      </c>
      <c r="BD284" s="74">
        <v>1</v>
      </c>
      <c r="BE284" s="75">
        <f t="shared" si="117"/>
        <v>0</v>
      </c>
    </row>
    <row r="285" spans="1:57" s="1" customFormat="1" ht="18" customHeight="1" x14ac:dyDescent="0.4">
      <c r="A285" s="37" t="str">
        <f t="shared" si="110"/>
        <v>5Д</v>
      </c>
      <c r="B285" s="183"/>
      <c r="C285" s="41"/>
      <c r="D285" s="184"/>
      <c r="E285" s="282">
        <f t="shared" si="118"/>
        <v>46027</v>
      </c>
      <c r="F285" s="335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  <c r="R285" s="336"/>
      <c r="S285" s="336"/>
      <c r="T285" s="336"/>
      <c r="U285" s="336"/>
      <c r="V285" s="336"/>
      <c r="W285" s="336"/>
      <c r="X285" s="98">
        <v>1</v>
      </c>
      <c r="Y285" s="74">
        <v>1</v>
      </c>
      <c r="Z285" s="75">
        <f t="shared" si="116"/>
        <v>0</v>
      </c>
      <c r="AA285" s="107">
        <f t="shared" si="120"/>
        <v>0</v>
      </c>
      <c r="AB285" s="41"/>
      <c r="AC285" s="184"/>
      <c r="AD285" s="212">
        <f t="shared" si="119"/>
        <v>46027</v>
      </c>
      <c r="AE285" s="387"/>
      <c r="AF285" s="388"/>
      <c r="AG285" s="388"/>
      <c r="AH285" s="388"/>
      <c r="AI285" s="388"/>
      <c r="AJ285" s="388"/>
      <c r="AK285" s="388"/>
      <c r="AL285" s="388"/>
      <c r="AM285" s="388"/>
      <c r="AN285" s="388"/>
      <c r="AO285" s="388"/>
      <c r="AP285" s="388"/>
      <c r="AQ285" s="388"/>
      <c r="AR285" s="388"/>
      <c r="AS285" s="388"/>
      <c r="AT285" s="388"/>
      <c r="AU285" s="388"/>
      <c r="AV285" s="388"/>
      <c r="AW285" s="388"/>
      <c r="AX285" s="388"/>
      <c r="AY285" s="388"/>
      <c r="AZ285" s="388"/>
      <c r="BA285" s="388"/>
      <c r="BB285" s="389"/>
      <c r="BC285" s="98">
        <v>1</v>
      </c>
      <c r="BD285" s="74">
        <v>1</v>
      </c>
      <c r="BE285" s="75">
        <f t="shared" si="117"/>
        <v>0</v>
      </c>
    </row>
    <row r="286" spans="1:57" s="1" customFormat="1" ht="18" customHeight="1" x14ac:dyDescent="0.4">
      <c r="A286" s="37" t="str">
        <f t="shared" si="110"/>
        <v>5Д</v>
      </c>
      <c r="B286" s="183"/>
      <c r="C286" s="41"/>
      <c r="D286" s="184"/>
      <c r="E286" s="282">
        <f t="shared" si="118"/>
        <v>46027</v>
      </c>
      <c r="F286" s="335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  <c r="R286" s="336"/>
      <c r="S286" s="336"/>
      <c r="T286" s="336"/>
      <c r="U286" s="336"/>
      <c r="V286" s="336"/>
      <c r="W286" s="336"/>
      <c r="X286" s="98">
        <v>1</v>
      </c>
      <c r="Y286" s="74">
        <v>1</v>
      </c>
      <c r="Z286" s="75">
        <f t="shared" si="116"/>
        <v>0</v>
      </c>
      <c r="AA286" s="107">
        <f t="shared" si="120"/>
        <v>0</v>
      </c>
      <c r="AB286" s="41"/>
      <c r="AC286" s="184"/>
      <c r="AD286" s="212">
        <f t="shared" si="119"/>
        <v>46027</v>
      </c>
      <c r="AE286" s="387"/>
      <c r="AF286" s="388"/>
      <c r="AG286" s="388"/>
      <c r="AH286" s="388"/>
      <c r="AI286" s="388"/>
      <c r="AJ286" s="388"/>
      <c r="AK286" s="388"/>
      <c r="AL286" s="388"/>
      <c r="AM286" s="388"/>
      <c r="AN286" s="388"/>
      <c r="AO286" s="388"/>
      <c r="AP286" s="388"/>
      <c r="AQ286" s="388"/>
      <c r="AR286" s="388"/>
      <c r="AS286" s="388"/>
      <c r="AT286" s="388"/>
      <c r="AU286" s="388"/>
      <c r="AV286" s="388"/>
      <c r="AW286" s="388"/>
      <c r="AX286" s="388"/>
      <c r="AY286" s="388"/>
      <c r="AZ286" s="388"/>
      <c r="BA286" s="388"/>
      <c r="BB286" s="389"/>
      <c r="BC286" s="98">
        <v>1</v>
      </c>
      <c r="BD286" s="74">
        <v>1</v>
      </c>
      <c r="BE286" s="75">
        <f t="shared" si="117"/>
        <v>0</v>
      </c>
    </row>
    <row r="287" spans="1:57" s="1" customFormat="1" ht="18" customHeight="1" thickBot="1" x14ac:dyDescent="0.45">
      <c r="A287" s="37" t="str">
        <f t="shared" si="110"/>
        <v>5Д</v>
      </c>
      <c r="B287" s="183"/>
      <c r="C287" s="41"/>
      <c r="D287" s="184"/>
      <c r="E287" s="283">
        <f t="shared" si="118"/>
        <v>46027</v>
      </c>
      <c r="F287" s="339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99">
        <v>1</v>
      </c>
      <c r="Y287" s="76">
        <v>1</v>
      </c>
      <c r="Z287" s="77">
        <f t="shared" si="116"/>
        <v>0</v>
      </c>
      <c r="AA287" s="107">
        <f t="shared" si="120"/>
        <v>0</v>
      </c>
      <c r="AB287" s="41"/>
      <c r="AC287" s="184"/>
      <c r="AD287" s="211">
        <f t="shared" si="119"/>
        <v>46027</v>
      </c>
      <c r="AE287" s="410"/>
      <c r="AF287" s="411"/>
      <c r="AG287" s="411"/>
      <c r="AH287" s="411"/>
      <c r="AI287" s="411"/>
      <c r="AJ287" s="411"/>
      <c r="AK287" s="411"/>
      <c r="AL287" s="411"/>
      <c r="AM287" s="411"/>
      <c r="AN287" s="411"/>
      <c r="AO287" s="411"/>
      <c r="AP287" s="411"/>
      <c r="AQ287" s="411"/>
      <c r="AR287" s="411"/>
      <c r="AS287" s="411"/>
      <c r="AT287" s="411"/>
      <c r="AU287" s="411"/>
      <c r="AV287" s="411"/>
      <c r="AW287" s="411"/>
      <c r="AX287" s="411"/>
      <c r="AY287" s="411"/>
      <c r="AZ287" s="411"/>
      <c r="BA287" s="411"/>
      <c r="BB287" s="412"/>
      <c r="BC287" s="99">
        <v>1</v>
      </c>
      <c r="BD287" s="76">
        <v>1</v>
      </c>
      <c r="BE287" s="75">
        <f t="shared" si="117"/>
        <v>0</v>
      </c>
    </row>
    <row r="288" spans="1:57" s="1" customFormat="1" ht="23.25" customHeight="1" thickBot="1" x14ac:dyDescent="0.45">
      <c r="A288" s="37" t="str">
        <f t="shared" si="110"/>
        <v>5Д</v>
      </c>
      <c r="B288" s="193"/>
      <c r="C288" s="47"/>
      <c r="D288" s="47"/>
      <c r="E288" s="47"/>
      <c r="F288" s="78"/>
      <c r="G288" s="78"/>
      <c r="H288" s="78"/>
      <c r="I288" s="80"/>
      <c r="J288" s="80"/>
      <c r="K288" s="80"/>
      <c r="L288" s="80"/>
      <c r="M288" s="80"/>
      <c r="N288" s="80"/>
      <c r="O288" s="78"/>
      <c r="P288" s="81"/>
      <c r="Q288" s="81"/>
      <c r="R288" s="81"/>
      <c r="S288" s="81"/>
      <c r="T288" s="81"/>
      <c r="U288" s="82"/>
      <c r="V288" s="82"/>
      <c r="W288" s="86"/>
      <c r="X288" s="194"/>
      <c r="Y288" s="83"/>
      <c r="Z288" s="83"/>
      <c r="AA288" s="78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84"/>
      <c r="AN288" s="47"/>
      <c r="AO288" s="78"/>
      <c r="AP288" s="78"/>
      <c r="AQ288" s="78"/>
      <c r="AR288" s="84"/>
      <c r="AS288" s="78"/>
      <c r="AT288" s="85"/>
      <c r="AU288" s="78"/>
      <c r="AV288" s="83"/>
      <c r="AW288" s="83"/>
      <c r="AX288" s="78"/>
      <c r="AY288" s="78"/>
      <c r="AZ288" s="78"/>
      <c r="BA288" s="78"/>
      <c r="BB288" s="78"/>
      <c r="BC288" s="78"/>
      <c r="BD288" s="79"/>
      <c r="BE288" s="79"/>
    </row>
    <row r="289" spans="1:57" s="1" customFormat="1" ht="21.6" customHeight="1" thickBot="1" x14ac:dyDescent="0.45">
      <c r="A289" s="37" t="s">
        <v>155</v>
      </c>
      <c r="B289" s="59"/>
      <c r="C289" s="51"/>
      <c r="D289" s="51"/>
      <c r="E289" s="51"/>
      <c r="F289" s="158" t="s">
        <v>220</v>
      </c>
      <c r="G289" s="51"/>
      <c r="H289" s="51"/>
      <c r="I289" s="156"/>
      <c r="J289" s="156"/>
      <c r="K289" s="156"/>
      <c r="L289" s="156"/>
      <c r="M289" s="156"/>
      <c r="N289" s="156"/>
      <c r="O289" s="91"/>
      <c r="P289" s="52"/>
      <c r="Q289" s="52"/>
      <c r="R289" s="52"/>
      <c r="S289" s="52"/>
      <c r="T289" s="52"/>
      <c r="U289" s="157"/>
      <c r="V289" s="157"/>
      <c r="W289" s="94"/>
      <c r="X289" s="94"/>
      <c r="Y289" s="51"/>
      <c r="Z289" s="51"/>
      <c r="AA289" s="157">
        <f>AA272</f>
        <v>1</v>
      </c>
      <c r="AB289" s="157">
        <f t="shared" ref="AB289:AF289" si="121">AB272</f>
        <v>2</v>
      </c>
      <c r="AC289" s="157">
        <f t="shared" si="121"/>
        <v>3</v>
      </c>
      <c r="AD289" s="157">
        <f t="shared" si="121"/>
        <v>4</v>
      </c>
      <c r="AE289" s="157">
        <f t="shared" si="121"/>
        <v>5</v>
      </c>
      <c r="AF289" s="157">
        <f t="shared" si="121"/>
        <v>6</v>
      </c>
      <c r="AG289" s="162" t="s">
        <v>123</v>
      </c>
      <c r="AH289" s="162" t="s">
        <v>124</v>
      </c>
      <c r="AI289" s="162" t="s">
        <v>125</v>
      </c>
      <c r="AJ289" s="91" t="s">
        <v>126</v>
      </c>
      <c r="AK289" s="198" t="s">
        <v>136</v>
      </c>
      <c r="AL289" s="198" t="s">
        <v>137</v>
      </c>
      <c r="AM289" s="198" t="s">
        <v>138</v>
      </c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</row>
    <row r="290" spans="1:57" s="1" customFormat="1" ht="21.6" customHeight="1" x14ac:dyDescent="0.4">
      <c r="A290" s="37" t="str">
        <f>A289</f>
        <v>5Н</v>
      </c>
      <c r="B290" s="12">
        <f>B271</f>
        <v>46027</v>
      </c>
      <c r="C290" s="97"/>
      <c r="D290" s="97">
        <v>1</v>
      </c>
      <c r="E290" s="29"/>
      <c r="F290" s="151" t="str">
        <f>IFERROR(VLOOKUP($G290,нормы!$A$14:$BC$57,2,0),"")</f>
        <v/>
      </c>
      <c r="G290" s="93"/>
      <c r="H290" s="54">
        <f>IF(C290=1,"Кульков С.А.", IF(C290=2,"Чудаков А.А.",IF(C290=3,"Королев В.Н.",IF(C290=4,"Николашин М.П.",IF(C290=5," Кульков С.А.",IF(C290=6,"А.А. Чудаков",IF(C290=7,"В.Н. Королев",IF(C290=8,"М.П. Николашин",0))))))))</f>
        <v>0</v>
      </c>
      <c r="I290" s="88" t="s">
        <v>84</v>
      </c>
      <c r="J290" s="332"/>
      <c r="K290" s="30">
        <f>IFERROR(VLOOKUP($G290,[1]нормы!$A$21:$BC$151,15,0),"")</f>
        <v>0</v>
      </c>
      <c r="L290" s="31">
        <f>IFERROR(VLOOKUP($G290,[1]нормы!$A$21:$BC$151,17,0),"")</f>
        <v>0</v>
      </c>
      <c r="M290" s="310">
        <f>IFERROR(VLOOKUP($G290,[1]нормы!$A$21:$BC$151,27,0),"")</f>
        <v>0</v>
      </c>
      <c r="N290" s="311" t="str">
        <f>IFERROR(Y290/Y296*(1.1*J290*I295),"")</f>
        <v/>
      </c>
      <c r="O290" s="300">
        <f>IFERROR(VLOOKUP($G290,[1]нормы!$A$21:$BC$151,21,0),"")</f>
        <v>0</v>
      </c>
      <c r="P290" s="35">
        <f>IFERROR(VLOOKUP($G290,[1]нормы!$A$21:$BC$151,19,0),"")</f>
        <v>0</v>
      </c>
      <c r="Q290" s="35">
        <f>IFERROR(VLOOKUP($G290,[1]нормы!$A$21:$BC$151,23,0),"")</f>
        <v>0</v>
      </c>
      <c r="R290" s="231">
        <f>IFERROR(VLOOKUP($G290,[1]нормы!$A$21:$BC$151,29,0),"")</f>
        <v>0</v>
      </c>
      <c r="S290" s="35">
        <f>IFERROR(VLOOKUP($G290,[1]нормы!$A$21:$BC$151,31,0),"")</f>
        <v>0</v>
      </c>
      <c r="T290" s="32">
        <f>IFERROR(VLOOKUP($G290,[1]нормы!$A$21:$BC$151,25,0),"")</f>
        <v>0</v>
      </c>
      <c r="U290" s="232" t="str">
        <f>IFERROR(W290/(((100*Y290/Y296)*I295)/100),"")</f>
        <v/>
      </c>
      <c r="V290" s="234" t="str">
        <f>IFERROR(VLOOKUP($G290,нормы!$A$14:$BC$57,38,0),"")</f>
        <v/>
      </c>
      <c r="W290" s="136"/>
      <c r="X290" s="236"/>
      <c r="Y290" s="152" t="str">
        <f>IFERROR(VLOOKUP($G290,нормы!$A$14:$BC$57,42,0)*W290,"")</f>
        <v/>
      </c>
      <c r="Z290" s="163">
        <f>IFERROR(VLOOKUP($G290,нормы!$A$14:$BC$57,14,0)*W290/1000,0)</f>
        <v>0</v>
      </c>
      <c r="AA290" s="33"/>
      <c r="AB290" s="36"/>
      <c r="AC290" s="36"/>
      <c r="AD290" s="36"/>
      <c r="AE290" s="34"/>
      <c r="AF290" s="159"/>
      <c r="AG290" s="390"/>
      <c r="AH290" s="393"/>
      <c r="AI290" s="396"/>
      <c r="AJ290" s="407">
        <f>AG290+AH290</f>
        <v>0</v>
      </c>
      <c r="AK290" s="359"/>
      <c r="AL290" s="359"/>
      <c r="AM290" s="359"/>
      <c r="AN290" s="287">
        <f>IFERROR(Y290*AJ290/Y296,)</f>
        <v>0</v>
      </c>
      <c r="AO290" s="197" t="str">
        <f>IFERROR(VLOOKUP($G290,нормы!$A$14:$BC$57,53,0)*$W290,"")</f>
        <v/>
      </c>
      <c r="AP290" s="288">
        <f>IFERROR(Y290*AI290/Y296,)</f>
        <v>0</v>
      </c>
      <c r="AQ290" s="197" t="str">
        <f>IFERROR(VLOOKUP($G290,нормы!$A$14:$BC$57,54,0)*$W290,"")</f>
        <v/>
      </c>
      <c r="AR290" s="288">
        <f>IFERROR(AS290/SUM(AS290:AS295)*AL290,0)</f>
        <v>0</v>
      </c>
      <c r="AS290" s="197" t="str">
        <f>IFERROR(VLOOKUP($G290,нормы!$A$14:$BC$57,55,0)*W290,"")</f>
        <v/>
      </c>
      <c r="AT290" s="288">
        <f>IFERROR(AU290/SUM(AU290:AU295)*AM290,0)</f>
        <v>0</v>
      </c>
      <c r="AU290" s="197" t="str">
        <f>IFERROR(VLOOKUP($G290,нормы!$A$14:$BI$57,56,0)*W290,"")</f>
        <v/>
      </c>
      <c r="AV290" s="288">
        <f>IFERROR(AW290/SUM(AW290:AW295)*AK290,0)</f>
        <v>0</v>
      </c>
      <c r="AW290" s="202" t="str">
        <f>IFERROR(VLOOKUP($G290,нормы!$A$14:$BI$57,57,0)*W290,"")</f>
        <v/>
      </c>
      <c r="AX290" s="33"/>
      <c r="AY290" s="203" t="str">
        <f>IFERROR(VLOOKUP($G290,нормы!$A$14:$BI$57,58,0)*W290,"")</f>
        <v/>
      </c>
      <c r="AZ290" s="204"/>
      <c r="BA290" s="200" t="str">
        <f>IFERROR(VLOOKUP($G290,нормы!$A$14:$BI$57,61,0)*$W290,"")</f>
        <v/>
      </c>
      <c r="BB290" s="33"/>
      <c r="BC290" s="203" t="str">
        <f>IFERROR(VLOOKUP($G290,нормы!$A$14:$BI$57,60,0)*W290,"")</f>
        <v/>
      </c>
      <c r="BD290" s="200" t="str">
        <f>IFERROR(VLOOKUP($G290,нормы!$A$14:$BG$57,44,0),"")</f>
        <v/>
      </c>
      <c r="BE290" s="199" t="str">
        <f>IFERROR(W290/VLOOKUP($G290,нормы!$A$14:$BI$57,45,0),"")</f>
        <v/>
      </c>
    </row>
    <row r="291" spans="1:57" s="1" customFormat="1" ht="21.6" customHeight="1" x14ac:dyDescent="0.4">
      <c r="A291" s="37" t="str">
        <f t="shared" ref="A291:A319" si="122">A290</f>
        <v>5Н</v>
      </c>
      <c r="B291" s="12">
        <f t="shared" ref="B291:D295" si="123">B290</f>
        <v>46027</v>
      </c>
      <c r="C291" s="97">
        <f t="shared" si="123"/>
        <v>0</v>
      </c>
      <c r="D291" s="97">
        <f t="shared" si="123"/>
        <v>1</v>
      </c>
      <c r="E291" s="54"/>
      <c r="F291" s="151" t="str">
        <f>IFERROR(VLOOKUP($G291,нормы!$A$14:$BC$57,2,0),"")</f>
        <v/>
      </c>
      <c r="G291" s="93"/>
      <c r="H291" s="54">
        <f t="shared" ref="H291:H295" si="124">IF(C291=1,"Кульков С.А.", IF(C291=2,"Чудаков А.А.",IF(C291=3,"Королев В.Н.",IF(C291=4,"Николашин М.П.",IF(C291=5," Кульков С.А.",IF(C291=6,"А.А. Чудаков",IF(C291=7,"В.Н. Королев",IF(C291=8,"М.П. Николашин",0))))))))</f>
        <v>0</v>
      </c>
      <c r="I291" s="55"/>
      <c r="J291" s="333"/>
      <c r="K291" s="30">
        <f>IFERROR(VLOOKUP($G291,[1]нормы!$A$21:$BC$151,15,0),"")</f>
        <v>0</v>
      </c>
      <c r="L291" s="31">
        <f>IFERROR(VLOOKUP($G291,[1]нормы!$A$21:$BC$151,17,0),"")</f>
        <v>0</v>
      </c>
      <c r="M291" s="306">
        <f>IFERROR(VLOOKUP($G291,[1]нормы!$A$21:$BC$151,27,0),"")</f>
        <v>0</v>
      </c>
      <c r="N291" s="307" t="str">
        <f>IFERROR(Y291/Y296*(1.1*J290*I295),"")</f>
        <v/>
      </c>
      <c r="O291" s="300">
        <f>IFERROR(VLOOKUP($G291,[1]нормы!$A$21:$BC$151,21,0),"")</f>
        <v>0</v>
      </c>
      <c r="P291" s="35">
        <f>IFERROR(VLOOKUP($G291,[1]нормы!$A$21:$BC$151,19,0),"")</f>
        <v>0</v>
      </c>
      <c r="Q291" s="35">
        <f>IFERROR(VLOOKUP($G291,[1]нормы!$A$21:$BC$151,23,0),"")</f>
        <v>0</v>
      </c>
      <c r="R291" s="231">
        <f>IFERROR(VLOOKUP($G291,[1]нормы!$A$21:$BC$151,29,0),"")</f>
        <v>0</v>
      </c>
      <c r="S291" s="35">
        <f>IFERROR(VLOOKUP($G291,[1]нормы!$A$21:$BC$151,31,0),"")</f>
        <v>0</v>
      </c>
      <c r="T291" s="32">
        <f>IFERROR(VLOOKUP($G291,[1]нормы!$A$21:$BC$151,25,0),"")</f>
        <v>0</v>
      </c>
      <c r="U291" s="233" t="str">
        <f>IFERROR(W291/(((100*Y291/Y296)*I295)/100),"")</f>
        <v/>
      </c>
      <c r="V291" s="234" t="str">
        <f>IFERROR(VLOOKUP($G291,нормы!$A$14:$BC$57,38,0),"")</f>
        <v/>
      </c>
      <c r="W291" s="136"/>
      <c r="X291" s="237"/>
      <c r="Y291" s="152" t="str">
        <f>IFERROR(VLOOKUP($G291,нормы!$A$14:$BC$57,42,0)*W291,"")</f>
        <v/>
      </c>
      <c r="Z291" s="163">
        <f>IFERROR(VLOOKUP($G291,нормы!$A$14:$BC$57,14,0)*W291/1000,0)</f>
        <v>0</v>
      </c>
      <c r="AA291" s="142"/>
      <c r="AB291" s="35"/>
      <c r="AC291" s="35"/>
      <c r="AD291" s="35"/>
      <c r="AE291" s="31"/>
      <c r="AF291" s="160"/>
      <c r="AG291" s="391"/>
      <c r="AH291" s="394"/>
      <c r="AI291" s="397"/>
      <c r="AJ291" s="408"/>
      <c r="AK291" s="360"/>
      <c r="AL291" s="360"/>
      <c r="AM291" s="360"/>
      <c r="AN291" s="289">
        <f>IFERROR(Y291*AJ290/Y296,)</f>
        <v>0</v>
      </c>
      <c r="AO291" s="197" t="str">
        <f>IFERROR(VLOOKUP($G291,нормы!$A$14:$BC$57,53,0)*$W291,"")</f>
        <v/>
      </c>
      <c r="AP291" s="290">
        <f>IFERROR(Y291*AI290/Y296,)</f>
        <v>0</v>
      </c>
      <c r="AQ291" s="197" t="str">
        <f>IFERROR(VLOOKUP($G291,нормы!$A$14:$BC$57,54,0)*$W291,"")</f>
        <v/>
      </c>
      <c r="AR291" s="290">
        <f>IFERROR(AS291/SUM(AS290:AS295)*AL290,0)</f>
        <v>0</v>
      </c>
      <c r="AS291" s="197" t="str">
        <f>IFERROR(VLOOKUP($G291,нормы!$A$14:$BC$57,55,0)*W291,"")</f>
        <v/>
      </c>
      <c r="AT291" s="290">
        <f>IFERROR(AU291/SUM(AU290:AU295)*AM290,0)</f>
        <v>0</v>
      </c>
      <c r="AU291" s="197" t="str">
        <f>IFERROR(VLOOKUP($G291,нормы!$A$14:$BI$57,56,0)*W291,"")</f>
        <v/>
      </c>
      <c r="AV291" s="290">
        <f>IFERROR(AW291/SUM(AW290:AW295)*AK290,0)</f>
        <v>0</v>
      </c>
      <c r="AW291" s="202" t="str">
        <f>IFERROR(VLOOKUP($G291,нормы!$A$14:$BI$57,57,0)*W291,"")</f>
        <v/>
      </c>
      <c r="AX291" s="30"/>
      <c r="AY291" s="203" t="str">
        <f>IFERROR(VLOOKUP($G291,нормы!$A$14:$BI$57,58,0)*W291,"")</f>
        <v/>
      </c>
      <c r="AZ291" s="205"/>
      <c r="BA291" s="200" t="str">
        <f>IFERROR(VLOOKUP($G291,нормы!$A$14:$BI$57,61,0)*$W291,"")</f>
        <v/>
      </c>
      <c r="BB291" s="30"/>
      <c r="BC291" s="203" t="str">
        <f>IFERROR(VLOOKUP($G291,нормы!$A$14:$BI$57,60,0)*W291,"")</f>
        <v/>
      </c>
      <c r="BD291" s="200" t="str">
        <f>IFERROR(VLOOKUP($G291,нормы!$A$14:$BG$57,44,0),"")</f>
        <v/>
      </c>
      <c r="BE291" s="199" t="str">
        <f>IFERROR(W291/VLOOKUP($G291,нормы!$A$14:$BI$57,45,0),"")</f>
        <v/>
      </c>
    </row>
    <row r="292" spans="1:57" s="1" customFormat="1" ht="20.25" customHeight="1" x14ac:dyDescent="0.4">
      <c r="A292" s="37" t="str">
        <f t="shared" si="122"/>
        <v>5Н</v>
      </c>
      <c r="B292" s="12">
        <f t="shared" si="123"/>
        <v>46027</v>
      </c>
      <c r="C292" s="97">
        <f t="shared" si="123"/>
        <v>0</v>
      </c>
      <c r="D292" s="97">
        <f t="shared" si="123"/>
        <v>1</v>
      </c>
      <c r="E292" s="54"/>
      <c r="F292" s="151" t="str">
        <f>IFERROR(VLOOKUP($G292,нормы!$A$14:$BC$57,2,0),"")</f>
        <v/>
      </c>
      <c r="G292" s="38"/>
      <c r="H292" s="54">
        <f t="shared" si="124"/>
        <v>0</v>
      </c>
      <c r="I292" s="89" t="s">
        <v>85</v>
      </c>
      <c r="J292" s="333"/>
      <c r="K292" s="30">
        <f>IFERROR(VLOOKUP($G292,[1]нормы!$A$21:$BC$151,15,0),"")</f>
        <v>0</v>
      </c>
      <c r="L292" s="31">
        <f>IFERROR(VLOOKUP($G292,[1]нормы!$A$21:$BC$151,17,0),"")</f>
        <v>0</v>
      </c>
      <c r="M292" s="306">
        <f>IFERROR(VLOOKUP($G292,[1]нормы!$A$21:$BC$151,27,0),"")</f>
        <v>0</v>
      </c>
      <c r="N292" s="307" t="str">
        <f>IFERROR(Y292/Y296*(1.1*J290*I295),"")</f>
        <v/>
      </c>
      <c r="O292" s="300">
        <f>IFERROR(VLOOKUP($G292,[1]нормы!$A$21:$BC$151,21,0),"")</f>
        <v>0</v>
      </c>
      <c r="P292" s="35">
        <f>IFERROR(VLOOKUP($G292,[1]нормы!$A$21:$BC$151,19,0),"")</f>
        <v>0</v>
      </c>
      <c r="Q292" s="35">
        <f>IFERROR(VLOOKUP($G292,[1]нормы!$A$21:$BC$151,23,0),"")</f>
        <v>0</v>
      </c>
      <c r="R292" s="231">
        <f>IFERROR(VLOOKUP($G292,[1]нормы!$A$21:$BC$151,29,0),"")</f>
        <v>0</v>
      </c>
      <c r="S292" s="35">
        <f>IFERROR(VLOOKUP($G292,[1]нормы!$A$21:$BC$151,31,0),"")</f>
        <v>0</v>
      </c>
      <c r="T292" s="32">
        <f>IFERROR(VLOOKUP($G292,[1]нормы!$A$21:$BC$151,25,0),"")</f>
        <v>0</v>
      </c>
      <c r="U292" s="233" t="str">
        <f>IFERROR(W292/(((100*Y292/Y296)*I295)/100),"")</f>
        <v/>
      </c>
      <c r="V292" s="234" t="str">
        <f>IFERROR(VLOOKUP($G292,нормы!$A$14:$BC$57,38,0),"")</f>
        <v/>
      </c>
      <c r="W292" s="136"/>
      <c r="X292" s="237"/>
      <c r="Y292" s="152" t="str">
        <f>IFERROR(VLOOKUP($G292,нормы!$A$14:$BC$57,42,0)*W292,"")</f>
        <v/>
      </c>
      <c r="Z292" s="163">
        <f>IFERROR(VLOOKUP($G292,нормы!$A$14:$BC$57,14,0)*W292/1000,0)</f>
        <v>0</v>
      </c>
      <c r="AA292" s="30"/>
      <c r="AB292" s="35"/>
      <c r="AC292" s="35"/>
      <c r="AD292" s="35"/>
      <c r="AE292" s="31"/>
      <c r="AF292" s="160"/>
      <c r="AG292" s="391"/>
      <c r="AH292" s="394"/>
      <c r="AI292" s="397"/>
      <c r="AJ292" s="408"/>
      <c r="AK292" s="360"/>
      <c r="AL292" s="360"/>
      <c r="AM292" s="360"/>
      <c r="AN292" s="289">
        <f>IFERROR(Y292*AJ290/Y296,)</f>
        <v>0</v>
      </c>
      <c r="AO292" s="197" t="str">
        <f>IFERROR(VLOOKUP($G292,нормы!$A$14:$BC$57,53,0)*$W292,"")</f>
        <v/>
      </c>
      <c r="AP292" s="290">
        <f>IFERROR(Y292*AI290/Y296,)</f>
        <v>0</v>
      </c>
      <c r="AQ292" s="197" t="str">
        <f>IFERROR(VLOOKUP($G292,нормы!$A$14:$BC$57,54,0)*$W292,"")</f>
        <v/>
      </c>
      <c r="AR292" s="290">
        <f>IFERROR(AS292/SUM(AS290:AS295)*AL290,0)</f>
        <v>0</v>
      </c>
      <c r="AS292" s="197" t="str">
        <f>IFERROR(VLOOKUP($G292,нормы!$A$14:$BC$57,55,0)*W292,"")</f>
        <v/>
      </c>
      <c r="AT292" s="290">
        <f>IFERROR(AU292/SUM(AU290:AU295)*AM290,0)</f>
        <v>0</v>
      </c>
      <c r="AU292" s="197" t="str">
        <f>IFERROR(VLOOKUP($G292,нормы!$A$14:$BI$57,56,0)*W292,"")</f>
        <v/>
      </c>
      <c r="AV292" s="290">
        <f>IFERROR(AW292/SUM(AW290:AW295)*AK290,0)</f>
        <v>0</v>
      </c>
      <c r="AW292" s="202" t="str">
        <f>IFERROR(VLOOKUP($G292,нормы!$A$14:$BI$57,57,0)*W292,"")</f>
        <v/>
      </c>
      <c r="AX292" s="30"/>
      <c r="AY292" s="203" t="str">
        <f>IFERROR(VLOOKUP($G292,нормы!$A$14:$BI$57,58,0)*W292,"")</f>
        <v/>
      </c>
      <c r="AZ292" s="205"/>
      <c r="BA292" s="200" t="str">
        <f>IFERROR(VLOOKUP($G292,нормы!$A$14:$BI$57,61,0)*$W292,"")</f>
        <v/>
      </c>
      <c r="BB292" s="30"/>
      <c r="BC292" s="203" t="str">
        <f>IFERROR(VLOOKUP($G292,нормы!$A$14:$BI$57,60,0)*W292,"")</f>
        <v/>
      </c>
      <c r="BD292" s="200" t="str">
        <f>IFERROR(VLOOKUP($G292,нормы!$A$14:$BG$57,44,0),"")</f>
        <v/>
      </c>
      <c r="BE292" s="199" t="str">
        <f>IFERROR(W292/VLOOKUP($G292,нормы!$A$14:$BI$57,45,0),"")</f>
        <v/>
      </c>
    </row>
    <row r="293" spans="1:57" s="1" customFormat="1" ht="20.25" customHeight="1" x14ac:dyDescent="0.4">
      <c r="A293" s="37" t="str">
        <f t="shared" si="122"/>
        <v>5Н</v>
      </c>
      <c r="B293" s="12">
        <f t="shared" si="123"/>
        <v>46027</v>
      </c>
      <c r="C293" s="97">
        <f t="shared" si="123"/>
        <v>0</v>
      </c>
      <c r="D293" s="97">
        <f t="shared" si="123"/>
        <v>1</v>
      </c>
      <c r="E293" s="54"/>
      <c r="F293" s="151" t="str">
        <f>IFERROR(VLOOKUP($G293,нормы!$A$14:$BC$57,2,0),"")</f>
        <v/>
      </c>
      <c r="G293" s="93"/>
      <c r="H293" s="54">
        <f t="shared" si="124"/>
        <v>0</v>
      </c>
      <c r="I293" s="55"/>
      <c r="J293" s="333"/>
      <c r="K293" s="30">
        <f>IFERROR(VLOOKUP($G293,[1]нормы!$A$21:$BC$151,15,0),"")</f>
        <v>0</v>
      </c>
      <c r="L293" s="31">
        <f>IFERROR(VLOOKUP($G293,[1]нормы!$A$21:$BC$151,17,0),"")</f>
        <v>0</v>
      </c>
      <c r="M293" s="306">
        <f>IFERROR(VLOOKUP($G293,[1]нормы!$A$21:$BC$151,27,0),"")</f>
        <v>0</v>
      </c>
      <c r="N293" s="307" t="str">
        <f>IFERROR(Y293/Y296*(1.1*J290*I298),"")</f>
        <v/>
      </c>
      <c r="O293" s="300">
        <f>IFERROR(VLOOKUP($G293,[1]нормы!$A$21:$BC$151,21,0),"")</f>
        <v>0</v>
      </c>
      <c r="P293" s="35">
        <f>IFERROR(VLOOKUP($G293,[1]нормы!$A$21:$BC$151,19,0),"")</f>
        <v>0</v>
      </c>
      <c r="Q293" s="35">
        <f>IFERROR(VLOOKUP($G293,[1]нормы!$A$21:$BC$151,23,0),"")</f>
        <v>0</v>
      </c>
      <c r="R293" s="231">
        <f>IFERROR(VLOOKUP($G293,[1]нормы!$A$21:$BC$151,29,0),"")</f>
        <v>0</v>
      </c>
      <c r="S293" s="35">
        <f>IFERROR(VLOOKUP($G293,[1]нормы!$A$21:$BC$151,31,0),"")</f>
        <v>0</v>
      </c>
      <c r="T293" s="32">
        <f>IFERROR(VLOOKUP($G293,[1]нормы!$A$21:$BC$151,25,0),"")</f>
        <v>0</v>
      </c>
      <c r="U293" s="233" t="str">
        <f>IFERROR(W293/(((100*Y293/Y296)*I295)/100),"")</f>
        <v/>
      </c>
      <c r="V293" s="234" t="str">
        <f>IFERROR(VLOOKUP($G293,нормы!$A$14:$BC$57,38,0),"")</f>
        <v/>
      </c>
      <c r="W293" s="136"/>
      <c r="X293" s="237"/>
      <c r="Y293" s="152" t="str">
        <f>IFERROR(VLOOKUP($G293,нормы!$A$14:$BC$57,42,0)*W293,"")</f>
        <v/>
      </c>
      <c r="Z293" s="163">
        <f>IFERROR(VLOOKUP($G293,нормы!$A$14:$BC$57,14,0)*W293/1000,0)</f>
        <v>0</v>
      </c>
      <c r="AA293" s="30"/>
      <c r="AB293" s="35"/>
      <c r="AC293" s="35"/>
      <c r="AD293" s="35"/>
      <c r="AE293" s="31"/>
      <c r="AF293" s="160"/>
      <c r="AG293" s="391"/>
      <c r="AH293" s="394"/>
      <c r="AI293" s="397"/>
      <c r="AJ293" s="408"/>
      <c r="AK293" s="360"/>
      <c r="AL293" s="360"/>
      <c r="AM293" s="360"/>
      <c r="AN293" s="289">
        <f>IFERROR(Y293*AJ290/Y296,)</f>
        <v>0</v>
      </c>
      <c r="AO293" s="197" t="str">
        <f>IFERROR(VLOOKUP($G293,нормы!$A$14:$BC$57,53,0)*$W293,"")</f>
        <v/>
      </c>
      <c r="AP293" s="290">
        <f>IFERROR(Y293*AI290/Y296,)</f>
        <v>0</v>
      </c>
      <c r="AQ293" s="197" t="str">
        <f>IFERROR(VLOOKUP($G293,нормы!$A$14:$BC$57,54,0)*$W293,"")</f>
        <v/>
      </c>
      <c r="AR293" s="290">
        <f>IFERROR(AS293/SUM(AS290:AS295)*AL290,0)</f>
        <v>0</v>
      </c>
      <c r="AS293" s="197" t="str">
        <f>IFERROR(VLOOKUP($G293,нормы!$A$14:$BC$57,55,0)*W293,"")</f>
        <v/>
      </c>
      <c r="AT293" s="290">
        <f>IFERROR(AU293/SUM(AU290:AU295)*AM290,0)</f>
        <v>0</v>
      </c>
      <c r="AU293" s="197" t="str">
        <f>IFERROR(VLOOKUP($G293,нормы!$A$14:$BI$57,56,0)*W293,"")</f>
        <v/>
      </c>
      <c r="AV293" s="290">
        <f>IFERROR(AW293/SUM(AW290:AW295)*AK290,0)</f>
        <v>0</v>
      </c>
      <c r="AW293" s="202" t="str">
        <f>IFERROR(VLOOKUP($G293,нормы!$A$14:$BI$57,57,0)*W293,"")</f>
        <v/>
      </c>
      <c r="AX293" s="30"/>
      <c r="AY293" s="203" t="str">
        <f>IFERROR(VLOOKUP($G293,нормы!$A$14:$BI$57,58,0)*W293,"")</f>
        <v/>
      </c>
      <c r="AZ293" s="205"/>
      <c r="BA293" s="200" t="str">
        <f>IFERROR(VLOOKUP($G293,нормы!$A$14:$BI$57,61,0)*$W293,"")</f>
        <v/>
      </c>
      <c r="BB293" s="30"/>
      <c r="BC293" s="203" t="str">
        <f>IFERROR(VLOOKUP($G293,нормы!$A$14:$BI$57,60,0)*W293,"")</f>
        <v/>
      </c>
      <c r="BD293" s="200" t="str">
        <f>IFERROR(VLOOKUP($G293,нормы!$A$14:$BG$57,44,0),"")</f>
        <v/>
      </c>
      <c r="BE293" s="199" t="str">
        <f>IFERROR(W293/VLOOKUP($G293,нормы!$A$14:$BI$57,45,0),"")</f>
        <v/>
      </c>
    </row>
    <row r="294" spans="1:57" s="1" customFormat="1" ht="20.25" customHeight="1" x14ac:dyDescent="0.4">
      <c r="A294" s="37" t="str">
        <f t="shared" si="122"/>
        <v>5Н</v>
      </c>
      <c r="B294" s="12">
        <f t="shared" si="123"/>
        <v>46027</v>
      </c>
      <c r="C294" s="97">
        <f t="shared" si="123"/>
        <v>0</v>
      </c>
      <c r="D294" s="97">
        <f t="shared" si="123"/>
        <v>1</v>
      </c>
      <c r="E294" s="54"/>
      <c r="F294" s="151" t="str">
        <f>IFERROR(VLOOKUP($G294,нормы!$A$14:$BC$57,2,0),"")</f>
        <v/>
      </c>
      <c r="G294" s="38"/>
      <c r="H294" s="54">
        <f t="shared" si="124"/>
        <v>0</v>
      </c>
      <c r="I294" s="89" t="s">
        <v>73</v>
      </c>
      <c r="J294" s="333"/>
      <c r="K294" s="30">
        <f>IFERROR(VLOOKUP($G294,[1]нормы!$A$21:$BC$151,15,0),"")</f>
        <v>0</v>
      </c>
      <c r="L294" s="31">
        <f>IFERROR(VLOOKUP($G294,[1]нормы!$A$21:$BC$151,17,0),"")</f>
        <v>0</v>
      </c>
      <c r="M294" s="306">
        <f>IFERROR(VLOOKUP($G294,[1]нормы!$A$21:$BC$151,27,0),"")</f>
        <v>0</v>
      </c>
      <c r="N294" s="307" t="str">
        <f>IFERROR(Y294/Y296*(1.1*J290*I299),"")</f>
        <v/>
      </c>
      <c r="O294" s="300">
        <f>IFERROR(VLOOKUP($G294,[1]нормы!$A$21:$BC$151,21,0),"")</f>
        <v>0</v>
      </c>
      <c r="P294" s="35">
        <f>IFERROR(VLOOKUP($G294,[1]нормы!$A$21:$BC$151,19,0),"")</f>
        <v>0</v>
      </c>
      <c r="Q294" s="35">
        <f>IFERROR(VLOOKUP($G294,[1]нормы!$A$21:$BC$151,23,0),"")</f>
        <v>0</v>
      </c>
      <c r="R294" s="231">
        <f>IFERROR(VLOOKUP($G294,[1]нормы!$A$21:$BC$151,29,0),"")</f>
        <v>0</v>
      </c>
      <c r="S294" s="35">
        <f>IFERROR(VLOOKUP($G294,[1]нормы!$A$21:$BC$151,31,0),"")</f>
        <v>0</v>
      </c>
      <c r="T294" s="32">
        <f>IFERROR(VLOOKUP($G294,[1]нормы!$A$21:$BC$151,25,0),"")</f>
        <v>0</v>
      </c>
      <c r="U294" s="233" t="str">
        <f>IFERROR(W294/(((100*Y294/Y296)*I295)/100),"")</f>
        <v/>
      </c>
      <c r="V294" s="234" t="str">
        <f>IFERROR(VLOOKUP($G294,нормы!$A$14:$BC$57,38,0),"")</f>
        <v/>
      </c>
      <c r="W294" s="136"/>
      <c r="X294" s="237"/>
      <c r="Y294" s="152" t="str">
        <f>IFERROR(VLOOKUP($G294,нормы!$A$14:$BC$57,42,0)*W294,"")</f>
        <v/>
      </c>
      <c r="Z294" s="163">
        <f>IFERROR(VLOOKUP($G294,нормы!$A$14:$BC$57,14,0)*W294/1000,0)</f>
        <v>0</v>
      </c>
      <c r="AA294" s="30"/>
      <c r="AB294" s="35"/>
      <c r="AC294" s="35"/>
      <c r="AD294" s="35"/>
      <c r="AE294" s="31"/>
      <c r="AF294" s="160"/>
      <c r="AG294" s="391"/>
      <c r="AH294" s="394"/>
      <c r="AI294" s="397"/>
      <c r="AJ294" s="408"/>
      <c r="AK294" s="360"/>
      <c r="AL294" s="360"/>
      <c r="AM294" s="360"/>
      <c r="AN294" s="289">
        <f>IFERROR(Y294*AJ290/Y296,)</f>
        <v>0</v>
      </c>
      <c r="AO294" s="197" t="str">
        <f>IFERROR(VLOOKUP($G294,нормы!$A$14:$BC$57,53,0)*$W294,"")</f>
        <v/>
      </c>
      <c r="AP294" s="290">
        <f>IFERROR(Y294*AI290/Y296,)</f>
        <v>0</v>
      </c>
      <c r="AQ294" s="197" t="str">
        <f>IFERROR(VLOOKUP($G294,нормы!$A$14:$BC$57,54,0)*$W294,"")</f>
        <v/>
      </c>
      <c r="AR294" s="290">
        <f>IFERROR(AS294/SUM(AS290:AS295)*AL290,0)</f>
        <v>0</v>
      </c>
      <c r="AS294" s="197" t="str">
        <f>IFERROR(VLOOKUP($G294,нормы!$A$14:$BC$57,55,0)*W294,"")</f>
        <v/>
      </c>
      <c r="AT294" s="290">
        <f>IFERROR(AU294/SUM(AU290:AU295)*AM290,0)</f>
        <v>0</v>
      </c>
      <c r="AU294" s="197" t="str">
        <f>IFERROR(VLOOKUP($G294,нормы!$A$14:$BI$57,56,0)*W294,"")</f>
        <v/>
      </c>
      <c r="AV294" s="290">
        <f>IFERROR(AW294/SUM(AW290:AW295)*AK290,0)</f>
        <v>0</v>
      </c>
      <c r="AW294" s="202" t="str">
        <f>IFERROR(VLOOKUP($G294,нормы!$A$14:$BI$57,57,0)*W294,"")</f>
        <v/>
      </c>
      <c r="AX294" s="30"/>
      <c r="AY294" s="203" t="str">
        <f>IFERROR(VLOOKUP($G294,нормы!$A$14:$BI$57,58,0)*W294,"")</f>
        <v/>
      </c>
      <c r="AZ294" s="205"/>
      <c r="BA294" s="200" t="str">
        <f>IFERROR(VLOOKUP($G294,нормы!$A$14:$BI$57,61,0)*$W294,"")</f>
        <v/>
      </c>
      <c r="BB294" s="30"/>
      <c r="BC294" s="203" t="str">
        <f>IFERROR(VLOOKUP($G294,нормы!$A$14:$BI$57,60,0)*W294,"")</f>
        <v/>
      </c>
      <c r="BD294" s="200" t="str">
        <f>IFERROR(VLOOKUP($G294,нормы!$A$14:$BG$57,44,0),"")</f>
        <v/>
      </c>
      <c r="BE294" s="199" t="str">
        <f>IFERROR(W294/VLOOKUP($G294,нормы!$A$14:$BI$57,45,0),"")</f>
        <v/>
      </c>
    </row>
    <row r="295" spans="1:57" s="1" customFormat="1" ht="21" customHeight="1" thickBot="1" x14ac:dyDescent="0.45">
      <c r="A295" s="37" t="str">
        <f t="shared" si="122"/>
        <v>5Н</v>
      </c>
      <c r="B295" s="12">
        <f t="shared" si="123"/>
        <v>46027</v>
      </c>
      <c r="C295" s="97">
        <f t="shared" si="123"/>
        <v>0</v>
      </c>
      <c r="D295" s="97">
        <f t="shared" si="123"/>
        <v>1</v>
      </c>
      <c r="E295" s="54"/>
      <c r="F295" s="151" t="str">
        <f>IFERROR(VLOOKUP($G295,нормы!$A$14:$BC$57,2,0),"")</f>
        <v/>
      </c>
      <c r="G295" s="93"/>
      <c r="H295" s="63">
        <f t="shared" si="124"/>
        <v>0</v>
      </c>
      <c r="I295" s="153">
        <f>I291+I293</f>
        <v>0</v>
      </c>
      <c r="J295" s="334"/>
      <c r="K295" s="30">
        <f>IFERROR(VLOOKUP($G295,[1]нормы!$A$21:$BC$151,15,0),"")</f>
        <v>0</v>
      </c>
      <c r="L295" s="31">
        <f>IFERROR(VLOOKUP($G295,[1]нормы!$A$21:$BC$151,17,0),"")</f>
        <v>0</v>
      </c>
      <c r="M295" s="308">
        <f>IFERROR(VLOOKUP($G295,[1]нормы!$A$21:$BC$151,27,0),"")</f>
        <v>0</v>
      </c>
      <c r="N295" s="309" t="str">
        <f>IFERROR(Y295/Y296*(1.1*J290*I300),"")</f>
        <v/>
      </c>
      <c r="O295" s="300">
        <f>IFERROR(VLOOKUP($G295,[1]нормы!$A$21:$BC$151,21,0),"")</f>
        <v>0</v>
      </c>
      <c r="P295" s="35">
        <f>IFERROR(VLOOKUP($G295,[1]нормы!$A$21:$BC$151,19,0),"")</f>
        <v>0</v>
      </c>
      <c r="Q295" s="35">
        <f>IFERROR(VLOOKUP($G295,[1]нормы!$A$21:$BC$151,23,0),"")</f>
        <v>0</v>
      </c>
      <c r="R295" s="231">
        <f>IFERROR(VLOOKUP($G295,[1]нормы!$A$21:$BC$151,29,0),"")</f>
        <v>0</v>
      </c>
      <c r="S295" s="35">
        <f>IFERROR(VLOOKUP($G295,[1]нормы!$A$21:$BC$151,31,0),"")</f>
        <v>0</v>
      </c>
      <c r="T295" s="32">
        <f>IFERROR(VLOOKUP($G295,[1]нормы!$A$21:$BC$151,25,0),"")</f>
        <v>0</v>
      </c>
      <c r="U295" s="235" t="str">
        <f>IFERROR(W295/(((100*Y295/Y296)*I295)/100),"")</f>
        <v/>
      </c>
      <c r="V295" s="234" t="str">
        <f>IFERROR(VLOOKUP($G295,нормы!$A$14:$BC$57,38,0),"")</f>
        <v/>
      </c>
      <c r="W295" s="154"/>
      <c r="X295" s="238"/>
      <c r="Y295" s="152" t="str">
        <f>IFERROR(VLOOKUP($G295,нормы!$A$14:$BC$57,42,0)*W295,"")</f>
        <v/>
      </c>
      <c r="Z295" s="163">
        <f>IFERROR(VLOOKUP($G295,нормы!$A$14:$BC$57,14,0)*W295/1000,0)</f>
        <v>0</v>
      </c>
      <c r="AA295" s="56"/>
      <c r="AB295" s="58"/>
      <c r="AC295" s="58"/>
      <c r="AD295" s="58"/>
      <c r="AE295" s="57"/>
      <c r="AF295" s="161"/>
      <c r="AG295" s="392"/>
      <c r="AH295" s="395"/>
      <c r="AI295" s="398"/>
      <c r="AJ295" s="409"/>
      <c r="AK295" s="361"/>
      <c r="AL295" s="361"/>
      <c r="AM295" s="361"/>
      <c r="AN295" s="291">
        <f>IFERROR(Y295*AJ290/Y296,)</f>
        <v>0</v>
      </c>
      <c r="AO295" s="197" t="str">
        <f>IFERROR(VLOOKUP($G295,нормы!$A$14:$BC$57,53,0)*$W295,"")</f>
        <v/>
      </c>
      <c r="AP295" s="292">
        <f>IFERROR(Y295*AI290/Y296,)</f>
        <v>0</v>
      </c>
      <c r="AQ295" s="197" t="str">
        <f>IFERROR(VLOOKUP($G295,нормы!$A$14:$BC$57,54,0)*$W295,"")</f>
        <v/>
      </c>
      <c r="AR295" s="290">
        <f>IFERROR(AS295/SUM(AS290:AS295)*AL290,0)</f>
        <v>0</v>
      </c>
      <c r="AS295" s="197" t="str">
        <f>IFERROR(VLOOKUP($G295,нормы!$A$14:$BC$57,55,0)*W295,"")</f>
        <v/>
      </c>
      <c r="AT295" s="292">
        <f>IFERROR(AU295/SUM(AU290:AU295)*AM290,0)</f>
        <v>0</v>
      </c>
      <c r="AU295" s="197" t="str">
        <f>IFERROR(VLOOKUP($G295,нормы!$A$14:$BI$57,56,0)*W295,"")</f>
        <v/>
      </c>
      <c r="AV295" s="292">
        <f>IFERROR(AW295/SUM(AW290:AW295)*AK290,0)</f>
        <v>0</v>
      </c>
      <c r="AW295" s="202" t="str">
        <f>IFERROR(VLOOKUP($G295,нормы!$A$14:$BI$57,57,0)*W295,"")</f>
        <v/>
      </c>
      <c r="AX295" s="56"/>
      <c r="AY295" s="203" t="str">
        <f>IFERROR(VLOOKUP($G295,нормы!$A$14:$BI$57,58,0)*W295,"")</f>
        <v/>
      </c>
      <c r="AZ295" s="206"/>
      <c r="BA295" s="200" t="str">
        <f>IFERROR(VLOOKUP($G295,нормы!$A$14:$BI$57,61,0)*$W295,"")</f>
        <v/>
      </c>
      <c r="BB295" s="56"/>
      <c r="BC295" s="203" t="str">
        <f>IFERROR(VLOOKUP($G295,нормы!$A$14:$BI$57,60,0)*W295,"")</f>
        <v/>
      </c>
      <c r="BD295" s="200" t="str">
        <f>IFERROR(VLOOKUP($G295,нормы!$A$14:$BG$57,44,0),"")</f>
        <v/>
      </c>
      <c r="BE295" s="199" t="str">
        <f>IFERROR(W295/VLOOKUP($G295,нормы!$A$14:$BI$57,45,0),"")</f>
        <v/>
      </c>
    </row>
    <row r="296" spans="1:57" s="1" customFormat="1" ht="29.4" customHeight="1" thickBot="1" x14ac:dyDescent="0.45">
      <c r="A296" s="37" t="str">
        <f t="shared" si="122"/>
        <v>5Н</v>
      </c>
      <c r="B296" s="59"/>
      <c r="C296" s="51"/>
      <c r="D296" s="51"/>
      <c r="E296" s="51"/>
      <c r="F296" s="295" t="s">
        <v>149</v>
      </c>
      <c r="G296" s="51"/>
      <c r="H296" s="51"/>
      <c r="I296" s="60"/>
      <c r="J296" s="60"/>
      <c r="K296" s="319" t="s">
        <v>213</v>
      </c>
      <c r="L296" s="316"/>
      <c r="M296" s="303" t="s">
        <v>213</v>
      </c>
      <c r="N296" s="317">
        <f>SUM(N290:N295)</f>
        <v>0</v>
      </c>
      <c r="O296" s="304" t="s">
        <v>216</v>
      </c>
      <c r="P296" s="318">
        <f>N296*8.937/1000</f>
        <v>0</v>
      </c>
      <c r="Q296" s="305" t="s">
        <v>215</v>
      </c>
      <c r="R296" s="61"/>
      <c r="S296" s="61"/>
      <c r="T296" s="61"/>
      <c r="U296" s="109"/>
      <c r="V296" s="109"/>
      <c r="W296" s="94"/>
      <c r="X296" s="155"/>
      <c r="Y296" s="96">
        <f>SUM(Y290:Y295)</f>
        <v>0</v>
      </c>
      <c r="Z296" s="164">
        <f>SUM(Z290:Z295)</f>
        <v>0</v>
      </c>
      <c r="AA296" s="62"/>
      <c r="AB296" s="62"/>
      <c r="AC296" s="62"/>
      <c r="AD296" s="62"/>
      <c r="AE296" s="62"/>
      <c r="AF296" s="62"/>
      <c r="AG296" s="162" t="s">
        <v>140</v>
      </c>
      <c r="AH296" s="162" t="s">
        <v>141</v>
      </c>
      <c r="AI296" s="162" t="s">
        <v>142</v>
      </c>
      <c r="AJ296" s="91" t="s">
        <v>126</v>
      </c>
      <c r="AK296" s="198" t="s">
        <v>136</v>
      </c>
      <c r="AL296" s="198" t="s">
        <v>137</v>
      </c>
      <c r="AM296" s="198" t="s">
        <v>138</v>
      </c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53" t="str">
        <f>IFERROR(W296/VLOOKUP($G296,нормы!$A$14:$BI$15,28,0),"")</f>
        <v/>
      </c>
    </row>
    <row r="297" spans="1:57" s="1" customFormat="1" ht="21.6" customHeight="1" x14ac:dyDescent="0.4">
      <c r="A297" s="37" t="str">
        <f t="shared" si="122"/>
        <v>5Н</v>
      </c>
      <c r="B297" s="12">
        <f>B295</f>
        <v>46027</v>
      </c>
      <c r="C297" s="97"/>
      <c r="D297" s="97">
        <v>2</v>
      </c>
      <c r="E297" s="29"/>
      <c r="F297" s="151" t="str">
        <f>IFERROR(VLOOKUP($G297,нормы!$A$14:$BC$57,2,0),"")</f>
        <v/>
      </c>
      <c r="G297" s="93"/>
      <c r="H297" s="54">
        <f>IF(C297=1,"Кульков С.А.", IF(C297=2,"Чудаков А.А.",IF(C297=3,"Королев В.Н.",IF(C297=4,"Николашин М.П.",IF(C297=5," Кульков С.А.",IF(C297=6,"А.А. Чудаков",IF(C297=7,"В.Н. Королев",IF(C297=8,"М.П. Николашин",0))))))))</f>
        <v>0</v>
      </c>
      <c r="I297" s="88" t="s">
        <v>211</v>
      </c>
      <c r="J297" s="332"/>
      <c r="K297" s="30">
        <f>IFERROR(VLOOKUP($G297,[1]нормы!$A$21:$BC$151,15,0),"")</f>
        <v>0</v>
      </c>
      <c r="L297" s="31">
        <f>IFERROR(VLOOKUP($G297,[1]нормы!$A$21:$BC$151,17,0),"")</f>
        <v>0</v>
      </c>
      <c r="M297" s="310">
        <f>IFERROR(VLOOKUP($G297,[1]нормы!$A$21:$BC$151,27,0),"")</f>
        <v>0</v>
      </c>
      <c r="N297" s="311" t="str">
        <f>IFERROR(Y297/Y303*(1.1*J297*I302),"")</f>
        <v/>
      </c>
      <c r="O297" s="300">
        <f>IFERROR(VLOOKUP($G297,[1]нормы!$A$21:$BC$151,21,0),"")</f>
        <v>0</v>
      </c>
      <c r="P297" s="35">
        <f>IFERROR(VLOOKUP($G297,[1]нормы!$A$21:$BC$151,19,0),"")</f>
        <v>0</v>
      </c>
      <c r="Q297" s="35">
        <f>IFERROR(VLOOKUP($G297,[1]нормы!$A$21:$BC$151,23,0),"")</f>
        <v>0</v>
      </c>
      <c r="R297" s="231">
        <f>IFERROR(VLOOKUP($G297,[1]нормы!$A$21:$BC$151,29,0),"")</f>
        <v>0</v>
      </c>
      <c r="S297" s="35">
        <f>IFERROR(VLOOKUP($G297,[1]нормы!$A$21:$BC$151,31,0),"")</f>
        <v>0</v>
      </c>
      <c r="T297" s="32">
        <f>IFERROR(VLOOKUP($G297,[1]нормы!$A$21:$BC$151,25,0),"")</f>
        <v>0</v>
      </c>
      <c r="U297" s="232" t="str">
        <f>IFERROR(W297/(((100*Y297/Y303)*I302)/100),"")</f>
        <v/>
      </c>
      <c r="V297" s="234" t="str">
        <f>IFERROR(VLOOKUP($G297,нормы!$A$14:$BC$57,38,0),"")</f>
        <v/>
      </c>
      <c r="W297" s="136"/>
      <c r="X297" s="236"/>
      <c r="Y297" s="152" t="str">
        <f>IFERROR(VLOOKUP($G297,нормы!$A$14:$BC$57,42,0)*W297,"")</f>
        <v/>
      </c>
      <c r="Z297" s="163">
        <f>IFERROR(VLOOKUP($G297,нормы!$A$14:$BC$57,14,0)*W297/1000,0)</f>
        <v>0</v>
      </c>
      <c r="AA297" s="33"/>
      <c r="AB297" s="36"/>
      <c r="AC297" s="36"/>
      <c r="AD297" s="36"/>
      <c r="AE297" s="34"/>
      <c r="AF297" s="159"/>
      <c r="AG297" s="390"/>
      <c r="AH297" s="393"/>
      <c r="AI297" s="396"/>
      <c r="AJ297" s="407">
        <f>AG297+AH297</f>
        <v>0</v>
      </c>
      <c r="AK297" s="359"/>
      <c r="AL297" s="359"/>
      <c r="AM297" s="359"/>
      <c r="AN297" s="287">
        <f>IFERROR(Y297*AJ297/Y303,)</f>
        <v>0</v>
      </c>
      <c r="AO297" s="197" t="str">
        <f>IFERROR(VLOOKUP($G297,нормы!$A$14:$BC$57,53,0)*$W297,"")</f>
        <v/>
      </c>
      <c r="AP297" s="288">
        <f>IFERROR(Y297*AI297/Y303,)</f>
        <v>0</v>
      </c>
      <c r="AQ297" s="197" t="str">
        <f>IFERROR(VLOOKUP($G297,нормы!$A$14:$BC$57,54,0)*$W297,"")</f>
        <v/>
      </c>
      <c r="AR297" s="288">
        <f>IFERROR(AS297/SUM(AS297:AS302)*AL297,0)</f>
        <v>0</v>
      </c>
      <c r="AS297" s="197" t="str">
        <f>IFERROR(VLOOKUP($G297,нормы!$A$14:$BC$57,55,0)*W297,"")</f>
        <v/>
      </c>
      <c r="AT297" s="288">
        <f>IFERROR(AU297/SUM(AU297:AU302)*AM297,0)</f>
        <v>0</v>
      </c>
      <c r="AU297" s="197" t="str">
        <f>IFERROR(VLOOKUP($G297,нормы!$A$14:$BI$57,56,0)*W297,"")</f>
        <v/>
      </c>
      <c r="AV297" s="288">
        <f>IFERROR(AW297/SUM(AW297:AW302)*AK297,0)</f>
        <v>0</v>
      </c>
      <c r="AW297" s="202" t="str">
        <f>IFERROR(VLOOKUP($G297,нормы!$A$14:$BI$57,57,0)*W297,"")</f>
        <v/>
      </c>
      <c r="AX297" s="33"/>
      <c r="AY297" s="203" t="str">
        <f>IFERROR(VLOOKUP($G297,нормы!$A$14:$BI$57,58,0)*W297,"")</f>
        <v/>
      </c>
      <c r="AZ297" s="204"/>
      <c r="BA297" s="200" t="str">
        <f>IFERROR(VLOOKUP($G297,нормы!$A$14:$BI$57,61,0)*$W297,"")</f>
        <v/>
      </c>
      <c r="BB297" s="33"/>
      <c r="BC297" s="203" t="str">
        <f>IFERROR(VLOOKUP($G297,нормы!$A$14:$BI$57,60,0)*W297,"")</f>
        <v/>
      </c>
      <c r="BD297" s="200" t="str">
        <f>IFERROR(VLOOKUP($G297,нормы!$A$14:$BG$57,44,0),"")</f>
        <v/>
      </c>
      <c r="BE297" s="199" t="str">
        <f>IFERROR(W297/VLOOKUP($G297,нормы!$A$14:$BI$57,45,0),"")</f>
        <v/>
      </c>
    </row>
    <row r="298" spans="1:57" s="1" customFormat="1" ht="21.6" customHeight="1" x14ac:dyDescent="0.4">
      <c r="A298" s="37" t="str">
        <f t="shared" si="122"/>
        <v>5Н</v>
      </c>
      <c r="B298" s="12">
        <f t="shared" ref="B298:D302" si="125">B297</f>
        <v>46027</v>
      </c>
      <c r="C298" s="97">
        <f t="shared" si="125"/>
        <v>0</v>
      </c>
      <c r="D298" s="97">
        <f t="shared" si="125"/>
        <v>2</v>
      </c>
      <c r="E298" s="54"/>
      <c r="F298" s="151" t="str">
        <f>IFERROR(VLOOKUP($G298,нормы!$A$14:$BC$57,2,0),"")</f>
        <v/>
      </c>
      <c r="G298" s="93"/>
      <c r="H298" s="54">
        <f t="shared" ref="H298:H302" si="126">IF(C298=1,"Кульков С.А.", IF(C298=2,"Чудаков А.А.",IF(C298=3,"Королев В.Н.",IF(C298=4,"Николашин М.П.",IF(C298=5," Кульков С.А.",IF(C298=6,"А.А. Чудаков",IF(C298=7,"В.Н. Королев",IF(C298=8,"М.П. Николашин",0))))))))</f>
        <v>0</v>
      </c>
      <c r="I298" s="55"/>
      <c r="J298" s="333"/>
      <c r="K298" s="30">
        <f>IFERROR(VLOOKUP($G298,[1]нормы!$A$21:$BC$151,15,0),"")</f>
        <v>0</v>
      </c>
      <c r="L298" s="31">
        <f>IFERROR(VLOOKUP($G298,[1]нормы!$A$21:$BC$151,17,0),"")</f>
        <v>0</v>
      </c>
      <c r="M298" s="306">
        <f>IFERROR(VLOOKUP($G298,[1]нормы!$A$21:$BC$151,27,0),"")</f>
        <v>0</v>
      </c>
      <c r="N298" s="307" t="str">
        <f>IFERROR(Y298/Y303*(1.1*J297*I302),"")</f>
        <v/>
      </c>
      <c r="O298" s="300">
        <f>IFERROR(VLOOKUP($G298,[1]нормы!$A$21:$BC$151,21,0),"")</f>
        <v>0</v>
      </c>
      <c r="P298" s="35">
        <f>IFERROR(VLOOKUP($G298,[1]нормы!$A$21:$BC$151,19,0),"")</f>
        <v>0</v>
      </c>
      <c r="Q298" s="35">
        <f>IFERROR(VLOOKUP($G298,[1]нормы!$A$21:$BC$151,23,0),"")</f>
        <v>0</v>
      </c>
      <c r="R298" s="231">
        <f>IFERROR(VLOOKUP($G298,[1]нормы!$A$21:$BC$151,29,0),"")</f>
        <v>0</v>
      </c>
      <c r="S298" s="35">
        <f>IFERROR(VLOOKUP($G298,[1]нормы!$A$21:$BC$151,31,0),"")</f>
        <v>0</v>
      </c>
      <c r="T298" s="32">
        <f>IFERROR(VLOOKUP($G298,[1]нормы!$A$21:$BC$151,25,0),"")</f>
        <v>0</v>
      </c>
      <c r="U298" s="233" t="str">
        <f>IFERROR(W298/(((100*Y298/Y303)*I302)/100),"")</f>
        <v/>
      </c>
      <c r="V298" s="234" t="str">
        <f>IFERROR(VLOOKUP($G298,нормы!$A$14:$BC$57,38,0),"")</f>
        <v/>
      </c>
      <c r="W298" s="136"/>
      <c r="X298" s="237"/>
      <c r="Y298" s="152" t="str">
        <f>IFERROR(VLOOKUP($G298,нормы!$A$14:$BC$57,42,0)*W298,"")</f>
        <v/>
      </c>
      <c r="Z298" s="163">
        <f>IFERROR(VLOOKUP($G298,нормы!$A$14:$BC$57,14,0)*W298/1000,0)</f>
        <v>0</v>
      </c>
      <c r="AA298" s="142"/>
      <c r="AB298" s="35"/>
      <c r="AC298" s="35"/>
      <c r="AD298" s="35"/>
      <c r="AE298" s="31"/>
      <c r="AF298" s="160"/>
      <c r="AG298" s="391"/>
      <c r="AH298" s="394"/>
      <c r="AI298" s="397"/>
      <c r="AJ298" s="408"/>
      <c r="AK298" s="360"/>
      <c r="AL298" s="360"/>
      <c r="AM298" s="360"/>
      <c r="AN298" s="289">
        <f>IFERROR(Y298*AJ297/Y303,)</f>
        <v>0</v>
      </c>
      <c r="AO298" s="197" t="str">
        <f>IFERROR(VLOOKUP($G298,нормы!$A$14:$BC$57,53,0)*$W298,"")</f>
        <v/>
      </c>
      <c r="AP298" s="290">
        <f>IFERROR(Y298*AI297/Y303,)</f>
        <v>0</v>
      </c>
      <c r="AQ298" s="197" t="str">
        <f>IFERROR(VLOOKUP($G298,нормы!$A$14:$BC$57,54,0)*$W298,"")</f>
        <v/>
      </c>
      <c r="AR298" s="290">
        <f>IFERROR(AS298/SUM(AS297:AS302)*AL297,0)</f>
        <v>0</v>
      </c>
      <c r="AS298" s="197" t="str">
        <f>IFERROR(VLOOKUP($G298,нормы!$A$14:$BC$57,55,0)*W298,"")</f>
        <v/>
      </c>
      <c r="AT298" s="290">
        <f>IFERROR(AU298/SUM(AU297:AU302)*AM297,0)</f>
        <v>0</v>
      </c>
      <c r="AU298" s="197" t="str">
        <f>IFERROR(VLOOKUP($G298,нормы!$A$14:$BI$57,56,0)*W298,"")</f>
        <v/>
      </c>
      <c r="AV298" s="290">
        <f>IFERROR(AW298/SUM(AW297:AW302)*AK297,0)</f>
        <v>0</v>
      </c>
      <c r="AW298" s="202" t="str">
        <f>IFERROR(VLOOKUP($G298,нормы!$A$14:$BI$57,57,0)*W298,"")</f>
        <v/>
      </c>
      <c r="AX298" s="30"/>
      <c r="AY298" s="203" t="str">
        <f>IFERROR(VLOOKUP($G298,нормы!$A$14:$BI$57,58,0)*W298,"")</f>
        <v/>
      </c>
      <c r="AZ298" s="205"/>
      <c r="BA298" s="200" t="str">
        <f>IFERROR(VLOOKUP($G298,нормы!$A$14:$BI$57,61,0)*$W298,"")</f>
        <v/>
      </c>
      <c r="BB298" s="30"/>
      <c r="BC298" s="203" t="str">
        <f>IFERROR(VLOOKUP($G298,нормы!$A$14:$BI$57,60,0)*W298,"")</f>
        <v/>
      </c>
      <c r="BD298" s="200" t="str">
        <f>IFERROR(VLOOKUP($G298,нормы!$A$14:$BG$57,44,0),"")</f>
        <v/>
      </c>
      <c r="BE298" s="199" t="str">
        <f>IFERROR(W298/VLOOKUP($G298,нормы!$A$14:$BI$57,45,0),"")</f>
        <v/>
      </c>
    </row>
    <row r="299" spans="1:57" s="1" customFormat="1" ht="20.25" customHeight="1" x14ac:dyDescent="0.4">
      <c r="A299" s="37" t="str">
        <f t="shared" si="122"/>
        <v>5Н</v>
      </c>
      <c r="B299" s="12">
        <f t="shared" si="125"/>
        <v>46027</v>
      </c>
      <c r="C299" s="97">
        <f t="shared" si="125"/>
        <v>0</v>
      </c>
      <c r="D299" s="97">
        <f t="shared" si="125"/>
        <v>2</v>
      </c>
      <c r="E299" s="54"/>
      <c r="F299" s="151" t="str">
        <f>IFERROR(VLOOKUP($G299,нормы!$A$14:$BC$57,2,0),"")</f>
        <v/>
      </c>
      <c r="G299" s="38"/>
      <c r="H299" s="54">
        <f t="shared" si="126"/>
        <v>0</v>
      </c>
      <c r="I299" s="89" t="s">
        <v>212</v>
      </c>
      <c r="J299" s="333"/>
      <c r="K299" s="30">
        <f>IFERROR(VLOOKUP($G299,[1]нормы!$A$21:$BC$151,15,0),"")</f>
        <v>0</v>
      </c>
      <c r="L299" s="31">
        <f>IFERROR(VLOOKUP($G299,[1]нормы!$A$21:$BC$151,17,0),"")</f>
        <v>0</v>
      </c>
      <c r="M299" s="306">
        <f>IFERROR(VLOOKUP($G299,[1]нормы!$A$21:$BC$151,27,0),"")</f>
        <v>0</v>
      </c>
      <c r="N299" s="307" t="str">
        <f>IFERROR(Y299/Y303*(1.1*J297*I302),"")</f>
        <v/>
      </c>
      <c r="O299" s="300">
        <f>IFERROR(VLOOKUP($G299,[1]нормы!$A$21:$BC$151,21,0),"")</f>
        <v>0</v>
      </c>
      <c r="P299" s="35">
        <f>IFERROR(VLOOKUP($G299,[1]нормы!$A$21:$BC$151,19,0),"")</f>
        <v>0</v>
      </c>
      <c r="Q299" s="35">
        <f>IFERROR(VLOOKUP($G299,[1]нормы!$A$21:$BC$151,23,0),"")</f>
        <v>0</v>
      </c>
      <c r="R299" s="231">
        <f>IFERROR(VLOOKUP($G299,[1]нормы!$A$21:$BC$151,29,0),"")</f>
        <v>0</v>
      </c>
      <c r="S299" s="35">
        <f>IFERROR(VLOOKUP($G299,[1]нормы!$A$21:$BC$151,31,0),"")</f>
        <v>0</v>
      </c>
      <c r="T299" s="32">
        <f>IFERROR(VLOOKUP($G299,[1]нормы!$A$21:$BC$151,25,0),"")</f>
        <v>0</v>
      </c>
      <c r="U299" s="233" t="str">
        <f>IFERROR(W299/(((100*Y299/Y303)*I302)/100),"")</f>
        <v/>
      </c>
      <c r="V299" s="234" t="str">
        <f>IFERROR(VLOOKUP($G299,нормы!$A$14:$BC$57,38,0),"")</f>
        <v/>
      </c>
      <c r="W299" s="136"/>
      <c r="X299" s="237"/>
      <c r="Y299" s="152" t="str">
        <f>IFERROR(VLOOKUP($G299,нормы!$A$14:$BC$57,42,0)*W299,"")</f>
        <v/>
      </c>
      <c r="Z299" s="163">
        <f>IFERROR(VLOOKUP($G299,нормы!$A$14:$BC$57,14,0)*W299/1000,0)</f>
        <v>0</v>
      </c>
      <c r="AA299" s="30"/>
      <c r="AB299" s="35"/>
      <c r="AC299" s="35"/>
      <c r="AD299" s="35"/>
      <c r="AE299" s="31"/>
      <c r="AF299" s="160"/>
      <c r="AG299" s="391"/>
      <c r="AH299" s="394"/>
      <c r="AI299" s="397"/>
      <c r="AJ299" s="408"/>
      <c r="AK299" s="360"/>
      <c r="AL299" s="360"/>
      <c r="AM299" s="360"/>
      <c r="AN299" s="289">
        <f>IFERROR(Y299*AJ297/Y303,)</f>
        <v>0</v>
      </c>
      <c r="AO299" s="197" t="str">
        <f>IFERROR(VLOOKUP($G299,нормы!$A$14:$BC$57,53,0)*$W299,"")</f>
        <v/>
      </c>
      <c r="AP299" s="290">
        <f>IFERROR(Y299*AI297/Y303,)</f>
        <v>0</v>
      </c>
      <c r="AQ299" s="197" t="str">
        <f>IFERROR(VLOOKUP($G299,нормы!$A$14:$BC$57,54,0)*$W299,"")</f>
        <v/>
      </c>
      <c r="AR299" s="290">
        <f>IFERROR(AS299/SUM(AS297:AS302)*AL297,0)</f>
        <v>0</v>
      </c>
      <c r="AS299" s="197" t="str">
        <f>IFERROR(VLOOKUP($G299,нормы!$A$14:$BC$57,55,0)*W299,"")</f>
        <v/>
      </c>
      <c r="AT299" s="290">
        <f>IFERROR(AU299/SUM(AU297:AU302)*AM297,0)</f>
        <v>0</v>
      </c>
      <c r="AU299" s="197" t="str">
        <f>IFERROR(VLOOKUP($G299,нормы!$A$14:$BI$57,56,0)*W299,"")</f>
        <v/>
      </c>
      <c r="AV299" s="290">
        <f>IFERROR(AW299/SUM(AW297:AW302)*AK297,0)</f>
        <v>0</v>
      </c>
      <c r="AW299" s="202" t="str">
        <f>IFERROR(VLOOKUP($G299,нормы!$A$14:$BI$57,57,0)*W299,"")</f>
        <v/>
      </c>
      <c r="AX299" s="30"/>
      <c r="AY299" s="203" t="str">
        <f>IFERROR(VLOOKUP($G299,нормы!$A$14:$BI$57,58,0)*W299,"")</f>
        <v/>
      </c>
      <c r="AZ299" s="205"/>
      <c r="BA299" s="200" t="str">
        <f>IFERROR(VLOOKUP($G299,нормы!$A$14:$BI$57,61,0)*$W299,"")</f>
        <v/>
      </c>
      <c r="BB299" s="30"/>
      <c r="BC299" s="203" t="str">
        <f>IFERROR(VLOOKUP($G299,нормы!$A$14:$BI$57,60,0)*W299,"")</f>
        <v/>
      </c>
      <c r="BD299" s="200" t="str">
        <f>IFERROR(VLOOKUP($G299,нормы!$A$14:$BG$57,44,0),"")</f>
        <v/>
      </c>
      <c r="BE299" s="199" t="str">
        <f>IFERROR(W299/VLOOKUP($G299,нормы!$A$14:$BI$57,45,0),"")</f>
        <v/>
      </c>
    </row>
    <row r="300" spans="1:57" s="1" customFormat="1" ht="20.25" customHeight="1" x14ac:dyDescent="0.4">
      <c r="A300" s="37" t="str">
        <f t="shared" si="122"/>
        <v>5Н</v>
      </c>
      <c r="B300" s="12">
        <f t="shared" si="125"/>
        <v>46027</v>
      </c>
      <c r="C300" s="97">
        <f t="shared" si="125"/>
        <v>0</v>
      </c>
      <c r="D300" s="97">
        <f t="shared" si="125"/>
        <v>2</v>
      </c>
      <c r="E300" s="54"/>
      <c r="F300" s="151" t="str">
        <f>IFERROR(VLOOKUP($G300,нормы!$A$14:$BC$57,2,0),"")</f>
        <v/>
      </c>
      <c r="G300" s="93"/>
      <c r="H300" s="54">
        <f t="shared" si="126"/>
        <v>0</v>
      </c>
      <c r="I300" s="55"/>
      <c r="J300" s="333"/>
      <c r="K300" s="30">
        <f>IFERROR(VLOOKUP($G300,[1]нормы!$A$21:$BC$151,15,0),"")</f>
        <v>0</v>
      </c>
      <c r="L300" s="31">
        <f>IFERROR(VLOOKUP($G300,[1]нормы!$A$21:$BC$151,17,0),"")</f>
        <v>0</v>
      </c>
      <c r="M300" s="306">
        <f>IFERROR(VLOOKUP($G300,[1]нормы!$A$21:$BC$151,27,0),"")</f>
        <v>0</v>
      </c>
      <c r="N300" s="307" t="str">
        <f>IFERROR(Y300/Y303*(1.1*J297*I305),"")</f>
        <v/>
      </c>
      <c r="O300" s="300">
        <f>IFERROR(VLOOKUP($G300,[1]нормы!$A$21:$BC$151,21,0),"")</f>
        <v>0</v>
      </c>
      <c r="P300" s="35">
        <f>IFERROR(VLOOKUP($G300,[1]нормы!$A$21:$BC$151,19,0),"")</f>
        <v>0</v>
      </c>
      <c r="Q300" s="35">
        <f>IFERROR(VLOOKUP($G300,[1]нормы!$A$21:$BC$151,23,0),"")</f>
        <v>0</v>
      </c>
      <c r="R300" s="231">
        <f>IFERROR(VLOOKUP($G300,[1]нормы!$A$21:$BC$151,29,0),"")</f>
        <v>0</v>
      </c>
      <c r="S300" s="35">
        <f>IFERROR(VLOOKUP($G300,[1]нормы!$A$21:$BC$151,31,0),"")</f>
        <v>0</v>
      </c>
      <c r="T300" s="32">
        <f>IFERROR(VLOOKUP($G300,[1]нормы!$A$21:$BC$151,25,0),"")</f>
        <v>0</v>
      </c>
      <c r="U300" s="233" t="str">
        <f>IFERROR(W300/(((100*Y300/Y303)*I302)/100),"")</f>
        <v/>
      </c>
      <c r="V300" s="234" t="str">
        <f>IFERROR(VLOOKUP($G300,нормы!$A$14:$BC$57,38,0),"")</f>
        <v/>
      </c>
      <c r="W300" s="136"/>
      <c r="X300" s="237"/>
      <c r="Y300" s="152" t="str">
        <f>IFERROR(VLOOKUP($G300,нормы!$A$14:$BC$57,42,0)*W300,"")</f>
        <v/>
      </c>
      <c r="Z300" s="163">
        <f>IFERROR(VLOOKUP($G300,нормы!$A$14:$BC$57,14,0)*W300/1000,0)</f>
        <v>0</v>
      </c>
      <c r="AA300" s="30"/>
      <c r="AB300" s="35"/>
      <c r="AC300" s="35"/>
      <c r="AD300" s="35"/>
      <c r="AE300" s="31"/>
      <c r="AF300" s="160"/>
      <c r="AG300" s="391"/>
      <c r="AH300" s="394"/>
      <c r="AI300" s="397"/>
      <c r="AJ300" s="408"/>
      <c r="AK300" s="360"/>
      <c r="AL300" s="360"/>
      <c r="AM300" s="360"/>
      <c r="AN300" s="289">
        <f>IFERROR(Y300*AJ297/Y303,)</f>
        <v>0</v>
      </c>
      <c r="AO300" s="197" t="str">
        <f>IFERROR(VLOOKUP($G300,нормы!$A$14:$BC$57,53,0)*$W300,"")</f>
        <v/>
      </c>
      <c r="AP300" s="290">
        <f>IFERROR(Y300*AI297/Y303,)</f>
        <v>0</v>
      </c>
      <c r="AQ300" s="197" t="str">
        <f>IFERROR(VLOOKUP($G300,нормы!$A$14:$BC$57,54,0)*$W300,"")</f>
        <v/>
      </c>
      <c r="AR300" s="290">
        <f>IFERROR(AS300/SUM(AS297:AS302)*AL297,0)</f>
        <v>0</v>
      </c>
      <c r="AS300" s="197" t="str">
        <f>IFERROR(VLOOKUP($G300,нормы!$A$14:$BC$57,55,0)*W300,"")</f>
        <v/>
      </c>
      <c r="AT300" s="290">
        <f>IFERROR(AU300/SUM(AU297:AU302)*AM297,0)</f>
        <v>0</v>
      </c>
      <c r="AU300" s="197" t="str">
        <f>IFERROR(VLOOKUP($G300,нормы!$A$14:$BI$57,56,0)*W300,"")</f>
        <v/>
      </c>
      <c r="AV300" s="290">
        <f>IFERROR(AW300/SUM(AW297:AW302)*AK297,0)</f>
        <v>0</v>
      </c>
      <c r="AW300" s="202" t="str">
        <f>IFERROR(VLOOKUP($G300,нормы!$A$14:$BI$57,57,0)*W300,"")</f>
        <v/>
      </c>
      <c r="AX300" s="30"/>
      <c r="AY300" s="203" t="str">
        <f>IFERROR(VLOOKUP($G300,нормы!$A$14:$BI$57,58,0)*W300,"")</f>
        <v/>
      </c>
      <c r="AZ300" s="205"/>
      <c r="BA300" s="200" t="str">
        <f>IFERROR(VLOOKUP($G300,нормы!$A$14:$BI$57,61,0)*$W300,"")</f>
        <v/>
      </c>
      <c r="BB300" s="30"/>
      <c r="BC300" s="203" t="str">
        <f>IFERROR(VLOOKUP($G300,нормы!$A$14:$BI$57,60,0)*W300,"")</f>
        <v/>
      </c>
      <c r="BD300" s="200" t="str">
        <f>IFERROR(VLOOKUP($G300,нормы!$A$14:$BG$57,44,0),"")</f>
        <v/>
      </c>
      <c r="BE300" s="199" t="str">
        <f>IFERROR(W300/VLOOKUP($G300,нормы!$A$14:$BI$57,45,0),"")</f>
        <v/>
      </c>
    </row>
    <row r="301" spans="1:57" s="1" customFormat="1" ht="20.25" customHeight="1" x14ac:dyDescent="0.4">
      <c r="A301" s="37" t="str">
        <f t="shared" si="122"/>
        <v>5Н</v>
      </c>
      <c r="B301" s="12">
        <f t="shared" si="125"/>
        <v>46027</v>
      </c>
      <c r="C301" s="97">
        <f t="shared" si="125"/>
        <v>0</v>
      </c>
      <c r="D301" s="97">
        <f t="shared" si="125"/>
        <v>2</v>
      </c>
      <c r="E301" s="54"/>
      <c r="F301" s="151" t="str">
        <f>IFERROR(VLOOKUP($G301,нормы!$A$14:$BC$57,2,0),"")</f>
        <v/>
      </c>
      <c r="G301" s="38"/>
      <c r="H301" s="54">
        <f t="shared" si="126"/>
        <v>0</v>
      </c>
      <c r="I301" s="89" t="s">
        <v>73</v>
      </c>
      <c r="J301" s="333"/>
      <c r="K301" s="30">
        <f>IFERROR(VLOOKUP($G301,[1]нормы!$A$21:$BC$151,15,0),"")</f>
        <v>0</v>
      </c>
      <c r="L301" s="31">
        <f>IFERROR(VLOOKUP($G301,[1]нормы!$A$21:$BC$151,17,0),"")</f>
        <v>0</v>
      </c>
      <c r="M301" s="306">
        <f>IFERROR(VLOOKUP($G301,[1]нормы!$A$21:$BC$151,27,0),"")</f>
        <v>0</v>
      </c>
      <c r="N301" s="307" t="str">
        <f>IFERROR(Y301/Y303*(1.1*J297*I306),"")</f>
        <v/>
      </c>
      <c r="O301" s="300">
        <f>IFERROR(VLOOKUP($G301,[1]нормы!$A$21:$BC$151,21,0),"")</f>
        <v>0</v>
      </c>
      <c r="P301" s="35">
        <f>IFERROR(VLOOKUP($G301,[1]нормы!$A$21:$BC$151,19,0),"")</f>
        <v>0</v>
      </c>
      <c r="Q301" s="35">
        <f>IFERROR(VLOOKUP($G301,[1]нормы!$A$21:$BC$151,23,0),"")</f>
        <v>0</v>
      </c>
      <c r="R301" s="231">
        <f>IFERROR(VLOOKUP($G301,[1]нормы!$A$21:$BC$151,29,0),"")</f>
        <v>0</v>
      </c>
      <c r="S301" s="35">
        <f>IFERROR(VLOOKUP($G301,[1]нормы!$A$21:$BC$151,31,0),"")</f>
        <v>0</v>
      </c>
      <c r="T301" s="32">
        <f>IFERROR(VLOOKUP($G301,[1]нормы!$A$21:$BC$151,25,0),"")</f>
        <v>0</v>
      </c>
      <c r="U301" s="233" t="str">
        <f>IFERROR(W301/(((100*Y301/Y303)*I302)/100),"")</f>
        <v/>
      </c>
      <c r="V301" s="234" t="str">
        <f>IFERROR(VLOOKUP($G301,нормы!$A$14:$BC$57,38,0),"")</f>
        <v/>
      </c>
      <c r="W301" s="136"/>
      <c r="X301" s="237"/>
      <c r="Y301" s="152" t="str">
        <f>IFERROR(VLOOKUP($G301,нормы!$A$14:$BC$57,42,0)*W301,"")</f>
        <v/>
      </c>
      <c r="Z301" s="163">
        <f>IFERROR(VLOOKUP($G301,нормы!$A$14:$BC$57,14,0)*W301/1000,0)</f>
        <v>0</v>
      </c>
      <c r="AA301" s="30"/>
      <c r="AB301" s="35"/>
      <c r="AC301" s="35"/>
      <c r="AD301" s="35"/>
      <c r="AE301" s="31"/>
      <c r="AF301" s="160"/>
      <c r="AG301" s="391"/>
      <c r="AH301" s="394"/>
      <c r="AI301" s="397"/>
      <c r="AJ301" s="408"/>
      <c r="AK301" s="360"/>
      <c r="AL301" s="360"/>
      <c r="AM301" s="360"/>
      <c r="AN301" s="289">
        <f>IFERROR(Y301*AJ297/Y303,)</f>
        <v>0</v>
      </c>
      <c r="AO301" s="197" t="str">
        <f>IFERROR(VLOOKUP($G301,нормы!$A$14:$BC$57,53,0)*$W301,"")</f>
        <v/>
      </c>
      <c r="AP301" s="290">
        <f>IFERROR(Y301*AI297/Y303,)</f>
        <v>0</v>
      </c>
      <c r="AQ301" s="197" t="str">
        <f>IFERROR(VLOOKUP($G301,нормы!$A$14:$BC$57,54,0)*$W301,"")</f>
        <v/>
      </c>
      <c r="AR301" s="290">
        <f>IFERROR(AS301/SUM(AS297:AS302)*AL297,0)</f>
        <v>0</v>
      </c>
      <c r="AS301" s="197" t="str">
        <f>IFERROR(VLOOKUP($G301,нормы!$A$14:$BC$57,55,0)*W301,"")</f>
        <v/>
      </c>
      <c r="AT301" s="290">
        <f>IFERROR(AU301/SUM(AU297:AU302)*AM297,0)</f>
        <v>0</v>
      </c>
      <c r="AU301" s="197" t="str">
        <f>IFERROR(VLOOKUP($G301,нормы!$A$14:$BI$57,56,0)*W301,"")</f>
        <v/>
      </c>
      <c r="AV301" s="290">
        <f>IFERROR(AW301/SUM(AW297:AW302)*AK297,0)</f>
        <v>0</v>
      </c>
      <c r="AW301" s="202" t="str">
        <f>IFERROR(VLOOKUP($G301,нормы!$A$14:$BI$57,57,0)*W301,"")</f>
        <v/>
      </c>
      <c r="AX301" s="30"/>
      <c r="AY301" s="203" t="str">
        <f>IFERROR(VLOOKUP($G301,нормы!$A$14:$BI$57,58,0)*W301,"")</f>
        <v/>
      </c>
      <c r="AZ301" s="205"/>
      <c r="BA301" s="200" t="str">
        <f>IFERROR(VLOOKUP($G301,нормы!$A$14:$BI$57,61,0)*$W301,"")</f>
        <v/>
      </c>
      <c r="BB301" s="30"/>
      <c r="BC301" s="203" t="str">
        <f>IFERROR(VLOOKUP($G301,нормы!$A$14:$BI$57,60,0)*W301,"")</f>
        <v/>
      </c>
      <c r="BD301" s="200" t="str">
        <f>IFERROR(VLOOKUP($G301,нормы!$A$14:$BG$57,44,0),"")</f>
        <v/>
      </c>
      <c r="BE301" s="199" t="str">
        <f>IFERROR(W301/VLOOKUP($G301,нормы!$A$14:$BI$57,45,0),"")</f>
        <v/>
      </c>
    </row>
    <row r="302" spans="1:57" s="1" customFormat="1" ht="21" customHeight="1" thickBot="1" x14ac:dyDescent="0.45">
      <c r="A302" s="37" t="str">
        <f t="shared" si="122"/>
        <v>5Н</v>
      </c>
      <c r="B302" s="12">
        <f t="shared" si="125"/>
        <v>46027</v>
      </c>
      <c r="C302" s="97">
        <f t="shared" si="125"/>
        <v>0</v>
      </c>
      <c r="D302" s="97">
        <f t="shared" si="125"/>
        <v>2</v>
      </c>
      <c r="E302" s="54"/>
      <c r="F302" s="151" t="str">
        <f>IFERROR(VLOOKUP($G302,нормы!$A$14:$BC$57,2,0),"")</f>
        <v/>
      </c>
      <c r="G302" s="93"/>
      <c r="H302" s="63">
        <f t="shared" si="126"/>
        <v>0</v>
      </c>
      <c r="I302" s="153">
        <f>I298+I300</f>
        <v>0</v>
      </c>
      <c r="J302" s="334"/>
      <c r="K302" s="30">
        <f>IFERROR(VLOOKUP($G302,[1]нормы!$A$21:$BC$151,15,0),"")</f>
        <v>0</v>
      </c>
      <c r="L302" s="31">
        <f>IFERROR(VLOOKUP($G302,[1]нормы!$A$21:$BC$151,17,0),"")</f>
        <v>0</v>
      </c>
      <c r="M302" s="308">
        <f>IFERROR(VLOOKUP($G302,[1]нормы!$A$21:$BC$151,27,0),"")</f>
        <v>0</v>
      </c>
      <c r="N302" s="309" t="str">
        <f>IFERROR(Y302/Y303*(1.1*J297*I307),"")</f>
        <v/>
      </c>
      <c r="O302" s="300">
        <f>IFERROR(VLOOKUP($G302,[1]нормы!$A$21:$BC$151,21,0),"")</f>
        <v>0</v>
      </c>
      <c r="P302" s="35">
        <f>IFERROR(VLOOKUP($G302,[1]нормы!$A$21:$BC$151,19,0),"")</f>
        <v>0</v>
      </c>
      <c r="Q302" s="35">
        <f>IFERROR(VLOOKUP($G302,[1]нормы!$A$21:$BC$151,23,0),"")</f>
        <v>0</v>
      </c>
      <c r="R302" s="231">
        <f>IFERROR(VLOOKUP($G302,[1]нормы!$A$21:$BC$151,29,0),"")</f>
        <v>0</v>
      </c>
      <c r="S302" s="35">
        <f>IFERROR(VLOOKUP($G302,[1]нормы!$A$21:$BC$151,31,0),"")</f>
        <v>0</v>
      </c>
      <c r="T302" s="32">
        <f>IFERROR(VLOOKUP($G302,[1]нормы!$A$21:$BC$151,25,0),"")</f>
        <v>0</v>
      </c>
      <c r="U302" s="235" t="str">
        <f>IFERROR(W302/(((100*Y302/Y303)*I302)/100),"")</f>
        <v/>
      </c>
      <c r="V302" s="234" t="str">
        <f>IFERROR(VLOOKUP($G302,нормы!$A$14:$BC$57,38,0),"")</f>
        <v/>
      </c>
      <c r="W302" s="154"/>
      <c r="X302" s="238"/>
      <c r="Y302" s="152" t="str">
        <f>IFERROR(VLOOKUP($G302,нормы!$A$14:$BC$57,42,0)*W302,"")</f>
        <v/>
      </c>
      <c r="Z302" s="163">
        <f>IFERROR(VLOOKUP($G302,нормы!$A$14:$BC$57,14,0)*W302/1000,0)</f>
        <v>0</v>
      </c>
      <c r="AA302" s="56"/>
      <c r="AB302" s="58"/>
      <c r="AC302" s="58"/>
      <c r="AD302" s="58"/>
      <c r="AE302" s="57"/>
      <c r="AF302" s="161"/>
      <c r="AG302" s="392"/>
      <c r="AH302" s="395"/>
      <c r="AI302" s="398"/>
      <c r="AJ302" s="409"/>
      <c r="AK302" s="361"/>
      <c r="AL302" s="361"/>
      <c r="AM302" s="361"/>
      <c r="AN302" s="291">
        <f>IFERROR(Y302*AJ297/Y303,)</f>
        <v>0</v>
      </c>
      <c r="AO302" s="197" t="str">
        <f>IFERROR(VLOOKUP($G302,нормы!$A$14:$BC$57,53,0)*$W302,"")</f>
        <v/>
      </c>
      <c r="AP302" s="292">
        <f>IFERROR(Y302*AI297/Y303,)</f>
        <v>0</v>
      </c>
      <c r="AQ302" s="197" t="str">
        <f>IFERROR(VLOOKUP($G302,нормы!$A$14:$BC$57,54,0)*$W302,"")</f>
        <v/>
      </c>
      <c r="AR302" s="290">
        <f>IFERROR(AS302/SUM(AS297:AS302)*AL297,0)</f>
        <v>0</v>
      </c>
      <c r="AS302" s="197" t="str">
        <f>IFERROR(VLOOKUP($G302,нормы!$A$14:$BC$57,55,0)*W302,"")</f>
        <v/>
      </c>
      <c r="AT302" s="292">
        <f>IFERROR(AU302/SUM(AU297:AU302)*AM297,0)</f>
        <v>0</v>
      </c>
      <c r="AU302" s="197" t="str">
        <f>IFERROR(VLOOKUP($G302,нормы!$A$14:$BI$57,56,0)*W302,"")</f>
        <v/>
      </c>
      <c r="AV302" s="292">
        <f>IFERROR(AW302/SUM(AW297:AW302)*AK297,0)</f>
        <v>0</v>
      </c>
      <c r="AW302" s="202" t="str">
        <f>IFERROR(VLOOKUP($G302,нормы!$A$14:$BI$57,57,0)*W302,"")</f>
        <v/>
      </c>
      <c r="AX302" s="56"/>
      <c r="AY302" s="203" t="str">
        <f>IFERROR(VLOOKUP($G302,нормы!$A$14:$BI$57,58,0)*W302,"")</f>
        <v/>
      </c>
      <c r="AZ302" s="206"/>
      <c r="BA302" s="200" t="str">
        <f>IFERROR(VLOOKUP($G302,нормы!$A$14:$BI$57,61,0)*$W302,"")</f>
        <v/>
      </c>
      <c r="BB302" s="56"/>
      <c r="BC302" s="203" t="str">
        <f>IFERROR(VLOOKUP($G302,нормы!$A$14:$BI$57,60,0)*W302,"")</f>
        <v/>
      </c>
      <c r="BD302" s="200" t="str">
        <f>IFERROR(VLOOKUP($G302,нормы!$A$14:$BG$57,44,0),"")</f>
        <v/>
      </c>
      <c r="BE302" s="199" t="str">
        <f>IFERROR(W302/VLOOKUP($G302,нормы!$A$14:$BI$57,45,0),"")</f>
        <v/>
      </c>
    </row>
    <row r="303" spans="1:57" s="1" customFormat="1" ht="29.4" customHeight="1" thickBot="1" x14ac:dyDescent="0.45">
      <c r="A303" s="37" t="str">
        <f t="shared" si="122"/>
        <v>5Н</v>
      </c>
      <c r="B303" s="59"/>
      <c r="C303" s="51"/>
      <c r="D303" s="51"/>
      <c r="E303" s="51"/>
      <c r="F303" s="51"/>
      <c r="G303" s="51"/>
      <c r="H303" s="51"/>
      <c r="I303" s="60"/>
      <c r="J303" s="60"/>
      <c r="K303" s="319" t="s">
        <v>213</v>
      </c>
      <c r="L303" s="316"/>
      <c r="M303" s="303" t="s">
        <v>213</v>
      </c>
      <c r="N303" s="317">
        <f>SUM(N297:N302)</f>
        <v>0</v>
      </c>
      <c r="O303" s="304" t="s">
        <v>217</v>
      </c>
      <c r="P303" s="318">
        <f>N303*8.937/1000</f>
        <v>0</v>
      </c>
      <c r="Q303" s="305" t="s">
        <v>215</v>
      </c>
      <c r="R303" s="61"/>
      <c r="S303" s="61"/>
      <c r="T303" s="61"/>
      <c r="U303" s="109"/>
      <c r="V303" s="109"/>
      <c r="W303" s="94"/>
      <c r="X303" s="155"/>
      <c r="Y303" s="96">
        <f>SUM(Y297:Y302)</f>
        <v>0</v>
      </c>
      <c r="Z303" s="164">
        <f>SUM(Z297:Z302)</f>
        <v>0</v>
      </c>
      <c r="AA303" s="207">
        <f>(AA289+AA290+AA291+AA292+AA293+AA294+AA295+AA297+AA298+AA299+AA300+AA301+AA302)-AG290</f>
        <v>1</v>
      </c>
      <c r="AB303" s="208">
        <f>(AB289+AB290+AB291+AB292+AB293+AB294+AB295+AB297+AB298+AB299+AB300+AB301+AB302)-AH290</f>
        <v>2</v>
      </c>
      <c r="AC303" s="208">
        <f>(AC289+AC290+AC291+AC292+AC293+AC294+AC295+AC297+AC298+AC299+AC300+AC301+AC302)-AG297</f>
        <v>3</v>
      </c>
      <c r="AD303" s="208">
        <f>(AD289+AD290+AD291+AD292+AD293+AD294+AD295+AD297+AD298+AD299+AD300+AD301+AD302)-AH297</f>
        <v>4</v>
      </c>
      <c r="AE303" s="208">
        <f>(AE289+AE290+AE291+AE292+AE293+AE294+AE295+AE297+AE298+AE299+AE300+AE301+AE302)-AI290</f>
        <v>5</v>
      </c>
      <c r="AF303" s="209">
        <f>(AF289+AF290+AF291+AF292+AF293+AF294+AF295+AF297+AF298+AF299+AF300+AF301+AF302)-AI297</f>
        <v>6</v>
      </c>
      <c r="AG303" s="62"/>
      <c r="AH303" s="62"/>
      <c r="AI303" s="62"/>
      <c r="AJ303" s="62"/>
      <c r="AK303" s="62"/>
      <c r="AL303" s="62"/>
      <c r="AM303" s="62"/>
      <c r="AN303" s="91">
        <f>SUM(AN297:AN302)</f>
        <v>0</v>
      </c>
      <c r="AO303" s="91">
        <f>SUM(AO297:AO302)</f>
        <v>0</v>
      </c>
      <c r="AP303" s="91"/>
      <c r="AQ303" s="91"/>
      <c r="AR303" s="91">
        <f>SUM(AR297:AR302)</f>
        <v>0</v>
      </c>
      <c r="AS303" s="91">
        <f t="shared" ref="AS303:AW303" si="127">SUM(AS297:AS302)</f>
        <v>0</v>
      </c>
      <c r="AT303" s="91">
        <f t="shared" si="127"/>
        <v>0</v>
      </c>
      <c r="AU303" s="91">
        <f t="shared" si="127"/>
        <v>0</v>
      </c>
      <c r="AV303" s="91">
        <f t="shared" si="127"/>
        <v>0</v>
      </c>
      <c r="AW303" s="91">
        <f t="shared" si="127"/>
        <v>0</v>
      </c>
      <c r="AX303" s="91">
        <f>SUM(AX297:AX302)</f>
        <v>0</v>
      </c>
      <c r="AY303" s="91">
        <f>SUM(AY297:AY302)</f>
        <v>0</v>
      </c>
      <c r="AZ303" s="91">
        <f>SUM(AZ297:AZ302)</f>
        <v>0</v>
      </c>
      <c r="BA303" s="91"/>
      <c r="BB303" s="91"/>
      <c r="BC303" s="91"/>
      <c r="BD303" s="91" t="str">
        <f>IFERROR(VLOOKUP($G303,нормы!$A$14:$BG$15,27,0),"")</f>
        <v/>
      </c>
      <c r="BE303" s="53" t="str">
        <f>IFERROR(W303/VLOOKUP($G303,нормы!$A$14:$BI$15,28,0),"")</f>
        <v/>
      </c>
    </row>
    <row r="304" spans="1:57" s="1" customFormat="1" ht="29.4" customHeight="1" thickBot="1" x14ac:dyDescent="0.5">
      <c r="A304" s="37" t="str">
        <f t="shared" si="122"/>
        <v>5Н</v>
      </c>
      <c r="B304" s="166" t="s">
        <v>130</v>
      </c>
      <c r="C304" s="167"/>
      <c r="D304" s="167"/>
      <c r="E304" s="167"/>
      <c r="F304" s="165"/>
      <c r="G304" s="167"/>
      <c r="H304" s="167"/>
      <c r="I304" s="168"/>
      <c r="J304" s="168"/>
      <c r="K304" s="168"/>
      <c r="L304" s="168"/>
      <c r="M304" s="168"/>
      <c r="N304" s="168"/>
      <c r="O304" s="167"/>
      <c r="P304" s="169"/>
      <c r="Q304" s="169"/>
      <c r="R304" s="169"/>
      <c r="S304" s="169"/>
      <c r="T304" s="169"/>
      <c r="U304" s="170"/>
      <c r="V304" s="170"/>
      <c r="W304" s="171"/>
      <c r="X304" s="171"/>
      <c r="Y304" s="172"/>
      <c r="Z304" s="172"/>
      <c r="AA304" s="201" t="s">
        <v>144</v>
      </c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64"/>
      <c r="AN304" s="167"/>
      <c r="AO304" s="167"/>
      <c r="AP304" s="167"/>
      <c r="AQ304" s="167"/>
      <c r="AR304" s="64"/>
      <c r="AS304" s="64"/>
      <c r="AT304" s="65"/>
      <c r="AU304" s="64"/>
      <c r="AV304" s="49"/>
      <c r="AW304" s="49"/>
      <c r="AX304" s="167"/>
      <c r="AY304" s="167"/>
      <c r="AZ304" s="167"/>
      <c r="BA304" s="167"/>
      <c r="BB304" s="167"/>
      <c r="BC304" s="167"/>
      <c r="BD304" s="66"/>
      <c r="BE304" s="66"/>
    </row>
    <row r="305" spans="1:57" s="1" customFormat="1" ht="23.25" customHeight="1" x14ac:dyDescent="0.4">
      <c r="A305" s="37" t="str">
        <f t="shared" si="122"/>
        <v>5Н</v>
      </c>
      <c r="B305" s="183"/>
      <c r="C305" s="100"/>
      <c r="D305" s="185"/>
      <c r="E305" s="186" t="s">
        <v>57</v>
      </c>
      <c r="F305" s="66" t="s">
        <v>87</v>
      </c>
      <c r="G305" s="66"/>
      <c r="H305" s="108" t="s">
        <v>131</v>
      </c>
      <c r="I305" s="101"/>
      <c r="J305" s="101"/>
      <c r="K305" s="101"/>
      <c r="L305" s="101"/>
      <c r="M305" s="101"/>
      <c r="N305" s="101"/>
      <c r="O305" s="67"/>
      <c r="P305" s="102"/>
      <c r="Q305" s="102"/>
      <c r="R305" s="102"/>
      <c r="S305" s="102"/>
      <c r="T305" s="102"/>
      <c r="U305" s="67"/>
      <c r="V305" s="67"/>
      <c r="W305" s="103"/>
      <c r="X305" s="187"/>
      <c r="Y305" s="68" t="s">
        <v>74</v>
      </c>
      <c r="Z305" s="69"/>
      <c r="AA305" s="90"/>
      <c r="AB305" s="100"/>
      <c r="AC305" s="100"/>
      <c r="AD305" s="186" t="s">
        <v>57</v>
      </c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190"/>
      <c r="AU305" s="66"/>
      <c r="AV305" s="165"/>
      <c r="AW305" s="293"/>
      <c r="AX305" s="66"/>
      <c r="AY305" s="66"/>
      <c r="AZ305" s="66"/>
      <c r="BA305" s="66"/>
      <c r="BB305" s="66"/>
      <c r="BC305" s="66"/>
      <c r="BD305" s="68" t="s">
        <v>74</v>
      </c>
      <c r="BE305" s="69"/>
    </row>
    <row r="306" spans="1:57" s="1" customFormat="1" ht="23.25" customHeight="1" thickBot="1" x14ac:dyDescent="0.45">
      <c r="A306" s="37" t="str">
        <f t="shared" si="122"/>
        <v>5Н</v>
      </c>
      <c r="B306" s="183"/>
      <c r="C306" s="41"/>
      <c r="D306" s="184"/>
      <c r="E306" s="50"/>
      <c r="F306" s="70"/>
      <c r="G306" s="70"/>
      <c r="H306" s="70"/>
      <c r="I306" s="104"/>
      <c r="J306" s="104"/>
      <c r="K306" s="104"/>
      <c r="L306" s="104"/>
      <c r="M306" s="104"/>
      <c r="N306" s="104"/>
      <c r="O306" s="71"/>
      <c r="P306" s="105"/>
      <c r="Q306" s="105"/>
      <c r="R306" s="105"/>
      <c r="S306" s="105"/>
      <c r="T306" s="105"/>
      <c r="U306" s="71"/>
      <c r="V306" s="71"/>
      <c r="W306" s="106"/>
      <c r="X306" s="188"/>
      <c r="Y306" s="72"/>
      <c r="Z306" s="73"/>
      <c r="AA306" s="90"/>
      <c r="AB306" s="41"/>
      <c r="AC306" s="41"/>
      <c r="AD306" s="50"/>
      <c r="AE306" s="47"/>
      <c r="AF306" s="47"/>
      <c r="AG306" s="47"/>
      <c r="AH306" s="47"/>
      <c r="AI306" s="47"/>
      <c r="AJ306" s="47"/>
      <c r="AK306" s="47"/>
      <c r="AL306" s="47"/>
      <c r="AM306" s="70"/>
      <c r="AN306" s="47"/>
      <c r="AO306" s="70"/>
      <c r="AP306" s="70"/>
      <c r="AQ306" s="70"/>
      <c r="AR306" s="70"/>
      <c r="AS306" s="70"/>
      <c r="AT306" s="191"/>
      <c r="AU306" s="70"/>
      <c r="AV306" s="192"/>
      <c r="AW306" s="294"/>
      <c r="AX306" s="70"/>
      <c r="AY306" s="70"/>
      <c r="AZ306" s="70"/>
      <c r="BA306" s="70"/>
      <c r="BB306" s="70"/>
      <c r="BC306" s="70"/>
      <c r="BD306" s="72"/>
      <c r="BE306" s="73"/>
    </row>
    <row r="307" spans="1:57" s="1" customFormat="1" ht="30" customHeight="1" x14ac:dyDescent="0.4">
      <c r="A307" s="37" t="str">
        <f t="shared" si="122"/>
        <v>5Н</v>
      </c>
      <c r="B307" s="183"/>
      <c r="C307" s="41"/>
      <c r="D307" s="184"/>
      <c r="E307" s="281">
        <f>B302</f>
        <v>46027</v>
      </c>
      <c r="F307" s="337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98">
        <v>1</v>
      </c>
      <c r="Y307" s="74">
        <v>1</v>
      </c>
      <c r="Z307" s="75">
        <f t="shared" ref="Z307:Z318" si="128">Y307-X307</f>
        <v>0</v>
      </c>
      <c r="AA307" s="189"/>
      <c r="AB307" s="41"/>
      <c r="AC307" s="184"/>
      <c r="AD307" s="210">
        <f>E307</f>
        <v>46027</v>
      </c>
      <c r="AE307" s="387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  <c r="AY307" s="388"/>
      <c r="AZ307" s="388"/>
      <c r="BA307" s="388"/>
      <c r="BB307" s="389"/>
      <c r="BC307" s="98">
        <v>1</v>
      </c>
      <c r="BD307" s="74">
        <v>1</v>
      </c>
      <c r="BE307" s="75">
        <f t="shared" ref="BE307:BE318" si="129">BD307-BC307</f>
        <v>0</v>
      </c>
    </row>
    <row r="308" spans="1:57" s="1" customFormat="1" ht="21.9" customHeight="1" x14ac:dyDescent="0.4">
      <c r="A308" s="37" t="str">
        <f t="shared" si="122"/>
        <v>5Н</v>
      </c>
      <c r="B308" s="183"/>
      <c r="C308" s="41"/>
      <c r="D308" s="184"/>
      <c r="E308" s="282">
        <f>E307</f>
        <v>46027</v>
      </c>
      <c r="F308" s="335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  <c r="W308" s="336"/>
      <c r="X308" s="98">
        <v>1</v>
      </c>
      <c r="Y308" s="74">
        <v>1</v>
      </c>
      <c r="Z308" s="75">
        <f t="shared" si="128"/>
        <v>0</v>
      </c>
      <c r="AA308" s="107">
        <f>AA307</f>
        <v>0</v>
      </c>
      <c r="AB308" s="41"/>
      <c r="AC308" s="184"/>
      <c r="AD308" s="212">
        <f>AD307</f>
        <v>46027</v>
      </c>
      <c r="AE308" s="387"/>
      <c r="AF308" s="388"/>
      <c r="AG308" s="388"/>
      <c r="AH308" s="388"/>
      <c r="AI308" s="388"/>
      <c r="AJ308" s="388"/>
      <c r="AK308" s="388"/>
      <c r="AL308" s="388"/>
      <c r="AM308" s="388"/>
      <c r="AN308" s="388"/>
      <c r="AO308" s="388"/>
      <c r="AP308" s="388"/>
      <c r="AQ308" s="388"/>
      <c r="AR308" s="388"/>
      <c r="AS308" s="388"/>
      <c r="AT308" s="388"/>
      <c r="AU308" s="388"/>
      <c r="AV308" s="388"/>
      <c r="AW308" s="388"/>
      <c r="AX308" s="388"/>
      <c r="AY308" s="388"/>
      <c r="AZ308" s="388"/>
      <c r="BA308" s="388"/>
      <c r="BB308" s="389"/>
      <c r="BC308" s="98">
        <v>1</v>
      </c>
      <c r="BD308" s="74">
        <v>1</v>
      </c>
      <c r="BE308" s="75">
        <f t="shared" si="129"/>
        <v>0</v>
      </c>
    </row>
    <row r="309" spans="1:57" s="1" customFormat="1" ht="21.9" customHeight="1" x14ac:dyDescent="0.4">
      <c r="A309" s="37" t="str">
        <f t="shared" si="122"/>
        <v>5Н</v>
      </c>
      <c r="B309" s="183"/>
      <c r="C309" s="41"/>
      <c r="D309" s="184"/>
      <c r="E309" s="282">
        <f t="shared" ref="E309:E318" si="130">E308</f>
        <v>46027</v>
      </c>
      <c r="F309" s="335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  <c r="W309" s="336"/>
      <c r="X309" s="98">
        <v>1</v>
      </c>
      <c r="Y309" s="74">
        <v>1</v>
      </c>
      <c r="Z309" s="75">
        <f t="shared" si="128"/>
        <v>0</v>
      </c>
      <c r="AA309" s="107">
        <f>AA308</f>
        <v>0</v>
      </c>
      <c r="AB309" s="41"/>
      <c r="AC309" s="184"/>
      <c r="AD309" s="212">
        <f t="shared" ref="AD309:AD318" si="131">AD308</f>
        <v>46027</v>
      </c>
      <c r="AE309" s="387"/>
      <c r="AF309" s="388"/>
      <c r="AG309" s="388"/>
      <c r="AH309" s="388"/>
      <c r="AI309" s="388"/>
      <c r="AJ309" s="388"/>
      <c r="AK309" s="388"/>
      <c r="AL309" s="388"/>
      <c r="AM309" s="388"/>
      <c r="AN309" s="388"/>
      <c r="AO309" s="388"/>
      <c r="AP309" s="388"/>
      <c r="AQ309" s="388"/>
      <c r="AR309" s="388"/>
      <c r="AS309" s="388"/>
      <c r="AT309" s="388"/>
      <c r="AU309" s="388"/>
      <c r="AV309" s="388"/>
      <c r="AW309" s="388"/>
      <c r="AX309" s="388"/>
      <c r="AY309" s="388"/>
      <c r="AZ309" s="388"/>
      <c r="BA309" s="388"/>
      <c r="BB309" s="389"/>
      <c r="BC309" s="98">
        <v>1</v>
      </c>
      <c r="BD309" s="74">
        <v>1</v>
      </c>
      <c r="BE309" s="75">
        <f t="shared" si="129"/>
        <v>0</v>
      </c>
    </row>
    <row r="310" spans="1:57" s="1" customFormat="1" ht="21.9" customHeight="1" x14ac:dyDescent="0.4">
      <c r="A310" s="37" t="str">
        <f t="shared" si="122"/>
        <v>5Н</v>
      </c>
      <c r="B310" s="183"/>
      <c r="C310" s="41"/>
      <c r="D310" s="184"/>
      <c r="E310" s="282">
        <f t="shared" si="130"/>
        <v>46027</v>
      </c>
      <c r="F310" s="335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98">
        <v>1</v>
      </c>
      <c r="Y310" s="74">
        <v>1</v>
      </c>
      <c r="Z310" s="75">
        <f t="shared" si="128"/>
        <v>0</v>
      </c>
      <c r="AA310" s="107">
        <f t="shared" ref="AA310:AA318" si="132">AA309</f>
        <v>0</v>
      </c>
      <c r="AB310" s="41"/>
      <c r="AC310" s="184"/>
      <c r="AD310" s="212">
        <f t="shared" si="131"/>
        <v>46027</v>
      </c>
      <c r="AE310" s="387"/>
      <c r="AF310" s="388"/>
      <c r="AG310" s="388"/>
      <c r="AH310" s="388"/>
      <c r="AI310" s="388"/>
      <c r="AJ310" s="388"/>
      <c r="AK310" s="388"/>
      <c r="AL310" s="388"/>
      <c r="AM310" s="388"/>
      <c r="AN310" s="388"/>
      <c r="AO310" s="388"/>
      <c r="AP310" s="388"/>
      <c r="AQ310" s="388"/>
      <c r="AR310" s="388"/>
      <c r="AS310" s="388"/>
      <c r="AT310" s="388"/>
      <c r="AU310" s="388"/>
      <c r="AV310" s="388"/>
      <c r="AW310" s="388"/>
      <c r="AX310" s="388"/>
      <c r="AY310" s="388"/>
      <c r="AZ310" s="388"/>
      <c r="BA310" s="388"/>
      <c r="BB310" s="389"/>
      <c r="BC310" s="98">
        <v>1</v>
      </c>
      <c r="BD310" s="74">
        <v>1</v>
      </c>
      <c r="BE310" s="75">
        <f t="shared" si="129"/>
        <v>0</v>
      </c>
    </row>
    <row r="311" spans="1:57" s="1" customFormat="1" ht="21.9" customHeight="1" x14ac:dyDescent="0.4">
      <c r="A311" s="37" t="str">
        <f t="shared" si="122"/>
        <v>5Н</v>
      </c>
      <c r="B311" s="183"/>
      <c r="C311" s="41"/>
      <c r="D311" s="184"/>
      <c r="E311" s="282">
        <f t="shared" si="130"/>
        <v>46027</v>
      </c>
      <c r="F311" s="335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  <c r="W311" s="336"/>
      <c r="X311" s="98">
        <v>1</v>
      </c>
      <c r="Y311" s="74">
        <v>1</v>
      </c>
      <c r="Z311" s="75">
        <f t="shared" si="128"/>
        <v>0</v>
      </c>
      <c r="AA311" s="107">
        <f t="shared" si="132"/>
        <v>0</v>
      </c>
      <c r="AB311" s="41"/>
      <c r="AC311" s="184"/>
      <c r="AD311" s="212">
        <f t="shared" si="131"/>
        <v>46027</v>
      </c>
      <c r="AE311" s="387"/>
      <c r="AF311" s="388"/>
      <c r="AG311" s="388"/>
      <c r="AH311" s="388"/>
      <c r="AI311" s="388"/>
      <c r="AJ311" s="388"/>
      <c r="AK311" s="388"/>
      <c r="AL311" s="388"/>
      <c r="AM311" s="388"/>
      <c r="AN311" s="388"/>
      <c r="AO311" s="388"/>
      <c r="AP311" s="388"/>
      <c r="AQ311" s="388"/>
      <c r="AR311" s="388"/>
      <c r="AS311" s="388"/>
      <c r="AT311" s="388"/>
      <c r="AU311" s="388"/>
      <c r="AV311" s="388"/>
      <c r="AW311" s="388"/>
      <c r="AX311" s="388"/>
      <c r="AY311" s="388"/>
      <c r="AZ311" s="388"/>
      <c r="BA311" s="388"/>
      <c r="BB311" s="389"/>
      <c r="BC311" s="98">
        <v>1</v>
      </c>
      <c r="BD311" s="74">
        <v>1</v>
      </c>
      <c r="BE311" s="75">
        <f t="shared" si="129"/>
        <v>0</v>
      </c>
    </row>
    <row r="312" spans="1:57" s="1" customFormat="1" ht="18" customHeight="1" x14ac:dyDescent="0.4">
      <c r="A312" s="37" t="str">
        <f t="shared" si="122"/>
        <v>5Н</v>
      </c>
      <c r="B312" s="183"/>
      <c r="C312" s="41"/>
      <c r="D312" s="184"/>
      <c r="E312" s="282">
        <f t="shared" si="130"/>
        <v>46027</v>
      </c>
      <c r="F312" s="335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  <c r="W312" s="336"/>
      <c r="X312" s="98">
        <v>1</v>
      </c>
      <c r="Y312" s="74">
        <v>1</v>
      </c>
      <c r="Z312" s="75">
        <f t="shared" si="128"/>
        <v>0</v>
      </c>
      <c r="AA312" s="107">
        <f t="shared" si="132"/>
        <v>0</v>
      </c>
      <c r="AB312" s="41"/>
      <c r="AC312" s="184"/>
      <c r="AD312" s="212">
        <f t="shared" si="131"/>
        <v>46027</v>
      </c>
      <c r="AE312" s="387"/>
      <c r="AF312" s="388"/>
      <c r="AG312" s="388"/>
      <c r="AH312" s="388"/>
      <c r="AI312" s="388"/>
      <c r="AJ312" s="388"/>
      <c r="AK312" s="388"/>
      <c r="AL312" s="388"/>
      <c r="AM312" s="388"/>
      <c r="AN312" s="388"/>
      <c r="AO312" s="388"/>
      <c r="AP312" s="388"/>
      <c r="AQ312" s="388"/>
      <c r="AR312" s="388"/>
      <c r="AS312" s="388"/>
      <c r="AT312" s="388"/>
      <c r="AU312" s="388"/>
      <c r="AV312" s="388"/>
      <c r="AW312" s="388"/>
      <c r="AX312" s="388"/>
      <c r="AY312" s="388"/>
      <c r="AZ312" s="388"/>
      <c r="BA312" s="388"/>
      <c r="BB312" s="389"/>
      <c r="BC312" s="98">
        <v>1</v>
      </c>
      <c r="BD312" s="74">
        <v>1</v>
      </c>
      <c r="BE312" s="75">
        <f t="shared" si="129"/>
        <v>0</v>
      </c>
    </row>
    <row r="313" spans="1:57" s="1" customFormat="1" ht="18" customHeight="1" x14ac:dyDescent="0.4">
      <c r="A313" s="37" t="str">
        <f t="shared" si="122"/>
        <v>5Н</v>
      </c>
      <c r="B313" s="183"/>
      <c r="C313" s="41"/>
      <c r="D313" s="184"/>
      <c r="E313" s="282">
        <f t="shared" si="130"/>
        <v>46027</v>
      </c>
      <c r="F313" s="335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  <c r="W313" s="336"/>
      <c r="X313" s="98">
        <v>1</v>
      </c>
      <c r="Y313" s="74">
        <v>1</v>
      </c>
      <c r="Z313" s="75">
        <f t="shared" si="128"/>
        <v>0</v>
      </c>
      <c r="AA313" s="107">
        <f t="shared" si="132"/>
        <v>0</v>
      </c>
      <c r="AB313" s="41"/>
      <c r="AC313" s="184"/>
      <c r="AD313" s="212">
        <f t="shared" si="131"/>
        <v>46027</v>
      </c>
      <c r="AE313" s="387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  <c r="AY313" s="388"/>
      <c r="AZ313" s="388"/>
      <c r="BA313" s="388"/>
      <c r="BB313" s="389"/>
      <c r="BC313" s="98">
        <v>1</v>
      </c>
      <c r="BD313" s="74">
        <v>1</v>
      </c>
      <c r="BE313" s="75">
        <f t="shared" si="129"/>
        <v>0</v>
      </c>
    </row>
    <row r="314" spans="1:57" s="1" customFormat="1" ht="18" customHeight="1" x14ac:dyDescent="0.4">
      <c r="A314" s="37" t="str">
        <f t="shared" si="122"/>
        <v>5Н</v>
      </c>
      <c r="B314" s="183"/>
      <c r="C314" s="41"/>
      <c r="D314" s="184"/>
      <c r="E314" s="282">
        <f t="shared" si="130"/>
        <v>46027</v>
      </c>
      <c r="F314" s="335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  <c r="W314" s="336"/>
      <c r="X314" s="98">
        <v>1</v>
      </c>
      <c r="Y314" s="74">
        <v>1</v>
      </c>
      <c r="Z314" s="75">
        <f t="shared" si="128"/>
        <v>0</v>
      </c>
      <c r="AA314" s="107">
        <f t="shared" si="132"/>
        <v>0</v>
      </c>
      <c r="AB314" s="41"/>
      <c r="AC314" s="184"/>
      <c r="AD314" s="212">
        <f t="shared" si="131"/>
        <v>46027</v>
      </c>
      <c r="AE314" s="387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  <c r="AY314" s="388"/>
      <c r="AZ314" s="388"/>
      <c r="BA314" s="388"/>
      <c r="BB314" s="389"/>
      <c r="BC314" s="98">
        <v>1</v>
      </c>
      <c r="BD314" s="74">
        <v>1</v>
      </c>
      <c r="BE314" s="75">
        <f t="shared" si="129"/>
        <v>0</v>
      </c>
    </row>
    <row r="315" spans="1:57" s="1" customFormat="1" ht="18" customHeight="1" x14ac:dyDescent="0.4">
      <c r="A315" s="37" t="str">
        <f t="shared" si="122"/>
        <v>5Н</v>
      </c>
      <c r="B315" s="183"/>
      <c r="C315" s="41"/>
      <c r="D315" s="184"/>
      <c r="E315" s="282">
        <f t="shared" si="130"/>
        <v>46027</v>
      </c>
      <c r="F315" s="335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98">
        <v>1</v>
      </c>
      <c r="Y315" s="74">
        <v>1</v>
      </c>
      <c r="Z315" s="75">
        <f t="shared" si="128"/>
        <v>0</v>
      </c>
      <c r="AA315" s="107">
        <f t="shared" si="132"/>
        <v>0</v>
      </c>
      <c r="AB315" s="41"/>
      <c r="AC315" s="184"/>
      <c r="AD315" s="212">
        <f t="shared" si="131"/>
        <v>46027</v>
      </c>
      <c r="AE315" s="387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  <c r="AY315" s="388"/>
      <c r="AZ315" s="388"/>
      <c r="BA315" s="388"/>
      <c r="BB315" s="389"/>
      <c r="BC315" s="98">
        <v>1</v>
      </c>
      <c r="BD315" s="74">
        <v>1</v>
      </c>
      <c r="BE315" s="75">
        <f t="shared" si="129"/>
        <v>0</v>
      </c>
    </row>
    <row r="316" spans="1:57" s="1" customFormat="1" ht="18" customHeight="1" x14ac:dyDescent="0.4">
      <c r="A316" s="37" t="str">
        <f t="shared" si="122"/>
        <v>5Н</v>
      </c>
      <c r="B316" s="183"/>
      <c r="C316" s="41"/>
      <c r="D316" s="184"/>
      <c r="E316" s="282">
        <f t="shared" si="130"/>
        <v>46027</v>
      </c>
      <c r="F316" s="335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  <c r="W316" s="336"/>
      <c r="X316" s="98">
        <v>1</v>
      </c>
      <c r="Y316" s="74">
        <v>1</v>
      </c>
      <c r="Z316" s="75">
        <f t="shared" si="128"/>
        <v>0</v>
      </c>
      <c r="AA316" s="107">
        <f t="shared" si="132"/>
        <v>0</v>
      </c>
      <c r="AB316" s="41"/>
      <c r="AC316" s="184"/>
      <c r="AD316" s="212">
        <f t="shared" si="131"/>
        <v>46027</v>
      </c>
      <c r="AE316" s="387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  <c r="AY316" s="388"/>
      <c r="AZ316" s="388"/>
      <c r="BA316" s="388"/>
      <c r="BB316" s="389"/>
      <c r="BC316" s="98">
        <v>1</v>
      </c>
      <c r="BD316" s="74">
        <v>1</v>
      </c>
      <c r="BE316" s="75">
        <f t="shared" si="129"/>
        <v>0</v>
      </c>
    </row>
    <row r="317" spans="1:57" s="1" customFormat="1" ht="18" customHeight="1" x14ac:dyDescent="0.4">
      <c r="A317" s="37" t="str">
        <f t="shared" si="122"/>
        <v>5Н</v>
      </c>
      <c r="B317" s="183"/>
      <c r="C317" s="41"/>
      <c r="D317" s="184"/>
      <c r="E317" s="282">
        <f t="shared" si="130"/>
        <v>46027</v>
      </c>
      <c r="F317" s="335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  <c r="W317" s="336"/>
      <c r="X317" s="98">
        <v>1</v>
      </c>
      <c r="Y317" s="74">
        <v>1</v>
      </c>
      <c r="Z317" s="75">
        <f t="shared" si="128"/>
        <v>0</v>
      </c>
      <c r="AA317" s="107">
        <f t="shared" si="132"/>
        <v>0</v>
      </c>
      <c r="AB317" s="41"/>
      <c r="AC317" s="184"/>
      <c r="AD317" s="212">
        <f t="shared" si="131"/>
        <v>46027</v>
      </c>
      <c r="AE317" s="387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  <c r="AY317" s="388"/>
      <c r="AZ317" s="388"/>
      <c r="BA317" s="388"/>
      <c r="BB317" s="389"/>
      <c r="BC317" s="98">
        <v>1</v>
      </c>
      <c r="BD317" s="74">
        <v>1</v>
      </c>
      <c r="BE317" s="75">
        <f t="shared" si="129"/>
        <v>0</v>
      </c>
    </row>
    <row r="318" spans="1:57" s="1" customFormat="1" ht="18" customHeight="1" thickBot="1" x14ac:dyDescent="0.45">
      <c r="A318" s="37" t="str">
        <f t="shared" si="122"/>
        <v>5Н</v>
      </c>
      <c r="B318" s="183"/>
      <c r="C318" s="41"/>
      <c r="D318" s="184"/>
      <c r="E318" s="283">
        <f t="shared" si="130"/>
        <v>46027</v>
      </c>
      <c r="F318" s="339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99">
        <v>1</v>
      </c>
      <c r="Y318" s="76">
        <v>1</v>
      </c>
      <c r="Z318" s="77">
        <f t="shared" si="128"/>
        <v>0</v>
      </c>
      <c r="AA318" s="107">
        <f t="shared" si="132"/>
        <v>0</v>
      </c>
      <c r="AB318" s="41"/>
      <c r="AC318" s="184"/>
      <c r="AD318" s="211">
        <f t="shared" si="131"/>
        <v>46027</v>
      </c>
      <c r="AE318" s="410"/>
      <c r="AF318" s="411"/>
      <c r="AG318" s="411"/>
      <c r="AH318" s="411"/>
      <c r="AI318" s="411"/>
      <c r="AJ318" s="411"/>
      <c r="AK318" s="411"/>
      <c r="AL318" s="411"/>
      <c r="AM318" s="411"/>
      <c r="AN318" s="411"/>
      <c r="AO318" s="411"/>
      <c r="AP318" s="411"/>
      <c r="AQ318" s="411"/>
      <c r="AR318" s="411"/>
      <c r="AS318" s="411"/>
      <c r="AT318" s="411"/>
      <c r="AU318" s="411"/>
      <c r="AV318" s="411"/>
      <c r="AW318" s="411"/>
      <c r="AX318" s="411"/>
      <c r="AY318" s="411"/>
      <c r="AZ318" s="411"/>
      <c r="BA318" s="411"/>
      <c r="BB318" s="412"/>
      <c r="BC318" s="99">
        <v>1</v>
      </c>
      <c r="BD318" s="76">
        <v>1</v>
      </c>
      <c r="BE318" s="75">
        <f t="shared" si="129"/>
        <v>0</v>
      </c>
    </row>
    <row r="319" spans="1:57" s="1" customFormat="1" ht="23.25" customHeight="1" thickBot="1" x14ac:dyDescent="0.45">
      <c r="A319" s="37" t="str">
        <f t="shared" si="122"/>
        <v>5Н</v>
      </c>
      <c r="B319" s="193"/>
      <c r="C319" s="47"/>
      <c r="D319" s="47"/>
      <c r="E319" s="47"/>
      <c r="F319" s="78"/>
      <c r="G319" s="78"/>
      <c r="H319" s="78"/>
      <c r="I319" s="80"/>
      <c r="J319" s="80"/>
      <c r="K319" s="80"/>
      <c r="L319" s="80"/>
      <c r="M319" s="80"/>
      <c r="N319" s="80"/>
      <c r="O319" s="78"/>
      <c r="P319" s="81"/>
      <c r="Q319" s="81"/>
      <c r="R319" s="81"/>
      <c r="S319" s="81"/>
      <c r="T319" s="81"/>
      <c r="U319" s="82"/>
      <c r="V319" s="82"/>
      <c r="W319" s="86"/>
      <c r="X319" s="194"/>
      <c r="Y319" s="83"/>
      <c r="Z319" s="83"/>
      <c r="AA319" s="78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84"/>
      <c r="AN319" s="47"/>
      <c r="AO319" s="78"/>
      <c r="AP319" s="78"/>
      <c r="AQ319" s="78"/>
      <c r="AR319" s="84"/>
      <c r="AS319" s="78"/>
      <c r="AT319" s="85"/>
      <c r="AU319" s="78"/>
      <c r="AV319" s="83"/>
      <c r="AW319" s="83"/>
      <c r="AX319" s="78"/>
      <c r="AY319" s="78"/>
      <c r="AZ319" s="78"/>
      <c r="BA319" s="78"/>
      <c r="BB319" s="78"/>
      <c r="BC319" s="78"/>
      <c r="BD319" s="79"/>
      <c r="BE319" s="79"/>
    </row>
    <row r="320" spans="1:57" s="1" customFormat="1" ht="21.6" customHeight="1" thickBot="1" x14ac:dyDescent="0.45">
      <c r="A320" s="37" t="s">
        <v>157</v>
      </c>
      <c r="B320" s="59"/>
      <c r="C320" s="51"/>
      <c r="D320" s="51"/>
      <c r="E320" s="51"/>
      <c r="F320" s="158" t="s">
        <v>147</v>
      </c>
      <c r="G320" s="51"/>
      <c r="H320" s="51"/>
      <c r="I320" s="156"/>
      <c r="J320" s="156"/>
      <c r="K320" s="156"/>
      <c r="L320" s="156"/>
      <c r="M320" s="156"/>
      <c r="N320" s="156"/>
      <c r="O320" s="91"/>
      <c r="P320" s="52"/>
      <c r="Q320" s="52"/>
      <c r="R320" s="52"/>
      <c r="S320" s="52"/>
      <c r="T320" s="52"/>
      <c r="U320" s="157"/>
      <c r="V320" s="157"/>
      <c r="W320" s="94"/>
      <c r="X320" s="94"/>
      <c r="Y320" s="51"/>
      <c r="Z320" s="51"/>
      <c r="AA320" s="157">
        <f>AA303</f>
        <v>1</v>
      </c>
      <c r="AB320" s="157">
        <f t="shared" ref="AB320:AF320" si="133">AB303</f>
        <v>2</v>
      </c>
      <c r="AC320" s="157">
        <f t="shared" si="133"/>
        <v>3</v>
      </c>
      <c r="AD320" s="157">
        <f t="shared" si="133"/>
        <v>4</v>
      </c>
      <c r="AE320" s="157">
        <f t="shared" si="133"/>
        <v>5</v>
      </c>
      <c r="AF320" s="157">
        <f t="shared" si="133"/>
        <v>6</v>
      </c>
      <c r="AG320" s="162" t="s">
        <v>123</v>
      </c>
      <c r="AH320" s="162" t="s">
        <v>124</v>
      </c>
      <c r="AI320" s="162" t="s">
        <v>125</v>
      </c>
      <c r="AJ320" s="91" t="s">
        <v>126</v>
      </c>
      <c r="AK320" s="198" t="s">
        <v>136</v>
      </c>
      <c r="AL320" s="198" t="s">
        <v>137</v>
      </c>
      <c r="AM320" s="198" t="s">
        <v>138</v>
      </c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</row>
    <row r="321" spans="1:57" s="1" customFormat="1" ht="21.6" customHeight="1" x14ac:dyDescent="0.4">
      <c r="A321" s="37" t="str">
        <f>A320</f>
        <v>6Д</v>
      </c>
      <c r="B321" s="12">
        <f>B302+1</f>
        <v>46028</v>
      </c>
      <c r="C321" s="97"/>
      <c r="D321" s="97">
        <v>1</v>
      </c>
      <c r="E321" s="29"/>
      <c r="F321" s="151" t="str">
        <f>IFERROR(VLOOKUP($G321,нормы!$A$14:$BC$57,2,0),"")</f>
        <v/>
      </c>
      <c r="G321" s="93"/>
      <c r="H321" s="54">
        <f>IF(C321=1,"Кульков С.А.", IF(C321=2,"Чудаков А.А.",IF(C321=3,"Королев В.Н.",IF(C321=4,"Николашин М.П.",IF(C321=5," Кульков С.А.",IF(C321=6,"А.А. Чудаков",IF(C321=7,"В.Н. Королев",IF(C321=8,"М.П. Николашин",0))))))))</f>
        <v>0</v>
      </c>
      <c r="I321" s="88" t="s">
        <v>84</v>
      </c>
      <c r="J321" s="332"/>
      <c r="K321" s="30">
        <f>IFERROR(VLOOKUP($G321,[1]нормы!$A$21:$BC$151,15,0),"")</f>
        <v>0</v>
      </c>
      <c r="L321" s="31">
        <f>IFERROR(VLOOKUP($G321,[1]нормы!$A$21:$BC$151,17,0),"")</f>
        <v>0</v>
      </c>
      <c r="M321" s="310">
        <f>IFERROR(VLOOKUP($G321,[1]нормы!$A$21:$BC$151,27,0),"")</f>
        <v>0</v>
      </c>
      <c r="N321" s="311" t="str">
        <f>IFERROR(Y321/Y327*(1.1*J321*I326),"")</f>
        <v/>
      </c>
      <c r="O321" s="300">
        <f>IFERROR(VLOOKUP($G321,[1]нормы!$A$21:$BC$151,21,0),"")</f>
        <v>0</v>
      </c>
      <c r="P321" s="35">
        <f>IFERROR(VLOOKUP($G321,[1]нормы!$A$21:$BC$151,19,0),"")</f>
        <v>0</v>
      </c>
      <c r="Q321" s="35">
        <f>IFERROR(VLOOKUP($G321,[1]нормы!$A$21:$BC$151,23,0),"")</f>
        <v>0</v>
      </c>
      <c r="R321" s="231">
        <f>IFERROR(VLOOKUP($G321,[1]нормы!$A$21:$BC$151,29,0),"")</f>
        <v>0</v>
      </c>
      <c r="S321" s="35">
        <f>IFERROR(VLOOKUP($G321,[1]нормы!$A$21:$BC$151,31,0),"")</f>
        <v>0</v>
      </c>
      <c r="T321" s="32">
        <f>IFERROR(VLOOKUP($G321,[1]нормы!$A$21:$BC$151,25,0),"")</f>
        <v>0</v>
      </c>
      <c r="U321" s="232" t="str">
        <f>IFERROR(W321/(((100*Y321/Y327)*I326)/100),"")</f>
        <v/>
      </c>
      <c r="V321" s="234" t="str">
        <f>IFERROR(VLOOKUP($G321,нормы!$A$14:$BC$57,38,0),"")</f>
        <v/>
      </c>
      <c r="W321" s="136"/>
      <c r="X321" s="236"/>
      <c r="Y321" s="152" t="str">
        <f>IFERROR(VLOOKUP($G321,нормы!$A$14:$BC$57,42,0)*W321,"")</f>
        <v/>
      </c>
      <c r="Z321" s="163">
        <f>IFERROR(VLOOKUP($G321,нормы!$A$14:$BC$57,14,0)*W321/1000,0)</f>
        <v>0</v>
      </c>
      <c r="AA321" s="33"/>
      <c r="AB321" s="36"/>
      <c r="AC321" s="36"/>
      <c r="AD321" s="36"/>
      <c r="AE321" s="34"/>
      <c r="AF321" s="159"/>
      <c r="AG321" s="390"/>
      <c r="AH321" s="393"/>
      <c r="AI321" s="396"/>
      <c r="AJ321" s="407">
        <f>AG321+AH321</f>
        <v>0</v>
      </c>
      <c r="AK321" s="359"/>
      <c r="AL321" s="359"/>
      <c r="AM321" s="359"/>
      <c r="AN321" s="287">
        <f>IFERROR(Y321*AJ321/Y327,)</f>
        <v>0</v>
      </c>
      <c r="AO321" s="197" t="str">
        <f>IFERROR(VLOOKUP($G321,нормы!$A$14:$BC$57,53,0)*$W321,"")</f>
        <v/>
      </c>
      <c r="AP321" s="288">
        <f>IFERROR(Y321*AI321/Y327,)</f>
        <v>0</v>
      </c>
      <c r="AQ321" s="197" t="str">
        <f>IFERROR(VLOOKUP($G321,нормы!$A$14:$BC$57,54,0)*$W321,"")</f>
        <v/>
      </c>
      <c r="AR321" s="288">
        <f>IFERROR(AS321/SUM(AS321:AS326)*AL321,0)</f>
        <v>0</v>
      </c>
      <c r="AS321" s="197" t="str">
        <f>IFERROR(VLOOKUP($G321,нормы!$A$14:$BC$57,55,0)*W321,"")</f>
        <v/>
      </c>
      <c r="AT321" s="288">
        <f>IFERROR(AU321/SUM(AU321:AU326)*AM321,0)</f>
        <v>0</v>
      </c>
      <c r="AU321" s="197" t="str">
        <f>IFERROR(VLOOKUP($G321,нормы!$A$14:$BI$57,56,0)*W321,"")</f>
        <v/>
      </c>
      <c r="AV321" s="288">
        <f>IFERROR(AW321/SUM(AW321:AW326)*AK321,0)</f>
        <v>0</v>
      </c>
      <c r="AW321" s="202" t="str">
        <f>IFERROR(VLOOKUP($G321,нормы!$A$14:$BI$57,57,0)*W321,"")</f>
        <v/>
      </c>
      <c r="AX321" s="33"/>
      <c r="AY321" s="203" t="str">
        <f>IFERROR(VLOOKUP($G321,нормы!$A$14:$BI$57,58,0)*W321,"")</f>
        <v/>
      </c>
      <c r="AZ321" s="204"/>
      <c r="BA321" s="200" t="str">
        <f>IFERROR(VLOOKUP($G321,нормы!$A$14:$BI$57,61,0)*$W321,"")</f>
        <v/>
      </c>
      <c r="BB321" s="33"/>
      <c r="BC321" s="203" t="str">
        <f>IFERROR(VLOOKUP($G321,нормы!$A$14:$BI$57,60,0)*W321,"")</f>
        <v/>
      </c>
      <c r="BD321" s="200" t="str">
        <f>IFERROR(VLOOKUP($G321,нормы!$A$14:$BG$57,44,0),"")</f>
        <v/>
      </c>
      <c r="BE321" s="199" t="str">
        <f>IFERROR(W321/VLOOKUP($G321,нормы!$A$14:$BI$57,45,0),"")</f>
        <v/>
      </c>
    </row>
    <row r="322" spans="1:57" s="1" customFormat="1" ht="21.6" customHeight="1" x14ac:dyDescent="0.4">
      <c r="A322" s="37" t="str">
        <f t="shared" ref="A322:A350" si="134">A321</f>
        <v>6Д</v>
      </c>
      <c r="B322" s="12">
        <f t="shared" ref="B322:D326" si="135">B321</f>
        <v>46028</v>
      </c>
      <c r="C322" s="97">
        <f t="shared" si="135"/>
        <v>0</v>
      </c>
      <c r="D322" s="97">
        <f t="shared" si="135"/>
        <v>1</v>
      </c>
      <c r="E322" s="54"/>
      <c r="F322" s="151" t="str">
        <f>IFERROR(VLOOKUP($G322,нормы!$A$14:$BC$57,2,0),"")</f>
        <v/>
      </c>
      <c r="G322" s="93"/>
      <c r="H322" s="54">
        <f t="shared" ref="H322:H326" si="136">IF(C322=1,"Кульков С.А.", IF(C322=2,"Чудаков А.А.",IF(C322=3,"Королев В.Н.",IF(C322=4,"Николашин М.П.",IF(C322=5," Кульков С.А.",IF(C322=6,"А.А. Чудаков",IF(C322=7,"В.Н. Королев",IF(C322=8,"М.П. Николашин",0))))))))</f>
        <v>0</v>
      </c>
      <c r="I322" s="55"/>
      <c r="J322" s="333"/>
      <c r="K322" s="30">
        <f>IFERROR(VLOOKUP($G322,[1]нормы!$A$21:$BC$151,15,0),"")</f>
        <v>0</v>
      </c>
      <c r="L322" s="31">
        <f>IFERROR(VLOOKUP($G322,[1]нормы!$A$21:$BC$151,17,0),"")</f>
        <v>0</v>
      </c>
      <c r="M322" s="306">
        <f>IFERROR(VLOOKUP($G322,[1]нормы!$A$21:$BC$151,27,0),"")</f>
        <v>0</v>
      </c>
      <c r="N322" s="307" t="str">
        <f>IFERROR(Y322/Y327*(1.1*J321*I326),"")</f>
        <v/>
      </c>
      <c r="O322" s="300">
        <f>IFERROR(VLOOKUP($G322,[1]нормы!$A$21:$BC$151,21,0),"")</f>
        <v>0</v>
      </c>
      <c r="P322" s="35">
        <f>IFERROR(VLOOKUP($G322,[1]нормы!$A$21:$BC$151,19,0),"")</f>
        <v>0</v>
      </c>
      <c r="Q322" s="35">
        <f>IFERROR(VLOOKUP($G322,[1]нормы!$A$21:$BC$151,23,0),"")</f>
        <v>0</v>
      </c>
      <c r="R322" s="231">
        <f>IFERROR(VLOOKUP($G322,[1]нормы!$A$21:$BC$151,29,0),"")</f>
        <v>0</v>
      </c>
      <c r="S322" s="35">
        <f>IFERROR(VLOOKUP($G322,[1]нормы!$A$21:$BC$151,31,0),"")</f>
        <v>0</v>
      </c>
      <c r="T322" s="32">
        <f>IFERROR(VLOOKUP($G322,[1]нормы!$A$21:$BC$151,25,0),"")</f>
        <v>0</v>
      </c>
      <c r="U322" s="233" t="str">
        <f>IFERROR(W322/(((100*Y322/Y327)*I326)/100),"")</f>
        <v/>
      </c>
      <c r="V322" s="234" t="str">
        <f>IFERROR(VLOOKUP($G322,нормы!$A$14:$BC$57,38,0),"")</f>
        <v/>
      </c>
      <c r="W322" s="136"/>
      <c r="X322" s="237"/>
      <c r="Y322" s="152" t="str">
        <f>IFERROR(VLOOKUP($G322,нормы!$A$14:$BC$57,42,0)*W322,"")</f>
        <v/>
      </c>
      <c r="Z322" s="163">
        <f>IFERROR(VLOOKUP($G322,нормы!$A$14:$BC$57,14,0)*W322/1000,0)</f>
        <v>0</v>
      </c>
      <c r="AA322" s="142"/>
      <c r="AB322" s="35"/>
      <c r="AC322" s="35"/>
      <c r="AD322" s="35"/>
      <c r="AE322" s="31"/>
      <c r="AF322" s="160"/>
      <c r="AG322" s="391"/>
      <c r="AH322" s="394"/>
      <c r="AI322" s="397"/>
      <c r="AJ322" s="408"/>
      <c r="AK322" s="360"/>
      <c r="AL322" s="360"/>
      <c r="AM322" s="360"/>
      <c r="AN322" s="289">
        <f>IFERROR(Y322*AJ321/Y327,)</f>
        <v>0</v>
      </c>
      <c r="AO322" s="197" t="str">
        <f>IFERROR(VLOOKUP($G322,нормы!$A$14:$BC$57,53,0)*$W322,"")</f>
        <v/>
      </c>
      <c r="AP322" s="290">
        <f>IFERROR(Y322*AI321/Y327,)</f>
        <v>0</v>
      </c>
      <c r="AQ322" s="197" t="str">
        <f>IFERROR(VLOOKUP($G322,нормы!$A$14:$BC$57,54,0)*$W322,"")</f>
        <v/>
      </c>
      <c r="AR322" s="290">
        <f>IFERROR(AS322/SUM(AS321:AS326)*AL321,0)</f>
        <v>0</v>
      </c>
      <c r="AS322" s="197" t="str">
        <f>IFERROR(VLOOKUP($G322,нормы!$A$14:$BC$57,55,0)*W322,"")</f>
        <v/>
      </c>
      <c r="AT322" s="290">
        <f>IFERROR(AU322/SUM(AU321:AU326)*AM321,0)</f>
        <v>0</v>
      </c>
      <c r="AU322" s="197" t="str">
        <f>IFERROR(VLOOKUP($G322,нормы!$A$14:$BI$57,56,0)*W322,"")</f>
        <v/>
      </c>
      <c r="AV322" s="290">
        <f>IFERROR(AW322/SUM(AW321:AW326)*AK321,0)</f>
        <v>0</v>
      </c>
      <c r="AW322" s="202" t="str">
        <f>IFERROR(VLOOKUP($G322,нормы!$A$14:$BI$57,57,0)*W322,"")</f>
        <v/>
      </c>
      <c r="AX322" s="30"/>
      <c r="AY322" s="203" t="str">
        <f>IFERROR(VLOOKUP($G322,нормы!$A$14:$BI$57,58,0)*W322,"")</f>
        <v/>
      </c>
      <c r="AZ322" s="205"/>
      <c r="BA322" s="200" t="str">
        <f>IFERROR(VLOOKUP($G322,нормы!$A$14:$BI$57,61,0)*$W322,"")</f>
        <v/>
      </c>
      <c r="BB322" s="30"/>
      <c r="BC322" s="203" t="str">
        <f>IFERROR(VLOOKUP($G322,нормы!$A$14:$BI$57,60,0)*W322,"")</f>
        <v/>
      </c>
      <c r="BD322" s="200" t="str">
        <f>IFERROR(VLOOKUP($G322,нормы!$A$14:$BG$57,44,0),"")</f>
        <v/>
      </c>
      <c r="BE322" s="199" t="str">
        <f>IFERROR(W322/VLOOKUP($G322,нормы!$A$14:$BI$57,45,0),"")</f>
        <v/>
      </c>
    </row>
    <row r="323" spans="1:57" s="1" customFormat="1" ht="20.25" customHeight="1" x14ac:dyDescent="0.4">
      <c r="A323" s="37" t="str">
        <f t="shared" si="134"/>
        <v>6Д</v>
      </c>
      <c r="B323" s="12">
        <f t="shared" si="135"/>
        <v>46028</v>
      </c>
      <c r="C323" s="97">
        <f t="shared" si="135"/>
        <v>0</v>
      </c>
      <c r="D323" s="97">
        <f t="shared" si="135"/>
        <v>1</v>
      </c>
      <c r="E323" s="54"/>
      <c r="F323" s="151" t="str">
        <f>IFERROR(VLOOKUP($G323,нормы!$A$14:$BC$57,2,0),"")</f>
        <v/>
      </c>
      <c r="G323" s="38"/>
      <c r="H323" s="54">
        <f t="shared" si="136"/>
        <v>0</v>
      </c>
      <c r="I323" s="89" t="s">
        <v>85</v>
      </c>
      <c r="J323" s="333"/>
      <c r="K323" s="30">
        <f>IFERROR(VLOOKUP($G323,[1]нормы!$A$21:$BC$151,15,0),"")</f>
        <v>0</v>
      </c>
      <c r="L323" s="31">
        <f>IFERROR(VLOOKUP($G323,[1]нормы!$A$21:$BC$151,17,0),"")</f>
        <v>0</v>
      </c>
      <c r="M323" s="306">
        <f>IFERROR(VLOOKUP($G323,[1]нормы!$A$21:$BC$151,27,0),"")</f>
        <v>0</v>
      </c>
      <c r="N323" s="307" t="str">
        <f>IFERROR(Y323/Y327*(1.1*J321*I326),"")</f>
        <v/>
      </c>
      <c r="O323" s="300">
        <f>IFERROR(VLOOKUP($G323,[1]нормы!$A$21:$BC$151,21,0),"")</f>
        <v>0</v>
      </c>
      <c r="P323" s="35">
        <f>IFERROR(VLOOKUP($G323,[1]нормы!$A$21:$BC$151,19,0),"")</f>
        <v>0</v>
      </c>
      <c r="Q323" s="35">
        <f>IFERROR(VLOOKUP($G323,[1]нормы!$A$21:$BC$151,23,0),"")</f>
        <v>0</v>
      </c>
      <c r="R323" s="231">
        <f>IFERROR(VLOOKUP($G323,[1]нормы!$A$21:$BC$151,29,0),"")</f>
        <v>0</v>
      </c>
      <c r="S323" s="35">
        <f>IFERROR(VLOOKUP($G323,[1]нормы!$A$21:$BC$151,31,0),"")</f>
        <v>0</v>
      </c>
      <c r="T323" s="32">
        <f>IFERROR(VLOOKUP($G323,[1]нормы!$A$21:$BC$151,25,0),"")</f>
        <v>0</v>
      </c>
      <c r="U323" s="233" t="str">
        <f>IFERROR(W323/(((100*Y323/Y327)*I326)/100),"")</f>
        <v/>
      </c>
      <c r="V323" s="234" t="str">
        <f>IFERROR(VLOOKUP($G323,нормы!$A$14:$BC$57,38,0),"")</f>
        <v/>
      </c>
      <c r="W323" s="136"/>
      <c r="X323" s="237"/>
      <c r="Y323" s="152" t="str">
        <f>IFERROR(VLOOKUP($G323,нормы!$A$14:$BC$57,42,0)*W323,"")</f>
        <v/>
      </c>
      <c r="Z323" s="163">
        <f>IFERROR(VLOOKUP($G323,нормы!$A$14:$BC$57,14,0)*W323/1000,0)</f>
        <v>0</v>
      </c>
      <c r="AA323" s="30"/>
      <c r="AB323" s="35"/>
      <c r="AC323" s="35"/>
      <c r="AD323" s="35"/>
      <c r="AE323" s="31"/>
      <c r="AF323" s="160"/>
      <c r="AG323" s="391"/>
      <c r="AH323" s="394"/>
      <c r="AI323" s="397"/>
      <c r="AJ323" s="408"/>
      <c r="AK323" s="360"/>
      <c r="AL323" s="360"/>
      <c r="AM323" s="360"/>
      <c r="AN323" s="289">
        <f>IFERROR(Y323*AJ321/Y327,)</f>
        <v>0</v>
      </c>
      <c r="AO323" s="197" t="str">
        <f>IFERROR(VLOOKUP($G323,нормы!$A$14:$BC$57,53,0)*$W323,"")</f>
        <v/>
      </c>
      <c r="AP323" s="290">
        <f>IFERROR(Y323*AI321/Y327,)</f>
        <v>0</v>
      </c>
      <c r="AQ323" s="197" t="str">
        <f>IFERROR(VLOOKUP($G323,нормы!$A$14:$BC$57,54,0)*$W323,"")</f>
        <v/>
      </c>
      <c r="AR323" s="290">
        <f>IFERROR(AS323/SUM(AS321:AS326)*AL321,0)</f>
        <v>0</v>
      </c>
      <c r="AS323" s="197" t="str">
        <f>IFERROR(VLOOKUP($G323,нормы!$A$14:$BC$57,55,0)*W323,"")</f>
        <v/>
      </c>
      <c r="AT323" s="290">
        <f>IFERROR(AU323/SUM(AU321:AU326)*AM321,0)</f>
        <v>0</v>
      </c>
      <c r="AU323" s="197" t="str">
        <f>IFERROR(VLOOKUP($G323,нормы!$A$14:$BI$57,56,0)*W323,"")</f>
        <v/>
      </c>
      <c r="AV323" s="290">
        <f>IFERROR(AW323/SUM(AW321:AW326)*AK321,0)</f>
        <v>0</v>
      </c>
      <c r="AW323" s="202" t="str">
        <f>IFERROR(VLOOKUP($G323,нормы!$A$14:$BI$57,57,0)*W323,"")</f>
        <v/>
      </c>
      <c r="AX323" s="30"/>
      <c r="AY323" s="203" t="str">
        <f>IFERROR(VLOOKUP($G323,нормы!$A$14:$BI$57,58,0)*W323,"")</f>
        <v/>
      </c>
      <c r="AZ323" s="205"/>
      <c r="BA323" s="200" t="str">
        <f>IFERROR(VLOOKUP($G323,нормы!$A$14:$BI$57,61,0)*$W323,"")</f>
        <v/>
      </c>
      <c r="BB323" s="30"/>
      <c r="BC323" s="203" t="str">
        <f>IFERROR(VLOOKUP($G323,нормы!$A$14:$BI$57,60,0)*W323,"")</f>
        <v/>
      </c>
      <c r="BD323" s="200" t="str">
        <f>IFERROR(VLOOKUP($G323,нормы!$A$14:$BG$57,44,0),"")</f>
        <v/>
      </c>
      <c r="BE323" s="199" t="str">
        <f>IFERROR(W323/VLOOKUP($G323,нормы!$A$14:$BI$57,45,0),"")</f>
        <v/>
      </c>
    </row>
    <row r="324" spans="1:57" s="1" customFormat="1" ht="20.25" customHeight="1" x14ac:dyDescent="0.4">
      <c r="A324" s="37" t="str">
        <f t="shared" si="134"/>
        <v>6Д</v>
      </c>
      <c r="B324" s="12">
        <f t="shared" si="135"/>
        <v>46028</v>
      </c>
      <c r="C324" s="97">
        <f t="shared" si="135"/>
        <v>0</v>
      </c>
      <c r="D324" s="97">
        <f t="shared" si="135"/>
        <v>1</v>
      </c>
      <c r="E324" s="54"/>
      <c r="F324" s="151" t="str">
        <f>IFERROR(VLOOKUP($G324,нормы!$A$14:$BC$57,2,0),"")</f>
        <v/>
      </c>
      <c r="G324" s="93"/>
      <c r="H324" s="54">
        <f t="shared" si="136"/>
        <v>0</v>
      </c>
      <c r="I324" s="55"/>
      <c r="J324" s="333"/>
      <c r="K324" s="30">
        <f>IFERROR(VLOOKUP($G324,[1]нормы!$A$21:$BC$151,15,0),"")</f>
        <v>0</v>
      </c>
      <c r="L324" s="31">
        <f>IFERROR(VLOOKUP($G324,[1]нормы!$A$21:$BC$151,17,0),"")</f>
        <v>0</v>
      </c>
      <c r="M324" s="306">
        <f>IFERROR(VLOOKUP($G324,[1]нормы!$A$21:$BC$151,27,0),"")</f>
        <v>0</v>
      </c>
      <c r="N324" s="307" t="str">
        <f>IFERROR(Y324/Y327*(1.1*J321*I329),"")</f>
        <v/>
      </c>
      <c r="O324" s="300">
        <f>IFERROR(VLOOKUP($G324,[1]нормы!$A$21:$BC$151,21,0),"")</f>
        <v>0</v>
      </c>
      <c r="P324" s="35">
        <f>IFERROR(VLOOKUP($G324,[1]нормы!$A$21:$BC$151,19,0),"")</f>
        <v>0</v>
      </c>
      <c r="Q324" s="35">
        <f>IFERROR(VLOOKUP($G324,[1]нормы!$A$21:$BC$151,23,0),"")</f>
        <v>0</v>
      </c>
      <c r="R324" s="231">
        <f>IFERROR(VLOOKUP($G324,[1]нормы!$A$21:$BC$151,29,0),"")</f>
        <v>0</v>
      </c>
      <c r="S324" s="35">
        <f>IFERROR(VLOOKUP($G324,[1]нормы!$A$21:$BC$151,31,0),"")</f>
        <v>0</v>
      </c>
      <c r="T324" s="32">
        <f>IFERROR(VLOOKUP($G324,[1]нормы!$A$21:$BC$151,25,0),"")</f>
        <v>0</v>
      </c>
      <c r="U324" s="233" t="str">
        <f>IFERROR(W324/(((100*Y324/Y327)*I326)/100),"")</f>
        <v/>
      </c>
      <c r="V324" s="234" t="str">
        <f>IFERROR(VLOOKUP($G324,нормы!$A$14:$BC$57,38,0),"")</f>
        <v/>
      </c>
      <c r="W324" s="136"/>
      <c r="X324" s="237"/>
      <c r="Y324" s="152" t="str">
        <f>IFERROR(VLOOKUP($G324,нормы!$A$14:$BC$57,42,0)*W324,"")</f>
        <v/>
      </c>
      <c r="Z324" s="163">
        <f>IFERROR(VLOOKUP($G324,нормы!$A$14:$BC$57,14,0)*W324/1000,0)</f>
        <v>0</v>
      </c>
      <c r="AA324" s="30"/>
      <c r="AB324" s="35"/>
      <c r="AC324" s="35"/>
      <c r="AD324" s="35"/>
      <c r="AE324" s="31"/>
      <c r="AF324" s="160"/>
      <c r="AG324" s="391"/>
      <c r="AH324" s="394"/>
      <c r="AI324" s="397"/>
      <c r="AJ324" s="408"/>
      <c r="AK324" s="360"/>
      <c r="AL324" s="360"/>
      <c r="AM324" s="360"/>
      <c r="AN324" s="289">
        <f>IFERROR(Y324*AJ321/Y327,)</f>
        <v>0</v>
      </c>
      <c r="AO324" s="197" t="str">
        <f>IFERROR(VLOOKUP($G324,нормы!$A$14:$BC$57,53,0)*$W324,"")</f>
        <v/>
      </c>
      <c r="AP324" s="290">
        <f>IFERROR(Y324*AI321/Y327,)</f>
        <v>0</v>
      </c>
      <c r="AQ324" s="197" t="str">
        <f>IFERROR(VLOOKUP($G324,нормы!$A$14:$BC$57,54,0)*$W324,"")</f>
        <v/>
      </c>
      <c r="AR324" s="290">
        <f>IFERROR(AS324/SUM(AS321:AS326)*AL321,0)</f>
        <v>0</v>
      </c>
      <c r="AS324" s="197" t="str">
        <f>IFERROR(VLOOKUP($G324,нормы!$A$14:$BC$57,55,0)*W324,"")</f>
        <v/>
      </c>
      <c r="AT324" s="290">
        <f>IFERROR(AU324/SUM(AU321:AU326)*AM321,0)</f>
        <v>0</v>
      </c>
      <c r="AU324" s="197" t="str">
        <f>IFERROR(VLOOKUP($G324,нормы!$A$14:$BI$57,56,0)*W324,"")</f>
        <v/>
      </c>
      <c r="AV324" s="290">
        <f>IFERROR(AW324/SUM(AW321:AW326)*AK321,0)</f>
        <v>0</v>
      </c>
      <c r="AW324" s="202" t="str">
        <f>IFERROR(VLOOKUP($G324,нормы!$A$14:$BI$57,57,0)*W324,"")</f>
        <v/>
      </c>
      <c r="AX324" s="30"/>
      <c r="AY324" s="203" t="str">
        <f>IFERROR(VLOOKUP($G324,нормы!$A$14:$BI$57,58,0)*W324,"")</f>
        <v/>
      </c>
      <c r="AZ324" s="205"/>
      <c r="BA324" s="200" t="str">
        <f>IFERROR(VLOOKUP($G324,нормы!$A$14:$BI$57,61,0)*$W324,"")</f>
        <v/>
      </c>
      <c r="BB324" s="30"/>
      <c r="BC324" s="203" t="str">
        <f>IFERROR(VLOOKUP($G324,нормы!$A$14:$BI$57,60,0)*W324,"")</f>
        <v/>
      </c>
      <c r="BD324" s="200" t="str">
        <f>IFERROR(VLOOKUP($G324,нормы!$A$14:$BG$57,44,0),"")</f>
        <v/>
      </c>
      <c r="BE324" s="199" t="str">
        <f>IFERROR(W324/VLOOKUP($G324,нормы!$A$14:$BI$57,45,0),"")</f>
        <v/>
      </c>
    </row>
    <row r="325" spans="1:57" s="1" customFormat="1" ht="20.25" customHeight="1" x14ac:dyDescent="0.4">
      <c r="A325" s="37" t="str">
        <f t="shared" si="134"/>
        <v>6Д</v>
      </c>
      <c r="B325" s="12">
        <f t="shared" si="135"/>
        <v>46028</v>
      </c>
      <c r="C325" s="97">
        <f t="shared" si="135"/>
        <v>0</v>
      </c>
      <c r="D325" s="97">
        <f t="shared" si="135"/>
        <v>1</v>
      </c>
      <c r="E325" s="54"/>
      <c r="F325" s="151" t="str">
        <f>IFERROR(VLOOKUP($G325,нормы!$A$14:$BC$57,2,0),"")</f>
        <v/>
      </c>
      <c r="G325" s="38"/>
      <c r="H325" s="54">
        <f t="shared" si="136"/>
        <v>0</v>
      </c>
      <c r="I325" s="89" t="s">
        <v>73</v>
      </c>
      <c r="J325" s="333"/>
      <c r="K325" s="30">
        <f>IFERROR(VLOOKUP($G325,[1]нормы!$A$21:$BC$151,15,0),"")</f>
        <v>0</v>
      </c>
      <c r="L325" s="31">
        <f>IFERROR(VLOOKUP($G325,[1]нормы!$A$21:$BC$151,17,0),"")</f>
        <v>0</v>
      </c>
      <c r="M325" s="306">
        <f>IFERROR(VLOOKUP($G325,[1]нормы!$A$21:$BC$151,27,0),"")</f>
        <v>0</v>
      </c>
      <c r="N325" s="307" t="str">
        <f>IFERROR(Y325/Y327*(1.1*J321*I330),"")</f>
        <v/>
      </c>
      <c r="O325" s="300">
        <f>IFERROR(VLOOKUP($G325,[1]нормы!$A$21:$BC$151,21,0),"")</f>
        <v>0</v>
      </c>
      <c r="P325" s="35">
        <f>IFERROR(VLOOKUP($G325,[1]нормы!$A$21:$BC$151,19,0),"")</f>
        <v>0</v>
      </c>
      <c r="Q325" s="35">
        <f>IFERROR(VLOOKUP($G325,[1]нормы!$A$21:$BC$151,23,0),"")</f>
        <v>0</v>
      </c>
      <c r="R325" s="231">
        <f>IFERROR(VLOOKUP($G325,[1]нормы!$A$21:$BC$151,29,0),"")</f>
        <v>0</v>
      </c>
      <c r="S325" s="35">
        <f>IFERROR(VLOOKUP($G325,[1]нормы!$A$21:$BC$151,31,0),"")</f>
        <v>0</v>
      </c>
      <c r="T325" s="32">
        <f>IFERROR(VLOOKUP($G325,[1]нормы!$A$21:$BC$151,25,0),"")</f>
        <v>0</v>
      </c>
      <c r="U325" s="233" t="str">
        <f>IFERROR(W325/(((100*Y325/Y327)*I326)/100),"")</f>
        <v/>
      </c>
      <c r="V325" s="234" t="str">
        <f>IFERROR(VLOOKUP($G325,нормы!$A$14:$BC$57,38,0),"")</f>
        <v/>
      </c>
      <c r="W325" s="136"/>
      <c r="X325" s="237"/>
      <c r="Y325" s="152" t="str">
        <f>IFERROR(VLOOKUP($G325,нормы!$A$14:$BC$57,42,0)*W325,"")</f>
        <v/>
      </c>
      <c r="Z325" s="163">
        <f>IFERROR(VLOOKUP($G325,нормы!$A$14:$BC$57,14,0)*W325/1000,0)</f>
        <v>0</v>
      </c>
      <c r="AA325" s="30"/>
      <c r="AB325" s="35"/>
      <c r="AC325" s="35"/>
      <c r="AD325" s="35"/>
      <c r="AE325" s="31"/>
      <c r="AF325" s="160"/>
      <c r="AG325" s="391"/>
      <c r="AH325" s="394"/>
      <c r="AI325" s="397"/>
      <c r="AJ325" s="408"/>
      <c r="AK325" s="360"/>
      <c r="AL325" s="360"/>
      <c r="AM325" s="360"/>
      <c r="AN325" s="289">
        <f>IFERROR(Y325*AJ321/Y327,)</f>
        <v>0</v>
      </c>
      <c r="AO325" s="197" t="str">
        <f>IFERROR(VLOOKUP($G325,нормы!$A$14:$BC$57,53,0)*$W325,"")</f>
        <v/>
      </c>
      <c r="AP325" s="290">
        <f>IFERROR(Y325*AI321/Y327,)</f>
        <v>0</v>
      </c>
      <c r="AQ325" s="197" t="str">
        <f>IFERROR(VLOOKUP($G325,нормы!$A$14:$BC$57,54,0)*$W325,"")</f>
        <v/>
      </c>
      <c r="AR325" s="290">
        <f>IFERROR(AS325/SUM(AS321:AS326)*AL321,0)</f>
        <v>0</v>
      </c>
      <c r="AS325" s="197" t="str">
        <f>IFERROR(VLOOKUP($G325,нормы!$A$14:$BC$57,55,0)*W325,"")</f>
        <v/>
      </c>
      <c r="AT325" s="290">
        <f>IFERROR(AU325/SUM(AU321:AU326)*AM321,0)</f>
        <v>0</v>
      </c>
      <c r="AU325" s="197" t="str">
        <f>IFERROR(VLOOKUP($G325,нормы!$A$14:$BI$57,56,0)*W325,"")</f>
        <v/>
      </c>
      <c r="AV325" s="290">
        <f>IFERROR(AW325/SUM(AW321:AW326)*AK321,0)</f>
        <v>0</v>
      </c>
      <c r="AW325" s="202" t="str">
        <f>IFERROR(VLOOKUP($G325,нормы!$A$14:$BI$57,57,0)*W325,"")</f>
        <v/>
      </c>
      <c r="AX325" s="30"/>
      <c r="AY325" s="203" t="str">
        <f>IFERROR(VLOOKUP($G325,нормы!$A$14:$BI$57,58,0)*W325,"")</f>
        <v/>
      </c>
      <c r="AZ325" s="205"/>
      <c r="BA325" s="200" t="str">
        <f>IFERROR(VLOOKUP($G325,нормы!$A$14:$BI$57,61,0)*$W325,"")</f>
        <v/>
      </c>
      <c r="BB325" s="30"/>
      <c r="BC325" s="203" t="str">
        <f>IFERROR(VLOOKUP($G325,нормы!$A$14:$BI$57,60,0)*W325,"")</f>
        <v/>
      </c>
      <c r="BD325" s="200" t="str">
        <f>IFERROR(VLOOKUP($G325,нормы!$A$14:$BG$57,44,0),"")</f>
        <v/>
      </c>
      <c r="BE325" s="199" t="str">
        <f>IFERROR(W325/VLOOKUP($G325,нормы!$A$14:$BI$57,45,0),"")</f>
        <v/>
      </c>
    </row>
    <row r="326" spans="1:57" s="1" customFormat="1" ht="21" customHeight="1" thickBot="1" x14ac:dyDescent="0.45">
      <c r="A326" s="37" t="str">
        <f t="shared" si="134"/>
        <v>6Д</v>
      </c>
      <c r="B326" s="12">
        <f t="shared" si="135"/>
        <v>46028</v>
      </c>
      <c r="C326" s="97">
        <f t="shared" si="135"/>
        <v>0</v>
      </c>
      <c r="D326" s="97">
        <f t="shared" si="135"/>
        <v>1</v>
      </c>
      <c r="E326" s="54"/>
      <c r="F326" s="151" t="str">
        <f>IFERROR(VLOOKUP($G326,нормы!$A$14:$BC$57,2,0),"")</f>
        <v/>
      </c>
      <c r="G326" s="93"/>
      <c r="H326" s="63">
        <f t="shared" si="136"/>
        <v>0</v>
      </c>
      <c r="I326" s="153">
        <f>I322+I324</f>
        <v>0</v>
      </c>
      <c r="J326" s="334"/>
      <c r="K326" s="30">
        <f>IFERROR(VLOOKUP($G326,[1]нормы!$A$21:$BC$151,15,0),"")</f>
        <v>0</v>
      </c>
      <c r="L326" s="31">
        <f>IFERROR(VLOOKUP($G326,[1]нормы!$A$21:$BC$151,17,0),"")</f>
        <v>0</v>
      </c>
      <c r="M326" s="308">
        <f>IFERROR(VLOOKUP($G326,[1]нормы!$A$21:$BC$151,27,0),"")</f>
        <v>0</v>
      </c>
      <c r="N326" s="309" t="str">
        <f>IFERROR(Y326/Y327*(1.1*J321*I331),"")</f>
        <v/>
      </c>
      <c r="O326" s="300">
        <f>IFERROR(VLOOKUP($G326,[1]нормы!$A$21:$BC$151,21,0),"")</f>
        <v>0</v>
      </c>
      <c r="P326" s="35">
        <f>IFERROR(VLOOKUP($G326,[1]нормы!$A$21:$BC$151,19,0),"")</f>
        <v>0</v>
      </c>
      <c r="Q326" s="35">
        <f>IFERROR(VLOOKUP($G326,[1]нормы!$A$21:$BC$151,23,0),"")</f>
        <v>0</v>
      </c>
      <c r="R326" s="231">
        <f>IFERROR(VLOOKUP($G326,[1]нормы!$A$21:$BC$151,29,0),"")</f>
        <v>0</v>
      </c>
      <c r="S326" s="35">
        <f>IFERROR(VLOOKUP($G326,[1]нормы!$A$21:$BC$151,31,0),"")</f>
        <v>0</v>
      </c>
      <c r="T326" s="32">
        <f>IFERROR(VLOOKUP($G326,[1]нормы!$A$21:$BC$151,25,0),"")</f>
        <v>0</v>
      </c>
      <c r="U326" s="235" t="str">
        <f>IFERROR(W326/(((100*Y326/Y327)*I326)/100),"")</f>
        <v/>
      </c>
      <c r="V326" s="234" t="str">
        <f>IFERROR(VLOOKUP($G326,нормы!$A$14:$BC$57,38,0),"")</f>
        <v/>
      </c>
      <c r="W326" s="154"/>
      <c r="X326" s="238"/>
      <c r="Y326" s="152" t="str">
        <f>IFERROR(VLOOKUP($G326,нормы!$A$14:$BC$57,42,0)*W326,"")</f>
        <v/>
      </c>
      <c r="Z326" s="163">
        <f>IFERROR(VLOOKUP($G326,нормы!$A$14:$BC$57,14,0)*W326/1000,0)</f>
        <v>0</v>
      </c>
      <c r="AA326" s="56"/>
      <c r="AB326" s="58"/>
      <c r="AC326" s="58"/>
      <c r="AD326" s="58"/>
      <c r="AE326" s="57"/>
      <c r="AF326" s="161"/>
      <c r="AG326" s="392"/>
      <c r="AH326" s="395"/>
      <c r="AI326" s="398"/>
      <c r="AJ326" s="409"/>
      <c r="AK326" s="361"/>
      <c r="AL326" s="361"/>
      <c r="AM326" s="361"/>
      <c r="AN326" s="291">
        <f>IFERROR(Y326*AJ321/Y327,)</f>
        <v>0</v>
      </c>
      <c r="AO326" s="197" t="str">
        <f>IFERROR(VLOOKUP($G326,нормы!$A$14:$BC$57,53,0)*$W326,"")</f>
        <v/>
      </c>
      <c r="AP326" s="292">
        <f>IFERROR(Y326*AI321/Y327,)</f>
        <v>0</v>
      </c>
      <c r="AQ326" s="197" t="str">
        <f>IFERROR(VLOOKUP($G326,нормы!$A$14:$BC$57,54,0)*$W326,"")</f>
        <v/>
      </c>
      <c r="AR326" s="290">
        <f>IFERROR(AS326/SUM(AS321:AS326)*AL321,0)</f>
        <v>0</v>
      </c>
      <c r="AS326" s="197" t="str">
        <f>IFERROR(VLOOKUP($G326,нормы!$A$14:$BC$57,55,0)*W326,"")</f>
        <v/>
      </c>
      <c r="AT326" s="292">
        <f>IFERROR(AU326/SUM(AU321:AU326)*AM321,0)</f>
        <v>0</v>
      </c>
      <c r="AU326" s="197" t="str">
        <f>IFERROR(VLOOKUP($G326,нормы!$A$14:$BI$57,56,0)*W326,"")</f>
        <v/>
      </c>
      <c r="AV326" s="292">
        <f>IFERROR(AW326/SUM(AW321:AW326)*AK321,0)</f>
        <v>0</v>
      </c>
      <c r="AW326" s="202" t="str">
        <f>IFERROR(VLOOKUP($G326,нормы!$A$14:$BI$57,57,0)*W326,"")</f>
        <v/>
      </c>
      <c r="AX326" s="56"/>
      <c r="AY326" s="203" t="str">
        <f>IFERROR(VLOOKUP($G326,нормы!$A$14:$BI$57,58,0)*W326,"")</f>
        <v/>
      </c>
      <c r="AZ326" s="206"/>
      <c r="BA326" s="200" t="str">
        <f>IFERROR(VLOOKUP($G326,нормы!$A$14:$BI$57,61,0)*$W326,"")</f>
        <v/>
      </c>
      <c r="BB326" s="56"/>
      <c r="BC326" s="203" t="str">
        <f>IFERROR(VLOOKUP($G326,нормы!$A$14:$BI$57,60,0)*W326,"")</f>
        <v/>
      </c>
      <c r="BD326" s="200" t="str">
        <f>IFERROR(VLOOKUP($G326,нормы!$A$14:$BG$57,44,0),"")</f>
        <v/>
      </c>
      <c r="BE326" s="199" t="str">
        <f>IFERROR(W326/VLOOKUP($G326,нормы!$A$14:$BI$57,45,0),"")</f>
        <v/>
      </c>
    </row>
    <row r="327" spans="1:57" s="1" customFormat="1" ht="29.4" customHeight="1" thickBot="1" x14ac:dyDescent="0.45">
      <c r="A327" s="37" t="str">
        <f t="shared" si="134"/>
        <v>6Д</v>
      </c>
      <c r="B327" s="59"/>
      <c r="C327" s="51"/>
      <c r="D327" s="51"/>
      <c r="E327" s="51"/>
      <c r="F327" s="295" t="s">
        <v>148</v>
      </c>
      <c r="G327" s="51"/>
      <c r="H327" s="51"/>
      <c r="I327" s="60"/>
      <c r="J327" s="60"/>
      <c r="K327" s="319" t="s">
        <v>213</v>
      </c>
      <c r="L327" s="316"/>
      <c r="M327" s="303" t="s">
        <v>213</v>
      </c>
      <c r="N327" s="317">
        <f>SUM(N321:N326)</f>
        <v>0</v>
      </c>
      <c r="O327" s="304" t="s">
        <v>216</v>
      </c>
      <c r="P327" s="318">
        <f>N327*8.937/1000</f>
        <v>0</v>
      </c>
      <c r="Q327" s="305" t="s">
        <v>215</v>
      </c>
      <c r="R327" s="61"/>
      <c r="S327" s="61"/>
      <c r="T327" s="61"/>
      <c r="U327" s="109"/>
      <c r="V327" s="109"/>
      <c r="W327" s="94"/>
      <c r="X327" s="155"/>
      <c r="Y327" s="96">
        <f>SUM(Y321:Y326)</f>
        <v>0</v>
      </c>
      <c r="Z327" s="164">
        <f>SUM(Z321:Z326)</f>
        <v>0</v>
      </c>
      <c r="AA327" s="62"/>
      <c r="AB327" s="62"/>
      <c r="AC327" s="62"/>
      <c r="AD327" s="62"/>
      <c r="AE327" s="62"/>
      <c r="AF327" s="62"/>
      <c r="AG327" s="162" t="s">
        <v>140</v>
      </c>
      <c r="AH327" s="162" t="s">
        <v>141</v>
      </c>
      <c r="AI327" s="162" t="s">
        <v>142</v>
      </c>
      <c r="AJ327" s="91" t="s">
        <v>126</v>
      </c>
      <c r="AK327" s="198" t="s">
        <v>136</v>
      </c>
      <c r="AL327" s="198" t="s">
        <v>137</v>
      </c>
      <c r="AM327" s="198" t="s">
        <v>138</v>
      </c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53" t="str">
        <f>IFERROR(W327/VLOOKUP($G327,нормы!$A$14:$BI$15,28,0),"")</f>
        <v/>
      </c>
    </row>
    <row r="328" spans="1:57" s="1" customFormat="1" ht="21.6" customHeight="1" x14ac:dyDescent="0.4">
      <c r="A328" s="37" t="str">
        <f t="shared" si="134"/>
        <v>6Д</v>
      </c>
      <c r="B328" s="12">
        <f>B326</f>
        <v>46028</v>
      </c>
      <c r="C328" s="97"/>
      <c r="D328" s="97">
        <v>2</v>
      </c>
      <c r="E328" s="29"/>
      <c r="F328" s="151" t="str">
        <f>IFERROR(VLOOKUP($G328,нормы!$A$14:$BC$57,2,0),"")</f>
        <v/>
      </c>
      <c r="G328" s="93"/>
      <c r="H328" s="54">
        <f>IF(C328=1,"Кульков С.А.", IF(C328=2,"Чудаков А.А.",IF(C328=3,"Королев В.Н.",IF(C328=4,"Николашин М.П.",IF(C328=5," Кульков С.А.",IF(C328=6,"А.А. Чудаков",IF(C328=7,"В.Н. Королев",IF(C328=8,"М.П. Николашин",0))))))))</f>
        <v>0</v>
      </c>
      <c r="I328" s="88" t="s">
        <v>211</v>
      </c>
      <c r="J328" s="332"/>
      <c r="K328" s="30">
        <f>IFERROR(VLOOKUP($G328,[1]нормы!$A$21:$BC$151,15,0),"")</f>
        <v>0</v>
      </c>
      <c r="L328" s="31">
        <f>IFERROR(VLOOKUP($G328,[1]нормы!$A$21:$BC$151,17,0),"")</f>
        <v>0</v>
      </c>
      <c r="M328" s="310">
        <f>IFERROR(VLOOKUP($G328,[1]нормы!$A$21:$BC$151,27,0),"")</f>
        <v>0</v>
      </c>
      <c r="N328" s="311" t="str">
        <f>IFERROR(Y328/Y334*(1.1*J328*I333),"")</f>
        <v/>
      </c>
      <c r="O328" s="300">
        <f>IFERROR(VLOOKUP($G328,[1]нормы!$A$21:$BC$151,21,0),"")</f>
        <v>0</v>
      </c>
      <c r="P328" s="35">
        <f>IFERROR(VLOOKUP($G328,[1]нормы!$A$21:$BC$151,19,0),"")</f>
        <v>0</v>
      </c>
      <c r="Q328" s="35">
        <f>IFERROR(VLOOKUP($G328,[1]нормы!$A$21:$BC$151,23,0),"")</f>
        <v>0</v>
      </c>
      <c r="R328" s="231">
        <f>IFERROR(VLOOKUP($G328,[1]нормы!$A$21:$BC$151,29,0),"")</f>
        <v>0</v>
      </c>
      <c r="S328" s="35">
        <f>IFERROR(VLOOKUP($G328,[1]нормы!$A$21:$BC$151,31,0),"")</f>
        <v>0</v>
      </c>
      <c r="T328" s="32">
        <f>IFERROR(VLOOKUP($G328,[1]нормы!$A$21:$BC$151,25,0),"")</f>
        <v>0</v>
      </c>
      <c r="U328" s="232" t="str">
        <f>IFERROR(W328/(((100*Y328/Y334)*I333)/100),"")</f>
        <v/>
      </c>
      <c r="V328" s="234" t="str">
        <f>IFERROR(VLOOKUP($G328,нормы!$A$14:$BC$57,38,0),"")</f>
        <v/>
      </c>
      <c r="W328" s="136"/>
      <c r="X328" s="236"/>
      <c r="Y328" s="152" t="str">
        <f>IFERROR(VLOOKUP($G328,нормы!$A$14:$BC$57,42,0)*W328,"")</f>
        <v/>
      </c>
      <c r="Z328" s="163">
        <f>IFERROR(VLOOKUP($G328,нормы!$A$14:$BC$57,14,0)*W328/1000,0)</f>
        <v>0</v>
      </c>
      <c r="AA328" s="33"/>
      <c r="AB328" s="36"/>
      <c r="AC328" s="36"/>
      <c r="AD328" s="36"/>
      <c r="AE328" s="34"/>
      <c r="AF328" s="159"/>
      <c r="AG328" s="390"/>
      <c r="AH328" s="393"/>
      <c r="AI328" s="396"/>
      <c r="AJ328" s="407">
        <f>AG328+AH328</f>
        <v>0</v>
      </c>
      <c r="AK328" s="359"/>
      <c r="AL328" s="359"/>
      <c r="AM328" s="359"/>
      <c r="AN328" s="287">
        <f>IFERROR(Y328*AJ328/Y334,)</f>
        <v>0</v>
      </c>
      <c r="AO328" s="197" t="str">
        <f>IFERROR(VLOOKUP($G328,нормы!$A$14:$BC$57,53,0)*$W328,"")</f>
        <v/>
      </c>
      <c r="AP328" s="288">
        <f>IFERROR(Y328*AI328/Y334,)</f>
        <v>0</v>
      </c>
      <c r="AQ328" s="197" t="str">
        <f>IFERROR(VLOOKUP($G328,нормы!$A$14:$BC$57,54,0)*$W328,"")</f>
        <v/>
      </c>
      <c r="AR328" s="288">
        <f>IFERROR(AS328/SUM(AS328:AS333)*AL328,0)</f>
        <v>0</v>
      </c>
      <c r="AS328" s="197" t="str">
        <f>IFERROR(VLOOKUP($G328,нормы!$A$14:$BC$57,55,0)*W328,"")</f>
        <v/>
      </c>
      <c r="AT328" s="288">
        <f>IFERROR(AU328/SUM(AU328:AU333)*AM328,0)</f>
        <v>0</v>
      </c>
      <c r="AU328" s="197" t="str">
        <f>IFERROR(VLOOKUP($G328,нормы!$A$14:$BI$57,56,0)*W328,"")</f>
        <v/>
      </c>
      <c r="AV328" s="288">
        <f>IFERROR(AW328/SUM(AW328:AW333)*AK328,0)</f>
        <v>0</v>
      </c>
      <c r="AW328" s="202" t="str">
        <f>IFERROR(VLOOKUP($G328,нормы!$A$14:$BI$57,57,0)*W328,"")</f>
        <v/>
      </c>
      <c r="AX328" s="33"/>
      <c r="AY328" s="203" t="str">
        <f>IFERROR(VLOOKUP($G328,нормы!$A$14:$BI$57,58,0)*W328,"")</f>
        <v/>
      </c>
      <c r="AZ328" s="204"/>
      <c r="BA328" s="200" t="str">
        <f>IFERROR(VLOOKUP($G328,нормы!$A$14:$BI$57,61,0)*$W328,"")</f>
        <v/>
      </c>
      <c r="BB328" s="33"/>
      <c r="BC328" s="203" t="str">
        <f>IFERROR(VLOOKUP($G328,нормы!$A$14:$BI$57,60,0)*W328,"")</f>
        <v/>
      </c>
      <c r="BD328" s="200" t="str">
        <f>IFERROR(VLOOKUP($G328,нормы!$A$14:$BG$57,44,0),"")</f>
        <v/>
      </c>
      <c r="BE328" s="199" t="str">
        <f>IFERROR(W328/VLOOKUP($G328,нормы!$A$14:$BI$57,45,0),"")</f>
        <v/>
      </c>
    </row>
    <row r="329" spans="1:57" s="1" customFormat="1" ht="21.6" customHeight="1" x14ac:dyDescent="0.4">
      <c r="A329" s="37" t="str">
        <f t="shared" si="134"/>
        <v>6Д</v>
      </c>
      <c r="B329" s="12">
        <f t="shared" ref="B329:D333" si="137">B328</f>
        <v>46028</v>
      </c>
      <c r="C329" s="97">
        <f t="shared" si="137"/>
        <v>0</v>
      </c>
      <c r="D329" s="97">
        <f t="shared" si="137"/>
        <v>2</v>
      </c>
      <c r="E329" s="54"/>
      <c r="F329" s="151" t="str">
        <f>IFERROR(VLOOKUP($G329,нормы!$A$14:$BC$57,2,0),"")</f>
        <v/>
      </c>
      <c r="G329" s="93"/>
      <c r="H329" s="54">
        <f t="shared" ref="H329:H333" si="138">IF(C329=1,"Кульков С.А.", IF(C329=2,"Чудаков А.А.",IF(C329=3,"Королев В.Н.",IF(C329=4,"Николашин М.П.",IF(C329=5," Кульков С.А.",IF(C329=6,"А.А. Чудаков",IF(C329=7,"В.Н. Королев",IF(C329=8,"М.П. Николашин",0))))))))</f>
        <v>0</v>
      </c>
      <c r="I329" s="55"/>
      <c r="J329" s="333"/>
      <c r="K329" s="30">
        <f>IFERROR(VLOOKUP($G329,[1]нормы!$A$21:$BC$151,15,0),"")</f>
        <v>0</v>
      </c>
      <c r="L329" s="31">
        <f>IFERROR(VLOOKUP($G329,[1]нормы!$A$21:$BC$151,17,0),"")</f>
        <v>0</v>
      </c>
      <c r="M329" s="306">
        <f>IFERROR(VLOOKUP($G329,[1]нормы!$A$21:$BC$151,27,0),"")</f>
        <v>0</v>
      </c>
      <c r="N329" s="307" t="str">
        <f>IFERROR(Y329/Y334*(1.1*J328*I333),"")</f>
        <v/>
      </c>
      <c r="O329" s="300">
        <f>IFERROR(VLOOKUP($G329,[1]нормы!$A$21:$BC$151,21,0),"")</f>
        <v>0</v>
      </c>
      <c r="P329" s="35">
        <f>IFERROR(VLOOKUP($G329,[1]нормы!$A$21:$BC$151,19,0),"")</f>
        <v>0</v>
      </c>
      <c r="Q329" s="35">
        <f>IFERROR(VLOOKUP($G329,[1]нормы!$A$21:$BC$151,23,0),"")</f>
        <v>0</v>
      </c>
      <c r="R329" s="231">
        <f>IFERROR(VLOOKUP($G329,[1]нормы!$A$21:$BC$151,29,0),"")</f>
        <v>0</v>
      </c>
      <c r="S329" s="35">
        <f>IFERROR(VLOOKUP($G329,[1]нормы!$A$21:$BC$151,31,0),"")</f>
        <v>0</v>
      </c>
      <c r="T329" s="32">
        <f>IFERROR(VLOOKUP($G329,[1]нормы!$A$21:$BC$151,25,0),"")</f>
        <v>0</v>
      </c>
      <c r="U329" s="233" t="str">
        <f>IFERROR(W329/(((100*Y329/Y334)*I333)/100),"")</f>
        <v/>
      </c>
      <c r="V329" s="234" t="str">
        <f>IFERROR(VLOOKUP($G329,нормы!$A$14:$BC$57,38,0),"")</f>
        <v/>
      </c>
      <c r="W329" s="136"/>
      <c r="X329" s="237"/>
      <c r="Y329" s="152" t="str">
        <f>IFERROR(VLOOKUP($G329,нормы!$A$14:$BC$57,42,0)*W329,"")</f>
        <v/>
      </c>
      <c r="Z329" s="163">
        <f>IFERROR(VLOOKUP($G329,нормы!$A$14:$BC$57,14,0)*W329/1000,0)</f>
        <v>0</v>
      </c>
      <c r="AA329" s="142"/>
      <c r="AB329" s="35"/>
      <c r="AC329" s="35"/>
      <c r="AD329" s="35"/>
      <c r="AE329" s="31"/>
      <c r="AF329" s="160"/>
      <c r="AG329" s="391"/>
      <c r="AH329" s="394"/>
      <c r="AI329" s="397"/>
      <c r="AJ329" s="408"/>
      <c r="AK329" s="360"/>
      <c r="AL329" s="360"/>
      <c r="AM329" s="360"/>
      <c r="AN329" s="289">
        <f>IFERROR(Y329*AJ328/Y334,)</f>
        <v>0</v>
      </c>
      <c r="AO329" s="197" t="str">
        <f>IFERROR(VLOOKUP($G329,нормы!$A$14:$BC$57,53,0)*$W329,"")</f>
        <v/>
      </c>
      <c r="AP329" s="290">
        <f>IFERROR(Y329*AI328/Y334,)</f>
        <v>0</v>
      </c>
      <c r="AQ329" s="197" t="str">
        <f>IFERROR(VLOOKUP($G329,нормы!$A$14:$BC$57,54,0)*$W329,"")</f>
        <v/>
      </c>
      <c r="AR329" s="290">
        <f>IFERROR(AS329/SUM(AS328:AS333)*AL328,0)</f>
        <v>0</v>
      </c>
      <c r="AS329" s="197" t="str">
        <f>IFERROR(VLOOKUP($G329,нормы!$A$14:$BC$57,55,0)*W329,"")</f>
        <v/>
      </c>
      <c r="AT329" s="290">
        <f>IFERROR(AU329/SUM(AU328:AU333)*AM328,0)</f>
        <v>0</v>
      </c>
      <c r="AU329" s="197" t="str">
        <f>IFERROR(VLOOKUP($G329,нормы!$A$14:$BI$57,56,0)*W329,"")</f>
        <v/>
      </c>
      <c r="AV329" s="290">
        <f>IFERROR(AW329/SUM(AW328:AW333)*AK328,0)</f>
        <v>0</v>
      </c>
      <c r="AW329" s="202" t="str">
        <f>IFERROR(VLOOKUP($G329,нормы!$A$14:$BI$57,57,0)*W329,"")</f>
        <v/>
      </c>
      <c r="AX329" s="30"/>
      <c r="AY329" s="203" t="str">
        <f>IFERROR(VLOOKUP($G329,нормы!$A$14:$BI$57,58,0)*W329,"")</f>
        <v/>
      </c>
      <c r="AZ329" s="205"/>
      <c r="BA329" s="200" t="str">
        <f>IFERROR(VLOOKUP($G329,нормы!$A$14:$BI$57,61,0)*$W329,"")</f>
        <v/>
      </c>
      <c r="BB329" s="30"/>
      <c r="BC329" s="203" t="str">
        <f>IFERROR(VLOOKUP($G329,нормы!$A$14:$BI$57,60,0)*W329,"")</f>
        <v/>
      </c>
      <c r="BD329" s="200" t="str">
        <f>IFERROR(VLOOKUP($G329,нормы!$A$14:$BG$57,44,0),"")</f>
        <v/>
      </c>
      <c r="BE329" s="199" t="str">
        <f>IFERROR(W329/VLOOKUP($G329,нормы!$A$14:$BI$57,45,0),"")</f>
        <v/>
      </c>
    </row>
    <row r="330" spans="1:57" s="1" customFormat="1" ht="20.25" customHeight="1" x14ac:dyDescent="0.4">
      <c r="A330" s="37" t="str">
        <f t="shared" si="134"/>
        <v>6Д</v>
      </c>
      <c r="B330" s="12">
        <f t="shared" si="137"/>
        <v>46028</v>
      </c>
      <c r="C330" s="97">
        <f t="shared" si="137"/>
        <v>0</v>
      </c>
      <c r="D330" s="97">
        <f t="shared" si="137"/>
        <v>2</v>
      </c>
      <c r="E330" s="54"/>
      <c r="F330" s="151" t="str">
        <f>IFERROR(VLOOKUP($G330,нормы!$A$14:$BC$57,2,0),"")</f>
        <v/>
      </c>
      <c r="G330" s="38"/>
      <c r="H330" s="54">
        <f t="shared" si="138"/>
        <v>0</v>
      </c>
      <c r="I330" s="89" t="s">
        <v>212</v>
      </c>
      <c r="J330" s="333"/>
      <c r="K330" s="30">
        <f>IFERROR(VLOOKUP($G330,[1]нормы!$A$21:$BC$151,15,0),"")</f>
        <v>0</v>
      </c>
      <c r="L330" s="31">
        <f>IFERROR(VLOOKUP($G330,[1]нормы!$A$21:$BC$151,17,0),"")</f>
        <v>0</v>
      </c>
      <c r="M330" s="306">
        <f>IFERROR(VLOOKUP($G330,[1]нормы!$A$21:$BC$151,27,0),"")</f>
        <v>0</v>
      </c>
      <c r="N330" s="307" t="str">
        <f>IFERROR(Y330/Y334*(1.1*J328*I333),"")</f>
        <v/>
      </c>
      <c r="O330" s="300">
        <f>IFERROR(VLOOKUP($G330,[1]нормы!$A$21:$BC$151,21,0),"")</f>
        <v>0</v>
      </c>
      <c r="P330" s="35">
        <f>IFERROR(VLOOKUP($G330,[1]нормы!$A$21:$BC$151,19,0),"")</f>
        <v>0</v>
      </c>
      <c r="Q330" s="35">
        <f>IFERROR(VLOOKUP($G330,[1]нормы!$A$21:$BC$151,23,0),"")</f>
        <v>0</v>
      </c>
      <c r="R330" s="231">
        <f>IFERROR(VLOOKUP($G330,[1]нормы!$A$21:$BC$151,29,0),"")</f>
        <v>0</v>
      </c>
      <c r="S330" s="35">
        <f>IFERROR(VLOOKUP($G330,[1]нормы!$A$21:$BC$151,31,0),"")</f>
        <v>0</v>
      </c>
      <c r="T330" s="32">
        <f>IFERROR(VLOOKUP($G330,[1]нормы!$A$21:$BC$151,25,0),"")</f>
        <v>0</v>
      </c>
      <c r="U330" s="233" t="str">
        <f>IFERROR(W330/(((100*Y330/Y334)*I333)/100),"")</f>
        <v/>
      </c>
      <c r="V330" s="234" t="str">
        <f>IFERROR(VLOOKUP($G330,нормы!$A$14:$BC$57,38,0),"")</f>
        <v/>
      </c>
      <c r="W330" s="136"/>
      <c r="X330" s="237"/>
      <c r="Y330" s="152" t="str">
        <f>IFERROR(VLOOKUP($G330,нормы!$A$14:$BC$57,42,0)*W330,"")</f>
        <v/>
      </c>
      <c r="Z330" s="163">
        <f>IFERROR(VLOOKUP($G330,нормы!$A$14:$BC$57,14,0)*W330/1000,0)</f>
        <v>0</v>
      </c>
      <c r="AA330" s="30"/>
      <c r="AB330" s="35"/>
      <c r="AC330" s="35"/>
      <c r="AD330" s="35"/>
      <c r="AE330" s="31"/>
      <c r="AF330" s="160"/>
      <c r="AG330" s="391"/>
      <c r="AH330" s="394"/>
      <c r="AI330" s="397"/>
      <c r="AJ330" s="408"/>
      <c r="AK330" s="360"/>
      <c r="AL330" s="360"/>
      <c r="AM330" s="360"/>
      <c r="AN330" s="289">
        <f>IFERROR(Y330*AJ328/Y334,)</f>
        <v>0</v>
      </c>
      <c r="AO330" s="197" t="str">
        <f>IFERROR(VLOOKUP($G330,нормы!$A$14:$BC$57,53,0)*$W330,"")</f>
        <v/>
      </c>
      <c r="AP330" s="290">
        <f>IFERROR(Y330*AI328/Y334,)</f>
        <v>0</v>
      </c>
      <c r="AQ330" s="197" t="str">
        <f>IFERROR(VLOOKUP($G330,нормы!$A$14:$BC$57,54,0)*$W330,"")</f>
        <v/>
      </c>
      <c r="AR330" s="290">
        <f>IFERROR(AS330/SUM(AS328:AS333)*AL328,0)</f>
        <v>0</v>
      </c>
      <c r="AS330" s="197" t="str">
        <f>IFERROR(VLOOKUP($G330,нормы!$A$14:$BC$57,55,0)*W330,"")</f>
        <v/>
      </c>
      <c r="AT330" s="290">
        <f>IFERROR(AU330/SUM(AU328:AU333)*AM328,0)</f>
        <v>0</v>
      </c>
      <c r="AU330" s="197" t="str">
        <f>IFERROR(VLOOKUP($G330,нормы!$A$14:$BI$57,56,0)*W330,"")</f>
        <v/>
      </c>
      <c r="AV330" s="290">
        <f>IFERROR(AW330/SUM(AW328:AW333)*AK328,0)</f>
        <v>0</v>
      </c>
      <c r="AW330" s="202" t="str">
        <f>IFERROR(VLOOKUP($G330,нормы!$A$14:$BI$57,57,0)*W330,"")</f>
        <v/>
      </c>
      <c r="AX330" s="30"/>
      <c r="AY330" s="203" t="str">
        <f>IFERROR(VLOOKUP($G330,нормы!$A$14:$BI$57,58,0)*W330,"")</f>
        <v/>
      </c>
      <c r="AZ330" s="205"/>
      <c r="BA330" s="200" t="str">
        <f>IFERROR(VLOOKUP($G330,нормы!$A$14:$BI$57,61,0)*$W330,"")</f>
        <v/>
      </c>
      <c r="BB330" s="30"/>
      <c r="BC330" s="203" t="str">
        <f>IFERROR(VLOOKUP($G330,нормы!$A$14:$BI$57,60,0)*W330,"")</f>
        <v/>
      </c>
      <c r="BD330" s="200" t="str">
        <f>IFERROR(VLOOKUP($G330,нормы!$A$14:$BG$57,44,0),"")</f>
        <v/>
      </c>
      <c r="BE330" s="199" t="str">
        <f>IFERROR(W330/VLOOKUP($G330,нормы!$A$14:$BI$57,45,0),"")</f>
        <v/>
      </c>
    </row>
    <row r="331" spans="1:57" s="1" customFormat="1" ht="20.25" customHeight="1" x14ac:dyDescent="0.4">
      <c r="A331" s="37" t="str">
        <f t="shared" si="134"/>
        <v>6Д</v>
      </c>
      <c r="B331" s="12">
        <f t="shared" si="137"/>
        <v>46028</v>
      </c>
      <c r="C331" s="97">
        <f t="shared" si="137"/>
        <v>0</v>
      </c>
      <c r="D331" s="97">
        <f t="shared" si="137"/>
        <v>2</v>
      </c>
      <c r="E331" s="54"/>
      <c r="F331" s="151" t="str">
        <f>IFERROR(VLOOKUP($G331,нормы!$A$14:$BC$57,2,0),"")</f>
        <v/>
      </c>
      <c r="G331" s="93"/>
      <c r="H331" s="54">
        <f t="shared" si="138"/>
        <v>0</v>
      </c>
      <c r="I331" s="55"/>
      <c r="J331" s="333"/>
      <c r="K331" s="30">
        <f>IFERROR(VLOOKUP($G331,[1]нормы!$A$21:$BC$151,15,0),"")</f>
        <v>0</v>
      </c>
      <c r="L331" s="31">
        <f>IFERROR(VLOOKUP($G331,[1]нормы!$A$21:$BC$151,17,0),"")</f>
        <v>0</v>
      </c>
      <c r="M331" s="306">
        <f>IFERROR(VLOOKUP($G331,[1]нормы!$A$21:$BC$151,27,0),"")</f>
        <v>0</v>
      </c>
      <c r="N331" s="307" t="str">
        <f>IFERROR(Y331/Y334*(1.1*J328*I336),"")</f>
        <v/>
      </c>
      <c r="O331" s="300">
        <f>IFERROR(VLOOKUP($G331,[1]нормы!$A$21:$BC$151,21,0),"")</f>
        <v>0</v>
      </c>
      <c r="P331" s="35">
        <f>IFERROR(VLOOKUP($G331,[1]нормы!$A$21:$BC$151,19,0),"")</f>
        <v>0</v>
      </c>
      <c r="Q331" s="35">
        <f>IFERROR(VLOOKUP($G331,[1]нормы!$A$21:$BC$151,23,0),"")</f>
        <v>0</v>
      </c>
      <c r="R331" s="231">
        <f>IFERROR(VLOOKUP($G331,[1]нормы!$A$21:$BC$151,29,0),"")</f>
        <v>0</v>
      </c>
      <c r="S331" s="35">
        <f>IFERROR(VLOOKUP($G331,[1]нормы!$A$21:$BC$151,31,0),"")</f>
        <v>0</v>
      </c>
      <c r="T331" s="32">
        <f>IFERROR(VLOOKUP($G331,[1]нормы!$A$21:$BC$151,25,0),"")</f>
        <v>0</v>
      </c>
      <c r="U331" s="233" t="str">
        <f>IFERROR(W331/(((100*Y331/Y334)*I333)/100),"")</f>
        <v/>
      </c>
      <c r="V331" s="234" t="str">
        <f>IFERROR(VLOOKUP($G331,нормы!$A$14:$BC$57,38,0),"")</f>
        <v/>
      </c>
      <c r="W331" s="136"/>
      <c r="X331" s="237"/>
      <c r="Y331" s="152" t="str">
        <f>IFERROR(VLOOKUP($G331,нормы!$A$14:$BC$57,42,0)*W331,"")</f>
        <v/>
      </c>
      <c r="Z331" s="163">
        <f>IFERROR(VLOOKUP($G331,нормы!$A$14:$BC$57,14,0)*W331/1000,0)</f>
        <v>0</v>
      </c>
      <c r="AA331" s="30"/>
      <c r="AB331" s="35"/>
      <c r="AC331" s="35"/>
      <c r="AD331" s="35"/>
      <c r="AE331" s="31"/>
      <c r="AF331" s="160"/>
      <c r="AG331" s="391"/>
      <c r="AH331" s="394"/>
      <c r="AI331" s="397"/>
      <c r="AJ331" s="408"/>
      <c r="AK331" s="360"/>
      <c r="AL331" s="360"/>
      <c r="AM331" s="360"/>
      <c r="AN331" s="289">
        <f>IFERROR(Y331*AJ328/Y334,)</f>
        <v>0</v>
      </c>
      <c r="AO331" s="197" t="str">
        <f>IFERROR(VLOOKUP($G331,нормы!$A$14:$BC$57,53,0)*$W331,"")</f>
        <v/>
      </c>
      <c r="AP331" s="290">
        <f>IFERROR(Y331*AI328/Y334,)</f>
        <v>0</v>
      </c>
      <c r="AQ331" s="197" t="str">
        <f>IFERROR(VLOOKUP($G331,нормы!$A$14:$BC$57,54,0)*$W331,"")</f>
        <v/>
      </c>
      <c r="AR331" s="290">
        <f>IFERROR(AS331/SUM(AS328:AS333)*AL328,0)</f>
        <v>0</v>
      </c>
      <c r="AS331" s="197" t="str">
        <f>IFERROR(VLOOKUP($G331,нормы!$A$14:$BC$57,55,0)*W331,"")</f>
        <v/>
      </c>
      <c r="AT331" s="290">
        <f>IFERROR(AU331/SUM(AU328:AU333)*AM328,0)</f>
        <v>0</v>
      </c>
      <c r="AU331" s="197" t="str">
        <f>IFERROR(VLOOKUP($G331,нормы!$A$14:$BI$57,56,0)*W331,"")</f>
        <v/>
      </c>
      <c r="AV331" s="290">
        <f>IFERROR(AW331/SUM(AW328:AW333)*AK328,0)</f>
        <v>0</v>
      </c>
      <c r="AW331" s="202" t="str">
        <f>IFERROR(VLOOKUP($G331,нормы!$A$14:$BI$57,57,0)*W331,"")</f>
        <v/>
      </c>
      <c r="AX331" s="30"/>
      <c r="AY331" s="203" t="str">
        <f>IFERROR(VLOOKUP($G331,нормы!$A$14:$BI$57,58,0)*W331,"")</f>
        <v/>
      </c>
      <c r="AZ331" s="205"/>
      <c r="BA331" s="200" t="str">
        <f>IFERROR(VLOOKUP($G331,нормы!$A$14:$BI$57,61,0)*$W331,"")</f>
        <v/>
      </c>
      <c r="BB331" s="30"/>
      <c r="BC331" s="203" t="str">
        <f>IFERROR(VLOOKUP($G331,нормы!$A$14:$BI$57,60,0)*W331,"")</f>
        <v/>
      </c>
      <c r="BD331" s="200" t="str">
        <f>IFERROR(VLOOKUP($G331,нормы!$A$14:$BG$57,44,0),"")</f>
        <v/>
      </c>
      <c r="BE331" s="199" t="str">
        <f>IFERROR(W331/VLOOKUP($G331,нормы!$A$14:$BI$57,45,0),"")</f>
        <v/>
      </c>
    </row>
    <row r="332" spans="1:57" s="1" customFormat="1" ht="20.25" customHeight="1" x14ac:dyDescent="0.4">
      <c r="A332" s="37" t="str">
        <f t="shared" si="134"/>
        <v>6Д</v>
      </c>
      <c r="B332" s="12">
        <f t="shared" si="137"/>
        <v>46028</v>
      </c>
      <c r="C332" s="97">
        <f t="shared" si="137"/>
        <v>0</v>
      </c>
      <c r="D332" s="97">
        <f t="shared" si="137"/>
        <v>2</v>
      </c>
      <c r="E332" s="54"/>
      <c r="F332" s="151" t="str">
        <f>IFERROR(VLOOKUP($G332,нормы!$A$14:$BC$57,2,0),"")</f>
        <v/>
      </c>
      <c r="G332" s="38"/>
      <c r="H332" s="54">
        <f t="shared" si="138"/>
        <v>0</v>
      </c>
      <c r="I332" s="89" t="s">
        <v>73</v>
      </c>
      <c r="J332" s="333"/>
      <c r="K332" s="30">
        <f>IFERROR(VLOOKUP($G332,[1]нормы!$A$21:$BC$151,15,0),"")</f>
        <v>0</v>
      </c>
      <c r="L332" s="31">
        <f>IFERROR(VLOOKUP($G332,[1]нормы!$A$21:$BC$151,17,0),"")</f>
        <v>0</v>
      </c>
      <c r="M332" s="306">
        <f>IFERROR(VLOOKUP($G332,[1]нормы!$A$21:$BC$151,27,0),"")</f>
        <v>0</v>
      </c>
      <c r="N332" s="307" t="str">
        <f>IFERROR(Y332/Y334*(1.1*J328*I337),"")</f>
        <v/>
      </c>
      <c r="O332" s="300">
        <f>IFERROR(VLOOKUP($G332,[1]нормы!$A$21:$BC$151,21,0),"")</f>
        <v>0</v>
      </c>
      <c r="P332" s="35">
        <f>IFERROR(VLOOKUP($G332,[1]нормы!$A$21:$BC$151,19,0),"")</f>
        <v>0</v>
      </c>
      <c r="Q332" s="35">
        <f>IFERROR(VLOOKUP($G332,[1]нормы!$A$21:$BC$151,23,0),"")</f>
        <v>0</v>
      </c>
      <c r="R332" s="231">
        <f>IFERROR(VLOOKUP($G332,[1]нормы!$A$21:$BC$151,29,0),"")</f>
        <v>0</v>
      </c>
      <c r="S332" s="35">
        <f>IFERROR(VLOOKUP($G332,[1]нормы!$A$21:$BC$151,31,0),"")</f>
        <v>0</v>
      </c>
      <c r="T332" s="32">
        <f>IFERROR(VLOOKUP($G332,[1]нормы!$A$21:$BC$151,25,0),"")</f>
        <v>0</v>
      </c>
      <c r="U332" s="233" t="str">
        <f>IFERROR(W332/(((100*Y332/Y334)*I333)/100),"")</f>
        <v/>
      </c>
      <c r="V332" s="234" t="str">
        <f>IFERROR(VLOOKUP($G332,нормы!$A$14:$BC$57,38,0),"")</f>
        <v/>
      </c>
      <c r="W332" s="136"/>
      <c r="X332" s="237"/>
      <c r="Y332" s="152" t="str">
        <f>IFERROR(VLOOKUP($G332,нормы!$A$14:$BC$57,42,0)*W332,"")</f>
        <v/>
      </c>
      <c r="Z332" s="163">
        <f>IFERROR(VLOOKUP($G332,нормы!$A$14:$BC$57,14,0)*W332/1000,0)</f>
        <v>0</v>
      </c>
      <c r="AA332" s="30"/>
      <c r="AB332" s="35"/>
      <c r="AC332" s="35"/>
      <c r="AD332" s="35"/>
      <c r="AE332" s="31"/>
      <c r="AF332" s="160"/>
      <c r="AG332" s="391"/>
      <c r="AH332" s="394"/>
      <c r="AI332" s="397"/>
      <c r="AJ332" s="408"/>
      <c r="AK332" s="360"/>
      <c r="AL332" s="360"/>
      <c r="AM332" s="360"/>
      <c r="AN332" s="289">
        <f>IFERROR(Y332*AJ328/Y334,)</f>
        <v>0</v>
      </c>
      <c r="AO332" s="197" t="str">
        <f>IFERROR(VLOOKUP($G332,нормы!$A$14:$BC$57,53,0)*$W332,"")</f>
        <v/>
      </c>
      <c r="AP332" s="290">
        <f>IFERROR(Y332*AI328/Y334,)</f>
        <v>0</v>
      </c>
      <c r="AQ332" s="197" t="str">
        <f>IFERROR(VLOOKUP($G332,нормы!$A$14:$BC$57,54,0)*$W332,"")</f>
        <v/>
      </c>
      <c r="AR332" s="290">
        <f>IFERROR(AS332/SUM(AS328:AS333)*AL328,0)</f>
        <v>0</v>
      </c>
      <c r="AS332" s="197" t="str">
        <f>IFERROR(VLOOKUP($G332,нормы!$A$14:$BC$57,55,0)*W332,"")</f>
        <v/>
      </c>
      <c r="AT332" s="290">
        <f>IFERROR(AU332/SUM(AU328:AU333)*AM328,0)</f>
        <v>0</v>
      </c>
      <c r="AU332" s="197" t="str">
        <f>IFERROR(VLOOKUP($G332,нормы!$A$14:$BI$57,56,0)*W332,"")</f>
        <v/>
      </c>
      <c r="AV332" s="290">
        <f>IFERROR(AW332/SUM(AW328:AW333)*AK328,0)</f>
        <v>0</v>
      </c>
      <c r="AW332" s="202" t="str">
        <f>IFERROR(VLOOKUP($G332,нормы!$A$14:$BI$57,57,0)*W332,"")</f>
        <v/>
      </c>
      <c r="AX332" s="30"/>
      <c r="AY332" s="203" t="str">
        <f>IFERROR(VLOOKUP($G332,нормы!$A$14:$BI$57,58,0)*W332,"")</f>
        <v/>
      </c>
      <c r="AZ332" s="205"/>
      <c r="BA332" s="200" t="str">
        <f>IFERROR(VLOOKUP($G332,нормы!$A$14:$BI$57,61,0)*$W332,"")</f>
        <v/>
      </c>
      <c r="BB332" s="30"/>
      <c r="BC332" s="203" t="str">
        <f>IFERROR(VLOOKUP($G332,нормы!$A$14:$BI$57,60,0)*W332,"")</f>
        <v/>
      </c>
      <c r="BD332" s="200" t="str">
        <f>IFERROR(VLOOKUP($G332,нормы!$A$14:$BG$57,44,0),"")</f>
        <v/>
      </c>
      <c r="BE332" s="199" t="str">
        <f>IFERROR(W332/VLOOKUP($G332,нормы!$A$14:$BI$57,45,0),"")</f>
        <v/>
      </c>
    </row>
    <row r="333" spans="1:57" s="1" customFormat="1" ht="21" customHeight="1" thickBot="1" x14ac:dyDescent="0.45">
      <c r="A333" s="37" t="str">
        <f t="shared" si="134"/>
        <v>6Д</v>
      </c>
      <c r="B333" s="12">
        <f t="shared" si="137"/>
        <v>46028</v>
      </c>
      <c r="C333" s="97">
        <f t="shared" si="137"/>
        <v>0</v>
      </c>
      <c r="D333" s="97">
        <f t="shared" si="137"/>
        <v>2</v>
      </c>
      <c r="E333" s="54"/>
      <c r="F333" s="151" t="str">
        <f>IFERROR(VLOOKUP($G333,нормы!$A$14:$BC$57,2,0),"")</f>
        <v/>
      </c>
      <c r="G333" s="93"/>
      <c r="H333" s="63">
        <f t="shared" si="138"/>
        <v>0</v>
      </c>
      <c r="I333" s="153">
        <f>I329+I331</f>
        <v>0</v>
      </c>
      <c r="J333" s="334"/>
      <c r="K333" s="30">
        <f>IFERROR(VLOOKUP($G333,[1]нормы!$A$21:$BC$151,15,0),"")</f>
        <v>0</v>
      </c>
      <c r="L333" s="31">
        <f>IFERROR(VLOOKUP($G333,[1]нормы!$A$21:$BC$151,17,0),"")</f>
        <v>0</v>
      </c>
      <c r="M333" s="308">
        <f>IFERROR(VLOOKUP($G333,[1]нормы!$A$21:$BC$151,27,0),"")</f>
        <v>0</v>
      </c>
      <c r="N333" s="309" t="str">
        <f>IFERROR(Y333/Y334*(1.1*J328*I338),"")</f>
        <v/>
      </c>
      <c r="O333" s="300">
        <f>IFERROR(VLOOKUP($G333,[1]нормы!$A$21:$BC$151,21,0),"")</f>
        <v>0</v>
      </c>
      <c r="P333" s="35">
        <f>IFERROR(VLOOKUP($G333,[1]нормы!$A$21:$BC$151,19,0),"")</f>
        <v>0</v>
      </c>
      <c r="Q333" s="35">
        <f>IFERROR(VLOOKUP($G333,[1]нормы!$A$21:$BC$151,23,0),"")</f>
        <v>0</v>
      </c>
      <c r="R333" s="231">
        <f>IFERROR(VLOOKUP($G333,[1]нормы!$A$21:$BC$151,29,0),"")</f>
        <v>0</v>
      </c>
      <c r="S333" s="35">
        <f>IFERROR(VLOOKUP($G333,[1]нормы!$A$21:$BC$151,31,0),"")</f>
        <v>0</v>
      </c>
      <c r="T333" s="32">
        <f>IFERROR(VLOOKUP($G333,[1]нормы!$A$21:$BC$151,25,0),"")</f>
        <v>0</v>
      </c>
      <c r="U333" s="235" t="str">
        <f>IFERROR(W333/(((100*Y333/Y334)*I333)/100),"")</f>
        <v/>
      </c>
      <c r="V333" s="234" t="str">
        <f>IFERROR(VLOOKUP($G333,нормы!$A$14:$BC$57,38,0),"")</f>
        <v/>
      </c>
      <c r="W333" s="154"/>
      <c r="X333" s="238"/>
      <c r="Y333" s="152" t="str">
        <f>IFERROR(VLOOKUP($G333,нормы!$A$14:$BC$57,42,0)*W333,"")</f>
        <v/>
      </c>
      <c r="Z333" s="163">
        <f>IFERROR(VLOOKUP($G333,нормы!$A$14:$BC$57,14,0)*W333/1000,0)</f>
        <v>0</v>
      </c>
      <c r="AA333" s="56"/>
      <c r="AB333" s="58"/>
      <c r="AC333" s="58"/>
      <c r="AD333" s="58"/>
      <c r="AE333" s="57"/>
      <c r="AF333" s="161"/>
      <c r="AG333" s="392"/>
      <c r="AH333" s="395"/>
      <c r="AI333" s="398"/>
      <c r="AJ333" s="409"/>
      <c r="AK333" s="361"/>
      <c r="AL333" s="361"/>
      <c r="AM333" s="361"/>
      <c r="AN333" s="291">
        <f>IFERROR(Y333*AJ328/Y334,)</f>
        <v>0</v>
      </c>
      <c r="AO333" s="197" t="str">
        <f>IFERROR(VLOOKUP($G333,нормы!$A$14:$BC$57,53,0)*$W333,"")</f>
        <v/>
      </c>
      <c r="AP333" s="292">
        <f>IFERROR(Y333*AI328/Y334,)</f>
        <v>0</v>
      </c>
      <c r="AQ333" s="197" t="str">
        <f>IFERROR(VLOOKUP($G333,нормы!$A$14:$BC$57,54,0)*$W333,"")</f>
        <v/>
      </c>
      <c r="AR333" s="290">
        <f>IFERROR(AS333/SUM(AS328:AS333)*AL328,0)</f>
        <v>0</v>
      </c>
      <c r="AS333" s="197" t="str">
        <f>IFERROR(VLOOKUP($G333,нормы!$A$14:$BC$57,55,0)*W333,"")</f>
        <v/>
      </c>
      <c r="AT333" s="292">
        <f>IFERROR(AU333/SUM(AU328:AU333)*AM328,0)</f>
        <v>0</v>
      </c>
      <c r="AU333" s="197" t="str">
        <f>IFERROR(VLOOKUP($G333,нормы!$A$14:$BI$57,56,0)*W333,"")</f>
        <v/>
      </c>
      <c r="AV333" s="292">
        <f>IFERROR(AW333/SUM(AW328:AW333)*AK328,0)</f>
        <v>0</v>
      </c>
      <c r="AW333" s="202" t="str">
        <f>IFERROR(VLOOKUP($G333,нормы!$A$14:$BI$57,57,0)*W333,"")</f>
        <v/>
      </c>
      <c r="AX333" s="56"/>
      <c r="AY333" s="203" t="str">
        <f>IFERROR(VLOOKUP($G333,нормы!$A$14:$BI$57,58,0)*W333,"")</f>
        <v/>
      </c>
      <c r="AZ333" s="206"/>
      <c r="BA333" s="200" t="str">
        <f>IFERROR(VLOOKUP($G333,нормы!$A$14:$BI$57,61,0)*$W333,"")</f>
        <v/>
      </c>
      <c r="BB333" s="56"/>
      <c r="BC333" s="203" t="str">
        <f>IFERROR(VLOOKUP($G333,нормы!$A$14:$BI$57,60,0)*W333,"")</f>
        <v/>
      </c>
      <c r="BD333" s="200" t="str">
        <f>IFERROR(VLOOKUP($G333,нормы!$A$14:$BG$57,44,0),"")</f>
        <v/>
      </c>
      <c r="BE333" s="199" t="str">
        <f>IFERROR(W333/VLOOKUP($G333,нормы!$A$14:$BI$57,45,0),"")</f>
        <v/>
      </c>
    </row>
    <row r="334" spans="1:57" s="1" customFormat="1" ht="29.4" customHeight="1" thickBot="1" x14ac:dyDescent="0.45">
      <c r="A334" s="37" t="str">
        <f t="shared" si="134"/>
        <v>6Д</v>
      </c>
      <c r="B334" s="59"/>
      <c r="C334" s="51"/>
      <c r="D334" s="51"/>
      <c r="E334" s="51"/>
      <c r="F334" s="51"/>
      <c r="G334" s="51"/>
      <c r="H334" s="51"/>
      <c r="I334" s="60"/>
      <c r="J334" s="60"/>
      <c r="K334" s="319" t="s">
        <v>213</v>
      </c>
      <c r="L334" s="316"/>
      <c r="M334" s="303" t="s">
        <v>213</v>
      </c>
      <c r="N334" s="317">
        <f>SUM(N328:N333)</f>
        <v>0</v>
      </c>
      <c r="O334" s="304" t="s">
        <v>217</v>
      </c>
      <c r="P334" s="318">
        <f>N334*8.937/1000</f>
        <v>0</v>
      </c>
      <c r="Q334" s="305" t="s">
        <v>215</v>
      </c>
      <c r="R334" s="61"/>
      <c r="S334" s="61"/>
      <c r="T334" s="61"/>
      <c r="U334" s="109"/>
      <c r="V334" s="109"/>
      <c r="W334" s="94"/>
      <c r="X334" s="155"/>
      <c r="Y334" s="96">
        <f>SUM(Y328:Y333)</f>
        <v>0</v>
      </c>
      <c r="Z334" s="164">
        <f>SUM(Z328:Z333)</f>
        <v>0</v>
      </c>
      <c r="AA334" s="207">
        <f>(AA320+AA321+AA322+AA323+AA324+AA325+AA326+AA328+AA329+AA330+AA331+AA332+AA333)-AG321</f>
        <v>1</v>
      </c>
      <c r="AB334" s="208">
        <f>(AB320+AB321+AB322+AB323+AB324+AB325+AB326+AB328+AB329+AB330+AB331+AB332+AB333)-AH321</f>
        <v>2</v>
      </c>
      <c r="AC334" s="208">
        <f>(AC320+AC321+AC322+AC323+AC324+AC325+AC326+AC328+AC329+AC330+AC331+AC332+AC333)-AG328</f>
        <v>3</v>
      </c>
      <c r="AD334" s="208">
        <f>(AD320+AD321+AD322+AD323+AD324+AD325+AD326+AD328+AD329+AD330+AD331+AD332+AD333)-AH328</f>
        <v>4</v>
      </c>
      <c r="AE334" s="208">
        <f>(AE320+AE321+AE322+AE323+AE324+AE325+AE326+AE328+AE329+AE330+AE331+AE332+AE333)-AI321</f>
        <v>5</v>
      </c>
      <c r="AF334" s="209">
        <f>(AF320+AF321+AF322+AF323+AF324+AF325+AF326+AF328+AF329+AF330+AF331+AF332+AF333)-AI328</f>
        <v>6</v>
      </c>
      <c r="AG334" s="62"/>
      <c r="AH334" s="62"/>
      <c r="AI334" s="62"/>
      <c r="AJ334" s="62"/>
      <c r="AK334" s="62"/>
      <c r="AL334" s="62"/>
      <c r="AM334" s="62"/>
      <c r="AN334" s="91">
        <f>SUM(AN328:AN333)</f>
        <v>0</v>
      </c>
      <c r="AO334" s="91">
        <f>SUM(AO328:AO333)</f>
        <v>0</v>
      </c>
      <c r="AP334" s="91"/>
      <c r="AQ334" s="91"/>
      <c r="AR334" s="91">
        <f>SUM(AR328:AR333)</f>
        <v>0</v>
      </c>
      <c r="AS334" s="91">
        <f t="shared" ref="AS334:AW334" si="139">SUM(AS328:AS333)</f>
        <v>0</v>
      </c>
      <c r="AT334" s="91">
        <f t="shared" si="139"/>
        <v>0</v>
      </c>
      <c r="AU334" s="91">
        <f t="shared" si="139"/>
        <v>0</v>
      </c>
      <c r="AV334" s="91">
        <f t="shared" si="139"/>
        <v>0</v>
      </c>
      <c r="AW334" s="91">
        <f t="shared" si="139"/>
        <v>0</v>
      </c>
      <c r="AX334" s="91">
        <f>SUM(AX328:AX333)</f>
        <v>0</v>
      </c>
      <c r="AY334" s="91">
        <f>SUM(AY328:AY333)</f>
        <v>0</v>
      </c>
      <c r="AZ334" s="91">
        <f>SUM(AZ328:AZ333)</f>
        <v>0</v>
      </c>
      <c r="BA334" s="91"/>
      <c r="BB334" s="91"/>
      <c r="BC334" s="91"/>
      <c r="BD334" s="91" t="str">
        <f>IFERROR(VLOOKUP($G334,нормы!$A$14:$BG$15,27,0),"")</f>
        <v/>
      </c>
      <c r="BE334" s="53" t="str">
        <f>IFERROR(W334/VLOOKUP($G334,нормы!$A$14:$BI$15,28,0),"")</f>
        <v/>
      </c>
    </row>
    <row r="335" spans="1:57" s="1" customFormat="1" ht="29.4" customHeight="1" thickBot="1" x14ac:dyDescent="0.5">
      <c r="A335" s="37" t="str">
        <f t="shared" si="134"/>
        <v>6Д</v>
      </c>
      <c r="B335" s="166" t="s">
        <v>130</v>
      </c>
      <c r="C335" s="167"/>
      <c r="D335" s="167"/>
      <c r="E335" s="167"/>
      <c r="F335" s="165"/>
      <c r="G335" s="167"/>
      <c r="H335" s="167"/>
      <c r="I335" s="168"/>
      <c r="J335" s="168"/>
      <c r="K335" s="168"/>
      <c r="L335" s="168"/>
      <c r="M335" s="168"/>
      <c r="N335" s="168"/>
      <c r="O335" s="167"/>
      <c r="P335" s="169"/>
      <c r="Q335" s="169"/>
      <c r="R335" s="169"/>
      <c r="S335" s="169"/>
      <c r="T335" s="169"/>
      <c r="U335" s="170"/>
      <c r="V335" s="170"/>
      <c r="W335" s="171"/>
      <c r="X335" s="171"/>
      <c r="Y335" s="172"/>
      <c r="Z335" s="172"/>
      <c r="AA335" s="201" t="s">
        <v>144</v>
      </c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64"/>
      <c r="AN335" s="167"/>
      <c r="AO335" s="167"/>
      <c r="AP335" s="167"/>
      <c r="AQ335" s="167"/>
      <c r="AR335" s="64"/>
      <c r="AS335" s="64"/>
      <c r="AT335" s="65"/>
      <c r="AU335" s="64"/>
      <c r="AV335" s="49"/>
      <c r="AW335" s="49"/>
      <c r="AX335" s="167"/>
      <c r="AY335" s="167"/>
      <c r="AZ335" s="167"/>
      <c r="BA335" s="167"/>
      <c r="BB335" s="167"/>
      <c r="BC335" s="167"/>
      <c r="BD335" s="66"/>
      <c r="BE335" s="66"/>
    </row>
    <row r="336" spans="1:57" s="1" customFormat="1" ht="23.25" customHeight="1" x14ac:dyDescent="0.4">
      <c r="A336" s="37" t="str">
        <f t="shared" si="134"/>
        <v>6Д</v>
      </c>
      <c r="B336" s="183"/>
      <c r="C336" s="100"/>
      <c r="D336" s="185"/>
      <c r="E336" s="186" t="s">
        <v>57</v>
      </c>
      <c r="F336" s="66" t="s">
        <v>87</v>
      </c>
      <c r="G336" s="66"/>
      <c r="H336" s="108" t="s">
        <v>131</v>
      </c>
      <c r="I336" s="101"/>
      <c r="J336" s="101"/>
      <c r="K336" s="101"/>
      <c r="L336" s="101"/>
      <c r="M336" s="101"/>
      <c r="N336" s="101"/>
      <c r="O336" s="67"/>
      <c r="P336" s="102"/>
      <c r="Q336" s="102"/>
      <c r="R336" s="102"/>
      <c r="S336" s="102"/>
      <c r="T336" s="102"/>
      <c r="U336" s="67"/>
      <c r="V336" s="67"/>
      <c r="W336" s="103"/>
      <c r="X336" s="187"/>
      <c r="Y336" s="68" t="s">
        <v>74</v>
      </c>
      <c r="Z336" s="69"/>
      <c r="AA336" s="90"/>
      <c r="AB336" s="100"/>
      <c r="AC336" s="100"/>
      <c r="AD336" s="186" t="s">
        <v>57</v>
      </c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190"/>
      <c r="AU336" s="66"/>
      <c r="AV336" s="165"/>
      <c r="AW336" s="293"/>
      <c r="AX336" s="66"/>
      <c r="AY336" s="66"/>
      <c r="AZ336" s="66"/>
      <c r="BA336" s="66"/>
      <c r="BB336" s="66"/>
      <c r="BC336" s="66"/>
      <c r="BD336" s="68" t="s">
        <v>74</v>
      </c>
      <c r="BE336" s="69"/>
    </row>
    <row r="337" spans="1:57" s="1" customFormat="1" ht="23.25" customHeight="1" thickBot="1" x14ac:dyDescent="0.45">
      <c r="A337" s="37" t="str">
        <f t="shared" si="134"/>
        <v>6Д</v>
      </c>
      <c r="B337" s="183"/>
      <c r="C337" s="41"/>
      <c r="D337" s="184"/>
      <c r="E337" s="50"/>
      <c r="F337" s="70"/>
      <c r="G337" s="70"/>
      <c r="H337" s="70"/>
      <c r="I337" s="104"/>
      <c r="J337" s="104"/>
      <c r="K337" s="104"/>
      <c r="L337" s="104"/>
      <c r="M337" s="104"/>
      <c r="N337" s="104"/>
      <c r="O337" s="71"/>
      <c r="P337" s="105"/>
      <c r="Q337" s="105"/>
      <c r="R337" s="105"/>
      <c r="S337" s="105"/>
      <c r="T337" s="105"/>
      <c r="U337" s="71"/>
      <c r="V337" s="71"/>
      <c r="W337" s="106"/>
      <c r="X337" s="188"/>
      <c r="Y337" s="72"/>
      <c r="Z337" s="73"/>
      <c r="AA337" s="90"/>
      <c r="AB337" s="41"/>
      <c r="AC337" s="41"/>
      <c r="AD337" s="50"/>
      <c r="AE337" s="47"/>
      <c r="AF337" s="47"/>
      <c r="AG337" s="47"/>
      <c r="AH337" s="47"/>
      <c r="AI337" s="47"/>
      <c r="AJ337" s="47"/>
      <c r="AK337" s="47"/>
      <c r="AL337" s="47"/>
      <c r="AM337" s="70"/>
      <c r="AN337" s="47"/>
      <c r="AO337" s="70"/>
      <c r="AP337" s="70"/>
      <c r="AQ337" s="70"/>
      <c r="AR337" s="70"/>
      <c r="AS337" s="70"/>
      <c r="AT337" s="191"/>
      <c r="AU337" s="70"/>
      <c r="AV337" s="192"/>
      <c r="AW337" s="294"/>
      <c r="AX337" s="70"/>
      <c r="AY337" s="70"/>
      <c r="AZ337" s="70"/>
      <c r="BA337" s="70"/>
      <c r="BB337" s="70"/>
      <c r="BC337" s="70"/>
      <c r="BD337" s="72"/>
      <c r="BE337" s="73"/>
    </row>
    <row r="338" spans="1:57" s="1" customFormat="1" ht="23.25" customHeight="1" x14ac:dyDescent="0.4">
      <c r="A338" s="37" t="str">
        <f>A337</f>
        <v>6Д</v>
      </c>
      <c r="B338" s="183"/>
      <c r="C338" s="41"/>
      <c r="D338" s="184"/>
      <c r="E338" s="281">
        <f>B333</f>
        <v>46028</v>
      </c>
      <c r="F338" s="337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98">
        <v>1</v>
      </c>
      <c r="Y338" s="74">
        <v>1</v>
      </c>
      <c r="Z338" s="75">
        <f t="shared" ref="Z338:Z349" si="140">Y338-X338</f>
        <v>0</v>
      </c>
      <c r="AA338" s="189"/>
      <c r="AB338" s="41"/>
      <c r="AC338" s="184"/>
      <c r="AD338" s="210">
        <f>E338</f>
        <v>46028</v>
      </c>
      <c r="AE338" s="387"/>
      <c r="AF338" s="388"/>
      <c r="AG338" s="388"/>
      <c r="AH338" s="388"/>
      <c r="AI338" s="388"/>
      <c r="AJ338" s="388"/>
      <c r="AK338" s="388"/>
      <c r="AL338" s="388"/>
      <c r="AM338" s="388"/>
      <c r="AN338" s="388"/>
      <c r="AO338" s="388"/>
      <c r="AP338" s="388"/>
      <c r="AQ338" s="388"/>
      <c r="AR338" s="388"/>
      <c r="AS338" s="388"/>
      <c r="AT338" s="388"/>
      <c r="AU338" s="388"/>
      <c r="AV338" s="388"/>
      <c r="AW338" s="388"/>
      <c r="AX338" s="388"/>
      <c r="AY338" s="388"/>
      <c r="AZ338" s="388"/>
      <c r="BA338" s="388"/>
      <c r="BB338" s="389"/>
      <c r="BC338" s="98">
        <v>1</v>
      </c>
      <c r="BD338" s="74">
        <v>1</v>
      </c>
      <c r="BE338" s="75">
        <f t="shared" ref="BE338:BE349" si="141">BD338-BC338</f>
        <v>0</v>
      </c>
    </row>
    <row r="339" spans="1:57" s="1" customFormat="1" ht="29.25" customHeight="1" x14ac:dyDescent="0.4">
      <c r="A339" s="37" t="str">
        <f t="shared" si="134"/>
        <v>6Д</v>
      </c>
      <c r="B339" s="183"/>
      <c r="C339" s="41"/>
      <c r="D339" s="184"/>
      <c r="E339" s="282">
        <f>E338</f>
        <v>46028</v>
      </c>
      <c r="F339" s="335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  <c r="W339" s="336"/>
      <c r="X339" s="98">
        <v>1</v>
      </c>
      <c r="Y339" s="74">
        <v>1</v>
      </c>
      <c r="Z339" s="75">
        <f t="shared" si="140"/>
        <v>0</v>
      </c>
      <c r="AA339" s="107">
        <f>AA338</f>
        <v>0</v>
      </c>
      <c r="AB339" s="41"/>
      <c r="AC339" s="184"/>
      <c r="AD339" s="212">
        <f>AD338</f>
        <v>46028</v>
      </c>
      <c r="AE339" s="387"/>
      <c r="AF339" s="388"/>
      <c r="AG339" s="388"/>
      <c r="AH339" s="388"/>
      <c r="AI339" s="388"/>
      <c r="AJ339" s="388"/>
      <c r="AK339" s="388"/>
      <c r="AL339" s="388"/>
      <c r="AM339" s="388"/>
      <c r="AN339" s="388"/>
      <c r="AO339" s="388"/>
      <c r="AP339" s="388"/>
      <c r="AQ339" s="388"/>
      <c r="AR339" s="388"/>
      <c r="AS339" s="388"/>
      <c r="AT339" s="388"/>
      <c r="AU339" s="388"/>
      <c r="AV339" s="388"/>
      <c r="AW339" s="388"/>
      <c r="AX339" s="388"/>
      <c r="AY339" s="388"/>
      <c r="AZ339" s="388"/>
      <c r="BA339" s="388"/>
      <c r="BB339" s="389"/>
      <c r="BC339" s="98">
        <v>1</v>
      </c>
      <c r="BD339" s="74">
        <v>1</v>
      </c>
      <c r="BE339" s="75">
        <f t="shared" si="141"/>
        <v>0</v>
      </c>
    </row>
    <row r="340" spans="1:57" s="1" customFormat="1" ht="21.9" customHeight="1" x14ac:dyDescent="0.4">
      <c r="A340" s="37" t="str">
        <f t="shared" si="134"/>
        <v>6Д</v>
      </c>
      <c r="B340" s="183"/>
      <c r="C340" s="41"/>
      <c r="D340" s="184"/>
      <c r="E340" s="282">
        <f t="shared" ref="E340:E349" si="142">E339</f>
        <v>46028</v>
      </c>
      <c r="F340" s="335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  <c r="W340" s="336"/>
      <c r="X340" s="98">
        <v>1</v>
      </c>
      <c r="Y340" s="74">
        <v>1</v>
      </c>
      <c r="Z340" s="75">
        <f t="shared" si="140"/>
        <v>0</v>
      </c>
      <c r="AA340" s="107">
        <f>AA339</f>
        <v>0</v>
      </c>
      <c r="AB340" s="41"/>
      <c r="AC340" s="184"/>
      <c r="AD340" s="212">
        <f t="shared" ref="AD340:AD349" si="143">AD339</f>
        <v>46028</v>
      </c>
      <c r="AE340" s="387"/>
      <c r="AF340" s="388"/>
      <c r="AG340" s="388"/>
      <c r="AH340" s="388"/>
      <c r="AI340" s="388"/>
      <c r="AJ340" s="388"/>
      <c r="AK340" s="388"/>
      <c r="AL340" s="388"/>
      <c r="AM340" s="388"/>
      <c r="AN340" s="388"/>
      <c r="AO340" s="388"/>
      <c r="AP340" s="388"/>
      <c r="AQ340" s="388"/>
      <c r="AR340" s="388"/>
      <c r="AS340" s="388"/>
      <c r="AT340" s="388"/>
      <c r="AU340" s="388"/>
      <c r="AV340" s="388"/>
      <c r="AW340" s="388"/>
      <c r="AX340" s="388"/>
      <c r="AY340" s="388"/>
      <c r="AZ340" s="388"/>
      <c r="BA340" s="388"/>
      <c r="BB340" s="389"/>
      <c r="BC340" s="98">
        <v>1</v>
      </c>
      <c r="BD340" s="74">
        <v>1</v>
      </c>
      <c r="BE340" s="75">
        <f t="shared" si="141"/>
        <v>0</v>
      </c>
    </row>
    <row r="341" spans="1:57" s="1" customFormat="1" ht="21.9" customHeight="1" x14ac:dyDescent="0.4">
      <c r="A341" s="37" t="str">
        <f t="shared" si="134"/>
        <v>6Д</v>
      </c>
      <c r="B341" s="183"/>
      <c r="C341" s="41"/>
      <c r="D341" s="184"/>
      <c r="E341" s="282">
        <f t="shared" si="142"/>
        <v>46028</v>
      </c>
      <c r="F341" s="335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  <c r="W341" s="336"/>
      <c r="X341" s="98">
        <v>1</v>
      </c>
      <c r="Y341" s="74">
        <v>1</v>
      </c>
      <c r="Z341" s="75">
        <f t="shared" si="140"/>
        <v>0</v>
      </c>
      <c r="AA341" s="107">
        <f t="shared" ref="AA341:AA349" si="144">AA340</f>
        <v>0</v>
      </c>
      <c r="AB341" s="41"/>
      <c r="AC341" s="184"/>
      <c r="AD341" s="212">
        <f t="shared" si="143"/>
        <v>46028</v>
      </c>
      <c r="AE341" s="387"/>
      <c r="AF341" s="388"/>
      <c r="AG341" s="388"/>
      <c r="AH341" s="388"/>
      <c r="AI341" s="388"/>
      <c r="AJ341" s="388"/>
      <c r="AK341" s="388"/>
      <c r="AL341" s="388"/>
      <c r="AM341" s="388"/>
      <c r="AN341" s="388"/>
      <c r="AO341" s="388"/>
      <c r="AP341" s="388"/>
      <c r="AQ341" s="388"/>
      <c r="AR341" s="388"/>
      <c r="AS341" s="388"/>
      <c r="AT341" s="388"/>
      <c r="AU341" s="388"/>
      <c r="AV341" s="388"/>
      <c r="AW341" s="388"/>
      <c r="AX341" s="388"/>
      <c r="AY341" s="388"/>
      <c r="AZ341" s="388"/>
      <c r="BA341" s="388"/>
      <c r="BB341" s="389"/>
      <c r="BC341" s="98">
        <v>1</v>
      </c>
      <c r="BD341" s="74">
        <v>1</v>
      </c>
      <c r="BE341" s="75">
        <f t="shared" si="141"/>
        <v>0</v>
      </c>
    </row>
    <row r="342" spans="1:57" s="1" customFormat="1" ht="21.9" customHeight="1" x14ac:dyDescent="0.4">
      <c r="A342" s="37" t="str">
        <f t="shared" si="134"/>
        <v>6Д</v>
      </c>
      <c r="B342" s="183"/>
      <c r="C342" s="41"/>
      <c r="D342" s="184"/>
      <c r="E342" s="282">
        <f t="shared" si="142"/>
        <v>46028</v>
      </c>
      <c r="F342" s="335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  <c r="W342" s="336"/>
      <c r="X342" s="98">
        <v>1</v>
      </c>
      <c r="Y342" s="74">
        <v>1</v>
      </c>
      <c r="Z342" s="75">
        <f t="shared" si="140"/>
        <v>0</v>
      </c>
      <c r="AA342" s="107">
        <f t="shared" si="144"/>
        <v>0</v>
      </c>
      <c r="AB342" s="41"/>
      <c r="AC342" s="184"/>
      <c r="AD342" s="212">
        <f t="shared" si="143"/>
        <v>46028</v>
      </c>
      <c r="AE342" s="387"/>
      <c r="AF342" s="388"/>
      <c r="AG342" s="388"/>
      <c r="AH342" s="388"/>
      <c r="AI342" s="388"/>
      <c r="AJ342" s="388"/>
      <c r="AK342" s="388"/>
      <c r="AL342" s="388"/>
      <c r="AM342" s="388"/>
      <c r="AN342" s="388"/>
      <c r="AO342" s="388"/>
      <c r="AP342" s="388"/>
      <c r="AQ342" s="388"/>
      <c r="AR342" s="388"/>
      <c r="AS342" s="388"/>
      <c r="AT342" s="388"/>
      <c r="AU342" s="388"/>
      <c r="AV342" s="388"/>
      <c r="AW342" s="388"/>
      <c r="AX342" s="388"/>
      <c r="AY342" s="388"/>
      <c r="AZ342" s="388"/>
      <c r="BA342" s="388"/>
      <c r="BB342" s="389"/>
      <c r="BC342" s="98">
        <v>1</v>
      </c>
      <c r="BD342" s="74">
        <v>1</v>
      </c>
      <c r="BE342" s="75">
        <f t="shared" si="141"/>
        <v>0</v>
      </c>
    </row>
    <row r="343" spans="1:57" s="1" customFormat="1" ht="18" customHeight="1" x14ac:dyDescent="0.4">
      <c r="A343" s="37" t="str">
        <f t="shared" si="134"/>
        <v>6Д</v>
      </c>
      <c r="B343" s="183"/>
      <c r="C343" s="41"/>
      <c r="D343" s="184"/>
      <c r="E343" s="282">
        <f t="shared" si="142"/>
        <v>46028</v>
      </c>
      <c r="F343" s="335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  <c r="W343" s="336"/>
      <c r="X343" s="98">
        <v>1</v>
      </c>
      <c r="Y343" s="74">
        <v>1</v>
      </c>
      <c r="Z343" s="75">
        <f t="shared" si="140"/>
        <v>0</v>
      </c>
      <c r="AA343" s="107">
        <f t="shared" si="144"/>
        <v>0</v>
      </c>
      <c r="AB343" s="41"/>
      <c r="AC343" s="184"/>
      <c r="AD343" s="212">
        <f t="shared" si="143"/>
        <v>46028</v>
      </c>
      <c r="AE343" s="387"/>
      <c r="AF343" s="388"/>
      <c r="AG343" s="388"/>
      <c r="AH343" s="388"/>
      <c r="AI343" s="388"/>
      <c r="AJ343" s="388"/>
      <c r="AK343" s="388"/>
      <c r="AL343" s="388"/>
      <c r="AM343" s="388"/>
      <c r="AN343" s="388"/>
      <c r="AO343" s="388"/>
      <c r="AP343" s="388"/>
      <c r="AQ343" s="388"/>
      <c r="AR343" s="388"/>
      <c r="AS343" s="388"/>
      <c r="AT343" s="388"/>
      <c r="AU343" s="388"/>
      <c r="AV343" s="388"/>
      <c r="AW343" s="388"/>
      <c r="AX343" s="388"/>
      <c r="AY343" s="388"/>
      <c r="AZ343" s="388"/>
      <c r="BA343" s="388"/>
      <c r="BB343" s="389"/>
      <c r="BC343" s="98">
        <v>1</v>
      </c>
      <c r="BD343" s="74">
        <v>1</v>
      </c>
      <c r="BE343" s="75">
        <f t="shared" si="141"/>
        <v>0</v>
      </c>
    </row>
    <row r="344" spans="1:57" s="1" customFormat="1" ht="18" customHeight="1" x14ac:dyDescent="0.4">
      <c r="A344" s="37" t="str">
        <f t="shared" si="134"/>
        <v>6Д</v>
      </c>
      <c r="B344" s="183"/>
      <c r="C344" s="41"/>
      <c r="D344" s="184"/>
      <c r="E344" s="282">
        <f t="shared" si="142"/>
        <v>46028</v>
      </c>
      <c r="F344" s="335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  <c r="W344" s="336"/>
      <c r="X344" s="98">
        <v>1</v>
      </c>
      <c r="Y344" s="74">
        <v>1</v>
      </c>
      <c r="Z344" s="75">
        <f t="shared" si="140"/>
        <v>0</v>
      </c>
      <c r="AA344" s="107">
        <f t="shared" si="144"/>
        <v>0</v>
      </c>
      <c r="AB344" s="41"/>
      <c r="AC344" s="184"/>
      <c r="AD344" s="212">
        <f t="shared" si="143"/>
        <v>46028</v>
      </c>
      <c r="AE344" s="387"/>
      <c r="AF344" s="388"/>
      <c r="AG344" s="388"/>
      <c r="AH344" s="388"/>
      <c r="AI344" s="388"/>
      <c r="AJ344" s="388"/>
      <c r="AK344" s="388"/>
      <c r="AL344" s="388"/>
      <c r="AM344" s="388"/>
      <c r="AN344" s="388"/>
      <c r="AO344" s="388"/>
      <c r="AP344" s="388"/>
      <c r="AQ344" s="388"/>
      <c r="AR344" s="388"/>
      <c r="AS344" s="388"/>
      <c r="AT344" s="388"/>
      <c r="AU344" s="388"/>
      <c r="AV344" s="388"/>
      <c r="AW344" s="388"/>
      <c r="AX344" s="388"/>
      <c r="AY344" s="388"/>
      <c r="AZ344" s="388"/>
      <c r="BA344" s="388"/>
      <c r="BB344" s="389"/>
      <c r="BC344" s="98">
        <v>1</v>
      </c>
      <c r="BD344" s="74">
        <v>1</v>
      </c>
      <c r="BE344" s="75">
        <f t="shared" si="141"/>
        <v>0</v>
      </c>
    </row>
    <row r="345" spans="1:57" s="1" customFormat="1" ht="18" customHeight="1" x14ac:dyDescent="0.4">
      <c r="A345" s="37" t="str">
        <f t="shared" si="134"/>
        <v>6Д</v>
      </c>
      <c r="B345" s="183"/>
      <c r="C345" s="41"/>
      <c r="D345" s="184"/>
      <c r="E345" s="282">
        <f t="shared" si="142"/>
        <v>46028</v>
      </c>
      <c r="F345" s="335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  <c r="W345" s="336"/>
      <c r="X345" s="98">
        <v>1</v>
      </c>
      <c r="Y345" s="74">
        <v>1</v>
      </c>
      <c r="Z345" s="75">
        <f t="shared" si="140"/>
        <v>0</v>
      </c>
      <c r="AA345" s="107">
        <f t="shared" si="144"/>
        <v>0</v>
      </c>
      <c r="AB345" s="41"/>
      <c r="AC345" s="184"/>
      <c r="AD345" s="212">
        <f t="shared" si="143"/>
        <v>46028</v>
      </c>
      <c r="AE345" s="387"/>
      <c r="AF345" s="388"/>
      <c r="AG345" s="388"/>
      <c r="AH345" s="388"/>
      <c r="AI345" s="388"/>
      <c r="AJ345" s="388"/>
      <c r="AK345" s="388"/>
      <c r="AL345" s="388"/>
      <c r="AM345" s="388"/>
      <c r="AN345" s="388"/>
      <c r="AO345" s="388"/>
      <c r="AP345" s="388"/>
      <c r="AQ345" s="388"/>
      <c r="AR345" s="388"/>
      <c r="AS345" s="388"/>
      <c r="AT345" s="388"/>
      <c r="AU345" s="388"/>
      <c r="AV345" s="388"/>
      <c r="AW345" s="388"/>
      <c r="AX345" s="388"/>
      <c r="AY345" s="388"/>
      <c r="AZ345" s="388"/>
      <c r="BA345" s="388"/>
      <c r="BB345" s="389"/>
      <c r="BC345" s="98">
        <v>1</v>
      </c>
      <c r="BD345" s="74">
        <v>1</v>
      </c>
      <c r="BE345" s="75">
        <f t="shared" si="141"/>
        <v>0</v>
      </c>
    </row>
    <row r="346" spans="1:57" s="1" customFormat="1" ht="18" customHeight="1" x14ac:dyDescent="0.4">
      <c r="A346" s="37" t="str">
        <f t="shared" si="134"/>
        <v>6Д</v>
      </c>
      <c r="B346" s="183"/>
      <c r="C346" s="41"/>
      <c r="D346" s="184"/>
      <c r="E346" s="282">
        <f t="shared" si="142"/>
        <v>46028</v>
      </c>
      <c r="F346" s="335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98">
        <v>1</v>
      </c>
      <c r="Y346" s="74">
        <v>1</v>
      </c>
      <c r="Z346" s="75">
        <f t="shared" si="140"/>
        <v>0</v>
      </c>
      <c r="AA346" s="107">
        <f t="shared" si="144"/>
        <v>0</v>
      </c>
      <c r="AB346" s="41"/>
      <c r="AC346" s="184"/>
      <c r="AD346" s="212">
        <f t="shared" si="143"/>
        <v>46028</v>
      </c>
      <c r="AE346" s="387"/>
      <c r="AF346" s="388"/>
      <c r="AG346" s="388"/>
      <c r="AH346" s="388"/>
      <c r="AI346" s="388"/>
      <c r="AJ346" s="388"/>
      <c r="AK346" s="388"/>
      <c r="AL346" s="388"/>
      <c r="AM346" s="388"/>
      <c r="AN346" s="388"/>
      <c r="AO346" s="388"/>
      <c r="AP346" s="388"/>
      <c r="AQ346" s="388"/>
      <c r="AR346" s="388"/>
      <c r="AS346" s="388"/>
      <c r="AT346" s="388"/>
      <c r="AU346" s="388"/>
      <c r="AV346" s="388"/>
      <c r="AW346" s="388"/>
      <c r="AX346" s="388"/>
      <c r="AY346" s="388"/>
      <c r="AZ346" s="388"/>
      <c r="BA346" s="388"/>
      <c r="BB346" s="389"/>
      <c r="BC346" s="98">
        <v>1</v>
      </c>
      <c r="BD346" s="74">
        <v>1</v>
      </c>
      <c r="BE346" s="75">
        <f t="shared" si="141"/>
        <v>0</v>
      </c>
    </row>
    <row r="347" spans="1:57" s="1" customFormat="1" ht="18" customHeight="1" x14ac:dyDescent="0.4">
      <c r="A347" s="37" t="str">
        <f t="shared" si="134"/>
        <v>6Д</v>
      </c>
      <c r="B347" s="183"/>
      <c r="C347" s="41"/>
      <c r="D347" s="184"/>
      <c r="E347" s="282">
        <f t="shared" si="142"/>
        <v>46028</v>
      </c>
      <c r="F347" s="335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  <c r="W347" s="336"/>
      <c r="X347" s="98">
        <v>1</v>
      </c>
      <c r="Y347" s="74">
        <v>1</v>
      </c>
      <c r="Z347" s="75">
        <f t="shared" si="140"/>
        <v>0</v>
      </c>
      <c r="AA347" s="107">
        <f t="shared" si="144"/>
        <v>0</v>
      </c>
      <c r="AB347" s="41"/>
      <c r="AC347" s="184"/>
      <c r="AD347" s="212">
        <f t="shared" si="143"/>
        <v>46028</v>
      </c>
      <c r="AE347" s="387"/>
      <c r="AF347" s="388"/>
      <c r="AG347" s="388"/>
      <c r="AH347" s="388"/>
      <c r="AI347" s="388"/>
      <c r="AJ347" s="388"/>
      <c r="AK347" s="388"/>
      <c r="AL347" s="388"/>
      <c r="AM347" s="388"/>
      <c r="AN347" s="388"/>
      <c r="AO347" s="388"/>
      <c r="AP347" s="388"/>
      <c r="AQ347" s="388"/>
      <c r="AR347" s="388"/>
      <c r="AS347" s="388"/>
      <c r="AT347" s="388"/>
      <c r="AU347" s="388"/>
      <c r="AV347" s="388"/>
      <c r="AW347" s="388"/>
      <c r="AX347" s="388"/>
      <c r="AY347" s="388"/>
      <c r="AZ347" s="388"/>
      <c r="BA347" s="388"/>
      <c r="BB347" s="389"/>
      <c r="BC347" s="98">
        <v>1</v>
      </c>
      <c r="BD347" s="74">
        <v>1</v>
      </c>
      <c r="BE347" s="75">
        <f t="shared" si="141"/>
        <v>0</v>
      </c>
    </row>
    <row r="348" spans="1:57" s="1" customFormat="1" ht="18" customHeight="1" x14ac:dyDescent="0.4">
      <c r="A348" s="37" t="str">
        <f t="shared" si="134"/>
        <v>6Д</v>
      </c>
      <c r="B348" s="183"/>
      <c r="C348" s="41"/>
      <c r="D348" s="184"/>
      <c r="E348" s="282">
        <f t="shared" si="142"/>
        <v>46028</v>
      </c>
      <c r="F348" s="335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  <c r="W348" s="336"/>
      <c r="X348" s="98">
        <v>1</v>
      </c>
      <c r="Y348" s="74">
        <v>1</v>
      </c>
      <c r="Z348" s="75">
        <f t="shared" si="140"/>
        <v>0</v>
      </c>
      <c r="AA348" s="107">
        <f t="shared" si="144"/>
        <v>0</v>
      </c>
      <c r="AB348" s="41"/>
      <c r="AC348" s="184"/>
      <c r="AD348" s="212">
        <f t="shared" si="143"/>
        <v>46028</v>
      </c>
      <c r="AE348" s="387"/>
      <c r="AF348" s="388"/>
      <c r="AG348" s="388"/>
      <c r="AH348" s="388"/>
      <c r="AI348" s="388"/>
      <c r="AJ348" s="388"/>
      <c r="AK348" s="388"/>
      <c r="AL348" s="388"/>
      <c r="AM348" s="388"/>
      <c r="AN348" s="388"/>
      <c r="AO348" s="388"/>
      <c r="AP348" s="388"/>
      <c r="AQ348" s="388"/>
      <c r="AR348" s="388"/>
      <c r="AS348" s="388"/>
      <c r="AT348" s="388"/>
      <c r="AU348" s="388"/>
      <c r="AV348" s="388"/>
      <c r="AW348" s="388"/>
      <c r="AX348" s="388"/>
      <c r="AY348" s="388"/>
      <c r="AZ348" s="388"/>
      <c r="BA348" s="388"/>
      <c r="BB348" s="389"/>
      <c r="BC348" s="98">
        <v>1</v>
      </c>
      <c r="BD348" s="74">
        <v>1</v>
      </c>
      <c r="BE348" s="75">
        <f t="shared" si="141"/>
        <v>0</v>
      </c>
    </row>
    <row r="349" spans="1:57" s="1" customFormat="1" ht="18" customHeight="1" thickBot="1" x14ac:dyDescent="0.45">
      <c r="A349" s="37" t="str">
        <f t="shared" si="134"/>
        <v>6Д</v>
      </c>
      <c r="B349" s="183"/>
      <c r="C349" s="41"/>
      <c r="D349" s="184"/>
      <c r="E349" s="283">
        <f t="shared" si="142"/>
        <v>46028</v>
      </c>
      <c r="F349" s="339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99">
        <v>1</v>
      </c>
      <c r="Y349" s="76">
        <v>1</v>
      </c>
      <c r="Z349" s="77">
        <f t="shared" si="140"/>
        <v>0</v>
      </c>
      <c r="AA349" s="107">
        <f t="shared" si="144"/>
        <v>0</v>
      </c>
      <c r="AB349" s="41"/>
      <c r="AC349" s="184"/>
      <c r="AD349" s="211">
        <f t="shared" si="143"/>
        <v>46028</v>
      </c>
      <c r="AE349" s="410"/>
      <c r="AF349" s="411"/>
      <c r="AG349" s="411"/>
      <c r="AH349" s="411"/>
      <c r="AI349" s="411"/>
      <c r="AJ349" s="411"/>
      <c r="AK349" s="411"/>
      <c r="AL349" s="411"/>
      <c r="AM349" s="411"/>
      <c r="AN349" s="411"/>
      <c r="AO349" s="411"/>
      <c r="AP349" s="411"/>
      <c r="AQ349" s="411"/>
      <c r="AR349" s="411"/>
      <c r="AS349" s="411"/>
      <c r="AT349" s="411"/>
      <c r="AU349" s="411"/>
      <c r="AV349" s="411"/>
      <c r="AW349" s="411"/>
      <c r="AX349" s="411"/>
      <c r="AY349" s="411"/>
      <c r="AZ349" s="411"/>
      <c r="BA349" s="411"/>
      <c r="BB349" s="412"/>
      <c r="BC349" s="99">
        <v>1</v>
      </c>
      <c r="BD349" s="76">
        <v>1</v>
      </c>
      <c r="BE349" s="75">
        <f t="shared" si="141"/>
        <v>0</v>
      </c>
    </row>
    <row r="350" spans="1:57" s="1" customFormat="1" ht="23.25" customHeight="1" thickBot="1" x14ac:dyDescent="0.45">
      <c r="A350" s="37" t="str">
        <f t="shared" si="134"/>
        <v>6Д</v>
      </c>
      <c r="B350" s="193"/>
      <c r="C350" s="47"/>
      <c r="D350" s="47"/>
      <c r="E350" s="47"/>
      <c r="F350" s="78"/>
      <c r="G350" s="78"/>
      <c r="H350" s="78"/>
      <c r="I350" s="80"/>
      <c r="J350" s="80"/>
      <c r="K350" s="80"/>
      <c r="L350" s="80"/>
      <c r="M350" s="80"/>
      <c r="N350" s="80"/>
      <c r="O350" s="78"/>
      <c r="P350" s="81"/>
      <c r="Q350" s="81"/>
      <c r="R350" s="81"/>
      <c r="S350" s="81"/>
      <c r="T350" s="81"/>
      <c r="U350" s="82"/>
      <c r="V350" s="82"/>
      <c r="W350" s="86"/>
      <c r="X350" s="194"/>
      <c r="Y350" s="83"/>
      <c r="Z350" s="83"/>
      <c r="AA350" s="78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84"/>
      <c r="AN350" s="47"/>
      <c r="AO350" s="78"/>
      <c r="AP350" s="78"/>
      <c r="AQ350" s="78"/>
      <c r="AR350" s="84"/>
      <c r="AS350" s="78"/>
      <c r="AT350" s="85"/>
      <c r="AU350" s="78"/>
      <c r="AV350" s="83"/>
      <c r="AW350" s="83"/>
      <c r="AX350" s="78"/>
      <c r="AY350" s="78"/>
      <c r="AZ350" s="78"/>
      <c r="BA350" s="78"/>
      <c r="BB350" s="78"/>
      <c r="BC350" s="78"/>
      <c r="BD350" s="79"/>
      <c r="BE350" s="79"/>
    </row>
    <row r="351" spans="1:57" s="1" customFormat="1" ht="21.6" customHeight="1" thickBot="1" x14ac:dyDescent="0.45">
      <c r="A351" s="37" t="s">
        <v>156</v>
      </c>
      <c r="B351" s="59"/>
      <c r="C351" s="51"/>
      <c r="D351" s="51"/>
      <c r="E351" s="51"/>
      <c r="F351" s="158" t="s">
        <v>220</v>
      </c>
      <c r="G351" s="51"/>
      <c r="H351" s="51"/>
      <c r="I351" s="156"/>
      <c r="J351" s="156"/>
      <c r="K351" s="156"/>
      <c r="L351" s="156"/>
      <c r="M351" s="156"/>
      <c r="N351" s="156"/>
      <c r="O351" s="91"/>
      <c r="P351" s="52"/>
      <c r="Q351" s="52"/>
      <c r="R351" s="52"/>
      <c r="S351" s="52"/>
      <c r="T351" s="52"/>
      <c r="U351" s="157"/>
      <c r="V351" s="157"/>
      <c r="W351" s="94"/>
      <c r="X351" s="94"/>
      <c r="Y351" s="51"/>
      <c r="Z351" s="51"/>
      <c r="AA351" s="157">
        <f>AA334</f>
        <v>1</v>
      </c>
      <c r="AB351" s="157">
        <f t="shared" ref="AB351:AF351" si="145">AB334</f>
        <v>2</v>
      </c>
      <c r="AC351" s="157">
        <f t="shared" si="145"/>
        <v>3</v>
      </c>
      <c r="AD351" s="157">
        <f t="shared" si="145"/>
        <v>4</v>
      </c>
      <c r="AE351" s="157">
        <f t="shared" si="145"/>
        <v>5</v>
      </c>
      <c r="AF351" s="157">
        <f t="shared" si="145"/>
        <v>6</v>
      </c>
      <c r="AG351" s="162" t="s">
        <v>123</v>
      </c>
      <c r="AH351" s="162" t="s">
        <v>124</v>
      </c>
      <c r="AI351" s="162" t="s">
        <v>125</v>
      </c>
      <c r="AJ351" s="91" t="s">
        <v>126</v>
      </c>
      <c r="AK351" s="198" t="s">
        <v>136</v>
      </c>
      <c r="AL351" s="198" t="s">
        <v>137</v>
      </c>
      <c r="AM351" s="198" t="s">
        <v>138</v>
      </c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</row>
    <row r="352" spans="1:57" s="1" customFormat="1" ht="21.6" customHeight="1" x14ac:dyDescent="0.4">
      <c r="A352" s="37" t="str">
        <f>A351</f>
        <v>6Н</v>
      </c>
      <c r="B352" s="12">
        <f>B333</f>
        <v>46028</v>
      </c>
      <c r="C352" s="97"/>
      <c r="D352" s="97">
        <v>1</v>
      </c>
      <c r="E352" s="29"/>
      <c r="F352" s="151" t="str">
        <f>IFERROR(VLOOKUP($G352,нормы!$A$14:$BC$57,2,0),"")</f>
        <v/>
      </c>
      <c r="G352" s="93"/>
      <c r="H352" s="54">
        <f>IF(C352=1,"Кульков С.А.", IF(C352=2,"Чудаков А.А.",IF(C352=3,"Королев В.Н.",IF(C352=4,"Николашин М.П.",IF(C352=5," Кульков С.А.",IF(C352=6,"А.А. Чудаков",IF(C352=7,"В.Н. Королев",IF(C352=8,"М.П. Николашин",0))))))))</f>
        <v>0</v>
      </c>
      <c r="I352" s="88" t="s">
        <v>84</v>
      </c>
      <c r="J352" s="332"/>
      <c r="K352" s="30">
        <f>IFERROR(VLOOKUP($G352,[1]нормы!$A$21:$BC$151,15,0),"")</f>
        <v>0</v>
      </c>
      <c r="L352" s="31">
        <f>IFERROR(VLOOKUP($G352,[1]нормы!$A$21:$BC$151,17,0),"")</f>
        <v>0</v>
      </c>
      <c r="M352" s="310">
        <f>IFERROR(VLOOKUP($G352,[1]нормы!$A$21:$BC$151,27,0),"")</f>
        <v>0</v>
      </c>
      <c r="N352" s="311" t="str">
        <f>IFERROR(Y352/Y358*(1.1*J352*I357),"")</f>
        <v/>
      </c>
      <c r="O352" s="300">
        <f>IFERROR(VLOOKUP($G352,[1]нормы!$A$21:$BC$151,21,0),"")</f>
        <v>0</v>
      </c>
      <c r="P352" s="35">
        <f>IFERROR(VLOOKUP($G352,[1]нормы!$A$21:$BC$151,19,0),"")</f>
        <v>0</v>
      </c>
      <c r="Q352" s="35">
        <f>IFERROR(VLOOKUP($G352,[1]нормы!$A$21:$BC$151,23,0),"")</f>
        <v>0</v>
      </c>
      <c r="R352" s="231">
        <f>IFERROR(VLOOKUP($G352,[1]нормы!$A$21:$BC$151,29,0),"")</f>
        <v>0</v>
      </c>
      <c r="S352" s="35">
        <f>IFERROR(VLOOKUP($G352,[1]нормы!$A$21:$BC$151,31,0),"")</f>
        <v>0</v>
      </c>
      <c r="T352" s="32">
        <f>IFERROR(VLOOKUP($G352,[1]нормы!$A$21:$BC$151,25,0),"")</f>
        <v>0</v>
      </c>
      <c r="U352" s="232" t="str">
        <f>IFERROR(W352/(((100*Y352/Y358)*I357)/100),"")</f>
        <v/>
      </c>
      <c r="V352" s="234" t="str">
        <f>IFERROR(VLOOKUP($G352,нормы!$A$14:$BC$57,38,0),"")</f>
        <v/>
      </c>
      <c r="W352" s="136"/>
      <c r="X352" s="236"/>
      <c r="Y352" s="152" t="str">
        <f>IFERROR(VLOOKUP($G352,нормы!$A$14:$BC$57,42,0)*W352,"")</f>
        <v/>
      </c>
      <c r="Z352" s="163">
        <f>IFERROR(VLOOKUP($G352,нормы!$A$14:$BC$57,14,0)*W352/1000,0)</f>
        <v>0</v>
      </c>
      <c r="AA352" s="33"/>
      <c r="AB352" s="36"/>
      <c r="AC352" s="36"/>
      <c r="AD352" s="36"/>
      <c r="AE352" s="34"/>
      <c r="AF352" s="159"/>
      <c r="AG352" s="390"/>
      <c r="AH352" s="393"/>
      <c r="AI352" s="396"/>
      <c r="AJ352" s="407">
        <f>AG352+AH352</f>
        <v>0</v>
      </c>
      <c r="AK352" s="359"/>
      <c r="AL352" s="359"/>
      <c r="AM352" s="359"/>
      <c r="AN352" s="287">
        <f>IFERROR(Y352*AJ352/Y358,)</f>
        <v>0</v>
      </c>
      <c r="AO352" s="197" t="str">
        <f>IFERROR(VLOOKUP($G352,нормы!$A$14:$BC$57,53,0)*$W352,"")</f>
        <v/>
      </c>
      <c r="AP352" s="288">
        <f>IFERROR(Y352*AI352/Y358,)</f>
        <v>0</v>
      </c>
      <c r="AQ352" s="197" t="str">
        <f>IFERROR(VLOOKUP($G352,нормы!$A$14:$BC$57,54,0)*$W352,"")</f>
        <v/>
      </c>
      <c r="AR352" s="288">
        <f>IFERROR(AS352/SUM(AS352:AS357)*AL352,0)</f>
        <v>0</v>
      </c>
      <c r="AS352" s="197" t="str">
        <f>IFERROR(VLOOKUP($G352,нормы!$A$14:$BC$57,55,0)*W352,"")</f>
        <v/>
      </c>
      <c r="AT352" s="288">
        <f>IFERROR(AU352/SUM(AU352:AU357)*AM352,0)</f>
        <v>0</v>
      </c>
      <c r="AU352" s="197" t="str">
        <f>IFERROR(VLOOKUP($G352,нормы!$A$14:$BI$57,56,0)*W352,"")</f>
        <v/>
      </c>
      <c r="AV352" s="288">
        <f>IFERROR(AW352/SUM(AW352:AW357)*AK352,0)</f>
        <v>0</v>
      </c>
      <c r="AW352" s="202" t="str">
        <f>IFERROR(VLOOKUP($G352,нормы!$A$14:$BI$57,57,0)*W352,"")</f>
        <v/>
      </c>
      <c r="AX352" s="33"/>
      <c r="AY352" s="203" t="str">
        <f>IFERROR(VLOOKUP($G352,нормы!$A$14:$BI$57,58,0)*W352,"")</f>
        <v/>
      </c>
      <c r="AZ352" s="204"/>
      <c r="BA352" s="200" t="str">
        <f>IFERROR(VLOOKUP($G352,нормы!$A$14:$BI$57,61,0)*$W352,"")</f>
        <v/>
      </c>
      <c r="BB352" s="33"/>
      <c r="BC352" s="203" t="str">
        <f>IFERROR(VLOOKUP($G352,нормы!$A$14:$BI$57,60,0)*W352,"")</f>
        <v/>
      </c>
      <c r="BD352" s="200" t="str">
        <f>IFERROR(VLOOKUP($G352,нормы!$A$14:$BG$57,44,0),"")</f>
        <v/>
      </c>
      <c r="BE352" s="199" t="str">
        <f>IFERROR(W352/VLOOKUP($G352,нормы!$A$14:$BI$57,45,0),"")</f>
        <v/>
      </c>
    </row>
    <row r="353" spans="1:57" s="1" customFormat="1" ht="21.6" customHeight="1" x14ac:dyDescent="0.4">
      <c r="A353" s="37" t="str">
        <f t="shared" ref="A353:A379" si="146">A352</f>
        <v>6Н</v>
      </c>
      <c r="B353" s="12">
        <f t="shared" ref="B353:D357" si="147">B352</f>
        <v>46028</v>
      </c>
      <c r="C353" s="97">
        <f t="shared" si="147"/>
        <v>0</v>
      </c>
      <c r="D353" s="97">
        <f t="shared" si="147"/>
        <v>1</v>
      </c>
      <c r="E353" s="54"/>
      <c r="F353" s="151" t="str">
        <f>IFERROR(VLOOKUP($G353,нормы!$A$14:$BC$57,2,0),"")</f>
        <v/>
      </c>
      <c r="G353" s="93"/>
      <c r="H353" s="54">
        <f t="shared" ref="H353:H357" si="148">IF(C353=1,"Кульков С.А.", IF(C353=2,"Чудаков А.А.",IF(C353=3,"Королев В.Н.",IF(C353=4,"Николашин М.П.",IF(C353=5," Кульков С.А.",IF(C353=6,"А.А. Чудаков",IF(C353=7,"В.Н. Королев",IF(C353=8,"М.П. Николашин",0))))))))</f>
        <v>0</v>
      </c>
      <c r="I353" s="55"/>
      <c r="J353" s="333"/>
      <c r="K353" s="30">
        <f>IFERROR(VLOOKUP($G353,[1]нормы!$A$21:$BC$151,15,0),"")</f>
        <v>0</v>
      </c>
      <c r="L353" s="31">
        <f>IFERROR(VLOOKUP($G353,[1]нормы!$A$21:$BC$151,17,0),"")</f>
        <v>0</v>
      </c>
      <c r="M353" s="306">
        <f>IFERROR(VLOOKUP($G353,[1]нормы!$A$21:$BC$151,27,0),"")</f>
        <v>0</v>
      </c>
      <c r="N353" s="307" t="str">
        <f>IFERROR(Y353/Y358*(1.1*J352*I357),"")</f>
        <v/>
      </c>
      <c r="O353" s="300">
        <f>IFERROR(VLOOKUP($G353,[1]нормы!$A$21:$BC$151,21,0),"")</f>
        <v>0</v>
      </c>
      <c r="P353" s="35">
        <f>IFERROR(VLOOKUP($G353,[1]нормы!$A$21:$BC$151,19,0),"")</f>
        <v>0</v>
      </c>
      <c r="Q353" s="35">
        <f>IFERROR(VLOOKUP($G353,[1]нормы!$A$21:$BC$151,23,0),"")</f>
        <v>0</v>
      </c>
      <c r="R353" s="231">
        <f>IFERROR(VLOOKUP($G353,[1]нормы!$A$21:$BC$151,29,0),"")</f>
        <v>0</v>
      </c>
      <c r="S353" s="35">
        <f>IFERROR(VLOOKUP($G353,[1]нормы!$A$21:$BC$151,31,0),"")</f>
        <v>0</v>
      </c>
      <c r="T353" s="32">
        <f>IFERROR(VLOOKUP($G353,[1]нормы!$A$21:$BC$151,25,0),"")</f>
        <v>0</v>
      </c>
      <c r="U353" s="233" t="str">
        <f>IFERROR(W353/(((100*Y353/Y358)*I357)/100),"")</f>
        <v/>
      </c>
      <c r="V353" s="234" t="str">
        <f>IFERROR(VLOOKUP($G353,нормы!$A$14:$BC$57,38,0),"")</f>
        <v/>
      </c>
      <c r="W353" s="136"/>
      <c r="X353" s="237"/>
      <c r="Y353" s="152" t="str">
        <f>IFERROR(VLOOKUP($G353,нормы!$A$14:$BC$57,42,0)*W353,"")</f>
        <v/>
      </c>
      <c r="Z353" s="163">
        <f>IFERROR(VLOOKUP($G353,нормы!$A$14:$BC$57,14,0)*W353/1000,0)</f>
        <v>0</v>
      </c>
      <c r="AA353" s="142"/>
      <c r="AB353" s="35"/>
      <c r="AC353" s="35"/>
      <c r="AD353" s="35"/>
      <c r="AE353" s="31"/>
      <c r="AF353" s="160"/>
      <c r="AG353" s="391"/>
      <c r="AH353" s="394"/>
      <c r="AI353" s="397"/>
      <c r="AJ353" s="408"/>
      <c r="AK353" s="360"/>
      <c r="AL353" s="360"/>
      <c r="AM353" s="360"/>
      <c r="AN353" s="289">
        <f>IFERROR(Y353*AJ352/Y358,)</f>
        <v>0</v>
      </c>
      <c r="AO353" s="197" t="str">
        <f>IFERROR(VLOOKUP($G353,нормы!$A$14:$BC$57,53,0)*$W353,"")</f>
        <v/>
      </c>
      <c r="AP353" s="290">
        <f>IFERROR(Y353*AI352/Y358,)</f>
        <v>0</v>
      </c>
      <c r="AQ353" s="197" t="str">
        <f>IFERROR(VLOOKUP($G353,нормы!$A$14:$BC$57,54,0)*$W353,"")</f>
        <v/>
      </c>
      <c r="AR353" s="290">
        <f>IFERROR(AS353/SUM(AS352:AS357)*AL352,0)</f>
        <v>0</v>
      </c>
      <c r="AS353" s="197" t="str">
        <f>IFERROR(VLOOKUP($G353,нормы!$A$14:$BC$57,55,0)*W353,"")</f>
        <v/>
      </c>
      <c r="AT353" s="290">
        <f>IFERROR(AU353/SUM(AU352:AU357)*AM352,0)</f>
        <v>0</v>
      </c>
      <c r="AU353" s="197" t="str">
        <f>IFERROR(VLOOKUP($G353,нормы!$A$14:$BI$57,56,0)*W353,"")</f>
        <v/>
      </c>
      <c r="AV353" s="290">
        <f>IFERROR(AW353/SUM(AW352:AW357)*AK352,0)</f>
        <v>0</v>
      </c>
      <c r="AW353" s="202" t="str">
        <f>IFERROR(VLOOKUP($G353,нормы!$A$14:$BI$57,57,0)*W353,"")</f>
        <v/>
      </c>
      <c r="AX353" s="30"/>
      <c r="AY353" s="203" t="str">
        <f>IFERROR(VLOOKUP($G353,нормы!$A$14:$BI$57,58,0)*W353,"")</f>
        <v/>
      </c>
      <c r="AZ353" s="205"/>
      <c r="BA353" s="200" t="str">
        <f>IFERROR(VLOOKUP($G353,нормы!$A$14:$BI$57,61,0)*$W353,"")</f>
        <v/>
      </c>
      <c r="BB353" s="30"/>
      <c r="BC353" s="203" t="str">
        <f>IFERROR(VLOOKUP($G353,нормы!$A$14:$BI$57,60,0)*W353,"")</f>
        <v/>
      </c>
      <c r="BD353" s="200" t="str">
        <f>IFERROR(VLOOKUP($G353,нормы!$A$14:$BG$57,44,0),"")</f>
        <v/>
      </c>
      <c r="BE353" s="199" t="str">
        <f>IFERROR(W353/VLOOKUP($G353,нормы!$A$14:$BI$57,45,0),"")</f>
        <v/>
      </c>
    </row>
    <row r="354" spans="1:57" s="1" customFormat="1" ht="20.25" customHeight="1" x14ac:dyDescent="0.4">
      <c r="A354" s="37" t="str">
        <f t="shared" si="146"/>
        <v>6Н</v>
      </c>
      <c r="B354" s="12">
        <f t="shared" si="147"/>
        <v>46028</v>
      </c>
      <c r="C354" s="97">
        <f t="shared" si="147"/>
        <v>0</v>
      </c>
      <c r="D354" s="97">
        <f t="shared" si="147"/>
        <v>1</v>
      </c>
      <c r="E354" s="54"/>
      <c r="F354" s="151" t="str">
        <f>IFERROR(VLOOKUP($G354,нормы!$A$14:$BC$57,2,0),"")</f>
        <v/>
      </c>
      <c r="G354" s="38"/>
      <c r="H354" s="54">
        <f t="shared" si="148"/>
        <v>0</v>
      </c>
      <c r="I354" s="89" t="s">
        <v>85</v>
      </c>
      <c r="J354" s="333"/>
      <c r="K354" s="30">
        <f>IFERROR(VLOOKUP($G354,[1]нормы!$A$21:$BC$151,15,0),"")</f>
        <v>0</v>
      </c>
      <c r="L354" s="31">
        <f>IFERROR(VLOOKUP($G354,[1]нормы!$A$21:$BC$151,17,0),"")</f>
        <v>0</v>
      </c>
      <c r="M354" s="306">
        <f>IFERROR(VLOOKUP($G354,[1]нормы!$A$21:$BC$151,27,0),"")</f>
        <v>0</v>
      </c>
      <c r="N354" s="307" t="str">
        <f>IFERROR(Y354/Y358*(1.1*J352*I357),"")</f>
        <v/>
      </c>
      <c r="O354" s="300">
        <f>IFERROR(VLOOKUP($G354,[1]нормы!$A$21:$BC$151,21,0),"")</f>
        <v>0</v>
      </c>
      <c r="P354" s="35">
        <f>IFERROR(VLOOKUP($G354,[1]нормы!$A$21:$BC$151,19,0),"")</f>
        <v>0</v>
      </c>
      <c r="Q354" s="35">
        <f>IFERROR(VLOOKUP($G354,[1]нормы!$A$21:$BC$151,23,0),"")</f>
        <v>0</v>
      </c>
      <c r="R354" s="231">
        <f>IFERROR(VLOOKUP($G354,[1]нормы!$A$21:$BC$151,29,0),"")</f>
        <v>0</v>
      </c>
      <c r="S354" s="35">
        <f>IFERROR(VLOOKUP($G354,[1]нормы!$A$21:$BC$151,31,0),"")</f>
        <v>0</v>
      </c>
      <c r="T354" s="32">
        <f>IFERROR(VLOOKUP($G354,[1]нормы!$A$21:$BC$151,25,0),"")</f>
        <v>0</v>
      </c>
      <c r="U354" s="233" t="str">
        <f>IFERROR(W354/(((100*Y354/Y358)*I357)/100),"")</f>
        <v/>
      </c>
      <c r="V354" s="234" t="str">
        <f>IFERROR(VLOOKUP($G354,нормы!$A$14:$BC$57,38,0),"")</f>
        <v/>
      </c>
      <c r="W354" s="136"/>
      <c r="X354" s="237"/>
      <c r="Y354" s="152" t="str">
        <f>IFERROR(VLOOKUP($G354,нормы!$A$14:$BC$57,42,0)*W354,"")</f>
        <v/>
      </c>
      <c r="Z354" s="163">
        <f>IFERROR(VLOOKUP($G354,нормы!$A$14:$BC$57,14,0)*W354/1000,0)</f>
        <v>0</v>
      </c>
      <c r="AA354" s="30"/>
      <c r="AB354" s="35"/>
      <c r="AC354" s="35"/>
      <c r="AD354" s="35"/>
      <c r="AE354" s="31"/>
      <c r="AF354" s="160"/>
      <c r="AG354" s="391"/>
      <c r="AH354" s="394"/>
      <c r="AI354" s="397"/>
      <c r="AJ354" s="408"/>
      <c r="AK354" s="360"/>
      <c r="AL354" s="360"/>
      <c r="AM354" s="360"/>
      <c r="AN354" s="289">
        <f>IFERROR(Y354*AJ352/Y358,)</f>
        <v>0</v>
      </c>
      <c r="AO354" s="197" t="str">
        <f>IFERROR(VLOOKUP($G354,нормы!$A$14:$BC$57,53,0)*$W354,"")</f>
        <v/>
      </c>
      <c r="AP354" s="290">
        <f>IFERROR(Y354*AI352/Y358,)</f>
        <v>0</v>
      </c>
      <c r="AQ354" s="197" t="str">
        <f>IFERROR(VLOOKUP($G354,нормы!$A$14:$BC$57,54,0)*$W354,"")</f>
        <v/>
      </c>
      <c r="AR354" s="290">
        <f>IFERROR(AS354/SUM(AS352:AS357)*AL352,0)</f>
        <v>0</v>
      </c>
      <c r="AS354" s="197" t="str">
        <f>IFERROR(VLOOKUP($G354,нормы!$A$14:$BC$57,55,0)*W354,"")</f>
        <v/>
      </c>
      <c r="AT354" s="290">
        <f>IFERROR(AU354/SUM(AU352:AU357)*AM352,0)</f>
        <v>0</v>
      </c>
      <c r="AU354" s="197" t="str">
        <f>IFERROR(VLOOKUP($G354,нормы!$A$14:$BI$57,56,0)*W354,"")</f>
        <v/>
      </c>
      <c r="AV354" s="290">
        <f>IFERROR(AW354/SUM(AW352:AW357)*AK352,0)</f>
        <v>0</v>
      </c>
      <c r="AW354" s="202" t="str">
        <f>IFERROR(VLOOKUP($G354,нормы!$A$14:$BI$57,57,0)*W354,"")</f>
        <v/>
      </c>
      <c r="AX354" s="30"/>
      <c r="AY354" s="203" t="str">
        <f>IFERROR(VLOOKUP($G354,нормы!$A$14:$BI$57,58,0)*W354,"")</f>
        <v/>
      </c>
      <c r="AZ354" s="205"/>
      <c r="BA354" s="200" t="str">
        <f>IFERROR(VLOOKUP($G354,нормы!$A$14:$BI$57,61,0)*$W354,"")</f>
        <v/>
      </c>
      <c r="BB354" s="30"/>
      <c r="BC354" s="203" t="str">
        <f>IFERROR(VLOOKUP($G354,нормы!$A$14:$BI$57,60,0)*W354,"")</f>
        <v/>
      </c>
      <c r="BD354" s="200" t="str">
        <f>IFERROR(VLOOKUP($G354,нормы!$A$14:$BG$57,44,0),"")</f>
        <v/>
      </c>
      <c r="BE354" s="199" t="str">
        <f>IFERROR(W354/VLOOKUP($G354,нормы!$A$14:$BI$57,45,0),"")</f>
        <v/>
      </c>
    </row>
    <row r="355" spans="1:57" s="1" customFormat="1" ht="20.25" customHeight="1" x14ac:dyDescent="0.4">
      <c r="A355" s="37" t="str">
        <f t="shared" si="146"/>
        <v>6Н</v>
      </c>
      <c r="B355" s="12">
        <f t="shared" si="147"/>
        <v>46028</v>
      </c>
      <c r="C355" s="97">
        <f t="shared" si="147"/>
        <v>0</v>
      </c>
      <c r="D355" s="97">
        <f t="shared" si="147"/>
        <v>1</v>
      </c>
      <c r="E355" s="54"/>
      <c r="F355" s="151" t="str">
        <f>IFERROR(VLOOKUP($G355,нормы!$A$14:$BC$57,2,0),"")</f>
        <v/>
      </c>
      <c r="G355" s="93"/>
      <c r="H355" s="54">
        <f t="shared" si="148"/>
        <v>0</v>
      </c>
      <c r="I355" s="55"/>
      <c r="J355" s="333"/>
      <c r="K355" s="30">
        <f>IFERROR(VLOOKUP($G355,[1]нормы!$A$21:$BC$151,15,0),"")</f>
        <v>0</v>
      </c>
      <c r="L355" s="31">
        <f>IFERROR(VLOOKUP($G355,[1]нормы!$A$21:$BC$151,17,0),"")</f>
        <v>0</v>
      </c>
      <c r="M355" s="306">
        <f>IFERROR(VLOOKUP($G355,[1]нормы!$A$21:$BC$151,27,0),"")</f>
        <v>0</v>
      </c>
      <c r="N355" s="307" t="str">
        <f>IFERROR(Y355/Y358*(1.1*J352*I360),"")</f>
        <v/>
      </c>
      <c r="O355" s="300">
        <f>IFERROR(VLOOKUP($G355,[1]нормы!$A$21:$BC$151,21,0),"")</f>
        <v>0</v>
      </c>
      <c r="P355" s="35">
        <f>IFERROR(VLOOKUP($G355,[1]нормы!$A$21:$BC$151,19,0),"")</f>
        <v>0</v>
      </c>
      <c r="Q355" s="35">
        <f>IFERROR(VLOOKUP($G355,[1]нормы!$A$21:$BC$151,23,0),"")</f>
        <v>0</v>
      </c>
      <c r="R355" s="231">
        <f>IFERROR(VLOOKUP($G355,[1]нормы!$A$21:$BC$151,29,0),"")</f>
        <v>0</v>
      </c>
      <c r="S355" s="35">
        <f>IFERROR(VLOOKUP($G355,[1]нормы!$A$21:$BC$151,31,0),"")</f>
        <v>0</v>
      </c>
      <c r="T355" s="32">
        <f>IFERROR(VLOOKUP($G355,[1]нормы!$A$21:$BC$151,25,0),"")</f>
        <v>0</v>
      </c>
      <c r="U355" s="233" t="str">
        <f>IFERROR(W355/(((100*Y355/Y358)*I357)/100),"")</f>
        <v/>
      </c>
      <c r="V355" s="234" t="str">
        <f>IFERROR(VLOOKUP($G355,нормы!$A$14:$BC$57,38,0),"")</f>
        <v/>
      </c>
      <c r="W355" s="136"/>
      <c r="X355" s="237"/>
      <c r="Y355" s="152" t="str">
        <f>IFERROR(VLOOKUP($G355,нормы!$A$14:$BC$57,42,0)*W355,"")</f>
        <v/>
      </c>
      <c r="Z355" s="163">
        <f>IFERROR(VLOOKUP($G355,нормы!$A$14:$BC$57,14,0)*W355/1000,0)</f>
        <v>0</v>
      </c>
      <c r="AA355" s="30"/>
      <c r="AB355" s="35"/>
      <c r="AC355" s="35"/>
      <c r="AD355" s="35"/>
      <c r="AE355" s="31"/>
      <c r="AF355" s="160"/>
      <c r="AG355" s="391"/>
      <c r="AH355" s="394"/>
      <c r="AI355" s="397"/>
      <c r="AJ355" s="408"/>
      <c r="AK355" s="360"/>
      <c r="AL355" s="360"/>
      <c r="AM355" s="360"/>
      <c r="AN355" s="289">
        <f>IFERROR(Y355*AJ352/Y358,)</f>
        <v>0</v>
      </c>
      <c r="AO355" s="197" t="str">
        <f>IFERROR(VLOOKUP($G355,нормы!$A$14:$BC$57,53,0)*$W355,"")</f>
        <v/>
      </c>
      <c r="AP355" s="290">
        <f>IFERROR(Y355*AI352/Y358,)</f>
        <v>0</v>
      </c>
      <c r="AQ355" s="197" t="str">
        <f>IFERROR(VLOOKUP($G355,нормы!$A$14:$BC$57,54,0)*$W355,"")</f>
        <v/>
      </c>
      <c r="AR355" s="290">
        <f>IFERROR(AS355/SUM(AS352:AS357)*AL352,0)</f>
        <v>0</v>
      </c>
      <c r="AS355" s="197" t="str">
        <f>IFERROR(VLOOKUP($G355,нормы!$A$14:$BC$57,55,0)*W355,"")</f>
        <v/>
      </c>
      <c r="AT355" s="290">
        <f>IFERROR(AU355/SUM(AU352:AU357)*AM352,0)</f>
        <v>0</v>
      </c>
      <c r="AU355" s="197" t="str">
        <f>IFERROR(VLOOKUP($G355,нормы!$A$14:$BI$57,56,0)*W355,"")</f>
        <v/>
      </c>
      <c r="AV355" s="290">
        <f>IFERROR(AW355/SUM(AW352:AW357)*AK352,0)</f>
        <v>0</v>
      </c>
      <c r="AW355" s="202" t="str">
        <f>IFERROR(VLOOKUP($G355,нормы!$A$14:$BI$57,57,0)*W355,"")</f>
        <v/>
      </c>
      <c r="AX355" s="30"/>
      <c r="AY355" s="203" t="str">
        <f>IFERROR(VLOOKUP($G355,нормы!$A$14:$BI$57,58,0)*W355,"")</f>
        <v/>
      </c>
      <c r="AZ355" s="205"/>
      <c r="BA355" s="200" t="str">
        <f>IFERROR(VLOOKUP($G355,нормы!$A$14:$BI$57,61,0)*$W355,"")</f>
        <v/>
      </c>
      <c r="BB355" s="30"/>
      <c r="BC355" s="203" t="str">
        <f>IFERROR(VLOOKUP($G355,нормы!$A$14:$BI$57,60,0)*W355,"")</f>
        <v/>
      </c>
      <c r="BD355" s="200" t="str">
        <f>IFERROR(VLOOKUP($G355,нормы!$A$14:$BG$57,44,0),"")</f>
        <v/>
      </c>
      <c r="BE355" s="199" t="str">
        <f>IFERROR(W355/VLOOKUP($G355,нормы!$A$14:$BI$57,45,0),"")</f>
        <v/>
      </c>
    </row>
    <row r="356" spans="1:57" s="1" customFormat="1" ht="20.25" customHeight="1" x14ac:dyDescent="0.4">
      <c r="A356" s="37" t="str">
        <f t="shared" si="146"/>
        <v>6Н</v>
      </c>
      <c r="B356" s="12">
        <f t="shared" si="147"/>
        <v>46028</v>
      </c>
      <c r="C356" s="97">
        <f t="shared" si="147"/>
        <v>0</v>
      </c>
      <c r="D356" s="97">
        <f t="shared" si="147"/>
        <v>1</v>
      </c>
      <c r="E356" s="54"/>
      <c r="F356" s="151" t="str">
        <f>IFERROR(VLOOKUP($G356,нормы!$A$14:$BC$57,2,0),"")</f>
        <v/>
      </c>
      <c r="G356" s="38"/>
      <c r="H356" s="54">
        <f t="shared" si="148"/>
        <v>0</v>
      </c>
      <c r="I356" s="89" t="s">
        <v>73</v>
      </c>
      <c r="J356" s="333"/>
      <c r="K356" s="30">
        <f>IFERROR(VLOOKUP($G356,[1]нормы!$A$21:$BC$151,15,0),"")</f>
        <v>0</v>
      </c>
      <c r="L356" s="31">
        <f>IFERROR(VLOOKUP($G356,[1]нормы!$A$21:$BC$151,17,0),"")</f>
        <v>0</v>
      </c>
      <c r="M356" s="306">
        <f>IFERROR(VLOOKUP($G356,[1]нормы!$A$21:$BC$151,27,0),"")</f>
        <v>0</v>
      </c>
      <c r="N356" s="307" t="str">
        <f>IFERROR(Y356/Y358*(1.1*J352*I361),"")</f>
        <v/>
      </c>
      <c r="O356" s="300">
        <f>IFERROR(VLOOKUP($G356,[1]нормы!$A$21:$BC$151,21,0),"")</f>
        <v>0</v>
      </c>
      <c r="P356" s="35">
        <f>IFERROR(VLOOKUP($G356,[1]нормы!$A$21:$BC$151,19,0),"")</f>
        <v>0</v>
      </c>
      <c r="Q356" s="35">
        <f>IFERROR(VLOOKUP($G356,[1]нормы!$A$21:$BC$151,23,0),"")</f>
        <v>0</v>
      </c>
      <c r="R356" s="231">
        <f>IFERROR(VLOOKUP($G356,[1]нормы!$A$21:$BC$151,29,0),"")</f>
        <v>0</v>
      </c>
      <c r="S356" s="35">
        <f>IFERROR(VLOOKUP($G356,[1]нормы!$A$21:$BC$151,31,0),"")</f>
        <v>0</v>
      </c>
      <c r="T356" s="32">
        <f>IFERROR(VLOOKUP($G356,[1]нормы!$A$21:$BC$151,25,0),"")</f>
        <v>0</v>
      </c>
      <c r="U356" s="233" t="str">
        <f>IFERROR(W356/(((100*Y356/Y358)*I357)/100),"")</f>
        <v/>
      </c>
      <c r="V356" s="234" t="str">
        <f>IFERROR(VLOOKUP($G356,нормы!$A$14:$BC$57,38,0),"")</f>
        <v/>
      </c>
      <c r="W356" s="136"/>
      <c r="X356" s="237"/>
      <c r="Y356" s="152" t="str">
        <f>IFERROR(VLOOKUP($G356,нормы!$A$14:$BC$57,42,0)*W356,"")</f>
        <v/>
      </c>
      <c r="Z356" s="163">
        <f>IFERROR(VLOOKUP($G356,нормы!$A$14:$BC$57,14,0)*W356/1000,0)</f>
        <v>0</v>
      </c>
      <c r="AA356" s="30"/>
      <c r="AB356" s="35"/>
      <c r="AC356" s="35"/>
      <c r="AD356" s="35"/>
      <c r="AE356" s="31"/>
      <c r="AF356" s="160"/>
      <c r="AG356" s="391"/>
      <c r="AH356" s="394"/>
      <c r="AI356" s="397"/>
      <c r="AJ356" s="408"/>
      <c r="AK356" s="360"/>
      <c r="AL356" s="360"/>
      <c r="AM356" s="360"/>
      <c r="AN356" s="289">
        <f>IFERROR(Y356*AJ352/Y358,)</f>
        <v>0</v>
      </c>
      <c r="AO356" s="197" t="str">
        <f>IFERROR(VLOOKUP($G356,нормы!$A$14:$BC$57,53,0)*$W356,"")</f>
        <v/>
      </c>
      <c r="AP356" s="290">
        <f>IFERROR(Y356*AI352/Y358,)</f>
        <v>0</v>
      </c>
      <c r="AQ356" s="197" t="str">
        <f>IFERROR(VLOOKUP($G356,нормы!$A$14:$BC$57,54,0)*$W356,"")</f>
        <v/>
      </c>
      <c r="AR356" s="290">
        <f>IFERROR(AS356/SUM(AS352:AS357)*AL352,0)</f>
        <v>0</v>
      </c>
      <c r="AS356" s="197" t="str">
        <f>IFERROR(VLOOKUP($G356,нормы!$A$14:$BC$57,55,0)*W356,"")</f>
        <v/>
      </c>
      <c r="AT356" s="290">
        <f>IFERROR(AU356/SUM(AU352:AU357)*AM352,0)</f>
        <v>0</v>
      </c>
      <c r="AU356" s="197" t="str">
        <f>IFERROR(VLOOKUP($G356,нормы!$A$14:$BI$57,56,0)*W356,"")</f>
        <v/>
      </c>
      <c r="AV356" s="290">
        <f>IFERROR(AW356/SUM(AW352:AW357)*AK352,0)</f>
        <v>0</v>
      </c>
      <c r="AW356" s="202" t="str">
        <f>IFERROR(VLOOKUP($G356,нормы!$A$14:$BI$57,57,0)*W356,"")</f>
        <v/>
      </c>
      <c r="AX356" s="30"/>
      <c r="AY356" s="203" t="str">
        <f>IFERROR(VLOOKUP($G356,нормы!$A$14:$BI$57,58,0)*W356,"")</f>
        <v/>
      </c>
      <c r="AZ356" s="205"/>
      <c r="BA356" s="200" t="str">
        <f>IFERROR(VLOOKUP($G356,нормы!$A$14:$BI$57,61,0)*$W356,"")</f>
        <v/>
      </c>
      <c r="BB356" s="30"/>
      <c r="BC356" s="203" t="str">
        <f>IFERROR(VLOOKUP($G356,нормы!$A$14:$BI$57,60,0)*W356,"")</f>
        <v/>
      </c>
      <c r="BD356" s="200" t="str">
        <f>IFERROR(VLOOKUP($G356,нормы!$A$14:$BG$57,44,0),"")</f>
        <v/>
      </c>
      <c r="BE356" s="199" t="str">
        <f>IFERROR(W356/VLOOKUP($G356,нормы!$A$14:$BI$57,45,0),"")</f>
        <v/>
      </c>
    </row>
    <row r="357" spans="1:57" s="1" customFormat="1" ht="21" customHeight="1" thickBot="1" x14ac:dyDescent="0.45">
      <c r="A357" s="37" t="str">
        <f t="shared" si="146"/>
        <v>6Н</v>
      </c>
      <c r="B357" s="12">
        <f t="shared" si="147"/>
        <v>46028</v>
      </c>
      <c r="C357" s="97">
        <f t="shared" si="147"/>
        <v>0</v>
      </c>
      <c r="D357" s="97">
        <f t="shared" si="147"/>
        <v>1</v>
      </c>
      <c r="E357" s="54"/>
      <c r="F357" s="151" t="str">
        <f>IFERROR(VLOOKUP($G357,нормы!$A$14:$BC$57,2,0),"")</f>
        <v/>
      </c>
      <c r="G357" s="93"/>
      <c r="H357" s="63">
        <f t="shared" si="148"/>
        <v>0</v>
      </c>
      <c r="I357" s="153">
        <f>I353+I355</f>
        <v>0</v>
      </c>
      <c r="J357" s="334"/>
      <c r="K357" s="30">
        <f>IFERROR(VLOOKUP($G357,[1]нормы!$A$21:$BC$151,15,0),"")</f>
        <v>0</v>
      </c>
      <c r="L357" s="31">
        <f>IFERROR(VLOOKUP($G357,[1]нормы!$A$21:$BC$151,17,0),"")</f>
        <v>0</v>
      </c>
      <c r="M357" s="308">
        <f>IFERROR(VLOOKUP($G357,[1]нормы!$A$21:$BC$151,27,0),"")</f>
        <v>0</v>
      </c>
      <c r="N357" s="309" t="str">
        <f>IFERROR(Y357/Y358*(1.1*J352*I362),"")</f>
        <v/>
      </c>
      <c r="O357" s="300">
        <f>IFERROR(VLOOKUP($G357,[1]нормы!$A$21:$BC$151,21,0),"")</f>
        <v>0</v>
      </c>
      <c r="P357" s="35">
        <f>IFERROR(VLOOKUP($G357,[1]нормы!$A$21:$BC$151,19,0),"")</f>
        <v>0</v>
      </c>
      <c r="Q357" s="35">
        <f>IFERROR(VLOOKUP($G357,[1]нормы!$A$21:$BC$151,23,0),"")</f>
        <v>0</v>
      </c>
      <c r="R357" s="231">
        <f>IFERROR(VLOOKUP($G357,[1]нормы!$A$21:$BC$151,29,0),"")</f>
        <v>0</v>
      </c>
      <c r="S357" s="35">
        <f>IFERROR(VLOOKUP($G357,[1]нормы!$A$21:$BC$151,31,0),"")</f>
        <v>0</v>
      </c>
      <c r="T357" s="32">
        <f>IFERROR(VLOOKUP($G357,[1]нормы!$A$21:$BC$151,25,0),"")</f>
        <v>0</v>
      </c>
      <c r="U357" s="235" t="str">
        <f>IFERROR(W357/(((100*Y357/Y358)*I357)/100),"")</f>
        <v/>
      </c>
      <c r="V357" s="234" t="str">
        <f>IFERROR(VLOOKUP($G357,нормы!$A$14:$BC$57,38,0),"")</f>
        <v/>
      </c>
      <c r="W357" s="154"/>
      <c r="X357" s="238"/>
      <c r="Y357" s="152" t="str">
        <f>IFERROR(VLOOKUP($G357,нормы!$A$14:$BC$57,42,0)*W357,"")</f>
        <v/>
      </c>
      <c r="Z357" s="163">
        <f>IFERROR(VLOOKUP($G357,нормы!$A$14:$BC$57,14,0)*W357/1000,0)</f>
        <v>0</v>
      </c>
      <c r="AA357" s="56"/>
      <c r="AB357" s="58"/>
      <c r="AC357" s="58"/>
      <c r="AD357" s="58"/>
      <c r="AE357" s="57"/>
      <c r="AF357" s="161"/>
      <c r="AG357" s="392"/>
      <c r="AH357" s="395"/>
      <c r="AI357" s="398"/>
      <c r="AJ357" s="409"/>
      <c r="AK357" s="361"/>
      <c r="AL357" s="361"/>
      <c r="AM357" s="361"/>
      <c r="AN357" s="291">
        <f>IFERROR(Y357*AJ352/Y358,)</f>
        <v>0</v>
      </c>
      <c r="AO357" s="197" t="str">
        <f>IFERROR(VLOOKUP($G357,нормы!$A$14:$BC$57,53,0)*$W357,"")</f>
        <v/>
      </c>
      <c r="AP357" s="292">
        <f>IFERROR(Y357*AI352/Y358,)</f>
        <v>0</v>
      </c>
      <c r="AQ357" s="197" t="str">
        <f>IFERROR(VLOOKUP($G357,нормы!$A$14:$BC$57,54,0)*$W357,"")</f>
        <v/>
      </c>
      <c r="AR357" s="290">
        <f>IFERROR(AS357/SUM(AS352:AS357)*AL352,0)</f>
        <v>0</v>
      </c>
      <c r="AS357" s="197" t="str">
        <f>IFERROR(VLOOKUP($G357,нормы!$A$14:$BC$57,55,0)*W357,"")</f>
        <v/>
      </c>
      <c r="AT357" s="292">
        <f>IFERROR(AU357/SUM(AU352:AU357)*AM352,0)</f>
        <v>0</v>
      </c>
      <c r="AU357" s="197" t="str">
        <f>IFERROR(VLOOKUP($G357,нормы!$A$14:$BI$57,56,0)*W357,"")</f>
        <v/>
      </c>
      <c r="AV357" s="292">
        <f>IFERROR(AW357/SUM(AW352:AW357)*AK352,0)</f>
        <v>0</v>
      </c>
      <c r="AW357" s="202" t="str">
        <f>IFERROR(VLOOKUP($G357,нормы!$A$14:$BI$57,57,0)*W357,"")</f>
        <v/>
      </c>
      <c r="AX357" s="56"/>
      <c r="AY357" s="203" t="str">
        <f>IFERROR(VLOOKUP($G357,нормы!$A$14:$BI$57,58,0)*W357,"")</f>
        <v/>
      </c>
      <c r="AZ357" s="206"/>
      <c r="BA357" s="200" t="str">
        <f>IFERROR(VLOOKUP($G357,нормы!$A$14:$BI$57,61,0)*$W357,"")</f>
        <v/>
      </c>
      <c r="BB357" s="56"/>
      <c r="BC357" s="203" t="str">
        <f>IFERROR(VLOOKUP($G357,нормы!$A$14:$BI$57,60,0)*W357,"")</f>
        <v/>
      </c>
      <c r="BD357" s="200" t="str">
        <f>IFERROR(VLOOKUP($G357,нормы!$A$14:$BG$57,44,0),"")</f>
        <v/>
      </c>
      <c r="BE357" s="199" t="str">
        <f>IFERROR(W357/VLOOKUP($G357,нормы!$A$14:$BI$57,45,0),"")</f>
        <v/>
      </c>
    </row>
    <row r="358" spans="1:57" s="1" customFormat="1" ht="29.4" customHeight="1" thickBot="1" x14ac:dyDescent="0.45">
      <c r="A358" s="37" t="str">
        <f t="shared" si="146"/>
        <v>6Н</v>
      </c>
      <c r="B358" s="59"/>
      <c r="C358" s="51"/>
      <c r="D358" s="51"/>
      <c r="E358" s="51"/>
      <c r="F358" s="295" t="s">
        <v>149</v>
      </c>
      <c r="G358" s="51"/>
      <c r="H358" s="51"/>
      <c r="I358" s="60"/>
      <c r="J358" s="60"/>
      <c r="K358" s="319" t="s">
        <v>213</v>
      </c>
      <c r="L358" s="316"/>
      <c r="M358" s="303" t="s">
        <v>213</v>
      </c>
      <c r="N358" s="317">
        <f>SUM(N352:N357)</f>
        <v>0</v>
      </c>
      <c r="O358" s="304" t="s">
        <v>216</v>
      </c>
      <c r="P358" s="318">
        <f>N358*8.937/1000</f>
        <v>0</v>
      </c>
      <c r="Q358" s="305" t="s">
        <v>215</v>
      </c>
      <c r="R358" s="61"/>
      <c r="S358" s="61"/>
      <c r="T358" s="61"/>
      <c r="U358" s="109"/>
      <c r="V358" s="109"/>
      <c r="W358" s="94"/>
      <c r="X358" s="155"/>
      <c r="Y358" s="96">
        <f>SUM(Y352:Y357)</f>
        <v>0</v>
      </c>
      <c r="Z358" s="164">
        <f>SUM(Z352:Z357)</f>
        <v>0</v>
      </c>
      <c r="AA358" s="62"/>
      <c r="AB358" s="62"/>
      <c r="AC358" s="62"/>
      <c r="AD358" s="62"/>
      <c r="AE358" s="62"/>
      <c r="AF358" s="62"/>
      <c r="AG358" s="162" t="s">
        <v>140</v>
      </c>
      <c r="AH358" s="162" t="s">
        <v>141</v>
      </c>
      <c r="AI358" s="162" t="s">
        <v>142</v>
      </c>
      <c r="AJ358" s="91" t="s">
        <v>126</v>
      </c>
      <c r="AK358" s="198" t="s">
        <v>136</v>
      </c>
      <c r="AL358" s="198" t="s">
        <v>137</v>
      </c>
      <c r="AM358" s="198" t="s">
        <v>138</v>
      </c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53" t="str">
        <f>IFERROR(W358/VLOOKUP($G358,нормы!$A$14:$BI$15,28,0),"")</f>
        <v/>
      </c>
    </row>
    <row r="359" spans="1:57" s="1" customFormat="1" ht="21.6" customHeight="1" x14ac:dyDescent="0.4">
      <c r="A359" s="37" t="str">
        <f t="shared" si="146"/>
        <v>6Н</v>
      </c>
      <c r="B359" s="12">
        <f>B357</f>
        <v>46028</v>
      </c>
      <c r="C359" s="97"/>
      <c r="D359" s="97">
        <v>2</v>
      </c>
      <c r="E359" s="29"/>
      <c r="F359" s="151" t="str">
        <f>IFERROR(VLOOKUP($G359,нормы!$A$14:$BC$57,2,0),"")</f>
        <v/>
      </c>
      <c r="G359" s="93"/>
      <c r="H359" s="54">
        <f>IF(C359=1,"Кульков С.А.", IF(C359=2,"Чудаков А.А.",IF(C359=3,"Королев В.Н.",IF(C359=4,"Николашин М.П.",IF(C359=5," Кульков С.А.",IF(C359=6,"А.А. Чудаков",IF(C359=7,"В.Н. Королев",IF(C359=8,"М.П. Николашин",0))))))))</f>
        <v>0</v>
      </c>
      <c r="I359" s="88" t="s">
        <v>211</v>
      </c>
      <c r="J359" s="332"/>
      <c r="K359" s="30">
        <f>IFERROR(VLOOKUP($G359,[1]нормы!$A$21:$BC$151,15,0),"")</f>
        <v>0</v>
      </c>
      <c r="L359" s="31">
        <f>IFERROR(VLOOKUP($G359,[1]нормы!$A$21:$BC$151,17,0),"")</f>
        <v>0</v>
      </c>
      <c r="M359" s="310">
        <f>IFERROR(VLOOKUP($G359,[1]нормы!$A$21:$BC$151,27,0),"")</f>
        <v>0</v>
      </c>
      <c r="N359" s="311" t="str">
        <f>IFERROR(Y359/Y365*(1.1*J359*I364),"")</f>
        <v/>
      </c>
      <c r="O359" s="300">
        <f>IFERROR(VLOOKUP($G359,[1]нормы!$A$21:$BC$151,21,0),"")</f>
        <v>0</v>
      </c>
      <c r="P359" s="35">
        <f>IFERROR(VLOOKUP($G359,[1]нормы!$A$21:$BC$151,19,0),"")</f>
        <v>0</v>
      </c>
      <c r="Q359" s="35">
        <f>IFERROR(VLOOKUP($G359,[1]нормы!$A$21:$BC$151,23,0),"")</f>
        <v>0</v>
      </c>
      <c r="R359" s="231">
        <f>IFERROR(VLOOKUP($G359,[1]нормы!$A$21:$BC$151,29,0),"")</f>
        <v>0</v>
      </c>
      <c r="S359" s="35">
        <f>IFERROR(VLOOKUP($G359,[1]нормы!$A$21:$BC$151,31,0),"")</f>
        <v>0</v>
      </c>
      <c r="T359" s="32">
        <f>IFERROR(VLOOKUP($G359,[1]нормы!$A$21:$BC$151,25,0),"")</f>
        <v>0</v>
      </c>
      <c r="U359" s="232" t="str">
        <f>IFERROR(W359/(((100*Y359/Y365)*I364)/100),"")</f>
        <v/>
      </c>
      <c r="V359" s="234" t="str">
        <f>IFERROR(VLOOKUP($G359,нормы!$A$14:$BC$57,38,0),"")</f>
        <v/>
      </c>
      <c r="W359" s="136"/>
      <c r="X359" s="236"/>
      <c r="Y359" s="152" t="str">
        <f>IFERROR(VLOOKUP($G359,нормы!$A$14:$BC$57,42,0)*W359,"")</f>
        <v/>
      </c>
      <c r="Z359" s="163">
        <f>IFERROR(VLOOKUP($G359,нормы!$A$14:$BC$57,14,0)*W359/1000,0)</f>
        <v>0</v>
      </c>
      <c r="AA359" s="33"/>
      <c r="AB359" s="36"/>
      <c r="AC359" s="36"/>
      <c r="AD359" s="36"/>
      <c r="AE359" s="34"/>
      <c r="AF359" s="159"/>
      <c r="AG359" s="390"/>
      <c r="AH359" s="393"/>
      <c r="AI359" s="396"/>
      <c r="AJ359" s="407">
        <f>AG359+AH359</f>
        <v>0</v>
      </c>
      <c r="AK359" s="359"/>
      <c r="AL359" s="359"/>
      <c r="AM359" s="359"/>
      <c r="AN359" s="287">
        <f>IFERROR(Y359*AJ359/Y365,)</f>
        <v>0</v>
      </c>
      <c r="AO359" s="197" t="str">
        <f>IFERROR(VLOOKUP($G359,нормы!$A$14:$BC$57,53,0)*$W359,"")</f>
        <v/>
      </c>
      <c r="AP359" s="288">
        <f>IFERROR(Y359*AI359/Y365,)</f>
        <v>0</v>
      </c>
      <c r="AQ359" s="197" t="str">
        <f>IFERROR(VLOOKUP($G359,нормы!$A$14:$BC$57,54,0)*$W359,"")</f>
        <v/>
      </c>
      <c r="AR359" s="288">
        <f>IFERROR(AS359/SUM(AS359:AS364)*AL359,0)</f>
        <v>0</v>
      </c>
      <c r="AS359" s="197" t="str">
        <f>IFERROR(VLOOKUP($G359,нормы!$A$14:$BC$57,55,0)*W359,"")</f>
        <v/>
      </c>
      <c r="AT359" s="288">
        <f>IFERROR(AU359/SUM(AU359:AU364)*AM359,0)</f>
        <v>0</v>
      </c>
      <c r="AU359" s="197" t="str">
        <f>IFERROR(VLOOKUP($G359,нормы!$A$14:$BI$57,56,0)*W359,"")</f>
        <v/>
      </c>
      <c r="AV359" s="288">
        <f>IFERROR(AW359/SUM(AW359:AW364)*AK359,0)</f>
        <v>0</v>
      </c>
      <c r="AW359" s="202" t="str">
        <f>IFERROR(VLOOKUP($G359,нормы!$A$14:$BI$57,57,0)*W359,"")</f>
        <v/>
      </c>
      <c r="AX359" s="33"/>
      <c r="AY359" s="203" t="str">
        <f>IFERROR(VLOOKUP($G359,нормы!$A$14:$BI$57,58,0)*W359,"")</f>
        <v/>
      </c>
      <c r="AZ359" s="204"/>
      <c r="BA359" s="200" t="str">
        <f>IFERROR(VLOOKUP($G359,нормы!$A$14:$BI$57,61,0)*$W359,"")</f>
        <v/>
      </c>
      <c r="BB359" s="33"/>
      <c r="BC359" s="203" t="str">
        <f>IFERROR(VLOOKUP($G359,нормы!$A$14:$BI$57,60,0)*W359,"")</f>
        <v/>
      </c>
      <c r="BD359" s="200" t="str">
        <f>IFERROR(VLOOKUP($G359,нормы!$A$14:$BG$57,44,0),"")</f>
        <v/>
      </c>
      <c r="BE359" s="199" t="str">
        <f>IFERROR(W359/VLOOKUP($G359,нормы!$A$14:$BI$57,45,0),"")</f>
        <v/>
      </c>
    </row>
    <row r="360" spans="1:57" s="1" customFormat="1" ht="21.6" customHeight="1" x14ac:dyDescent="0.4">
      <c r="A360" s="37" t="str">
        <f t="shared" si="146"/>
        <v>6Н</v>
      </c>
      <c r="B360" s="12">
        <f t="shared" ref="B360:D364" si="149">B359</f>
        <v>46028</v>
      </c>
      <c r="C360" s="97">
        <f t="shared" si="149"/>
        <v>0</v>
      </c>
      <c r="D360" s="97">
        <f t="shared" si="149"/>
        <v>2</v>
      </c>
      <c r="E360" s="54"/>
      <c r="F360" s="151" t="str">
        <f>IFERROR(VLOOKUP($G360,нормы!$A$14:$BC$57,2,0),"")</f>
        <v/>
      </c>
      <c r="G360" s="93"/>
      <c r="H360" s="54">
        <f t="shared" ref="H360:H364" si="150">IF(C360=1,"Кульков С.А.", IF(C360=2,"Чудаков А.А.",IF(C360=3,"Королев В.Н.",IF(C360=4,"Николашин М.П.",IF(C360=5," Кульков С.А.",IF(C360=6,"А.А. Чудаков",IF(C360=7,"В.Н. Королев",IF(C360=8,"М.П. Николашин",0))))))))</f>
        <v>0</v>
      </c>
      <c r="I360" s="55"/>
      <c r="J360" s="333"/>
      <c r="K360" s="30">
        <f>IFERROR(VLOOKUP($G360,[1]нормы!$A$21:$BC$151,15,0),"")</f>
        <v>0</v>
      </c>
      <c r="L360" s="31">
        <f>IFERROR(VLOOKUP($G360,[1]нормы!$A$21:$BC$151,17,0),"")</f>
        <v>0</v>
      </c>
      <c r="M360" s="306">
        <f>IFERROR(VLOOKUP($G360,[1]нормы!$A$21:$BC$151,27,0),"")</f>
        <v>0</v>
      </c>
      <c r="N360" s="307" t="str">
        <f>IFERROR(Y360/Y365*(1.1*J359*I364),"")</f>
        <v/>
      </c>
      <c r="O360" s="300">
        <f>IFERROR(VLOOKUP($G360,[1]нормы!$A$21:$BC$151,21,0),"")</f>
        <v>0</v>
      </c>
      <c r="P360" s="35">
        <f>IFERROR(VLOOKUP($G360,[1]нормы!$A$21:$BC$151,19,0),"")</f>
        <v>0</v>
      </c>
      <c r="Q360" s="35">
        <f>IFERROR(VLOOKUP($G360,[1]нормы!$A$21:$BC$151,23,0),"")</f>
        <v>0</v>
      </c>
      <c r="R360" s="231">
        <f>IFERROR(VLOOKUP($G360,[1]нормы!$A$21:$BC$151,29,0),"")</f>
        <v>0</v>
      </c>
      <c r="S360" s="35">
        <f>IFERROR(VLOOKUP($G360,[1]нормы!$A$21:$BC$151,31,0),"")</f>
        <v>0</v>
      </c>
      <c r="T360" s="32">
        <f>IFERROR(VLOOKUP($G360,[1]нормы!$A$21:$BC$151,25,0),"")</f>
        <v>0</v>
      </c>
      <c r="U360" s="233" t="str">
        <f>IFERROR(W360/(((100*Y360/Y365)*I364)/100),"")</f>
        <v/>
      </c>
      <c r="V360" s="234" t="str">
        <f>IFERROR(VLOOKUP($G360,нормы!$A$14:$BC$57,38,0),"")</f>
        <v/>
      </c>
      <c r="W360" s="136"/>
      <c r="X360" s="237"/>
      <c r="Y360" s="152" t="str">
        <f>IFERROR(VLOOKUP($G360,нормы!$A$14:$BC$57,42,0)*W360,"")</f>
        <v/>
      </c>
      <c r="Z360" s="163">
        <f>IFERROR(VLOOKUP($G360,нормы!$A$14:$BC$57,14,0)*W360/1000,0)</f>
        <v>0</v>
      </c>
      <c r="AA360" s="142"/>
      <c r="AB360" s="35"/>
      <c r="AC360" s="35"/>
      <c r="AD360" s="35"/>
      <c r="AE360" s="31"/>
      <c r="AF360" s="160"/>
      <c r="AG360" s="391"/>
      <c r="AH360" s="394"/>
      <c r="AI360" s="397"/>
      <c r="AJ360" s="408"/>
      <c r="AK360" s="360"/>
      <c r="AL360" s="360"/>
      <c r="AM360" s="360"/>
      <c r="AN360" s="289">
        <f>IFERROR(Y360*AJ359/Y365,)</f>
        <v>0</v>
      </c>
      <c r="AO360" s="197" t="str">
        <f>IFERROR(VLOOKUP($G360,нормы!$A$14:$BC$57,53,0)*$W360,"")</f>
        <v/>
      </c>
      <c r="AP360" s="290">
        <f>IFERROR(Y360*AI359/Y365,)</f>
        <v>0</v>
      </c>
      <c r="AQ360" s="197" t="str">
        <f>IFERROR(VLOOKUP($G360,нормы!$A$14:$BC$57,54,0)*$W360,"")</f>
        <v/>
      </c>
      <c r="AR360" s="290">
        <f>IFERROR(AS360/SUM(AS359:AS364)*AL359,0)</f>
        <v>0</v>
      </c>
      <c r="AS360" s="197" t="str">
        <f>IFERROR(VLOOKUP($G360,нормы!$A$14:$BC$57,55,0)*W360,"")</f>
        <v/>
      </c>
      <c r="AT360" s="290">
        <f>IFERROR(AU360/SUM(AU359:AU364)*AM359,0)</f>
        <v>0</v>
      </c>
      <c r="AU360" s="197" t="str">
        <f>IFERROR(VLOOKUP($G360,нормы!$A$14:$BI$57,56,0)*W360,"")</f>
        <v/>
      </c>
      <c r="AV360" s="290">
        <f>IFERROR(AW360/SUM(AW359:AW364)*AK359,0)</f>
        <v>0</v>
      </c>
      <c r="AW360" s="202" t="str">
        <f>IFERROR(VLOOKUP($G360,нормы!$A$14:$BI$57,57,0)*W360,"")</f>
        <v/>
      </c>
      <c r="AX360" s="30"/>
      <c r="AY360" s="203" t="str">
        <f>IFERROR(VLOOKUP($G360,нормы!$A$14:$BI$57,58,0)*W360,"")</f>
        <v/>
      </c>
      <c r="AZ360" s="205"/>
      <c r="BA360" s="200" t="str">
        <f>IFERROR(VLOOKUP($G360,нормы!$A$14:$BI$57,61,0)*$W360,"")</f>
        <v/>
      </c>
      <c r="BB360" s="30"/>
      <c r="BC360" s="203" t="str">
        <f>IFERROR(VLOOKUP($G360,нормы!$A$14:$BI$57,60,0)*W360,"")</f>
        <v/>
      </c>
      <c r="BD360" s="200" t="str">
        <f>IFERROR(VLOOKUP($G360,нормы!$A$14:$BG$57,44,0),"")</f>
        <v/>
      </c>
      <c r="BE360" s="199" t="str">
        <f>IFERROR(W360/VLOOKUP($G360,нормы!$A$14:$BI$57,45,0),"")</f>
        <v/>
      </c>
    </row>
    <row r="361" spans="1:57" s="1" customFormat="1" ht="20.25" customHeight="1" x14ac:dyDescent="0.4">
      <c r="A361" s="37" t="str">
        <f t="shared" si="146"/>
        <v>6Н</v>
      </c>
      <c r="B361" s="12">
        <f t="shared" si="149"/>
        <v>46028</v>
      </c>
      <c r="C361" s="97">
        <f t="shared" si="149"/>
        <v>0</v>
      </c>
      <c r="D361" s="97">
        <f t="shared" si="149"/>
        <v>2</v>
      </c>
      <c r="E361" s="54"/>
      <c r="F361" s="151" t="str">
        <f>IFERROR(VLOOKUP($G361,нормы!$A$14:$BC$57,2,0),"")</f>
        <v/>
      </c>
      <c r="G361" s="38"/>
      <c r="H361" s="54">
        <f t="shared" si="150"/>
        <v>0</v>
      </c>
      <c r="I361" s="89" t="s">
        <v>212</v>
      </c>
      <c r="J361" s="333"/>
      <c r="K361" s="30">
        <f>IFERROR(VLOOKUP($G361,[1]нормы!$A$21:$BC$151,15,0),"")</f>
        <v>0</v>
      </c>
      <c r="L361" s="31">
        <f>IFERROR(VLOOKUP($G361,[1]нормы!$A$21:$BC$151,17,0),"")</f>
        <v>0</v>
      </c>
      <c r="M361" s="306">
        <f>IFERROR(VLOOKUP($G361,[1]нормы!$A$21:$BC$151,27,0),"")</f>
        <v>0</v>
      </c>
      <c r="N361" s="307" t="str">
        <f>IFERROR(Y361/Y365*(1.1*J359*I364),"")</f>
        <v/>
      </c>
      <c r="O361" s="300">
        <f>IFERROR(VLOOKUP($G361,[1]нормы!$A$21:$BC$151,21,0),"")</f>
        <v>0</v>
      </c>
      <c r="P361" s="35">
        <f>IFERROR(VLOOKUP($G361,[1]нормы!$A$21:$BC$151,19,0),"")</f>
        <v>0</v>
      </c>
      <c r="Q361" s="35">
        <f>IFERROR(VLOOKUP($G361,[1]нормы!$A$21:$BC$151,23,0),"")</f>
        <v>0</v>
      </c>
      <c r="R361" s="231">
        <f>IFERROR(VLOOKUP($G361,[1]нормы!$A$21:$BC$151,29,0),"")</f>
        <v>0</v>
      </c>
      <c r="S361" s="35">
        <f>IFERROR(VLOOKUP($G361,[1]нормы!$A$21:$BC$151,31,0),"")</f>
        <v>0</v>
      </c>
      <c r="T361" s="32">
        <f>IFERROR(VLOOKUP($G361,[1]нормы!$A$21:$BC$151,25,0),"")</f>
        <v>0</v>
      </c>
      <c r="U361" s="233" t="str">
        <f>IFERROR(W361/(((100*Y361/Y365)*I364)/100),"")</f>
        <v/>
      </c>
      <c r="V361" s="234" t="str">
        <f>IFERROR(VLOOKUP($G361,нормы!$A$14:$BC$57,38,0),"")</f>
        <v/>
      </c>
      <c r="W361" s="136"/>
      <c r="X361" s="237"/>
      <c r="Y361" s="152" t="str">
        <f>IFERROR(VLOOKUP($G361,нормы!$A$14:$BC$57,42,0)*W361,"")</f>
        <v/>
      </c>
      <c r="Z361" s="163">
        <f>IFERROR(VLOOKUP($G361,нормы!$A$14:$BC$57,14,0)*W361/1000,0)</f>
        <v>0</v>
      </c>
      <c r="AA361" s="30"/>
      <c r="AB361" s="35"/>
      <c r="AC361" s="35"/>
      <c r="AD361" s="35"/>
      <c r="AE361" s="31"/>
      <c r="AF361" s="160"/>
      <c r="AG361" s="391"/>
      <c r="AH361" s="394"/>
      <c r="AI361" s="397"/>
      <c r="AJ361" s="408"/>
      <c r="AK361" s="360"/>
      <c r="AL361" s="360"/>
      <c r="AM361" s="360"/>
      <c r="AN361" s="289">
        <f>IFERROR(Y361*AJ359/Y365,)</f>
        <v>0</v>
      </c>
      <c r="AO361" s="197" t="str">
        <f>IFERROR(VLOOKUP($G361,нормы!$A$14:$BC$57,53,0)*$W361,"")</f>
        <v/>
      </c>
      <c r="AP361" s="290">
        <f>IFERROR(Y361*AI359/Y365,)</f>
        <v>0</v>
      </c>
      <c r="AQ361" s="197" t="str">
        <f>IFERROR(VLOOKUP($G361,нормы!$A$14:$BC$57,54,0)*$W361,"")</f>
        <v/>
      </c>
      <c r="AR361" s="290">
        <f>IFERROR(AS361/SUM(AS359:AS364)*AL359,0)</f>
        <v>0</v>
      </c>
      <c r="AS361" s="197" t="str">
        <f>IFERROR(VLOOKUP($G361,нормы!$A$14:$BC$57,55,0)*W361,"")</f>
        <v/>
      </c>
      <c r="AT361" s="290">
        <f>IFERROR(AU361/SUM(AU359:AU364)*AM359,0)</f>
        <v>0</v>
      </c>
      <c r="AU361" s="197" t="str">
        <f>IFERROR(VLOOKUP($G361,нормы!$A$14:$BI$57,56,0)*W361,"")</f>
        <v/>
      </c>
      <c r="AV361" s="290">
        <f>IFERROR(AW361/SUM(AW359:AW364)*AK359,0)</f>
        <v>0</v>
      </c>
      <c r="AW361" s="202" t="str">
        <f>IFERROR(VLOOKUP($G361,нормы!$A$14:$BI$57,57,0)*W361,"")</f>
        <v/>
      </c>
      <c r="AX361" s="30"/>
      <c r="AY361" s="203" t="str">
        <f>IFERROR(VLOOKUP($G361,нормы!$A$14:$BI$57,58,0)*W361,"")</f>
        <v/>
      </c>
      <c r="AZ361" s="205"/>
      <c r="BA361" s="200" t="str">
        <f>IFERROR(VLOOKUP($G361,нормы!$A$14:$BI$57,61,0)*$W361,"")</f>
        <v/>
      </c>
      <c r="BB361" s="30"/>
      <c r="BC361" s="203" t="str">
        <f>IFERROR(VLOOKUP($G361,нормы!$A$14:$BI$57,60,0)*W361,"")</f>
        <v/>
      </c>
      <c r="BD361" s="200" t="str">
        <f>IFERROR(VLOOKUP($G361,нормы!$A$14:$BG$57,44,0),"")</f>
        <v/>
      </c>
      <c r="BE361" s="199" t="str">
        <f>IFERROR(W361/VLOOKUP($G361,нормы!$A$14:$BI$57,45,0),"")</f>
        <v/>
      </c>
    </row>
    <row r="362" spans="1:57" s="1" customFormat="1" ht="20.25" customHeight="1" x14ac:dyDescent="0.4">
      <c r="A362" s="37" t="str">
        <f t="shared" si="146"/>
        <v>6Н</v>
      </c>
      <c r="B362" s="12">
        <f t="shared" si="149"/>
        <v>46028</v>
      </c>
      <c r="C362" s="97">
        <f t="shared" si="149"/>
        <v>0</v>
      </c>
      <c r="D362" s="97">
        <f t="shared" si="149"/>
        <v>2</v>
      </c>
      <c r="E362" s="54"/>
      <c r="F362" s="151" t="str">
        <f>IFERROR(VLOOKUP($G362,нормы!$A$14:$BC$57,2,0),"")</f>
        <v/>
      </c>
      <c r="G362" s="93"/>
      <c r="H362" s="54">
        <f t="shared" si="150"/>
        <v>0</v>
      </c>
      <c r="I362" s="55"/>
      <c r="J362" s="333"/>
      <c r="K362" s="30">
        <f>IFERROR(VLOOKUP($G362,[1]нормы!$A$21:$BC$151,15,0),"")</f>
        <v>0</v>
      </c>
      <c r="L362" s="31">
        <f>IFERROR(VLOOKUP($G362,[1]нормы!$A$21:$BC$151,17,0),"")</f>
        <v>0</v>
      </c>
      <c r="M362" s="306">
        <f>IFERROR(VLOOKUP($G362,[1]нормы!$A$21:$BC$151,27,0),"")</f>
        <v>0</v>
      </c>
      <c r="N362" s="307" t="str">
        <f>IFERROR(Y362/Y365*(1.1*J359*I367),"")</f>
        <v/>
      </c>
      <c r="O362" s="300">
        <f>IFERROR(VLOOKUP($G362,[1]нормы!$A$21:$BC$151,21,0),"")</f>
        <v>0</v>
      </c>
      <c r="P362" s="35">
        <f>IFERROR(VLOOKUP($G362,[1]нормы!$A$21:$BC$151,19,0),"")</f>
        <v>0</v>
      </c>
      <c r="Q362" s="35">
        <f>IFERROR(VLOOKUP($G362,[1]нормы!$A$21:$BC$151,23,0),"")</f>
        <v>0</v>
      </c>
      <c r="R362" s="231">
        <f>IFERROR(VLOOKUP($G362,[1]нормы!$A$21:$BC$151,29,0),"")</f>
        <v>0</v>
      </c>
      <c r="S362" s="35">
        <f>IFERROR(VLOOKUP($G362,[1]нормы!$A$21:$BC$151,31,0),"")</f>
        <v>0</v>
      </c>
      <c r="T362" s="32">
        <f>IFERROR(VLOOKUP($G362,[1]нормы!$A$21:$BC$151,25,0),"")</f>
        <v>0</v>
      </c>
      <c r="U362" s="233" t="str">
        <f>IFERROR(W362/(((100*Y362/Y365)*I364)/100),"")</f>
        <v/>
      </c>
      <c r="V362" s="234" t="str">
        <f>IFERROR(VLOOKUP($G362,нормы!$A$14:$BC$57,38,0),"")</f>
        <v/>
      </c>
      <c r="W362" s="136"/>
      <c r="X362" s="237"/>
      <c r="Y362" s="152" t="str">
        <f>IFERROR(VLOOKUP($G362,нормы!$A$14:$BC$57,42,0)*W362,"")</f>
        <v/>
      </c>
      <c r="Z362" s="163">
        <f>IFERROR(VLOOKUP($G362,нормы!$A$14:$BC$57,14,0)*W362/1000,0)</f>
        <v>0</v>
      </c>
      <c r="AA362" s="30"/>
      <c r="AB362" s="35"/>
      <c r="AC362" s="35"/>
      <c r="AD362" s="35"/>
      <c r="AE362" s="31"/>
      <c r="AF362" s="160"/>
      <c r="AG362" s="391"/>
      <c r="AH362" s="394"/>
      <c r="AI362" s="397"/>
      <c r="AJ362" s="408"/>
      <c r="AK362" s="360"/>
      <c r="AL362" s="360"/>
      <c r="AM362" s="360"/>
      <c r="AN362" s="289">
        <f>IFERROR(Y362*AJ359/Y365,)</f>
        <v>0</v>
      </c>
      <c r="AO362" s="197" t="str">
        <f>IFERROR(VLOOKUP($G362,нормы!$A$14:$BC$57,53,0)*$W362,"")</f>
        <v/>
      </c>
      <c r="AP362" s="290">
        <f>IFERROR(Y362*AI359/Y365,)</f>
        <v>0</v>
      </c>
      <c r="AQ362" s="197" t="str">
        <f>IFERROR(VLOOKUP($G362,нормы!$A$14:$BC$57,54,0)*$W362,"")</f>
        <v/>
      </c>
      <c r="AR362" s="290">
        <f>IFERROR(AS362/SUM(AS359:AS364)*AL359,0)</f>
        <v>0</v>
      </c>
      <c r="AS362" s="197" t="str">
        <f>IFERROR(VLOOKUP($G362,нормы!$A$14:$BC$57,55,0)*W362,"")</f>
        <v/>
      </c>
      <c r="AT362" s="290">
        <f>IFERROR(AU362/SUM(AU359:AU364)*AM359,0)</f>
        <v>0</v>
      </c>
      <c r="AU362" s="197" t="str">
        <f>IFERROR(VLOOKUP($G362,нормы!$A$14:$BI$57,56,0)*W362,"")</f>
        <v/>
      </c>
      <c r="AV362" s="290">
        <f>IFERROR(AW362/SUM(AW359:AW364)*AK359,0)</f>
        <v>0</v>
      </c>
      <c r="AW362" s="202" t="str">
        <f>IFERROR(VLOOKUP($G362,нормы!$A$14:$BI$57,57,0)*W362,"")</f>
        <v/>
      </c>
      <c r="AX362" s="30"/>
      <c r="AY362" s="203" t="str">
        <f>IFERROR(VLOOKUP($G362,нормы!$A$14:$BI$57,58,0)*W362,"")</f>
        <v/>
      </c>
      <c r="AZ362" s="205"/>
      <c r="BA362" s="200" t="str">
        <f>IFERROR(VLOOKUP($G362,нормы!$A$14:$BI$57,61,0)*$W362,"")</f>
        <v/>
      </c>
      <c r="BB362" s="30"/>
      <c r="BC362" s="203" t="str">
        <f>IFERROR(VLOOKUP($G362,нормы!$A$14:$BI$57,60,0)*W362,"")</f>
        <v/>
      </c>
      <c r="BD362" s="200" t="str">
        <f>IFERROR(VLOOKUP($G362,нормы!$A$14:$BG$57,44,0),"")</f>
        <v/>
      </c>
      <c r="BE362" s="199" t="str">
        <f>IFERROR(W362/VLOOKUP($G362,нормы!$A$14:$BI$57,45,0),"")</f>
        <v/>
      </c>
    </row>
    <row r="363" spans="1:57" s="1" customFormat="1" ht="20.25" customHeight="1" x14ac:dyDescent="0.4">
      <c r="A363" s="37" t="str">
        <f t="shared" si="146"/>
        <v>6Н</v>
      </c>
      <c r="B363" s="12">
        <f t="shared" si="149"/>
        <v>46028</v>
      </c>
      <c r="C363" s="97">
        <f t="shared" si="149"/>
        <v>0</v>
      </c>
      <c r="D363" s="97">
        <f t="shared" si="149"/>
        <v>2</v>
      </c>
      <c r="E363" s="54"/>
      <c r="F363" s="151" t="str">
        <f>IFERROR(VLOOKUP($G363,нормы!$A$14:$BC$57,2,0),"")</f>
        <v/>
      </c>
      <c r="G363" s="38"/>
      <c r="H363" s="54">
        <f t="shared" si="150"/>
        <v>0</v>
      </c>
      <c r="I363" s="89" t="s">
        <v>73</v>
      </c>
      <c r="J363" s="333"/>
      <c r="K363" s="30">
        <f>IFERROR(VLOOKUP($G363,[1]нормы!$A$21:$BC$151,15,0),"")</f>
        <v>0</v>
      </c>
      <c r="L363" s="31">
        <f>IFERROR(VLOOKUP($G363,[1]нормы!$A$21:$BC$151,17,0),"")</f>
        <v>0</v>
      </c>
      <c r="M363" s="306">
        <f>IFERROR(VLOOKUP($G363,[1]нормы!$A$21:$BC$151,27,0),"")</f>
        <v>0</v>
      </c>
      <c r="N363" s="307" t="str">
        <f>IFERROR(Y363/Y365*(1.1*J359*I368),"")</f>
        <v/>
      </c>
      <c r="O363" s="300">
        <f>IFERROR(VLOOKUP($G363,[1]нормы!$A$21:$BC$151,21,0),"")</f>
        <v>0</v>
      </c>
      <c r="P363" s="35">
        <f>IFERROR(VLOOKUP($G363,[1]нормы!$A$21:$BC$151,19,0),"")</f>
        <v>0</v>
      </c>
      <c r="Q363" s="35">
        <f>IFERROR(VLOOKUP($G363,[1]нормы!$A$21:$BC$151,23,0),"")</f>
        <v>0</v>
      </c>
      <c r="R363" s="231">
        <f>IFERROR(VLOOKUP($G363,[1]нормы!$A$21:$BC$151,29,0),"")</f>
        <v>0</v>
      </c>
      <c r="S363" s="35">
        <f>IFERROR(VLOOKUP($G363,[1]нормы!$A$21:$BC$151,31,0),"")</f>
        <v>0</v>
      </c>
      <c r="T363" s="32">
        <f>IFERROR(VLOOKUP($G363,[1]нормы!$A$21:$BC$151,25,0),"")</f>
        <v>0</v>
      </c>
      <c r="U363" s="233" t="str">
        <f>IFERROR(W363/(((100*Y363/Y365)*I364)/100),"")</f>
        <v/>
      </c>
      <c r="V363" s="234" t="str">
        <f>IFERROR(VLOOKUP($G363,нормы!$A$14:$BC$57,38,0),"")</f>
        <v/>
      </c>
      <c r="W363" s="136"/>
      <c r="X363" s="237"/>
      <c r="Y363" s="152" t="str">
        <f>IFERROR(VLOOKUP($G363,нормы!$A$14:$BC$57,42,0)*W363,"")</f>
        <v/>
      </c>
      <c r="Z363" s="163">
        <f>IFERROR(VLOOKUP($G363,нормы!$A$14:$BC$57,14,0)*W363/1000,0)</f>
        <v>0</v>
      </c>
      <c r="AA363" s="30"/>
      <c r="AB363" s="35"/>
      <c r="AC363" s="35"/>
      <c r="AD363" s="35"/>
      <c r="AE363" s="31"/>
      <c r="AF363" s="160"/>
      <c r="AG363" s="391"/>
      <c r="AH363" s="394"/>
      <c r="AI363" s="397"/>
      <c r="AJ363" s="408"/>
      <c r="AK363" s="360"/>
      <c r="AL363" s="360"/>
      <c r="AM363" s="360"/>
      <c r="AN363" s="289">
        <f>IFERROR(Y363*AJ359/Y365,)</f>
        <v>0</v>
      </c>
      <c r="AO363" s="197" t="str">
        <f>IFERROR(VLOOKUP($G363,нормы!$A$14:$BC$57,53,0)*$W363,"")</f>
        <v/>
      </c>
      <c r="AP363" s="290">
        <f>IFERROR(Y363*AI359/Y365,)</f>
        <v>0</v>
      </c>
      <c r="AQ363" s="197" t="str">
        <f>IFERROR(VLOOKUP($G363,нормы!$A$14:$BC$57,54,0)*$W363,"")</f>
        <v/>
      </c>
      <c r="AR363" s="290">
        <f>IFERROR(AS363/SUM(AS359:AS364)*AL359,0)</f>
        <v>0</v>
      </c>
      <c r="AS363" s="197" t="str">
        <f>IFERROR(VLOOKUP($G363,нормы!$A$14:$BC$57,55,0)*W363,"")</f>
        <v/>
      </c>
      <c r="AT363" s="290">
        <f>IFERROR(AU363/SUM(AU359:AU364)*AM359,0)</f>
        <v>0</v>
      </c>
      <c r="AU363" s="197" t="str">
        <f>IFERROR(VLOOKUP($G363,нормы!$A$14:$BI$57,56,0)*W363,"")</f>
        <v/>
      </c>
      <c r="AV363" s="290">
        <f>IFERROR(AW363/SUM(AW359:AW364)*AK359,0)</f>
        <v>0</v>
      </c>
      <c r="AW363" s="202" t="str">
        <f>IFERROR(VLOOKUP($G363,нормы!$A$14:$BI$57,57,0)*W363,"")</f>
        <v/>
      </c>
      <c r="AX363" s="30"/>
      <c r="AY363" s="203" t="str">
        <f>IFERROR(VLOOKUP($G363,нормы!$A$14:$BI$57,58,0)*W363,"")</f>
        <v/>
      </c>
      <c r="AZ363" s="205"/>
      <c r="BA363" s="200" t="str">
        <f>IFERROR(VLOOKUP($G363,нормы!$A$14:$BI$57,61,0)*$W363,"")</f>
        <v/>
      </c>
      <c r="BB363" s="30"/>
      <c r="BC363" s="203" t="str">
        <f>IFERROR(VLOOKUP($G363,нормы!$A$14:$BI$57,60,0)*W363,"")</f>
        <v/>
      </c>
      <c r="BD363" s="200" t="str">
        <f>IFERROR(VLOOKUP($G363,нормы!$A$14:$BG$57,44,0),"")</f>
        <v/>
      </c>
      <c r="BE363" s="199" t="str">
        <f>IFERROR(W363/VLOOKUP($G363,нормы!$A$14:$BI$57,45,0),"")</f>
        <v/>
      </c>
    </row>
    <row r="364" spans="1:57" s="1" customFormat="1" ht="21" customHeight="1" thickBot="1" x14ac:dyDescent="0.45">
      <c r="A364" s="37" t="str">
        <f t="shared" si="146"/>
        <v>6Н</v>
      </c>
      <c r="B364" s="12">
        <f t="shared" si="149"/>
        <v>46028</v>
      </c>
      <c r="C364" s="97">
        <f t="shared" si="149"/>
        <v>0</v>
      </c>
      <c r="D364" s="97">
        <f t="shared" si="149"/>
        <v>2</v>
      </c>
      <c r="E364" s="54"/>
      <c r="F364" s="151" t="str">
        <f>IFERROR(VLOOKUP($G364,нормы!$A$14:$BC$57,2,0),"")</f>
        <v/>
      </c>
      <c r="G364" s="93"/>
      <c r="H364" s="63">
        <f t="shared" si="150"/>
        <v>0</v>
      </c>
      <c r="I364" s="153">
        <f>I360+I362</f>
        <v>0</v>
      </c>
      <c r="J364" s="334"/>
      <c r="K364" s="30">
        <f>IFERROR(VLOOKUP($G364,[1]нормы!$A$21:$BC$151,15,0),"")</f>
        <v>0</v>
      </c>
      <c r="L364" s="31">
        <f>IFERROR(VLOOKUP($G364,[1]нормы!$A$21:$BC$151,17,0),"")</f>
        <v>0</v>
      </c>
      <c r="M364" s="308">
        <f>IFERROR(VLOOKUP($G364,[1]нормы!$A$21:$BC$151,27,0),"")</f>
        <v>0</v>
      </c>
      <c r="N364" s="309" t="str">
        <f>IFERROR(Y364/Y365*(1.1*J359*I369),"")</f>
        <v/>
      </c>
      <c r="O364" s="300">
        <f>IFERROR(VLOOKUP($G364,[1]нормы!$A$21:$BC$151,21,0),"")</f>
        <v>0</v>
      </c>
      <c r="P364" s="35">
        <f>IFERROR(VLOOKUP($G364,[1]нормы!$A$21:$BC$151,19,0),"")</f>
        <v>0</v>
      </c>
      <c r="Q364" s="35">
        <f>IFERROR(VLOOKUP($G364,[1]нормы!$A$21:$BC$151,23,0),"")</f>
        <v>0</v>
      </c>
      <c r="R364" s="231">
        <f>IFERROR(VLOOKUP($G364,[1]нормы!$A$21:$BC$151,29,0),"")</f>
        <v>0</v>
      </c>
      <c r="S364" s="35">
        <f>IFERROR(VLOOKUP($G364,[1]нормы!$A$21:$BC$151,31,0),"")</f>
        <v>0</v>
      </c>
      <c r="T364" s="32">
        <f>IFERROR(VLOOKUP($G364,[1]нормы!$A$21:$BC$151,25,0),"")</f>
        <v>0</v>
      </c>
      <c r="U364" s="235" t="str">
        <f>IFERROR(W364/(((100*Y364/Y365)*I364)/100),"")</f>
        <v/>
      </c>
      <c r="V364" s="234" t="str">
        <f>IFERROR(VLOOKUP($G364,нормы!$A$14:$BC$57,38,0),"")</f>
        <v/>
      </c>
      <c r="W364" s="154"/>
      <c r="X364" s="238"/>
      <c r="Y364" s="152" t="str">
        <f>IFERROR(VLOOKUP($G364,нормы!$A$14:$BC$57,42,0)*W364,"")</f>
        <v/>
      </c>
      <c r="Z364" s="163">
        <f>IFERROR(VLOOKUP($G364,нормы!$A$14:$BC$57,14,0)*W364/1000,0)</f>
        <v>0</v>
      </c>
      <c r="AA364" s="56"/>
      <c r="AB364" s="58"/>
      <c r="AC364" s="58"/>
      <c r="AD364" s="58"/>
      <c r="AE364" s="57"/>
      <c r="AF364" s="161"/>
      <c r="AG364" s="392"/>
      <c r="AH364" s="395"/>
      <c r="AI364" s="398"/>
      <c r="AJ364" s="409"/>
      <c r="AK364" s="361"/>
      <c r="AL364" s="361"/>
      <c r="AM364" s="361"/>
      <c r="AN364" s="291">
        <f>IFERROR(Y364*AJ359/Y365,)</f>
        <v>0</v>
      </c>
      <c r="AO364" s="197" t="str">
        <f>IFERROR(VLOOKUP($G364,нормы!$A$14:$BC$57,53,0)*$W364,"")</f>
        <v/>
      </c>
      <c r="AP364" s="292">
        <f>IFERROR(Y364*AI359/Y365,)</f>
        <v>0</v>
      </c>
      <c r="AQ364" s="197" t="str">
        <f>IFERROR(VLOOKUP($G364,нормы!$A$14:$BC$57,54,0)*$W364,"")</f>
        <v/>
      </c>
      <c r="AR364" s="290">
        <f>IFERROR(AS364/SUM(AS359:AS364)*AL359,0)</f>
        <v>0</v>
      </c>
      <c r="AS364" s="197" t="str">
        <f>IFERROR(VLOOKUP($G364,нормы!$A$14:$BC$57,55,0)*W364,"")</f>
        <v/>
      </c>
      <c r="AT364" s="292">
        <f>IFERROR(AU364/SUM(AU359:AU364)*AM359,0)</f>
        <v>0</v>
      </c>
      <c r="AU364" s="197" t="str">
        <f>IFERROR(VLOOKUP($G364,нормы!$A$14:$BI$57,56,0)*W364,"")</f>
        <v/>
      </c>
      <c r="AV364" s="292">
        <f>IFERROR(AW364/SUM(AW359:AW364)*AK359,0)</f>
        <v>0</v>
      </c>
      <c r="AW364" s="202" t="str">
        <f>IFERROR(VLOOKUP($G364,нормы!$A$14:$BI$57,57,0)*W364,"")</f>
        <v/>
      </c>
      <c r="AX364" s="56"/>
      <c r="AY364" s="203" t="str">
        <f>IFERROR(VLOOKUP($G364,нормы!$A$14:$BI$57,58,0)*W364,"")</f>
        <v/>
      </c>
      <c r="AZ364" s="206"/>
      <c r="BA364" s="200" t="str">
        <f>IFERROR(VLOOKUP($G364,нормы!$A$14:$BI$57,61,0)*$W364,"")</f>
        <v/>
      </c>
      <c r="BB364" s="56"/>
      <c r="BC364" s="203" t="str">
        <f>IFERROR(VLOOKUP($G364,нормы!$A$14:$BI$57,60,0)*W364,"")</f>
        <v/>
      </c>
      <c r="BD364" s="200" t="str">
        <f>IFERROR(VLOOKUP($G364,нормы!$A$14:$BG$57,44,0),"")</f>
        <v/>
      </c>
      <c r="BE364" s="199" t="str">
        <f>IFERROR(W364/VLOOKUP($G364,нормы!$A$14:$BI$57,45,0),"")</f>
        <v/>
      </c>
    </row>
    <row r="365" spans="1:57" s="1" customFormat="1" ht="29.4" customHeight="1" thickBot="1" x14ac:dyDescent="0.45">
      <c r="A365" s="37" t="str">
        <f t="shared" si="146"/>
        <v>6Н</v>
      </c>
      <c r="B365" s="59"/>
      <c r="C365" s="51"/>
      <c r="D365" s="51"/>
      <c r="E365" s="51"/>
      <c r="F365" s="51"/>
      <c r="G365" s="51"/>
      <c r="H365" s="51"/>
      <c r="I365" s="60"/>
      <c r="J365" s="60"/>
      <c r="K365" s="319" t="s">
        <v>213</v>
      </c>
      <c r="L365" s="316"/>
      <c r="M365" s="303" t="s">
        <v>213</v>
      </c>
      <c r="N365" s="317">
        <f>SUM(N359:N364)</f>
        <v>0</v>
      </c>
      <c r="O365" s="304" t="s">
        <v>217</v>
      </c>
      <c r="P365" s="318">
        <f>N365*8.937/1000</f>
        <v>0</v>
      </c>
      <c r="Q365" s="305" t="s">
        <v>215</v>
      </c>
      <c r="R365" s="61"/>
      <c r="S365" s="61"/>
      <c r="T365" s="61"/>
      <c r="U365" s="109"/>
      <c r="V365" s="109"/>
      <c r="W365" s="94"/>
      <c r="X365" s="155"/>
      <c r="Y365" s="96">
        <f>SUM(Y359:Y364)</f>
        <v>0</v>
      </c>
      <c r="Z365" s="164">
        <f>SUM(Z359:Z364)</f>
        <v>0</v>
      </c>
      <c r="AA365" s="207">
        <f>(AA351+AA352+AA353+AA354+AA355+AA356+AA357+AA359+AA360+AA361+AA362+AA363+AA364)-AG352</f>
        <v>1</v>
      </c>
      <c r="AB365" s="208">
        <f>(AB351+AB352+AB353+AB354+AB355+AB356+AB357+AB359+AB360+AB361+AB362+AB363+AB364)-AH352</f>
        <v>2</v>
      </c>
      <c r="AC365" s="208">
        <f>(AC351+AC352+AC353+AC354+AC355+AC356+AC357+AC359+AC360+AC361+AC362+AC363+AC364)-AG359</f>
        <v>3</v>
      </c>
      <c r="AD365" s="208">
        <f>(AD351+AD352+AD353+AD354+AD355+AD356+AD357+AD359+AD360+AD361+AD362+AD363+AD364)-AH359</f>
        <v>4</v>
      </c>
      <c r="AE365" s="208">
        <f>(AE351+AE352+AE353+AE354+AE355+AE356+AE357+AE359+AE360+AE361+AE362+AE363+AE364)-AI352</f>
        <v>5</v>
      </c>
      <c r="AF365" s="209">
        <f>(AF351+AF352+AF353+AF354+AF355+AF356+AF357+AF359+AF360+AF361+AF362+AF363+AF364)-AI359</f>
        <v>6</v>
      </c>
      <c r="AG365" s="62"/>
      <c r="AH365" s="62"/>
      <c r="AI365" s="62"/>
      <c r="AJ365" s="62"/>
      <c r="AK365" s="62"/>
      <c r="AL365" s="62"/>
      <c r="AM365" s="62"/>
      <c r="AN365" s="91">
        <f>SUM(AN359:AN364)</f>
        <v>0</v>
      </c>
      <c r="AO365" s="91">
        <f>SUM(AO359:AO364)</f>
        <v>0</v>
      </c>
      <c r="AP365" s="91"/>
      <c r="AQ365" s="91"/>
      <c r="AR365" s="91">
        <f>SUM(AR359:AR364)</f>
        <v>0</v>
      </c>
      <c r="AS365" s="91">
        <f t="shared" ref="AS365:AW365" si="151">SUM(AS359:AS364)</f>
        <v>0</v>
      </c>
      <c r="AT365" s="91">
        <f t="shared" si="151"/>
        <v>0</v>
      </c>
      <c r="AU365" s="91">
        <f t="shared" si="151"/>
        <v>0</v>
      </c>
      <c r="AV365" s="91">
        <f t="shared" si="151"/>
        <v>0</v>
      </c>
      <c r="AW365" s="91">
        <f t="shared" si="151"/>
        <v>0</v>
      </c>
      <c r="AX365" s="91">
        <f>SUM(AX359:AX364)</f>
        <v>0</v>
      </c>
      <c r="AY365" s="91">
        <f>SUM(AY359:AY364)</f>
        <v>0</v>
      </c>
      <c r="AZ365" s="91">
        <f>SUM(AZ359:AZ364)</f>
        <v>0</v>
      </c>
      <c r="BA365" s="91"/>
      <c r="BB365" s="91"/>
      <c r="BC365" s="91"/>
      <c r="BD365" s="91" t="str">
        <f>IFERROR(VLOOKUP($G365,нормы!$A$14:$BG$15,27,0),"")</f>
        <v/>
      </c>
      <c r="BE365" s="53" t="str">
        <f>IFERROR(W365/VLOOKUP($G365,нормы!$A$14:$BI$15,28,0),"")</f>
        <v/>
      </c>
    </row>
    <row r="366" spans="1:57" s="1" customFormat="1" ht="29.4" customHeight="1" thickBot="1" x14ac:dyDescent="0.5">
      <c r="A366" s="37" t="str">
        <f t="shared" si="146"/>
        <v>6Н</v>
      </c>
      <c r="B366" s="166" t="s">
        <v>130</v>
      </c>
      <c r="C366" s="167"/>
      <c r="D366" s="167"/>
      <c r="E366" s="167"/>
      <c r="F366" s="165"/>
      <c r="G366" s="167"/>
      <c r="H366" s="167"/>
      <c r="I366" s="168"/>
      <c r="J366" s="168"/>
      <c r="K366" s="168"/>
      <c r="L366" s="168"/>
      <c r="M366" s="168"/>
      <c r="N366" s="168"/>
      <c r="O366" s="167"/>
      <c r="P366" s="169"/>
      <c r="Q366" s="169"/>
      <c r="R366" s="169"/>
      <c r="S366" s="169"/>
      <c r="T366" s="169"/>
      <c r="U366" s="170"/>
      <c r="V366" s="170"/>
      <c r="W366" s="171"/>
      <c r="X366" s="171"/>
      <c r="Y366" s="172"/>
      <c r="Z366" s="172"/>
      <c r="AA366" s="201" t="s">
        <v>144</v>
      </c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64"/>
      <c r="AN366" s="167"/>
      <c r="AO366" s="167"/>
      <c r="AP366" s="167"/>
      <c r="AQ366" s="167"/>
      <c r="AR366" s="64"/>
      <c r="AS366" s="64"/>
      <c r="AT366" s="65"/>
      <c r="AU366" s="64"/>
      <c r="AV366" s="49"/>
      <c r="AW366" s="49"/>
      <c r="AX366" s="167"/>
      <c r="AY366" s="167"/>
      <c r="AZ366" s="167"/>
      <c r="BA366" s="167"/>
      <c r="BB366" s="167"/>
      <c r="BC366" s="167"/>
      <c r="BD366" s="66"/>
      <c r="BE366" s="66"/>
    </row>
    <row r="367" spans="1:57" s="1" customFormat="1" ht="23.25" customHeight="1" x14ac:dyDescent="0.4">
      <c r="A367" s="37" t="str">
        <f t="shared" si="146"/>
        <v>6Н</v>
      </c>
      <c r="B367" s="183"/>
      <c r="C367" s="100"/>
      <c r="D367" s="185"/>
      <c r="E367" s="186" t="s">
        <v>57</v>
      </c>
      <c r="F367" s="66" t="s">
        <v>87</v>
      </c>
      <c r="G367" s="66"/>
      <c r="H367" s="108" t="s">
        <v>131</v>
      </c>
      <c r="I367" s="101"/>
      <c r="J367" s="101"/>
      <c r="K367" s="101"/>
      <c r="L367" s="101"/>
      <c r="M367" s="101"/>
      <c r="N367" s="101"/>
      <c r="O367" s="67"/>
      <c r="P367" s="102"/>
      <c r="Q367" s="102"/>
      <c r="R367" s="102"/>
      <c r="S367" s="102"/>
      <c r="T367" s="102"/>
      <c r="U367" s="67"/>
      <c r="V367" s="67"/>
      <c r="W367" s="103"/>
      <c r="X367" s="187"/>
      <c r="Y367" s="68" t="s">
        <v>74</v>
      </c>
      <c r="Z367" s="69"/>
      <c r="AA367" s="90"/>
      <c r="AB367" s="100"/>
      <c r="AC367" s="100"/>
      <c r="AD367" s="186" t="s">
        <v>57</v>
      </c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190"/>
      <c r="AU367" s="66"/>
      <c r="AV367" s="165"/>
      <c r="AW367" s="293"/>
      <c r="AX367" s="66"/>
      <c r="AY367" s="66"/>
      <c r="AZ367" s="66"/>
      <c r="BA367" s="66"/>
      <c r="BB367" s="66"/>
      <c r="BC367" s="66"/>
      <c r="BD367" s="68" t="s">
        <v>74</v>
      </c>
      <c r="BE367" s="69"/>
    </row>
    <row r="368" spans="1:57" s="1" customFormat="1" ht="23.25" customHeight="1" thickBot="1" x14ac:dyDescent="0.45">
      <c r="A368" s="37" t="str">
        <f t="shared" si="146"/>
        <v>6Н</v>
      </c>
      <c r="B368" s="183"/>
      <c r="C368" s="41"/>
      <c r="D368" s="184"/>
      <c r="E368" s="50"/>
      <c r="F368" s="70"/>
      <c r="G368" s="70"/>
      <c r="H368" s="70"/>
      <c r="I368" s="104"/>
      <c r="J368" s="104"/>
      <c r="K368" s="104"/>
      <c r="L368" s="104"/>
      <c r="M368" s="104"/>
      <c r="N368" s="104"/>
      <c r="O368" s="71"/>
      <c r="P368" s="105"/>
      <c r="Q368" s="105"/>
      <c r="R368" s="105"/>
      <c r="S368" s="105"/>
      <c r="T368" s="105"/>
      <c r="U368" s="71"/>
      <c r="V368" s="71"/>
      <c r="W368" s="106"/>
      <c r="X368" s="188"/>
      <c r="Y368" s="72"/>
      <c r="Z368" s="73"/>
      <c r="AA368" s="90"/>
      <c r="AB368" s="41"/>
      <c r="AC368" s="41"/>
      <c r="AD368" s="50"/>
      <c r="AE368" s="47"/>
      <c r="AF368" s="47"/>
      <c r="AG368" s="47"/>
      <c r="AH368" s="47"/>
      <c r="AI368" s="47"/>
      <c r="AJ368" s="47"/>
      <c r="AK368" s="47"/>
      <c r="AL368" s="47"/>
      <c r="AM368" s="70"/>
      <c r="AN368" s="47"/>
      <c r="AO368" s="70"/>
      <c r="AP368" s="70"/>
      <c r="AQ368" s="70"/>
      <c r="AR368" s="70"/>
      <c r="AS368" s="70"/>
      <c r="AT368" s="191"/>
      <c r="AU368" s="70"/>
      <c r="AV368" s="192"/>
      <c r="AW368" s="294"/>
      <c r="AX368" s="70"/>
      <c r="AY368" s="70"/>
      <c r="AZ368" s="70"/>
      <c r="BA368" s="70"/>
      <c r="BB368" s="70"/>
      <c r="BC368" s="70"/>
      <c r="BD368" s="72"/>
      <c r="BE368" s="73"/>
    </row>
    <row r="369" spans="1:57" s="1" customFormat="1" ht="21.9" customHeight="1" x14ac:dyDescent="0.4">
      <c r="A369" s="37" t="str">
        <f t="shared" si="146"/>
        <v>6Н</v>
      </c>
      <c r="B369" s="183"/>
      <c r="C369" s="41"/>
      <c r="D369" s="184"/>
      <c r="E369" s="281">
        <f>B364</f>
        <v>46028</v>
      </c>
      <c r="F369" s="337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98">
        <v>1</v>
      </c>
      <c r="Y369" s="74">
        <v>1</v>
      </c>
      <c r="Z369" s="75">
        <f t="shared" ref="Z369:Z380" si="152">Y369-X369</f>
        <v>0</v>
      </c>
      <c r="AA369" s="189"/>
      <c r="AB369" s="41"/>
      <c r="AC369" s="184"/>
      <c r="AD369" s="210">
        <f>E369</f>
        <v>46028</v>
      </c>
      <c r="AE369" s="387"/>
      <c r="AF369" s="388"/>
      <c r="AG369" s="388"/>
      <c r="AH369" s="388"/>
      <c r="AI369" s="388"/>
      <c r="AJ369" s="388"/>
      <c r="AK369" s="388"/>
      <c r="AL369" s="388"/>
      <c r="AM369" s="388"/>
      <c r="AN369" s="388"/>
      <c r="AO369" s="388"/>
      <c r="AP369" s="388"/>
      <c r="AQ369" s="388"/>
      <c r="AR369" s="388"/>
      <c r="AS369" s="388"/>
      <c r="AT369" s="388"/>
      <c r="AU369" s="388"/>
      <c r="AV369" s="388"/>
      <c r="AW369" s="388"/>
      <c r="AX369" s="388"/>
      <c r="AY369" s="388"/>
      <c r="AZ369" s="388"/>
      <c r="BA369" s="388"/>
      <c r="BB369" s="389"/>
      <c r="BC369" s="98">
        <v>1</v>
      </c>
      <c r="BD369" s="74">
        <v>1</v>
      </c>
      <c r="BE369" s="75">
        <f t="shared" ref="BE369:BE380" si="153">BD369-BC369</f>
        <v>0</v>
      </c>
    </row>
    <row r="370" spans="1:57" s="1" customFormat="1" ht="21.9" customHeight="1" x14ac:dyDescent="0.4">
      <c r="A370" s="37" t="str">
        <f t="shared" si="146"/>
        <v>6Н</v>
      </c>
      <c r="B370" s="183"/>
      <c r="C370" s="41"/>
      <c r="D370" s="184"/>
      <c r="E370" s="282">
        <f>E369</f>
        <v>46028</v>
      </c>
      <c r="F370" s="335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  <c r="W370" s="336"/>
      <c r="X370" s="98">
        <v>1</v>
      </c>
      <c r="Y370" s="74">
        <v>1</v>
      </c>
      <c r="Z370" s="75">
        <f t="shared" si="152"/>
        <v>0</v>
      </c>
      <c r="AA370" s="107">
        <f>AA369</f>
        <v>0</v>
      </c>
      <c r="AB370" s="41"/>
      <c r="AC370" s="184"/>
      <c r="AD370" s="212">
        <f>AD369</f>
        <v>46028</v>
      </c>
      <c r="AE370" s="387"/>
      <c r="AF370" s="388"/>
      <c r="AG370" s="388"/>
      <c r="AH370" s="388"/>
      <c r="AI370" s="388"/>
      <c r="AJ370" s="388"/>
      <c r="AK370" s="388"/>
      <c r="AL370" s="388"/>
      <c r="AM370" s="388"/>
      <c r="AN370" s="388"/>
      <c r="AO370" s="388"/>
      <c r="AP370" s="388"/>
      <c r="AQ370" s="388"/>
      <c r="AR370" s="388"/>
      <c r="AS370" s="388"/>
      <c r="AT370" s="388"/>
      <c r="AU370" s="388"/>
      <c r="AV370" s="388"/>
      <c r="AW370" s="388"/>
      <c r="AX370" s="388"/>
      <c r="AY370" s="388"/>
      <c r="AZ370" s="388"/>
      <c r="BA370" s="388"/>
      <c r="BB370" s="389"/>
      <c r="BC370" s="98">
        <v>1</v>
      </c>
      <c r="BD370" s="74">
        <v>1</v>
      </c>
      <c r="BE370" s="75">
        <f t="shared" si="153"/>
        <v>0</v>
      </c>
    </row>
    <row r="371" spans="1:57" s="1" customFormat="1" ht="21.9" customHeight="1" x14ac:dyDescent="0.4">
      <c r="A371" s="37" t="str">
        <f t="shared" si="146"/>
        <v>6Н</v>
      </c>
      <c r="B371" s="183"/>
      <c r="C371" s="41"/>
      <c r="D371" s="184"/>
      <c r="E371" s="282">
        <f t="shared" ref="E371:E380" si="154">E370</f>
        <v>46028</v>
      </c>
      <c r="F371" s="335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98">
        <v>1</v>
      </c>
      <c r="Y371" s="74">
        <v>1</v>
      </c>
      <c r="Z371" s="75">
        <f t="shared" si="152"/>
        <v>0</v>
      </c>
      <c r="AA371" s="107">
        <f>AA370</f>
        <v>0</v>
      </c>
      <c r="AB371" s="41"/>
      <c r="AC371" s="184"/>
      <c r="AD371" s="212">
        <f t="shared" ref="AD371:AD380" si="155">AD370</f>
        <v>46028</v>
      </c>
      <c r="AE371" s="387"/>
      <c r="AF371" s="388"/>
      <c r="AG371" s="388"/>
      <c r="AH371" s="388"/>
      <c r="AI371" s="388"/>
      <c r="AJ371" s="388"/>
      <c r="AK371" s="388"/>
      <c r="AL371" s="388"/>
      <c r="AM371" s="388"/>
      <c r="AN371" s="388"/>
      <c r="AO371" s="388"/>
      <c r="AP371" s="388"/>
      <c r="AQ371" s="388"/>
      <c r="AR371" s="388"/>
      <c r="AS371" s="388"/>
      <c r="AT371" s="388"/>
      <c r="AU371" s="388"/>
      <c r="AV371" s="388"/>
      <c r="AW371" s="388"/>
      <c r="AX371" s="388"/>
      <c r="AY371" s="388"/>
      <c r="AZ371" s="388"/>
      <c r="BA371" s="388"/>
      <c r="BB371" s="389"/>
      <c r="BC371" s="98">
        <v>1</v>
      </c>
      <c r="BD371" s="74">
        <v>1</v>
      </c>
      <c r="BE371" s="75">
        <f t="shared" si="153"/>
        <v>0</v>
      </c>
    </row>
    <row r="372" spans="1:57" s="1" customFormat="1" ht="21.9" customHeight="1" x14ac:dyDescent="0.4">
      <c r="A372" s="37" t="str">
        <f t="shared" si="146"/>
        <v>6Н</v>
      </c>
      <c r="B372" s="183"/>
      <c r="C372" s="41"/>
      <c r="D372" s="184"/>
      <c r="E372" s="282">
        <f t="shared" si="154"/>
        <v>46028</v>
      </c>
      <c r="F372" s="335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  <c r="W372" s="336"/>
      <c r="X372" s="98">
        <v>1</v>
      </c>
      <c r="Y372" s="74">
        <v>1</v>
      </c>
      <c r="Z372" s="75">
        <f t="shared" si="152"/>
        <v>0</v>
      </c>
      <c r="AA372" s="107">
        <f t="shared" ref="AA372:AA380" si="156">AA371</f>
        <v>0</v>
      </c>
      <c r="AB372" s="41"/>
      <c r="AC372" s="184"/>
      <c r="AD372" s="212">
        <f t="shared" si="155"/>
        <v>46028</v>
      </c>
      <c r="AE372" s="387"/>
      <c r="AF372" s="388"/>
      <c r="AG372" s="388"/>
      <c r="AH372" s="388"/>
      <c r="AI372" s="388"/>
      <c r="AJ372" s="388"/>
      <c r="AK372" s="388"/>
      <c r="AL372" s="388"/>
      <c r="AM372" s="388"/>
      <c r="AN372" s="388"/>
      <c r="AO372" s="388"/>
      <c r="AP372" s="388"/>
      <c r="AQ372" s="388"/>
      <c r="AR372" s="388"/>
      <c r="AS372" s="388"/>
      <c r="AT372" s="388"/>
      <c r="AU372" s="388"/>
      <c r="AV372" s="388"/>
      <c r="AW372" s="388"/>
      <c r="AX372" s="388"/>
      <c r="AY372" s="388"/>
      <c r="AZ372" s="388"/>
      <c r="BA372" s="388"/>
      <c r="BB372" s="389"/>
      <c r="BC372" s="98">
        <v>1</v>
      </c>
      <c r="BD372" s="74">
        <v>1</v>
      </c>
      <c r="BE372" s="75">
        <f t="shared" si="153"/>
        <v>0</v>
      </c>
    </row>
    <row r="373" spans="1:57" s="1" customFormat="1" ht="18" customHeight="1" x14ac:dyDescent="0.4">
      <c r="A373" s="37" t="str">
        <f t="shared" si="146"/>
        <v>6Н</v>
      </c>
      <c r="B373" s="183"/>
      <c r="C373" s="41"/>
      <c r="D373" s="184"/>
      <c r="E373" s="282">
        <f t="shared" si="154"/>
        <v>46028</v>
      </c>
      <c r="F373" s="335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  <c r="W373" s="336"/>
      <c r="X373" s="98">
        <v>1</v>
      </c>
      <c r="Y373" s="74">
        <v>1</v>
      </c>
      <c r="Z373" s="75">
        <f t="shared" si="152"/>
        <v>0</v>
      </c>
      <c r="AA373" s="107">
        <f t="shared" si="156"/>
        <v>0</v>
      </c>
      <c r="AB373" s="41"/>
      <c r="AC373" s="184"/>
      <c r="AD373" s="212">
        <f t="shared" si="155"/>
        <v>46028</v>
      </c>
      <c r="AE373" s="387"/>
      <c r="AF373" s="388"/>
      <c r="AG373" s="388"/>
      <c r="AH373" s="388"/>
      <c r="AI373" s="388"/>
      <c r="AJ373" s="388"/>
      <c r="AK373" s="388"/>
      <c r="AL373" s="388"/>
      <c r="AM373" s="388"/>
      <c r="AN373" s="388"/>
      <c r="AO373" s="388"/>
      <c r="AP373" s="388"/>
      <c r="AQ373" s="388"/>
      <c r="AR373" s="388"/>
      <c r="AS373" s="388"/>
      <c r="AT373" s="388"/>
      <c r="AU373" s="388"/>
      <c r="AV373" s="388"/>
      <c r="AW373" s="388"/>
      <c r="AX373" s="388"/>
      <c r="AY373" s="388"/>
      <c r="AZ373" s="388"/>
      <c r="BA373" s="388"/>
      <c r="BB373" s="389"/>
      <c r="BC373" s="98">
        <v>1</v>
      </c>
      <c r="BD373" s="74">
        <v>1</v>
      </c>
      <c r="BE373" s="75">
        <f t="shared" si="153"/>
        <v>0</v>
      </c>
    </row>
    <row r="374" spans="1:57" s="1" customFormat="1" ht="18" customHeight="1" x14ac:dyDescent="0.4">
      <c r="A374" s="37" t="str">
        <f t="shared" si="146"/>
        <v>6Н</v>
      </c>
      <c r="B374" s="183"/>
      <c r="C374" s="41"/>
      <c r="D374" s="184"/>
      <c r="E374" s="282">
        <f t="shared" si="154"/>
        <v>46028</v>
      </c>
      <c r="F374" s="335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  <c r="W374" s="336"/>
      <c r="X374" s="98">
        <v>1</v>
      </c>
      <c r="Y374" s="74">
        <v>1</v>
      </c>
      <c r="Z374" s="75">
        <f t="shared" si="152"/>
        <v>0</v>
      </c>
      <c r="AA374" s="107">
        <f t="shared" si="156"/>
        <v>0</v>
      </c>
      <c r="AB374" s="41"/>
      <c r="AC374" s="184"/>
      <c r="AD374" s="212">
        <f t="shared" si="155"/>
        <v>46028</v>
      </c>
      <c r="AE374" s="387"/>
      <c r="AF374" s="388"/>
      <c r="AG374" s="388"/>
      <c r="AH374" s="388"/>
      <c r="AI374" s="388"/>
      <c r="AJ374" s="388"/>
      <c r="AK374" s="388"/>
      <c r="AL374" s="388"/>
      <c r="AM374" s="388"/>
      <c r="AN374" s="388"/>
      <c r="AO374" s="388"/>
      <c r="AP374" s="388"/>
      <c r="AQ374" s="388"/>
      <c r="AR374" s="388"/>
      <c r="AS374" s="388"/>
      <c r="AT374" s="388"/>
      <c r="AU374" s="388"/>
      <c r="AV374" s="388"/>
      <c r="AW374" s="388"/>
      <c r="AX374" s="388"/>
      <c r="AY374" s="388"/>
      <c r="AZ374" s="388"/>
      <c r="BA374" s="388"/>
      <c r="BB374" s="389"/>
      <c r="BC374" s="98">
        <v>1</v>
      </c>
      <c r="BD374" s="74">
        <v>1</v>
      </c>
      <c r="BE374" s="75">
        <f t="shared" si="153"/>
        <v>0</v>
      </c>
    </row>
    <row r="375" spans="1:57" s="1" customFormat="1" ht="18" customHeight="1" x14ac:dyDescent="0.4">
      <c r="A375" s="37" t="str">
        <f t="shared" si="146"/>
        <v>6Н</v>
      </c>
      <c r="B375" s="183"/>
      <c r="C375" s="41"/>
      <c r="D375" s="184"/>
      <c r="E375" s="282">
        <f t="shared" si="154"/>
        <v>46028</v>
      </c>
      <c r="F375" s="335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  <c r="W375" s="336"/>
      <c r="X375" s="98">
        <v>1</v>
      </c>
      <c r="Y375" s="74">
        <v>1</v>
      </c>
      <c r="Z375" s="75">
        <f t="shared" si="152"/>
        <v>0</v>
      </c>
      <c r="AA375" s="107">
        <f t="shared" si="156"/>
        <v>0</v>
      </c>
      <c r="AB375" s="41"/>
      <c r="AC375" s="184"/>
      <c r="AD375" s="212">
        <f t="shared" si="155"/>
        <v>46028</v>
      </c>
      <c r="AE375" s="387"/>
      <c r="AF375" s="388"/>
      <c r="AG375" s="388"/>
      <c r="AH375" s="388"/>
      <c r="AI375" s="388"/>
      <c r="AJ375" s="388"/>
      <c r="AK375" s="388"/>
      <c r="AL375" s="388"/>
      <c r="AM375" s="388"/>
      <c r="AN375" s="388"/>
      <c r="AO375" s="388"/>
      <c r="AP375" s="388"/>
      <c r="AQ375" s="388"/>
      <c r="AR375" s="388"/>
      <c r="AS375" s="388"/>
      <c r="AT375" s="388"/>
      <c r="AU375" s="388"/>
      <c r="AV375" s="388"/>
      <c r="AW375" s="388"/>
      <c r="AX375" s="388"/>
      <c r="AY375" s="388"/>
      <c r="AZ375" s="388"/>
      <c r="BA375" s="388"/>
      <c r="BB375" s="389"/>
      <c r="BC375" s="98">
        <v>1</v>
      </c>
      <c r="BD375" s="74">
        <v>1</v>
      </c>
      <c r="BE375" s="75">
        <f t="shared" si="153"/>
        <v>0</v>
      </c>
    </row>
    <row r="376" spans="1:57" s="1" customFormat="1" ht="18" customHeight="1" x14ac:dyDescent="0.4">
      <c r="A376" s="37" t="str">
        <f t="shared" si="146"/>
        <v>6Н</v>
      </c>
      <c r="B376" s="183"/>
      <c r="C376" s="41"/>
      <c r="D376" s="184"/>
      <c r="E376" s="282">
        <f t="shared" si="154"/>
        <v>46028</v>
      </c>
      <c r="F376" s="335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98">
        <v>1</v>
      </c>
      <c r="Y376" s="74">
        <v>1</v>
      </c>
      <c r="Z376" s="75">
        <f t="shared" si="152"/>
        <v>0</v>
      </c>
      <c r="AA376" s="107">
        <f t="shared" si="156"/>
        <v>0</v>
      </c>
      <c r="AB376" s="41"/>
      <c r="AC376" s="184"/>
      <c r="AD376" s="212">
        <f t="shared" si="155"/>
        <v>46028</v>
      </c>
      <c r="AE376" s="387"/>
      <c r="AF376" s="388"/>
      <c r="AG376" s="388"/>
      <c r="AH376" s="388"/>
      <c r="AI376" s="388"/>
      <c r="AJ376" s="388"/>
      <c r="AK376" s="388"/>
      <c r="AL376" s="388"/>
      <c r="AM376" s="388"/>
      <c r="AN376" s="388"/>
      <c r="AO376" s="388"/>
      <c r="AP376" s="388"/>
      <c r="AQ376" s="388"/>
      <c r="AR376" s="388"/>
      <c r="AS376" s="388"/>
      <c r="AT376" s="388"/>
      <c r="AU376" s="388"/>
      <c r="AV376" s="388"/>
      <c r="AW376" s="388"/>
      <c r="AX376" s="388"/>
      <c r="AY376" s="388"/>
      <c r="AZ376" s="388"/>
      <c r="BA376" s="388"/>
      <c r="BB376" s="389"/>
      <c r="BC376" s="98">
        <v>1</v>
      </c>
      <c r="BD376" s="74">
        <v>1</v>
      </c>
      <c r="BE376" s="75">
        <f t="shared" si="153"/>
        <v>0</v>
      </c>
    </row>
    <row r="377" spans="1:57" s="1" customFormat="1" ht="18" customHeight="1" x14ac:dyDescent="0.4">
      <c r="A377" s="37" t="str">
        <f t="shared" si="146"/>
        <v>6Н</v>
      </c>
      <c r="B377" s="183"/>
      <c r="C377" s="41"/>
      <c r="D377" s="184"/>
      <c r="E377" s="282">
        <f t="shared" si="154"/>
        <v>46028</v>
      </c>
      <c r="F377" s="335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  <c r="W377" s="336"/>
      <c r="X377" s="98">
        <v>1</v>
      </c>
      <c r="Y377" s="74">
        <v>1</v>
      </c>
      <c r="Z377" s="75">
        <f t="shared" si="152"/>
        <v>0</v>
      </c>
      <c r="AA377" s="107">
        <f t="shared" si="156"/>
        <v>0</v>
      </c>
      <c r="AB377" s="41"/>
      <c r="AC377" s="184"/>
      <c r="AD377" s="212">
        <f t="shared" si="155"/>
        <v>46028</v>
      </c>
      <c r="AE377" s="387"/>
      <c r="AF377" s="388"/>
      <c r="AG377" s="388"/>
      <c r="AH377" s="388"/>
      <c r="AI377" s="388"/>
      <c r="AJ377" s="388"/>
      <c r="AK377" s="388"/>
      <c r="AL377" s="388"/>
      <c r="AM377" s="388"/>
      <c r="AN377" s="388"/>
      <c r="AO377" s="388"/>
      <c r="AP377" s="388"/>
      <c r="AQ377" s="388"/>
      <c r="AR377" s="388"/>
      <c r="AS377" s="388"/>
      <c r="AT377" s="388"/>
      <c r="AU377" s="388"/>
      <c r="AV377" s="388"/>
      <c r="AW377" s="388"/>
      <c r="AX377" s="388"/>
      <c r="AY377" s="388"/>
      <c r="AZ377" s="388"/>
      <c r="BA377" s="388"/>
      <c r="BB377" s="389"/>
      <c r="BC377" s="98">
        <v>1</v>
      </c>
      <c r="BD377" s="74">
        <v>1</v>
      </c>
      <c r="BE377" s="75">
        <f t="shared" si="153"/>
        <v>0</v>
      </c>
    </row>
    <row r="378" spans="1:57" s="1" customFormat="1" ht="18" customHeight="1" x14ac:dyDescent="0.4">
      <c r="A378" s="37" t="str">
        <f t="shared" si="146"/>
        <v>6Н</v>
      </c>
      <c r="B378" s="183"/>
      <c r="C378" s="41"/>
      <c r="D378" s="184"/>
      <c r="E378" s="282">
        <f t="shared" si="154"/>
        <v>46028</v>
      </c>
      <c r="F378" s="335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  <c r="W378" s="336"/>
      <c r="X378" s="98">
        <v>1</v>
      </c>
      <c r="Y378" s="74">
        <v>1</v>
      </c>
      <c r="Z378" s="75">
        <f t="shared" si="152"/>
        <v>0</v>
      </c>
      <c r="AA378" s="107">
        <f t="shared" si="156"/>
        <v>0</v>
      </c>
      <c r="AB378" s="41"/>
      <c r="AC378" s="184"/>
      <c r="AD378" s="212">
        <f t="shared" si="155"/>
        <v>46028</v>
      </c>
      <c r="AE378" s="387"/>
      <c r="AF378" s="388"/>
      <c r="AG378" s="388"/>
      <c r="AH378" s="388"/>
      <c r="AI378" s="388"/>
      <c r="AJ378" s="388"/>
      <c r="AK378" s="388"/>
      <c r="AL378" s="388"/>
      <c r="AM378" s="388"/>
      <c r="AN378" s="388"/>
      <c r="AO378" s="388"/>
      <c r="AP378" s="388"/>
      <c r="AQ378" s="388"/>
      <c r="AR378" s="388"/>
      <c r="AS378" s="388"/>
      <c r="AT378" s="388"/>
      <c r="AU378" s="388"/>
      <c r="AV378" s="388"/>
      <c r="AW378" s="388"/>
      <c r="AX378" s="388"/>
      <c r="AY378" s="388"/>
      <c r="AZ378" s="388"/>
      <c r="BA378" s="388"/>
      <c r="BB378" s="389"/>
      <c r="BC378" s="98">
        <v>1</v>
      </c>
      <c r="BD378" s="74">
        <v>1</v>
      </c>
      <c r="BE378" s="75">
        <f t="shared" si="153"/>
        <v>0</v>
      </c>
    </row>
    <row r="379" spans="1:57" s="1" customFormat="1" ht="23.25" customHeight="1" x14ac:dyDescent="0.4">
      <c r="A379" s="37" t="str">
        <f t="shared" si="146"/>
        <v>6Н</v>
      </c>
      <c r="B379" s="183"/>
      <c r="C379" s="41"/>
      <c r="D379" s="184"/>
      <c r="E379" s="282">
        <f t="shared" si="154"/>
        <v>46028</v>
      </c>
      <c r="F379" s="335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  <c r="W379" s="336"/>
      <c r="X379" s="98">
        <v>1</v>
      </c>
      <c r="Y379" s="74">
        <v>1</v>
      </c>
      <c r="Z379" s="75">
        <f t="shared" si="152"/>
        <v>0</v>
      </c>
      <c r="AA379" s="107">
        <f t="shared" si="156"/>
        <v>0</v>
      </c>
      <c r="AB379" s="41"/>
      <c r="AC379" s="184"/>
      <c r="AD379" s="212">
        <f t="shared" si="155"/>
        <v>46028</v>
      </c>
      <c r="AE379" s="387"/>
      <c r="AF379" s="388"/>
      <c r="AG379" s="388"/>
      <c r="AH379" s="388"/>
      <c r="AI379" s="388"/>
      <c r="AJ379" s="388"/>
      <c r="AK379" s="388"/>
      <c r="AL379" s="388"/>
      <c r="AM379" s="388"/>
      <c r="AN379" s="388"/>
      <c r="AO379" s="388"/>
      <c r="AP379" s="388"/>
      <c r="AQ379" s="388"/>
      <c r="AR379" s="388"/>
      <c r="AS379" s="388"/>
      <c r="AT379" s="388"/>
      <c r="AU379" s="388"/>
      <c r="AV379" s="388"/>
      <c r="AW379" s="388"/>
      <c r="AX379" s="388"/>
      <c r="AY379" s="388"/>
      <c r="AZ379" s="388"/>
      <c r="BA379" s="388"/>
      <c r="BB379" s="389"/>
      <c r="BC379" s="98">
        <v>1</v>
      </c>
      <c r="BD379" s="74">
        <v>1</v>
      </c>
      <c r="BE379" s="75">
        <f t="shared" si="153"/>
        <v>0</v>
      </c>
    </row>
    <row r="380" spans="1:57" s="1" customFormat="1" ht="23.25" customHeight="1" thickBot="1" x14ac:dyDescent="0.45">
      <c r="A380" s="37"/>
      <c r="B380" s="183"/>
      <c r="C380" s="41"/>
      <c r="D380" s="184"/>
      <c r="E380" s="283">
        <f t="shared" si="154"/>
        <v>46028</v>
      </c>
      <c r="F380" s="339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99">
        <v>1</v>
      </c>
      <c r="Y380" s="76">
        <v>1</v>
      </c>
      <c r="Z380" s="77">
        <f t="shared" si="152"/>
        <v>0</v>
      </c>
      <c r="AA380" s="107">
        <f t="shared" si="156"/>
        <v>0</v>
      </c>
      <c r="AB380" s="41"/>
      <c r="AC380" s="184"/>
      <c r="AD380" s="211">
        <f t="shared" si="155"/>
        <v>46028</v>
      </c>
      <c r="AE380" s="410"/>
      <c r="AF380" s="411"/>
      <c r="AG380" s="411"/>
      <c r="AH380" s="411"/>
      <c r="AI380" s="411"/>
      <c r="AJ380" s="411"/>
      <c r="AK380" s="411"/>
      <c r="AL380" s="411"/>
      <c r="AM380" s="411"/>
      <c r="AN380" s="411"/>
      <c r="AO380" s="411"/>
      <c r="AP380" s="411"/>
      <c r="AQ380" s="411"/>
      <c r="AR380" s="411"/>
      <c r="AS380" s="411"/>
      <c r="AT380" s="411"/>
      <c r="AU380" s="411"/>
      <c r="AV380" s="411"/>
      <c r="AW380" s="411"/>
      <c r="AX380" s="411"/>
      <c r="AY380" s="411"/>
      <c r="AZ380" s="411"/>
      <c r="BA380" s="411"/>
      <c r="BB380" s="412"/>
      <c r="BC380" s="99">
        <v>1</v>
      </c>
      <c r="BD380" s="76">
        <v>1</v>
      </c>
      <c r="BE380" s="75">
        <f t="shared" si="153"/>
        <v>0</v>
      </c>
    </row>
    <row r="381" spans="1:57" s="1" customFormat="1" ht="21.6" customHeight="1" thickBot="1" x14ac:dyDescent="0.45">
      <c r="A381" s="37" t="s">
        <v>158</v>
      </c>
      <c r="B381" s="297"/>
      <c r="C381" s="47"/>
      <c r="D381" s="47"/>
      <c r="E381" s="47"/>
      <c r="F381" s="78"/>
      <c r="G381" s="78"/>
      <c r="H381" s="78"/>
      <c r="I381" s="80"/>
      <c r="J381" s="80"/>
      <c r="K381" s="80"/>
      <c r="L381" s="80"/>
      <c r="M381" s="80"/>
      <c r="N381" s="80"/>
      <c r="O381" s="78"/>
      <c r="P381" s="81"/>
      <c r="Q381" s="81"/>
      <c r="R381" s="81"/>
      <c r="S381" s="81"/>
      <c r="T381" s="81"/>
      <c r="U381" s="82"/>
      <c r="V381" s="82"/>
      <c r="W381" s="86"/>
      <c r="X381" s="194"/>
      <c r="Y381" s="83"/>
      <c r="Z381" s="83"/>
      <c r="AA381" s="78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84"/>
      <c r="AN381" s="47"/>
      <c r="AO381" s="78"/>
      <c r="AP381" s="78"/>
      <c r="AQ381" s="78"/>
      <c r="AR381" s="84"/>
      <c r="AS381" s="78"/>
      <c r="AT381" s="85"/>
      <c r="AU381" s="78"/>
      <c r="AV381" s="83"/>
      <c r="AW381" s="83"/>
      <c r="AX381" s="78"/>
      <c r="AY381" s="78"/>
      <c r="AZ381" s="78"/>
      <c r="BA381" s="78"/>
      <c r="BB381" s="78"/>
      <c r="BC381" s="78"/>
      <c r="BD381" s="79"/>
      <c r="BE381" s="79"/>
    </row>
    <row r="382" spans="1:57" s="1" customFormat="1" ht="21.6" customHeight="1" thickBot="1" x14ac:dyDescent="0.45">
      <c r="A382" s="37">
        <f>A380</f>
        <v>0</v>
      </c>
      <c r="B382" s="296"/>
      <c r="C382" s="51"/>
      <c r="D382" s="51"/>
      <c r="E382" s="51"/>
      <c r="F382" s="158" t="s">
        <v>147</v>
      </c>
      <c r="G382" s="51"/>
      <c r="H382" s="51"/>
      <c r="I382" s="156"/>
      <c r="J382" s="156"/>
      <c r="K382" s="156"/>
      <c r="L382" s="156"/>
      <c r="M382" s="156"/>
      <c r="N382" s="156"/>
      <c r="O382" s="91"/>
      <c r="P382" s="52"/>
      <c r="Q382" s="52"/>
      <c r="R382" s="52"/>
      <c r="S382" s="52"/>
      <c r="T382" s="52"/>
      <c r="U382" s="157"/>
      <c r="V382" s="157"/>
      <c r="W382" s="94"/>
      <c r="X382" s="94"/>
      <c r="Y382" s="51"/>
      <c r="Z382" s="51"/>
      <c r="AA382" s="157">
        <f>AA365</f>
        <v>1</v>
      </c>
      <c r="AB382" s="157">
        <f t="shared" ref="AB382:AF382" si="157">AB365</f>
        <v>2</v>
      </c>
      <c r="AC382" s="157">
        <f t="shared" si="157"/>
        <v>3</v>
      </c>
      <c r="AD382" s="157">
        <f t="shared" si="157"/>
        <v>4</v>
      </c>
      <c r="AE382" s="157">
        <f t="shared" si="157"/>
        <v>5</v>
      </c>
      <c r="AF382" s="157">
        <f t="shared" si="157"/>
        <v>6</v>
      </c>
      <c r="AG382" s="162" t="s">
        <v>123</v>
      </c>
      <c r="AH382" s="162" t="s">
        <v>124</v>
      </c>
      <c r="AI382" s="162" t="s">
        <v>125</v>
      </c>
      <c r="AJ382" s="91" t="s">
        <v>126</v>
      </c>
      <c r="AK382" s="198" t="s">
        <v>136</v>
      </c>
      <c r="AL382" s="198" t="s">
        <v>137</v>
      </c>
      <c r="AM382" s="198" t="s">
        <v>138</v>
      </c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</row>
    <row r="383" spans="1:57" s="1" customFormat="1" ht="21.6" customHeight="1" x14ac:dyDescent="0.4">
      <c r="A383" s="37" t="str">
        <f>A381</f>
        <v>7Д</v>
      </c>
      <c r="B383" s="12">
        <f>B364+1</f>
        <v>46029</v>
      </c>
      <c r="C383" s="97"/>
      <c r="D383" s="97">
        <v>1</v>
      </c>
      <c r="E383" s="29"/>
      <c r="F383" s="151" t="str">
        <f>IFERROR(VLOOKUP($G383,нормы!$A$14:$BC$57,2,0),"")</f>
        <v/>
      </c>
      <c r="G383" s="93"/>
      <c r="H383" s="54">
        <f>IF(C383=1,"Кульков С.А.", IF(C383=2,"Чудаков А.А.",IF(C383=3,"Королев В.Н.",IF(C383=4,"Николашин М.П.",IF(C383=5," Кульков С.А.",IF(C383=6,"А.А. Чудаков",IF(C383=7,"В.Н. Королев",IF(C383=8,"М.П. Николашин",0))))))))</f>
        <v>0</v>
      </c>
      <c r="I383" s="88" t="s">
        <v>84</v>
      </c>
      <c r="J383" s="332"/>
      <c r="K383" s="30">
        <f>IFERROR(VLOOKUP($G383,[1]нормы!$A$21:$BC$151,15,0),"")</f>
        <v>0</v>
      </c>
      <c r="L383" s="31">
        <f>IFERROR(VLOOKUP($G383,[1]нормы!$A$21:$BC$151,17,0),"")</f>
        <v>0</v>
      </c>
      <c r="M383" s="310">
        <f>IFERROR(VLOOKUP($G383,[1]нормы!$A$21:$BC$151,27,0),"")</f>
        <v>0</v>
      </c>
      <c r="N383" s="311" t="str">
        <f>IFERROR(Y383/Y389*(1.1*J383*I388),"")</f>
        <v/>
      </c>
      <c r="O383" s="300">
        <f>IFERROR(VLOOKUP($G383,[1]нормы!$A$21:$BC$151,21,0),"")</f>
        <v>0</v>
      </c>
      <c r="P383" s="35">
        <f>IFERROR(VLOOKUP($G383,[1]нормы!$A$21:$BC$151,19,0),"")</f>
        <v>0</v>
      </c>
      <c r="Q383" s="35">
        <f>IFERROR(VLOOKUP($G383,[1]нормы!$A$21:$BC$151,23,0),"")</f>
        <v>0</v>
      </c>
      <c r="R383" s="231">
        <f>IFERROR(VLOOKUP($G383,[1]нормы!$A$21:$BC$151,29,0),"")</f>
        <v>0</v>
      </c>
      <c r="S383" s="35">
        <f>IFERROR(VLOOKUP($G383,[1]нормы!$A$21:$BC$151,31,0),"")</f>
        <v>0</v>
      </c>
      <c r="T383" s="32">
        <f>IFERROR(VLOOKUP($G383,[1]нормы!$A$21:$BC$151,25,0),"")</f>
        <v>0</v>
      </c>
      <c r="U383" s="232" t="str">
        <f>IFERROR(W383/(((100*Y383/Y389)*I388)/100),"")</f>
        <v/>
      </c>
      <c r="V383" s="234" t="str">
        <f>IFERROR(VLOOKUP($G383,нормы!$A$14:$BC$57,38,0),"")</f>
        <v/>
      </c>
      <c r="W383" s="136"/>
      <c r="X383" s="236"/>
      <c r="Y383" s="152" t="str">
        <f>IFERROR(VLOOKUP($G383,нормы!$A$14:$BC$57,42,0)*W383,"")</f>
        <v/>
      </c>
      <c r="Z383" s="163">
        <f>IFERROR(VLOOKUP($G383,нормы!$A$14:$BC$57,14,0)*W383/1000,0)</f>
        <v>0</v>
      </c>
      <c r="AA383" s="33"/>
      <c r="AB383" s="36"/>
      <c r="AC383" s="36"/>
      <c r="AD383" s="36"/>
      <c r="AE383" s="34"/>
      <c r="AF383" s="159"/>
      <c r="AG383" s="390"/>
      <c r="AH383" s="393"/>
      <c r="AI383" s="396"/>
      <c r="AJ383" s="407">
        <f>AG383+AH383</f>
        <v>0</v>
      </c>
      <c r="AK383" s="359"/>
      <c r="AL383" s="359"/>
      <c r="AM383" s="359"/>
      <c r="AN383" s="287">
        <f>IFERROR(Y383*AJ383/Y389,)</f>
        <v>0</v>
      </c>
      <c r="AO383" s="197" t="str">
        <f>IFERROR(VLOOKUP($G383,нормы!$A$14:$BC$57,53,0)*$W383,"")</f>
        <v/>
      </c>
      <c r="AP383" s="288">
        <f>IFERROR(Y383*AI383/Y389,)</f>
        <v>0</v>
      </c>
      <c r="AQ383" s="197" t="str">
        <f>IFERROR(VLOOKUP($G383,нормы!$A$14:$BC$57,54,0)*$W383,"")</f>
        <v/>
      </c>
      <c r="AR383" s="288">
        <f>IFERROR(AS383/SUM(AS383:AS388)*AL383,0)</f>
        <v>0</v>
      </c>
      <c r="AS383" s="197" t="str">
        <f>IFERROR(VLOOKUP($G383,нормы!$A$14:$BC$57,55,0)*W383,"")</f>
        <v/>
      </c>
      <c r="AT383" s="288">
        <f>IFERROR(AU383/SUM(AU383:AU388)*AM383,0)</f>
        <v>0</v>
      </c>
      <c r="AU383" s="197" t="str">
        <f>IFERROR(VLOOKUP($G383,нормы!$A$14:$BI$57,56,0)*W383,"")</f>
        <v/>
      </c>
      <c r="AV383" s="288">
        <f>IFERROR(AW383/SUM(AW383:AW388)*AK383,0)</f>
        <v>0</v>
      </c>
      <c r="AW383" s="202" t="str">
        <f>IFERROR(VLOOKUP($G383,нормы!$A$14:$BI$57,57,0)*W383,"")</f>
        <v/>
      </c>
      <c r="AX383" s="33"/>
      <c r="AY383" s="203" t="str">
        <f>IFERROR(VLOOKUP($G383,нормы!$A$14:$BI$57,58,0)*W383,"")</f>
        <v/>
      </c>
      <c r="AZ383" s="204"/>
      <c r="BA383" s="200" t="str">
        <f>IFERROR(VLOOKUP($G383,нормы!$A$14:$BI$57,61,0)*$W383,"")</f>
        <v/>
      </c>
      <c r="BB383" s="33"/>
      <c r="BC383" s="203" t="str">
        <f>IFERROR(VLOOKUP($G383,нормы!$A$14:$BI$57,60,0)*W383,"")</f>
        <v/>
      </c>
      <c r="BD383" s="200" t="str">
        <f>IFERROR(VLOOKUP($G383,нормы!$A$14:$BG$57,44,0),"")</f>
        <v/>
      </c>
      <c r="BE383" s="199" t="str">
        <f>IFERROR(W383/VLOOKUP($G383,нормы!$A$14:$BI$57,45,0),"")</f>
        <v/>
      </c>
    </row>
    <row r="384" spans="1:57" s="1" customFormat="1" ht="21.6" customHeight="1" x14ac:dyDescent="0.4">
      <c r="A384" s="37" t="str">
        <f t="shared" ref="A384:A412" si="158">A383</f>
        <v>7Д</v>
      </c>
      <c r="B384" s="12">
        <f t="shared" ref="B384:D388" si="159">B383</f>
        <v>46029</v>
      </c>
      <c r="C384" s="97">
        <f t="shared" si="159"/>
        <v>0</v>
      </c>
      <c r="D384" s="97">
        <f t="shared" si="159"/>
        <v>1</v>
      </c>
      <c r="E384" s="54"/>
      <c r="F384" s="151" t="str">
        <f>IFERROR(VLOOKUP($G384,нормы!$A$14:$BC$57,2,0),"")</f>
        <v/>
      </c>
      <c r="G384" s="93"/>
      <c r="H384" s="54">
        <f t="shared" ref="H384:H388" si="160">IF(C384=1,"Кульков С.А.", IF(C384=2,"Чудаков А.А.",IF(C384=3,"Королев В.Н.",IF(C384=4,"Николашин М.П.",IF(C384=5," Кульков С.А.",IF(C384=6,"А.А. Чудаков",IF(C384=7,"В.Н. Королев",IF(C384=8,"М.П. Николашин",0))))))))</f>
        <v>0</v>
      </c>
      <c r="I384" s="55"/>
      <c r="J384" s="333"/>
      <c r="K384" s="30">
        <f>IFERROR(VLOOKUP($G384,[1]нормы!$A$21:$BC$151,15,0),"")</f>
        <v>0</v>
      </c>
      <c r="L384" s="31">
        <f>IFERROR(VLOOKUP($G384,[1]нормы!$A$21:$BC$151,17,0),"")</f>
        <v>0</v>
      </c>
      <c r="M384" s="306">
        <f>IFERROR(VLOOKUP($G384,[1]нормы!$A$21:$BC$151,27,0),"")</f>
        <v>0</v>
      </c>
      <c r="N384" s="307" t="str">
        <f>IFERROR(Y384/Y389*(1.1*J383*I388),"")</f>
        <v/>
      </c>
      <c r="O384" s="300">
        <f>IFERROR(VLOOKUP($G384,[1]нормы!$A$21:$BC$151,21,0),"")</f>
        <v>0</v>
      </c>
      <c r="P384" s="35">
        <f>IFERROR(VLOOKUP($G384,[1]нормы!$A$21:$BC$151,19,0),"")</f>
        <v>0</v>
      </c>
      <c r="Q384" s="35">
        <f>IFERROR(VLOOKUP($G384,[1]нормы!$A$21:$BC$151,23,0),"")</f>
        <v>0</v>
      </c>
      <c r="R384" s="231">
        <f>IFERROR(VLOOKUP($G384,[1]нормы!$A$21:$BC$151,29,0),"")</f>
        <v>0</v>
      </c>
      <c r="S384" s="35">
        <f>IFERROR(VLOOKUP($G384,[1]нормы!$A$21:$BC$151,31,0),"")</f>
        <v>0</v>
      </c>
      <c r="T384" s="32">
        <f>IFERROR(VLOOKUP($G384,[1]нормы!$A$21:$BC$151,25,0),"")</f>
        <v>0</v>
      </c>
      <c r="U384" s="233" t="str">
        <f>IFERROR(W384/(((100*Y384/Y389)*I388)/100),"")</f>
        <v/>
      </c>
      <c r="V384" s="234" t="str">
        <f>IFERROR(VLOOKUP($G384,нормы!$A$14:$BC$57,38,0),"")</f>
        <v/>
      </c>
      <c r="W384" s="136"/>
      <c r="X384" s="237"/>
      <c r="Y384" s="152" t="str">
        <f>IFERROR(VLOOKUP($G384,нормы!$A$14:$BC$57,42,0)*W384,"")</f>
        <v/>
      </c>
      <c r="Z384" s="163">
        <f>IFERROR(VLOOKUP($G384,нормы!$A$14:$BC$57,14,0)*W384/1000,0)</f>
        <v>0</v>
      </c>
      <c r="AA384" s="142"/>
      <c r="AB384" s="35"/>
      <c r="AC384" s="35"/>
      <c r="AD384" s="35"/>
      <c r="AE384" s="31"/>
      <c r="AF384" s="160"/>
      <c r="AG384" s="391"/>
      <c r="AH384" s="394"/>
      <c r="AI384" s="397"/>
      <c r="AJ384" s="408"/>
      <c r="AK384" s="360"/>
      <c r="AL384" s="360"/>
      <c r="AM384" s="360"/>
      <c r="AN384" s="289">
        <f>IFERROR(Y384*AJ383/Y389,)</f>
        <v>0</v>
      </c>
      <c r="AO384" s="197" t="str">
        <f>IFERROR(VLOOKUP($G384,нормы!$A$14:$BC$57,53,0)*$W384,"")</f>
        <v/>
      </c>
      <c r="AP384" s="290">
        <f>IFERROR(Y384*AI383/Y389,)</f>
        <v>0</v>
      </c>
      <c r="AQ384" s="197" t="str">
        <f>IFERROR(VLOOKUP($G384,нормы!$A$14:$BC$57,54,0)*$W384,"")</f>
        <v/>
      </c>
      <c r="AR384" s="290">
        <f>IFERROR(AS384/SUM(AS383:AS388)*AL383,0)</f>
        <v>0</v>
      </c>
      <c r="AS384" s="197" t="str">
        <f>IFERROR(VLOOKUP($G384,нормы!$A$14:$BC$57,55,0)*W384,"")</f>
        <v/>
      </c>
      <c r="AT384" s="290">
        <f>IFERROR(AU384/SUM(AU383:AU388)*AM383,0)</f>
        <v>0</v>
      </c>
      <c r="AU384" s="197" t="str">
        <f>IFERROR(VLOOKUP($G384,нормы!$A$14:$BI$57,56,0)*W384,"")</f>
        <v/>
      </c>
      <c r="AV384" s="290">
        <f>IFERROR(AW384/SUM(AW383:AW388)*AK383,0)</f>
        <v>0</v>
      </c>
      <c r="AW384" s="202" t="str">
        <f>IFERROR(VLOOKUP($G384,нормы!$A$14:$BI$57,57,0)*W384,"")</f>
        <v/>
      </c>
      <c r="AX384" s="30"/>
      <c r="AY384" s="203" t="str">
        <f>IFERROR(VLOOKUP($G384,нормы!$A$14:$BI$57,58,0)*W384,"")</f>
        <v/>
      </c>
      <c r="AZ384" s="205"/>
      <c r="BA384" s="200" t="str">
        <f>IFERROR(VLOOKUP($G384,нормы!$A$14:$BI$57,61,0)*$W384,"")</f>
        <v/>
      </c>
      <c r="BB384" s="30"/>
      <c r="BC384" s="203" t="str">
        <f>IFERROR(VLOOKUP($G384,нормы!$A$14:$BI$57,60,0)*W384,"")</f>
        <v/>
      </c>
      <c r="BD384" s="200" t="str">
        <f>IFERROR(VLOOKUP($G384,нормы!$A$14:$BG$57,44,0),"")</f>
        <v/>
      </c>
      <c r="BE384" s="199" t="str">
        <f>IFERROR(W384/VLOOKUP($G384,нормы!$A$14:$BI$57,45,0),"")</f>
        <v/>
      </c>
    </row>
    <row r="385" spans="1:57" s="1" customFormat="1" ht="20.25" customHeight="1" x14ac:dyDescent="0.4">
      <c r="A385" s="37" t="str">
        <f t="shared" si="158"/>
        <v>7Д</v>
      </c>
      <c r="B385" s="12">
        <f t="shared" si="159"/>
        <v>46029</v>
      </c>
      <c r="C385" s="97">
        <f t="shared" si="159"/>
        <v>0</v>
      </c>
      <c r="D385" s="97">
        <f t="shared" si="159"/>
        <v>1</v>
      </c>
      <c r="E385" s="54"/>
      <c r="F385" s="151" t="str">
        <f>IFERROR(VLOOKUP($G385,нормы!$A$14:$BC$57,2,0),"")</f>
        <v/>
      </c>
      <c r="G385" s="38"/>
      <c r="H385" s="54">
        <f t="shared" si="160"/>
        <v>0</v>
      </c>
      <c r="I385" s="89" t="s">
        <v>85</v>
      </c>
      <c r="J385" s="333"/>
      <c r="K385" s="30">
        <f>IFERROR(VLOOKUP($G385,[1]нормы!$A$21:$BC$151,15,0),"")</f>
        <v>0</v>
      </c>
      <c r="L385" s="31">
        <f>IFERROR(VLOOKUP($G385,[1]нормы!$A$21:$BC$151,17,0),"")</f>
        <v>0</v>
      </c>
      <c r="M385" s="306">
        <f>IFERROR(VLOOKUP($G385,[1]нормы!$A$21:$BC$151,27,0),"")</f>
        <v>0</v>
      </c>
      <c r="N385" s="307" t="str">
        <f>IFERROR(Y385/Y389*(1.1*J383*I388),"")</f>
        <v/>
      </c>
      <c r="O385" s="300">
        <f>IFERROR(VLOOKUP($G385,[1]нормы!$A$21:$BC$151,21,0),"")</f>
        <v>0</v>
      </c>
      <c r="P385" s="35">
        <f>IFERROR(VLOOKUP($G385,[1]нормы!$A$21:$BC$151,19,0),"")</f>
        <v>0</v>
      </c>
      <c r="Q385" s="35">
        <f>IFERROR(VLOOKUP($G385,[1]нормы!$A$21:$BC$151,23,0),"")</f>
        <v>0</v>
      </c>
      <c r="R385" s="231">
        <f>IFERROR(VLOOKUP($G385,[1]нормы!$A$21:$BC$151,29,0),"")</f>
        <v>0</v>
      </c>
      <c r="S385" s="35">
        <f>IFERROR(VLOOKUP($G385,[1]нормы!$A$21:$BC$151,31,0),"")</f>
        <v>0</v>
      </c>
      <c r="T385" s="32">
        <f>IFERROR(VLOOKUP($G385,[1]нормы!$A$21:$BC$151,25,0),"")</f>
        <v>0</v>
      </c>
      <c r="U385" s="233" t="str">
        <f>IFERROR(W385/(((100*Y385/Y389)*I388)/100),"")</f>
        <v/>
      </c>
      <c r="V385" s="234" t="str">
        <f>IFERROR(VLOOKUP($G385,нормы!$A$14:$BC$57,38,0),"")</f>
        <v/>
      </c>
      <c r="W385" s="136"/>
      <c r="X385" s="237"/>
      <c r="Y385" s="152" t="str">
        <f>IFERROR(VLOOKUP($G385,нормы!$A$14:$BC$57,42,0)*W385,"")</f>
        <v/>
      </c>
      <c r="Z385" s="163">
        <f>IFERROR(VLOOKUP($G385,нормы!$A$14:$BC$57,14,0)*W385/1000,0)</f>
        <v>0</v>
      </c>
      <c r="AA385" s="30"/>
      <c r="AB385" s="35"/>
      <c r="AC385" s="35"/>
      <c r="AD385" s="35"/>
      <c r="AE385" s="31"/>
      <c r="AF385" s="160"/>
      <c r="AG385" s="391"/>
      <c r="AH385" s="394"/>
      <c r="AI385" s="397"/>
      <c r="AJ385" s="408"/>
      <c r="AK385" s="360"/>
      <c r="AL385" s="360"/>
      <c r="AM385" s="360"/>
      <c r="AN385" s="289">
        <f>IFERROR(Y385*AJ383/Y389,)</f>
        <v>0</v>
      </c>
      <c r="AO385" s="197" t="str">
        <f>IFERROR(VLOOKUP($G385,нормы!$A$14:$BC$57,53,0)*$W385,"")</f>
        <v/>
      </c>
      <c r="AP385" s="290">
        <f>IFERROR(Y385*AI383/Y389,)</f>
        <v>0</v>
      </c>
      <c r="AQ385" s="197" t="str">
        <f>IFERROR(VLOOKUP($G385,нормы!$A$14:$BC$57,54,0)*$W385,"")</f>
        <v/>
      </c>
      <c r="AR385" s="290">
        <f>IFERROR(AS385/SUM(AS383:AS388)*AL383,0)</f>
        <v>0</v>
      </c>
      <c r="AS385" s="197" t="str">
        <f>IFERROR(VLOOKUP($G385,нормы!$A$14:$BC$57,55,0)*W385,"")</f>
        <v/>
      </c>
      <c r="AT385" s="290">
        <f>IFERROR(AU385/SUM(AU383:AU388)*AM383,0)</f>
        <v>0</v>
      </c>
      <c r="AU385" s="197" t="str">
        <f>IFERROR(VLOOKUP($G385,нормы!$A$14:$BI$57,56,0)*W385,"")</f>
        <v/>
      </c>
      <c r="AV385" s="290">
        <f>IFERROR(AW385/SUM(AW383:AW388)*AK383,0)</f>
        <v>0</v>
      </c>
      <c r="AW385" s="202" t="str">
        <f>IFERROR(VLOOKUP($G385,нормы!$A$14:$BI$57,57,0)*W385,"")</f>
        <v/>
      </c>
      <c r="AX385" s="30"/>
      <c r="AY385" s="203" t="str">
        <f>IFERROR(VLOOKUP($G385,нормы!$A$14:$BI$57,58,0)*W385,"")</f>
        <v/>
      </c>
      <c r="AZ385" s="205"/>
      <c r="BA385" s="200" t="str">
        <f>IFERROR(VLOOKUP($G385,нормы!$A$14:$BI$57,61,0)*$W385,"")</f>
        <v/>
      </c>
      <c r="BB385" s="30"/>
      <c r="BC385" s="203" t="str">
        <f>IFERROR(VLOOKUP($G385,нормы!$A$14:$BI$57,60,0)*W385,"")</f>
        <v/>
      </c>
      <c r="BD385" s="200" t="str">
        <f>IFERROR(VLOOKUP($G385,нормы!$A$14:$BG$57,44,0),"")</f>
        <v/>
      </c>
      <c r="BE385" s="199" t="str">
        <f>IFERROR(W385/VLOOKUP($G385,нормы!$A$14:$BI$57,45,0),"")</f>
        <v/>
      </c>
    </row>
    <row r="386" spans="1:57" s="1" customFormat="1" ht="20.25" customHeight="1" x14ac:dyDescent="0.4">
      <c r="A386" s="37" t="str">
        <f t="shared" si="158"/>
        <v>7Д</v>
      </c>
      <c r="B386" s="12">
        <f t="shared" si="159"/>
        <v>46029</v>
      </c>
      <c r="C386" s="97">
        <f t="shared" si="159"/>
        <v>0</v>
      </c>
      <c r="D386" s="97">
        <f t="shared" si="159"/>
        <v>1</v>
      </c>
      <c r="E386" s="54"/>
      <c r="F386" s="151" t="str">
        <f>IFERROR(VLOOKUP($G386,нормы!$A$14:$BC$57,2,0),"")</f>
        <v/>
      </c>
      <c r="G386" s="93"/>
      <c r="H386" s="54">
        <f t="shared" si="160"/>
        <v>0</v>
      </c>
      <c r="I386" s="55"/>
      <c r="J386" s="333"/>
      <c r="K386" s="30">
        <f>IFERROR(VLOOKUP($G386,[1]нормы!$A$21:$BC$151,15,0),"")</f>
        <v>0</v>
      </c>
      <c r="L386" s="31">
        <f>IFERROR(VLOOKUP($G386,[1]нормы!$A$21:$BC$151,17,0),"")</f>
        <v>0</v>
      </c>
      <c r="M386" s="306">
        <f>IFERROR(VLOOKUP($G386,[1]нормы!$A$21:$BC$151,27,0),"")</f>
        <v>0</v>
      </c>
      <c r="N386" s="307" t="str">
        <f>IFERROR(Y386/Y389*(1.1*J383*I391),"")</f>
        <v/>
      </c>
      <c r="O386" s="300">
        <f>IFERROR(VLOOKUP($G386,[1]нормы!$A$21:$BC$151,21,0),"")</f>
        <v>0</v>
      </c>
      <c r="P386" s="35">
        <f>IFERROR(VLOOKUP($G386,[1]нормы!$A$21:$BC$151,19,0),"")</f>
        <v>0</v>
      </c>
      <c r="Q386" s="35">
        <f>IFERROR(VLOOKUP($G386,[1]нормы!$A$21:$BC$151,23,0),"")</f>
        <v>0</v>
      </c>
      <c r="R386" s="231">
        <f>IFERROR(VLOOKUP($G386,[1]нормы!$A$21:$BC$151,29,0),"")</f>
        <v>0</v>
      </c>
      <c r="S386" s="35">
        <f>IFERROR(VLOOKUP($G386,[1]нормы!$A$21:$BC$151,31,0),"")</f>
        <v>0</v>
      </c>
      <c r="T386" s="32">
        <f>IFERROR(VLOOKUP($G386,[1]нормы!$A$21:$BC$151,25,0),"")</f>
        <v>0</v>
      </c>
      <c r="U386" s="233" t="str">
        <f>IFERROR(W386/(((100*Y386/Y389)*I388)/100),"")</f>
        <v/>
      </c>
      <c r="V386" s="234" t="str">
        <f>IFERROR(VLOOKUP($G386,нормы!$A$14:$BC$57,38,0),"")</f>
        <v/>
      </c>
      <c r="W386" s="136"/>
      <c r="X386" s="237"/>
      <c r="Y386" s="152" t="str">
        <f>IFERROR(VLOOKUP($G386,нормы!$A$14:$BC$57,42,0)*W386,"")</f>
        <v/>
      </c>
      <c r="Z386" s="163">
        <f>IFERROR(VLOOKUP($G386,нормы!$A$14:$BC$57,14,0)*W386/1000,0)</f>
        <v>0</v>
      </c>
      <c r="AA386" s="30"/>
      <c r="AB386" s="35"/>
      <c r="AC386" s="35"/>
      <c r="AD386" s="35"/>
      <c r="AE386" s="31"/>
      <c r="AF386" s="160"/>
      <c r="AG386" s="391"/>
      <c r="AH386" s="394"/>
      <c r="AI386" s="397"/>
      <c r="AJ386" s="408"/>
      <c r="AK386" s="360"/>
      <c r="AL386" s="360"/>
      <c r="AM386" s="360"/>
      <c r="AN386" s="289">
        <f>IFERROR(Y386*AJ383/Y389,)</f>
        <v>0</v>
      </c>
      <c r="AO386" s="197" t="str">
        <f>IFERROR(VLOOKUP($G386,нормы!$A$14:$BC$57,53,0)*$W386,"")</f>
        <v/>
      </c>
      <c r="AP386" s="290">
        <f>IFERROR(Y386*AI383/Y389,)</f>
        <v>0</v>
      </c>
      <c r="AQ386" s="197" t="str">
        <f>IFERROR(VLOOKUP($G386,нормы!$A$14:$BC$57,54,0)*$W386,"")</f>
        <v/>
      </c>
      <c r="AR386" s="290">
        <f>IFERROR(AS386/SUM(AS383:AS388)*AL383,0)</f>
        <v>0</v>
      </c>
      <c r="AS386" s="197" t="str">
        <f>IFERROR(VLOOKUP($G386,нормы!$A$14:$BC$57,55,0)*W386,"")</f>
        <v/>
      </c>
      <c r="AT386" s="290">
        <f>IFERROR(AU386/SUM(AU383:AU388)*AM383,0)</f>
        <v>0</v>
      </c>
      <c r="AU386" s="197" t="str">
        <f>IFERROR(VLOOKUP($G386,нормы!$A$14:$BI$57,56,0)*W386,"")</f>
        <v/>
      </c>
      <c r="AV386" s="290">
        <f>IFERROR(AW386/SUM(AW383:AW388)*AK383,0)</f>
        <v>0</v>
      </c>
      <c r="AW386" s="202" t="str">
        <f>IFERROR(VLOOKUP($G386,нормы!$A$14:$BI$57,57,0)*W386,"")</f>
        <v/>
      </c>
      <c r="AX386" s="30"/>
      <c r="AY386" s="203" t="str">
        <f>IFERROR(VLOOKUP($G386,нормы!$A$14:$BI$57,58,0)*W386,"")</f>
        <v/>
      </c>
      <c r="AZ386" s="205"/>
      <c r="BA386" s="200" t="str">
        <f>IFERROR(VLOOKUP($G386,нормы!$A$14:$BI$57,61,0)*$W386,"")</f>
        <v/>
      </c>
      <c r="BB386" s="30"/>
      <c r="BC386" s="203" t="str">
        <f>IFERROR(VLOOKUP($G386,нормы!$A$14:$BI$57,60,0)*W386,"")</f>
        <v/>
      </c>
      <c r="BD386" s="200" t="str">
        <f>IFERROR(VLOOKUP($G386,нормы!$A$14:$BG$57,44,0),"")</f>
        <v/>
      </c>
      <c r="BE386" s="199" t="str">
        <f>IFERROR(W386/VLOOKUP($G386,нормы!$A$14:$BI$57,45,0),"")</f>
        <v/>
      </c>
    </row>
    <row r="387" spans="1:57" s="1" customFormat="1" ht="20.25" customHeight="1" x14ac:dyDescent="0.4">
      <c r="A387" s="37" t="str">
        <f t="shared" si="158"/>
        <v>7Д</v>
      </c>
      <c r="B387" s="12">
        <f t="shared" si="159"/>
        <v>46029</v>
      </c>
      <c r="C387" s="97">
        <f t="shared" si="159"/>
        <v>0</v>
      </c>
      <c r="D387" s="97">
        <f t="shared" si="159"/>
        <v>1</v>
      </c>
      <c r="E387" s="54"/>
      <c r="F387" s="151" t="str">
        <f>IFERROR(VLOOKUP($G387,нормы!$A$14:$BC$57,2,0),"")</f>
        <v/>
      </c>
      <c r="G387" s="38"/>
      <c r="H387" s="54">
        <f t="shared" si="160"/>
        <v>0</v>
      </c>
      <c r="I387" s="89" t="s">
        <v>73</v>
      </c>
      <c r="J387" s="333"/>
      <c r="K387" s="30">
        <f>IFERROR(VLOOKUP($G387,[1]нормы!$A$21:$BC$151,15,0),"")</f>
        <v>0</v>
      </c>
      <c r="L387" s="31">
        <f>IFERROR(VLOOKUP($G387,[1]нормы!$A$21:$BC$151,17,0),"")</f>
        <v>0</v>
      </c>
      <c r="M387" s="306">
        <f>IFERROR(VLOOKUP($G387,[1]нормы!$A$21:$BC$151,27,0),"")</f>
        <v>0</v>
      </c>
      <c r="N387" s="307" t="str">
        <f>IFERROR(Y387/Y389*(1.1*J383*I392),"")</f>
        <v/>
      </c>
      <c r="O387" s="300">
        <f>IFERROR(VLOOKUP($G387,[1]нормы!$A$21:$BC$151,21,0),"")</f>
        <v>0</v>
      </c>
      <c r="P387" s="35">
        <f>IFERROR(VLOOKUP($G387,[1]нормы!$A$21:$BC$151,19,0),"")</f>
        <v>0</v>
      </c>
      <c r="Q387" s="35">
        <f>IFERROR(VLOOKUP($G387,[1]нормы!$A$21:$BC$151,23,0),"")</f>
        <v>0</v>
      </c>
      <c r="R387" s="231">
        <f>IFERROR(VLOOKUP($G387,[1]нормы!$A$21:$BC$151,29,0),"")</f>
        <v>0</v>
      </c>
      <c r="S387" s="35">
        <f>IFERROR(VLOOKUP($G387,[1]нормы!$A$21:$BC$151,31,0),"")</f>
        <v>0</v>
      </c>
      <c r="T387" s="32">
        <f>IFERROR(VLOOKUP($G387,[1]нормы!$A$21:$BC$151,25,0),"")</f>
        <v>0</v>
      </c>
      <c r="U387" s="233" t="str">
        <f>IFERROR(W387/(((100*Y387/Y389)*I388)/100),"")</f>
        <v/>
      </c>
      <c r="V387" s="234" t="str">
        <f>IFERROR(VLOOKUP($G387,нормы!$A$14:$BC$57,38,0),"")</f>
        <v/>
      </c>
      <c r="W387" s="136"/>
      <c r="X387" s="237"/>
      <c r="Y387" s="152" t="str">
        <f>IFERROR(VLOOKUP($G387,нормы!$A$14:$BC$57,42,0)*W387,"")</f>
        <v/>
      </c>
      <c r="Z387" s="163">
        <f>IFERROR(VLOOKUP($G387,нормы!$A$14:$BC$57,14,0)*W387/1000,0)</f>
        <v>0</v>
      </c>
      <c r="AA387" s="30"/>
      <c r="AB387" s="35"/>
      <c r="AC387" s="35"/>
      <c r="AD387" s="35"/>
      <c r="AE387" s="31"/>
      <c r="AF387" s="160"/>
      <c r="AG387" s="391"/>
      <c r="AH387" s="394"/>
      <c r="AI387" s="397"/>
      <c r="AJ387" s="408"/>
      <c r="AK387" s="360"/>
      <c r="AL387" s="360"/>
      <c r="AM387" s="360"/>
      <c r="AN387" s="289">
        <f>IFERROR(Y387*AJ383/Y389,)</f>
        <v>0</v>
      </c>
      <c r="AO387" s="197" t="str">
        <f>IFERROR(VLOOKUP($G387,нормы!$A$14:$BC$57,53,0)*$W387,"")</f>
        <v/>
      </c>
      <c r="AP387" s="290">
        <f>IFERROR(Y387*AI383/Y389,)</f>
        <v>0</v>
      </c>
      <c r="AQ387" s="197" t="str">
        <f>IFERROR(VLOOKUP($G387,нормы!$A$14:$BC$57,54,0)*$W387,"")</f>
        <v/>
      </c>
      <c r="AR387" s="290">
        <f>IFERROR(AS387/SUM(AS383:AS388)*AL383,0)</f>
        <v>0</v>
      </c>
      <c r="AS387" s="197" t="str">
        <f>IFERROR(VLOOKUP($G387,нормы!$A$14:$BC$57,55,0)*W387,"")</f>
        <v/>
      </c>
      <c r="AT387" s="290">
        <f>IFERROR(AU387/SUM(AU383:AU388)*AM383,0)</f>
        <v>0</v>
      </c>
      <c r="AU387" s="197" t="str">
        <f>IFERROR(VLOOKUP($G387,нормы!$A$14:$BI$57,56,0)*W387,"")</f>
        <v/>
      </c>
      <c r="AV387" s="290">
        <f>IFERROR(AW387/SUM(AW383:AW388)*AK383,0)</f>
        <v>0</v>
      </c>
      <c r="AW387" s="202" t="str">
        <f>IFERROR(VLOOKUP($G387,нормы!$A$14:$BI$57,57,0)*W387,"")</f>
        <v/>
      </c>
      <c r="AX387" s="30"/>
      <c r="AY387" s="203" t="str">
        <f>IFERROR(VLOOKUP($G387,нормы!$A$14:$BI$57,58,0)*W387,"")</f>
        <v/>
      </c>
      <c r="AZ387" s="205"/>
      <c r="BA387" s="200" t="str">
        <f>IFERROR(VLOOKUP($G387,нормы!$A$14:$BI$57,61,0)*$W387,"")</f>
        <v/>
      </c>
      <c r="BB387" s="30"/>
      <c r="BC387" s="203" t="str">
        <f>IFERROR(VLOOKUP($G387,нормы!$A$14:$BI$57,60,0)*W387,"")</f>
        <v/>
      </c>
      <c r="BD387" s="200" t="str">
        <f>IFERROR(VLOOKUP($G387,нормы!$A$14:$BG$57,44,0),"")</f>
        <v/>
      </c>
      <c r="BE387" s="199" t="str">
        <f>IFERROR(W387/VLOOKUP($G387,нормы!$A$14:$BI$57,45,0),"")</f>
        <v/>
      </c>
    </row>
    <row r="388" spans="1:57" s="1" customFormat="1" ht="21" customHeight="1" thickBot="1" x14ac:dyDescent="0.45">
      <c r="A388" s="37" t="str">
        <f t="shared" si="158"/>
        <v>7Д</v>
      </c>
      <c r="B388" s="12">
        <f t="shared" si="159"/>
        <v>46029</v>
      </c>
      <c r="C388" s="97">
        <f t="shared" si="159"/>
        <v>0</v>
      </c>
      <c r="D388" s="97">
        <f t="shared" si="159"/>
        <v>1</v>
      </c>
      <c r="E388" s="54"/>
      <c r="F388" s="151" t="str">
        <f>IFERROR(VLOOKUP($G388,нормы!$A$14:$BC$57,2,0),"")</f>
        <v/>
      </c>
      <c r="G388" s="93"/>
      <c r="H388" s="63">
        <f t="shared" si="160"/>
        <v>0</v>
      </c>
      <c r="I388" s="153">
        <f>I384+I386</f>
        <v>0</v>
      </c>
      <c r="J388" s="334"/>
      <c r="K388" s="30">
        <f>IFERROR(VLOOKUP($G388,[1]нормы!$A$21:$BC$151,15,0),"")</f>
        <v>0</v>
      </c>
      <c r="L388" s="31">
        <f>IFERROR(VLOOKUP($G388,[1]нормы!$A$21:$BC$151,17,0),"")</f>
        <v>0</v>
      </c>
      <c r="M388" s="308">
        <f>IFERROR(VLOOKUP($G388,[1]нормы!$A$21:$BC$151,27,0),"")</f>
        <v>0</v>
      </c>
      <c r="N388" s="309" t="str">
        <f>IFERROR(Y388/Y389*(1.1*J383*I393),"")</f>
        <v/>
      </c>
      <c r="O388" s="300">
        <f>IFERROR(VLOOKUP($G388,[1]нормы!$A$21:$BC$151,21,0),"")</f>
        <v>0</v>
      </c>
      <c r="P388" s="35">
        <f>IFERROR(VLOOKUP($G388,[1]нормы!$A$21:$BC$151,19,0),"")</f>
        <v>0</v>
      </c>
      <c r="Q388" s="35">
        <f>IFERROR(VLOOKUP($G388,[1]нормы!$A$21:$BC$151,23,0),"")</f>
        <v>0</v>
      </c>
      <c r="R388" s="231">
        <f>IFERROR(VLOOKUP($G388,[1]нормы!$A$21:$BC$151,29,0),"")</f>
        <v>0</v>
      </c>
      <c r="S388" s="35">
        <f>IFERROR(VLOOKUP($G388,[1]нормы!$A$21:$BC$151,31,0),"")</f>
        <v>0</v>
      </c>
      <c r="T388" s="32">
        <f>IFERROR(VLOOKUP($G388,[1]нормы!$A$21:$BC$151,25,0),"")</f>
        <v>0</v>
      </c>
      <c r="U388" s="235" t="str">
        <f>IFERROR(W388/(((100*Y388/Y389)*I388)/100),"")</f>
        <v/>
      </c>
      <c r="V388" s="234" t="str">
        <f>IFERROR(VLOOKUP($G388,нормы!$A$14:$BC$57,38,0),"")</f>
        <v/>
      </c>
      <c r="W388" s="154"/>
      <c r="X388" s="238"/>
      <c r="Y388" s="152" t="str">
        <f>IFERROR(VLOOKUP($G388,нормы!$A$14:$BC$57,42,0)*W388,"")</f>
        <v/>
      </c>
      <c r="Z388" s="163">
        <f>IFERROR(VLOOKUP($G388,нормы!$A$14:$BC$57,14,0)*W388/1000,0)</f>
        <v>0</v>
      </c>
      <c r="AA388" s="56"/>
      <c r="AB388" s="58"/>
      <c r="AC388" s="58"/>
      <c r="AD388" s="58"/>
      <c r="AE388" s="57"/>
      <c r="AF388" s="161"/>
      <c r="AG388" s="392"/>
      <c r="AH388" s="395"/>
      <c r="AI388" s="398"/>
      <c r="AJ388" s="409"/>
      <c r="AK388" s="361"/>
      <c r="AL388" s="361"/>
      <c r="AM388" s="361"/>
      <c r="AN388" s="291">
        <f>IFERROR(Y388*AJ383/Y389,)</f>
        <v>0</v>
      </c>
      <c r="AO388" s="197" t="str">
        <f>IFERROR(VLOOKUP($G388,нормы!$A$14:$BC$57,53,0)*$W388,"")</f>
        <v/>
      </c>
      <c r="AP388" s="292">
        <f>IFERROR(Y388*AI383/Y389,)</f>
        <v>0</v>
      </c>
      <c r="AQ388" s="197" t="str">
        <f>IFERROR(VLOOKUP($G388,нормы!$A$14:$BC$57,54,0)*$W388,"")</f>
        <v/>
      </c>
      <c r="AR388" s="290">
        <f>IFERROR(AS388/SUM(AS383:AS388)*AL383,0)</f>
        <v>0</v>
      </c>
      <c r="AS388" s="197" t="str">
        <f>IFERROR(VLOOKUP($G388,нормы!$A$14:$BC$57,55,0)*W388,"")</f>
        <v/>
      </c>
      <c r="AT388" s="292">
        <f>IFERROR(AU388/SUM(AU383:AU388)*AM383,0)</f>
        <v>0</v>
      </c>
      <c r="AU388" s="197" t="str">
        <f>IFERROR(VLOOKUP($G388,нормы!$A$14:$BI$57,56,0)*W388,"")</f>
        <v/>
      </c>
      <c r="AV388" s="292">
        <f>IFERROR(AW388/SUM(AW383:AW388)*AK383,0)</f>
        <v>0</v>
      </c>
      <c r="AW388" s="202" t="str">
        <f>IFERROR(VLOOKUP($G388,нормы!$A$14:$BI$57,57,0)*W388,"")</f>
        <v/>
      </c>
      <c r="AX388" s="56"/>
      <c r="AY388" s="203" t="str">
        <f>IFERROR(VLOOKUP($G388,нормы!$A$14:$BI$57,58,0)*W388,"")</f>
        <v/>
      </c>
      <c r="AZ388" s="206"/>
      <c r="BA388" s="200" t="str">
        <f>IFERROR(VLOOKUP($G388,нормы!$A$14:$BI$57,61,0)*$W388,"")</f>
        <v/>
      </c>
      <c r="BB388" s="56"/>
      <c r="BC388" s="203" t="str">
        <f>IFERROR(VLOOKUP($G388,нормы!$A$14:$BI$57,60,0)*W388,"")</f>
        <v/>
      </c>
      <c r="BD388" s="200" t="str">
        <f>IFERROR(VLOOKUP($G388,нормы!$A$14:$BG$57,44,0),"")</f>
        <v/>
      </c>
      <c r="BE388" s="199" t="str">
        <f>IFERROR(W388/VLOOKUP($G388,нормы!$A$14:$BI$57,45,0),"")</f>
        <v/>
      </c>
    </row>
    <row r="389" spans="1:57" s="1" customFormat="1" ht="29.4" customHeight="1" thickBot="1" x14ac:dyDescent="0.45">
      <c r="A389" s="37" t="str">
        <f t="shared" si="158"/>
        <v>7Д</v>
      </c>
      <c r="B389" s="59"/>
      <c r="C389" s="51"/>
      <c r="D389" s="51"/>
      <c r="E389" s="51"/>
      <c r="F389" s="295" t="s">
        <v>148</v>
      </c>
      <c r="G389" s="51"/>
      <c r="H389" s="51"/>
      <c r="I389" s="60"/>
      <c r="J389" s="60"/>
      <c r="K389" s="319" t="s">
        <v>213</v>
      </c>
      <c r="L389" s="316"/>
      <c r="M389" s="303" t="s">
        <v>213</v>
      </c>
      <c r="N389" s="317">
        <f>SUM(N383:N388)</f>
        <v>0</v>
      </c>
      <c r="O389" s="304" t="s">
        <v>216</v>
      </c>
      <c r="P389" s="318">
        <f>N389*8.937/1000</f>
        <v>0</v>
      </c>
      <c r="Q389" s="305" t="s">
        <v>215</v>
      </c>
      <c r="R389" s="61"/>
      <c r="S389" s="61"/>
      <c r="T389" s="61"/>
      <c r="U389" s="109"/>
      <c r="V389" s="109"/>
      <c r="W389" s="94"/>
      <c r="X389" s="155"/>
      <c r="Y389" s="96">
        <f>SUM(Y383:Y388)</f>
        <v>0</v>
      </c>
      <c r="Z389" s="164">
        <f>SUM(Z383:Z388)</f>
        <v>0</v>
      </c>
      <c r="AA389" s="62"/>
      <c r="AB389" s="62"/>
      <c r="AC389" s="62"/>
      <c r="AD389" s="62"/>
      <c r="AE389" s="62"/>
      <c r="AF389" s="62"/>
      <c r="AG389" s="162" t="s">
        <v>140</v>
      </c>
      <c r="AH389" s="162" t="s">
        <v>141</v>
      </c>
      <c r="AI389" s="162" t="s">
        <v>142</v>
      </c>
      <c r="AJ389" s="91" t="s">
        <v>126</v>
      </c>
      <c r="AK389" s="198" t="s">
        <v>136</v>
      </c>
      <c r="AL389" s="198" t="s">
        <v>137</v>
      </c>
      <c r="AM389" s="198" t="s">
        <v>138</v>
      </c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53" t="str">
        <f>IFERROR(W389/VLOOKUP($G389,нормы!$A$14:$BI$15,28,0),"")</f>
        <v/>
      </c>
    </row>
    <row r="390" spans="1:57" s="1" customFormat="1" ht="21.6" customHeight="1" x14ac:dyDescent="0.4">
      <c r="A390" s="37" t="str">
        <f t="shared" si="158"/>
        <v>7Д</v>
      </c>
      <c r="B390" s="12">
        <f>B388</f>
        <v>46029</v>
      </c>
      <c r="C390" s="97"/>
      <c r="D390" s="97">
        <v>2</v>
      </c>
      <c r="E390" s="29"/>
      <c r="F390" s="151" t="str">
        <f>IFERROR(VLOOKUP($G390,нормы!$A$14:$BC$57,2,0),"")</f>
        <v/>
      </c>
      <c r="G390" s="93"/>
      <c r="H390" s="54">
        <f>IF(C390=1,"Кульков С.А.", IF(C390=2,"Чудаков А.А.",IF(C390=3,"Королев В.Н.",IF(C390=4,"Николашин М.П.",IF(C390=5," Кульков С.А.",IF(C390=6,"А.А. Чудаков",IF(C390=7,"В.Н. Королев",IF(C390=8,"М.П. Николашин",0))))))))</f>
        <v>0</v>
      </c>
      <c r="I390" s="88" t="s">
        <v>211</v>
      </c>
      <c r="J390" s="332"/>
      <c r="K390" s="30">
        <f>IFERROR(VLOOKUP($G390,[1]нормы!$A$21:$BC$151,15,0),"")</f>
        <v>0</v>
      </c>
      <c r="L390" s="31">
        <f>IFERROR(VLOOKUP($G390,[1]нормы!$A$21:$BC$151,17,0),"")</f>
        <v>0</v>
      </c>
      <c r="M390" s="310">
        <f>IFERROR(VLOOKUP($G390,[1]нормы!$A$21:$BC$151,27,0),"")</f>
        <v>0</v>
      </c>
      <c r="N390" s="311" t="str">
        <f>IFERROR(Y390/Y396*(1.1*J390*I395),"")</f>
        <v/>
      </c>
      <c r="O390" s="300">
        <f>IFERROR(VLOOKUP($G390,[1]нормы!$A$21:$BC$151,21,0),"")</f>
        <v>0</v>
      </c>
      <c r="P390" s="35">
        <f>IFERROR(VLOOKUP($G390,[1]нормы!$A$21:$BC$151,19,0),"")</f>
        <v>0</v>
      </c>
      <c r="Q390" s="35">
        <f>IFERROR(VLOOKUP($G390,[1]нормы!$A$21:$BC$151,23,0),"")</f>
        <v>0</v>
      </c>
      <c r="R390" s="231">
        <f>IFERROR(VLOOKUP($G390,[1]нормы!$A$21:$BC$151,29,0),"")</f>
        <v>0</v>
      </c>
      <c r="S390" s="35">
        <f>IFERROR(VLOOKUP($G390,[1]нормы!$A$21:$BC$151,31,0),"")</f>
        <v>0</v>
      </c>
      <c r="T390" s="32">
        <f>IFERROR(VLOOKUP($G390,[1]нормы!$A$21:$BC$151,25,0),"")</f>
        <v>0</v>
      </c>
      <c r="U390" s="232" t="str">
        <f>IFERROR(W390/(((100*Y390/Y396)*I395)/100),"")</f>
        <v/>
      </c>
      <c r="V390" s="234" t="str">
        <f>IFERROR(VLOOKUP($G390,нормы!$A$14:$BC$57,38,0),"")</f>
        <v/>
      </c>
      <c r="W390" s="136"/>
      <c r="X390" s="236"/>
      <c r="Y390" s="152" t="str">
        <f>IFERROR(VLOOKUP($G390,нормы!$A$14:$BC$57,42,0)*W390,"")</f>
        <v/>
      </c>
      <c r="Z390" s="163">
        <f>IFERROR(VLOOKUP($G390,нормы!$A$14:$BC$57,14,0)*W390/1000,0)</f>
        <v>0</v>
      </c>
      <c r="AA390" s="33"/>
      <c r="AB390" s="36"/>
      <c r="AC390" s="36"/>
      <c r="AD390" s="36"/>
      <c r="AE390" s="34"/>
      <c r="AF390" s="159"/>
      <c r="AG390" s="390"/>
      <c r="AH390" s="393"/>
      <c r="AI390" s="396"/>
      <c r="AJ390" s="407">
        <f>AG390+AH390</f>
        <v>0</v>
      </c>
      <c r="AK390" s="359"/>
      <c r="AL390" s="359"/>
      <c r="AM390" s="359"/>
      <c r="AN390" s="287">
        <f>IFERROR(Y390*AJ390/Y396,)</f>
        <v>0</v>
      </c>
      <c r="AO390" s="197" t="str">
        <f>IFERROR(VLOOKUP($G390,нормы!$A$14:$BC$57,53,0)*$W390,"")</f>
        <v/>
      </c>
      <c r="AP390" s="288">
        <f>IFERROR(Y390*AI390/Y396,)</f>
        <v>0</v>
      </c>
      <c r="AQ390" s="197" t="str">
        <f>IFERROR(VLOOKUP($G390,нормы!$A$14:$BC$57,54,0)*$W390,"")</f>
        <v/>
      </c>
      <c r="AR390" s="288">
        <f>IFERROR(AS390/SUM(AS390:AS395)*AL390,0)</f>
        <v>0</v>
      </c>
      <c r="AS390" s="197" t="str">
        <f>IFERROR(VLOOKUP($G390,нормы!$A$14:$BC$57,55,0)*W390,"")</f>
        <v/>
      </c>
      <c r="AT390" s="288">
        <f>IFERROR(AU390/SUM(AU390:AU395)*AM390,0)</f>
        <v>0</v>
      </c>
      <c r="AU390" s="197" t="str">
        <f>IFERROR(VLOOKUP($G390,нормы!$A$14:$BI$57,56,0)*W390,"")</f>
        <v/>
      </c>
      <c r="AV390" s="288">
        <f>IFERROR(AW390/SUM(AW390:AW395)*AK390,0)</f>
        <v>0</v>
      </c>
      <c r="AW390" s="202" t="str">
        <f>IFERROR(VLOOKUP($G390,нормы!$A$14:$BI$57,57,0)*W390,"")</f>
        <v/>
      </c>
      <c r="AX390" s="33"/>
      <c r="AY390" s="203" t="str">
        <f>IFERROR(VLOOKUP($G390,нормы!$A$14:$BI$57,58,0)*W390,"")</f>
        <v/>
      </c>
      <c r="AZ390" s="204"/>
      <c r="BA390" s="200" t="str">
        <f>IFERROR(VLOOKUP($G390,нормы!$A$14:$BI$57,61,0)*$W390,"")</f>
        <v/>
      </c>
      <c r="BB390" s="33"/>
      <c r="BC390" s="203" t="str">
        <f>IFERROR(VLOOKUP($G390,нормы!$A$14:$BI$57,60,0)*W390,"")</f>
        <v/>
      </c>
      <c r="BD390" s="200" t="str">
        <f>IFERROR(VLOOKUP($G390,нормы!$A$14:$BG$57,44,0),"")</f>
        <v/>
      </c>
      <c r="BE390" s="199" t="str">
        <f>IFERROR(W390/VLOOKUP($G390,нормы!$A$14:$BI$57,45,0),"")</f>
        <v/>
      </c>
    </row>
    <row r="391" spans="1:57" s="1" customFormat="1" ht="21.6" customHeight="1" x14ac:dyDescent="0.4">
      <c r="A391" s="37" t="str">
        <f t="shared" si="158"/>
        <v>7Д</v>
      </c>
      <c r="B391" s="12">
        <f t="shared" ref="B391:D395" si="161">B390</f>
        <v>46029</v>
      </c>
      <c r="C391" s="97">
        <f t="shared" si="161"/>
        <v>0</v>
      </c>
      <c r="D391" s="97">
        <f t="shared" si="161"/>
        <v>2</v>
      </c>
      <c r="E391" s="54"/>
      <c r="F391" s="151" t="str">
        <f>IFERROR(VLOOKUP($G391,нормы!$A$14:$BC$57,2,0),"")</f>
        <v/>
      </c>
      <c r="G391" s="93"/>
      <c r="H391" s="54">
        <f t="shared" ref="H391:H395" si="162">IF(C391=1,"Кульков С.А.", IF(C391=2,"Чудаков А.А.",IF(C391=3,"Королев В.Н.",IF(C391=4,"Николашин М.П.",IF(C391=5," Кульков С.А.",IF(C391=6,"А.А. Чудаков",IF(C391=7,"В.Н. Королев",IF(C391=8,"М.П. Николашин",0))))))))</f>
        <v>0</v>
      </c>
      <c r="I391" s="55"/>
      <c r="J391" s="333"/>
      <c r="K391" s="30">
        <f>IFERROR(VLOOKUP($G391,[1]нормы!$A$21:$BC$151,15,0),"")</f>
        <v>0</v>
      </c>
      <c r="L391" s="31">
        <f>IFERROR(VLOOKUP($G391,[1]нормы!$A$21:$BC$151,17,0),"")</f>
        <v>0</v>
      </c>
      <c r="M391" s="306">
        <f>IFERROR(VLOOKUP($G391,[1]нормы!$A$21:$BC$151,27,0),"")</f>
        <v>0</v>
      </c>
      <c r="N391" s="307" t="str">
        <f>IFERROR(Y391/Y396*(1.1*J390*I395),"")</f>
        <v/>
      </c>
      <c r="O391" s="300">
        <f>IFERROR(VLOOKUP($G391,[1]нормы!$A$21:$BC$151,21,0),"")</f>
        <v>0</v>
      </c>
      <c r="P391" s="35">
        <f>IFERROR(VLOOKUP($G391,[1]нормы!$A$21:$BC$151,19,0),"")</f>
        <v>0</v>
      </c>
      <c r="Q391" s="35">
        <f>IFERROR(VLOOKUP($G391,[1]нормы!$A$21:$BC$151,23,0),"")</f>
        <v>0</v>
      </c>
      <c r="R391" s="231">
        <f>IFERROR(VLOOKUP($G391,[1]нормы!$A$21:$BC$151,29,0),"")</f>
        <v>0</v>
      </c>
      <c r="S391" s="35">
        <f>IFERROR(VLOOKUP($G391,[1]нормы!$A$21:$BC$151,31,0),"")</f>
        <v>0</v>
      </c>
      <c r="T391" s="32">
        <f>IFERROR(VLOOKUP($G391,[1]нормы!$A$21:$BC$151,25,0),"")</f>
        <v>0</v>
      </c>
      <c r="U391" s="233" t="str">
        <f>IFERROR(W391/(((100*Y391/Y396)*I395)/100),"")</f>
        <v/>
      </c>
      <c r="V391" s="234" t="str">
        <f>IFERROR(VLOOKUP($G391,нормы!$A$14:$BC$57,38,0),"")</f>
        <v/>
      </c>
      <c r="W391" s="136"/>
      <c r="X391" s="237"/>
      <c r="Y391" s="152" t="str">
        <f>IFERROR(VLOOKUP($G391,нормы!$A$14:$BC$57,42,0)*W391,"")</f>
        <v/>
      </c>
      <c r="Z391" s="163">
        <f>IFERROR(VLOOKUP($G391,нормы!$A$14:$BC$57,14,0)*W391/1000,0)</f>
        <v>0</v>
      </c>
      <c r="AA391" s="142"/>
      <c r="AB391" s="35"/>
      <c r="AC391" s="35"/>
      <c r="AD391" s="35"/>
      <c r="AE391" s="31"/>
      <c r="AF391" s="160"/>
      <c r="AG391" s="391"/>
      <c r="AH391" s="394"/>
      <c r="AI391" s="397"/>
      <c r="AJ391" s="408"/>
      <c r="AK391" s="360"/>
      <c r="AL391" s="360"/>
      <c r="AM391" s="360"/>
      <c r="AN391" s="289">
        <f>IFERROR(Y391*AJ390/Y396,)</f>
        <v>0</v>
      </c>
      <c r="AO391" s="197" t="str">
        <f>IFERROR(VLOOKUP($G391,нормы!$A$14:$BC$57,53,0)*$W391,"")</f>
        <v/>
      </c>
      <c r="AP391" s="290">
        <f>IFERROR(Y391*AI390/Y396,)</f>
        <v>0</v>
      </c>
      <c r="AQ391" s="197" t="str">
        <f>IFERROR(VLOOKUP($G391,нормы!$A$14:$BC$57,54,0)*$W391,"")</f>
        <v/>
      </c>
      <c r="AR391" s="290">
        <f>IFERROR(AS391/SUM(AS390:AS395)*AL390,0)</f>
        <v>0</v>
      </c>
      <c r="AS391" s="197" t="str">
        <f>IFERROR(VLOOKUP($G391,нормы!$A$14:$BC$57,55,0)*W391,"")</f>
        <v/>
      </c>
      <c r="AT391" s="290">
        <f>IFERROR(AU391/SUM(AU390:AU395)*AM390,0)</f>
        <v>0</v>
      </c>
      <c r="AU391" s="197" t="str">
        <f>IFERROR(VLOOKUP($G391,нормы!$A$14:$BI$57,56,0)*W391,"")</f>
        <v/>
      </c>
      <c r="AV391" s="290">
        <f>IFERROR(AW391/SUM(AW390:AW395)*AK390,0)</f>
        <v>0</v>
      </c>
      <c r="AW391" s="202" t="str">
        <f>IFERROR(VLOOKUP($G391,нормы!$A$14:$BI$57,57,0)*W391,"")</f>
        <v/>
      </c>
      <c r="AX391" s="30"/>
      <c r="AY391" s="203" t="str">
        <f>IFERROR(VLOOKUP($G391,нормы!$A$14:$BI$57,58,0)*W391,"")</f>
        <v/>
      </c>
      <c r="AZ391" s="205"/>
      <c r="BA391" s="200" t="str">
        <f>IFERROR(VLOOKUP($G391,нормы!$A$14:$BI$57,61,0)*$W391,"")</f>
        <v/>
      </c>
      <c r="BB391" s="30"/>
      <c r="BC391" s="203" t="str">
        <f>IFERROR(VLOOKUP($G391,нормы!$A$14:$BI$57,60,0)*W391,"")</f>
        <v/>
      </c>
      <c r="BD391" s="200" t="str">
        <f>IFERROR(VLOOKUP($G391,нормы!$A$14:$BG$57,44,0),"")</f>
        <v/>
      </c>
      <c r="BE391" s="199" t="str">
        <f>IFERROR(W391/VLOOKUP($G391,нормы!$A$14:$BI$57,45,0),"")</f>
        <v/>
      </c>
    </row>
    <row r="392" spans="1:57" s="1" customFormat="1" ht="20.25" customHeight="1" x14ac:dyDescent="0.4">
      <c r="A392" s="37" t="str">
        <f t="shared" si="158"/>
        <v>7Д</v>
      </c>
      <c r="B392" s="12">
        <f t="shared" si="161"/>
        <v>46029</v>
      </c>
      <c r="C392" s="97">
        <f t="shared" si="161"/>
        <v>0</v>
      </c>
      <c r="D392" s="97">
        <f t="shared" si="161"/>
        <v>2</v>
      </c>
      <c r="E392" s="54"/>
      <c r="F392" s="151" t="str">
        <f>IFERROR(VLOOKUP($G392,нормы!$A$14:$BC$57,2,0),"")</f>
        <v/>
      </c>
      <c r="G392" s="38"/>
      <c r="H392" s="54">
        <f t="shared" si="162"/>
        <v>0</v>
      </c>
      <c r="I392" s="89" t="s">
        <v>212</v>
      </c>
      <c r="J392" s="333"/>
      <c r="K392" s="30">
        <f>IFERROR(VLOOKUP($G392,[1]нормы!$A$21:$BC$151,15,0),"")</f>
        <v>0</v>
      </c>
      <c r="L392" s="31">
        <f>IFERROR(VLOOKUP($G392,[1]нормы!$A$21:$BC$151,17,0),"")</f>
        <v>0</v>
      </c>
      <c r="M392" s="306">
        <f>IFERROR(VLOOKUP($G392,[1]нормы!$A$21:$BC$151,27,0),"")</f>
        <v>0</v>
      </c>
      <c r="N392" s="307" t="str">
        <f>IFERROR(Y392/Y396*(1.1*J390*I395),"")</f>
        <v/>
      </c>
      <c r="O392" s="300">
        <f>IFERROR(VLOOKUP($G392,[1]нормы!$A$21:$BC$151,21,0),"")</f>
        <v>0</v>
      </c>
      <c r="P392" s="35">
        <f>IFERROR(VLOOKUP($G392,[1]нормы!$A$21:$BC$151,19,0),"")</f>
        <v>0</v>
      </c>
      <c r="Q392" s="35">
        <f>IFERROR(VLOOKUP($G392,[1]нормы!$A$21:$BC$151,23,0),"")</f>
        <v>0</v>
      </c>
      <c r="R392" s="231">
        <f>IFERROR(VLOOKUP($G392,[1]нормы!$A$21:$BC$151,29,0),"")</f>
        <v>0</v>
      </c>
      <c r="S392" s="35">
        <f>IFERROR(VLOOKUP($G392,[1]нормы!$A$21:$BC$151,31,0),"")</f>
        <v>0</v>
      </c>
      <c r="T392" s="32">
        <f>IFERROR(VLOOKUP($G392,[1]нормы!$A$21:$BC$151,25,0),"")</f>
        <v>0</v>
      </c>
      <c r="U392" s="233" t="str">
        <f>IFERROR(W392/(((100*Y392/Y396)*I395)/100),"")</f>
        <v/>
      </c>
      <c r="V392" s="234" t="str">
        <f>IFERROR(VLOOKUP($G392,нормы!$A$14:$BC$57,38,0),"")</f>
        <v/>
      </c>
      <c r="W392" s="136"/>
      <c r="X392" s="237"/>
      <c r="Y392" s="152" t="str">
        <f>IFERROR(VLOOKUP($G392,нормы!$A$14:$BC$57,42,0)*W392,"")</f>
        <v/>
      </c>
      <c r="Z392" s="163">
        <f>IFERROR(VLOOKUP($G392,нормы!$A$14:$BC$57,14,0)*W392/1000,0)</f>
        <v>0</v>
      </c>
      <c r="AA392" s="30"/>
      <c r="AB392" s="35"/>
      <c r="AC392" s="35"/>
      <c r="AD392" s="35"/>
      <c r="AE392" s="31"/>
      <c r="AF392" s="160"/>
      <c r="AG392" s="391"/>
      <c r="AH392" s="394"/>
      <c r="AI392" s="397"/>
      <c r="AJ392" s="408"/>
      <c r="AK392" s="360"/>
      <c r="AL392" s="360"/>
      <c r="AM392" s="360"/>
      <c r="AN392" s="289">
        <f>IFERROR(Y392*AJ390/Y396,)</f>
        <v>0</v>
      </c>
      <c r="AO392" s="197" t="str">
        <f>IFERROR(VLOOKUP($G392,нормы!$A$14:$BC$57,53,0)*$W392,"")</f>
        <v/>
      </c>
      <c r="AP392" s="290">
        <f>IFERROR(Y392*AI390/Y396,)</f>
        <v>0</v>
      </c>
      <c r="AQ392" s="197" t="str">
        <f>IFERROR(VLOOKUP($G392,нормы!$A$14:$BC$57,54,0)*$W392,"")</f>
        <v/>
      </c>
      <c r="AR392" s="290">
        <f>IFERROR(AS392/SUM(AS390:AS395)*AL390,0)</f>
        <v>0</v>
      </c>
      <c r="AS392" s="197" t="str">
        <f>IFERROR(VLOOKUP($G392,нормы!$A$14:$BC$57,55,0)*W392,"")</f>
        <v/>
      </c>
      <c r="AT392" s="290">
        <f>IFERROR(AU392/SUM(AU390:AU395)*AM390,0)</f>
        <v>0</v>
      </c>
      <c r="AU392" s="197" t="str">
        <f>IFERROR(VLOOKUP($G392,нормы!$A$14:$BI$57,56,0)*W392,"")</f>
        <v/>
      </c>
      <c r="AV392" s="290">
        <f>IFERROR(AW392/SUM(AW390:AW395)*AK390,0)</f>
        <v>0</v>
      </c>
      <c r="AW392" s="202" t="str">
        <f>IFERROR(VLOOKUP($G392,нормы!$A$14:$BI$57,57,0)*W392,"")</f>
        <v/>
      </c>
      <c r="AX392" s="30"/>
      <c r="AY392" s="203" t="str">
        <f>IFERROR(VLOOKUP($G392,нормы!$A$14:$BI$57,58,0)*W392,"")</f>
        <v/>
      </c>
      <c r="AZ392" s="205"/>
      <c r="BA392" s="200" t="str">
        <f>IFERROR(VLOOKUP($G392,нормы!$A$14:$BI$57,61,0)*$W392,"")</f>
        <v/>
      </c>
      <c r="BB392" s="30"/>
      <c r="BC392" s="203" t="str">
        <f>IFERROR(VLOOKUP($G392,нормы!$A$14:$BI$57,60,0)*W392,"")</f>
        <v/>
      </c>
      <c r="BD392" s="200" t="str">
        <f>IFERROR(VLOOKUP($G392,нормы!$A$14:$BG$57,44,0),"")</f>
        <v/>
      </c>
      <c r="BE392" s="199" t="str">
        <f>IFERROR(W392/VLOOKUP($G392,нормы!$A$14:$BI$57,45,0),"")</f>
        <v/>
      </c>
    </row>
    <row r="393" spans="1:57" s="1" customFormat="1" ht="20.25" customHeight="1" x14ac:dyDescent="0.4">
      <c r="A393" s="37" t="str">
        <f t="shared" si="158"/>
        <v>7Д</v>
      </c>
      <c r="B393" s="12">
        <f t="shared" si="161"/>
        <v>46029</v>
      </c>
      <c r="C393" s="97">
        <f t="shared" si="161"/>
        <v>0</v>
      </c>
      <c r="D393" s="97">
        <f t="shared" si="161"/>
        <v>2</v>
      </c>
      <c r="E393" s="54"/>
      <c r="F393" s="151" t="str">
        <f>IFERROR(VLOOKUP($G393,нормы!$A$14:$BC$57,2,0),"")</f>
        <v/>
      </c>
      <c r="G393" s="93"/>
      <c r="H393" s="54">
        <f t="shared" si="162"/>
        <v>0</v>
      </c>
      <c r="I393" s="55"/>
      <c r="J393" s="333"/>
      <c r="K393" s="30">
        <f>IFERROR(VLOOKUP($G393,[1]нормы!$A$21:$BC$151,15,0),"")</f>
        <v>0</v>
      </c>
      <c r="L393" s="31">
        <f>IFERROR(VLOOKUP($G393,[1]нормы!$A$21:$BC$151,17,0),"")</f>
        <v>0</v>
      </c>
      <c r="M393" s="306">
        <f>IFERROR(VLOOKUP($G393,[1]нормы!$A$21:$BC$151,27,0),"")</f>
        <v>0</v>
      </c>
      <c r="N393" s="307" t="str">
        <f>IFERROR(Y393/Y396*(1.1*J390*I398),"")</f>
        <v/>
      </c>
      <c r="O393" s="300">
        <f>IFERROR(VLOOKUP($G393,[1]нормы!$A$21:$BC$151,21,0),"")</f>
        <v>0</v>
      </c>
      <c r="P393" s="35">
        <f>IFERROR(VLOOKUP($G393,[1]нормы!$A$21:$BC$151,19,0),"")</f>
        <v>0</v>
      </c>
      <c r="Q393" s="35">
        <f>IFERROR(VLOOKUP($G393,[1]нормы!$A$21:$BC$151,23,0),"")</f>
        <v>0</v>
      </c>
      <c r="R393" s="231">
        <f>IFERROR(VLOOKUP($G393,[1]нормы!$A$21:$BC$151,29,0),"")</f>
        <v>0</v>
      </c>
      <c r="S393" s="35">
        <f>IFERROR(VLOOKUP($G393,[1]нормы!$A$21:$BC$151,31,0),"")</f>
        <v>0</v>
      </c>
      <c r="T393" s="32">
        <f>IFERROR(VLOOKUP($G393,[1]нормы!$A$21:$BC$151,25,0),"")</f>
        <v>0</v>
      </c>
      <c r="U393" s="233" t="str">
        <f>IFERROR(W393/(((100*Y393/Y396)*I395)/100),"")</f>
        <v/>
      </c>
      <c r="V393" s="234" t="str">
        <f>IFERROR(VLOOKUP($G393,нормы!$A$14:$BC$57,38,0),"")</f>
        <v/>
      </c>
      <c r="W393" s="136"/>
      <c r="X393" s="237"/>
      <c r="Y393" s="152" t="str">
        <f>IFERROR(VLOOKUP($G393,нормы!$A$14:$BC$57,42,0)*W393,"")</f>
        <v/>
      </c>
      <c r="Z393" s="163">
        <f>IFERROR(VLOOKUP($G393,нормы!$A$14:$BC$57,14,0)*W393/1000,0)</f>
        <v>0</v>
      </c>
      <c r="AA393" s="30"/>
      <c r="AB393" s="35"/>
      <c r="AC393" s="35"/>
      <c r="AD393" s="35"/>
      <c r="AE393" s="31"/>
      <c r="AF393" s="160"/>
      <c r="AG393" s="391"/>
      <c r="AH393" s="394"/>
      <c r="AI393" s="397"/>
      <c r="AJ393" s="408"/>
      <c r="AK393" s="360"/>
      <c r="AL393" s="360"/>
      <c r="AM393" s="360"/>
      <c r="AN393" s="289">
        <f>IFERROR(Y393*AJ390/Y396,)</f>
        <v>0</v>
      </c>
      <c r="AO393" s="197" t="str">
        <f>IFERROR(VLOOKUP($G393,нормы!$A$14:$BC$57,53,0)*$W393,"")</f>
        <v/>
      </c>
      <c r="AP393" s="290">
        <f>IFERROR(Y393*AI390/Y396,)</f>
        <v>0</v>
      </c>
      <c r="AQ393" s="197" t="str">
        <f>IFERROR(VLOOKUP($G393,нормы!$A$14:$BC$57,54,0)*$W393,"")</f>
        <v/>
      </c>
      <c r="AR393" s="290">
        <f>IFERROR(AS393/SUM(AS390:AS395)*AL390,0)</f>
        <v>0</v>
      </c>
      <c r="AS393" s="197" t="str">
        <f>IFERROR(VLOOKUP($G393,нормы!$A$14:$BC$57,55,0)*W393,"")</f>
        <v/>
      </c>
      <c r="AT393" s="290">
        <f>IFERROR(AU393/SUM(AU390:AU395)*AM390,0)</f>
        <v>0</v>
      </c>
      <c r="AU393" s="197" t="str">
        <f>IFERROR(VLOOKUP($G393,нормы!$A$14:$BI$57,56,0)*W393,"")</f>
        <v/>
      </c>
      <c r="AV393" s="290">
        <f>IFERROR(AW393/SUM(AW390:AW395)*AK390,0)</f>
        <v>0</v>
      </c>
      <c r="AW393" s="202" t="str">
        <f>IFERROR(VLOOKUP($G393,нормы!$A$14:$BI$57,57,0)*W393,"")</f>
        <v/>
      </c>
      <c r="AX393" s="30"/>
      <c r="AY393" s="203" t="str">
        <f>IFERROR(VLOOKUP($G393,нормы!$A$14:$BI$57,58,0)*W393,"")</f>
        <v/>
      </c>
      <c r="AZ393" s="205"/>
      <c r="BA393" s="200" t="str">
        <f>IFERROR(VLOOKUP($G393,нормы!$A$14:$BI$57,61,0)*$W393,"")</f>
        <v/>
      </c>
      <c r="BB393" s="30"/>
      <c r="BC393" s="203" t="str">
        <f>IFERROR(VLOOKUP($G393,нормы!$A$14:$BI$57,60,0)*W393,"")</f>
        <v/>
      </c>
      <c r="BD393" s="200" t="str">
        <f>IFERROR(VLOOKUP($G393,нормы!$A$14:$BG$57,44,0),"")</f>
        <v/>
      </c>
      <c r="BE393" s="199" t="str">
        <f>IFERROR(W393/VLOOKUP($G393,нормы!$A$14:$BI$57,45,0),"")</f>
        <v/>
      </c>
    </row>
    <row r="394" spans="1:57" s="1" customFormat="1" ht="20.25" customHeight="1" x14ac:dyDescent="0.4">
      <c r="A394" s="37" t="str">
        <f t="shared" si="158"/>
        <v>7Д</v>
      </c>
      <c r="B394" s="12">
        <f t="shared" si="161"/>
        <v>46029</v>
      </c>
      <c r="C394" s="97">
        <f t="shared" si="161"/>
        <v>0</v>
      </c>
      <c r="D394" s="97">
        <f t="shared" si="161"/>
        <v>2</v>
      </c>
      <c r="E394" s="54"/>
      <c r="F394" s="151" t="str">
        <f>IFERROR(VLOOKUP($G394,нормы!$A$14:$BC$57,2,0),"")</f>
        <v/>
      </c>
      <c r="G394" s="38"/>
      <c r="H394" s="54">
        <f t="shared" si="162"/>
        <v>0</v>
      </c>
      <c r="I394" s="89" t="s">
        <v>73</v>
      </c>
      <c r="J394" s="333"/>
      <c r="K394" s="30">
        <f>IFERROR(VLOOKUP($G394,[1]нормы!$A$21:$BC$151,15,0),"")</f>
        <v>0</v>
      </c>
      <c r="L394" s="31">
        <f>IFERROR(VLOOKUP($G394,[1]нормы!$A$21:$BC$151,17,0),"")</f>
        <v>0</v>
      </c>
      <c r="M394" s="306">
        <f>IFERROR(VLOOKUP($G394,[1]нормы!$A$21:$BC$151,27,0),"")</f>
        <v>0</v>
      </c>
      <c r="N394" s="307" t="str">
        <f>IFERROR(Y394/Y396*(1.1*J390*I399),"")</f>
        <v/>
      </c>
      <c r="O394" s="300">
        <f>IFERROR(VLOOKUP($G394,[1]нормы!$A$21:$BC$151,21,0),"")</f>
        <v>0</v>
      </c>
      <c r="P394" s="35">
        <f>IFERROR(VLOOKUP($G394,[1]нормы!$A$21:$BC$151,19,0),"")</f>
        <v>0</v>
      </c>
      <c r="Q394" s="35">
        <f>IFERROR(VLOOKUP($G394,[1]нормы!$A$21:$BC$151,23,0),"")</f>
        <v>0</v>
      </c>
      <c r="R394" s="231">
        <f>IFERROR(VLOOKUP($G394,[1]нормы!$A$21:$BC$151,29,0),"")</f>
        <v>0</v>
      </c>
      <c r="S394" s="35">
        <f>IFERROR(VLOOKUP($G394,[1]нормы!$A$21:$BC$151,31,0),"")</f>
        <v>0</v>
      </c>
      <c r="T394" s="32">
        <f>IFERROR(VLOOKUP($G394,[1]нормы!$A$21:$BC$151,25,0),"")</f>
        <v>0</v>
      </c>
      <c r="U394" s="233" t="str">
        <f>IFERROR(W394/(((100*Y394/Y396)*I395)/100),"")</f>
        <v/>
      </c>
      <c r="V394" s="234" t="str">
        <f>IFERROR(VLOOKUP($G394,нормы!$A$14:$BC$57,38,0),"")</f>
        <v/>
      </c>
      <c r="W394" s="136"/>
      <c r="X394" s="237"/>
      <c r="Y394" s="152" t="str">
        <f>IFERROR(VLOOKUP($G394,нормы!$A$14:$BC$57,42,0)*W394,"")</f>
        <v/>
      </c>
      <c r="Z394" s="163">
        <f>IFERROR(VLOOKUP($G394,нормы!$A$14:$BC$57,14,0)*W394/1000,0)</f>
        <v>0</v>
      </c>
      <c r="AA394" s="30"/>
      <c r="AB394" s="35"/>
      <c r="AC394" s="35"/>
      <c r="AD394" s="35"/>
      <c r="AE394" s="31"/>
      <c r="AF394" s="160"/>
      <c r="AG394" s="391"/>
      <c r="AH394" s="394"/>
      <c r="AI394" s="397"/>
      <c r="AJ394" s="408"/>
      <c r="AK394" s="360"/>
      <c r="AL394" s="360"/>
      <c r="AM394" s="360"/>
      <c r="AN394" s="289">
        <f>IFERROR(Y394*AJ390/Y396,)</f>
        <v>0</v>
      </c>
      <c r="AO394" s="197" t="str">
        <f>IFERROR(VLOOKUP($G394,нормы!$A$14:$BC$57,53,0)*$W394,"")</f>
        <v/>
      </c>
      <c r="AP394" s="290">
        <f>IFERROR(Y394*AI390/Y396,)</f>
        <v>0</v>
      </c>
      <c r="AQ394" s="197" t="str">
        <f>IFERROR(VLOOKUP($G394,нормы!$A$14:$BC$57,54,0)*$W394,"")</f>
        <v/>
      </c>
      <c r="AR394" s="290">
        <f>IFERROR(AS394/SUM(AS390:AS395)*AL390,0)</f>
        <v>0</v>
      </c>
      <c r="AS394" s="197" t="str">
        <f>IFERROR(VLOOKUP($G394,нормы!$A$14:$BC$57,55,0)*W394,"")</f>
        <v/>
      </c>
      <c r="AT394" s="290">
        <f>IFERROR(AU394/SUM(AU390:AU395)*AM390,0)</f>
        <v>0</v>
      </c>
      <c r="AU394" s="197" t="str">
        <f>IFERROR(VLOOKUP($G394,нормы!$A$14:$BI$57,56,0)*W394,"")</f>
        <v/>
      </c>
      <c r="AV394" s="290">
        <f>IFERROR(AW394/SUM(AW390:AW395)*AK390,0)</f>
        <v>0</v>
      </c>
      <c r="AW394" s="202" t="str">
        <f>IFERROR(VLOOKUP($G394,нормы!$A$14:$BI$57,57,0)*W394,"")</f>
        <v/>
      </c>
      <c r="AX394" s="30"/>
      <c r="AY394" s="203" t="str">
        <f>IFERROR(VLOOKUP($G394,нормы!$A$14:$BI$57,58,0)*W394,"")</f>
        <v/>
      </c>
      <c r="AZ394" s="205"/>
      <c r="BA394" s="200" t="str">
        <f>IFERROR(VLOOKUP($G394,нормы!$A$14:$BI$57,61,0)*$W394,"")</f>
        <v/>
      </c>
      <c r="BB394" s="30"/>
      <c r="BC394" s="203" t="str">
        <f>IFERROR(VLOOKUP($G394,нормы!$A$14:$BI$57,60,0)*W394,"")</f>
        <v/>
      </c>
      <c r="BD394" s="200" t="str">
        <f>IFERROR(VLOOKUP($G394,нормы!$A$14:$BG$57,44,0),"")</f>
        <v/>
      </c>
      <c r="BE394" s="199" t="str">
        <f>IFERROR(W394/VLOOKUP($G394,нормы!$A$14:$BI$57,45,0),"")</f>
        <v/>
      </c>
    </row>
    <row r="395" spans="1:57" s="1" customFormat="1" ht="21" customHeight="1" thickBot="1" x14ac:dyDescent="0.45">
      <c r="A395" s="37" t="str">
        <f t="shared" si="158"/>
        <v>7Д</v>
      </c>
      <c r="B395" s="12">
        <f t="shared" si="161"/>
        <v>46029</v>
      </c>
      <c r="C395" s="97">
        <f t="shared" si="161"/>
        <v>0</v>
      </c>
      <c r="D395" s="97">
        <f t="shared" si="161"/>
        <v>2</v>
      </c>
      <c r="E395" s="54"/>
      <c r="F395" s="151" t="str">
        <f>IFERROR(VLOOKUP($G395,нормы!$A$14:$BC$57,2,0),"")</f>
        <v/>
      </c>
      <c r="G395" s="93"/>
      <c r="H395" s="63">
        <f t="shared" si="162"/>
        <v>0</v>
      </c>
      <c r="I395" s="153">
        <f>I391+I393</f>
        <v>0</v>
      </c>
      <c r="J395" s="334"/>
      <c r="K395" s="30">
        <f>IFERROR(VLOOKUP($G395,[1]нормы!$A$21:$BC$151,15,0),"")</f>
        <v>0</v>
      </c>
      <c r="L395" s="31">
        <f>IFERROR(VLOOKUP($G395,[1]нормы!$A$21:$BC$151,17,0),"")</f>
        <v>0</v>
      </c>
      <c r="M395" s="308">
        <f>IFERROR(VLOOKUP($G395,[1]нормы!$A$21:$BC$151,27,0),"")</f>
        <v>0</v>
      </c>
      <c r="N395" s="309" t="str">
        <f>IFERROR(Y395/Y396*(1.1*J390*I400),"")</f>
        <v/>
      </c>
      <c r="O395" s="300">
        <f>IFERROR(VLOOKUP($G395,[1]нормы!$A$21:$BC$151,21,0),"")</f>
        <v>0</v>
      </c>
      <c r="P395" s="35">
        <f>IFERROR(VLOOKUP($G395,[1]нормы!$A$21:$BC$151,19,0),"")</f>
        <v>0</v>
      </c>
      <c r="Q395" s="35">
        <f>IFERROR(VLOOKUP($G395,[1]нормы!$A$21:$BC$151,23,0),"")</f>
        <v>0</v>
      </c>
      <c r="R395" s="231">
        <f>IFERROR(VLOOKUP($G395,[1]нормы!$A$21:$BC$151,29,0),"")</f>
        <v>0</v>
      </c>
      <c r="S395" s="35">
        <f>IFERROR(VLOOKUP($G395,[1]нормы!$A$21:$BC$151,31,0),"")</f>
        <v>0</v>
      </c>
      <c r="T395" s="32">
        <f>IFERROR(VLOOKUP($G395,[1]нормы!$A$21:$BC$151,25,0),"")</f>
        <v>0</v>
      </c>
      <c r="U395" s="235" t="str">
        <f>IFERROR(W395/(((100*Y395/Y396)*I395)/100),"")</f>
        <v/>
      </c>
      <c r="V395" s="234" t="str">
        <f>IFERROR(VLOOKUP($G395,нормы!$A$14:$BC$57,38,0),"")</f>
        <v/>
      </c>
      <c r="W395" s="154"/>
      <c r="X395" s="238"/>
      <c r="Y395" s="152" t="str">
        <f>IFERROR(VLOOKUP($G395,нормы!$A$14:$BC$57,42,0)*W395,"")</f>
        <v/>
      </c>
      <c r="Z395" s="163">
        <f>IFERROR(VLOOKUP($G395,нормы!$A$14:$BC$57,14,0)*W395/1000,0)</f>
        <v>0</v>
      </c>
      <c r="AA395" s="56"/>
      <c r="AB395" s="58"/>
      <c r="AC395" s="58"/>
      <c r="AD395" s="58"/>
      <c r="AE395" s="57"/>
      <c r="AF395" s="161"/>
      <c r="AG395" s="392"/>
      <c r="AH395" s="395"/>
      <c r="AI395" s="398"/>
      <c r="AJ395" s="409"/>
      <c r="AK395" s="361"/>
      <c r="AL395" s="361"/>
      <c r="AM395" s="361"/>
      <c r="AN395" s="291">
        <f>IFERROR(Y395*AJ390/Y396,)</f>
        <v>0</v>
      </c>
      <c r="AO395" s="197" t="str">
        <f>IFERROR(VLOOKUP($G395,нормы!$A$14:$BC$57,53,0)*$W395,"")</f>
        <v/>
      </c>
      <c r="AP395" s="292">
        <f>IFERROR(Y395*AI390/Y396,)</f>
        <v>0</v>
      </c>
      <c r="AQ395" s="197" t="str">
        <f>IFERROR(VLOOKUP($G395,нормы!$A$14:$BC$57,54,0)*$W395,"")</f>
        <v/>
      </c>
      <c r="AR395" s="290">
        <f>IFERROR(AS395/SUM(AS390:AS395)*AL390,0)</f>
        <v>0</v>
      </c>
      <c r="AS395" s="197" t="str">
        <f>IFERROR(VLOOKUP($G395,нормы!$A$14:$BC$57,55,0)*W395,"")</f>
        <v/>
      </c>
      <c r="AT395" s="292">
        <f>IFERROR(AU395/SUM(AU390:AU395)*AM390,0)</f>
        <v>0</v>
      </c>
      <c r="AU395" s="197" t="str">
        <f>IFERROR(VLOOKUP($G395,нормы!$A$14:$BI$57,56,0)*W395,"")</f>
        <v/>
      </c>
      <c r="AV395" s="292">
        <f>IFERROR(AW395/SUM(AW390:AW395)*AK390,0)</f>
        <v>0</v>
      </c>
      <c r="AW395" s="202" t="str">
        <f>IFERROR(VLOOKUP($G395,нормы!$A$14:$BI$57,57,0)*W395,"")</f>
        <v/>
      </c>
      <c r="AX395" s="56"/>
      <c r="AY395" s="203" t="str">
        <f>IFERROR(VLOOKUP($G395,нормы!$A$14:$BI$57,58,0)*W395,"")</f>
        <v/>
      </c>
      <c r="AZ395" s="206"/>
      <c r="BA395" s="200" t="str">
        <f>IFERROR(VLOOKUP($G395,нормы!$A$14:$BI$57,61,0)*$W395,"")</f>
        <v/>
      </c>
      <c r="BB395" s="56"/>
      <c r="BC395" s="203" t="str">
        <f>IFERROR(VLOOKUP($G395,нормы!$A$14:$BI$57,60,0)*W395,"")</f>
        <v/>
      </c>
      <c r="BD395" s="200" t="str">
        <f>IFERROR(VLOOKUP($G395,нормы!$A$14:$BG$57,44,0),"")</f>
        <v/>
      </c>
      <c r="BE395" s="199" t="str">
        <f>IFERROR(W395/VLOOKUP($G395,нормы!$A$14:$BI$57,45,0),"")</f>
        <v/>
      </c>
    </row>
    <row r="396" spans="1:57" s="1" customFormat="1" ht="29.4" customHeight="1" thickBot="1" x14ac:dyDescent="0.45">
      <c r="A396" s="37" t="str">
        <f t="shared" si="158"/>
        <v>7Д</v>
      </c>
      <c r="B396" s="59"/>
      <c r="C396" s="51"/>
      <c r="D396" s="51"/>
      <c r="E396" s="51"/>
      <c r="F396" s="51"/>
      <c r="G396" s="51"/>
      <c r="H396" s="51"/>
      <c r="I396" s="60"/>
      <c r="J396" s="60"/>
      <c r="K396" s="319" t="s">
        <v>213</v>
      </c>
      <c r="L396" s="316"/>
      <c r="M396" s="303" t="s">
        <v>213</v>
      </c>
      <c r="N396" s="317">
        <f>SUM(N390:N395)</f>
        <v>0</v>
      </c>
      <c r="O396" s="304" t="s">
        <v>217</v>
      </c>
      <c r="P396" s="318">
        <f>N396*8.937/1000</f>
        <v>0</v>
      </c>
      <c r="Q396" s="305" t="s">
        <v>215</v>
      </c>
      <c r="R396" s="61"/>
      <c r="S396" s="61"/>
      <c r="T396" s="61"/>
      <c r="U396" s="109"/>
      <c r="V396" s="109"/>
      <c r="W396" s="94"/>
      <c r="X396" s="155"/>
      <c r="Y396" s="96">
        <f>SUM(Y390:Y395)</f>
        <v>0</v>
      </c>
      <c r="Z396" s="164">
        <f>SUM(Z390:Z395)</f>
        <v>0</v>
      </c>
      <c r="AA396" s="207">
        <f>(AA382+AA383+AA384+AA385+AA386+AA387+AA388+AA390+AA391+AA392+AA393+AA394+AA395)-AG383</f>
        <v>1</v>
      </c>
      <c r="AB396" s="208">
        <f>(AB382+AB383+AB384+AB385+AB386+AB387+AB388+AB390+AB391+AB392+AB393+AB394+AB395)-AH383</f>
        <v>2</v>
      </c>
      <c r="AC396" s="208">
        <f>(AC382+AC383+AC384+AC385+AC386+AC387+AC388+AC390+AC391+AC392+AC393+AC394+AC395)-AG390</f>
        <v>3</v>
      </c>
      <c r="AD396" s="208">
        <f>(AD382+AD383+AD384+AD385+AD386+AD387+AD388+AD390+AD391+AD392+AD393+AD394+AD395)-AH390</f>
        <v>4</v>
      </c>
      <c r="AE396" s="208">
        <f>(AE382+AE383+AE384+AE385+AE386+AE387+AE388+AE390+AE391+AE392+AE393+AE394+AE395)-AI383</f>
        <v>5</v>
      </c>
      <c r="AF396" s="209">
        <f>(AF382+AF383+AF384+AF385+AF386+AF387+AF388+AF390+AF391+AF392+AF393+AF394+AF395)-AI390</f>
        <v>6</v>
      </c>
      <c r="AG396" s="62"/>
      <c r="AH396" s="62"/>
      <c r="AI396" s="62"/>
      <c r="AJ396" s="62"/>
      <c r="AK396" s="62"/>
      <c r="AL396" s="62"/>
      <c r="AM396" s="62"/>
      <c r="AN396" s="91">
        <f>SUM(AN390:AN395)</f>
        <v>0</v>
      </c>
      <c r="AO396" s="91">
        <f>SUM(AO390:AO395)</f>
        <v>0</v>
      </c>
      <c r="AP396" s="91"/>
      <c r="AQ396" s="91"/>
      <c r="AR396" s="91">
        <f>SUM(AR390:AR395)</f>
        <v>0</v>
      </c>
      <c r="AS396" s="91">
        <f t="shared" ref="AS396:AW396" si="163">SUM(AS390:AS395)</f>
        <v>0</v>
      </c>
      <c r="AT396" s="91">
        <f t="shared" si="163"/>
        <v>0</v>
      </c>
      <c r="AU396" s="91">
        <f t="shared" si="163"/>
        <v>0</v>
      </c>
      <c r="AV396" s="91">
        <f t="shared" si="163"/>
        <v>0</v>
      </c>
      <c r="AW396" s="91">
        <f t="shared" si="163"/>
        <v>0</v>
      </c>
      <c r="AX396" s="91">
        <f>SUM(AX390:AX395)</f>
        <v>0</v>
      </c>
      <c r="AY396" s="91">
        <f>SUM(AY390:AY395)</f>
        <v>0</v>
      </c>
      <c r="AZ396" s="91">
        <f>SUM(AZ390:AZ395)</f>
        <v>0</v>
      </c>
      <c r="BA396" s="91"/>
      <c r="BB396" s="91"/>
      <c r="BC396" s="91"/>
      <c r="BD396" s="91" t="str">
        <f>IFERROR(VLOOKUP($G396,нормы!$A$14:$BG$15,27,0),"")</f>
        <v/>
      </c>
      <c r="BE396" s="53" t="str">
        <f>IFERROR(W396/VLOOKUP($G396,нормы!$A$14:$BI$15,28,0),"")</f>
        <v/>
      </c>
    </row>
    <row r="397" spans="1:57" s="1" customFormat="1" ht="29.4" customHeight="1" thickBot="1" x14ac:dyDescent="0.5">
      <c r="A397" s="37" t="str">
        <f t="shared" si="158"/>
        <v>7Д</v>
      </c>
      <c r="B397" s="166" t="s">
        <v>130</v>
      </c>
      <c r="C397" s="167"/>
      <c r="D397" s="167"/>
      <c r="E397" s="167"/>
      <c r="F397" s="165"/>
      <c r="G397" s="167"/>
      <c r="H397" s="167"/>
      <c r="I397" s="168"/>
      <c r="J397" s="168"/>
      <c r="K397" s="168"/>
      <c r="L397" s="168"/>
      <c r="M397" s="168"/>
      <c r="N397" s="168"/>
      <c r="O397" s="167"/>
      <c r="P397" s="169"/>
      <c r="Q397" s="169"/>
      <c r="R397" s="169"/>
      <c r="S397" s="169"/>
      <c r="T397" s="169"/>
      <c r="U397" s="170"/>
      <c r="V397" s="170"/>
      <c r="W397" s="171"/>
      <c r="X397" s="171"/>
      <c r="Y397" s="172"/>
      <c r="Z397" s="172"/>
      <c r="AA397" s="201" t="s">
        <v>144</v>
      </c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64"/>
      <c r="AN397" s="167"/>
      <c r="AO397" s="167"/>
      <c r="AP397" s="167"/>
      <c r="AQ397" s="167"/>
      <c r="AR397" s="64"/>
      <c r="AS397" s="64"/>
      <c r="AT397" s="65"/>
      <c r="AU397" s="64"/>
      <c r="AV397" s="49"/>
      <c r="AW397" s="49"/>
      <c r="AX397" s="167"/>
      <c r="AY397" s="167"/>
      <c r="AZ397" s="167"/>
      <c r="BA397" s="167"/>
      <c r="BB397" s="167"/>
      <c r="BC397" s="167"/>
      <c r="BD397" s="66"/>
      <c r="BE397" s="66"/>
    </row>
    <row r="398" spans="1:57" s="1" customFormat="1" ht="23.25" customHeight="1" x14ac:dyDescent="0.4">
      <c r="A398" s="37" t="str">
        <f t="shared" si="158"/>
        <v>7Д</v>
      </c>
      <c r="B398" s="183"/>
      <c r="C398" s="100"/>
      <c r="D398" s="185"/>
      <c r="E398" s="186" t="s">
        <v>57</v>
      </c>
      <c r="F398" s="66" t="s">
        <v>87</v>
      </c>
      <c r="G398" s="66"/>
      <c r="H398" s="108" t="s">
        <v>131</v>
      </c>
      <c r="I398" s="101"/>
      <c r="J398" s="101"/>
      <c r="K398" s="101"/>
      <c r="L398" s="101"/>
      <c r="M398" s="101"/>
      <c r="N398" s="101"/>
      <c r="O398" s="67"/>
      <c r="P398" s="102"/>
      <c r="Q398" s="102"/>
      <c r="R398" s="102"/>
      <c r="S398" s="102"/>
      <c r="T398" s="102"/>
      <c r="U398" s="67"/>
      <c r="V398" s="67"/>
      <c r="W398" s="103"/>
      <c r="X398" s="187"/>
      <c r="Y398" s="68" t="s">
        <v>74</v>
      </c>
      <c r="Z398" s="69"/>
      <c r="AA398" s="90"/>
      <c r="AB398" s="100"/>
      <c r="AC398" s="100"/>
      <c r="AD398" s="186" t="s">
        <v>57</v>
      </c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190"/>
      <c r="AU398" s="66"/>
      <c r="AV398" s="165"/>
      <c r="AW398" s="293"/>
      <c r="AX398" s="66"/>
      <c r="AY398" s="66"/>
      <c r="AZ398" s="66"/>
      <c r="BA398" s="66"/>
      <c r="BB398" s="66"/>
      <c r="BC398" s="66"/>
      <c r="BD398" s="68" t="s">
        <v>74</v>
      </c>
      <c r="BE398" s="69"/>
    </row>
    <row r="399" spans="1:57" s="1" customFormat="1" ht="23.25" customHeight="1" thickBot="1" x14ac:dyDescent="0.45">
      <c r="A399" s="37" t="str">
        <f t="shared" si="158"/>
        <v>7Д</v>
      </c>
      <c r="B399" s="183"/>
      <c r="C399" s="41"/>
      <c r="D399" s="184"/>
      <c r="E399" s="50"/>
      <c r="F399" s="70"/>
      <c r="G399" s="70"/>
      <c r="H399" s="70"/>
      <c r="I399" s="104"/>
      <c r="J399" s="104"/>
      <c r="K399" s="104"/>
      <c r="L399" s="104"/>
      <c r="M399" s="104"/>
      <c r="N399" s="104"/>
      <c r="O399" s="71"/>
      <c r="P399" s="105"/>
      <c r="Q399" s="105"/>
      <c r="R399" s="105"/>
      <c r="S399" s="105"/>
      <c r="T399" s="105"/>
      <c r="U399" s="71"/>
      <c r="V399" s="71"/>
      <c r="W399" s="106"/>
      <c r="X399" s="188"/>
      <c r="Y399" s="72"/>
      <c r="Z399" s="73"/>
      <c r="AA399" s="90"/>
      <c r="AB399" s="41"/>
      <c r="AC399" s="41"/>
      <c r="AD399" s="50"/>
      <c r="AE399" s="47"/>
      <c r="AF399" s="47"/>
      <c r="AG399" s="47"/>
      <c r="AH399" s="47"/>
      <c r="AI399" s="47"/>
      <c r="AJ399" s="47"/>
      <c r="AK399" s="47"/>
      <c r="AL399" s="47"/>
      <c r="AM399" s="70"/>
      <c r="AN399" s="47"/>
      <c r="AO399" s="70"/>
      <c r="AP399" s="70"/>
      <c r="AQ399" s="70"/>
      <c r="AR399" s="70"/>
      <c r="AS399" s="70"/>
      <c r="AT399" s="191"/>
      <c r="AU399" s="70"/>
      <c r="AV399" s="192"/>
      <c r="AW399" s="294"/>
      <c r="AX399" s="70"/>
      <c r="AY399" s="70"/>
      <c r="AZ399" s="70"/>
      <c r="BA399" s="70"/>
      <c r="BB399" s="70"/>
      <c r="BC399" s="70"/>
      <c r="BD399" s="72"/>
      <c r="BE399" s="73"/>
    </row>
    <row r="400" spans="1:57" s="1" customFormat="1" ht="48" customHeight="1" x14ac:dyDescent="0.4">
      <c r="A400" s="37" t="str">
        <f t="shared" si="158"/>
        <v>7Д</v>
      </c>
      <c r="B400" s="183"/>
      <c r="C400" s="41"/>
      <c r="D400" s="184"/>
      <c r="E400" s="281">
        <f>B395</f>
        <v>46029</v>
      </c>
      <c r="F400" s="337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98">
        <v>1</v>
      </c>
      <c r="Y400" s="74">
        <v>1</v>
      </c>
      <c r="Z400" s="75">
        <f t="shared" ref="Z400:Z411" si="164">Y400-X400</f>
        <v>0</v>
      </c>
      <c r="AA400" s="189"/>
      <c r="AB400" s="41"/>
      <c r="AC400" s="184"/>
      <c r="AD400" s="210">
        <f>E400</f>
        <v>46029</v>
      </c>
      <c r="AE400" s="387"/>
      <c r="AF400" s="388"/>
      <c r="AG400" s="388"/>
      <c r="AH400" s="388"/>
      <c r="AI400" s="388"/>
      <c r="AJ400" s="388"/>
      <c r="AK400" s="388"/>
      <c r="AL400" s="388"/>
      <c r="AM400" s="388"/>
      <c r="AN400" s="388"/>
      <c r="AO400" s="388"/>
      <c r="AP400" s="388"/>
      <c r="AQ400" s="388"/>
      <c r="AR400" s="388"/>
      <c r="AS400" s="388"/>
      <c r="AT400" s="388"/>
      <c r="AU400" s="388"/>
      <c r="AV400" s="388"/>
      <c r="AW400" s="388"/>
      <c r="AX400" s="388"/>
      <c r="AY400" s="388"/>
      <c r="AZ400" s="388"/>
      <c r="BA400" s="388"/>
      <c r="BB400" s="389"/>
      <c r="BC400" s="98">
        <v>1</v>
      </c>
      <c r="BD400" s="74">
        <v>1</v>
      </c>
      <c r="BE400" s="75">
        <f t="shared" ref="BE400:BE411" si="165">BD400-BC400</f>
        <v>0</v>
      </c>
    </row>
    <row r="401" spans="1:57" s="1" customFormat="1" ht="29.25" customHeight="1" x14ac:dyDescent="0.4">
      <c r="A401" s="37" t="str">
        <f t="shared" si="158"/>
        <v>7Д</v>
      </c>
      <c r="B401" s="183"/>
      <c r="C401" s="41"/>
      <c r="D401" s="184"/>
      <c r="E401" s="282">
        <f>E400</f>
        <v>46029</v>
      </c>
      <c r="F401" s="335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  <c r="R401" s="336"/>
      <c r="S401" s="336"/>
      <c r="T401" s="336"/>
      <c r="U401" s="336"/>
      <c r="V401" s="336"/>
      <c r="W401" s="336"/>
      <c r="X401" s="98">
        <v>1</v>
      </c>
      <c r="Y401" s="74">
        <v>1</v>
      </c>
      <c r="Z401" s="75">
        <f t="shared" si="164"/>
        <v>0</v>
      </c>
      <c r="AA401" s="107">
        <f>AA400</f>
        <v>0</v>
      </c>
      <c r="AB401" s="41"/>
      <c r="AC401" s="184"/>
      <c r="AD401" s="212">
        <f>AD400</f>
        <v>46029</v>
      </c>
      <c r="AE401" s="387"/>
      <c r="AF401" s="388"/>
      <c r="AG401" s="388"/>
      <c r="AH401" s="388"/>
      <c r="AI401" s="388"/>
      <c r="AJ401" s="388"/>
      <c r="AK401" s="388"/>
      <c r="AL401" s="388"/>
      <c r="AM401" s="388"/>
      <c r="AN401" s="388"/>
      <c r="AO401" s="388"/>
      <c r="AP401" s="388"/>
      <c r="AQ401" s="388"/>
      <c r="AR401" s="388"/>
      <c r="AS401" s="388"/>
      <c r="AT401" s="388"/>
      <c r="AU401" s="388"/>
      <c r="AV401" s="388"/>
      <c r="AW401" s="388"/>
      <c r="AX401" s="388"/>
      <c r="AY401" s="388"/>
      <c r="AZ401" s="388"/>
      <c r="BA401" s="388"/>
      <c r="BB401" s="389"/>
      <c r="BC401" s="98">
        <v>1</v>
      </c>
      <c r="BD401" s="74">
        <v>1</v>
      </c>
      <c r="BE401" s="75">
        <f t="shared" si="165"/>
        <v>0</v>
      </c>
    </row>
    <row r="402" spans="1:57" s="1" customFormat="1" ht="28.5" customHeight="1" x14ac:dyDescent="0.4">
      <c r="A402" s="37" t="str">
        <f t="shared" si="158"/>
        <v>7Д</v>
      </c>
      <c r="B402" s="183"/>
      <c r="C402" s="41"/>
      <c r="D402" s="184"/>
      <c r="E402" s="282">
        <f t="shared" ref="E402:E411" si="166">E401</f>
        <v>46029</v>
      </c>
      <c r="F402" s="335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  <c r="R402" s="336"/>
      <c r="S402" s="336"/>
      <c r="T402" s="336"/>
      <c r="U402" s="336"/>
      <c r="V402" s="336"/>
      <c r="W402" s="336"/>
      <c r="X402" s="98">
        <v>1</v>
      </c>
      <c r="Y402" s="74">
        <v>1</v>
      </c>
      <c r="Z402" s="75">
        <f t="shared" si="164"/>
        <v>0</v>
      </c>
      <c r="AA402" s="107">
        <f>AA401</f>
        <v>0</v>
      </c>
      <c r="AB402" s="41"/>
      <c r="AC402" s="184"/>
      <c r="AD402" s="212">
        <f t="shared" ref="AD402:AD411" si="167">AD401</f>
        <v>46029</v>
      </c>
      <c r="AE402" s="387"/>
      <c r="AF402" s="388"/>
      <c r="AG402" s="388"/>
      <c r="AH402" s="388"/>
      <c r="AI402" s="388"/>
      <c r="AJ402" s="388"/>
      <c r="AK402" s="388"/>
      <c r="AL402" s="388"/>
      <c r="AM402" s="388"/>
      <c r="AN402" s="388"/>
      <c r="AO402" s="388"/>
      <c r="AP402" s="388"/>
      <c r="AQ402" s="388"/>
      <c r="AR402" s="388"/>
      <c r="AS402" s="388"/>
      <c r="AT402" s="388"/>
      <c r="AU402" s="388"/>
      <c r="AV402" s="388"/>
      <c r="AW402" s="388"/>
      <c r="AX402" s="388"/>
      <c r="AY402" s="388"/>
      <c r="AZ402" s="388"/>
      <c r="BA402" s="388"/>
      <c r="BB402" s="389"/>
      <c r="BC402" s="98">
        <v>1</v>
      </c>
      <c r="BD402" s="74">
        <v>1</v>
      </c>
      <c r="BE402" s="75">
        <f t="shared" si="165"/>
        <v>0</v>
      </c>
    </row>
    <row r="403" spans="1:57" s="1" customFormat="1" ht="28.5" customHeight="1" x14ac:dyDescent="0.4">
      <c r="A403" s="37" t="str">
        <f t="shared" si="158"/>
        <v>7Д</v>
      </c>
      <c r="B403" s="183"/>
      <c r="C403" s="41"/>
      <c r="D403" s="184"/>
      <c r="E403" s="282">
        <f t="shared" si="166"/>
        <v>46029</v>
      </c>
      <c r="F403" s="335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  <c r="R403" s="336"/>
      <c r="S403" s="336"/>
      <c r="T403" s="336"/>
      <c r="U403" s="336"/>
      <c r="V403" s="336"/>
      <c r="W403" s="336"/>
      <c r="X403" s="98">
        <v>1</v>
      </c>
      <c r="Y403" s="74">
        <v>1</v>
      </c>
      <c r="Z403" s="75">
        <f t="shared" si="164"/>
        <v>0</v>
      </c>
      <c r="AA403" s="107">
        <f t="shared" ref="AA403:AA411" si="168">AA402</f>
        <v>0</v>
      </c>
      <c r="AB403" s="41"/>
      <c r="AC403" s="184"/>
      <c r="AD403" s="212">
        <f t="shared" si="167"/>
        <v>46029</v>
      </c>
      <c r="AE403" s="387"/>
      <c r="AF403" s="388"/>
      <c r="AG403" s="388"/>
      <c r="AH403" s="388"/>
      <c r="AI403" s="388"/>
      <c r="AJ403" s="388"/>
      <c r="AK403" s="388"/>
      <c r="AL403" s="388"/>
      <c r="AM403" s="388"/>
      <c r="AN403" s="388"/>
      <c r="AO403" s="388"/>
      <c r="AP403" s="388"/>
      <c r="AQ403" s="388"/>
      <c r="AR403" s="388"/>
      <c r="AS403" s="388"/>
      <c r="AT403" s="388"/>
      <c r="AU403" s="388"/>
      <c r="AV403" s="388"/>
      <c r="AW403" s="388"/>
      <c r="AX403" s="388"/>
      <c r="AY403" s="388"/>
      <c r="AZ403" s="388"/>
      <c r="BA403" s="388"/>
      <c r="BB403" s="389"/>
      <c r="BC403" s="98">
        <v>1</v>
      </c>
      <c r="BD403" s="74">
        <v>1</v>
      </c>
      <c r="BE403" s="75">
        <f t="shared" si="165"/>
        <v>0</v>
      </c>
    </row>
    <row r="404" spans="1:57" s="1" customFormat="1" ht="21.9" customHeight="1" x14ac:dyDescent="0.4">
      <c r="A404" s="37" t="str">
        <f t="shared" si="158"/>
        <v>7Д</v>
      </c>
      <c r="B404" s="183"/>
      <c r="C404" s="41"/>
      <c r="D404" s="184"/>
      <c r="E404" s="282">
        <f t="shared" si="166"/>
        <v>46029</v>
      </c>
      <c r="F404" s="335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  <c r="R404" s="336"/>
      <c r="S404" s="336"/>
      <c r="T404" s="336"/>
      <c r="U404" s="336"/>
      <c r="V404" s="336"/>
      <c r="W404" s="336"/>
      <c r="X404" s="98">
        <v>1</v>
      </c>
      <c r="Y404" s="74">
        <v>1</v>
      </c>
      <c r="Z404" s="75">
        <f t="shared" si="164"/>
        <v>0</v>
      </c>
      <c r="AA404" s="107">
        <f t="shared" si="168"/>
        <v>0</v>
      </c>
      <c r="AB404" s="41"/>
      <c r="AC404" s="184"/>
      <c r="AD404" s="212">
        <f t="shared" si="167"/>
        <v>46029</v>
      </c>
      <c r="AE404" s="387"/>
      <c r="AF404" s="388"/>
      <c r="AG404" s="388"/>
      <c r="AH404" s="388"/>
      <c r="AI404" s="388"/>
      <c r="AJ404" s="388"/>
      <c r="AK404" s="388"/>
      <c r="AL404" s="388"/>
      <c r="AM404" s="388"/>
      <c r="AN404" s="388"/>
      <c r="AO404" s="388"/>
      <c r="AP404" s="388"/>
      <c r="AQ404" s="388"/>
      <c r="AR404" s="388"/>
      <c r="AS404" s="388"/>
      <c r="AT404" s="388"/>
      <c r="AU404" s="388"/>
      <c r="AV404" s="388"/>
      <c r="AW404" s="388"/>
      <c r="AX404" s="388"/>
      <c r="AY404" s="388"/>
      <c r="AZ404" s="388"/>
      <c r="BA404" s="388"/>
      <c r="BB404" s="389"/>
      <c r="BC404" s="98">
        <v>1</v>
      </c>
      <c r="BD404" s="74">
        <v>1</v>
      </c>
      <c r="BE404" s="75">
        <f t="shared" si="165"/>
        <v>0</v>
      </c>
    </row>
    <row r="405" spans="1:57" s="1" customFormat="1" ht="18" customHeight="1" x14ac:dyDescent="0.4">
      <c r="A405" s="37" t="str">
        <f t="shared" si="158"/>
        <v>7Д</v>
      </c>
      <c r="B405" s="183"/>
      <c r="C405" s="41"/>
      <c r="D405" s="184"/>
      <c r="E405" s="282">
        <f t="shared" si="166"/>
        <v>46029</v>
      </c>
      <c r="F405" s="335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  <c r="R405" s="336"/>
      <c r="S405" s="336"/>
      <c r="T405" s="336"/>
      <c r="U405" s="336"/>
      <c r="V405" s="336"/>
      <c r="W405" s="336"/>
      <c r="X405" s="98">
        <v>1</v>
      </c>
      <c r="Y405" s="74">
        <v>1</v>
      </c>
      <c r="Z405" s="75">
        <f t="shared" si="164"/>
        <v>0</v>
      </c>
      <c r="AA405" s="107">
        <f t="shared" si="168"/>
        <v>0</v>
      </c>
      <c r="AB405" s="41"/>
      <c r="AC405" s="184"/>
      <c r="AD405" s="212">
        <f t="shared" si="167"/>
        <v>46029</v>
      </c>
      <c r="AE405" s="387"/>
      <c r="AF405" s="388"/>
      <c r="AG405" s="388"/>
      <c r="AH405" s="388"/>
      <c r="AI405" s="388"/>
      <c r="AJ405" s="388"/>
      <c r="AK405" s="388"/>
      <c r="AL405" s="388"/>
      <c r="AM405" s="388"/>
      <c r="AN405" s="388"/>
      <c r="AO405" s="388"/>
      <c r="AP405" s="388"/>
      <c r="AQ405" s="388"/>
      <c r="AR405" s="388"/>
      <c r="AS405" s="388"/>
      <c r="AT405" s="388"/>
      <c r="AU405" s="388"/>
      <c r="AV405" s="388"/>
      <c r="AW405" s="388"/>
      <c r="AX405" s="388"/>
      <c r="AY405" s="388"/>
      <c r="AZ405" s="388"/>
      <c r="BA405" s="388"/>
      <c r="BB405" s="389"/>
      <c r="BC405" s="98">
        <v>1</v>
      </c>
      <c r="BD405" s="74">
        <v>1</v>
      </c>
      <c r="BE405" s="75">
        <f t="shared" si="165"/>
        <v>0</v>
      </c>
    </row>
    <row r="406" spans="1:57" s="1" customFormat="1" ht="18" customHeight="1" x14ac:dyDescent="0.4">
      <c r="A406" s="37" t="str">
        <f t="shared" si="158"/>
        <v>7Д</v>
      </c>
      <c r="B406" s="183"/>
      <c r="C406" s="41"/>
      <c r="D406" s="184"/>
      <c r="E406" s="282">
        <f t="shared" si="166"/>
        <v>46029</v>
      </c>
      <c r="F406" s="335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  <c r="R406" s="336"/>
      <c r="S406" s="336"/>
      <c r="T406" s="336"/>
      <c r="U406" s="336"/>
      <c r="V406" s="336"/>
      <c r="W406" s="336"/>
      <c r="X406" s="98">
        <v>1</v>
      </c>
      <c r="Y406" s="74">
        <v>1</v>
      </c>
      <c r="Z406" s="75">
        <f t="shared" si="164"/>
        <v>0</v>
      </c>
      <c r="AA406" s="107">
        <f t="shared" si="168"/>
        <v>0</v>
      </c>
      <c r="AB406" s="41"/>
      <c r="AC406" s="184"/>
      <c r="AD406" s="212">
        <f t="shared" si="167"/>
        <v>46029</v>
      </c>
      <c r="AE406" s="387"/>
      <c r="AF406" s="388"/>
      <c r="AG406" s="388"/>
      <c r="AH406" s="388"/>
      <c r="AI406" s="388"/>
      <c r="AJ406" s="388"/>
      <c r="AK406" s="388"/>
      <c r="AL406" s="388"/>
      <c r="AM406" s="388"/>
      <c r="AN406" s="388"/>
      <c r="AO406" s="388"/>
      <c r="AP406" s="388"/>
      <c r="AQ406" s="388"/>
      <c r="AR406" s="388"/>
      <c r="AS406" s="388"/>
      <c r="AT406" s="388"/>
      <c r="AU406" s="388"/>
      <c r="AV406" s="388"/>
      <c r="AW406" s="388"/>
      <c r="AX406" s="388"/>
      <c r="AY406" s="388"/>
      <c r="AZ406" s="388"/>
      <c r="BA406" s="388"/>
      <c r="BB406" s="389"/>
      <c r="BC406" s="98">
        <v>1</v>
      </c>
      <c r="BD406" s="74">
        <v>1</v>
      </c>
      <c r="BE406" s="75">
        <f t="shared" si="165"/>
        <v>0</v>
      </c>
    </row>
    <row r="407" spans="1:57" s="1" customFormat="1" ht="18" customHeight="1" x14ac:dyDescent="0.4">
      <c r="A407" s="37" t="str">
        <f t="shared" si="158"/>
        <v>7Д</v>
      </c>
      <c r="B407" s="183"/>
      <c r="C407" s="41"/>
      <c r="D407" s="184"/>
      <c r="E407" s="282">
        <f t="shared" si="166"/>
        <v>46029</v>
      </c>
      <c r="F407" s="335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  <c r="R407" s="336"/>
      <c r="S407" s="336"/>
      <c r="T407" s="336"/>
      <c r="U407" s="336"/>
      <c r="V407" s="336"/>
      <c r="W407" s="336"/>
      <c r="X407" s="98">
        <v>1</v>
      </c>
      <c r="Y407" s="74">
        <v>1</v>
      </c>
      <c r="Z407" s="75">
        <f t="shared" si="164"/>
        <v>0</v>
      </c>
      <c r="AA407" s="107">
        <f t="shared" si="168"/>
        <v>0</v>
      </c>
      <c r="AB407" s="41"/>
      <c r="AC407" s="184"/>
      <c r="AD407" s="212">
        <f t="shared" si="167"/>
        <v>46029</v>
      </c>
      <c r="AE407" s="387"/>
      <c r="AF407" s="388"/>
      <c r="AG407" s="388"/>
      <c r="AH407" s="388"/>
      <c r="AI407" s="388"/>
      <c r="AJ407" s="388"/>
      <c r="AK407" s="388"/>
      <c r="AL407" s="388"/>
      <c r="AM407" s="388"/>
      <c r="AN407" s="388"/>
      <c r="AO407" s="388"/>
      <c r="AP407" s="388"/>
      <c r="AQ407" s="388"/>
      <c r="AR407" s="388"/>
      <c r="AS407" s="388"/>
      <c r="AT407" s="388"/>
      <c r="AU407" s="388"/>
      <c r="AV407" s="388"/>
      <c r="AW407" s="388"/>
      <c r="AX407" s="388"/>
      <c r="AY407" s="388"/>
      <c r="AZ407" s="388"/>
      <c r="BA407" s="388"/>
      <c r="BB407" s="389"/>
      <c r="BC407" s="98">
        <v>1</v>
      </c>
      <c r="BD407" s="74">
        <v>1</v>
      </c>
      <c r="BE407" s="75">
        <f t="shared" si="165"/>
        <v>0</v>
      </c>
    </row>
    <row r="408" spans="1:57" s="1" customFormat="1" ht="18" customHeight="1" x14ac:dyDescent="0.4">
      <c r="A408" s="37" t="str">
        <f t="shared" si="158"/>
        <v>7Д</v>
      </c>
      <c r="B408" s="183"/>
      <c r="C408" s="41"/>
      <c r="D408" s="184"/>
      <c r="E408" s="282">
        <f t="shared" si="166"/>
        <v>46029</v>
      </c>
      <c r="F408" s="335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  <c r="R408" s="336"/>
      <c r="S408" s="336"/>
      <c r="T408" s="336"/>
      <c r="U408" s="336"/>
      <c r="V408" s="336"/>
      <c r="W408" s="336"/>
      <c r="X408" s="98">
        <v>1</v>
      </c>
      <c r="Y408" s="74">
        <v>1</v>
      </c>
      <c r="Z408" s="75">
        <f t="shared" si="164"/>
        <v>0</v>
      </c>
      <c r="AA408" s="107">
        <f t="shared" si="168"/>
        <v>0</v>
      </c>
      <c r="AB408" s="41"/>
      <c r="AC408" s="184"/>
      <c r="AD408" s="212">
        <f t="shared" si="167"/>
        <v>46029</v>
      </c>
      <c r="AE408" s="387"/>
      <c r="AF408" s="388"/>
      <c r="AG408" s="388"/>
      <c r="AH408" s="388"/>
      <c r="AI408" s="388"/>
      <c r="AJ408" s="388"/>
      <c r="AK408" s="388"/>
      <c r="AL408" s="388"/>
      <c r="AM408" s="388"/>
      <c r="AN408" s="388"/>
      <c r="AO408" s="388"/>
      <c r="AP408" s="388"/>
      <c r="AQ408" s="388"/>
      <c r="AR408" s="388"/>
      <c r="AS408" s="388"/>
      <c r="AT408" s="388"/>
      <c r="AU408" s="388"/>
      <c r="AV408" s="388"/>
      <c r="AW408" s="388"/>
      <c r="AX408" s="388"/>
      <c r="AY408" s="388"/>
      <c r="AZ408" s="388"/>
      <c r="BA408" s="388"/>
      <c r="BB408" s="389"/>
      <c r="BC408" s="98">
        <v>1</v>
      </c>
      <c r="BD408" s="74">
        <v>1</v>
      </c>
      <c r="BE408" s="75">
        <f t="shared" si="165"/>
        <v>0</v>
      </c>
    </row>
    <row r="409" spans="1:57" s="1" customFormat="1" ht="18" customHeight="1" x14ac:dyDescent="0.4">
      <c r="A409" s="37" t="str">
        <f t="shared" si="158"/>
        <v>7Д</v>
      </c>
      <c r="B409" s="183"/>
      <c r="C409" s="41"/>
      <c r="D409" s="184"/>
      <c r="E409" s="282">
        <f t="shared" si="166"/>
        <v>46029</v>
      </c>
      <c r="F409" s="335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  <c r="R409" s="336"/>
      <c r="S409" s="336"/>
      <c r="T409" s="336"/>
      <c r="U409" s="336"/>
      <c r="V409" s="336"/>
      <c r="W409" s="336"/>
      <c r="X409" s="98">
        <v>1</v>
      </c>
      <c r="Y409" s="74">
        <v>1</v>
      </c>
      <c r="Z409" s="75">
        <f t="shared" si="164"/>
        <v>0</v>
      </c>
      <c r="AA409" s="107">
        <f t="shared" si="168"/>
        <v>0</v>
      </c>
      <c r="AB409" s="41"/>
      <c r="AC409" s="184"/>
      <c r="AD409" s="212">
        <f t="shared" si="167"/>
        <v>46029</v>
      </c>
      <c r="AE409" s="387"/>
      <c r="AF409" s="388"/>
      <c r="AG409" s="388"/>
      <c r="AH409" s="388"/>
      <c r="AI409" s="388"/>
      <c r="AJ409" s="388"/>
      <c r="AK409" s="388"/>
      <c r="AL409" s="388"/>
      <c r="AM409" s="388"/>
      <c r="AN409" s="388"/>
      <c r="AO409" s="388"/>
      <c r="AP409" s="388"/>
      <c r="AQ409" s="388"/>
      <c r="AR409" s="388"/>
      <c r="AS409" s="388"/>
      <c r="AT409" s="388"/>
      <c r="AU409" s="388"/>
      <c r="AV409" s="388"/>
      <c r="AW409" s="388"/>
      <c r="AX409" s="388"/>
      <c r="AY409" s="388"/>
      <c r="AZ409" s="388"/>
      <c r="BA409" s="388"/>
      <c r="BB409" s="389"/>
      <c r="BC409" s="98">
        <v>1</v>
      </c>
      <c r="BD409" s="74">
        <v>1</v>
      </c>
      <c r="BE409" s="75">
        <f t="shared" si="165"/>
        <v>0</v>
      </c>
    </row>
    <row r="410" spans="1:57" s="1" customFormat="1" ht="18" customHeight="1" x14ac:dyDescent="0.4">
      <c r="A410" s="37" t="str">
        <f t="shared" si="158"/>
        <v>7Д</v>
      </c>
      <c r="B410" s="183"/>
      <c r="C410" s="41"/>
      <c r="D410" s="184"/>
      <c r="E410" s="282">
        <f t="shared" si="166"/>
        <v>46029</v>
      </c>
      <c r="F410" s="335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  <c r="R410" s="336"/>
      <c r="S410" s="336"/>
      <c r="T410" s="336"/>
      <c r="U410" s="336"/>
      <c r="V410" s="336"/>
      <c r="W410" s="336"/>
      <c r="X410" s="98">
        <v>1</v>
      </c>
      <c r="Y410" s="74">
        <v>1</v>
      </c>
      <c r="Z410" s="75">
        <f t="shared" si="164"/>
        <v>0</v>
      </c>
      <c r="AA410" s="107">
        <f t="shared" si="168"/>
        <v>0</v>
      </c>
      <c r="AB410" s="41"/>
      <c r="AC410" s="184"/>
      <c r="AD410" s="212">
        <f t="shared" si="167"/>
        <v>46029</v>
      </c>
      <c r="AE410" s="387"/>
      <c r="AF410" s="388"/>
      <c r="AG410" s="388"/>
      <c r="AH410" s="388"/>
      <c r="AI410" s="388"/>
      <c r="AJ410" s="388"/>
      <c r="AK410" s="388"/>
      <c r="AL410" s="388"/>
      <c r="AM410" s="388"/>
      <c r="AN410" s="388"/>
      <c r="AO410" s="388"/>
      <c r="AP410" s="388"/>
      <c r="AQ410" s="388"/>
      <c r="AR410" s="388"/>
      <c r="AS410" s="388"/>
      <c r="AT410" s="388"/>
      <c r="AU410" s="388"/>
      <c r="AV410" s="388"/>
      <c r="AW410" s="388"/>
      <c r="AX410" s="388"/>
      <c r="AY410" s="388"/>
      <c r="AZ410" s="388"/>
      <c r="BA410" s="388"/>
      <c r="BB410" s="389"/>
      <c r="BC410" s="98">
        <v>1</v>
      </c>
      <c r="BD410" s="74">
        <v>1</v>
      </c>
      <c r="BE410" s="75">
        <f t="shared" si="165"/>
        <v>0</v>
      </c>
    </row>
    <row r="411" spans="1:57" s="1" customFormat="1" ht="18" customHeight="1" thickBot="1" x14ac:dyDescent="0.45">
      <c r="A411" s="37" t="str">
        <f t="shared" si="158"/>
        <v>7Д</v>
      </c>
      <c r="B411" s="183"/>
      <c r="C411" s="41"/>
      <c r="D411" s="184"/>
      <c r="E411" s="283">
        <f t="shared" si="166"/>
        <v>46029</v>
      </c>
      <c r="F411" s="339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99">
        <v>1</v>
      </c>
      <c r="Y411" s="76">
        <v>1</v>
      </c>
      <c r="Z411" s="77">
        <f t="shared" si="164"/>
        <v>0</v>
      </c>
      <c r="AA411" s="107">
        <f t="shared" si="168"/>
        <v>0</v>
      </c>
      <c r="AB411" s="41"/>
      <c r="AC411" s="184"/>
      <c r="AD411" s="211">
        <f t="shared" si="167"/>
        <v>46029</v>
      </c>
      <c r="AE411" s="410"/>
      <c r="AF411" s="411"/>
      <c r="AG411" s="411"/>
      <c r="AH411" s="411"/>
      <c r="AI411" s="411"/>
      <c r="AJ411" s="411"/>
      <c r="AK411" s="411"/>
      <c r="AL411" s="411"/>
      <c r="AM411" s="411"/>
      <c r="AN411" s="411"/>
      <c r="AO411" s="411"/>
      <c r="AP411" s="411"/>
      <c r="AQ411" s="411"/>
      <c r="AR411" s="411"/>
      <c r="AS411" s="411"/>
      <c r="AT411" s="411"/>
      <c r="AU411" s="411"/>
      <c r="AV411" s="411"/>
      <c r="AW411" s="411"/>
      <c r="AX411" s="411"/>
      <c r="AY411" s="411"/>
      <c r="AZ411" s="411"/>
      <c r="BA411" s="411"/>
      <c r="BB411" s="412"/>
      <c r="BC411" s="99">
        <v>1</v>
      </c>
      <c r="BD411" s="76">
        <v>1</v>
      </c>
      <c r="BE411" s="75">
        <f t="shared" si="165"/>
        <v>0</v>
      </c>
    </row>
    <row r="412" spans="1:57" s="1" customFormat="1" ht="23.25" customHeight="1" thickBot="1" x14ac:dyDescent="0.45">
      <c r="A412" s="37" t="str">
        <f t="shared" si="158"/>
        <v>7Д</v>
      </c>
      <c r="B412" s="193"/>
      <c r="C412" s="47"/>
      <c r="D412" s="47"/>
      <c r="E412" s="47"/>
      <c r="F412" s="78"/>
      <c r="G412" s="78"/>
      <c r="H412" s="78"/>
      <c r="I412" s="80"/>
      <c r="J412" s="80"/>
      <c r="K412" s="80"/>
      <c r="L412" s="80"/>
      <c r="M412" s="80"/>
      <c r="N412" s="80"/>
      <c r="O412" s="78"/>
      <c r="P412" s="81"/>
      <c r="Q412" s="81"/>
      <c r="R412" s="81"/>
      <c r="S412" s="81"/>
      <c r="T412" s="81"/>
      <c r="U412" s="82"/>
      <c r="V412" s="82"/>
      <c r="W412" s="86"/>
      <c r="X412" s="194"/>
      <c r="Y412" s="83"/>
      <c r="Z412" s="83"/>
      <c r="AA412" s="78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84"/>
      <c r="AN412" s="47"/>
      <c r="AO412" s="78"/>
      <c r="AP412" s="78"/>
      <c r="AQ412" s="78"/>
      <c r="AR412" s="84"/>
      <c r="AS412" s="78"/>
      <c r="AT412" s="85"/>
      <c r="AU412" s="78"/>
      <c r="AV412" s="83"/>
      <c r="AW412" s="83"/>
      <c r="AX412" s="78"/>
      <c r="AY412" s="78"/>
      <c r="AZ412" s="78"/>
      <c r="BA412" s="78"/>
      <c r="BB412" s="78"/>
      <c r="BC412" s="78"/>
      <c r="BD412" s="79"/>
      <c r="BE412" s="79"/>
    </row>
    <row r="413" spans="1:57" s="1" customFormat="1" ht="21.6" customHeight="1" thickBot="1" x14ac:dyDescent="0.45">
      <c r="A413" s="37" t="s">
        <v>159</v>
      </c>
      <c r="B413" s="59"/>
      <c r="C413" s="51"/>
      <c r="D413" s="51"/>
      <c r="E413" s="51"/>
      <c r="F413" s="158" t="s">
        <v>220</v>
      </c>
      <c r="G413" s="51"/>
      <c r="H413" s="51"/>
      <c r="I413" s="156"/>
      <c r="J413" s="156"/>
      <c r="K413" s="156"/>
      <c r="L413" s="156"/>
      <c r="M413" s="156"/>
      <c r="N413" s="156"/>
      <c r="O413" s="91"/>
      <c r="P413" s="52"/>
      <c r="Q413" s="52"/>
      <c r="R413" s="52"/>
      <c r="S413" s="52"/>
      <c r="T413" s="52"/>
      <c r="U413" s="157"/>
      <c r="V413" s="157"/>
      <c r="W413" s="94"/>
      <c r="X413" s="94"/>
      <c r="Y413" s="51"/>
      <c r="Z413" s="51"/>
      <c r="AA413" s="157">
        <f>AA396</f>
        <v>1</v>
      </c>
      <c r="AB413" s="157">
        <f t="shared" ref="AB413:AF413" si="169">AB396</f>
        <v>2</v>
      </c>
      <c r="AC413" s="157">
        <f t="shared" si="169"/>
        <v>3</v>
      </c>
      <c r="AD413" s="157">
        <f t="shared" si="169"/>
        <v>4</v>
      </c>
      <c r="AE413" s="157">
        <f t="shared" si="169"/>
        <v>5</v>
      </c>
      <c r="AF413" s="157">
        <f t="shared" si="169"/>
        <v>6</v>
      </c>
      <c r="AG413" s="162" t="s">
        <v>123</v>
      </c>
      <c r="AH413" s="162" t="s">
        <v>124</v>
      </c>
      <c r="AI413" s="162" t="s">
        <v>125</v>
      </c>
      <c r="AJ413" s="91" t="s">
        <v>126</v>
      </c>
      <c r="AK413" s="198" t="s">
        <v>136</v>
      </c>
      <c r="AL413" s="198" t="s">
        <v>137</v>
      </c>
      <c r="AM413" s="198" t="s">
        <v>138</v>
      </c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</row>
    <row r="414" spans="1:57" s="1" customFormat="1" ht="21.6" customHeight="1" x14ac:dyDescent="0.4">
      <c r="A414" s="37" t="str">
        <f>A413</f>
        <v>7Н</v>
      </c>
      <c r="B414" s="12">
        <f>B395</f>
        <v>46029</v>
      </c>
      <c r="C414" s="97"/>
      <c r="D414" s="97">
        <v>1</v>
      </c>
      <c r="E414" s="29"/>
      <c r="F414" s="151" t="str">
        <f>IFERROR(VLOOKUP($G414,нормы!$A$14:$BC$57,2,0),"")</f>
        <v/>
      </c>
      <c r="G414" s="93"/>
      <c r="H414" s="54">
        <f>IF(C414=1,"Кульков С.А.", IF(C414=2,"Чудаков А.А.",IF(C414=3,"Королев В.Н.",IF(C414=4,"Николашин М.П.",IF(C414=5," Кульков С.А.",IF(C414=6,"А.А. Чудаков",IF(C414=7,"В.Н. Королев",IF(C414=8,"М.П. Николашин",0))))))))</f>
        <v>0</v>
      </c>
      <c r="I414" s="88" t="s">
        <v>84</v>
      </c>
      <c r="J414" s="332"/>
      <c r="K414" s="30">
        <f>IFERROR(VLOOKUP($G414,[1]нормы!$A$21:$BC$151,15,0),"")</f>
        <v>0</v>
      </c>
      <c r="L414" s="31">
        <f>IFERROR(VLOOKUP($G414,[1]нормы!$A$21:$BC$151,17,0),"")</f>
        <v>0</v>
      </c>
      <c r="M414" s="310">
        <f>IFERROR(VLOOKUP($G414,[1]нормы!$A$21:$BC$151,27,0),"")</f>
        <v>0</v>
      </c>
      <c r="N414" s="311" t="str">
        <f>IFERROR(Y414/Y420*(1.1*J414*I419),"")</f>
        <v/>
      </c>
      <c r="O414" s="300">
        <f>IFERROR(VLOOKUP($G414,[1]нормы!$A$21:$BC$151,21,0),"")</f>
        <v>0</v>
      </c>
      <c r="P414" s="35">
        <f>IFERROR(VLOOKUP($G414,[1]нормы!$A$21:$BC$151,19,0),"")</f>
        <v>0</v>
      </c>
      <c r="Q414" s="35">
        <f>IFERROR(VLOOKUP($G414,[1]нормы!$A$21:$BC$151,23,0),"")</f>
        <v>0</v>
      </c>
      <c r="R414" s="231">
        <f>IFERROR(VLOOKUP($G414,[1]нормы!$A$21:$BC$151,29,0),"")</f>
        <v>0</v>
      </c>
      <c r="S414" s="35">
        <f>IFERROR(VLOOKUP($G414,[1]нормы!$A$21:$BC$151,31,0),"")</f>
        <v>0</v>
      </c>
      <c r="T414" s="32">
        <f>IFERROR(VLOOKUP($G414,[1]нормы!$A$21:$BC$151,25,0),"")</f>
        <v>0</v>
      </c>
      <c r="U414" s="232" t="str">
        <f>IFERROR(W414/(((100*Y414/Y420)*I419)/100),"")</f>
        <v/>
      </c>
      <c r="V414" s="234" t="str">
        <f>IFERROR(VLOOKUP($G414,нормы!$A$14:$BC$57,38,0),"")</f>
        <v/>
      </c>
      <c r="W414" s="136"/>
      <c r="X414" s="236"/>
      <c r="Y414" s="152" t="str">
        <f>IFERROR(VLOOKUP($G414,нормы!$A$14:$BC$57,42,0)*W414,"")</f>
        <v/>
      </c>
      <c r="Z414" s="163">
        <f>IFERROR(VLOOKUP($G414,нормы!$A$14:$BC$57,14,0)*W414/1000,0)</f>
        <v>0</v>
      </c>
      <c r="AA414" s="33"/>
      <c r="AB414" s="36"/>
      <c r="AC414" s="36"/>
      <c r="AD414" s="36"/>
      <c r="AE414" s="34"/>
      <c r="AF414" s="159"/>
      <c r="AG414" s="390"/>
      <c r="AH414" s="393"/>
      <c r="AI414" s="396"/>
      <c r="AJ414" s="407">
        <f>AG414+AH414</f>
        <v>0</v>
      </c>
      <c r="AK414" s="359"/>
      <c r="AL414" s="359"/>
      <c r="AM414" s="359"/>
      <c r="AN414" s="287">
        <f>IFERROR(Y414*AJ414/Y420,)</f>
        <v>0</v>
      </c>
      <c r="AO414" s="197" t="str">
        <f>IFERROR(VLOOKUP($G414,нормы!$A$14:$BC$57,53,0)*$W414,"")</f>
        <v/>
      </c>
      <c r="AP414" s="288">
        <f>IFERROR(Y414*AI414/Y420,)</f>
        <v>0</v>
      </c>
      <c r="AQ414" s="197" t="str">
        <f>IFERROR(VLOOKUP($G414,нормы!$A$14:$BC$57,54,0)*$W414,"")</f>
        <v/>
      </c>
      <c r="AR414" s="288">
        <f>IFERROR(AS414/SUM(AS414:AS419)*AL414,0)</f>
        <v>0</v>
      </c>
      <c r="AS414" s="197" t="str">
        <f>IFERROR(VLOOKUP($G414,нормы!$A$14:$BC$57,55,0)*W414,"")</f>
        <v/>
      </c>
      <c r="AT414" s="288">
        <f>IFERROR(AU414/SUM(AU414:AU419)*AM414,0)</f>
        <v>0</v>
      </c>
      <c r="AU414" s="197" t="str">
        <f>IFERROR(VLOOKUP($G414,нормы!$A$14:$BI$57,56,0)*W414,"")</f>
        <v/>
      </c>
      <c r="AV414" s="288">
        <f>IFERROR(AW414/SUM(AW414:AW419)*AK414,0)</f>
        <v>0</v>
      </c>
      <c r="AW414" s="202" t="str">
        <f>IFERROR(VLOOKUP($G414,нормы!$A$14:$BI$57,57,0)*W414,"")</f>
        <v/>
      </c>
      <c r="AX414" s="33"/>
      <c r="AY414" s="203" t="str">
        <f>IFERROR(VLOOKUP($G414,нормы!$A$14:$BI$57,58,0)*W414,"")</f>
        <v/>
      </c>
      <c r="AZ414" s="204"/>
      <c r="BA414" s="200" t="str">
        <f>IFERROR(VLOOKUP($G414,нормы!$A$14:$BI$57,61,0)*$W414,"")</f>
        <v/>
      </c>
      <c r="BB414" s="33"/>
      <c r="BC414" s="203" t="str">
        <f>IFERROR(VLOOKUP($G414,нормы!$A$14:$BI$57,60,0)*W414,"")</f>
        <v/>
      </c>
      <c r="BD414" s="200" t="str">
        <f>IFERROR(VLOOKUP($G414,нормы!$A$14:$BG$57,44,0),"")</f>
        <v/>
      </c>
      <c r="BE414" s="199" t="str">
        <f>IFERROR(W414/VLOOKUP($G414,нормы!$A$14:$BI$57,45,0),"")</f>
        <v/>
      </c>
    </row>
    <row r="415" spans="1:57" s="1" customFormat="1" ht="21.6" customHeight="1" x14ac:dyDescent="0.4">
      <c r="A415" s="37" t="str">
        <f t="shared" ref="A415:A443" si="170">A414</f>
        <v>7Н</v>
      </c>
      <c r="B415" s="12">
        <f t="shared" ref="B415:D419" si="171">B414</f>
        <v>46029</v>
      </c>
      <c r="C415" s="97">
        <f t="shared" si="171"/>
        <v>0</v>
      </c>
      <c r="D415" s="97">
        <f t="shared" si="171"/>
        <v>1</v>
      </c>
      <c r="E415" s="54"/>
      <c r="F415" s="151" t="str">
        <f>IFERROR(VLOOKUP($G415,нормы!$A$14:$BC$57,2,0),"")</f>
        <v/>
      </c>
      <c r="G415" s="93"/>
      <c r="H415" s="54">
        <f t="shared" ref="H415:H419" si="172">IF(C415=1,"Кульков С.А.", IF(C415=2,"Чудаков А.А.",IF(C415=3,"Королев В.Н.",IF(C415=4,"Николашин М.П.",IF(C415=5," Кульков С.А.",IF(C415=6,"А.А. Чудаков",IF(C415=7,"В.Н. Королев",IF(C415=8,"М.П. Николашин",0))))))))</f>
        <v>0</v>
      </c>
      <c r="I415" s="55"/>
      <c r="J415" s="333"/>
      <c r="K415" s="30">
        <f>IFERROR(VLOOKUP($G415,[1]нормы!$A$21:$BC$151,15,0),"")</f>
        <v>0</v>
      </c>
      <c r="L415" s="31">
        <f>IFERROR(VLOOKUP($G415,[1]нормы!$A$21:$BC$151,17,0),"")</f>
        <v>0</v>
      </c>
      <c r="M415" s="306">
        <f>IFERROR(VLOOKUP($G415,[1]нормы!$A$21:$BC$151,27,0),"")</f>
        <v>0</v>
      </c>
      <c r="N415" s="307" t="str">
        <f>IFERROR(Y415/Y420*(1.1*J414*I419),"")</f>
        <v/>
      </c>
      <c r="O415" s="300">
        <f>IFERROR(VLOOKUP($G415,[1]нормы!$A$21:$BC$151,21,0),"")</f>
        <v>0</v>
      </c>
      <c r="P415" s="35">
        <f>IFERROR(VLOOKUP($G415,[1]нормы!$A$21:$BC$151,19,0),"")</f>
        <v>0</v>
      </c>
      <c r="Q415" s="35">
        <f>IFERROR(VLOOKUP($G415,[1]нормы!$A$21:$BC$151,23,0),"")</f>
        <v>0</v>
      </c>
      <c r="R415" s="231">
        <f>IFERROR(VLOOKUP($G415,[1]нормы!$A$21:$BC$151,29,0),"")</f>
        <v>0</v>
      </c>
      <c r="S415" s="35">
        <f>IFERROR(VLOOKUP($G415,[1]нормы!$A$21:$BC$151,31,0),"")</f>
        <v>0</v>
      </c>
      <c r="T415" s="32">
        <f>IFERROR(VLOOKUP($G415,[1]нормы!$A$21:$BC$151,25,0),"")</f>
        <v>0</v>
      </c>
      <c r="U415" s="233" t="str">
        <f>IFERROR(W415/(((100*Y415/Y420)*I419)/100),"")</f>
        <v/>
      </c>
      <c r="V415" s="234" t="str">
        <f>IFERROR(VLOOKUP($G415,нормы!$A$14:$BC$57,38,0),"")</f>
        <v/>
      </c>
      <c r="W415" s="136"/>
      <c r="X415" s="237"/>
      <c r="Y415" s="152" t="str">
        <f>IFERROR(VLOOKUP($G415,нормы!$A$14:$BC$57,42,0)*W415,"")</f>
        <v/>
      </c>
      <c r="Z415" s="163">
        <f>IFERROR(VLOOKUP($G415,нормы!$A$14:$BC$57,14,0)*W415/1000,0)</f>
        <v>0</v>
      </c>
      <c r="AA415" s="142"/>
      <c r="AB415" s="35"/>
      <c r="AC415" s="35"/>
      <c r="AD415" s="35"/>
      <c r="AE415" s="31"/>
      <c r="AF415" s="160"/>
      <c r="AG415" s="391"/>
      <c r="AH415" s="394"/>
      <c r="AI415" s="397"/>
      <c r="AJ415" s="408"/>
      <c r="AK415" s="360"/>
      <c r="AL415" s="360"/>
      <c r="AM415" s="360"/>
      <c r="AN415" s="289">
        <f>IFERROR(Y415*AJ414/Y420,)</f>
        <v>0</v>
      </c>
      <c r="AO415" s="197" t="str">
        <f>IFERROR(VLOOKUP($G415,нормы!$A$14:$BC$57,53,0)*$W415,"")</f>
        <v/>
      </c>
      <c r="AP415" s="290">
        <f>IFERROR(Y415*AI414/Y420,)</f>
        <v>0</v>
      </c>
      <c r="AQ415" s="197" t="str">
        <f>IFERROR(VLOOKUP($G415,нормы!$A$14:$BC$57,54,0)*$W415,"")</f>
        <v/>
      </c>
      <c r="AR415" s="290">
        <f>IFERROR(AS415/SUM(AS414:AS419)*AL414,0)</f>
        <v>0</v>
      </c>
      <c r="AS415" s="197" t="str">
        <f>IFERROR(VLOOKUP($G415,нормы!$A$14:$BC$57,55,0)*W415,"")</f>
        <v/>
      </c>
      <c r="AT415" s="290">
        <f>IFERROR(AU415/SUM(AU414:AU419)*AM414,0)</f>
        <v>0</v>
      </c>
      <c r="AU415" s="197" t="str">
        <f>IFERROR(VLOOKUP($G415,нормы!$A$14:$BI$57,56,0)*W415,"")</f>
        <v/>
      </c>
      <c r="AV415" s="290">
        <f>IFERROR(AW415/SUM(AW414:AW419)*AK414,0)</f>
        <v>0</v>
      </c>
      <c r="AW415" s="202" t="str">
        <f>IFERROR(VLOOKUP($G415,нормы!$A$14:$BI$57,57,0)*W415,"")</f>
        <v/>
      </c>
      <c r="AX415" s="30"/>
      <c r="AY415" s="203" t="str">
        <f>IFERROR(VLOOKUP($G415,нормы!$A$14:$BI$57,58,0)*W415,"")</f>
        <v/>
      </c>
      <c r="AZ415" s="205"/>
      <c r="BA415" s="200" t="str">
        <f>IFERROR(VLOOKUP($G415,нормы!$A$14:$BI$57,61,0)*$W415,"")</f>
        <v/>
      </c>
      <c r="BB415" s="30"/>
      <c r="BC415" s="203" t="str">
        <f>IFERROR(VLOOKUP($G415,нормы!$A$14:$BI$57,60,0)*W415,"")</f>
        <v/>
      </c>
      <c r="BD415" s="200" t="str">
        <f>IFERROR(VLOOKUP($G415,нормы!$A$14:$BG$57,44,0),"")</f>
        <v/>
      </c>
      <c r="BE415" s="199" t="str">
        <f>IFERROR(W415/VLOOKUP($G415,нормы!$A$14:$BI$57,45,0),"")</f>
        <v/>
      </c>
    </row>
    <row r="416" spans="1:57" s="1" customFormat="1" ht="20.25" customHeight="1" x14ac:dyDescent="0.4">
      <c r="A416" s="37" t="str">
        <f t="shared" si="170"/>
        <v>7Н</v>
      </c>
      <c r="B416" s="12">
        <f t="shared" si="171"/>
        <v>46029</v>
      </c>
      <c r="C416" s="97">
        <f t="shared" si="171"/>
        <v>0</v>
      </c>
      <c r="D416" s="97">
        <f t="shared" si="171"/>
        <v>1</v>
      </c>
      <c r="E416" s="54"/>
      <c r="F416" s="151" t="str">
        <f>IFERROR(VLOOKUP($G416,нормы!$A$14:$BC$57,2,0),"")</f>
        <v/>
      </c>
      <c r="G416" s="38"/>
      <c r="H416" s="54">
        <f t="shared" si="172"/>
        <v>0</v>
      </c>
      <c r="I416" s="89" t="s">
        <v>85</v>
      </c>
      <c r="J416" s="333"/>
      <c r="K416" s="30">
        <f>IFERROR(VLOOKUP($G416,[1]нормы!$A$21:$BC$151,15,0),"")</f>
        <v>0</v>
      </c>
      <c r="L416" s="31">
        <f>IFERROR(VLOOKUP($G416,[1]нормы!$A$21:$BC$151,17,0),"")</f>
        <v>0</v>
      </c>
      <c r="M416" s="306">
        <f>IFERROR(VLOOKUP($G416,[1]нормы!$A$21:$BC$151,27,0),"")</f>
        <v>0</v>
      </c>
      <c r="N416" s="307" t="str">
        <f>IFERROR(Y416/Y420*(1.1*J414*I419),"")</f>
        <v/>
      </c>
      <c r="O416" s="300">
        <f>IFERROR(VLOOKUP($G416,[1]нормы!$A$21:$BC$151,21,0),"")</f>
        <v>0</v>
      </c>
      <c r="P416" s="35">
        <f>IFERROR(VLOOKUP($G416,[1]нормы!$A$21:$BC$151,19,0),"")</f>
        <v>0</v>
      </c>
      <c r="Q416" s="35">
        <f>IFERROR(VLOOKUP($G416,[1]нормы!$A$21:$BC$151,23,0),"")</f>
        <v>0</v>
      </c>
      <c r="R416" s="231">
        <f>IFERROR(VLOOKUP($G416,[1]нормы!$A$21:$BC$151,29,0),"")</f>
        <v>0</v>
      </c>
      <c r="S416" s="35">
        <f>IFERROR(VLOOKUP($G416,[1]нормы!$A$21:$BC$151,31,0),"")</f>
        <v>0</v>
      </c>
      <c r="T416" s="32">
        <f>IFERROR(VLOOKUP($G416,[1]нормы!$A$21:$BC$151,25,0),"")</f>
        <v>0</v>
      </c>
      <c r="U416" s="233" t="str">
        <f>IFERROR(W416/(((100*Y416/Y420)*I419)/100),"")</f>
        <v/>
      </c>
      <c r="V416" s="234" t="str">
        <f>IFERROR(VLOOKUP($G416,нормы!$A$14:$BC$57,38,0),"")</f>
        <v/>
      </c>
      <c r="W416" s="136"/>
      <c r="X416" s="237"/>
      <c r="Y416" s="152" t="str">
        <f>IFERROR(VLOOKUP($G416,нормы!$A$14:$BC$57,42,0)*W416,"")</f>
        <v/>
      </c>
      <c r="Z416" s="163">
        <f>IFERROR(VLOOKUP($G416,нормы!$A$14:$BC$57,14,0)*W416/1000,0)</f>
        <v>0</v>
      </c>
      <c r="AA416" s="30"/>
      <c r="AB416" s="35"/>
      <c r="AC416" s="35"/>
      <c r="AD416" s="35"/>
      <c r="AE416" s="31"/>
      <c r="AF416" s="160"/>
      <c r="AG416" s="391"/>
      <c r="AH416" s="394"/>
      <c r="AI416" s="397"/>
      <c r="AJ416" s="408"/>
      <c r="AK416" s="360"/>
      <c r="AL416" s="360"/>
      <c r="AM416" s="360"/>
      <c r="AN416" s="289">
        <f>IFERROR(Y416*AJ414/Y420,)</f>
        <v>0</v>
      </c>
      <c r="AO416" s="197" t="str">
        <f>IFERROR(VLOOKUP($G416,нормы!$A$14:$BC$57,53,0)*$W416,"")</f>
        <v/>
      </c>
      <c r="AP416" s="290">
        <f>IFERROR(Y416*AI414/Y420,)</f>
        <v>0</v>
      </c>
      <c r="AQ416" s="197" t="str">
        <f>IFERROR(VLOOKUP($G416,нормы!$A$14:$BC$57,54,0)*$W416,"")</f>
        <v/>
      </c>
      <c r="AR416" s="290">
        <f>IFERROR(AS416/SUM(AS414:AS419)*AL414,0)</f>
        <v>0</v>
      </c>
      <c r="AS416" s="197" t="str">
        <f>IFERROR(VLOOKUP($G416,нормы!$A$14:$BC$57,55,0)*W416,"")</f>
        <v/>
      </c>
      <c r="AT416" s="290">
        <f>IFERROR(AU416/SUM(AU414:AU419)*AM414,0)</f>
        <v>0</v>
      </c>
      <c r="AU416" s="197" t="str">
        <f>IFERROR(VLOOKUP($G416,нормы!$A$14:$BI$57,56,0)*W416,"")</f>
        <v/>
      </c>
      <c r="AV416" s="290">
        <f>IFERROR(AW416/SUM(AW414:AW419)*AK414,0)</f>
        <v>0</v>
      </c>
      <c r="AW416" s="202" t="str">
        <f>IFERROR(VLOOKUP($G416,нормы!$A$14:$BI$57,57,0)*W416,"")</f>
        <v/>
      </c>
      <c r="AX416" s="30"/>
      <c r="AY416" s="203" t="str">
        <f>IFERROR(VLOOKUP($G416,нормы!$A$14:$BI$57,58,0)*W416,"")</f>
        <v/>
      </c>
      <c r="AZ416" s="205"/>
      <c r="BA416" s="200" t="str">
        <f>IFERROR(VLOOKUP($G416,нормы!$A$14:$BI$57,61,0)*$W416,"")</f>
        <v/>
      </c>
      <c r="BB416" s="30"/>
      <c r="BC416" s="203" t="str">
        <f>IFERROR(VLOOKUP($G416,нормы!$A$14:$BI$57,60,0)*W416,"")</f>
        <v/>
      </c>
      <c r="BD416" s="200" t="str">
        <f>IFERROR(VLOOKUP($G416,нормы!$A$14:$BG$57,44,0),"")</f>
        <v/>
      </c>
      <c r="BE416" s="199" t="str">
        <f>IFERROR(W416/VLOOKUP($G416,нормы!$A$14:$BI$57,45,0),"")</f>
        <v/>
      </c>
    </row>
    <row r="417" spans="1:57" s="1" customFormat="1" ht="20.25" customHeight="1" x14ac:dyDescent="0.4">
      <c r="A417" s="37" t="str">
        <f t="shared" si="170"/>
        <v>7Н</v>
      </c>
      <c r="B417" s="12">
        <f t="shared" si="171"/>
        <v>46029</v>
      </c>
      <c r="C417" s="97">
        <f t="shared" si="171"/>
        <v>0</v>
      </c>
      <c r="D417" s="97">
        <f t="shared" si="171"/>
        <v>1</v>
      </c>
      <c r="E417" s="54"/>
      <c r="F417" s="151" t="str">
        <f>IFERROR(VLOOKUP($G417,нормы!$A$14:$BC$57,2,0),"")</f>
        <v/>
      </c>
      <c r="G417" s="93"/>
      <c r="H417" s="54">
        <f t="shared" si="172"/>
        <v>0</v>
      </c>
      <c r="I417" s="55"/>
      <c r="J417" s="333"/>
      <c r="K417" s="30">
        <f>IFERROR(VLOOKUP($G417,[1]нормы!$A$21:$BC$151,15,0),"")</f>
        <v>0</v>
      </c>
      <c r="L417" s="31">
        <f>IFERROR(VLOOKUP($G417,[1]нормы!$A$21:$BC$151,17,0),"")</f>
        <v>0</v>
      </c>
      <c r="M417" s="306">
        <f>IFERROR(VLOOKUP($G417,[1]нормы!$A$21:$BC$151,27,0),"")</f>
        <v>0</v>
      </c>
      <c r="N417" s="307" t="str">
        <f>IFERROR(Y417/Y420*(1.1*J414*I422),"")</f>
        <v/>
      </c>
      <c r="O417" s="300">
        <f>IFERROR(VLOOKUP($G417,[1]нормы!$A$21:$BC$151,21,0),"")</f>
        <v>0</v>
      </c>
      <c r="P417" s="35">
        <f>IFERROR(VLOOKUP($G417,[1]нормы!$A$21:$BC$151,19,0),"")</f>
        <v>0</v>
      </c>
      <c r="Q417" s="35">
        <f>IFERROR(VLOOKUP($G417,[1]нормы!$A$21:$BC$151,23,0),"")</f>
        <v>0</v>
      </c>
      <c r="R417" s="231">
        <f>IFERROR(VLOOKUP($G417,[1]нормы!$A$21:$BC$151,29,0),"")</f>
        <v>0</v>
      </c>
      <c r="S417" s="35">
        <f>IFERROR(VLOOKUP($G417,[1]нормы!$A$21:$BC$151,31,0),"")</f>
        <v>0</v>
      </c>
      <c r="T417" s="32">
        <f>IFERROR(VLOOKUP($G417,[1]нормы!$A$21:$BC$151,25,0),"")</f>
        <v>0</v>
      </c>
      <c r="U417" s="233" t="str">
        <f>IFERROR(W417/(((100*Y417/Y420)*I419)/100),"")</f>
        <v/>
      </c>
      <c r="V417" s="234" t="str">
        <f>IFERROR(VLOOKUP($G417,нормы!$A$14:$BC$57,38,0),"")</f>
        <v/>
      </c>
      <c r="W417" s="136"/>
      <c r="X417" s="237"/>
      <c r="Y417" s="152" t="str">
        <f>IFERROR(VLOOKUP($G417,нормы!$A$14:$BC$57,42,0)*W417,"")</f>
        <v/>
      </c>
      <c r="Z417" s="163">
        <f>IFERROR(VLOOKUP($G417,нормы!$A$14:$BC$57,14,0)*W417/1000,0)</f>
        <v>0</v>
      </c>
      <c r="AA417" s="30"/>
      <c r="AB417" s="35"/>
      <c r="AC417" s="35"/>
      <c r="AD417" s="35"/>
      <c r="AE417" s="31"/>
      <c r="AF417" s="160"/>
      <c r="AG417" s="391"/>
      <c r="AH417" s="394"/>
      <c r="AI417" s="397"/>
      <c r="AJ417" s="408"/>
      <c r="AK417" s="360"/>
      <c r="AL417" s="360"/>
      <c r="AM417" s="360"/>
      <c r="AN417" s="289">
        <f>IFERROR(Y417*AJ414/Y420,)</f>
        <v>0</v>
      </c>
      <c r="AO417" s="197" t="str">
        <f>IFERROR(VLOOKUP($G417,нормы!$A$14:$BC$57,53,0)*$W417,"")</f>
        <v/>
      </c>
      <c r="AP417" s="290">
        <f>IFERROR(Y417*AI414/Y420,)</f>
        <v>0</v>
      </c>
      <c r="AQ417" s="197" t="str">
        <f>IFERROR(VLOOKUP($G417,нормы!$A$14:$BC$57,54,0)*$W417,"")</f>
        <v/>
      </c>
      <c r="AR417" s="290">
        <f>IFERROR(AS417/SUM(AS414:AS419)*AL414,0)</f>
        <v>0</v>
      </c>
      <c r="AS417" s="197" t="str">
        <f>IFERROR(VLOOKUP($G417,нормы!$A$14:$BC$57,55,0)*W417,"")</f>
        <v/>
      </c>
      <c r="AT417" s="290">
        <f>IFERROR(AU417/SUM(AU414:AU419)*AM414,0)</f>
        <v>0</v>
      </c>
      <c r="AU417" s="197" t="str">
        <f>IFERROR(VLOOKUP($G417,нормы!$A$14:$BI$57,56,0)*W417,"")</f>
        <v/>
      </c>
      <c r="AV417" s="290">
        <f>IFERROR(AW417/SUM(AW414:AW419)*AK414,0)</f>
        <v>0</v>
      </c>
      <c r="AW417" s="202" t="str">
        <f>IFERROR(VLOOKUP($G417,нормы!$A$14:$BI$57,57,0)*W417,"")</f>
        <v/>
      </c>
      <c r="AX417" s="30"/>
      <c r="AY417" s="203" t="str">
        <f>IFERROR(VLOOKUP($G417,нормы!$A$14:$BI$57,58,0)*W417,"")</f>
        <v/>
      </c>
      <c r="AZ417" s="205"/>
      <c r="BA417" s="200" t="str">
        <f>IFERROR(VLOOKUP($G417,нормы!$A$14:$BI$57,61,0)*$W417,"")</f>
        <v/>
      </c>
      <c r="BB417" s="30"/>
      <c r="BC417" s="203" t="str">
        <f>IFERROR(VLOOKUP($G417,нормы!$A$14:$BI$57,60,0)*W417,"")</f>
        <v/>
      </c>
      <c r="BD417" s="200" t="str">
        <f>IFERROR(VLOOKUP($G417,нормы!$A$14:$BG$57,44,0),"")</f>
        <v/>
      </c>
      <c r="BE417" s="199" t="str">
        <f>IFERROR(W417/VLOOKUP($G417,нормы!$A$14:$BI$57,45,0),"")</f>
        <v/>
      </c>
    </row>
    <row r="418" spans="1:57" s="1" customFormat="1" ht="20.25" customHeight="1" x14ac:dyDescent="0.4">
      <c r="A418" s="37" t="str">
        <f t="shared" si="170"/>
        <v>7Н</v>
      </c>
      <c r="B418" s="12">
        <f t="shared" si="171"/>
        <v>46029</v>
      </c>
      <c r="C418" s="97">
        <f t="shared" si="171"/>
        <v>0</v>
      </c>
      <c r="D418" s="97">
        <f t="shared" si="171"/>
        <v>1</v>
      </c>
      <c r="E418" s="54"/>
      <c r="F418" s="151" t="str">
        <f>IFERROR(VLOOKUP($G418,нормы!$A$14:$BC$57,2,0),"")</f>
        <v/>
      </c>
      <c r="G418" s="38"/>
      <c r="H418" s="54">
        <f t="shared" si="172"/>
        <v>0</v>
      </c>
      <c r="I418" s="89" t="s">
        <v>73</v>
      </c>
      <c r="J418" s="333"/>
      <c r="K418" s="30">
        <f>IFERROR(VLOOKUP($G418,[1]нормы!$A$21:$BC$151,15,0),"")</f>
        <v>0</v>
      </c>
      <c r="L418" s="31">
        <f>IFERROR(VLOOKUP($G418,[1]нормы!$A$21:$BC$151,17,0),"")</f>
        <v>0</v>
      </c>
      <c r="M418" s="306">
        <f>IFERROR(VLOOKUP($G418,[1]нормы!$A$21:$BC$151,27,0),"")</f>
        <v>0</v>
      </c>
      <c r="N418" s="307" t="str">
        <f>IFERROR(Y418/Y420*(1.1*J414*I423),"")</f>
        <v/>
      </c>
      <c r="O418" s="300">
        <f>IFERROR(VLOOKUP($G418,[1]нормы!$A$21:$BC$151,21,0),"")</f>
        <v>0</v>
      </c>
      <c r="P418" s="35">
        <f>IFERROR(VLOOKUP($G418,[1]нормы!$A$21:$BC$151,19,0),"")</f>
        <v>0</v>
      </c>
      <c r="Q418" s="35">
        <f>IFERROR(VLOOKUP($G418,[1]нормы!$A$21:$BC$151,23,0),"")</f>
        <v>0</v>
      </c>
      <c r="R418" s="231">
        <f>IFERROR(VLOOKUP($G418,[1]нормы!$A$21:$BC$151,29,0),"")</f>
        <v>0</v>
      </c>
      <c r="S418" s="35">
        <f>IFERROR(VLOOKUP($G418,[1]нормы!$A$21:$BC$151,31,0),"")</f>
        <v>0</v>
      </c>
      <c r="T418" s="32">
        <f>IFERROR(VLOOKUP($G418,[1]нормы!$A$21:$BC$151,25,0),"")</f>
        <v>0</v>
      </c>
      <c r="U418" s="233" t="str">
        <f>IFERROR(W418/(((100*Y418/Y420)*I419)/100),"")</f>
        <v/>
      </c>
      <c r="V418" s="234" t="str">
        <f>IFERROR(VLOOKUP($G418,нормы!$A$14:$BC$57,38,0),"")</f>
        <v/>
      </c>
      <c r="W418" s="136"/>
      <c r="X418" s="237"/>
      <c r="Y418" s="152" t="str">
        <f>IFERROR(VLOOKUP($G418,нормы!$A$14:$BC$57,42,0)*W418,"")</f>
        <v/>
      </c>
      <c r="Z418" s="163">
        <f>IFERROR(VLOOKUP($G418,нормы!$A$14:$BC$57,14,0)*W418/1000,0)</f>
        <v>0</v>
      </c>
      <c r="AA418" s="30"/>
      <c r="AB418" s="35"/>
      <c r="AC418" s="35"/>
      <c r="AD418" s="35"/>
      <c r="AE418" s="31"/>
      <c r="AF418" s="160"/>
      <c r="AG418" s="391"/>
      <c r="AH418" s="394"/>
      <c r="AI418" s="397"/>
      <c r="AJ418" s="408"/>
      <c r="AK418" s="360"/>
      <c r="AL418" s="360"/>
      <c r="AM418" s="360"/>
      <c r="AN418" s="289">
        <f>IFERROR(Y418*AJ414/Y420,)</f>
        <v>0</v>
      </c>
      <c r="AO418" s="197" t="str">
        <f>IFERROR(VLOOKUP($G418,нормы!$A$14:$BC$57,53,0)*$W418,"")</f>
        <v/>
      </c>
      <c r="AP418" s="290">
        <f>IFERROR(Y418*AI414/Y420,)</f>
        <v>0</v>
      </c>
      <c r="AQ418" s="197" t="str">
        <f>IFERROR(VLOOKUP($G418,нормы!$A$14:$BC$57,54,0)*$W418,"")</f>
        <v/>
      </c>
      <c r="AR418" s="290">
        <f>IFERROR(AS418/SUM(AS414:AS419)*AL414,0)</f>
        <v>0</v>
      </c>
      <c r="AS418" s="197" t="str">
        <f>IFERROR(VLOOKUP($G418,нормы!$A$14:$BC$57,55,0)*W418,"")</f>
        <v/>
      </c>
      <c r="AT418" s="290">
        <f>IFERROR(AU418/SUM(AU414:AU419)*AM414,0)</f>
        <v>0</v>
      </c>
      <c r="AU418" s="197" t="str">
        <f>IFERROR(VLOOKUP($G418,нормы!$A$14:$BI$57,56,0)*W418,"")</f>
        <v/>
      </c>
      <c r="AV418" s="290">
        <f>IFERROR(AW418/SUM(AW414:AW419)*AK414,0)</f>
        <v>0</v>
      </c>
      <c r="AW418" s="202" t="str">
        <f>IFERROR(VLOOKUP($G418,нормы!$A$14:$BI$57,57,0)*W418,"")</f>
        <v/>
      </c>
      <c r="AX418" s="30"/>
      <c r="AY418" s="203" t="str">
        <f>IFERROR(VLOOKUP($G418,нормы!$A$14:$BI$57,58,0)*W418,"")</f>
        <v/>
      </c>
      <c r="AZ418" s="205"/>
      <c r="BA418" s="200" t="str">
        <f>IFERROR(VLOOKUP($G418,нормы!$A$14:$BI$57,61,0)*$W418,"")</f>
        <v/>
      </c>
      <c r="BB418" s="30"/>
      <c r="BC418" s="203" t="str">
        <f>IFERROR(VLOOKUP($G418,нормы!$A$14:$BI$57,60,0)*W418,"")</f>
        <v/>
      </c>
      <c r="BD418" s="200" t="str">
        <f>IFERROR(VLOOKUP($G418,нормы!$A$14:$BG$57,44,0),"")</f>
        <v/>
      </c>
      <c r="BE418" s="199" t="str">
        <f>IFERROR(W418/VLOOKUP($G418,нормы!$A$14:$BI$57,45,0),"")</f>
        <v/>
      </c>
    </row>
    <row r="419" spans="1:57" s="1" customFormat="1" ht="21" customHeight="1" thickBot="1" x14ac:dyDescent="0.45">
      <c r="A419" s="37" t="str">
        <f t="shared" si="170"/>
        <v>7Н</v>
      </c>
      <c r="B419" s="12">
        <f t="shared" si="171"/>
        <v>46029</v>
      </c>
      <c r="C419" s="97">
        <f t="shared" si="171"/>
        <v>0</v>
      </c>
      <c r="D419" s="97">
        <f t="shared" si="171"/>
        <v>1</v>
      </c>
      <c r="E419" s="54"/>
      <c r="F419" s="151" t="str">
        <f>IFERROR(VLOOKUP($G419,нормы!$A$14:$BC$57,2,0),"")</f>
        <v/>
      </c>
      <c r="G419" s="93"/>
      <c r="H419" s="63">
        <f t="shared" si="172"/>
        <v>0</v>
      </c>
      <c r="I419" s="153">
        <f>I415+I417</f>
        <v>0</v>
      </c>
      <c r="J419" s="334"/>
      <c r="K419" s="30">
        <f>IFERROR(VLOOKUP($G419,[1]нормы!$A$21:$BC$151,15,0),"")</f>
        <v>0</v>
      </c>
      <c r="L419" s="31">
        <f>IFERROR(VLOOKUP($G419,[1]нормы!$A$21:$BC$151,17,0),"")</f>
        <v>0</v>
      </c>
      <c r="M419" s="308">
        <f>IFERROR(VLOOKUP($G419,[1]нормы!$A$21:$BC$151,27,0),"")</f>
        <v>0</v>
      </c>
      <c r="N419" s="309" t="str">
        <f>IFERROR(Y419/Y420*(1.1*J414*I424),"")</f>
        <v/>
      </c>
      <c r="O419" s="300">
        <f>IFERROR(VLOOKUP($G419,[1]нормы!$A$21:$BC$151,21,0),"")</f>
        <v>0</v>
      </c>
      <c r="P419" s="35">
        <f>IFERROR(VLOOKUP($G419,[1]нормы!$A$21:$BC$151,19,0),"")</f>
        <v>0</v>
      </c>
      <c r="Q419" s="35">
        <f>IFERROR(VLOOKUP($G419,[1]нормы!$A$21:$BC$151,23,0),"")</f>
        <v>0</v>
      </c>
      <c r="R419" s="231">
        <f>IFERROR(VLOOKUP($G419,[1]нормы!$A$21:$BC$151,29,0),"")</f>
        <v>0</v>
      </c>
      <c r="S419" s="35">
        <f>IFERROR(VLOOKUP($G419,[1]нормы!$A$21:$BC$151,31,0),"")</f>
        <v>0</v>
      </c>
      <c r="T419" s="32">
        <f>IFERROR(VLOOKUP($G419,[1]нормы!$A$21:$BC$151,25,0),"")</f>
        <v>0</v>
      </c>
      <c r="U419" s="235" t="str">
        <f>IFERROR(W419/(((100*Y419/Y420)*I419)/100),"")</f>
        <v/>
      </c>
      <c r="V419" s="234" t="str">
        <f>IFERROR(VLOOKUP($G419,нормы!$A$14:$BC$57,38,0),"")</f>
        <v/>
      </c>
      <c r="W419" s="154"/>
      <c r="X419" s="238"/>
      <c r="Y419" s="152" t="str">
        <f>IFERROR(VLOOKUP($G419,нормы!$A$14:$BC$57,42,0)*W419,"")</f>
        <v/>
      </c>
      <c r="Z419" s="163">
        <f>IFERROR(VLOOKUP($G419,нормы!$A$14:$BC$57,14,0)*W419/1000,0)</f>
        <v>0</v>
      </c>
      <c r="AA419" s="56"/>
      <c r="AB419" s="58"/>
      <c r="AC419" s="58"/>
      <c r="AD419" s="58"/>
      <c r="AE419" s="57"/>
      <c r="AF419" s="161"/>
      <c r="AG419" s="392"/>
      <c r="AH419" s="395"/>
      <c r="AI419" s="398"/>
      <c r="AJ419" s="409"/>
      <c r="AK419" s="361"/>
      <c r="AL419" s="361"/>
      <c r="AM419" s="361"/>
      <c r="AN419" s="291">
        <f>IFERROR(Y419*AJ414/Y420,)</f>
        <v>0</v>
      </c>
      <c r="AO419" s="197" t="str">
        <f>IFERROR(VLOOKUP($G419,нормы!$A$14:$BC$57,53,0)*$W419,"")</f>
        <v/>
      </c>
      <c r="AP419" s="292">
        <f>IFERROR(Y419*AI414/Y420,)</f>
        <v>0</v>
      </c>
      <c r="AQ419" s="197" t="str">
        <f>IFERROR(VLOOKUP($G419,нормы!$A$14:$BC$57,54,0)*$W419,"")</f>
        <v/>
      </c>
      <c r="AR419" s="290">
        <f>IFERROR(AS419/SUM(AS414:AS419)*AL414,0)</f>
        <v>0</v>
      </c>
      <c r="AS419" s="197" t="str">
        <f>IFERROR(VLOOKUP($G419,нормы!$A$14:$BC$57,55,0)*W419,"")</f>
        <v/>
      </c>
      <c r="AT419" s="292">
        <f>IFERROR(AU419/SUM(AU414:AU419)*AM414,0)</f>
        <v>0</v>
      </c>
      <c r="AU419" s="197" t="str">
        <f>IFERROR(VLOOKUP($G419,нормы!$A$14:$BI$57,56,0)*W419,"")</f>
        <v/>
      </c>
      <c r="AV419" s="292">
        <f>IFERROR(AW419/SUM(AW414:AW419)*AK414,0)</f>
        <v>0</v>
      </c>
      <c r="AW419" s="202" t="str">
        <f>IFERROR(VLOOKUP($G419,нормы!$A$14:$BI$57,57,0)*W419,"")</f>
        <v/>
      </c>
      <c r="AX419" s="56"/>
      <c r="AY419" s="203" t="str">
        <f>IFERROR(VLOOKUP($G419,нормы!$A$14:$BI$57,58,0)*W419,"")</f>
        <v/>
      </c>
      <c r="AZ419" s="206"/>
      <c r="BA419" s="200" t="str">
        <f>IFERROR(VLOOKUP($G419,нормы!$A$14:$BI$57,61,0)*$W419,"")</f>
        <v/>
      </c>
      <c r="BB419" s="56"/>
      <c r="BC419" s="203" t="str">
        <f>IFERROR(VLOOKUP($G419,нормы!$A$14:$BI$57,60,0)*W419,"")</f>
        <v/>
      </c>
      <c r="BD419" s="200" t="str">
        <f>IFERROR(VLOOKUP($G419,нормы!$A$14:$BG$57,44,0),"")</f>
        <v/>
      </c>
      <c r="BE419" s="199" t="str">
        <f>IFERROR(W419/VLOOKUP($G419,нормы!$A$14:$BI$57,45,0),"")</f>
        <v/>
      </c>
    </row>
    <row r="420" spans="1:57" s="1" customFormat="1" ht="29.4" customHeight="1" thickBot="1" x14ac:dyDescent="0.45">
      <c r="A420" s="37" t="str">
        <f t="shared" si="170"/>
        <v>7Н</v>
      </c>
      <c r="B420" s="59"/>
      <c r="C420" s="51"/>
      <c r="D420" s="51"/>
      <c r="E420" s="51"/>
      <c r="F420" s="295" t="s">
        <v>149</v>
      </c>
      <c r="G420" s="51"/>
      <c r="H420" s="51"/>
      <c r="I420" s="60"/>
      <c r="J420" s="60"/>
      <c r="K420" s="319" t="s">
        <v>213</v>
      </c>
      <c r="L420" s="316"/>
      <c r="M420" s="303" t="s">
        <v>213</v>
      </c>
      <c r="N420" s="317">
        <f>SUM(N414:N419)</f>
        <v>0</v>
      </c>
      <c r="O420" s="304" t="s">
        <v>216</v>
      </c>
      <c r="P420" s="318">
        <f>N420*8.937/1000</f>
        <v>0</v>
      </c>
      <c r="Q420" s="305" t="s">
        <v>215</v>
      </c>
      <c r="R420" s="61"/>
      <c r="S420" s="61"/>
      <c r="T420" s="61"/>
      <c r="U420" s="109"/>
      <c r="V420" s="109"/>
      <c r="W420" s="94"/>
      <c r="X420" s="155"/>
      <c r="Y420" s="96">
        <f>SUM(Y414:Y419)</f>
        <v>0</v>
      </c>
      <c r="Z420" s="164">
        <f>SUM(Z414:Z419)</f>
        <v>0</v>
      </c>
      <c r="AA420" s="62"/>
      <c r="AB420" s="62"/>
      <c r="AC420" s="62"/>
      <c r="AD420" s="62"/>
      <c r="AE420" s="62"/>
      <c r="AF420" s="62"/>
      <c r="AG420" s="162" t="s">
        <v>140</v>
      </c>
      <c r="AH420" s="162" t="s">
        <v>141</v>
      </c>
      <c r="AI420" s="162" t="s">
        <v>142</v>
      </c>
      <c r="AJ420" s="91" t="s">
        <v>126</v>
      </c>
      <c r="AK420" s="198" t="s">
        <v>136</v>
      </c>
      <c r="AL420" s="198" t="s">
        <v>137</v>
      </c>
      <c r="AM420" s="198" t="s">
        <v>138</v>
      </c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53" t="str">
        <f>IFERROR(W420/VLOOKUP($G420,нормы!$A$14:$BI$15,28,0),"")</f>
        <v/>
      </c>
    </row>
    <row r="421" spans="1:57" s="1" customFormat="1" ht="21.6" customHeight="1" x14ac:dyDescent="0.4">
      <c r="A421" s="37" t="str">
        <f t="shared" si="170"/>
        <v>7Н</v>
      </c>
      <c r="B421" s="12">
        <f>B419</f>
        <v>46029</v>
      </c>
      <c r="C421" s="97"/>
      <c r="D421" s="97">
        <v>2</v>
      </c>
      <c r="E421" s="29"/>
      <c r="F421" s="151" t="str">
        <f>IFERROR(VLOOKUP($G421,нормы!$A$14:$BC$57,2,0),"")</f>
        <v/>
      </c>
      <c r="G421" s="93"/>
      <c r="H421" s="54">
        <f>IF(C421=1,"Кульков С.А.", IF(C421=2,"Чудаков А.А.",IF(C421=3,"Королев В.Н.",IF(C421=4,"Николашин М.П.",IF(C421=5," Кульков С.А.",IF(C421=6,"А.А. Чудаков",IF(C421=7,"В.Н. Королев",IF(C421=8,"М.П. Николашин",0))))))))</f>
        <v>0</v>
      </c>
      <c r="I421" s="88" t="s">
        <v>211</v>
      </c>
      <c r="J421" s="332"/>
      <c r="K421" s="30">
        <f>IFERROR(VLOOKUP($G421,[1]нормы!$A$21:$BC$151,15,0),"")</f>
        <v>0</v>
      </c>
      <c r="L421" s="31">
        <f>IFERROR(VLOOKUP($G421,[1]нормы!$A$21:$BC$151,17,0),"")</f>
        <v>0</v>
      </c>
      <c r="M421" s="310">
        <f>IFERROR(VLOOKUP($G421,[1]нормы!$A$21:$BC$151,27,0),"")</f>
        <v>0</v>
      </c>
      <c r="N421" s="311" t="str">
        <f>IFERROR(Y421/Y427*(1.1*J421*I426),"")</f>
        <v/>
      </c>
      <c r="O421" s="300">
        <f>IFERROR(VLOOKUP($G421,[1]нормы!$A$21:$BC$151,21,0),"")</f>
        <v>0</v>
      </c>
      <c r="P421" s="35">
        <f>IFERROR(VLOOKUP($G421,[1]нормы!$A$21:$BC$151,19,0),"")</f>
        <v>0</v>
      </c>
      <c r="Q421" s="35">
        <f>IFERROR(VLOOKUP($G421,[1]нормы!$A$21:$BC$151,23,0),"")</f>
        <v>0</v>
      </c>
      <c r="R421" s="231">
        <f>IFERROR(VLOOKUP($G421,[1]нормы!$A$21:$BC$151,29,0),"")</f>
        <v>0</v>
      </c>
      <c r="S421" s="35">
        <f>IFERROR(VLOOKUP($G421,[1]нормы!$A$21:$BC$151,31,0),"")</f>
        <v>0</v>
      </c>
      <c r="T421" s="32">
        <f>IFERROR(VLOOKUP($G421,[1]нормы!$A$21:$BC$151,25,0),"")</f>
        <v>0</v>
      </c>
      <c r="U421" s="232" t="str">
        <f>IFERROR(W421/(((100*Y421/Y427)*I426)/100),"")</f>
        <v/>
      </c>
      <c r="V421" s="234" t="str">
        <f>IFERROR(VLOOKUP($G421,нормы!$A$14:$BC$57,38,0),"")</f>
        <v/>
      </c>
      <c r="W421" s="136"/>
      <c r="X421" s="236"/>
      <c r="Y421" s="152" t="str">
        <f>IFERROR(VLOOKUP($G421,нормы!$A$14:$BC$57,42,0)*W421,"")</f>
        <v/>
      </c>
      <c r="Z421" s="163">
        <f>IFERROR(VLOOKUP($G421,нормы!$A$14:$BC$57,14,0)*W421/1000,0)</f>
        <v>0</v>
      </c>
      <c r="AA421" s="33"/>
      <c r="AB421" s="36"/>
      <c r="AC421" s="36"/>
      <c r="AD421" s="36"/>
      <c r="AE421" s="34"/>
      <c r="AF421" s="159"/>
      <c r="AG421" s="390"/>
      <c r="AH421" s="393"/>
      <c r="AI421" s="396"/>
      <c r="AJ421" s="407">
        <f>AG421+AH421</f>
        <v>0</v>
      </c>
      <c r="AK421" s="359"/>
      <c r="AL421" s="359"/>
      <c r="AM421" s="359"/>
      <c r="AN421" s="287">
        <f>IFERROR(Y421*AJ421/Y427,)</f>
        <v>0</v>
      </c>
      <c r="AO421" s="197" t="str">
        <f>IFERROR(VLOOKUP($G421,нормы!$A$14:$BC$57,53,0)*$W421,"")</f>
        <v/>
      </c>
      <c r="AP421" s="288">
        <f>IFERROR(Y421*AI421/Y427,)</f>
        <v>0</v>
      </c>
      <c r="AQ421" s="197" t="str">
        <f>IFERROR(VLOOKUP($G421,нормы!$A$14:$BC$57,54,0)*$W421,"")</f>
        <v/>
      </c>
      <c r="AR421" s="288">
        <f>IFERROR(AS421/SUM(AS421:AS426)*AL421,0)</f>
        <v>0</v>
      </c>
      <c r="AS421" s="197" t="str">
        <f>IFERROR(VLOOKUP($G421,нормы!$A$14:$BC$57,55,0)*W421,"")</f>
        <v/>
      </c>
      <c r="AT421" s="288">
        <f>IFERROR(AU421/SUM(AU421:AU426)*AM421,0)</f>
        <v>0</v>
      </c>
      <c r="AU421" s="197" t="str">
        <f>IFERROR(VLOOKUP($G421,нормы!$A$14:$BI$57,56,0)*W421,"")</f>
        <v/>
      </c>
      <c r="AV421" s="288">
        <f>IFERROR(AW421/SUM(AW421:AW426)*AK421,0)</f>
        <v>0</v>
      </c>
      <c r="AW421" s="202" t="str">
        <f>IFERROR(VLOOKUP($G421,нормы!$A$14:$BI$57,57,0)*W421,"")</f>
        <v/>
      </c>
      <c r="AX421" s="33"/>
      <c r="AY421" s="203" t="str">
        <f>IFERROR(VLOOKUP($G421,нормы!$A$14:$BI$57,58,0)*W421,"")</f>
        <v/>
      </c>
      <c r="AZ421" s="204"/>
      <c r="BA421" s="200" t="str">
        <f>IFERROR(VLOOKUP($G421,нормы!$A$14:$BI$57,61,0)*$W421,"")</f>
        <v/>
      </c>
      <c r="BB421" s="33"/>
      <c r="BC421" s="203" t="str">
        <f>IFERROR(VLOOKUP($G421,нормы!$A$14:$BI$57,60,0)*W421,"")</f>
        <v/>
      </c>
      <c r="BD421" s="200" t="str">
        <f>IFERROR(VLOOKUP($G421,нормы!$A$14:$BG$57,44,0),"")</f>
        <v/>
      </c>
      <c r="BE421" s="199" t="str">
        <f>IFERROR(W421/VLOOKUP($G421,нормы!$A$14:$BI$57,45,0),"")</f>
        <v/>
      </c>
    </row>
    <row r="422" spans="1:57" s="1" customFormat="1" ht="21.6" customHeight="1" x14ac:dyDescent="0.4">
      <c r="A422" s="37" t="str">
        <f t="shared" si="170"/>
        <v>7Н</v>
      </c>
      <c r="B422" s="12">
        <f t="shared" ref="B422:D426" si="173">B421</f>
        <v>46029</v>
      </c>
      <c r="C422" s="97">
        <f t="shared" si="173"/>
        <v>0</v>
      </c>
      <c r="D422" s="97">
        <f t="shared" si="173"/>
        <v>2</v>
      </c>
      <c r="E422" s="54"/>
      <c r="F422" s="151" t="str">
        <f>IFERROR(VLOOKUP($G422,нормы!$A$14:$BC$57,2,0),"")</f>
        <v/>
      </c>
      <c r="G422" s="93"/>
      <c r="H422" s="54">
        <f t="shared" ref="H422:H426" si="174">IF(C422=1,"Кульков С.А.", IF(C422=2,"Чудаков А.А.",IF(C422=3,"Королев В.Н.",IF(C422=4,"Николашин М.П.",IF(C422=5," Кульков С.А.",IF(C422=6,"А.А. Чудаков",IF(C422=7,"В.Н. Королев",IF(C422=8,"М.П. Николашин",0))))))))</f>
        <v>0</v>
      </c>
      <c r="I422" s="55"/>
      <c r="J422" s="333"/>
      <c r="K422" s="30">
        <f>IFERROR(VLOOKUP($G422,[1]нормы!$A$21:$BC$151,15,0),"")</f>
        <v>0</v>
      </c>
      <c r="L422" s="31">
        <f>IFERROR(VLOOKUP($G422,[1]нормы!$A$21:$BC$151,17,0),"")</f>
        <v>0</v>
      </c>
      <c r="M422" s="306">
        <f>IFERROR(VLOOKUP($G422,[1]нормы!$A$21:$BC$151,27,0),"")</f>
        <v>0</v>
      </c>
      <c r="N422" s="307" t="str">
        <f>IFERROR(Y422/Y427*(1.1*J421*I426),"")</f>
        <v/>
      </c>
      <c r="O422" s="300">
        <f>IFERROR(VLOOKUP($G422,[1]нормы!$A$21:$BC$151,21,0),"")</f>
        <v>0</v>
      </c>
      <c r="P422" s="35">
        <f>IFERROR(VLOOKUP($G422,[1]нормы!$A$21:$BC$151,19,0),"")</f>
        <v>0</v>
      </c>
      <c r="Q422" s="35">
        <f>IFERROR(VLOOKUP($G422,[1]нормы!$A$21:$BC$151,23,0),"")</f>
        <v>0</v>
      </c>
      <c r="R422" s="231">
        <f>IFERROR(VLOOKUP($G422,[1]нормы!$A$21:$BC$151,29,0),"")</f>
        <v>0</v>
      </c>
      <c r="S422" s="35">
        <f>IFERROR(VLOOKUP($G422,[1]нормы!$A$21:$BC$151,31,0),"")</f>
        <v>0</v>
      </c>
      <c r="T422" s="32">
        <f>IFERROR(VLOOKUP($G422,[1]нормы!$A$21:$BC$151,25,0),"")</f>
        <v>0</v>
      </c>
      <c r="U422" s="233" t="str">
        <f>IFERROR(W422/(((100*Y422/Y427)*I426)/100),"")</f>
        <v/>
      </c>
      <c r="V422" s="234" t="str">
        <f>IFERROR(VLOOKUP($G422,нормы!$A$14:$BC$57,38,0),"")</f>
        <v/>
      </c>
      <c r="W422" s="136"/>
      <c r="X422" s="237"/>
      <c r="Y422" s="152" t="str">
        <f>IFERROR(VLOOKUP($G422,нормы!$A$14:$BC$57,42,0)*W422,"")</f>
        <v/>
      </c>
      <c r="Z422" s="163">
        <f>IFERROR(VLOOKUP($G422,нормы!$A$14:$BC$57,14,0)*W422/1000,0)</f>
        <v>0</v>
      </c>
      <c r="AA422" s="142"/>
      <c r="AB422" s="35"/>
      <c r="AC422" s="35"/>
      <c r="AD422" s="35"/>
      <c r="AE422" s="31"/>
      <c r="AF422" s="160"/>
      <c r="AG422" s="391"/>
      <c r="AH422" s="394"/>
      <c r="AI422" s="397"/>
      <c r="AJ422" s="408"/>
      <c r="AK422" s="360"/>
      <c r="AL422" s="360"/>
      <c r="AM422" s="360"/>
      <c r="AN422" s="289">
        <f>IFERROR(Y422*AJ421/Y427,)</f>
        <v>0</v>
      </c>
      <c r="AO422" s="197" t="str">
        <f>IFERROR(VLOOKUP($G422,нормы!$A$14:$BC$57,53,0)*$W422,"")</f>
        <v/>
      </c>
      <c r="AP422" s="290">
        <f>IFERROR(Y422*AI421/Y427,)</f>
        <v>0</v>
      </c>
      <c r="AQ422" s="197" t="str">
        <f>IFERROR(VLOOKUP($G422,нормы!$A$14:$BC$57,54,0)*$W422,"")</f>
        <v/>
      </c>
      <c r="AR422" s="290">
        <f>IFERROR(AS422/SUM(AS421:AS426)*AL421,0)</f>
        <v>0</v>
      </c>
      <c r="AS422" s="197" t="str">
        <f>IFERROR(VLOOKUP($G422,нормы!$A$14:$BC$57,55,0)*W422,"")</f>
        <v/>
      </c>
      <c r="AT422" s="290">
        <f>IFERROR(AU422/SUM(AU421:AU426)*AM421,0)</f>
        <v>0</v>
      </c>
      <c r="AU422" s="197" t="str">
        <f>IFERROR(VLOOKUP($G422,нормы!$A$14:$BI$57,56,0)*W422,"")</f>
        <v/>
      </c>
      <c r="AV422" s="290">
        <f>IFERROR(AW422/SUM(AW421:AW426)*AK421,0)</f>
        <v>0</v>
      </c>
      <c r="AW422" s="202" t="str">
        <f>IFERROR(VLOOKUP($G422,нормы!$A$14:$BI$57,57,0)*W422,"")</f>
        <v/>
      </c>
      <c r="AX422" s="30"/>
      <c r="AY422" s="203" t="str">
        <f>IFERROR(VLOOKUP($G422,нормы!$A$14:$BI$57,58,0)*W422,"")</f>
        <v/>
      </c>
      <c r="AZ422" s="205"/>
      <c r="BA422" s="200" t="str">
        <f>IFERROR(VLOOKUP($G422,нормы!$A$14:$BI$57,61,0)*$W422,"")</f>
        <v/>
      </c>
      <c r="BB422" s="30"/>
      <c r="BC422" s="203" t="str">
        <f>IFERROR(VLOOKUP($G422,нормы!$A$14:$BI$57,60,0)*W422,"")</f>
        <v/>
      </c>
      <c r="BD422" s="200" t="str">
        <f>IFERROR(VLOOKUP($G422,нормы!$A$14:$BG$57,44,0),"")</f>
        <v/>
      </c>
      <c r="BE422" s="199" t="str">
        <f>IFERROR(W422/VLOOKUP($G422,нормы!$A$14:$BI$57,45,0),"")</f>
        <v/>
      </c>
    </row>
    <row r="423" spans="1:57" s="1" customFormat="1" ht="20.25" customHeight="1" x14ac:dyDescent="0.4">
      <c r="A423" s="37" t="str">
        <f t="shared" si="170"/>
        <v>7Н</v>
      </c>
      <c r="B423" s="12">
        <f t="shared" si="173"/>
        <v>46029</v>
      </c>
      <c r="C423" s="97">
        <f t="shared" si="173"/>
        <v>0</v>
      </c>
      <c r="D423" s="97">
        <f t="shared" si="173"/>
        <v>2</v>
      </c>
      <c r="E423" s="54"/>
      <c r="F423" s="151" t="str">
        <f>IFERROR(VLOOKUP($G423,нормы!$A$14:$BC$57,2,0),"")</f>
        <v/>
      </c>
      <c r="G423" s="38"/>
      <c r="H423" s="54">
        <f t="shared" si="174"/>
        <v>0</v>
      </c>
      <c r="I423" s="89" t="s">
        <v>212</v>
      </c>
      <c r="J423" s="333"/>
      <c r="K423" s="30">
        <f>IFERROR(VLOOKUP($G423,[1]нормы!$A$21:$BC$151,15,0),"")</f>
        <v>0</v>
      </c>
      <c r="L423" s="31">
        <f>IFERROR(VLOOKUP($G423,[1]нормы!$A$21:$BC$151,17,0),"")</f>
        <v>0</v>
      </c>
      <c r="M423" s="306">
        <f>IFERROR(VLOOKUP($G423,[1]нормы!$A$21:$BC$151,27,0),"")</f>
        <v>0</v>
      </c>
      <c r="N423" s="307" t="str">
        <f>IFERROR(Y423/Y427*(1.1*J421*I426),"")</f>
        <v/>
      </c>
      <c r="O423" s="300">
        <f>IFERROR(VLOOKUP($G423,[1]нормы!$A$21:$BC$151,21,0),"")</f>
        <v>0</v>
      </c>
      <c r="P423" s="35">
        <f>IFERROR(VLOOKUP($G423,[1]нормы!$A$21:$BC$151,19,0),"")</f>
        <v>0</v>
      </c>
      <c r="Q423" s="35">
        <f>IFERROR(VLOOKUP($G423,[1]нормы!$A$21:$BC$151,23,0),"")</f>
        <v>0</v>
      </c>
      <c r="R423" s="231">
        <f>IFERROR(VLOOKUP($G423,[1]нормы!$A$21:$BC$151,29,0),"")</f>
        <v>0</v>
      </c>
      <c r="S423" s="35">
        <f>IFERROR(VLOOKUP($G423,[1]нормы!$A$21:$BC$151,31,0),"")</f>
        <v>0</v>
      </c>
      <c r="T423" s="32">
        <f>IFERROR(VLOOKUP($G423,[1]нормы!$A$21:$BC$151,25,0),"")</f>
        <v>0</v>
      </c>
      <c r="U423" s="233" t="str">
        <f>IFERROR(W423/(((100*Y423/Y427)*I426)/100),"")</f>
        <v/>
      </c>
      <c r="V423" s="234" t="str">
        <f>IFERROR(VLOOKUP($G423,нормы!$A$14:$BC$57,38,0),"")</f>
        <v/>
      </c>
      <c r="W423" s="136"/>
      <c r="X423" s="237"/>
      <c r="Y423" s="152" t="str">
        <f>IFERROR(VLOOKUP($G423,нормы!$A$14:$BC$57,42,0)*W423,"")</f>
        <v/>
      </c>
      <c r="Z423" s="163">
        <f>IFERROR(VLOOKUP($G423,нормы!$A$14:$BC$57,14,0)*W423/1000,0)</f>
        <v>0</v>
      </c>
      <c r="AA423" s="30"/>
      <c r="AB423" s="35"/>
      <c r="AC423" s="35"/>
      <c r="AD423" s="35"/>
      <c r="AE423" s="31"/>
      <c r="AF423" s="160"/>
      <c r="AG423" s="391"/>
      <c r="AH423" s="394"/>
      <c r="AI423" s="397"/>
      <c r="AJ423" s="408"/>
      <c r="AK423" s="360"/>
      <c r="AL423" s="360"/>
      <c r="AM423" s="360"/>
      <c r="AN423" s="289">
        <f>IFERROR(Y423*AJ421/Y427,)</f>
        <v>0</v>
      </c>
      <c r="AO423" s="197" t="str">
        <f>IFERROR(VLOOKUP($G423,нормы!$A$14:$BC$57,53,0)*$W423,"")</f>
        <v/>
      </c>
      <c r="AP423" s="290">
        <f>IFERROR(Y423*AI421/Y427,)</f>
        <v>0</v>
      </c>
      <c r="AQ423" s="197" t="str">
        <f>IFERROR(VLOOKUP($G423,нормы!$A$14:$BC$57,54,0)*$W423,"")</f>
        <v/>
      </c>
      <c r="AR423" s="290">
        <f>IFERROR(AS423/SUM(AS421:AS426)*AL421,0)</f>
        <v>0</v>
      </c>
      <c r="AS423" s="197" t="str">
        <f>IFERROR(VLOOKUP($G423,нормы!$A$14:$BC$57,55,0)*W423,"")</f>
        <v/>
      </c>
      <c r="AT423" s="290">
        <f>IFERROR(AU423/SUM(AU421:AU426)*AM421,0)</f>
        <v>0</v>
      </c>
      <c r="AU423" s="197" t="str">
        <f>IFERROR(VLOOKUP($G423,нормы!$A$14:$BI$57,56,0)*W423,"")</f>
        <v/>
      </c>
      <c r="AV423" s="290">
        <f>IFERROR(AW423/SUM(AW421:AW426)*AK421,0)</f>
        <v>0</v>
      </c>
      <c r="AW423" s="202" t="str">
        <f>IFERROR(VLOOKUP($G423,нормы!$A$14:$BI$57,57,0)*W423,"")</f>
        <v/>
      </c>
      <c r="AX423" s="30"/>
      <c r="AY423" s="203" t="str">
        <f>IFERROR(VLOOKUP($G423,нормы!$A$14:$BI$57,58,0)*W423,"")</f>
        <v/>
      </c>
      <c r="AZ423" s="205"/>
      <c r="BA423" s="200" t="str">
        <f>IFERROR(VLOOKUP($G423,нормы!$A$14:$BI$57,61,0)*$W423,"")</f>
        <v/>
      </c>
      <c r="BB423" s="30"/>
      <c r="BC423" s="203" t="str">
        <f>IFERROR(VLOOKUP($G423,нормы!$A$14:$BI$57,60,0)*W423,"")</f>
        <v/>
      </c>
      <c r="BD423" s="200" t="str">
        <f>IFERROR(VLOOKUP($G423,нормы!$A$14:$BG$57,44,0),"")</f>
        <v/>
      </c>
      <c r="BE423" s="199" t="str">
        <f>IFERROR(W423/VLOOKUP($G423,нормы!$A$14:$BI$57,45,0),"")</f>
        <v/>
      </c>
    </row>
    <row r="424" spans="1:57" s="1" customFormat="1" ht="20.25" customHeight="1" x14ac:dyDescent="0.4">
      <c r="A424" s="37" t="str">
        <f t="shared" si="170"/>
        <v>7Н</v>
      </c>
      <c r="B424" s="12">
        <f t="shared" si="173"/>
        <v>46029</v>
      </c>
      <c r="C424" s="97">
        <f t="shared" si="173"/>
        <v>0</v>
      </c>
      <c r="D424" s="97">
        <f t="shared" si="173"/>
        <v>2</v>
      </c>
      <c r="E424" s="54"/>
      <c r="F424" s="151" t="str">
        <f>IFERROR(VLOOKUP($G424,нормы!$A$14:$BC$57,2,0),"")</f>
        <v/>
      </c>
      <c r="G424" s="93"/>
      <c r="H424" s="54">
        <f t="shared" si="174"/>
        <v>0</v>
      </c>
      <c r="I424" s="55"/>
      <c r="J424" s="333"/>
      <c r="K424" s="30">
        <f>IFERROR(VLOOKUP($G424,[1]нормы!$A$21:$BC$151,15,0),"")</f>
        <v>0</v>
      </c>
      <c r="L424" s="31">
        <f>IFERROR(VLOOKUP($G424,[1]нормы!$A$21:$BC$151,17,0),"")</f>
        <v>0</v>
      </c>
      <c r="M424" s="306">
        <f>IFERROR(VLOOKUP($G424,[1]нормы!$A$21:$BC$151,27,0),"")</f>
        <v>0</v>
      </c>
      <c r="N424" s="307" t="str">
        <f>IFERROR(Y424/Y427*(1.1*J421*I429),"")</f>
        <v/>
      </c>
      <c r="O424" s="300">
        <f>IFERROR(VLOOKUP($G424,[1]нормы!$A$21:$BC$151,21,0),"")</f>
        <v>0</v>
      </c>
      <c r="P424" s="35">
        <f>IFERROR(VLOOKUP($G424,[1]нормы!$A$21:$BC$151,19,0),"")</f>
        <v>0</v>
      </c>
      <c r="Q424" s="35">
        <f>IFERROR(VLOOKUP($G424,[1]нормы!$A$21:$BC$151,23,0),"")</f>
        <v>0</v>
      </c>
      <c r="R424" s="231">
        <f>IFERROR(VLOOKUP($G424,[1]нормы!$A$21:$BC$151,29,0),"")</f>
        <v>0</v>
      </c>
      <c r="S424" s="35">
        <f>IFERROR(VLOOKUP($G424,[1]нормы!$A$21:$BC$151,31,0),"")</f>
        <v>0</v>
      </c>
      <c r="T424" s="32">
        <f>IFERROR(VLOOKUP($G424,[1]нормы!$A$21:$BC$151,25,0),"")</f>
        <v>0</v>
      </c>
      <c r="U424" s="233" t="str">
        <f>IFERROR(W424/(((100*Y424/Y427)*I426)/100),"")</f>
        <v/>
      </c>
      <c r="V424" s="234" t="str">
        <f>IFERROR(VLOOKUP($G424,нормы!$A$14:$BC$57,38,0),"")</f>
        <v/>
      </c>
      <c r="W424" s="136"/>
      <c r="X424" s="237"/>
      <c r="Y424" s="152" t="str">
        <f>IFERROR(VLOOKUP($G424,нормы!$A$14:$BC$57,42,0)*W424,"")</f>
        <v/>
      </c>
      <c r="Z424" s="163">
        <f>IFERROR(VLOOKUP($G424,нормы!$A$14:$BC$57,14,0)*W424/1000,0)</f>
        <v>0</v>
      </c>
      <c r="AA424" s="30"/>
      <c r="AB424" s="35"/>
      <c r="AC424" s="35"/>
      <c r="AD424" s="35"/>
      <c r="AE424" s="31"/>
      <c r="AF424" s="160"/>
      <c r="AG424" s="391"/>
      <c r="AH424" s="394"/>
      <c r="AI424" s="397"/>
      <c r="AJ424" s="408"/>
      <c r="AK424" s="360"/>
      <c r="AL424" s="360"/>
      <c r="AM424" s="360"/>
      <c r="AN424" s="289">
        <f>IFERROR(Y424*AJ421/Y427,)</f>
        <v>0</v>
      </c>
      <c r="AO424" s="197" t="str">
        <f>IFERROR(VLOOKUP($G424,нормы!$A$14:$BC$57,53,0)*$W424,"")</f>
        <v/>
      </c>
      <c r="AP424" s="290">
        <f>IFERROR(Y424*AI421/Y427,)</f>
        <v>0</v>
      </c>
      <c r="AQ424" s="197" t="str">
        <f>IFERROR(VLOOKUP($G424,нормы!$A$14:$BC$57,54,0)*$W424,"")</f>
        <v/>
      </c>
      <c r="AR424" s="290">
        <f>IFERROR(AS424/SUM(AS421:AS426)*AL421,0)</f>
        <v>0</v>
      </c>
      <c r="AS424" s="197" t="str">
        <f>IFERROR(VLOOKUP($G424,нормы!$A$14:$BC$57,55,0)*W424,"")</f>
        <v/>
      </c>
      <c r="AT424" s="290">
        <f>IFERROR(AU424/SUM(AU421:AU426)*AM421,0)</f>
        <v>0</v>
      </c>
      <c r="AU424" s="197" t="str">
        <f>IFERROR(VLOOKUP($G424,нормы!$A$14:$BI$57,56,0)*W424,"")</f>
        <v/>
      </c>
      <c r="AV424" s="290">
        <f>IFERROR(AW424/SUM(AW421:AW426)*AK421,0)</f>
        <v>0</v>
      </c>
      <c r="AW424" s="202" t="str">
        <f>IFERROR(VLOOKUP($G424,нормы!$A$14:$BI$57,57,0)*W424,"")</f>
        <v/>
      </c>
      <c r="AX424" s="30"/>
      <c r="AY424" s="203" t="str">
        <f>IFERROR(VLOOKUP($G424,нормы!$A$14:$BI$57,58,0)*W424,"")</f>
        <v/>
      </c>
      <c r="AZ424" s="205"/>
      <c r="BA424" s="200" t="str">
        <f>IFERROR(VLOOKUP($G424,нормы!$A$14:$BI$57,61,0)*$W424,"")</f>
        <v/>
      </c>
      <c r="BB424" s="30"/>
      <c r="BC424" s="203" t="str">
        <f>IFERROR(VLOOKUP($G424,нормы!$A$14:$BI$57,60,0)*W424,"")</f>
        <v/>
      </c>
      <c r="BD424" s="200" t="str">
        <f>IFERROR(VLOOKUP($G424,нормы!$A$14:$BG$57,44,0),"")</f>
        <v/>
      </c>
      <c r="BE424" s="199" t="str">
        <f>IFERROR(W424/VLOOKUP($G424,нормы!$A$14:$BI$57,45,0),"")</f>
        <v/>
      </c>
    </row>
    <row r="425" spans="1:57" s="1" customFormat="1" ht="20.25" customHeight="1" x14ac:dyDescent="0.4">
      <c r="A425" s="37" t="str">
        <f t="shared" si="170"/>
        <v>7Н</v>
      </c>
      <c r="B425" s="12">
        <f t="shared" si="173"/>
        <v>46029</v>
      </c>
      <c r="C425" s="97">
        <f t="shared" si="173"/>
        <v>0</v>
      </c>
      <c r="D425" s="97">
        <f t="shared" si="173"/>
        <v>2</v>
      </c>
      <c r="E425" s="54"/>
      <c r="F425" s="151" t="str">
        <f>IFERROR(VLOOKUP($G425,нормы!$A$14:$BC$57,2,0),"")</f>
        <v/>
      </c>
      <c r="G425" s="38"/>
      <c r="H425" s="54">
        <f t="shared" si="174"/>
        <v>0</v>
      </c>
      <c r="I425" s="89" t="s">
        <v>73</v>
      </c>
      <c r="J425" s="333"/>
      <c r="K425" s="30">
        <f>IFERROR(VLOOKUP($G425,[1]нормы!$A$21:$BC$151,15,0),"")</f>
        <v>0</v>
      </c>
      <c r="L425" s="31">
        <f>IFERROR(VLOOKUP($G425,[1]нормы!$A$21:$BC$151,17,0),"")</f>
        <v>0</v>
      </c>
      <c r="M425" s="306">
        <f>IFERROR(VLOOKUP($G425,[1]нормы!$A$21:$BC$151,27,0),"")</f>
        <v>0</v>
      </c>
      <c r="N425" s="307" t="str">
        <f>IFERROR(Y425/Y427*(1.1*J421*I430),"")</f>
        <v/>
      </c>
      <c r="O425" s="300">
        <f>IFERROR(VLOOKUP($G425,[1]нормы!$A$21:$BC$151,21,0),"")</f>
        <v>0</v>
      </c>
      <c r="P425" s="35">
        <f>IFERROR(VLOOKUP($G425,[1]нормы!$A$21:$BC$151,19,0),"")</f>
        <v>0</v>
      </c>
      <c r="Q425" s="35">
        <f>IFERROR(VLOOKUP($G425,[1]нормы!$A$21:$BC$151,23,0),"")</f>
        <v>0</v>
      </c>
      <c r="R425" s="231">
        <f>IFERROR(VLOOKUP($G425,[1]нормы!$A$21:$BC$151,29,0),"")</f>
        <v>0</v>
      </c>
      <c r="S425" s="35">
        <f>IFERROR(VLOOKUP($G425,[1]нормы!$A$21:$BC$151,31,0),"")</f>
        <v>0</v>
      </c>
      <c r="T425" s="32">
        <f>IFERROR(VLOOKUP($G425,[1]нормы!$A$21:$BC$151,25,0),"")</f>
        <v>0</v>
      </c>
      <c r="U425" s="233" t="str">
        <f>IFERROR(W425/(((100*Y425/Y427)*I426)/100),"")</f>
        <v/>
      </c>
      <c r="V425" s="234" t="str">
        <f>IFERROR(VLOOKUP($G425,нормы!$A$14:$BC$57,38,0),"")</f>
        <v/>
      </c>
      <c r="W425" s="136"/>
      <c r="X425" s="237"/>
      <c r="Y425" s="152" t="str">
        <f>IFERROR(VLOOKUP($G425,нормы!$A$14:$BC$57,42,0)*W425,"")</f>
        <v/>
      </c>
      <c r="Z425" s="163">
        <f>IFERROR(VLOOKUP($G425,нормы!$A$14:$BC$57,14,0)*W425/1000,0)</f>
        <v>0</v>
      </c>
      <c r="AA425" s="30"/>
      <c r="AB425" s="35"/>
      <c r="AC425" s="35"/>
      <c r="AD425" s="35"/>
      <c r="AE425" s="31"/>
      <c r="AF425" s="160"/>
      <c r="AG425" s="391"/>
      <c r="AH425" s="394"/>
      <c r="AI425" s="397"/>
      <c r="AJ425" s="408"/>
      <c r="AK425" s="360"/>
      <c r="AL425" s="360"/>
      <c r="AM425" s="360"/>
      <c r="AN425" s="289">
        <f>IFERROR(Y425*AJ421/Y427,)</f>
        <v>0</v>
      </c>
      <c r="AO425" s="197" t="str">
        <f>IFERROR(VLOOKUP($G425,нормы!$A$14:$BC$57,53,0)*$W425,"")</f>
        <v/>
      </c>
      <c r="AP425" s="290">
        <f>IFERROR(Y425*AI421/Y427,)</f>
        <v>0</v>
      </c>
      <c r="AQ425" s="197" t="str">
        <f>IFERROR(VLOOKUP($G425,нормы!$A$14:$BC$57,54,0)*$W425,"")</f>
        <v/>
      </c>
      <c r="AR425" s="290">
        <f>IFERROR(AS425/SUM(AS421:AS426)*AL421,0)</f>
        <v>0</v>
      </c>
      <c r="AS425" s="197" t="str">
        <f>IFERROR(VLOOKUP($G425,нормы!$A$14:$BC$57,55,0)*W425,"")</f>
        <v/>
      </c>
      <c r="AT425" s="290">
        <f>IFERROR(AU425/SUM(AU421:AU426)*AM421,0)</f>
        <v>0</v>
      </c>
      <c r="AU425" s="197" t="str">
        <f>IFERROR(VLOOKUP($G425,нормы!$A$14:$BI$57,56,0)*W425,"")</f>
        <v/>
      </c>
      <c r="AV425" s="290">
        <f>IFERROR(AW425/SUM(AW421:AW426)*AK421,0)</f>
        <v>0</v>
      </c>
      <c r="AW425" s="202" t="str">
        <f>IFERROR(VLOOKUP($G425,нормы!$A$14:$BI$57,57,0)*W425,"")</f>
        <v/>
      </c>
      <c r="AX425" s="30"/>
      <c r="AY425" s="203" t="str">
        <f>IFERROR(VLOOKUP($G425,нормы!$A$14:$BI$57,58,0)*W425,"")</f>
        <v/>
      </c>
      <c r="AZ425" s="205"/>
      <c r="BA425" s="200" t="str">
        <f>IFERROR(VLOOKUP($G425,нормы!$A$14:$BI$57,61,0)*$W425,"")</f>
        <v/>
      </c>
      <c r="BB425" s="30"/>
      <c r="BC425" s="203" t="str">
        <f>IFERROR(VLOOKUP($G425,нормы!$A$14:$BI$57,60,0)*W425,"")</f>
        <v/>
      </c>
      <c r="BD425" s="200" t="str">
        <f>IFERROR(VLOOKUP($G425,нормы!$A$14:$BG$57,44,0),"")</f>
        <v/>
      </c>
      <c r="BE425" s="199" t="str">
        <f>IFERROR(W425/VLOOKUP($G425,нормы!$A$14:$BI$57,45,0),"")</f>
        <v/>
      </c>
    </row>
    <row r="426" spans="1:57" s="1" customFormat="1" ht="21" customHeight="1" thickBot="1" x14ac:dyDescent="0.45">
      <c r="A426" s="37" t="str">
        <f t="shared" si="170"/>
        <v>7Н</v>
      </c>
      <c r="B426" s="12">
        <f t="shared" si="173"/>
        <v>46029</v>
      </c>
      <c r="C426" s="97">
        <f t="shared" si="173"/>
        <v>0</v>
      </c>
      <c r="D426" s="97">
        <f t="shared" si="173"/>
        <v>2</v>
      </c>
      <c r="E426" s="54"/>
      <c r="F426" s="151" t="str">
        <f>IFERROR(VLOOKUP($G426,нормы!$A$14:$BC$57,2,0),"")</f>
        <v/>
      </c>
      <c r="G426" s="93"/>
      <c r="H426" s="63">
        <f t="shared" si="174"/>
        <v>0</v>
      </c>
      <c r="I426" s="153">
        <f>I422+I424</f>
        <v>0</v>
      </c>
      <c r="J426" s="334"/>
      <c r="K426" s="30">
        <f>IFERROR(VLOOKUP($G426,[1]нормы!$A$21:$BC$151,15,0),"")</f>
        <v>0</v>
      </c>
      <c r="L426" s="31">
        <f>IFERROR(VLOOKUP($G426,[1]нормы!$A$21:$BC$151,17,0),"")</f>
        <v>0</v>
      </c>
      <c r="M426" s="308">
        <f>IFERROR(VLOOKUP($G426,[1]нормы!$A$21:$BC$151,27,0),"")</f>
        <v>0</v>
      </c>
      <c r="N426" s="309" t="str">
        <f>IFERROR(Y426/Y427*(1.1*J421*I431),"")</f>
        <v/>
      </c>
      <c r="O426" s="300">
        <f>IFERROR(VLOOKUP($G426,[1]нормы!$A$21:$BC$151,21,0),"")</f>
        <v>0</v>
      </c>
      <c r="P426" s="35">
        <f>IFERROR(VLOOKUP($G426,[1]нормы!$A$21:$BC$151,19,0),"")</f>
        <v>0</v>
      </c>
      <c r="Q426" s="35">
        <f>IFERROR(VLOOKUP($G426,[1]нормы!$A$21:$BC$151,23,0),"")</f>
        <v>0</v>
      </c>
      <c r="R426" s="231">
        <f>IFERROR(VLOOKUP($G426,[1]нормы!$A$21:$BC$151,29,0),"")</f>
        <v>0</v>
      </c>
      <c r="S426" s="35">
        <f>IFERROR(VLOOKUP($G426,[1]нормы!$A$21:$BC$151,31,0),"")</f>
        <v>0</v>
      </c>
      <c r="T426" s="32">
        <f>IFERROR(VLOOKUP($G426,[1]нормы!$A$21:$BC$151,25,0),"")</f>
        <v>0</v>
      </c>
      <c r="U426" s="235" t="str">
        <f>IFERROR(W426/(((100*Y426/Y427)*I426)/100),"")</f>
        <v/>
      </c>
      <c r="V426" s="234" t="str">
        <f>IFERROR(VLOOKUP($G426,нормы!$A$14:$BC$57,38,0),"")</f>
        <v/>
      </c>
      <c r="W426" s="154"/>
      <c r="X426" s="238"/>
      <c r="Y426" s="152" t="str">
        <f>IFERROR(VLOOKUP($G426,нормы!$A$14:$BC$57,42,0)*W426,"")</f>
        <v/>
      </c>
      <c r="Z426" s="163">
        <f>IFERROR(VLOOKUP($G426,нормы!$A$14:$BC$57,14,0)*W426/1000,0)</f>
        <v>0</v>
      </c>
      <c r="AA426" s="56"/>
      <c r="AB426" s="58"/>
      <c r="AC426" s="58"/>
      <c r="AD426" s="58"/>
      <c r="AE426" s="57"/>
      <c r="AF426" s="161"/>
      <c r="AG426" s="392"/>
      <c r="AH426" s="395"/>
      <c r="AI426" s="398"/>
      <c r="AJ426" s="409"/>
      <c r="AK426" s="361"/>
      <c r="AL426" s="361"/>
      <c r="AM426" s="361"/>
      <c r="AN426" s="291">
        <f>IFERROR(Y426*AJ421/Y427,)</f>
        <v>0</v>
      </c>
      <c r="AO426" s="197" t="str">
        <f>IFERROR(VLOOKUP($G426,нормы!$A$14:$BC$57,53,0)*$W426,"")</f>
        <v/>
      </c>
      <c r="AP426" s="292">
        <f>IFERROR(Y426*AI421/Y427,)</f>
        <v>0</v>
      </c>
      <c r="AQ426" s="197" t="str">
        <f>IFERROR(VLOOKUP($G426,нормы!$A$14:$BC$57,54,0)*$W426,"")</f>
        <v/>
      </c>
      <c r="AR426" s="290">
        <f>IFERROR(AS426/SUM(AS421:AS426)*AL421,0)</f>
        <v>0</v>
      </c>
      <c r="AS426" s="197" t="str">
        <f>IFERROR(VLOOKUP($G426,нормы!$A$14:$BC$57,55,0)*W426,"")</f>
        <v/>
      </c>
      <c r="AT426" s="292">
        <f>IFERROR(AU426/SUM(AU421:AU426)*AM421,0)</f>
        <v>0</v>
      </c>
      <c r="AU426" s="197" t="str">
        <f>IFERROR(VLOOKUP($G426,нормы!$A$14:$BI$57,56,0)*W426,"")</f>
        <v/>
      </c>
      <c r="AV426" s="292">
        <f>IFERROR(AW426/SUM(AW421:AW426)*AK421,0)</f>
        <v>0</v>
      </c>
      <c r="AW426" s="202" t="str">
        <f>IFERROR(VLOOKUP($G426,нормы!$A$14:$BI$57,57,0)*W426,"")</f>
        <v/>
      </c>
      <c r="AX426" s="56"/>
      <c r="AY426" s="203" t="str">
        <f>IFERROR(VLOOKUP($G426,нормы!$A$14:$BI$57,58,0)*W426,"")</f>
        <v/>
      </c>
      <c r="AZ426" s="206"/>
      <c r="BA426" s="200" t="str">
        <f>IFERROR(VLOOKUP($G426,нормы!$A$14:$BI$57,61,0)*$W426,"")</f>
        <v/>
      </c>
      <c r="BB426" s="56"/>
      <c r="BC426" s="203" t="str">
        <f>IFERROR(VLOOKUP($G426,нормы!$A$14:$BI$57,60,0)*W426,"")</f>
        <v/>
      </c>
      <c r="BD426" s="200" t="str">
        <f>IFERROR(VLOOKUP($G426,нормы!$A$14:$BG$57,44,0),"")</f>
        <v/>
      </c>
      <c r="BE426" s="199" t="str">
        <f>IFERROR(W426/VLOOKUP($G426,нормы!$A$14:$BI$57,45,0),"")</f>
        <v/>
      </c>
    </row>
    <row r="427" spans="1:57" s="1" customFormat="1" ht="29.4" customHeight="1" thickBot="1" x14ac:dyDescent="0.45">
      <c r="A427" s="37" t="str">
        <f t="shared" si="170"/>
        <v>7Н</v>
      </c>
      <c r="B427" s="59"/>
      <c r="C427" s="51"/>
      <c r="D427" s="51"/>
      <c r="E427" s="51"/>
      <c r="F427" s="51"/>
      <c r="G427" s="51"/>
      <c r="H427" s="51"/>
      <c r="I427" s="60"/>
      <c r="J427" s="60"/>
      <c r="K427" s="319" t="s">
        <v>213</v>
      </c>
      <c r="L427" s="316"/>
      <c r="M427" s="303" t="s">
        <v>213</v>
      </c>
      <c r="N427" s="317">
        <f>SUM(N421:N426)</f>
        <v>0</v>
      </c>
      <c r="O427" s="304" t="s">
        <v>217</v>
      </c>
      <c r="P427" s="318">
        <f>N427*8.937/1000</f>
        <v>0</v>
      </c>
      <c r="Q427" s="305" t="s">
        <v>215</v>
      </c>
      <c r="R427" s="61"/>
      <c r="S427" s="61"/>
      <c r="T427" s="61"/>
      <c r="U427" s="109"/>
      <c r="V427" s="109"/>
      <c r="W427" s="94"/>
      <c r="X427" s="155"/>
      <c r="Y427" s="96">
        <f>SUM(Y421:Y426)</f>
        <v>0</v>
      </c>
      <c r="Z427" s="164">
        <f>SUM(Z421:Z426)</f>
        <v>0</v>
      </c>
      <c r="AA427" s="207">
        <f>(AA413+AA414+AA415+AA416+AA417+AA418+AA419+AA421+AA422+AA423+AA424+AA425+AA426)-AG414</f>
        <v>1</v>
      </c>
      <c r="AB427" s="208">
        <f>(AB413+AB414+AB415+AB416+AB417+AB418+AB419+AB421+AB422+AB423+AB424+AB425+AB426)-AH414</f>
        <v>2</v>
      </c>
      <c r="AC427" s="208">
        <f>(AC413+AC414+AC415+AC416+AC417+AC418+AC419+AC421+AC422+AC423+AC424+AC425+AC426)-AG421</f>
        <v>3</v>
      </c>
      <c r="AD427" s="208">
        <f>(AD413+AD414+AD415+AD416+AD417+AD418+AD419+AD421+AD422+AD423+AD424+AD425+AD426)-AH421</f>
        <v>4</v>
      </c>
      <c r="AE427" s="208">
        <f>(AE413+AE414+AE415+AE416+AE417+AE418+AE419+AE421+AE422+AE423+AE424+AE425+AE426)-AI414</f>
        <v>5</v>
      </c>
      <c r="AF427" s="209">
        <f>(AF413+AF414+AF415+AF416+AF417+AF418+AF419+AF421+AF422+AF423+AF424+AF425+AF426)-AI421</f>
        <v>6</v>
      </c>
      <c r="AG427" s="62"/>
      <c r="AH427" s="62"/>
      <c r="AI427" s="62"/>
      <c r="AJ427" s="62"/>
      <c r="AK427" s="62"/>
      <c r="AL427" s="62"/>
      <c r="AM427" s="62"/>
      <c r="AN427" s="91">
        <f>SUM(AN421:AN426)</f>
        <v>0</v>
      </c>
      <c r="AO427" s="91">
        <f>SUM(AO421:AO426)</f>
        <v>0</v>
      </c>
      <c r="AP427" s="91"/>
      <c r="AQ427" s="91"/>
      <c r="AR427" s="91">
        <f>SUM(AR421:AR426)</f>
        <v>0</v>
      </c>
      <c r="AS427" s="91">
        <f t="shared" ref="AS427:AW427" si="175">SUM(AS421:AS426)</f>
        <v>0</v>
      </c>
      <c r="AT427" s="91">
        <f t="shared" si="175"/>
        <v>0</v>
      </c>
      <c r="AU427" s="91">
        <f t="shared" si="175"/>
        <v>0</v>
      </c>
      <c r="AV427" s="91">
        <f t="shared" si="175"/>
        <v>0</v>
      </c>
      <c r="AW427" s="91">
        <f t="shared" si="175"/>
        <v>0</v>
      </c>
      <c r="AX427" s="91">
        <f>SUM(AX421:AX426)</f>
        <v>0</v>
      </c>
      <c r="AY427" s="91">
        <f>SUM(AY421:AY426)</f>
        <v>0</v>
      </c>
      <c r="AZ427" s="91">
        <f>SUM(AZ421:AZ426)</f>
        <v>0</v>
      </c>
      <c r="BA427" s="91"/>
      <c r="BB427" s="91"/>
      <c r="BC427" s="91"/>
      <c r="BD427" s="91" t="str">
        <f>IFERROR(VLOOKUP($G427,нормы!$A$14:$BG$15,27,0),"")</f>
        <v/>
      </c>
      <c r="BE427" s="53" t="str">
        <f>IFERROR(W427/VLOOKUP($G427,нормы!$A$14:$BI$15,28,0),"")</f>
        <v/>
      </c>
    </row>
    <row r="428" spans="1:57" s="1" customFormat="1" ht="29.4" customHeight="1" thickBot="1" x14ac:dyDescent="0.5">
      <c r="A428" s="37" t="str">
        <f t="shared" si="170"/>
        <v>7Н</v>
      </c>
      <c r="B428" s="166" t="s">
        <v>130</v>
      </c>
      <c r="C428" s="167"/>
      <c r="D428" s="167"/>
      <c r="E428" s="167"/>
      <c r="F428" s="165"/>
      <c r="G428" s="167"/>
      <c r="H428" s="167"/>
      <c r="I428" s="168"/>
      <c r="J428" s="168"/>
      <c r="K428" s="168"/>
      <c r="L428" s="168"/>
      <c r="M428" s="168"/>
      <c r="N428" s="168"/>
      <c r="O428" s="167"/>
      <c r="P428" s="169"/>
      <c r="Q428" s="169"/>
      <c r="R428" s="169"/>
      <c r="S428" s="169"/>
      <c r="T428" s="169"/>
      <c r="U428" s="170"/>
      <c r="V428" s="170"/>
      <c r="W428" s="171"/>
      <c r="X428" s="171"/>
      <c r="Y428" s="172"/>
      <c r="Z428" s="172"/>
      <c r="AA428" s="201" t="s">
        <v>144</v>
      </c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64"/>
      <c r="AN428" s="167"/>
      <c r="AO428" s="167"/>
      <c r="AP428" s="167"/>
      <c r="AQ428" s="167"/>
      <c r="AR428" s="64"/>
      <c r="AS428" s="64"/>
      <c r="AT428" s="65"/>
      <c r="AU428" s="64"/>
      <c r="AV428" s="49"/>
      <c r="AW428" s="49"/>
      <c r="AX428" s="167"/>
      <c r="AY428" s="167"/>
      <c r="AZ428" s="167"/>
      <c r="BA428" s="167"/>
      <c r="BB428" s="167"/>
      <c r="BC428" s="167"/>
      <c r="BD428" s="66"/>
      <c r="BE428" s="66"/>
    </row>
    <row r="429" spans="1:57" s="1" customFormat="1" ht="23.25" customHeight="1" x14ac:dyDescent="0.4">
      <c r="A429" s="37" t="str">
        <f t="shared" si="170"/>
        <v>7Н</v>
      </c>
      <c r="B429" s="183"/>
      <c r="C429" s="100"/>
      <c r="D429" s="185"/>
      <c r="E429" s="186" t="s">
        <v>57</v>
      </c>
      <c r="F429" s="66" t="s">
        <v>87</v>
      </c>
      <c r="G429" s="66"/>
      <c r="H429" s="108" t="s">
        <v>131</v>
      </c>
      <c r="I429" s="101"/>
      <c r="J429" s="101"/>
      <c r="K429" s="101"/>
      <c r="L429" s="101"/>
      <c r="M429" s="101"/>
      <c r="N429" s="101"/>
      <c r="O429" s="67"/>
      <c r="P429" s="102"/>
      <c r="Q429" s="102"/>
      <c r="R429" s="102"/>
      <c r="S429" s="102"/>
      <c r="T429" s="102"/>
      <c r="U429" s="67"/>
      <c r="V429" s="67"/>
      <c r="W429" s="103"/>
      <c r="X429" s="187"/>
      <c r="Y429" s="68" t="s">
        <v>74</v>
      </c>
      <c r="Z429" s="69"/>
      <c r="AA429" s="90"/>
      <c r="AB429" s="100"/>
      <c r="AC429" s="100"/>
      <c r="AD429" s="186" t="s">
        <v>57</v>
      </c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190"/>
      <c r="AU429" s="66"/>
      <c r="AV429" s="165"/>
      <c r="AW429" s="293"/>
      <c r="AX429" s="66"/>
      <c r="AY429" s="66"/>
      <c r="AZ429" s="66"/>
      <c r="BA429" s="66"/>
      <c r="BB429" s="66"/>
      <c r="BC429" s="66"/>
      <c r="BD429" s="68" t="s">
        <v>74</v>
      </c>
      <c r="BE429" s="69"/>
    </row>
    <row r="430" spans="1:57" s="1" customFormat="1" ht="23.25" customHeight="1" thickBot="1" x14ac:dyDescent="0.45">
      <c r="A430" s="37" t="str">
        <f t="shared" si="170"/>
        <v>7Н</v>
      </c>
      <c r="B430" s="183"/>
      <c r="C430" s="41"/>
      <c r="D430" s="184"/>
      <c r="E430" s="50"/>
      <c r="F430" s="70"/>
      <c r="G430" s="70"/>
      <c r="H430" s="70"/>
      <c r="I430" s="104"/>
      <c r="J430" s="104"/>
      <c r="K430" s="104"/>
      <c r="L430" s="104"/>
      <c r="M430" s="104"/>
      <c r="N430" s="104"/>
      <c r="O430" s="71"/>
      <c r="P430" s="105"/>
      <c r="Q430" s="105"/>
      <c r="R430" s="105"/>
      <c r="S430" s="105"/>
      <c r="T430" s="105"/>
      <c r="U430" s="71"/>
      <c r="V430" s="71"/>
      <c r="W430" s="106"/>
      <c r="X430" s="188"/>
      <c r="Y430" s="72"/>
      <c r="Z430" s="73"/>
      <c r="AA430" s="90"/>
      <c r="AB430" s="41"/>
      <c r="AC430" s="41"/>
      <c r="AD430" s="50"/>
      <c r="AE430" s="47"/>
      <c r="AF430" s="47"/>
      <c r="AG430" s="47"/>
      <c r="AH430" s="47"/>
      <c r="AI430" s="47"/>
      <c r="AJ430" s="47"/>
      <c r="AK430" s="47"/>
      <c r="AL430" s="47"/>
      <c r="AM430" s="70"/>
      <c r="AN430" s="47"/>
      <c r="AO430" s="70"/>
      <c r="AP430" s="70"/>
      <c r="AQ430" s="70"/>
      <c r="AR430" s="70"/>
      <c r="AS430" s="70"/>
      <c r="AT430" s="191"/>
      <c r="AU430" s="70"/>
      <c r="AV430" s="192"/>
      <c r="AW430" s="294"/>
      <c r="AX430" s="70"/>
      <c r="AY430" s="70"/>
      <c r="AZ430" s="70"/>
      <c r="BA430" s="70"/>
      <c r="BB430" s="70"/>
      <c r="BC430" s="70"/>
      <c r="BD430" s="72"/>
      <c r="BE430" s="73"/>
    </row>
    <row r="431" spans="1:57" s="1" customFormat="1" ht="18" customHeight="1" x14ac:dyDescent="0.4">
      <c r="A431" s="37" t="str">
        <f t="shared" si="170"/>
        <v>7Н</v>
      </c>
      <c r="B431" s="183"/>
      <c r="C431" s="41"/>
      <c r="D431" s="184"/>
      <c r="E431" s="281">
        <f>B426</f>
        <v>46029</v>
      </c>
      <c r="F431" s="337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98">
        <v>1</v>
      </c>
      <c r="Y431" s="74">
        <v>1</v>
      </c>
      <c r="Z431" s="75">
        <f t="shared" ref="Z431:Z442" si="176">Y431-X431</f>
        <v>0</v>
      </c>
      <c r="AA431" s="189"/>
      <c r="AB431" s="41"/>
      <c r="AC431" s="184"/>
      <c r="AD431" s="210">
        <f>E431</f>
        <v>46029</v>
      </c>
      <c r="AE431" s="387"/>
      <c r="AF431" s="388"/>
      <c r="AG431" s="388"/>
      <c r="AH431" s="388"/>
      <c r="AI431" s="388"/>
      <c r="AJ431" s="388"/>
      <c r="AK431" s="388"/>
      <c r="AL431" s="388"/>
      <c r="AM431" s="388"/>
      <c r="AN431" s="388"/>
      <c r="AO431" s="388"/>
      <c r="AP431" s="388"/>
      <c r="AQ431" s="388"/>
      <c r="AR431" s="388"/>
      <c r="AS431" s="388"/>
      <c r="AT431" s="388"/>
      <c r="AU431" s="388"/>
      <c r="AV431" s="388"/>
      <c r="AW431" s="388"/>
      <c r="AX431" s="388"/>
      <c r="AY431" s="388"/>
      <c r="AZ431" s="388"/>
      <c r="BA431" s="388"/>
      <c r="BB431" s="389"/>
      <c r="BC431" s="98">
        <v>1</v>
      </c>
      <c r="BD431" s="74">
        <v>1</v>
      </c>
      <c r="BE431" s="75">
        <f t="shared" ref="BE431:BE442" si="177">BD431-BC431</f>
        <v>0</v>
      </c>
    </row>
    <row r="432" spans="1:57" s="1" customFormat="1" ht="18" customHeight="1" x14ac:dyDescent="0.4">
      <c r="A432" s="37" t="str">
        <f t="shared" si="170"/>
        <v>7Н</v>
      </c>
      <c r="B432" s="183"/>
      <c r="C432" s="41"/>
      <c r="D432" s="184"/>
      <c r="E432" s="282">
        <f>E431</f>
        <v>46029</v>
      </c>
      <c r="F432" s="335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  <c r="R432" s="336"/>
      <c r="S432" s="336"/>
      <c r="T432" s="336"/>
      <c r="U432" s="336"/>
      <c r="V432" s="336"/>
      <c r="W432" s="336"/>
      <c r="X432" s="98">
        <v>1</v>
      </c>
      <c r="Y432" s="74">
        <v>1</v>
      </c>
      <c r="Z432" s="75">
        <f t="shared" si="176"/>
        <v>0</v>
      </c>
      <c r="AA432" s="107">
        <f>AA431</f>
        <v>0</v>
      </c>
      <c r="AB432" s="41"/>
      <c r="AC432" s="184"/>
      <c r="AD432" s="212">
        <f>AD431</f>
        <v>46029</v>
      </c>
      <c r="AE432" s="387"/>
      <c r="AF432" s="388"/>
      <c r="AG432" s="388"/>
      <c r="AH432" s="388"/>
      <c r="AI432" s="388"/>
      <c r="AJ432" s="388"/>
      <c r="AK432" s="388"/>
      <c r="AL432" s="388"/>
      <c r="AM432" s="388"/>
      <c r="AN432" s="388"/>
      <c r="AO432" s="388"/>
      <c r="AP432" s="388"/>
      <c r="AQ432" s="388"/>
      <c r="AR432" s="388"/>
      <c r="AS432" s="388"/>
      <c r="AT432" s="388"/>
      <c r="AU432" s="388"/>
      <c r="AV432" s="388"/>
      <c r="AW432" s="388"/>
      <c r="AX432" s="388"/>
      <c r="AY432" s="388"/>
      <c r="AZ432" s="388"/>
      <c r="BA432" s="388"/>
      <c r="BB432" s="389"/>
      <c r="BC432" s="98">
        <v>1</v>
      </c>
      <c r="BD432" s="74">
        <v>1</v>
      </c>
      <c r="BE432" s="75">
        <f t="shared" si="177"/>
        <v>0</v>
      </c>
    </row>
    <row r="433" spans="1:57" s="1" customFormat="1" ht="26.25" customHeight="1" x14ac:dyDescent="0.4">
      <c r="A433" s="37" t="str">
        <f t="shared" si="170"/>
        <v>7Н</v>
      </c>
      <c r="B433" s="183"/>
      <c r="C433" s="41"/>
      <c r="D433" s="184"/>
      <c r="E433" s="282">
        <f t="shared" ref="E433:E442" si="178">E432</f>
        <v>46029</v>
      </c>
      <c r="F433" s="335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  <c r="R433" s="336"/>
      <c r="S433" s="336"/>
      <c r="T433" s="336"/>
      <c r="U433" s="336"/>
      <c r="V433" s="336"/>
      <c r="W433" s="336"/>
      <c r="X433" s="98">
        <v>1</v>
      </c>
      <c r="Y433" s="74">
        <v>1</v>
      </c>
      <c r="Z433" s="75">
        <f t="shared" si="176"/>
        <v>0</v>
      </c>
      <c r="AA433" s="107">
        <f>AA432</f>
        <v>0</v>
      </c>
      <c r="AB433" s="41"/>
      <c r="AC433" s="184"/>
      <c r="AD433" s="212">
        <f t="shared" ref="AD433:AD442" si="179">AD432</f>
        <v>46029</v>
      </c>
      <c r="AE433" s="387"/>
      <c r="AF433" s="388"/>
      <c r="AG433" s="388"/>
      <c r="AH433" s="388"/>
      <c r="AI433" s="388"/>
      <c r="AJ433" s="388"/>
      <c r="AK433" s="388"/>
      <c r="AL433" s="388"/>
      <c r="AM433" s="388"/>
      <c r="AN433" s="388"/>
      <c r="AO433" s="388"/>
      <c r="AP433" s="388"/>
      <c r="AQ433" s="388"/>
      <c r="AR433" s="388"/>
      <c r="AS433" s="388"/>
      <c r="AT433" s="388"/>
      <c r="AU433" s="388"/>
      <c r="AV433" s="388"/>
      <c r="AW433" s="388"/>
      <c r="AX433" s="388"/>
      <c r="AY433" s="388"/>
      <c r="AZ433" s="388"/>
      <c r="BA433" s="388"/>
      <c r="BB433" s="389"/>
      <c r="BC433" s="98">
        <v>1</v>
      </c>
      <c r="BD433" s="74">
        <v>1</v>
      </c>
      <c r="BE433" s="75">
        <f t="shared" si="177"/>
        <v>0</v>
      </c>
    </row>
    <row r="434" spans="1:57" s="1" customFormat="1" ht="18" customHeight="1" x14ac:dyDescent="0.4">
      <c r="A434" s="37" t="str">
        <f t="shared" si="170"/>
        <v>7Н</v>
      </c>
      <c r="B434" s="183"/>
      <c r="C434" s="41"/>
      <c r="D434" s="184"/>
      <c r="E434" s="282">
        <f t="shared" si="178"/>
        <v>46029</v>
      </c>
      <c r="F434" s="335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  <c r="R434" s="336"/>
      <c r="S434" s="336"/>
      <c r="T434" s="336"/>
      <c r="U434" s="336"/>
      <c r="V434" s="336"/>
      <c r="W434" s="336"/>
      <c r="X434" s="98">
        <v>1</v>
      </c>
      <c r="Y434" s="74">
        <v>1</v>
      </c>
      <c r="Z434" s="75">
        <f t="shared" si="176"/>
        <v>0</v>
      </c>
      <c r="AA434" s="107">
        <f t="shared" ref="AA434:AA442" si="180">AA433</f>
        <v>0</v>
      </c>
      <c r="AB434" s="41"/>
      <c r="AC434" s="184"/>
      <c r="AD434" s="212">
        <f t="shared" si="179"/>
        <v>46029</v>
      </c>
      <c r="AE434" s="387"/>
      <c r="AF434" s="388"/>
      <c r="AG434" s="388"/>
      <c r="AH434" s="388"/>
      <c r="AI434" s="388"/>
      <c r="AJ434" s="388"/>
      <c r="AK434" s="388"/>
      <c r="AL434" s="388"/>
      <c r="AM434" s="388"/>
      <c r="AN434" s="388"/>
      <c r="AO434" s="388"/>
      <c r="AP434" s="388"/>
      <c r="AQ434" s="388"/>
      <c r="AR434" s="388"/>
      <c r="AS434" s="388"/>
      <c r="AT434" s="388"/>
      <c r="AU434" s="388"/>
      <c r="AV434" s="388"/>
      <c r="AW434" s="388"/>
      <c r="AX434" s="388"/>
      <c r="AY434" s="388"/>
      <c r="AZ434" s="388"/>
      <c r="BA434" s="388"/>
      <c r="BB434" s="389"/>
      <c r="BC434" s="98">
        <v>1</v>
      </c>
      <c r="BD434" s="74">
        <v>1</v>
      </c>
      <c r="BE434" s="75">
        <f t="shared" si="177"/>
        <v>0</v>
      </c>
    </row>
    <row r="435" spans="1:57" s="1" customFormat="1" ht="18" customHeight="1" x14ac:dyDescent="0.4">
      <c r="A435" s="37" t="str">
        <f t="shared" si="170"/>
        <v>7Н</v>
      </c>
      <c r="B435" s="183"/>
      <c r="C435" s="41"/>
      <c r="D435" s="184"/>
      <c r="E435" s="282">
        <f t="shared" si="178"/>
        <v>46029</v>
      </c>
      <c r="F435" s="335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  <c r="R435" s="336"/>
      <c r="S435" s="336"/>
      <c r="T435" s="336"/>
      <c r="U435" s="336"/>
      <c r="V435" s="336"/>
      <c r="W435" s="336"/>
      <c r="X435" s="98">
        <v>1</v>
      </c>
      <c r="Y435" s="74">
        <v>1</v>
      </c>
      <c r="Z435" s="75">
        <f t="shared" si="176"/>
        <v>0</v>
      </c>
      <c r="AA435" s="107">
        <f t="shared" si="180"/>
        <v>0</v>
      </c>
      <c r="AB435" s="41"/>
      <c r="AC435" s="184"/>
      <c r="AD435" s="212">
        <f t="shared" si="179"/>
        <v>46029</v>
      </c>
      <c r="AE435" s="387"/>
      <c r="AF435" s="388"/>
      <c r="AG435" s="388"/>
      <c r="AH435" s="388"/>
      <c r="AI435" s="388"/>
      <c r="AJ435" s="388"/>
      <c r="AK435" s="388"/>
      <c r="AL435" s="388"/>
      <c r="AM435" s="388"/>
      <c r="AN435" s="388"/>
      <c r="AO435" s="388"/>
      <c r="AP435" s="388"/>
      <c r="AQ435" s="388"/>
      <c r="AR435" s="388"/>
      <c r="AS435" s="388"/>
      <c r="AT435" s="388"/>
      <c r="AU435" s="388"/>
      <c r="AV435" s="388"/>
      <c r="AW435" s="388"/>
      <c r="AX435" s="388"/>
      <c r="AY435" s="388"/>
      <c r="AZ435" s="388"/>
      <c r="BA435" s="388"/>
      <c r="BB435" s="389"/>
      <c r="BC435" s="98">
        <v>1</v>
      </c>
      <c r="BD435" s="74">
        <v>1</v>
      </c>
      <c r="BE435" s="75">
        <f t="shared" si="177"/>
        <v>0</v>
      </c>
    </row>
    <row r="436" spans="1:57" s="1" customFormat="1" ht="18" customHeight="1" x14ac:dyDescent="0.4">
      <c r="A436" s="37" t="str">
        <f t="shared" si="170"/>
        <v>7Н</v>
      </c>
      <c r="B436" s="183"/>
      <c r="C436" s="41"/>
      <c r="D436" s="184"/>
      <c r="E436" s="282">
        <f t="shared" si="178"/>
        <v>46029</v>
      </c>
      <c r="F436" s="335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  <c r="R436" s="336"/>
      <c r="S436" s="336"/>
      <c r="T436" s="336"/>
      <c r="U436" s="336"/>
      <c r="V436" s="336"/>
      <c r="W436" s="336"/>
      <c r="X436" s="98">
        <v>1</v>
      </c>
      <c r="Y436" s="74">
        <v>1</v>
      </c>
      <c r="Z436" s="75">
        <f t="shared" si="176"/>
        <v>0</v>
      </c>
      <c r="AA436" s="107">
        <f t="shared" si="180"/>
        <v>0</v>
      </c>
      <c r="AB436" s="41"/>
      <c r="AC436" s="184"/>
      <c r="AD436" s="212">
        <f t="shared" si="179"/>
        <v>46029</v>
      </c>
      <c r="AE436" s="387"/>
      <c r="AF436" s="388"/>
      <c r="AG436" s="388"/>
      <c r="AH436" s="388"/>
      <c r="AI436" s="388"/>
      <c r="AJ436" s="388"/>
      <c r="AK436" s="388"/>
      <c r="AL436" s="388"/>
      <c r="AM436" s="388"/>
      <c r="AN436" s="388"/>
      <c r="AO436" s="388"/>
      <c r="AP436" s="388"/>
      <c r="AQ436" s="388"/>
      <c r="AR436" s="388"/>
      <c r="AS436" s="388"/>
      <c r="AT436" s="388"/>
      <c r="AU436" s="388"/>
      <c r="AV436" s="388"/>
      <c r="AW436" s="388"/>
      <c r="AX436" s="388"/>
      <c r="AY436" s="388"/>
      <c r="AZ436" s="388"/>
      <c r="BA436" s="388"/>
      <c r="BB436" s="389"/>
      <c r="BC436" s="98">
        <v>1</v>
      </c>
      <c r="BD436" s="74">
        <v>1</v>
      </c>
      <c r="BE436" s="75">
        <f t="shared" si="177"/>
        <v>0</v>
      </c>
    </row>
    <row r="437" spans="1:57" s="1" customFormat="1" ht="18" customHeight="1" x14ac:dyDescent="0.4">
      <c r="A437" s="37" t="str">
        <f t="shared" si="170"/>
        <v>7Н</v>
      </c>
      <c r="B437" s="183"/>
      <c r="C437" s="41"/>
      <c r="D437" s="184"/>
      <c r="E437" s="282">
        <f t="shared" si="178"/>
        <v>46029</v>
      </c>
      <c r="F437" s="335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  <c r="R437" s="336"/>
      <c r="S437" s="336"/>
      <c r="T437" s="336"/>
      <c r="U437" s="336"/>
      <c r="V437" s="336"/>
      <c r="W437" s="336"/>
      <c r="X437" s="98">
        <v>1</v>
      </c>
      <c r="Y437" s="74">
        <v>1</v>
      </c>
      <c r="Z437" s="75">
        <f t="shared" si="176"/>
        <v>0</v>
      </c>
      <c r="AA437" s="107">
        <f t="shared" si="180"/>
        <v>0</v>
      </c>
      <c r="AB437" s="41"/>
      <c r="AC437" s="184"/>
      <c r="AD437" s="212">
        <f t="shared" si="179"/>
        <v>46029</v>
      </c>
      <c r="AE437" s="387"/>
      <c r="AF437" s="388"/>
      <c r="AG437" s="388"/>
      <c r="AH437" s="388"/>
      <c r="AI437" s="388"/>
      <c r="AJ437" s="388"/>
      <c r="AK437" s="388"/>
      <c r="AL437" s="388"/>
      <c r="AM437" s="388"/>
      <c r="AN437" s="388"/>
      <c r="AO437" s="388"/>
      <c r="AP437" s="388"/>
      <c r="AQ437" s="388"/>
      <c r="AR437" s="388"/>
      <c r="AS437" s="388"/>
      <c r="AT437" s="388"/>
      <c r="AU437" s="388"/>
      <c r="AV437" s="388"/>
      <c r="AW437" s="388"/>
      <c r="AX437" s="388"/>
      <c r="AY437" s="388"/>
      <c r="AZ437" s="388"/>
      <c r="BA437" s="388"/>
      <c r="BB437" s="389"/>
      <c r="BC437" s="98">
        <v>1</v>
      </c>
      <c r="BD437" s="74">
        <v>1</v>
      </c>
      <c r="BE437" s="75">
        <f t="shared" si="177"/>
        <v>0</v>
      </c>
    </row>
    <row r="438" spans="1:57" s="1" customFormat="1" ht="18" customHeight="1" x14ac:dyDescent="0.4">
      <c r="A438" s="37" t="str">
        <f t="shared" si="170"/>
        <v>7Н</v>
      </c>
      <c r="B438" s="183"/>
      <c r="C438" s="41"/>
      <c r="D438" s="184"/>
      <c r="E438" s="282">
        <f t="shared" si="178"/>
        <v>46029</v>
      </c>
      <c r="F438" s="335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  <c r="R438" s="336"/>
      <c r="S438" s="336"/>
      <c r="T438" s="336"/>
      <c r="U438" s="336"/>
      <c r="V438" s="336"/>
      <c r="W438" s="336"/>
      <c r="X438" s="98">
        <v>1</v>
      </c>
      <c r="Y438" s="74">
        <v>1</v>
      </c>
      <c r="Z438" s="75">
        <f t="shared" si="176"/>
        <v>0</v>
      </c>
      <c r="AA438" s="107">
        <f t="shared" si="180"/>
        <v>0</v>
      </c>
      <c r="AB438" s="41"/>
      <c r="AC438" s="184"/>
      <c r="AD438" s="212">
        <f t="shared" si="179"/>
        <v>46029</v>
      </c>
      <c r="AE438" s="387"/>
      <c r="AF438" s="388"/>
      <c r="AG438" s="388"/>
      <c r="AH438" s="388"/>
      <c r="AI438" s="388"/>
      <c r="AJ438" s="388"/>
      <c r="AK438" s="388"/>
      <c r="AL438" s="388"/>
      <c r="AM438" s="388"/>
      <c r="AN438" s="388"/>
      <c r="AO438" s="388"/>
      <c r="AP438" s="388"/>
      <c r="AQ438" s="388"/>
      <c r="AR438" s="388"/>
      <c r="AS438" s="388"/>
      <c r="AT438" s="388"/>
      <c r="AU438" s="388"/>
      <c r="AV438" s="388"/>
      <c r="AW438" s="388"/>
      <c r="AX438" s="388"/>
      <c r="AY438" s="388"/>
      <c r="AZ438" s="388"/>
      <c r="BA438" s="388"/>
      <c r="BB438" s="389"/>
      <c r="BC438" s="98">
        <v>1</v>
      </c>
      <c r="BD438" s="74">
        <v>1</v>
      </c>
      <c r="BE438" s="75">
        <f t="shared" si="177"/>
        <v>0</v>
      </c>
    </row>
    <row r="439" spans="1:57" s="1" customFormat="1" ht="18" customHeight="1" x14ac:dyDescent="0.4">
      <c r="A439" s="37" t="str">
        <f t="shared" si="170"/>
        <v>7Н</v>
      </c>
      <c r="B439" s="183"/>
      <c r="C439" s="41"/>
      <c r="D439" s="184"/>
      <c r="E439" s="282">
        <f t="shared" si="178"/>
        <v>46029</v>
      </c>
      <c r="F439" s="335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  <c r="R439" s="336"/>
      <c r="S439" s="336"/>
      <c r="T439" s="336"/>
      <c r="U439" s="336"/>
      <c r="V439" s="336"/>
      <c r="W439" s="336"/>
      <c r="X439" s="98">
        <v>1</v>
      </c>
      <c r="Y439" s="74">
        <v>1</v>
      </c>
      <c r="Z439" s="75">
        <f t="shared" si="176"/>
        <v>0</v>
      </c>
      <c r="AA439" s="107">
        <f t="shared" si="180"/>
        <v>0</v>
      </c>
      <c r="AB439" s="41"/>
      <c r="AC439" s="184"/>
      <c r="AD439" s="212">
        <f t="shared" si="179"/>
        <v>46029</v>
      </c>
      <c r="AE439" s="387"/>
      <c r="AF439" s="388"/>
      <c r="AG439" s="388"/>
      <c r="AH439" s="388"/>
      <c r="AI439" s="388"/>
      <c r="AJ439" s="388"/>
      <c r="AK439" s="388"/>
      <c r="AL439" s="388"/>
      <c r="AM439" s="388"/>
      <c r="AN439" s="388"/>
      <c r="AO439" s="388"/>
      <c r="AP439" s="388"/>
      <c r="AQ439" s="388"/>
      <c r="AR439" s="388"/>
      <c r="AS439" s="388"/>
      <c r="AT439" s="388"/>
      <c r="AU439" s="388"/>
      <c r="AV439" s="388"/>
      <c r="AW439" s="388"/>
      <c r="AX439" s="388"/>
      <c r="AY439" s="388"/>
      <c r="AZ439" s="388"/>
      <c r="BA439" s="388"/>
      <c r="BB439" s="389"/>
      <c r="BC439" s="98">
        <v>1</v>
      </c>
      <c r="BD439" s="74">
        <v>1</v>
      </c>
      <c r="BE439" s="75">
        <f t="shared" si="177"/>
        <v>0</v>
      </c>
    </row>
    <row r="440" spans="1:57" s="1" customFormat="1" ht="18" customHeight="1" x14ac:dyDescent="0.4">
      <c r="A440" s="37" t="str">
        <f t="shared" si="170"/>
        <v>7Н</v>
      </c>
      <c r="B440" s="183"/>
      <c r="C440" s="41"/>
      <c r="D440" s="184"/>
      <c r="E440" s="282">
        <f t="shared" si="178"/>
        <v>46029</v>
      </c>
      <c r="F440" s="335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  <c r="R440" s="336"/>
      <c r="S440" s="336"/>
      <c r="T440" s="336"/>
      <c r="U440" s="336"/>
      <c r="V440" s="336"/>
      <c r="W440" s="336"/>
      <c r="X440" s="98">
        <v>1</v>
      </c>
      <c r="Y440" s="74">
        <v>1</v>
      </c>
      <c r="Z440" s="75">
        <f t="shared" si="176"/>
        <v>0</v>
      </c>
      <c r="AA440" s="107">
        <f t="shared" si="180"/>
        <v>0</v>
      </c>
      <c r="AB440" s="41"/>
      <c r="AC440" s="184"/>
      <c r="AD440" s="212">
        <f t="shared" si="179"/>
        <v>46029</v>
      </c>
      <c r="AE440" s="387"/>
      <c r="AF440" s="388"/>
      <c r="AG440" s="388"/>
      <c r="AH440" s="388"/>
      <c r="AI440" s="388"/>
      <c r="AJ440" s="388"/>
      <c r="AK440" s="388"/>
      <c r="AL440" s="388"/>
      <c r="AM440" s="388"/>
      <c r="AN440" s="388"/>
      <c r="AO440" s="388"/>
      <c r="AP440" s="388"/>
      <c r="AQ440" s="388"/>
      <c r="AR440" s="388"/>
      <c r="AS440" s="388"/>
      <c r="AT440" s="388"/>
      <c r="AU440" s="388"/>
      <c r="AV440" s="388"/>
      <c r="AW440" s="388"/>
      <c r="AX440" s="388"/>
      <c r="AY440" s="388"/>
      <c r="AZ440" s="388"/>
      <c r="BA440" s="388"/>
      <c r="BB440" s="389"/>
      <c r="BC440" s="98">
        <v>1</v>
      </c>
      <c r="BD440" s="74">
        <v>1</v>
      </c>
      <c r="BE440" s="75">
        <f t="shared" si="177"/>
        <v>0</v>
      </c>
    </row>
    <row r="441" spans="1:57" s="1" customFormat="1" ht="18" customHeight="1" x14ac:dyDescent="0.4">
      <c r="A441" s="37" t="str">
        <f t="shared" si="170"/>
        <v>7Н</v>
      </c>
      <c r="B441" s="183"/>
      <c r="C441" s="41"/>
      <c r="D441" s="184"/>
      <c r="E441" s="282">
        <f t="shared" si="178"/>
        <v>46029</v>
      </c>
      <c r="F441" s="335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  <c r="R441" s="336"/>
      <c r="S441" s="336"/>
      <c r="T441" s="336"/>
      <c r="U441" s="336"/>
      <c r="V441" s="336"/>
      <c r="W441" s="336"/>
      <c r="X441" s="98">
        <v>1</v>
      </c>
      <c r="Y441" s="74">
        <v>1</v>
      </c>
      <c r="Z441" s="75">
        <f t="shared" si="176"/>
        <v>0</v>
      </c>
      <c r="AA441" s="107">
        <f t="shared" si="180"/>
        <v>0</v>
      </c>
      <c r="AB441" s="41"/>
      <c r="AC441" s="184"/>
      <c r="AD441" s="212">
        <f t="shared" si="179"/>
        <v>46029</v>
      </c>
      <c r="AE441" s="387"/>
      <c r="AF441" s="388"/>
      <c r="AG441" s="388"/>
      <c r="AH441" s="388"/>
      <c r="AI441" s="388"/>
      <c r="AJ441" s="388"/>
      <c r="AK441" s="388"/>
      <c r="AL441" s="388"/>
      <c r="AM441" s="388"/>
      <c r="AN441" s="388"/>
      <c r="AO441" s="388"/>
      <c r="AP441" s="388"/>
      <c r="AQ441" s="388"/>
      <c r="AR441" s="388"/>
      <c r="AS441" s="388"/>
      <c r="AT441" s="388"/>
      <c r="AU441" s="388"/>
      <c r="AV441" s="388"/>
      <c r="AW441" s="388"/>
      <c r="AX441" s="388"/>
      <c r="AY441" s="388"/>
      <c r="AZ441" s="388"/>
      <c r="BA441" s="388"/>
      <c r="BB441" s="389"/>
      <c r="BC441" s="98">
        <v>1</v>
      </c>
      <c r="BD441" s="74">
        <v>1</v>
      </c>
      <c r="BE441" s="75">
        <f t="shared" si="177"/>
        <v>0</v>
      </c>
    </row>
    <row r="442" spans="1:57" s="1" customFormat="1" ht="18" customHeight="1" thickBot="1" x14ac:dyDescent="0.45">
      <c r="A442" s="37" t="str">
        <f t="shared" si="170"/>
        <v>7Н</v>
      </c>
      <c r="B442" s="183"/>
      <c r="C442" s="41"/>
      <c r="D442" s="184"/>
      <c r="E442" s="283">
        <f t="shared" si="178"/>
        <v>46029</v>
      </c>
      <c r="F442" s="339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99">
        <v>1</v>
      </c>
      <c r="Y442" s="76">
        <v>1</v>
      </c>
      <c r="Z442" s="77">
        <f t="shared" si="176"/>
        <v>0</v>
      </c>
      <c r="AA442" s="107">
        <f t="shared" si="180"/>
        <v>0</v>
      </c>
      <c r="AB442" s="41"/>
      <c r="AC442" s="184"/>
      <c r="AD442" s="211">
        <f t="shared" si="179"/>
        <v>46029</v>
      </c>
      <c r="AE442" s="410"/>
      <c r="AF442" s="411"/>
      <c r="AG442" s="411"/>
      <c r="AH442" s="411"/>
      <c r="AI442" s="411"/>
      <c r="AJ442" s="411"/>
      <c r="AK442" s="411"/>
      <c r="AL442" s="411"/>
      <c r="AM442" s="411"/>
      <c r="AN442" s="411"/>
      <c r="AO442" s="411"/>
      <c r="AP442" s="411"/>
      <c r="AQ442" s="411"/>
      <c r="AR442" s="411"/>
      <c r="AS442" s="411"/>
      <c r="AT442" s="411"/>
      <c r="AU442" s="411"/>
      <c r="AV442" s="411"/>
      <c r="AW442" s="411"/>
      <c r="AX442" s="411"/>
      <c r="AY442" s="411"/>
      <c r="AZ442" s="411"/>
      <c r="BA442" s="411"/>
      <c r="BB442" s="412"/>
      <c r="BC442" s="99">
        <v>1</v>
      </c>
      <c r="BD442" s="76">
        <v>1</v>
      </c>
      <c r="BE442" s="75">
        <f t="shared" si="177"/>
        <v>0</v>
      </c>
    </row>
    <row r="443" spans="1:57" s="1" customFormat="1" ht="23.25" customHeight="1" thickBot="1" x14ac:dyDescent="0.45">
      <c r="A443" s="37" t="str">
        <f t="shared" si="170"/>
        <v>7Н</v>
      </c>
      <c r="B443" s="193"/>
      <c r="C443" s="47"/>
      <c r="D443" s="47"/>
      <c r="E443" s="47"/>
      <c r="F443" s="78"/>
      <c r="G443" s="78"/>
      <c r="H443" s="78"/>
      <c r="I443" s="80"/>
      <c r="J443" s="80"/>
      <c r="K443" s="80"/>
      <c r="L443" s="80"/>
      <c r="M443" s="80"/>
      <c r="N443" s="80"/>
      <c r="O443" s="78"/>
      <c r="P443" s="81"/>
      <c r="Q443" s="81"/>
      <c r="R443" s="81"/>
      <c r="S443" s="81"/>
      <c r="T443" s="81"/>
      <c r="U443" s="82"/>
      <c r="V443" s="82"/>
      <c r="W443" s="86"/>
      <c r="X443" s="194"/>
      <c r="Y443" s="83"/>
      <c r="Z443" s="83"/>
      <c r="AA443" s="78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84"/>
      <c r="AN443" s="47"/>
      <c r="AO443" s="78"/>
      <c r="AP443" s="78"/>
      <c r="AQ443" s="78"/>
      <c r="AR443" s="84"/>
      <c r="AS443" s="78"/>
      <c r="AT443" s="85"/>
      <c r="AU443" s="78"/>
      <c r="AV443" s="83"/>
      <c r="AW443" s="83"/>
      <c r="AX443" s="78"/>
      <c r="AY443" s="78"/>
      <c r="AZ443" s="78"/>
      <c r="BA443" s="78"/>
      <c r="BB443" s="78"/>
      <c r="BC443" s="78"/>
      <c r="BD443" s="79"/>
      <c r="BE443" s="79"/>
    </row>
    <row r="444" spans="1:57" s="1" customFormat="1" ht="21.6" customHeight="1" thickBot="1" x14ac:dyDescent="0.45">
      <c r="A444" s="37" t="s">
        <v>160</v>
      </c>
      <c r="B444" s="59"/>
      <c r="C444" s="51"/>
      <c r="D444" s="51"/>
      <c r="E444" s="51"/>
      <c r="F444" s="158" t="s">
        <v>147</v>
      </c>
      <c r="G444" s="51"/>
      <c r="H444" s="51"/>
      <c r="I444" s="156"/>
      <c r="J444" s="156"/>
      <c r="K444" s="156"/>
      <c r="L444" s="156"/>
      <c r="M444" s="156"/>
      <c r="N444" s="156"/>
      <c r="O444" s="91"/>
      <c r="P444" s="52"/>
      <c r="Q444" s="52"/>
      <c r="R444" s="52"/>
      <c r="S444" s="52"/>
      <c r="T444" s="52"/>
      <c r="U444" s="157"/>
      <c r="V444" s="157"/>
      <c r="W444" s="94"/>
      <c r="X444" s="94"/>
      <c r="Y444" s="51"/>
      <c r="Z444" s="51"/>
      <c r="AA444" s="157">
        <f>AA427</f>
        <v>1</v>
      </c>
      <c r="AB444" s="157">
        <f t="shared" ref="AB444:AF444" si="181">AB427</f>
        <v>2</v>
      </c>
      <c r="AC444" s="157">
        <f t="shared" si="181"/>
        <v>3</v>
      </c>
      <c r="AD444" s="157">
        <f t="shared" si="181"/>
        <v>4</v>
      </c>
      <c r="AE444" s="157">
        <f t="shared" si="181"/>
        <v>5</v>
      </c>
      <c r="AF444" s="157">
        <f t="shared" si="181"/>
        <v>6</v>
      </c>
      <c r="AG444" s="162" t="s">
        <v>123</v>
      </c>
      <c r="AH444" s="162" t="s">
        <v>124</v>
      </c>
      <c r="AI444" s="162" t="s">
        <v>125</v>
      </c>
      <c r="AJ444" s="91" t="s">
        <v>126</v>
      </c>
      <c r="AK444" s="198" t="s">
        <v>136</v>
      </c>
      <c r="AL444" s="198" t="s">
        <v>137</v>
      </c>
      <c r="AM444" s="198" t="s">
        <v>138</v>
      </c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</row>
    <row r="445" spans="1:57" s="1" customFormat="1" ht="21.6" customHeight="1" x14ac:dyDescent="0.4">
      <c r="A445" s="37" t="str">
        <f>A444</f>
        <v>8Д</v>
      </c>
      <c r="B445" s="12">
        <f>B426+1</f>
        <v>46030</v>
      </c>
      <c r="C445" s="97"/>
      <c r="D445" s="97">
        <v>1</v>
      </c>
      <c r="E445" s="29"/>
      <c r="F445" s="151" t="str">
        <f>IFERROR(VLOOKUP($G445,нормы!$A$14:$BC$57,2,0),"")</f>
        <v/>
      </c>
      <c r="G445" s="93"/>
      <c r="H445" s="54">
        <f>IF(C445=1,"Кульков С.А.", IF(C445=2,"Чудаков А.А.",IF(C445=3,"Королев В.Н.",IF(C445=4,"Николашин М.П.",IF(C445=5," Кульков С.А.",IF(C445=6,"А.А. Чудаков",IF(C445=7,"В.Н. Королев",IF(C445=8,"М.П. Николашин",0))))))))</f>
        <v>0</v>
      </c>
      <c r="I445" s="88" t="s">
        <v>84</v>
      </c>
      <c r="J445" s="332"/>
      <c r="K445" s="30">
        <f>IFERROR(VLOOKUP($G445,[1]нормы!$A$21:$BC$151,15,0),"")</f>
        <v>0</v>
      </c>
      <c r="L445" s="31">
        <f>IFERROR(VLOOKUP($G445,[1]нормы!$A$21:$BC$151,17,0),"")</f>
        <v>0</v>
      </c>
      <c r="M445" s="310">
        <f>IFERROR(VLOOKUP($G445,[1]нормы!$A$21:$BC$151,27,0),"")</f>
        <v>0</v>
      </c>
      <c r="N445" s="311" t="str">
        <f>IFERROR(Y445/Y451*(1.1*J445*I450),"")</f>
        <v/>
      </c>
      <c r="O445" s="300">
        <f>IFERROR(VLOOKUP($G445,[1]нормы!$A$21:$BC$151,21,0),"")</f>
        <v>0</v>
      </c>
      <c r="P445" s="35">
        <f>IFERROR(VLOOKUP($G445,[1]нормы!$A$21:$BC$151,19,0),"")</f>
        <v>0</v>
      </c>
      <c r="Q445" s="35">
        <f>IFERROR(VLOOKUP($G445,[1]нормы!$A$21:$BC$151,23,0),"")</f>
        <v>0</v>
      </c>
      <c r="R445" s="231">
        <f>IFERROR(VLOOKUP($G445,[1]нормы!$A$21:$BC$151,29,0),"")</f>
        <v>0</v>
      </c>
      <c r="S445" s="35">
        <f>IFERROR(VLOOKUP($G445,[1]нормы!$A$21:$BC$151,31,0),"")</f>
        <v>0</v>
      </c>
      <c r="T445" s="32">
        <f>IFERROR(VLOOKUP($G445,[1]нормы!$A$21:$BC$151,25,0),"")</f>
        <v>0</v>
      </c>
      <c r="U445" s="232" t="str">
        <f>IFERROR(W445/(((100*Y445/Y451)*I450)/100),"")</f>
        <v/>
      </c>
      <c r="V445" s="234" t="str">
        <f>IFERROR(VLOOKUP($G445,нормы!$A$14:$BC$57,38,0),"")</f>
        <v/>
      </c>
      <c r="W445" s="136"/>
      <c r="X445" s="236"/>
      <c r="Y445" s="152" t="str">
        <f>IFERROR(VLOOKUP($G445,нормы!$A$14:$BC$57,42,0)*W445,"")</f>
        <v/>
      </c>
      <c r="Z445" s="163">
        <f>IFERROR(VLOOKUP($G445,нормы!$A$14:$BC$57,14,0)*W445/1000,0)</f>
        <v>0</v>
      </c>
      <c r="AA445" s="33"/>
      <c r="AB445" s="36"/>
      <c r="AC445" s="36"/>
      <c r="AD445" s="36"/>
      <c r="AE445" s="34"/>
      <c r="AF445" s="159"/>
      <c r="AG445" s="390"/>
      <c r="AH445" s="393"/>
      <c r="AI445" s="396"/>
      <c r="AJ445" s="407">
        <f>AG445+AH445</f>
        <v>0</v>
      </c>
      <c r="AK445" s="359"/>
      <c r="AL445" s="359"/>
      <c r="AM445" s="359"/>
      <c r="AN445" s="287">
        <f>IFERROR(Y445*AJ445/Y451,)</f>
        <v>0</v>
      </c>
      <c r="AO445" s="197" t="str">
        <f>IFERROR(VLOOKUP($G445,нормы!$A$14:$BC$57,53,0)*$W445,"")</f>
        <v/>
      </c>
      <c r="AP445" s="288">
        <f>IFERROR(Y445*AI445/Y451,)</f>
        <v>0</v>
      </c>
      <c r="AQ445" s="197" t="str">
        <f>IFERROR(VLOOKUP($G445,нормы!$A$14:$BC$57,54,0)*$W445,"")</f>
        <v/>
      </c>
      <c r="AR445" s="288">
        <f>IFERROR(AS445/SUM(AS445:AS450)*AL445,0)</f>
        <v>0</v>
      </c>
      <c r="AS445" s="197" t="str">
        <f>IFERROR(VLOOKUP($G445,нормы!$A$14:$BC$57,55,0)*W445,"")</f>
        <v/>
      </c>
      <c r="AT445" s="288">
        <f>IFERROR(AU445/SUM(AU445:AU450)*AM445,0)</f>
        <v>0</v>
      </c>
      <c r="AU445" s="197" t="str">
        <f>IFERROR(VLOOKUP($G445,нормы!$A$14:$BI$57,56,0)*W445,"")</f>
        <v/>
      </c>
      <c r="AV445" s="288">
        <f>IFERROR(AW445/SUM(AW445:AW450)*AK445,0)</f>
        <v>0</v>
      </c>
      <c r="AW445" s="202" t="str">
        <f>IFERROR(VLOOKUP($G445,нормы!$A$14:$BI$57,57,0)*W445,"")</f>
        <v/>
      </c>
      <c r="AX445" s="33"/>
      <c r="AY445" s="203" t="str">
        <f>IFERROR(VLOOKUP($G445,нормы!$A$14:$BI$57,58,0)*W445,"")</f>
        <v/>
      </c>
      <c r="AZ445" s="204"/>
      <c r="BA445" s="200" t="str">
        <f>IFERROR(VLOOKUP($G445,нормы!$A$14:$BI$57,61,0)*$W445,"")</f>
        <v/>
      </c>
      <c r="BB445" s="33"/>
      <c r="BC445" s="203" t="str">
        <f>IFERROR(VLOOKUP($G445,нормы!$A$14:$BI$57,60,0)*W445,"")</f>
        <v/>
      </c>
      <c r="BD445" s="200" t="str">
        <f>IFERROR(VLOOKUP($G445,нормы!$A$14:$BG$57,44,0),"")</f>
        <v/>
      </c>
      <c r="BE445" s="199" t="str">
        <f>IFERROR(W445/VLOOKUP($G445,нормы!$A$14:$BI$57,45,0),"")</f>
        <v/>
      </c>
    </row>
    <row r="446" spans="1:57" s="1" customFormat="1" ht="21.6" customHeight="1" x14ac:dyDescent="0.4">
      <c r="A446" s="37" t="str">
        <f t="shared" ref="A446:A474" si="182">A445</f>
        <v>8Д</v>
      </c>
      <c r="B446" s="12">
        <f t="shared" ref="B446:D450" si="183">B445</f>
        <v>46030</v>
      </c>
      <c r="C446" s="97">
        <f t="shared" si="183"/>
        <v>0</v>
      </c>
      <c r="D446" s="97">
        <f t="shared" si="183"/>
        <v>1</v>
      </c>
      <c r="E446" s="54"/>
      <c r="F446" s="151" t="str">
        <f>IFERROR(VLOOKUP($G446,нормы!$A$14:$BC$57,2,0),"")</f>
        <v/>
      </c>
      <c r="G446" s="93"/>
      <c r="H446" s="54">
        <f t="shared" ref="H446:H450" si="184">IF(C446=1,"Кульков С.А.", IF(C446=2,"Чудаков А.А.",IF(C446=3,"Королев В.Н.",IF(C446=4,"Николашин М.П.",IF(C446=5," Кульков С.А.",IF(C446=6,"А.А. Чудаков",IF(C446=7,"В.Н. Королев",IF(C446=8,"М.П. Николашин",0))))))))</f>
        <v>0</v>
      </c>
      <c r="I446" s="55"/>
      <c r="J446" s="333"/>
      <c r="K446" s="30">
        <f>IFERROR(VLOOKUP($G446,[1]нормы!$A$21:$BC$151,15,0),"")</f>
        <v>0</v>
      </c>
      <c r="L446" s="31">
        <f>IFERROR(VLOOKUP($G446,[1]нормы!$A$21:$BC$151,17,0),"")</f>
        <v>0</v>
      </c>
      <c r="M446" s="306">
        <f>IFERROR(VLOOKUP($G446,[1]нормы!$A$21:$BC$151,27,0),"")</f>
        <v>0</v>
      </c>
      <c r="N446" s="307" t="str">
        <f>IFERROR(Y446/Y451*(1.1*J445*I450),"")</f>
        <v/>
      </c>
      <c r="O446" s="300">
        <f>IFERROR(VLOOKUP($G446,[1]нормы!$A$21:$BC$151,21,0),"")</f>
        <v>0</v>
      </c>
      <c r="P446" s="35">
        <f>IFERROR(VLOOKUP($G446,[1]нормы!$A$21:$BC$151,19,0),"")</f>
        <v>0</v>
      </c>
      <c r="Q446" s="35">
        <f>IFERROR(VLOOKUP($G446,[1]нормы!$A$21:$BC$151,23,0),"")</f>
        <v>0</v>
      </c>
      <c r="R446" s="231">
        <f>IFERROR(VLOOKUP($G446,[1]нормы!$A$21:$BC$151,29,0),"")</f>
        <v>0</v>
      </c>
      <c r="S446" s="35">
        <f>IFERROR(VLOOKUP($G446,[1]нормы!$A$21:$BC$151,31,0),"")</f>
        <v>0</v>
      </c>
      <c r="T446" s="32">
        <f>IFERROR(VLOOKUP($G446,[1]нормы!$A$21:$BC$151,25,0),"")</f>
        <v>0</v>
      </c>
      <c r="U446" s="233" t="str">
        <f>IFERROR(W446/(((100*Y446/Y451)*I450)/100),"")</f>
        <v/>
      </c>
      <c r="V446" s="234" t="str">
        <f>IFERROR(VLOOKUP($G446,нормы!$A$14:$BC$57,38,0),"")</f>
        <v/>
      </c>
      <c r="W446" s="136"/>
      <c r="X446" s="237"/>
      <c r="Y446" s="152" t="str">
        <f>IFERROR(VLOOKUP($G446,нормы!$A$14:$BC$57,42,0)*W446,"")</f>
        <v/>
      </c>
      <c r="Z446" s="163">
        <f>IFERROR(VLOOKUP($G446,нормы!$A$14:$BC$57,14,0)*W446/1000,0)</f>
        <v>0</v>
      </c>
      <c r="AA446" s="142"/>
      <c r="AB446" s="35"/>
      <c r="AC446" s="35"/>
      <c r="AD446" s="35"/>
      <c r="AE446" s="31"/>
      <c r="AF446" s="160"/>
      <c r="AG446" s="391"/>
      <c r="AH446" s="394"/>
      <c r="AI446" s="397"/>
      <c r="AJ446" s="408"/>
      <c r="AK446" s="360"/>
      <c r="AL446" s="360"/>
      <c r="AM446" s="360"/>
      <c r="AN446" s="289">
        <f>IFERROR(Y446*AJ445/Y451,)</f>
        <v>0</v>
      </c>
      <c r="AO446" s="197" t="str">
        <f>IFERROR(VLOOKUP($G446,нормы!$A$14:$BC$57,53,0)*$W446,"")</f>
        <v/>
      </c>
      <c r="AP446" s="290">
        <f>IFERROR(Y446*AI445/Y451,)</f>
        <v>0</v>
      </c>
      <c r="AQ446" s="197" t="str">
        <f>IFERROR(VLOOKUP($G446,нормы!$A$14:$BC$57,54,0)*$W446,"")</f>
        <v/>
      </c>
      <c r="AR446" s="290">
        <f>IFERROR(AS446/SUM(AS445:AS450)*AL445,0)</f>
        <v>0</v>
      </c>
      <c r="AS446" s="197" t="str">
        <f>IFERROR(VLOOKUP($G446,нормы!$A$14:$BC$57,55,0)*W446,"")</f>
        <v/>
      </c>
      <c r="AT446" s="290">
        <f>IFERROR(AU446/SUM(AU445:AU450)*AM445,0)</f>
        <v>0</v>
      </c>
      <c r="AU446" s="197" t="str">
        <f>IFERROR(VLOOKUP($G446,нормы!$A$14:$BI$57,56,0)*W446,"")</f>
        <v/>
      </c>
      <c r="AV446" s="290">
        <f>IFERROR(AW446/SUM(AW445:AW450)*AK445,0)</f>
        <v>0</v>
      </c>
      <c r="AW446" s="202" t="str">
        <f>IFERROR(VLOOKUP($G446,нормы!$A$14:$BI$57,57,0)*W446,"")</f>
        <v/>
      </c>
      <c r="AX446" s="30"/>
      <c r="AY446" s="203" t="str">
        <f>IFERROR(VLOOKUP($G446,нормы!$A$14:$BI$57,58,0)*W446,"")</f>
        <v/>
      </c>
      <c r="AZ446" s="205"/>
      <c r="BA446" s="200" t="str">
        <f>IFERROR(VLOOKUP($G446,нормы!$A$14:$BI$57,61,0)*$W446,"")</f>
        <v/>
      </c>
      <c r="BB446" s="30"/>
      <c r="BC446" s="203" t="str">
        <f>IFERROR(VLOOKUP($G446,нормы!$A$14:$BI$57,60,0)*W446,"")</f>
        <v/>
      </c>
      <c r="BD446" s="200" t="str">
        <f>IFERROR(VLOOKUP($G446,нормы!$A$14:$BG$57,44,0),"")</f>
        <v/>
      </c>
      <c r="BE446" s="199" t="str">
        <f>IFERROR(W446/VLOOKUP($G446,нормы!$A$14:$BI$57,45,0),"")</f>
        <v/>
      </c>
    </row>
    <row r="447" spans="1:57" s="1" customFormat="1" ht="20.25" customHeight="1" x14ac:dyDescent="0.4">
      <c r="A447" s="37" t="str">
        <f t="shared" si="182"/>
        <v>8Д</v>
      </c>
      <c r="B447" s="12">
        <f t="shared" si="183"/>
        <v>46030</v>
      </c>
      <c r="C447" s="97">
        <f t="shared" si="183"/>
        <v>0</v>
      </c>
      <c r="D447" s="97">
        <f t="shared" si="183"/>
        <v>1</v>
      </c>
      <c r="E447" s="54"/>
      <c r="F447" s="151" t="str">
        <f>IFERROR(VLOOKUP($G447,нормы!$A$14:$BC$57,2,0),"")</f>
        <v/>
      </c>
      <c r="G447" s="38"/>
      <c r="H447" s="54">
        <f t="shared" si="184"/>
        <v>0</v>
      </c>
      <c r="I447" s="89" t="s">
        <v>85</v>
      </c>
      <c r="J447" s="333"/>
      <c r="K447" s="30">
        <f>IFERROR(VLOOKUP($G447,[1]нормы!$A$21:$BC$151,15,0),"")</f>
        <v>0</v>
      </c>
      <c r="L447" s="31">
        <f>IFERROR(VLOOKUP($G447,[1]нормы!$A$21:$BC$151,17,0),"")</f>
        <v>0</v>
      </c>
      <c r="M447" s="306">
        <f>IFERROR(VLOOKUP($G447,[1]нормы!$A$21:$BC$151,27,0),"")</f>
        <v>0</v>
      </c>
      <c r="N447" s="307" t="str">
        <f>IFERROR(Y447/Y451*(1.1*J445*I450),"")</f>
        <v/>
      </c>
      <c r="O447" s="300">
        <f>IFERROR(VLOOKUP($G447,[1]нормы!$A$21:$BC$151,21,0),"")</f>
        <v>0</v>
      </c>
      <c r="P447" s="35">
        <f>IFERROR(VLOOKUP($G447,[1]нормы!$A$21:$BC$151,19,0),"")</f>
        <v>0</v>
      </c>
      <c r="Q447" s="35">
        <f>IFERROR(VLOOKUP($G447,[1]нормы!$A$21:$BC$151,23,0),"")</f>
        <v>0</v>
      </c>
      <c r="R447" s="231">
        <f>IFERROR(VLOOKUP($G447,[1]нормы!$A$21:$BC$151,29,0),"")</f>
        <v>0</v>
      </c>
      <c r="S447" s="35">
        <f>IFERROR(VLOOKUP($G447,[1]нормы!$A$21:$BC$151,31,0),"")</f>
        <v>0</v>
      </c>
      <c r="T447" s="32">
        <f>IFERROR(VLOOKUP($G447,[1]нормы!$A$21:$BC$151,25,0),"")</f>
        <v>0</v>
      </c>
      <c r="U447" s="233" t="str">
        <f>IFERROR(W447/(((100*Y447/Y451)*I450)/100),"")</f>
        <v/>
      </c>
      <c r="V447" s="234" t="str">
        <f>IFERROR(VLOOKUP($G447,нормы!$A$14:$BC$57,38,0),"")</f>
        <v/>
      </c>
      <c r="W447" s="136"/>
      <c r="X447" s="237"/>
      <c r="Y447" s="152" t="str">
        <f>IFERROR(VLOOKUP($G447,нормы!$A$14:$BC$57,42,0)*W447,"")</f>
        <v/>
      </c>
      <c r="Z447" s="163">
        <f>IFERROR(VLOOKUP($G447,нормы!$A$14:$BC$57,14,0)*W447/1000,0)</f>
        <v>0</v>
      </c>
      <c r="AA447" s="30"/>
      <c r="AB447" s="35"/>
      <c r="AC447" s="35"/>
      <c r="AD447" s="35"/>
      <c r="AE447" s="31"/>
      <c r="AF447" s="160"/>
      <c r="AG447" s="391"/>
      <c r="AH447" s="394"/>
      <c r="AI447" s="397"/>
      <c r="AJ447" s="408"/>
      <c r="AK447" s="360"/>
      <c r="AL447" s="360"/>
      <c r="AM447" s="360"/>
      <c r="AN447" s="289">
        <f>IFERROR(Y447*AJ445/Y451,)</f>
        <v>0</v>
      </c>
      <c r="AO447" s="197" t="str">
        <f>IFERROR(VLOOKUP($G447,нормы!$A$14:$BC$57,53,0)*$W447,"")</f>
        <v/>
      </c>
      <c r="AP447" s="290">
        <f>IFERROR(Y447*AI445/Y451,)</f>
        <v>0</v>
      </c>
      <c r="AQ447" s="197" t="str">
        <f>IFERROR(VLOOKUP($G447,нормы!$A$14:$BC$57,54,0)*$W447,"")</f>
        <v/>
      </c>
      <c r="AR447" s="290">
        <f>IFERROR(AS447/SUM(AS445:AS450)*AL445,0)</f>
        <v>0</v>
      </c>
      <c r="AS447" s="197" t="str">
        <f>IFERROR(VLOOKUP($G447,нормы!$A$14:$BC$57,55,0)*W447,"")</f>
        <v/>
      </c>
      <c r="AT447" s="290">
        <f>IFERROR(AU447/SUM(AU445:AU450)*AM445,0)</f>
        <v>0</v>
      </c>
      <c r="AU447" s="197" t="str">
        <f>IFERROR(VLOOKUP($G447,нормы!$A$14:$BI$57,56,0)*W447,"")</f>
        <v/>
      </c>
      <c r="AV447" s="290">
        <f>IFERROR(AW447/SUM(AW445:AW450)*AK445,0)</f>
        <v>0</v>
      </c>
      <c r="AW447" s="202" t="str">
        <f>IFERROR(VLOOKUP($G447,нормы!$A$14:$BI$57,57,0)*W447,"")</f>
        <v/>
      </c>
      <c r="AX447" s="30"/>
      <c r="AY447" s="203" t="str">
        <f>IFERROR(VLOOKUP($G447,нормы!$A$14:$BI$57,58,0)*W447,"")</f>
        <v/>
      </c>
      <c r="AZ447" s="205"/>
      <c r="BA447" s="200" t="str">
        <f>IFERROR(VLOOKUP($G447,нормы!$A$14:$BI$57,61,0)*$W447,"")</f>
        <v/>
      </c>
      <c r="BB447" s="30"/>
      <c r="BC447" s="203" t="str">
        <f>IFERROR(VLOOKUP($G447,нормы!$A$14:$BI$57,60,0)*W447,"")</f>
        <v/>
      </c>
      <c r="BD447" s="200" t="str">
        <f>IFERROR(VLOOKUP($G447,нормы!$A$14:$BG$57,44,0),"")</f>
        <v/>
      </c>
      <c r="BE447" s="199" t="str">
        <f>IFERROR(W447/VLOOKUP($G447,нормы!$A$14:$BI$57,45,0),"")</f>
        <v/>
      </c>
    </row>
    <row r="448" spans="1:57" s="1" customFormat="1" ht="20.25" customHeight="1" x14ac:dyDescent="0.4">
      <c r="A448" s="37" t="str">
        <f t="shared" si="182"/>
        <v>8Д</v>
      </c>
      <c r="B448" s="12">
        <f t="shared" si="183"/>
        <v>46030</v>
      </c>
      <c r="C448" s="97">
        <f t="shared" si="183"/>
        <v>0</v>
      </c>
      <c r="D448" s="97">
        <f t="shared" si="183"/>
        <v>1</v>
      </c>
      <c r="E448" s="54"/>
      <c r="F448" s="151" t="str">
        <f>IFERROR(VLOOKUP($G448,нормы!$A$14:$BC$57,2,0),"")</f>
        <v/>
      </c>
      <c r="G448" s="93"/>
      <c r="H448" s="54">
        <f t="shared" si="184"/>
        <v>0</v>
      </c>
      <c r="I448" s="55"/>
      <c r="J448" s="333"/>
      <c r="K448" s="30">
        <f>IFERROR(VLOOKUP($G448,[1]нормы!$A$21:$BC$151,15,0),"")</f>
        <v>0</v>
      </c>
      <c r="L448" s="31">
        <f>IFERROR(VLOOKUP($G448,[1]нормы!$A$21:$BC$151,17,0),"")</f>
        <v>0</v>
      </c>
      <c r="M448" s="306">
        <f>IFERROR(VLOOKUP($G448,[1]нормы!$A$21:$BC$151,27,0),"")</f>
        <v>0</v>
      </c>
      <c r="N448" s="307" t="str">
        <f>IFERROR(Y448/Y451*(1.1*J445*I453),"")</f>
        <v/>
      </c>
      <c r="O448" s="300">
        <f>IFERROR(VLOOKUP($G448,[1]нормы!$A$21:$BC$151,21,0),"")</f>
        <v>0</v>
      </c>
      <c r="P448" s="35">
        <f>IFERROR(VLOOKUP($G448,[1]нормы!$A$21:$BC$151,19,0),"")</f>
        <v>0</v>
      </c>
      <c r="Q448" s="35">
        <f>IFERROR(VLOOKUP($G448,[1]нормы!$A$21:$BC$151,23,0),"")</f>
        <v>0</v>
      </c>
      <c r="R448" s="231">
        <f>IFERROR(VLOOKUP($G448,[1]нормы!$A$21:$BC$151,29,0),"")</f>
        <v>0</v>
      </c>
      <c r="S448" s="35">
        <f>IFERROR(VLOOKUP($G448,[1]нормы!$A$21:$BC$151,31,0),"")</f>
        <v>0</v>
      </c>
      <c r="T448" s="32">
        <f>IFERROR(VLOOKUP($G448,[1]нормы!$A$21:$BC$151,25,0),"")</f>
        <v>0</v>
      </c>
      <c r="U448" s="233" t="str">
        <f>IFERROR(W448/(((100*Y448/Y451)*I450)/100),"")</f>
        <v/>
      </c>
      <c r="V448" s="234" t="str">
        <f>IFERROR(VLOOKUP($G448,нормы!$A$14:$BC$57,38,0),"")</f>
        <v/>
      </c>
      <c r="W448" s="136"/>
      <c r="X448" s="237"/>
      <c r="Y448" s="152" t="str">
        <f>IFERROR(VLOOKUP($G448,нормы!$A$14:$BC$57,42,0)*W448,"")</f>
        <v/>
      </c>
      <c r="Z448" s="163">
        <f>IFERROR(VLOOKUP($G448,нормы!$A$14:$BC$57,14,0)*W448/1000,0)</f>
        <v>0</v>
      </c>
      <c r="AA448" s="30"/>
      <c r="AB448" s="35"/>
      <c r="AC448" s="35"/>
      <c r="AD448" s="35"/>
      <c r="AE448" s="31"/>
      <c r="AF448" s="160"/>
      <c r="AG448" s="391"/>
      <c r="AH448" s="394"/>
      <c r="AI448" s="397"/>
      <c r="AJ448" s="408"/>
      <c r="AK448" s="360"/>
      <c r="AL448" s="360"/>
      <c r="AM448" s="360"/>
      <c r="AN448" s="289">
        <f>IFERROR(Y448*AJ445/Y451,)</f>
        <v>0</v>
      </c>
      <c r="AO448" s="197" t="str">
        <f>IFERROR(VLOOKUP($G448,нормы!$A$14:$BC$57,53,0)*$W448,"")</f>
        <v/>
      </c>
      <c r="AP448" s="290">
        <f>IFERROR(Y448*AI445/Y451,)</f>
        <v>0</v>
      </c>
      <c r="AQ448" s="197" t="str">
        <f>IFERROR(VLOOKUP($G448,нормы!$A$14:$BC$57,54,0)*$W448,"")</f>
        <v/>
      </c>
      <c r="AR448" s="290">
        <f>IFERROR(AS448/SUM(AS445:AS450)*AL445,0)</f>
        <v>0</v>
      </c>
      <c r="AS448" s="197" t="str">
        <f>IFERROR(VLOOKUP($G448,нормы!$A$14:$BC$57,55,0)*W448,"")</f>
        <v/>
      </c>
      <c r="AT448" s="290">
        <f>IFERROR(AU448/SUM(AU445:AU450)*AM445,0)</f>
        <v>0</v>
      </c>
      <c r="AU448" s="197" t="str">
        <f>IFERROR(VLOOKUP($G448,нормы!$A$14:$BI$57,56,0)*W448,"")</f>
        <v/>
      </c>
      <c r="AV448" s="290">
        <f>IFERROR(AW448/SUM(AW445:AW450)*AK445,0)</f>
        <v>0</v>
      </c>
      <c r="AW448" s="202" t="str">
        <f>IFERROR(VLOOKUP($G448,нормы!$A$14:$BI$57,57,0)*W448,"")</f>
        <v/>
      </c>
      <c r="AX448" s="30"/>
      <c r="AY448" s="203" t="str">
        <f>IFERROR(VLOOKUP($G448,нормы!$A$14:$BI$57,58,0)*W448,"")</f>
        <v/>
      </c>
      <c r="AZ448" s="205"/>
      <c r="BA448" s="200" t="str">
        <f>IFERROR(VLOOKUP($G448,нормы!$A$14:$BI$57,61,0)*$W448,"")</f>
        <v/>
      </c>
      <c r="BB448" s="30"/>
      <c r="BC448" s="203" t="str">
        <f>IFERROR(VLOOKUP($G448,нормы!$A$14:$BI$57,60,0)*W448,"")</f>
        <v/>
      </c>
      <c r="BD448" s="200" t="str">
        <f>IFERROR(VLOOKUP($G448,нормы!$A$14:$BG$57,44,0),"")</f>
        <v/>
      </c>
      <c r="BE448" s="199" t="str">
        <f>IFERROR(W448/VLOOKUP($G448,нормы!$A$14:$BI$57,45,0),"")</f>
        <v/>
      </c>
    </row>
    <row r="449" spans="1:57" s="1" customFormat="1" ht="20.25" customHeight="1" x14ac:dyDescent="0.4">
      <c r="A449" s="37" t="str">
        <f t="shared" si="182"/>
        <v>8Д</v>
      </c>
      <c r="B449" s="12">
        <f t="shared" si="183"/>
        <v>46030</v>
      </c>
      <c r="C449" s="97">
        <f t="shared" si="183"/>
        <v>0</v>
      </c>
      <c r="D449" s="97">
        <f t="shared" si="183"/>
        <v>1</v>
      </c>
      <c r="E449" s="54"/>
      <c r="F449" s="151" t="str">
        <f>IFERROR(VLOOKUP($G449,нормы!$A$14:$BC$57,2,0),"")</f>
        <v/>
      </c>
      <c r="G449" s="38"/>
      <c r="H449" s="54">
        <f t="shared" si="184"/>
        <v>0</v>
      </c>
      <c r="I449" s="89" t="s">
        <v>73</v>
      </c>
      <c r="J449" s="333"/>
      <c r="K449" s="30">
        <f>IFERROR(VLOOKUP($G449,[1]нормы!$A$21:$BC$151,15,0),"")</f>
        <v>0</v>
      </c>
      <c r="L449" s="31">
        <f>IFERROR(VLOOKUP($G449,[1]нормы!$A$21:$BC$151,17,0),"")</f>
        <v>0</v>
      </c>
      <c r="M449" s="306">
        <f>IFERROR(VLOOKUP($G449,[1]нормы!$A$21:$BC$151,27,0),"")</f>
        <v>0</v>
      </c>
      <c r="N449" s="307" t="str">
        <f>IFERROR(Y449/Y451*(1.1*J445*I454),"")</f>
        <v/>
      </c>
      <c r="O449" s="300">
        <f>IFERROR(VLOOKUP($G449,[1]нормы!$A$21:$BC$151,21,0),"")</f>
        <v>0</v>
      </c>
      <c r="P449" s="35">
        <f>IFERROR(VLOOKUP($G449,[1]нормы!$A$21:$BC$151,19,0),"")</f>
        <v>0</v>
      </c>
      <c r="Q449" s="35">
        <f>IFERROR(VLOOKUP($G449,[1]нормы!$A$21:$BC$151,23,0),"")</f>
        <v>0</v>
      </c>
      <c r="R449" s="231">
        <f>IFERROR(VLOOKUP($G449,[1]нормы!$A$21:$BC$151,29,0),"")</f>
        <v>0</v>
      </c>
      <c r="S449" s="35">
        <f>IFERROR(VLOOKUP($G449,[1]нормы!$A$21:$BC$151,31,0),"")</f>
        <v>0</v>
      </c>
      <c r="T449" s="32">
        <f>IFERROR(VLOOKUP($G449,[1]нормы!$A$21:$BC$151,25,0),"")</f>
        <v>0</v>
      </c>
      <c r="U449" s="233" t="str">
        <f>IFERROR(W449/(((100*Y449/Y451)*I450)/100),"")</f>
        <v/>
      </c>
      <c r="V449" s="234" t="str">
        <f>IFERROR(VLOOKUP($G449,нормы!$A$14:$BC$57,38,0),"")</f>
        <v/>
      </c>
      <c r="W449" s="136"/>
      <c r="X449" s="237"/>
      <c r="Y449" s="152" t="str">
        <f>IFERROR(VLOOKUP($G449,нормы!$A$14:$BC$57,42,0)*W449,"")</f>
        <v/>
      </c>
      <c r="Z449" s="163">
        <f>IFERROR(VLOOKUP($G449,нормы!$A$14:$BC$57,14,0)*W449/1000,0)</f>
        <v>0</v>
      </c>
      <c r="AA449" s="30"/>
      <c r="AB449" s="35"/>
      <c r="AC449" s="35"/>
      <c r="AD449" s="35"/>
      <c r="AE449" s="31"/>
      <c r="AF449" s="160"/>
      <c r="AG449" s="391"/>
      <c r="AH449" s="394"/>
      <c r="AI449" s="397"/>
      <c r="AJ449" s="408"/>
      <c r="AK449" s="360"/>
      <c r="AL449" s="360"/>
      <c r="AM449" s="360"/>
      <c r="AN449" s="289">
        <f>IFERROR(Y449*AJ445/Y451,)</f>
        <v>0</v>
      </c>
      <c r="AO449" s="197" t="str">
        <f>IFERROR(VLOOKUP($G449,нормы!$A$14:$BC$57,53,0)*$W449,"")</f>
        <v/>
      </c>
      <c r="AP449" s="290">
        <f>IFERROR(Y449*AI445/Y451,)</f>
        <v>0</v>
      </c>
      <c r="AQ449" s="197" t="str">
        <f>IFERROR(VLOOKUP($G449,нормы!$A$14:$BC$57,54,0)*$W449,"")</f>
        <v/>
      </c>
      <c r="AR449" s="290">
        <f>IFERROR(AS449/SUM(AS445:AS450)*AL445,0)</f>
        <v>0</v>
      </c>
      <c r="AS449" s="197" t="str">
        <f>IFERROR(VLOOKUP($G449,нормы!$A$14:$BC$57,55,0)*W449,"")</f>
        <v/>
      </c>
      <c r="AT449" s="290">
        <f>IFERROR(AU449/SUM(AU445:AU450)*AM445,0)</f>
        <v>0</v>
      </c>
      <c r="AU449" s="197" t="str">
        <f>IFERROR(VLOOKUP($G449,нормы!$A$14:$BI$57,56,0)*W449,"")</f>
        <v/>
      </c>
      <c r="AV449" s="290">
        <f>IFERROR(AW449/SUM(AW445:AW450)*AK445,0)</f>
        <v>0</v>
      </c>
      <c r="AW449" s="202" t="str">
        <f>IFERROR(VLOOKUP($G449,нормы!$A$14:$BI$57,57,0)*W449,"")</f>
        <v/>
      </c>
      <c r="AX449" s="30"/>
      <c r="AY449" s="203" t="str">
        <f>IFERROR(VLOOKUP($G449,нормы!$A$14:$BI$57,58,0)*W449,"")</f>
        <v/>
      </c>
      <c r="AZ449" s="205"/>
      <c r="BA449" s="200" t="str">
        <f>IFERROR(VLOOKUP($G449,нормы!$A$14:$BI$57,61,0)*$W449,"")</f>
        <v/>
      </c>
      <c r="BB449" s="30"/>
      <c r="BC449" s="203" t="str">
        <f>IFERROR(VLOOKUP($G449,нормы!$A$14:$BI$57,60,0)*W449,"")</f>
        <v/>
      </c>
      <c r="BD449" s="200" t="str">
        <f>IFERROR(VLOOKUP($G449,нормы!$A$14:$BG$57,44,0),"")</f>
        <v/>
      </c>
      <c r="BE449" s="199" t="str">
        <f>IFERROR(W449/VLOOKUP($G449,нормы!$A$14:$BI$57,45,0),"")</f>
        <v/>
      </c>
    </row>
    <row r="450" spans="1:57" s="1" customFormat="1" ht="21" customHeight="1" thickBot="1" x14ac:dyDescent="0.45">
      <c r="A450" s="37" t="str">
        <f t="shared" si="182"/>
        <v>8Д</v>
      </c>
      <c r="B450" s="12">
        <f t="shared" si="183"/>
        <v>46030</v>
      </c>
      <c r="C450" s="97">
        <f t="shared" si="183"/>
        <v>0</v>
      </c>
      <c r="D450" s="97">
        <f t="shared" si="183"/>
        <v>1</v>
      </c>
      <c r="E450" s="54"/>
      <c r="F450" s="151" t="str">
        <f>IFERROR(VLOOKUP($G450,нормы!$A$14:$BC$57,2,0),"")</f>
        <v/>
      </c>
      <c r="G450" s="93"/>
      <c r="H450" s="63">
        <f t="shared" si="184"/>
        <v>0</v>
      </c>
      <c r="I450" s="153">
        <f>I446+I448</f>
        <v>0</v>
      </c>
      <c r="J450" s="334"/>
      <c r="K450" s="30">
        <f>IFERROR(VLOOKUP($G450,[1]нормы!$A$21:$BC$151,15,0),"")</f>
        <v>0</v>
      </c>
      <c r="L450" s="31">
        <f>IFERROR(VLOOKUP($G450,[1]нормы!$A$21:$BC$151,17,0),"")</f>
        <v>0</v>
      </c>
      <c r="M450" s="308">
        <f>IFERROR(VLOOKUP($G450,[1]нормы!$A$21:$BC$151,27,0),"")</f>
        <v>0</v>
      </c>
      <c r="N450" s="309" t="str">
        <f>IFERROR(Y450/Y451*(1.1*J445*I455),"")</f>
        <v/>
      </c>
      <c r="O450" s="300">
        <f>IFERROR(VLOOKUP($G450,[1]нормы!$A$21:$BC$151,21,0),"")</f>
        <v>0</v>
      </c>
      <c r="P450" s="35">
        <f>IFERROR(VLOOKUP($G450,[1]нормы!$A$21:$BC$151,19,0),"")</f>
        <v>0</v>
      </c>
      <c r="Q450" s="35">
        <f>IFERROR(VLOOKUP($G450,[1]нормы!$A$21:$BC$151,23,0),"")</f>
        <v>0</v>
      </c>
      <c r="R450" s="231">
        <f>IFERROR(VLOOKUP($G450,[1]нормы!$A$21:$BC$151,29,0),"")</f>
        <v>0</v>
      </c>
      <c r="S450" s="35">
        <f>IFERROR(VLOOKUP($G450,[1]нормы!$A$21:$BC$151,31,0),"")</f>
        <v>0</v>
      </c>
      <c r="T450" s="32">
        <f>IFERROR(VLOOKUP($G450,[1]нормы!$A$21:$BC$151,25,0),"")</f>
        <v>0</v>
      </c>
      <c r="U450" s="235" t="str">
        <f>IFERROR(W450/(((100*Y450/Y451)*I450)/100),"")</f>
        <v/>
      </c>
      <c r="V450" s="234" t="str">
        <f>IFERROR(VLOOKUP($G450,нормы!$A$14:$BC$57,38,0),"")</f>
        <v/>
      </c>
      <c r="W450" s="154"/>
      <c r="X450" s="238"/>
      <c r="Y450" s="152" t="str">
        <f>IFERROR(VLOOKUP($G450,нормы!$A$14:$BC$57,42,0)*W450,"")</f>
        <v/>
      </c>
      <c r="Z450" s="163">
        <f>IFERROR(VLOOKUP($G450,нормы!$A$14:$BC$57,14,0)*W450/1000,0)</f>
        <v>0</v>
      </c>
      <c r="AA450" s="56"/>
      <c r="AB450" s="58"/>
      <c r="AC450" s="58"/>
      <c r="AD450" s="58"/>
      <c r="AE450" s="57"/>
      <c r="AF450" s="161"/>
      <c r="AG450" s="392"/>
      <c r="AH450" s="395"/>
      <c r="AI450" s="398"/>
      <c r="AJ450" s="409"/>
      <c r="AK450" s="361"/>
      <c r="AL450" s="361"/>
      <c r="AM450" s="361"/>
      <c r="AN450" s="291">
        <f>IFERROR(Y450*AJ445/Y451,)</f>
        <v>0</v>
      </c>
      <c r="AO450" s="197" t="str">
        <f>IFERROR(VLOOKUP($G450,нормы!$A$14:$BC$57,53,0)*$W450,"")</f>
        <v/>
      </c>
      <c r="AP450" s="292">
        <f>IFERROR(Y450*AI445/Y451,)</f>
        <v>0</v>
      </c>
      <c r="AQ450" s="197" t="str">
        <f>IFERROR(VLOOKUP($G450,нормы!$A$14:$BC$57,54,0)*$W450,"")</f>
        <v/>
      </c>
      <c r="AR450" s="290">
        <f>IFERROR(AS450/SUM(AS445:AS450)*AL445,0)</f>
        <v>0</v>
      </c>
      <c r="AS450" s="197" t="str">
        <f>IFERROR(VLOOKUP($G450,нормы!$A$14:$BC$57,55,0)*W450,"")</f>
        <v/>
      </c>
      <c r="AT450" s="292">
        <f>IFERROR(AU450/SUM(AU445:AU450)*AM445,0)</f>
        <v>0</v>
      </c>
      <c r="AU450" s="197" t="str">
        <f>IFERROR(VLOOKUP($G450,нормы!$A$14:$BI$57,56,0)*W450,"")</f>
        <v/>
      </c>
      <c r="AV450" s="292">
        <f>IFERROR(AW450/SUM(AW445:AW450)*AK445,0)</f>
        <v>0</v>
      </c>
      <c r="AW450" s="202" t="str">
        <f>IFERROR(VLOOKUP($G450,нормы!$A$14:$BI$57,57,0)*W450,"")</f>
        <v/>
      </c>
      <c r="AX450" s="56"/>
      <c r="AY450" s="203" t="str">
        <f>IFERROR(VLOOKUP($G450,нормы!$A$14:$BI$57,58,0)*W450,"")</f>
        <v/>
      </c>
      <c r="AZ450" s="206"/>
      <c r="BA450" s="200" t="str">
        <f>IFERROR(VLOOKUP($G450,нормы!$A$14:$BI$57,61,0)*$W450,"")</f>
        <v/>
      </c>
      <c r="BB450" s="56"/>
      <c r="BC450" s="203" t="str">
        <f>IFERROR(VLOOKUP($G450,нормы!$A$14:$BI$57,60,0)*W450,"")</f>
        <v/>
      </c>
      <c r="BD450" s="200" t="str">
        <f>IFERROR(VLOOKUP($G450,нормы!$A$14:$BG$57,44,0),"")</f>
        <v/>
      </c>
      <c r="BE450" s="199" t="str">
        <f>IFERROR(W450/VLOOKUP($G450,нормы!$A$14:$BI$57,45,0),"")</f>
        <v/>
      </c>
    </row>
    <row r="451" spans="1:57" s="1" customFormat="1" ht="29.4" customHeight="1" thickBot="1" x14ac:dyDescent="0.45">
      <c r="A451" s="37" t="str">
        <f t="shared" si="182"/>
        <v>8Д</v>
      </c>
      <c r="B451" s="59"/>
      <c r="C451" s="51"/>
      <c r="D451" s="51"/>
      <c r="E451" s="51"/>
      <c r="F451" s="295" t="s">
        <v>148</v>
      </c>
      <c r="G451" s="51"/>
      <c r="H451" s="51"/>
      <c r="I451" s="60"/>
      <c r="J451" s="60"/>
      <c r="K451" s="319" t="s">
        <v>213</v>
      </c>
      <c r="L451" s="316"/>
      <c r="M451" s="303" t="s">
        <v>213</v>
      </c>
      <c r="N451" s="317">
        <f>SUM(N445:N450)</f>
        <v>0</v>
      </c>
      <c r="O451" s="304" t="s">
        <v>216</v>
      </c>
      <c r="P451" s="318">
        <f>N451*8.937/1000</f>
        <v>0</v>
      </c>
      <c r="Q451" s="305" t="s">
        <v>215</v>
      </c>
      <c r="R451" s="61"/>
      <c r="S451" s="61"/>
      <c r="T451" s="61"/>
      <c r="U451" s="109"/>
      <c r="V451" s="109"/>
      <c r="W451" s="94"/>
      <c r="X451" s="155"/>
      <c r="Y451" s="96">
        <f>SUM(Y445:Y450)</f>
        <v>0</v>
      </c>
      <c r="Z451" s="164">
        <f>SUM(Z445:Z450)</f>
        <v>0</v>
      </c>
      <c r="AA451" s="62"/>
      <c r="AB451" s="62"/>
      <c r="AC451" s="62"/>
      <c r="AD451" s="62"/>
      <c r="AE451" s="62"/>
      <c r="AF451" s="62"/>
      <c r="AG451" s="162" t="s">
        <v>140</v>
      </c>
      <c r="AH451" s="162" t="s">
        <v>141</v>
      </c>
      <c r="AI451" s="162" t="s">
        <v>142</v>
      </c>
      <c r="AJ451" s="91" t="s">
        <v>126</v>
      </c>
      <c r="AK451" s="198" t="s">
        <v>136</v>
      </c>
      <c r="AL451" s="198" t="s">
        <v>137</v>
      </c>
      <c r="AM451" s="198" t="s">
        <v>138</v>
      </c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53" t="str">
        <f>IFERROR(W451/VLOOKUP($G451,нормы!$A$14:$BI$15,28,0),"")</f>
        <v/>
      </c>
    </row>
    <row r="452" spans="1:57" s="1" customFormat="1" ht="21.6" customHeight="1" x14ac:dyDescent="0.4">
      <c r="A452" s="37" t="str">
        <f t="shared" si="182"/>
        <v>8Д</v>
      </c>
      <c r="B452" s="12">
        <f>B450</f>
        <v>46030</v>
      </c>
      <c r="C452" s="97"/>
      <c r="D452" s="97">
        <v>2</v>
      </c>
      <c r="E452" s="29"/>
      <c r="F452" s="151" t="str">
        <f>IFERROR(VLOOKUP($G452,нормы!$A$14:$BC$57,2,0),"")</f>
        <v/>
      </c>
      <c r="G452" s="93"/>
      <c r="H452" s="54">
        <f>IF(C452=1,"Кульков С.А.", IF(C452=2,"Чудаков А.А.",IF(C452=3,"Королев В.Н.",IF(C452=4,"Николашин М.П.",IF(C452=5," Кульков С.А.",IF(C452=6,"А.А. Чудаков",IF(C452=7,"В.Н. Королев",IF(C452=8,"М.П. Николашин",0))))))))</f>
        <v>0</v>
      </c>
      <c r="I452" s="88" t="s">
        <v>211</v>
      </c>
      <c r="J452" s="332"/>
      <c r="K452" s="30">
        <f>IFERROR(VLOOKUP($G452,[1]нормы!$A$21:$BC$151,15,0),"")</f>
        <v>0</v>
      </c>
      <c r="L452" s="31">
        <f>IFERROR(VLOOKUP($G452,[1]нормы!$A$21:$BC$151,17,0),"")</f>
        <v>0</v>
      </c>
      <c r="M452" s="310">
        <f>IFERROR(VLOOKUP($G452,[1]нормы!$A$21:$BC$151,27,0),"")</f>
        <v>0</v>
      </c>
      <c r="N452" s="311" t="str">
        <f>IFERROR(Y452/Y458*(1.1*J452*I457),"")</f>
        <v/>
      </c>
      <c r="O452" s="300">
        <f>IFERROR(VLOOKUP($G452,[1]нормы!$A$21:$BC$151,21,0),"")</f>
        <v>0</v>
      </c>
      <c r="P452" s="35">
        <f>IFERROR(VLOOKUP($G452,[1]нормы!$A$21:$BC$151,19,0),"")</f>
        <v>0</v>
      </c>
      <c r="Q452" s="35">
        <f>IFERROR(VLOOKUP($G452,[1]нормы!$A$21:$BC$151,23,0),"")</f>
        <v>0</v>
      </c>
      <c r="R452" s="231">
        <f>IFERROR(VLOOKUP($G452,[1]нормы!$A$21:$BC$151,29,0),"")</f>
        <v>0</v>
      </c>
      <c r="S452" s="35">
        <f>IFERROR(VLOOKUP($G452,[1]нормы!$A$21:$BC$151,31,0),"")</f>
        <v>0</v>
      </c>
      <c r="T452" s="32">
        <f>IFERROR(VLOOKUP($G452,[1]нормы!$A$21:$BC$151,25,0),"")</f>
        <v>0</v>
      </c>
      <c r="U452" s="232" t="str">
        <f>IFERROR(W452/(((100*Y452/Y458)*I457)/100),"")</f>
        <v/>
      </c>
      <c r="V452" s="234" t="str">
        <f>IFERROR(VLOOKUP($G452,нормы!$A$14:$BC$57,38,0),"")</f>
        <v/>
      </c>
      <c r="W452" s="136"/>
      <c r="X452" s="236"/>
      <c r="Y452" s="152" t="str">
        <f>IFERROR(VLOOKUP($G452,нормы!$A$14:$BC$57,42,0)*W452,"")</f>
        <v/>
      </c>
      <c r="Z452" s="163">
        <f>IFERROR(VLOOKUP($G452,нормы!$A$14:$BC$57,14,0)*W452/1000,0)</f>
        <v>0</v>
      </c>
      <c r="AA452" s="33"/>
      <c r="AB452" s="36"/>
      <c r="AC452" s="36"/>
      <c r="AD452" s="36"/>
      <c r="AE452" s="34"/>
      <c r="AF452" s="159"/>
      <c r="AG452" s="390"/>
      <c r="AH452" s="393"/>
      <c r="AI452" s="396"/>
      <c r="AJ452" s="407">
        <f>AG452+AH452</f>
        <v>0</v>
      </c>
      <c r="AK452" s="359"/>
      <c r="AL452" s="359"/>
      <c r="AM452" s="359"/>
      <c r="AN452" s="287">
        <f>IFERROR(Y452*AJ452/Y458,)</f>
        <v>0</v>
      </c>
      <c r="AO452" s="197" t="str">
        <f>IFERROR(VLOOKUP($G452,нормы!$A$14:$BC$57,53,0)*$W452,"")</f>
        <v/>
      </c>
      <c r="AP452" s="288">
        <f>IFERROR(Y452*AI452/Y458,)</f>
        <v>0</v>
      </c>
      <c r="AQ452" s="197" t="str">
        <f>IFERROR(VLOOKUP($G452,нормы!$A$14:$BC$57,54,0)*$W452,"")</f>
        <v/>
      </c>
      <c r="AR452" s="288">
        <f>IFERROR(AS452/SUM(AS452:AS457)*AL452,0)</f>
        <v>0</v>
      </c>
      <c r="AS452" s="197" t="str">
        <f>IFERROR(VLOOKUP($G452,нормы!$A$14:$BC$57,55,0)*W452,"")</f>
        <v/>
      </c>
      <c r="AT452" s="288">
        <f>IFERROR(AU452/SUM(AU452:AU457)*AM452,0)</f>
        <v>0</v>
      </c>
      <c r="AU452" s="197" t="str">
        <f>IFERROR(VLOOKUP($G452,нормы!$A$14:$BI$57,56,0)*W452,"")</f>
        <v/>
      </c>
      <c r="AV452" s="288">
        <f>IFERROR(AW452/SUM(AW452:AW457)*AK452,0)</f>
        <v>0</v>
      </c>
      <c r="AW452" s="202" t="str">
        <f>IFERROR(VLOOKUP($G452,нормы!$A$14:$BI$57,57,0)*W452,"")</f>
        <v/>
      </c>
      <c r="AX452" s="33"/>
      <c r="AY452" s="203" t="str">
        <f>IFERROR(VLOOKUP($G452,нормы!$A$14:$BI$57,58,0)*W452,"")</f>
        <v/>
      </c>
      <c r="AZ452" s="204"/>
      <c r="BA452" s="200" t="str">
        <f>IFERROR(VLOOKUP($G452,нормы!$A$14:$BI$57,61,0)*$W452,"")</f>
        <v/>
      </c>
      <c r="BB452" s="33"/>
      <c r="BC452" s="203" t="str">
        <f>IFERROR(VLOOKUP($G452,нормы!$A$14:$BI$57,60,0)*W452,"")</f>
        <v/>
      </c>
      <c r="BD452" s="200" t="str">
        <f>IFERROR(VLOOKUP($G452,нормы!$A$14:$BG$57,44,0),"")</f>
        <v/>
      </c>
      <c r="BE452" s="199" t="str">
        <f>IFERROR(W452/VLOOKUP($G452,нормы!$A$14:$BI$57,45,0),"")</f>
        <v/>
      </c>
    </row>
    <row r="453" spans="1:57" s="1" customFormat="1" ht="21.6" customHeight="1" x14ac:dyDescent="0.4">
      <c r="A453" s="37" t="str">
        <f t="shared" si="182"/>
        <v>8Д</v>
      </c>
      <c r="B453" s="12">
        <f t="shared" ref="B453:D457" si="185">B452</f>
        <v>46030</v>
      </c>
      <c r="C453" s="97">
        <f t="shared" si="185"/>
        <v>0</v>
      </c>
      <c r="D453" s="97">
        <f t="shared" si="185"/>
        <v>2</v>
      </c>
      <c r="E453" s="54"/>
      <c r="F453" s="151" t="str">
        <f>IFERROR(VLOOKUP($G453,нормы!$A$14:$BC$57,2,0),"")</f>
        <v/>
      </c>
      <c r="G453" s="93"/>
      <c r="H453" s="54">
        <f t="shared" ref="H453:H457" si="186">IF(C453=1,"Кульков С.А.", IF(C453=2,"Чудаков А.А.",IF(C453=3,"Королев В.Н.",IF(C453=4,"Николашин М.П.",IF(C453=5," Кульков С.А.",IF(C453=6,"А.А. Чудаков",IF(C453=7,"В.Н. Королев",IF(C453=8,"М.П. Николашин",0))))))))</f>
        <v>0</v>
      </c>
      <c r="I453" s="55"/>
      <c r="J453" s="333"/>
      <c r="K453" s="30">
        <f>IFERROR(VLOOKUP($G453,[1]нормы!$A$21:$BC$151,15,0),"")</f>
        <v>0</v>
      </c>
      <c r="L453" s="31">
        <f>IFERROR(VLOOKUP($G453,[1]нормы!$A$21:$BC$151,17,0),"")</f>
        <v>0</v>
      </c>
      <c r="M453" s="306">
        <f>IFERROR(VLOOKUP($G453,[1]нормы!$A$21:$BC$151,27,0),"")</f>
        <v>0</v>
      </c>
      <c r="N453" s="307" t="str">
        <f>IFERROR(Y453/Y458*(1.1*J452*I457),"")</f>
        <v/>
      </c>
      <c r="O453" s="300">
        <f>IFERROR(VLOOKUP($G453,[1]нормы!$A$21:$BC$151,21,0),"")</f>
        <v>0</v>
      </c>
      <c r="P453" s="35">
        <f>IFERROR(VLOOKUP($G453,[1]нормы!$A$21:$BC$151,19,0),"")</f>
        <v>0</v>
      </c>
      <c r="Q453" s="35">
        <f>IFERROR(VLOOKUP($G453,[1]нормы!$A$21:$BC$151,23,0),"")</f>
        <v>0</v>
      </c>
      <c r="R453" s="231">
        <f>IFERROR(VLOOKUP($G453,[1]нормы!$A$21:$BC$151,29,0),"")</f>
        <v>0</v>
      </c>
      <c r="S453" s="35">
        <f>IFERROR(VLOOKUP($G453,[1]нормы!$A$21:$BC$151,31,0),"")</f>
        <v>0</v>
      </c>
      <c r="T453" s="32">
        <f>IFERROR(VLOOKUP($G453,[1]нормы!$A$21:$BC$151,25,0),"")</f>
        <v>0</v>
      </c>
      <c r="U453" s="233" t="str">
        <f>IFERROR(W453/(((100*Y453/Y458)*I457)/100),"")</f>
        <v/>
      </c>
      <c r="V453" s="234" t="str">
        <f>IFERROR(VLOOKUP($G453,нормы!$A$14:$BC$57,38,0),"")</f>
        <v/>
      </c>
      <c r="W453" s="136"/>
      <c r="X453" s="237"/>
      <c r="Y453" s="152" t="str">
        <f>IFERROR(VLOOKUP($G453,нормы!$A$14:$BC$57,42,0)*W453,"")</f>
        <v/>
      </c>
      <c r="Z453" s="163">
        <f>IFERROR(VLOOKUP($G453,нормы!$A$14:$BC$57,14,0)*W453/1000,0)</f>
        <v>0</v>
      </c>
      <c r="AA453" s="142"/>
      <c r="AB453" s="35"/>
      <c r="AC453" s="35"/>
      <c r="AD453" s="35"/>
      <c r="AE453" s="31"/>
      <c r="AF453" s="160"/>
      <c r="AG453" s="391"/>
      <c r="AH453" s="394"/>
      <c r="AI453" s="397"/>
      <c r="AJ453" s="408"/>
      <c r="AK453" s="360"/>
      <c r="AL453" s="360"/>
      <c r="AM453" s="360"/>
      <c r="AN453" s="289">
        <f>IFERROR(Y453*AJ452/Y458,)</f>
        <v>0</v>
      </c>
      <c r="AO453" s="197" t="str">
        <f>IFERROR(VLOOKUP($G453,нормы!$A$14:$BC$57,53,0)*$W453,"")</f>
        <v/>
      </c>
      <c r="AP453" s="290">
        <f>IFERROR(Y453*AI452/Y458,)</f>
        <v>0</v>
      </c>
      <c r="AQ453" s="197" t="str">
        <f>IFERROR(VLOOKUP($G453,нормы!$A$14:$BC$57,54,0)*$W453,"")</f>
        <v/>
      </c>
      <c r="AR453" s="290">
        <f>IFERROR(AS453/SUM(AS452:AS457)*AL452,0)</f>
        <v>0</v>
      </c>
      <c r="AS453" s="197" t="str">
        <f>IFERROR(VLOOKUP($G453,нормы!$A$14:$BC$57,55,0)*W453,"")</f>
        <v/>
      </c>
      <c r="AT453" s="290">
        <f>IFERROR(AU453/SUM(AU452:AU457)*AM452,0)</f>
        <v>0</v>
      </c>
      <c r="AU453" s="197" t="str">
        <f>IFERROR(VLOOKUP($G453,нормы!$A$14:$BI$57,56,0)*W453,"")</f>
        <v/>
      </c>
      <c r="AV453" s="290">
        <f>IFERROR(AW453/SUM(AW452:AW457)*AK452,0)</f>
        <v>0</v>
      </c>
      <c r="AW453" s="202" t="str">
        <f>IFERROR(VLOOKUP($G453,нормы!$A$14:$BI$57,57,0)*W453,"")</f>
        <v/>
      </c>
      <c r="AX453" s="30"/>
      <c r="AY453" s="203" t="str">
        <f>IFERROR(VLOOKUP($G453,нормы!$A$14:$BI$57,58,0)*W453,"")</f>
        <v/>
      </c>
      <c r="AZ453" s="205"/>
      <c r="BA453" s="200" t="str">
        <f>IFERROR(VLOOKUP($G453,нормы!$A$14:$BI$57,61,0)*$W453,"")</f>
        <v/>
      </c>
      <c r="BB453" s="30"/>
      <c r="BC453" s="203" t="str">
        <f>IFERROR(VLOOKUP($G453,нормы!$A$14:$BI$57,60,0)*W453,"")</f>
        <v/>
      </c>
      <c r="BD453" s="200" t="str">
        <f>IFERROR(VLOOKUP($G453,нормы!$A$14:$BG$57,44,0),"")</f>
        <v/>
      </c>
      <c r="BE453" s="199" t="str">
        <f>IFERROR(W453/VLOOKUP($G453,нормы!$A$14:$BI$57,45,0),"")</f>
        <v/>
      </c>
    </row>
    <row r="454" spans="1:57" s="1" customFormat="1" ht="20.25" customHeight="1" x14ac:dyDescent="0.4">
      <c r="A454" s="37" t="str">
        <f t="shared" si="182"/>
        <v>8Д</v>
      </c>
      <c r="B454" s="12">
        <f t="shared" si="185"/>
        <v>46030</v>
      </c>
      <c r="C454" s="97">
        <f t="shared" si="185"/>
        <v>0</v>
      </c>
      <c r="D454" s="97">
        <f t="shared" si="185"/>
        <v>2</v>
      </c>
      <c r="E454" s="54"/>
      <c r="F454" s="151" t="str">
        <f>IFERROR(VLOOKUP($G454,нормы!$A$14:$BC$57,2,0),"")</f>
        <v/>
      </c>
      <c r="G454" s="38"/>
      <c r="H454" s="54">
        <f t="shared" si="186"/>
        <v>0</v>
      </c>
      <c r="I454" s="89" t="s">
        <v>212</v>
      </c>
      <c r="J454" s="333"/>
      <c r="K454" s="30">
        <f>IFERROR(VLOOKUP($G454,[1]нормы!$A$21:$BC$151,15,0),"")</f>
        <v>0</v>
      </c>
      <c r="L454" s="31">
        <f>IFERROR(VLOOKUP($G454,[1]нормы!$A$21:$BC$151,17,0),"")</f>
        <v>0</v>
      </c>
      <c r="M454" s="306">
        <f>IFERROR(VLOOKUP($G454,[1]нормы!$A$21:$BC$151,27,0),"")</f>
        <v>0</v>
      </c>
      <c r="N454" s="307" t="str">
        <f>IFERROR(Y454/Y458*(1.1*J452*I457),"")</f>
        <v/>
      </c>
      <c r="O454" s="300">
        <f>IFERROR(VLOOKUP($G454,[1]нормы!$A$21:$BC$151,21,0),"")</f>
        <v>0</v>
      </c>
      <c r="P454" s="35">
        <f>IFERROR(VLOOKUP($G454,[1]нормы!$A$21:$BC$151,19,0),"")</f>
        <v>0</v>
      </c>
      <c r="Q454" s="35">
        <f>IFERROR(VLOOKUP($G454,[1]нормы!$A$21:$BC$151,23,0),"")</f>
        <v>0</v>
      </c>
      <c r="R454" s="231">
        <f>IFERROR(VLOOKUP($G454,[1]нормы!$A$21:$BC$151,29,0),"")</f>
        <v>0</v>
      </c>
      <c r="S454" s="35">
        <f>IFERROR(VLOOKUP($G454,[1]нормы!$A$21:$BC$151,31,0),"")</f>
        <v>0</v>
      </c>
      <c r="T454" s="32">
        <f>IFERROR(VLOOKUP($G454,[1]нормы!$A$21:$BC$151,25,0),"")</f>
        <v>0</v>
      </c>
      <c r="U454" s="233" t="str">
        <f>IFERROR(W454/(((100*Y454/Y458)*I457)/100),"")</f>
        <v/>
      </c>
      <c r="V454" s="234" t="str">
        <f>IFERROR(VLOOKUP($G454,нормы!$A$14:$BC$57,38,0),"")</f>
        <v/>
      </c>
      <c r="W454" s="136"/>
      <c r="X454" s="237"/>
      <c r="Y454" s="152" t="str">
        <f>IFERROR(VLOOKUP($G454,нормы!$A$14:$BC$57,42,0)*W454,"")</f>
        <v/>
      </c>
      <c r="Z454" s="163">
        <f>IFERROR(VLOOKUP($G454,нормы!$A$14:$BC$57,14,0)*W454/1000,0)</f>
        <v>0</v>
      </c>
      <c r="AA454" s="30"/>
      <c r="AB454" s="35"/>
      <c r="AC454" s="35"/>
      <c r="AD454" s="35"/>
      <c r="AE454" s="31"/>
      <c r="AF454" s="160"/>
      <c r="AG454" s="391"/>
      <c r="AH454" s="394"/>
      <c r="AI454" s="397"/>
      <c r="AJ454" s="408"/>
      <c r="AK454" s="360"/>
      <c r="AL454" s="360"/>
      <c r="AM454" s="360"/>
      <c r="AN454" s="289">
        <f>IFERROR(Y454*AJ452/Y458,)</f>
        <v>0</v>
      </c>
      <c r="AO454" s="197" t="str">
        <f>IFERROR(VLOOKUP($G454,нормы!$A$14:$BC$57,53,0)*$W454,"")</f>
        <v/>
      </c>
      <c r="AP454" s="290">
        <f>IFERROR(Y454*AI452/Y458,)</f>
        <v>0</v>
      </c>
      <c r="AQ454" s="197" t="str">
        <f>IFERROR(VLOOKUP($G454,нормы!$A$14:$BC$57,54,0)*$W454,"")</f>
        <v/>
      </c>
      <c r="AR454" s="290">
        <f>IFERROR(AS454/SUM(AS452:AS457)*AL452,0)</f>
        <v>0</v>
      </c>
      <c r="AS454" s="197" t="str">
        <f>IFERROR(VLOOKUP($G454,нормы!$A$14:$BC$57,55,0)*W454,"")</f>
        <v/>
      </c>
      <c r="AT454" s="290">
        <f>IFERROR(AU454/SUM(AU452:AU457)*AM452,0)</f>
        <v>0</v>
      </c>
      <c r="AU454" s="197" t="str">
        <f>IFERROR(VLOOKUP($G454,нормы!$A$14:$BI$57,56,0)*W454,"")</f>
        <v/>
      </c>
      <c r="AV454" s="290">
        <f>IFERROR(AW454/SUM(AW452:AW457)*AK452,0)</f>
        <v>0</v>
      </c>
      <c r="AW454" s="202" t="str">
        <f>IFERROR(VLOOKUP($G454,нормы!$A$14:$BI$57,57,0)*W454,"")</f>
        <v/>
      </c>
      <c r="AX454" s="30"/>
      <c r="AY454" s="203" t="str">
        <f>IFERROR(VLOOKUP($G454,нормы!$A$14:$BI$57,58,0)*W454,"")</f>
        <v/>
      </c>
      <c r="AZ454" s="205"/>
      <c r="BA454" s="200" t="str">
        <f>IFERROR(VLOOKUP($G454,нормы!$A$14:$BI$57,61,0)*$W454,"")</f>
        <v/>
      </c>
      <c r="BB454" s="30"/>
      <c r="BC454" s="203" t="str">
        <f>IFERROR(VLOOKUP($G454,нормы!$A$14:$BI$57,60,0)*W454,"")</f>
        <v/>
      </c>
      <c r="BD454" s="200" t="str">
        <f>IFERROR(VLOOKUP($G454,нормы!$A$14:$BG$57,44,0),"")</f>
        <v/>
      </c>
      <c r="BE454" s="199" t="str">
        <f>IFERROR(W454/VLOOKUP($G454,нормы!$A$14:$BI$57,45,0),"")</f>
        <v/>
      </c>
    </row>
    <row r="455" spans="1:57" s="1" customFormat="1" ht="20.25" customHeight="1" x14ac:dyDescent="0.4">
      <c r="A455" s="37" t="str">
        <f t="shared" si="182"/>
        <v>8Д</v>
      </c>
      <c r="B455" s="12">
        <f t="shared" si="185"/>
        <v>46030</v>
      </c>
      <c r="C455" s="97">
        <f t="shared" si="185"/>
        <v>0</v>
      </c>
      <c r="D455" s="97">
        <f t="shared" si="185"/>
        <v>2</v>
      </c>
      <c r="E455" s="54"/>
      <c r="F455" s="151" t="str">
        <f>IFERROR(VLOOKUP($G455,нормы!$A$14:$BC$57,2,0),"")</f>
        <v/>
      </c>
      <c r="G455" s="93"/>
      <c r="H455" s="54">
        <f t="shared" si="186"/>
        <v>0</v>
      </c>
      <c r="I455" s="55"/>
      <c r="J455" s="333"/>
      <c r="K455" s="30">
        <f>IFERROR(VLOOKUP($G455,[1]нормы!$A$21:$BC$151,15,0),"")</f>
        <v>0</v>
      </c>
      <c r="L455" s="31">
        <f>IFERROR(VLOOKUP($G455,[1]нормы!$A$21:$BC$151,17,0),"")</f>
        <v>0</v>
      </c>
      <c r="M455" s="306">
        <f>IFERROR(VLOOKUP($G455,[1]нормы!$A$21:$BC$151,27,0),"")</f>
        <v>0</v>
      </c>
      <c r="N455" s="307" t="str">
        <f>IFERROR(Y455/Y458*(1.1*J452*I460),"")</f>
        <v/>
      </c>
      <c r="O455" s="300">
        <f>IFERROR(VLOOKUP($G455,[1]нормы!$A$21:$BC$151,21,0),"")</f>
        <v>0</v>
      </c>
      <c r="P455" s="35">
        <f>IFERROR(VLOOKUP($G455,[1]нормы!$A$21:$BC$151,19,0),"")</f>
        <v>0</v>
      </c>
      <c r="Q455" s="35">
        <f>IFERROR(VLOOKUP($G455,[1]нормы!$A$21:$BC$151,23,0),"")</f>
        <v>0</v>
      </c>
      <c r="R455" s="231">
        <f>IFERROR(VLOOKUP($G455,[1]нормы!$A$21:$BC$151,29,0),"")</f>
        <v>0</v>
      </c>
      <c r="S455" s="35">
        <f>IFERROR(VLOOKUP($G455,[1]нормы!$A$21:$BC$151,31,0),"")</f>
        <v>0</v>
      </c>
      <c r="T455" s="32">
        <f>IFERROR(VLOOKUP($G455,[1]нормы!$A$21:$BC$151,25,0),"")</f>
        <v>0</v>
      </c>
      <c r="U455" s="233" t="str">
        <f>IFERROR(W455/(((100*Y455/Y458)*I457)/100),"")</f>
        <v/>
      </c>
      <c r="V455" s="234" t="str">
        <f>IFERROR(VLOOKUP($G455,нормы!$A$14:$BC$57,38,0),"")</f>
        <v/>
      </c>
      <c r="W455" s="136"/>
      <c r="X455" s="237"/>
      <c r="Y455" s="152" t="str">
        <f>IFERROR(VLOOKUP($G455,нормы!$A$14:$BC$57,42,0)*W455,"")</f>
        <v/>
      </c>
      <c r="Z455" s="163">
        <f>IFERROR(VLOOKUP($G455,нормы!$A$14:$BC$57,14,0)*W455/1000,0)</f>
        <v>0</v>
      </c>
      <c r="AA455" s="30"/>
      <c r="AB455" s="35"/>
      <c r="AC455" s="35"/>
      <c r="AD455" s="35"/>
      <c r="AE455" s="31"/>
      <c r="AF455" s="160"/>
      <c r="AG455" s="391"/>
      <c r="AH455" s="394"/>
      <c r="AI455" s="397"/>
      <c r="AJ455" s="408"/>
      <c r="AK455" s="360"/>
      <c r="AL455" s="360"/>
      <c r="AM455" s="360"/>
      <c r="AN455" s="289">
        <f>IFERROR(Y455*AJ452/Y458,)</f>
        <v>0</v>
      </c>
      <c r="AO455" s="197" t="str">
        <f>IFERROR(VLOOKUP($G455,нормы!$A$14:$BC$57,53,0)*$W455,"")</f>
        <v/>
      </c>
      <c r="AP455" s="290">
        <f>IFERROR(Y455*AI452/Y458,)</f>
        <v>0</v>
      </c>
      <c r="AQ455" s="197" t="str">
        <f>IFERROR(VLOOKUP($G455,нормы!$A$14:$BC$57,54,0)*$W455,"")</f>
        <v/>
      </c>
      <c r="AR455" s="290">
        <f>IFERROR(AS455/SUM(AS452:AS457)*AL452,0)</f>
        <v>0</v>
      </c>
      <c r="AS455" s="197" t="str">
        <f>IFERROR(VLOOKUP($G455,нормы!$A$14:$BC$57,55,0)*W455,"")</f>
        <v/>
      </c>
      <c r="AT455" s="290">
        <f>IFERROR(AU455/SUM(AU452:AU457)*AM452,0)</f>
        <v>0</v>
      </c>
      <c r="AU455" s="197" t="str">
        <f>IFERROR(VLOOKUP($G455,нормы!$A$14:$BI$57,56,0)*W455,"")</f>
        <v/>
      </c>
      <c r="AV455" s="290">
        <f>IFERROR(AW455/SUM(AW452:AW457)*AK452,0)</f>
        <v>0</v>
      </c>
      <c r="AW455" s="202" t="str">
        <f>IFERROR(VLOOKUP($G455,нормы!$A$14:$BI$57,57,0)*W455,"")</f>
        <v/>
      </c>
      <c r="AX455" s="30"/>
      <c r="AY455" s="203" t="str">
        <f>IFERROR(VLOOKUP($G455,нормы!$A$14:$BI$57,58,0)*W455,"")</f>
        <v/>
      </c>
      <c r="AZ455" s="205"/>
      <c r="BA455" s="200" t="str">
        <f>IFERROR(VLOOKUP($G455,нормы!$A$14:$BI$57,61,0)*$W455,"")</f>
        <v/>
      </c>
      <c r="BB455" s="30"/>
      <c r="BC455" s="203" t="str">
        <f>IFERROR(VLOOKUP($G455,нормы!$A$14:$BI$57,60,0)*W455,"")</f>
        <v/>
      </c>
      <c r="BD455" s="200" t="str">
        <f>IFERROR(VLOOKUP($G455,нормы!$A$14:$BG$57,44,0),"")</f>
        <v/>
      </c>
      <c r="BE455" s="199" t="str">
        <f>IFERROR(W455/VLOOKUP($G455,нормы!$A$14:$BI$57,45,0),"")</f>
        <v/>
      </c>
    </row>
    <row r="456" spans="1:57" s="1" customFormat="1" ht="20.25" customHeight="1" x14ac:dyDescent="0.4">
      <c r="A456" s="37" t="str">
        <f t="shared" si="182"/>
        <v>8Д</v>
      </c>
      <c r="B456" s="12">
        <f t="shared" si="185"/>
        <v>46030</v>
      </c>
      <c r="C456" s="97">
        <f t="shared" si="185"/>
        <v>0</v>
      </c>
      <c r="D456" s="97">
        <f t="shared" si="185"/>
        <v>2</v>
      </c>
      <c r="E456" s="54"/>
      <c r="F456" s="151" t="str">
        <f>IFERROR(VLOOKUP($G456,нормы!$A$14:$BC$57,2,0),"")</f>
        <v/>
      </c>
      <c r="G456" s="38"/>
      <c r="H456" s="54">
        <f t="shared" si="186"/>
        <v>0</v>
      </c>
      <c r="I456" s="89" t="s">
        <v>73</v>
      </c>
      <c r="J456" s="333"/>
      <c r="K456" s="30">
        <f>IFERROR(VLOOKUP($G456,[1]нормы!$A$21:$BC$151,15,0),"")</f>
        <v>0</v>
      </c>
      <c r="L456" s="31">
        <f>IFERROR(VLOOKUP($G456,[1]нормы!$A$21:$BC$151,17,0),"")</f>
        <v>0</v>
      </c>
      <c r="M456" s="306">
        <f>IFERROR(VLOOKUP($G456,[1]нормы!$A$21:$BC$151,27,0),"")</f>
        <v>0</v>
      </c>
      <c r="N456" s="307" t="str">
        <f>IFERROR(Y456/Y458*(1.1*J452*I461),"")</f>
        <v/>
      </c>
      <c r="O456" s="300">
        <f>IFERROR(VLOOKUP($G456,[1]нормы!$A$21:$BC$151,21,0),"")</f>
        <v>0</v>
      </c>
      <c r="P456" s="35">
        <f>IFERROR(VLOOKUP($G456,[1]нормы!$A$21:$BC$151,19,0),"")</f>
        <v>0</v>
      </c>
      <c r="Q456" s="35">
        <f>IFERROR(VLOOKUP($G456,[1]нормы!$A$21:$BC$151,23,0),"")</f>
        <v>0</v>
      </c>
      <c r="R456" s="231">
        <f>IFERROR(VLOOKUP($G456,[1]нормы!$A$21:$BC$151,29,0),"")</f>
        <v>0</v>
      </c>
      <c r="S456" s="35">
        <f>IFERROR(VLOOKUP($G456,[1]нормы!$A$21:$BC$151,31,0),"")</f>
        <v>0</v>
      </c>
      <c r="T456" s="32">
        <f>IFERROR(VLOOKUP($G456,[1]нормы!$A$21:$BC$151,25,0),"")</f>
        <v>0</v>
      </c>
      <c r="U456" s="233" t="str">
        <f>IFERROR(W456/(((100*Y456/Y458)*I457)/100),"")</f>
        <v/>
      </c>
      <c r="V456" s="234" t="str">
        <f>IFERROR(VLOOKUP($G456,нормы!$A$14:$BC$57,38,0),"")</f>
        <v/>
      </c>
      <c r="W456" s="136"/>
      <c r="X456" s="237"/>
      <c r="Y456" s="152" t="str">
        <f>IFERROR(VLOOKUP($G456,нормы!$A$14:$BC$57,42,0)*W456,"")</f>
        <v/>
      </c>
      <c r="Z456" s="163">
        <f>IFERROR(VLOOKUP($G456,нормы!$A$14:$BC$57,14,0)*W456/1000,0)</f>
        <v>0</v>
      </c>
      <c r="AA456" s="30"/>
      <c r="AB456" s="35"/>
      <c r="AC456" s="35"/>
      <c r="AD456" s="35"/>
      <c r="AE456" s="31"/>
      <c r="AF456" s="160"/>
      <c r="AG456" s="391"/>
      <c r="AH456" s="394"/>
      <c r="AI456" s="397"/>
      <c r="AJ456" s="408"/>
      <c r="AK456" s="360"/>
      <c r="AL456" s="360"/>
      <c r="AM456" s="360"/>
      <c r="AN456" s="289">
        <f>IFERROR(Y456*AJ452/Y458,)</f>
        <v>0</v>
      </c>
      <c r="AO456" s="197" t="str">
        <f>IFERROR(VLOOKUP($G456,нормы!$A$14:$BC$57,53,0)*$W456,"")</f>
        <v/>
      </c>
      <c r="AP456" s="290">
        <f>IFERROR(Y456*AI452/Y458,)</f>
        <v>0</v>
      </c>
      <c r="AQ456" s="197" t="str">
        <f>IFERROR(VLOOKUP($G456,нормы!$A$14:$BC$57,54,0)*$W456,"")</f>
        <v/>
      </c>
      <c r="AR456" s="290">
        <f>IFERROR(AS456/SUM(AS452:AS457)*AL452,0)</f>
        <v>0</v>
      </c>
      <c r="AS456" s="197" t="str">
        <f>IFERROR(VLOOKUP($G456,нормы!$A$14:$BC$57,55,0)*W456,"")</f>
        <v/>
      </c>
      <c r="AT456" s="290">
        <f>IFERROR(AU456/SUM(AU452:AU457)*AM452,0)</f>
        <v>0</v>
      </c>
      <c r="AU456" s="197" t="str">
        <f>IFERROR(VLOOKUP($G456,нормы!$A$14:$BI$57,56,0)*W456,"")</f>
        <v/>
      </c>
      <c r="AV456" s="290">
        <f>IFERROR(AW456/SUM(AW452:AW457)*AK452,0)</f>
        <v>0</v>
      </c>
      <c r="AW456" s="202" t="str">
        <f>IFERROR(VLOOKUP($G456,нормы!$A$14:$BI$57,57,0)*W456,"")</f>
        <v/>
      </c>
      <c r="AX456" s="30"/>
      <c r="AY456" s="203" t="str">
        <f>IFERROR(VLOOKUP($G456,нормы!$A$14:$BI$57,58,0)*W456,"")</f>
        <v/>
      </c>
      <c r="AZ456" s="205"/>
      <c r="BA456" s="200" t="str">
        <f>IFERROR(VLOOKUP($G456,нормы!$A$14:$BI$57,61,0)*$W456,"")</f>
        <v/>
      </c>
      <c r="BB456" s="30"/>
      <c r="BC456" s="203" t="str">
        <f>IFERROR(VLOOKUP($G456,нормы!$A$14:$BI$57,60,0)*W456,"")</f>
        <v/>
      </c>
      <c r="BD456" s="200" t="str">
        <f>IFERROR(VLOOKUP($G456,нормы!$A$14:$BG$57,44,0),"")</f>
        <v/>
      </c>
      <c r="BE456" s="199" t="str">
        <f>IFERROR(W456/VLOOKUP($G456,нормы!$A$14:$BI$57,45,0),"")</f>
        <v/>
      </c>
    </row>
    <row r="457" spans="1:57" s="1" customFormat="1" ht="21" customHeight="1" thickBot="1" x14ac:dyDescent="0.45">
      <c r="A457" s="37" t="str">
        <f t="shared" si="182"/>
        <v>8Д</v>
      </c>
      <c r="B457" s="12">
        <f t="shared" si="185"/>
        <v>46030</v>
      </c>
      <c r="C457" s="97">
        <f t="shared" si="185"/>
        <v>0</v>
      </c>
      <c r="D457" s="97">
        <f t="shared" si="185"/>
        <v>2</v>
      </c>
      <c r="E457" s="54"/>
      <c r="F457" s="151" t="str">
        <f>IFERROR(VLOOKUP($G457,нормы!$A$14:$BC$57,2,0),"")</f>
        <v/>
      </c>
      <c r="G457" s="93"/>
      <c r="H457" s="63">
        <f t="shared" si="186"/>
        <v>0</v>
      </c>
      <c r="I457" s="153">
        <f>I453+I455</f>
        <v>0</v>
      </c>
      <c r="J457" s="334"/>
      <c r="K457" s="30">
        <f>IFERROR(VLOOKUP($G457,[1]нормы!$A$21:$BC$151,15,0),"")</f>
        <v>0</v>
      </c>
      <c r="L457" s="31">
        <f>IFERROR(VLOOKUP($G457,[1]нормы!$A$21:$BC$151,17,0),"")</f>
        <v>0</v>
      </c>
      <c r="M457" s="308">
        <f>IFERROR(VLOOKUP($G457,[1]нормы!$A$21:$BC$151,27,0),"")</f>
        <v>0</v>
      </c>
      <c r="N457" s="309" t="str">
        <f>IFERROR(Y457/Y458*(1.1*J452*I462),"")</f>
        <v/>
      </c>
      <c r="O457" s="300">
        <f>IFERROR(VLOOKUP($G457,[1]нормы!$A$21:$BC$151,21,0),"")</f>
        <v>0</v>
      </c>
      <c r="P457" s="35">
        <f>IFERROR(VLOOKUP($G457,[1]нормы!$A$21:$BC$151,19,0),"")</f>
        <v>0</v>
      </c>
      <c r="Q457" s="35">
        <f>IFERROR(VLOOKUP($G457,[1]нормы!$A$21:$BC$151,23,0),"")</f>
        <v>0</v>
      </c>
      <c r="R457" s="231">
        <f>IFERROR(VLOOKUP($G457,[1]нормы!$A$21:$BC$151,29,0),"")</f>
        <v>0</v>
      </c>
      <c r="S457" s="35">
        <f>IFERROR(VLOOKUP($G457,[1]нормы!$A$21:$BC$151,31,0),"")</f>
        <v>0</v>
      </c>
      <c r="T457" s="32">
        <f>IFERROR(VLOOKUP($G457,[1]нормы!$A$21:$BC$151,25,0),"")</f>
        <v>0</v>
      </c>
      <c r="U457" s="235" t="str">
        <f>IFERROR(W457/(((100*Y457/Y458)*I457)/100),"")</f>
        <v/>
      </c>
      <c r="V457" s="234" t="str">
        <f>IFERROR(VLOOKUP($G457,нормы!$A$14:$BC$57,38,0),"")</f>
        <v/>
      </c>
      <c r="W457" s="154"/>
      <c r="X457" s="238"/>
      <c r="Y457" s="152" t="str">
        <f>IFERROR(VLOOKUP($G457,нормы!$A$14:$BC$57,42,0)*W457,"")</f>
        <v/>
      </c>
      <c r="Z457" s="163">
        <f>IFERROR(VLOOKUP($G457,нормы!$A$14:$BC$57,14,0)*W457/1000,0)</f>
        <v>0</v>
      </c>
      <c r="AA457" s="56"/>
      <c r="AB457" s="58"/>
      <c r="AC457" s="58"/>
      <c r="AD457" s="58"/>
      <c r="AE457" s="57"/>
      <c r="AF457" s="161"/>
      <c r="AG457" s="392"/>
      <c r="AH457" s="395"/>
      <c r="AI457" s="398"/>
      <c r="AJ457" s="409"/>
      <c r="AK457" s="361"/>
      <c r="AL457" s="361"/>
      <c r="AM457" s="361"/>
      <c r="AN457" s="291">
        <f>IFERROR(Y457*AJ452/Y458,)</f>
        <v>0</v>
      </c>
      <c r="AO457" s="197" t="str">
        <f>IFERROR(VLOOKUP($G457,нормы!$A$14:$BC$57,53,0)*$W457,"")</f>
        <v/>
      </c>
      <c r="AP457" s="292">
        <f>IFERROR(Y457*AI452/Y458,)</f>
        <v>0</v>
      </c>
      <c r="AQ457" s="197" t="str">
        <f>IFERROR(VLOOKUP($G457,нормы!$A$14:$BC$57,54,0)*$W457,"")</f>
        <v/>
      </c>
      <c r="AR457" s="290">
        <f>IFERROR(AS457/SUM(AS452:AS457)*AL452,0)</f>
        <v>0</v>
      </c>
      <c r="AS457" s="197" t="str">
        <f>IFERROR(VLOOKUP($G457,нормы!$A$14:$BC$57,55,0)*W457,"")</f>
        <v/>
      </c>
      <c r="AT457" s="292">
        <f>IFERROR(AU457/SUM(AU452:AU457)*AM452,0)</f>
        <v>0</v>
      </c>
      <c r="AU457" s="197" t="str">
        <f>IFERROR(VLOOKUP($G457,нормы!$A$14:$BI$57,56,0)*W457,"")</f>
        <v/>
      </c>
      <c r="AV457" s="292">
        <f>IFERROR(AW457/SUM(AW452:AW457)*AK452,0)</f>
        <v>0</v>
      </c>
      <c r="AW457" s="202" t="str">
        <f>IFERROR(VLOOKUP($G457,нормы!$A$14:$BI$57,57,0)*W457,"")</f>
        <v/>
      </c>
      <c r="AX457" s="56"/>
      <c r="AY457" s="203" t="str">
        <f>IFERROR(VLOOKUP($G457,нормы!$A$14:$BI$57,58,0)*W457,"")</f>
        <v/>
      </c>
      <c r="AZ457" s="206"/>
      <c r="BA457" s="200" t="str">
        <f>IFERROR(VLOOKUP($G457,нормы!$A$14:$BI$57,61,0)*$W457,"")</f>
        <v/>
      </c>
      <c r="BB457" s="56"/>
      <c r="BC457" s="203" t="str">
        <f>IFERROR(VLOOKUP($G457,нормы!$A$14:$BI$57,60,0)*W457,"")</f>
        <v/>
      </c>
      <c r="BD457" s="200" t="str">
        <f>IFERROR(VLOOKUP($G457,нормы!$A$14:$BG$57,44,0),"")</f>
        <v/>
      </c>
      <c r="BE457" s="199" t="str">
        <f>IFERROR(W457/VLOOKUP($G457,нормы!$A$14:$BI$57,45,0),"")</f>
        <v/>
      </c>
    </row>
    <row r="458" spans="1:57" s="1" customFormat="1" ht="29.4" customHeight="1" thickBot="1" x14ac:dyDescent="0.45">
      <c r="A458" s="37" t="str">
        <f t="shared" si="182"/>
        <v>8Д</v>
      </c>
      <c r="B458" s="59"/>
      <c r="C458" s="51"/>
      <c r="D458" s="51"/>
      <c r="E458" s="51"/>
      <c r="F458" s="51"/>
      <c r="G458" s="51"/>
      <c r="H458" s="51"/>
      <c r="I458" s="60"/>
      <c r="J458" s="60"/>
      <c r="K458" s="319" t="s">
        <v>213</v>
      </c>
      <c r="L458" s="316"/>
      <c r="M458" s="303" t="s">
        <v>213</v>
      </c>
      <c r="N458" s="317">
        <f>SUM(N452:N457)</f>
        <v>0</v>
      </c>
      <c r="O458" s="304" t="s">
        <v>217</v>
      </c>
      <c r="P458" s="318">
        <f>N458*8.937/1000</f>
        <v>0</v>
      </c>
      <c r="Q458" s="305" t="s">
        <v>215</v>
      </c>
      <c r="R458" s="61"/>
      <c r="S458" s="61"/>
      <c r="T458" s="61"/>
      <c r="U458" s="109"/>
      <c r="V458" s="109"/>
      <c r="W458" s="94"/>
      <c r="X458" s="155"/>
      <c r="Y458" s="96">
        <f>SUM(Y452:Y457)</f>
        <v>0</v>
      </c>
      <c r="Z458" s="164">
        <f>SUM(Z452:Z457)</f>
        <v>0</v>
      </c>
      <c r="AA458" s="207">
        <f>(AA444+AA445+AA446+AA447+AA448+AA449+AA450+AA452+AA453+AA454+AA455+AA456+AA457)-AG445</f>
        <v>1</v>
      </c>
      <c r="AB458" s="208">
        <f>(AB444+AB445+AB446+AB447+AB448+AB449+AB450+AB452+AB453+AB454+AB455+AB456+AB457)-AH445</f>
        <v>2</v>
      </c>
      <c r="AC458" s="208">
        <f>(AC444+AC445+AC446+AC447+AC448+AC449+AC450+AC452+AC453+AC454+AC455+AC456+AC457)-AG452</f>
        <v>3</v>
      </c>
      <c r="AD458" s="208">
        <f>(AD444+AD445+AD446+AD447+AD448+AD449+AD450+AD452+AD453+AD454+AD455+AD456+AD457)-AH452</f>
        <v>4</v>
      </c>
      <c r="AE458" s="208">
        <f>(AE444+AE445+AE446+AE447+AE448+AE449+AE450+AE452+AE453+AE454+AE455+AE456+AE457)-AI445</f>
        <v>5</v>
      </c>
      <c r="AF458" s="209">
        <f>(AF444+AF445+AF446+AF447+AF448+AF449+AF450+AF452+AF453+AF454+AF455+AF456+AF457)-AI452</f>
        <v>6</v>
      </c>
      <c r="AG458" s="62"/>
      <c r="AH458" s="62"/>
      <c r="AI458" s="62"/>
      <c r="AJ458" s="62"/>
      <c r="AK458" s="62"/>
      <c r="AL458" s="62"/>
      <c r="AM458" s="62"/>
      <c r="AN458" s="91">
        <f>SUM(AN452:AN457)</f>
        <v>0</v>
      </c>
      <c r="AO458" s="91">
        <f>SUM(AO452:AO457)</f>
        <v>0</v>
      </c>
      <c r="AP458" s="91"/>
      <c r="AQ458" s="91"/>
      <c r="AR458" s="91">
        <f>SUM(AR452:AR457)</f>
        <v>0</v>
      </c>
      <c r="AS458" s="91">
        <f t="shared" ref="AS458:AW458" si="187">SUM(AS452:AS457)</f>
        <v>0</v>
      </c>
      <c r="AT458" s="91">
        <f t="shared" si="187"/>
        <v>0</v>
      </c>
      <c r="AU458" s="91">
        <f t="shared" si="187"/>
        <v>0</v>
      </c>
      <c r="AV458" s="91">
        <f t="shared" si="187"/>
        <v>0</v>
      </c>
      <c r="AW458" s="91">
        <f t="shared" si="187"/>
        <v>0</v>
      </c>
      <c r="AX458" s="91">
        <f>SUM(AX452:AX457)</f>
        <v>0</v>
      </c>
      <c r="AY458" s="91">
        <f>SUM(AY452:AY457)</f>
        <v>0</v>
      </c>
      <c r="AZ458" s="91">
        <f>SUM(AZ452:AZ457)</f>
        <v>0</v>
      </c>
      <c r="BA458" s="91"/>
      <c r="BB458" s="91"/>
      <c r="BC458" s="91"/>
      <c r="BD458" s="91" t="str">
        <f>IFERROR(VLOOKUP($G458,нормы!$A$14:$BG$15,27,0),"")</f>
        <v/>
      </c>
      <c r="BE458" s="53" t="str">
        <f>IFERROR(W458/VLOOKUP($G458,нормы!$A$14:$BI$15,28,0),"")</f>
        <v/>
      </c>
    </row>
    <row r="459" spans="1:57" s="1" customFormat="1" ht="29.4" customHeight="1" thickBot="1" x14ac:dyDescent="0.5">
      <c r="A459" s="37" t="str">
        <f t="shared" si="182"/>
        <v>8Д</v>
      </c>
      <c r="B459" s="166" t="s">
        <v>130</v>
      </c>
      <c r="C459" s="167"/>
      <c r="D459" s="167"/>
      <c r="E459" s="167"/>
      <c r="F459" s="165"/>
      <c r="G459" s="167"/>
      <c r="H459" s="167"/>
      <c r="I459" s="168"/>
      <c r="J459" s="168"/>
      <c r="K459" s="168"/>
      <c r="L459" s="168"/>
      <c r="M459" s="168"/>
      <c r="N459" s="168"/>
      <c r="O459" s="167"/>
      <c r="P459" s="169"/>
      <c r="Q459" s="169"/>
      <c r="R459" s="169"/>
      <c r="S459" s="169"/>
      <c r="T459" s="169"/>
      <c r="U459" s="170"/>
      <c r="V459" s="170"/>
      <c r="W459" s="171"/>
      <c r="X459" s="171"/>
      <c r="Y459" s="172"/>
      <c r="Z459" s="172"/>
      <c r="AA459" s="201" t="s">
        <v>144</v>
      </c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64"/>
      <c r="AN459" s="167"/>
      <c r="AO459" s="167"/>
      <c r="AP459" s="167"/>
      <c r="AQ459" s="167"/>
      <c r="AR459" s="64"/>
      <c r="AS459" s="64"/>
      <c r="AT459" s="65"/>
      <c r="AU459" s="64"/>
      <c r="AV459" s="49"/>
      <c r="AW459" s="49"/>
      <c r="AX459" s="167"/>
      <c r="AY459" s="167"/>
      <c r="AZ459" s="167"/>
      <c r="BA459" s="167"/>
      <c r="BB459" s="167"/>
      <c r="BC459" s="167"/>
      <c r="BD459" s="66"/>
      <c r="BE459" s="66"/>
    </row>
    <row r="460" spans="1:57" s="1" customFormat="1" ht="23.25" customHeight="1" x14ac:dyDescent="0.4">
      <c r="A460" s="37" t="str">
        <f t="shared" si="182"/>
        <v>8Д</v>
      </c>
      <c r="B460" s="183"/>
      <c r="C460" s="100"/>
      <c r="D460" s="185"/>
      <c r="E460" s="186" t="s">
        <v>57</v>
      </c>
      <c r="F460" s="66" t="s">
        <v>87</v>
      </c>
      <c r="G460" s="66"/>
      <c r="H460" s="108" t="s">
        <v>131</v>
      </c>
      <c r="I460" s="101"/>
      <c r="J460" s="101"/>
      <c r="K460" s="101"/>
      <c r="L460" s="101"/>
      <c r="M460" s="101"/>
      <c r="N460" s="101"/>
      <c r="O460" s="67"/>
      <c r="P460" s="102"/>
      <c r="Q460" s="102"/>
      <c r="R460" s="102"/>
      <c r="S460" s="102"/>
      <c r="T460" s="102"/>
      <c r="U460" s="67"/>
      <c r="V460" s="67"/>
      <c r="W460" s="103"/>
      <c r="X460" s="187"/>
      <c r="Y460" s="68" t="s">
        <v>74</v>
      </c>
      <c r="Z460" s="69"/>
      <c r="AA460" s="90"/>
      <c r="AB460" s="100"/>
      <c r="AC460" s="100"/>
      <c r="AD460" s="186" t="s">
        <v>57</v>
      </c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190"/>
      <c r="AU460" s="66"/>
      <c r="AV460" s="165"/>
      <c r="AW460" s="293"/>
      <c r="AX460" s="66"/>
      <c r="AY460" s="66"/>
      <c r="AZ460" s="66"/>
      <c r="BA460" s="66"/>
      <c r="BB460" s="66"/>
      <c r="BC460" s="66"/>
      <c r="BD460" s="68" t="s">
        <v>74</v>
      </c>
      <c r="BE460" s="69"/>
    </row>
    <row r="461" spans="1:57" s="1" customFormat="1" ht="23.25" customHeight="1" thickBot="1" x14ac:dyDescent="0.45">
      <c r="A461" s="37" t="str">
        <f t="shared" si="182"/>
        <v>8Д</v>
      </c>
      <c r="B461" s="183"/>
      <c r="C461" s="41"/>
      <c r="D461" s="184"/>
      <c r="E461" s="50"/>
      <c r="F461" s="70"/>
      <c r="G461" s="70"/>
      <c r="H461" s="70"/>
      <c r="I461" s="104"/>
      <c r="J461" s="104"/>
      <c r="K461" s="104"/>
      <c r="L461" s="104"/>
      <c r="M461" s="104"/>
      <c r="N461" s="104"/>
      <c r="O461" s="71"/>
      <c r="P461" s="105"/>
      <c r="Q461" s="105"/>
      <c r="R461" s="105"/>
      <c r="S461" s="105"/>
      <c r="T461" s="105"/>
      <c r="U461" s="71"/>
      <c r="V461" s="71"/>
      <c r="W461" s="106"/>
      <c r="X461" s="188"/>
      <c r="Y461" s="72"/>
      <c r="Z461" s="73"/>
      <c r="AA461" s="90"/>
      <c r="AB461" s="41"/>
      <c r="AC461" s="41"/>
      <c r="AD461" s="50"/>
      <c r="AE461" s="47"/>
      <c r="AF461" s="47"/>
      <c r="AG461" s="47"/>
      <c r="AH461" s="47"/>
      <c r="AI461" s="47"/>
      <c r="AJ461" s="47"/>
      <c r="AK461" s="47"/>
      <c r="AL461" s="47"/>
      <c r="AM461" s="70"/>
      <c r="AN461" s="47"/>
      <c r="AO461" s="70"/>
      <c r="AP461" s="70"/>
      <c r="AQ461" s="70"/>
      <c r="AR461" s="70"/>
      <c r="AS461" s="70"/>
      <c r="AT461" s="191"/>
      <c r="AU461" s="70"/>
      <c r="AV461" s="192"/>
      <c r="AW461" s="294"/>
      <c r="AX461" s="70"/>
      <c r="AY461" s="70"/>
      <c r="AZ461" s="70"/>
      <c r="BA461" s="70"/>
      <c r="BB461" s="70"/>
      <c r="BC461" s="70"/>
      <c r="BD461" s="72"/>
      <c r="BE461" s="73"/>
    </row>
    <row r="462" spans="1:57" s="1" customFormat="1" ht="21.9" customHeight="1" x14ac:dyDescent="0.4">
      <c r="A462" s="37" t="str">
        <f t="shared" si="182"/>
        <v>8Д</v>
      </c>
      <c r="B462" s="183"/>
      <c r="C462" s="41"/>
      <c r="D462" s="184"/>
      <c r="E462" s="281">
        <f>B457</f>
        <v>46030</v>
      </c>
      <c r="F462" s="337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98">
        <v>1</v>
      </c>
      <c r="Y462" s="74">
        <v>1</v>
      </c>
      <c r="Z462" s="75">
        <f t="shared" ref="Z462:Z473" si="188">Y462-X462</f>
        <v>0</v>
      </c>
      <c r="AA462" s="189"/>
      <c r="AB462" s="41"/>
      <c r="AC462" s="184"/>
      <c r="AD462" s="210">
        <f>E462</f>
        <v>46030</v>
      </c>
      <c r="AE462" s="387"/>
      <c r="AF462" s="388"/>
      <c r="AG462" s="388"/>
      <c r="AH462" s="388"/>
      <c r="AI462" s="388"/>
      <c r="AJ462" s="388"/>
      <c r="AK462" s="388"/>
      <c r="AL462" s="388"/>
      <c r="AM462" s="388"/>
      <c r="AN462" s="388"/>
      <c r="AO462" s="388"/>
      <c r="AP462" s="388"/>
      <c r="AQ462" s="388"/>
      <c r="AR462" s="388"/>
      <c r="AS462" s="388"/>
      <c r="AT462" s="388"/>
      <c r="AU462" s="388"/>
      <c r="AV462" s="388"/>
      <c r="AW462" s="388"/>
      <c r="AX462" s="388"/>
      <c r="AY462" s="388"/>
      <c r="AZ462" s="388"/>
      <c r="BA462" s="388"/>
      <c r="BB462" s="389"/>
      <c r="BC462" s="98">
        <v>1</v>
      </c>
      <c r="BD462" s="74">
        <v>1</v>
      </c>
      <c r="BE462" s="75">
        <f t="shared" ref="BE462:BE473" si="189">BD462-BC462</f>
        <v>0</v>
      </c>
    </row>
    <row r="463" spans="1:57" s="1" customFormat="1" ht="21.9" customHeight="1" x14ac:dyDescent="0.4">
      <c r="A463" s="37" t="str">
        <f t="shared" si="182"/>
        <v>8Д</v>
      </c>
      <c r="B463" s="183"/>
      <c r="C463" s="41"/>
      <c r="D463" s="184"/>
      <c r="E463" s="282">
        <f>E462</f>
        <v>46030</v>
      </c>
      <c r="F463" s="335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  <c r="R463" s="336"/>
      <c r="S463" s="336"/>
      <c r="T463" s="336"/>
      <c r="U463" s="336"/>
      <c r="V463" s="336"/>
      <c r="W463" s="336"/>
      <c r="X463" s="98">
        <v>1</v>
      </c>
      <c r="Y463" s="74">
        <v>1</v>
      </c>
      <c r="Z463" s="75">
        <f t="shared" si="188"/>
        <v>0</v>
      </c>
      <c r="AA463" s="107">
        <f>AA462</f>
        <v>0</v>
      </c>
      <c r="AB463" s="41"/>
      <c r="AC463" s="184"/>
      <c r="AD463" s="212">
        <f>AD462</f>
        <v>46030</v>
      </c>
      <c r="AE463" s="387"/>
      <c r="AF463" s="388"/>
      <c r="AG463" s="388"/>
      <c r="AH463" s="388"/>
      <c r="AI463" s="388"/>
      <c r="AJ463" s="388"/>
      <c r="AK463" s="388"/>
      <c r="AL463" s="388"/>
      <c r="AM463" s="388"/>
      <c r="AN463" s="388"/>
      <c r="AO463" s="388"/>
      <c r="AP463" s="388"/>
      <c r="AQ463" s="388"/>
      <c r="AR463" s="388"/>
      <c r="AS463" s="388"/>
      <c r="AT463" s="388"/>
      <c r="AU463" s="388"/>
      <c r="AV463" s="388"/>
      <c r="AW463" s="388"/>
      <c r="AX463" s="388"/>
      <c r="AY463" s="388"/>
      <c r="AZ463" s="388"/>
      <c r="BA463" s="388"/>
      <c r="BB463" s="389"/>
      <c r="BC463" s="98">
        <v>1</v>
      </c>
      <c r="BD463" s="74">
        <v>1</v>
      </c>
      <c r="BE463" s="75">
        <f t="shared" si="189"/>
        <v>0</v>
      </c>
    </row>
    <row r="464" spans="1:57" s="1" customFormat="1" ht="18" customHeight="1" x14ac:dyDescent="0.4">
      <c r="A464" s="37" t="str">
        <f t="shared" si="182"/>
        <v>8Д</v>
      </c>
      <c r="B464" s="183"/>
      <c r="C464" s="41"/>
      <c r="D464" s="184"/>
      <c r="E464" s="282">
        <f t="shared" ref="E464:E473" si="190">E463</f>
        <v>46030</v>
      </c>
      <c r="F464" s="335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  <c r="R464" s="336"/>
      <c r="S464" s="336"/>
      <c r="T464" s="336"/>
      <c r="U464" s="336"/>
      <c r="V464" s="336"/>
      <c r="W464" s="336"/>
      <c r="X464" s="98">
        <v>1</v>
      </c>
      <c r="Y464" s="74">
        <v>1</v>
      </c>
      <c r="Z464" s="75">
        <f t="shared" si="188"/>
        <v>0</v>
      </c>
      <c r="AA464" s="107">
        <f>AA463</f>
        <v>0</v>
      </c>
      <c r="AB464" s="41"/>
      <c r="AC464" s="184"/>
      <c r="AD464" s="212">
        <f t="shared" ref="AD464:AD473" si="191">AD463</f>
        <v>46030</v>
      </c>
      <c r="AE464" s="387"/>
      <c r="AF464" s="388"/>
      <c r="AG464" s="388"/>
      <c r="AH464" s="388"/>
      <c r="AI464" s="388"/>
      <c r="AJ464" s="388"/>
      <c r="AK464" s="388"/>
      <c r="AL464" s="388"/>
      <c r="AM464" s="388"/>
      <c r="AN464" s="388"/>
      <c r="AO464" s="388"/>
      <c r="AP464" s="388"/>
      <c r="AQ464" s="388"/>
      <c r="AR464" s="388"/>
      <c r="AS464" s="388"/>
      <c r="AT464" s="388"/>
      <c r="AU464" s="388"/>
      <c r="AV464" s="388"/>
      <c r="AW464" s="388"/>
      <c r="AX464" s="388"/>
      <c r="AY464" s="388"/>
      <c r="AZ464" s="388"/>
      <c r="BA464" s="388"/>
      <c r="BB464" s="389"/>
      <c r="BC464" s="98">
        <v>1</v>
      </c>
      <c r="BD464" s="74">
        <v>1</v>
      </c>
      <c r="BE464" s="75">
        <f t="shared" si="189"/>
        <v>0</v>
      </c>
    </row>
    <row r="465" spans="1:57" s="1" customFormat="1" ht="18" customHeight="1" x14ac:dyDescent="0.4">
      <c r="A465" s="37" t="str">
        <f t="shared" si="182"/>
        <v>8Д</v>
      </c>
      <c r="B465" s="183"/>
      <c r="C465" s="41"/>
      <c r="D465" s="184"/>
      <c r="E465" s="282">
        <f t="shared" si="190"/>
        <v>46030</v>
      </c>
      <c r="F465" s="335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  <c r="R465" s="336"/>
      <c r="S465" s="336"/>
      <c r="T465" s="336"/>
      <c r="U465" s="336"/>
      <c r="V465" s="336"/>
      <c r="W465" s="336"/>
      <c r="X465" s="98">
        <v>1</v>
      </c>
      <c r="Y465" s="74">
        <v>1</v>
      </c>
      <c r="Z465" s="75">
        <f t="shared" si="188"/>
        <v>0</v>
      </c>
      <c r="AA465" s="107">
        <f t="shared" ref="AA465:AA473" si="192">AA464</f>
        <v>0</v>
      </c>
      <c r="AB465" s="41"/>
      <c r="AC465" s="184"/>
      <c r="AD465" s="212">
        <f t="shared" si="191"/>
        <v>46030</v>
      </c>
      <c r="AE465" s="387"/>
      <c r="AF465" s="388"/>
      <c r="AG465" s="388"/>
      <c r="AH465" s="388"/>
      <c r="AI465" s="388"/>
      <c r="AJ465" s="388"/>
      <c r="AK465" s="388"/>
      <c r="AL465" s="388"/>
      <c r="AM465" s="388"/>
      <c r="AN465" s="388"/>
      <c r="AO465" s="388"/>
      <c r="AP465" s="388"/>
      <c r="AQ465" s="388"/>
      <c r="AR465" s="388"/>
      <c r="AS465" s="388"/>
      <c r="AT465" s="388"/>
      <c r="AU465" s="388"/>
      <c r="AV465" s="388"/>
      <c r="AW465" s="388"/>
      <c r="AX465" s="388"/>
      <c r="AY465" s="388"/>
      <c r="AZ465" s="388"/>
      <c r="BA465" s="388"/>
      <c r="BB465" s="389"/>
      <c r="BC465" s="98">
        <v>1</v>
      </c>
      <c r="BD465" s="74">
        <v>1</v>
      </c>
      <c r="BE465" s="75">
        <f t="shared" si="189"/>
        <v>0</v>
      </c>
    </row>
    <row r="466" spans="1:57" s="1" customFormat="1" ht="18" customHeight="1" x14ac:dyDescent="0.4">
      <c r="A466" s="37" t="str">
        <f t="shared" si="182"/>
        <v>8Д</v>
      </c>
      <c r="B466" s="183"/>
      <c r="C466" s="41"/>
      <c r="D466" s="184"/>
      <c r="E466" s="282">
        <f t="shared" si="190"/>
        <v>46030</v>
      </c>
      <c r="F466" s="335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  <c r="R466" s="336"/>
      <c r="S466" s="336"/>
      <c r="T466" s="336"/>
      <c r="U466" s="336"/>
      <c r="V466" s="336"/>
      <c r="W466" s="336"/>
      <c r="X466" s="98">
        <v>1</v>
      </c>
      <c r="Y466" s="74">
        <v>1</v>
      </c>
      <c r="Z466" s="75">
        <f t="shared" si="188"/>
        <v>0</v>
      </c>
      <c r="AA466" s="107">
        <f t="shared" si="192"/>
        <v>0</v>
      </c>
      <c r="AB466" s="41"/>
      <c r="AC466" s="184"/>
      <c r="AD466" s="212">
        <f t="shared" si="191"/>
        <v>46030</v>
      </c>
      <c r="AE466" s="387"/>
      <c r="AF466" s="388"/>
      <c r="AG466" s="388"/>
      <c r="AH466" s="388"/>
      <c r="AI466" s="388"/>
      <c r="AJ466" s="388"/>
      <c r="AK466" s="388"/>
      <c r="AL466" s="388"/>
      <c r="AM466" s="388"/>
      <c r="AN466" s="388"/>
      <c r="AO466" s="388"/>
      <c r="AP466" s="388"/>
      <c r="AQ466" s="388"/>
      <c r="AR466" s="388"/>
      <c r="AS466" s="388"/>
      <c r="AT466" s="388"/>
      <c r="AU466" s="388"/>
      <c r="AV466" s="388"/>
      <c r="AW466" s="388"/>
      <c r="AX466" s="388"/>
      <c r="AY466" s="388"/>
      <c r="AZ466" s="388"/>
      <c r="BA466" s="388"/>
      <c r="BB466" s="389"/>
      <c r="BC466" s="98">
        <v>1</v>
      </c>
      <c r="BD466" s="74">
        <v>1</v>
      </c>
      <c r="BE466" s="75">
        <f t="shared" si="189"/>
        <v>0</v>
      </c>
    </row>
    <row r="467" spans="1:57" s="1" customFormat="1" ht="18" customHeight="1" x14ac:dyDescent="0.4">
      <c r="A467" s="37" t="str">
        <f t="shared" si="182"/>
        <v>8Д</v>
      </c>
      <c r="B467" s="183"/>
      <c r="C467" s="41"/>
      <c r="D467" s="184"/>
      <c r="E467" s="282">
        <f t="shared" si="190"/>
        <v>46030</v>
      </c>
      <c r="F467" s="335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  <c r="R467" s="336"/>
      <c r="S467" s="336"/>
      <c r="T467" s="336"/>
      <c r="U467" s="336"/>
      <c r="V467" s="336"/>
      <c r="W467" s="336"/>
      <c r="X467" s="98">
        <v>1</v>
      </c>
      <c r="Y467" s="74">
        <v>1</v>
      </c>
      <c r="Z467" s="75">
        <f t="shared" si="188"/>
        <v>0</v>
      </c>
      <c r="AA467" s="107">
        <f t="shared" si="192"/>
        <v>0</v>
      </c>
      <c r="AB467" s="41"/>
      <c r="AC467" s="184"/>
      <c r="AD467" s="212">
        <f t="shared" si="191"/>
        <v>46030</v>
      </c>
      <c r="AE467" s="387"/>
      <c r="AF467" s="388"/>
      <c r="AG467" s="388"/>
      <c r="AH467" s="388"/>
      <c r="AI467" s="388"/>
      <c r="AJ467" s="388"/>
      <c r="AK467" s="388"/>
      <c r="AL467" s="388"/>
      <c r="AM467" s="388"/>
      <c r="AN467" s="388"/>
      <c r="AO467" s="388"/>
      <c r="AP467" s="388"/>
      <c r="AQ467" s="388"/>
      <c r="AR467" s="388"/>
      <c r="AS467" s="388"/>
      <c r="AT467" s="388"/>
      <c r="AU467" s="388"/>
      <c r="AV467" s="388"/>
      <c r="AW467" s="388"/>
      <c r="AX467" s="388"/>
      <c r="AY467" s="388"/>
      <c r="AZ467" s="388"/>
      <c r="BA467" s="388"/>
      <c r="BB467" s="389"/>
      <c r="BC467" s="98">
        <v>1</v>
      </c>
      <c r="BD467" s="74">
        <v>1</v>
      </c>
      <c r="BE467" s="75">
        <f t="shared" si="189"/>
        <v>0</v>
      </c>
    </row>
    <row r="468" spans="1:57" s="1" customFormat="1" ht="18" customHeight="1" x14ac:dyDescent="0.4">
      <c r="A468" s="37" t="str">
        <f t="shared" si="182"/>
        <v>8Д</v>
      </c>
      <c r="B468" s="183"/>
      <c r="C468" s="41"/>
      <c r="D468" s="184"/>
      <c r="E468" s="282">
        <f t="shared" si="190"/>
        <v>46030</v>
      </c>
      <c r="F468" s="335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  <c r="R468" s="336"/>
      <c r="S468" s="336"/>
      <c r="T468" s="336"/>
      <c r="U468" s="336"/>
      <c r="V468" s="336"/>
      <c r="W468" s="336"/>
      <c r="X468" s="98">
        <v>1</v>
      </c>
      <c r="Y468" s="74">
        <v>1</v>
      </c>
      <c r="Z468" s="75">
        <f t="shared" si="188"/>
        <v>0</v>
      </c>
      <c r="AA468" s="107">
        <f t="shared" si="192"/>
        <v>0</v>
      </c>
      <c r="AB468" s="41"/>
      <c r="AC468" s="184"/>
      <c r="AD468" s="212">
        <f t="shared" si="191"/>
        <v>46030</v>
      </c>
      <c r="AE468" s="387"/>
      <c r="AF468" s="388"/>
      <c r="AG468" s="388"/>
      <c r="AH468" s="388"/>
      <c r="AI468" s="388"/>
      <c r="AJ468" s="388"/>
      <c r="AK468" s="388"/>
      <c r="AL468" s="388"/>
      <c r="AM468" s="388"/>
      <c r="AN468" s="388"/>
      <c r="AO468" s="388"/>
      <c r="AP468" s="388"/>
      <c r="AQ468" s="388"/>
      <c r="AR468" s="388"/>
      <c r="AS468" s="388"/>
      <c r="AT468" s="388"/>
      <c r="AU468" s="388"/>
      <c r="AV468" s="388"/>
      <c r="AW468" s="388"/>
      <c r="AX468" s="388"/>
      <c r="AY468" s="388"/>
      <c r="AZ468" s="388"/>
      <c r="BA468" s="388"/>
      <c r="BB468" s="389"/>
      <c r="BC468" s="98">
        <v>1</v>
      </c>
      <c r="BD468" s="74">
        <v>1</v>
      </c>
      <c r="BE468" s="75">
        <f t="shared" si="189"/>
        <v>0</v>
      </c>
    </row>
    <row r="469" spans="1:57" s="1" customFormat="1" ht="18" customHeight="1" x14ac:dyDescent="0.4">
      <c r="A469" s="37" t="str">
        <f t="shared" si="182"/>
        <v>8Д</v>
      </c>
      <c r="B469" s="183"/>
      <c r="C469" s="41"/>
      <c r="D469" s="184"/>
      <c r="E469" s="282">
        <f t="shared" si="190"/>
        <v>46030</v>
      </c>
      <c r="F469" s="335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  <c r="R469" s="336"/>
      <c r="S469" s="336"/>
      <c r="T469" s="336"/>
      <c r="U469" s="336"/>
      <c r="V469" s="336"/>
      <c r="W469" s="336"/>
      <c r="X469" s="98">
        <v>1</v>
      </c>
      <c r="Y469" s="74">
        <v>1</v>
      </c>
      <c r="Z469" s="75">
        <f t="shared" si="188"/>
        <v>0</v>
      </c>
      <c r="AA469" s="107">
        <f t="shared" si="192"/>
        <v>0</v>
      </c>
      <c r="AB469" s="41"/>
      <c r="AC469" s="184"/>
      <c r="AD469" s="212">
        <f t="shared" si="191"/>
        <v>46030</v>
      </c>
      <c r="AE469" s="387"/>
      <c r="AF469" s="388"/>
      <c r="AG469" s="388"/>
      <c r="AH469" s="388"/>
      <c r="AI469" s="388"/>
      <c r="AJ469" s="388"/>
      <c r="AK469" s="388"/>
      <c r="AL469" s="388"/>
      <c r="AM469" s="388"/>
      <c r="AN469" s="388"/>
      <c r="AO469" s="388"/>
      <c r="AP469" s="388"/>
      <c r="AQ469" s="388"/>
      <c r="AR469" s="388"/>
      <c r="AS469" s="388"/>
      <c r="AT469" s="388"/>
      <c r="AU469" s="388"/>
      <c r="AV469" s="388"/>
      <c r="AW469" s="388"/>
      <c r="AX469" s="388"/>
      <c r="AY469" s="388"/>
      <c r="AZ469" s="388"/>
      <c r="BA469" s="388"/>
      <c r="BB469" s="389"/>
      <c r="BC469" s="98">
        <v>1</v>
      </c>
      <c r="BD469" s="74">
        <v>1</v>
      </c>
      <c r="BE469" s="75">
        <f t="shared" si="189"/>
        <v>0</v>
      </c>
    </row>
    <row r="470" spans="1:57" s="1" customFormat="1" ht="18" customHeight="1" x14ac:dyDescent="0.4">
      <c r="A470" s="37" t="str">
        <f t="shared" si="182"/>
        <v>8Д</v>
      </c>
      <c r="B470" s="183"/>
      <c r="C470" s="41"/>
      <c r="D470" s="184"/>
      <c r="E470" s="282">
        <f t="shared" si="190"/>
        <v>46030</v>
      </c>
      <c r="F470" s="335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  <c r="R470" s="336"/>
      <c r="S470" s="336"/>
      <c r="T470" s="336"/>
      <c r="U470" s="336"/>
      <c r="V470" s="336"/>
      <c r="W470" s="336"/>
      <c r="X470" s="98">
        <v>1</v>
      </c>
      <c r="Y470" s="74">
        <v>1</v>
      </c>
      <c r="Z470" s="75">
        <f t="shared" si="188"/>
        <v>0</v>
      </c>
      <c r="AA470" s="107">
        <f t="shared" si="192"/>
        <v>0</v>
      </c>
      <c r="AB470" s="41"/>
      <c r="AC470" s="184"/>
      <c r="AD470" s="212">
        <f t="shared" si="191"/>
        <v>46030</v>
      </c>
      <c r="AE470" s="387"/>
      <c r="AF470" s="388"/>
      <c r="AG470" s="388"/>
      <c r="AH470" s="388"/>
      <c r="AI470" s="388"/>
      <c r="AJ470" s="388"/>
      <c r="AK470" s="388"/>
      <c r="AL470" s="388"/>
      <c r="AM470" s="388"/>
      <c r="AN470" s="388"/>
      <c r="AO470" s="388"/>
      <c r="AP470" s="388"/>
      <c r="AQ470" s="388"/>
      <c r="AR470" s="388"/>
      <c r="AS470" s="388"/>
      <c r="AT470" s="388"/>
      <c r="AU470" s="388"/>
      <c r="AV470" s="388"/>
      <c r="AW470" s="388"/>
      <c r="AX470" s="388"/>
      <c r="AY470" s="388"/>
      <c r="AZ470" s="388"/>
      <c r="BA470" s="388"/>
      <c r="BB470" s="389"/>
      <c r="BC470" s="98">
        <v>1</v>
      </c>
      <c r="BD470" s="74">
        <v>1</v>
      </c>
      <c r="BE470" s="75">
        <f t="shared" si="189"/>
        <v>0</v>
      </c>
    </row>
    <row r="471" spans="1:57" s="1" customFormat="1" ht="18" customHeight="1" x14ac:dyDescent="0.4">
      <c r="A471" s="37" t="str">
        <f t="shared" si="182"/>
        <v>8Д</v>
      </c>
      <c r="B471" s="183"/>
      <c r="C471" s="41"/>
      <c r="D471" s="184"/>
      <c r="E471" s="282">
        <f t="shared" si="190"/>
        <v>46030</v>
      </c>
      <c r="F471" s="335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  <c r="R471" s="336"/>
      <c r="S471" s="336"/>
      <c r="T471" s="336"/>
      <c r="U471" s="336"/>
      <c r="V471" s="336"/>
      <c r="W471" s="336"/>
      <c r="X471" s="98">
        <v>1</v>
      </c>
      <c r="Y471" s="74">
        <v>1</v>
      </c>
      <c r="Z471" s="75">
        <f t="shared" si="188"/>
        <v>0</v>
      </c>
      <c r="AA471" s="107">
        <f t="shared" si="192"/>
        <v>0</v>
      </c>
      <c r="AB471" s="41"/>
      <c r="AC471" s="184"/>
      <c r="AD471" s="212">
        <f t="shared" si="191"/>
        <v>46030</v>
      </c>
      <c r="AE471" s="387"/>
      <c r="AF471" s="388"/>
      <c r="AG471" s="388"/>
      <c r="AH471" s="388"/>
      <c r="AI471" s="388"/>
      <c r="AJ471" s="388"/>
      <c r="AK471" s="388"/>
      <c r="AL471" s="388"/>
      <c r="AM471" s="388"/>
      <c r="AN471" s="388"/>
      <c r="AO471" s="388"/>
      <c r="AP471" s="388"/>
      <c r="AQ471" s="388"/>
      <c r="AR471" s="388"/>
      <c r="AS471" s="388"/>
      <c r="AT471" s="388"/>
      <c r="AU471" s="388"/>
      <c r="AV471" s="388"/>
      <c r="AW471" s="388"/>
      <c r="AX471" s="388"/>
      <c r="AY471" s="388"/>
      <c r="AZ471" s="388"/>
      <c r="BA471" s="388"/>
      <c r="BB471" s="389"/>
      <c r="BC471" s="98">
        <v>1</v>
      </c>
      <c r="BD471" s="74">
        <v>1</v>
      </c>
      <c r="BE471" s="75">
        <f t="shared" si="189"/>
        <v>0</v>
      </c>
    </row>
    <row r="472" spans="1:57" s="1" customFormat="1" ht="18" customHeight="1" x14ac:dyDescent="0.4">
      <c r="A472" s="37" t="str">
        <f t="shared" si="182"/>
        <v>8Д</v>
      </c>
      <c r="B472" s="183"/>
      <c r="C472" s="41"/>
      <c r="D472" s="184"/>
      <c r="E472" s="282">
        <f t="shared" si="190"/>
        <v>46030</v>
      </c>
      <c r="F472" s="335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  <c r="R472" s="336"/>
      <c r="S472" s="336"/>
      <c r="T472" s="336"/>
      <c r="U472" s="336"/>
      <c r="V472" s="336"/>
      <c r="W472" s="336"/>
      <c r="X472" s="98">
        <v>1</v>
      </c>
      <c r="Y472" s="74">
        <v>1</v>
      </c>
      <c r="Z472" s="75">
        <f t="shared" si="188"/>
        <v>0</v>
      </c>
      <c r="AA472" s="107">
        <f t="shared" si="192"/>
        <v>0</v>
      </c>
      <c r="AB472" s="41"/>
      <c r="AC472" s="184"/>
      <c r="AD472" s="212">
        <f t="shared" si="191"/>
        <v>46030</v>
      </c>
      <c r="AE472" s="387"/>
      <c r="AF472" s="388"/>
      <c r="AG472" s="388"/>
      <c r="AH472" s="388"/>
      <c r="AI472" s="388"/>
      <c r="AJ472" s="388"/>
      <c r="AK472" s="388"/>
      <c r="AL472" s="388"/>
      <c r="AM472" s="388"/>
      <c r="AN472" s="388"/>
      <c r="AO472" s="388"/>
      <c r="AP472" s="388"/>
      <c r="AQ472" s="388"/>
      <c r="AR472" s="388"/>
      <c r="AS472" s="388"/>
      <c r="AT472" s="388"/>
      <c r="AU472" s="388"/>
      <c r="AV472" s="388"/>
      <c r="AW472" s="388"/>
      <c r="AX472" s="388"/>
      <c r="AY472" s="388"/>
      <c r="AZ472" s="388"/>
      <c r="BA472" s="388"/>
      <c r="BB472" s="389"/>
      <c r="BC472" s="98">
        <v>1</v>
      </c>
      <c r="BD472" s="74">
        <v>1</v>
      </c>
      <c r="BE472" s="75">
        <f t="shared" si="189"/>
        <v>0</v>
      </c>
    </row>
    <row r="473" spans="1:57" s="1" customFormat="1" ht="18" customHeight="1" thickBot="1" x14ac:dyDescent="0.45">
      <c r="A473" s="37" t="str">
        <f t="shared" si="182"/>
        <v>8Д</v>
      </c>
      <c r="B473" s="183"/>
      <c r="C473" s="41"/>
      <c r="D473" s="184"/>
      <c r="E473" s="283">
        <f t="shared" si="190"/>
        <v>46030</v>
      </c>
      <c r="F473" s="339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99">
        <v>1</v>
      </c>
      <c r="Y473" s="76">
        <v>1</v>
      </c>
      <c r="Z473" s="77">
        <f t="shared" si="188"/>
        <v>0</v>
      </c>
      <c r="AA473" s="107">
        <f t="shared" si="192"/>
        <v>0</v>
      </c>
      <c r="AB473" s="41"/>
      <c r="AC473" s="184"/>
      <c r="AD473" s="211">
        <f t="shared" si="191"/>
        <v>46030</v>
      </c>
      <c r="AE473" s="410"/>
      <c r="AF473" s="411"/>
      <c r="AG473" s="411"/>
      <c r="AH473" s="411"/>
      <c r="AI473" s="411"/>
      <c r="AJ473" s="411"/>
      <c r="AK473" s="411"/>
      <c r="AL473" s="411"/>
      <c r="AM473" s="411"/>
      <c r="AN473" s="411"/>
      <c r="AO473" s="411"/>
      <c r="AP473" s="411"/>
      <c r="AQ473" s="411"/>
      <c r="AR473" s="411"/>
      <c r="AS473" s="411"/>
      <c r="AT473" s="411"/>
      <c r="AU473" s="411"/>
      <c r="AV473" s="411"/>
      <c r="AW473" s="411"/>
      <c r="AX473" s="411"/>
      <c r="AY473" s="411"/>
      <c r="AZ473" s="411"/>
      <c r="BA473" s="411"/>
      <c r="BB473" s="412"/>
      <c r="BC473" s="99">
        <v>1</v>
      </c>
      <c r="BD473" s="76">
        <v>1</v>
      </c>
      <c r="BE473" s="75">
        <f t="shared" si="189"/>
        <v>0</v>
      </c>
    </row>
    <row r="474" spans="1:57" s="1" customFormat="1" ht="23.25" customHeight="1" thickBot="1" x14ac:dyDescent="0.45">
      <c r="A474" s="37" t="str">
        <f t="shared" si="182"/>
        <v>8Д</v>
      </c>
      <c r="B474" s="193"/>
      <c r="C474" s="47"/>
      <c r="D474" s="47"/>
      <c r="E474" s="47"/>
      <c r="F474" s="78"/>
      <c r="G474" s="78"/>
      <c r="H474" s="78"/>
      <c r="I474" s="80"/>
      <c r="J474" s="80"/>
      <c r="K474" s="80"/>
      <c r="L474" s="80"/>
      <c r="M474" s="80"/>
      <c r="N474" s="80"/>
      <c r="O474" s="78"/>
      <c r="P474" s="81"/>
      <c r="Q474" s="81"/>
      <c r="R474" s="81"/>
      <c r="S474" s="81"/>
      <c r="T474" s="81"/>
      <c r="U474" s="82"/>
      <c r="V474" s="82"/>
      <c r="W474" s="86"/>
      <c r="X474" s="194"/>
      <c r="Y474" s="83"/>
      <c r="Z474" s="83"/>
      <c r="AA474" s="78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84"/>
      <c r="AN474" s="47"/>
      <c r="AO474" s="78"/>
      <c r="AP474" s="78"/>
      <c r="AQ474" s="78"/>
      <c r="AR474" s="84"/>
      <c r="AS474" s="78"/>
      <c r="AT474" s="85"/>
      <c r="AU474" s="78"/>
      <c r="AV474" s="83"/>
      <c r="AW474" s="83"/>
      <c r="AX474" s="78"/>
      <c r="AY474" s="78"/>
      <c r="AZ474" s="78"/>
      <c r="BA474" s="78"/>
      <c r="BB474" s="78"/>
      <c r="BC474" s="78"/>
      <c r="BD474" s="79"/>
      <c r="BE474" s="79"/>
    </row>
    <row r="475" spans="1:57" s="1" customFormat="1" ht="21.6" customHeight="1" thickBot="1" x14ac:dyDescent="0.45">
      <c r="A475" s="37" t="s">
        <v>161</v>
      </c>
      <c r="B475" s="59"/>
      <c r="C475" s="51"/>
      <c r="D475" s="51"/>
      <c r="E475" s="51"/>
      <c r="F475" s="158" t="s">
        <v>220</v>
      </c>
      <c r="G475" s="51"/>
      <c r="H475" s="51"/>
      <c r="I475" s="156"/>
      <c r="J475" s="156"/>
      <c r="K475" s="156"/>
      <c r="L475" s="156"/>
      <c r="M475" s="156"/>
      <c r="N475" s="156"/>
      <c r="O475" s="91"/>
      <c r="P475" s="52"/>
      <c r="Q475" s="52"/>
      <c r="R475" s="52"/>
      <c r="S475" s="52"/>
      <c r="T475" s="52"/>
      <c r="U475" s="157"/>
      <c r="V475" s="157"/>
      <c r="W475" s="94"/>
      <c r="X475" s="94"/>
      <c r="Y475" s="51"/>
      <c r="Z475" s="51"/>
      <c r="AA475" s="157">
        <f>AA458</f>
        <v>1</v>
      </c>
      <c r="AB475" s="157">
        <f t="shared" ref="AB475:AF475" si="193">AB458</f>
        <v>2</v>
      </c>
      <c r="AC475" s="157">
        <f t="shared" si="193"/>
        <v>3</v>
      </c>
      <c r="AD475" s="157">
        <f t="shared" si="193"/>
        <v>4</v>
      </c>
      <c r="AE475" s="157">
        <f t="shared" si="193"/>
        <v>5</v>
      </c>
      <c r="AF475" s="157">
        <f t="shared" si="193"/>
        <v>6</v>
      </c>
      <c r="AG475" s="162" t="s">
        <v>123</v>
      </c>
      <c r="AH475" s="162" t="s">
        <v>124</v>
      </c>
      <c r="AI475" s="162" t="s">
        <v>125</v>
      </c>
      <c r="AJ475" s="91" t="s">
        <v>126</v>
      </c>
      <c r="AK475" s="198" t="s">
        <v>136</v>
      </c>
      <c r="AL475" s="198" t="s">
        <v>137</v>
      </c>
      <c r="AM475" s="198" t="s">
        <v>138</v>
      </c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</row>
    <row r="476" spans="1:57" s="1" customFormat="1" ht="21.6" customHeight="1" x14ac:dyDescent="0.4">
      <c r="A476" s="37" t="str">
        <f>A475</f>
        <v>8Н</v>
      </c>
      <c r="B476" s="12">
        <f>B457</f>
        <v>46030</v>
      </c>
      <c r="C476" s="97"/>
      <c r="D476" s="97">
        <v>1</v>
      </c>
      <c r="E476" s="29"/>
      <c r="F476" s="151" t="str">
        <f>IFERROR(VLOOKUP($G476,нормы!$A$14:$BC$57,2,0),"")</f>
        <v/>
      </c>
      <c r="G476" s="93"/>
      <c r="H476" s="54">
        <f>IF(C476=1,"Кульков С.А.", IF(C476=2,"Чудаков А.А.",IF(C476=3,"Королев В.Н.",IF(C476=4,"Николашин М.П.",IF(C476=5," Кульков С.А.",IF(C476=6,"А.А. Чудаков",IF(C476=7,"В.Н. Королев",IF(C476=8,"М.П. Николашин",0))))))))</f>
        <v>0</v>
      </c>
      <c r="I476" s="88" t="s">
        <v>84</v>
      </c>
      <c r="J476" s="332"/>
      <c r="K476" s="30">
        <f>IFERROR(VLOOKUP($G476,[1]нормы!$A$21:$BC$151,15,0),"")</f>
        <v>0</v>
      </c>
      <c r="L476" s="31">
        <f>IFERROR(VLOOKUP($G476,[1]нормы!$A$21:$BC$151,17,0),"")</f>
        <v>0</v>
      </c>
      <c r="M476" s="310">
        <f>IFERROR(VLOOKUP($G476,[1]нормы!$A$21:$BC$151,27,0),"")</f>
        <v>0</v>
      </c>
      <c r="N476" s="311" t="str">
        <f>IFERROR(Y476/Y482*(1.1*J476*I481),"")</f>
        <v/>
      </c>
      <c r="O476" s="300">
        <f>IFERROR(VLOOKUP($G476,[1]нормы!$A$21:$BC$151,21,0),"")</f>
        <v>0</v>
      </c>
      <c r="P476" s="35">
        <f>IFERROR(VLOOKUP($G476,[1]нормы!$A$21:$BC$151,19,0),"")</f>
        <v>0</v>
      </c>
      <c r="Q476" s="35">
        <f>IFERROR(VLOOKUP($G476,[1]нормы!$A$21:$BC$151,23,0),"")</f>
        <v>0</v>
      </c>
      <c r="R476" s="231">
        <f>IFERROR(VLOOKUP($G476,[1]нормы!$A$21:$BC$151,29,0),"")</f>
        <v>0</v>
      </c>
      <c r="S476" s="35">
        <f>IFERROR(VLOOKUP($G476,[1]нормы!$A$21:$BC$151,31,0),"")</f>
        <v>0</v>
      </c>
      <c r="T476" s="32">
        <f>IFERROR(VLOOKUP($G476,[1]нормы!$A$21:$BC$151,25,0),"")</f>
        <v>0</v>
      </c>
      <c r="U476" s="232" t="str">
        <f>IFERROR(W476/(((100*Y476/Y482)*I481)/100),"")</f>
        <v/>
      </c>
      <c r="V476" s="234" t="str">
        <f>IFERROR(VLOOKUP($G476,нормы!$A$14:$BC$57,38,0),"")</f>
        <v/>
      </c>
      <c r="W476" s="136"/>
      <c r="X476" s="236"/>
      <c r="Y476" s="152" t="str">
        <f>IFERROR(VLOOKUP($G476,нормы!$A$14:$BC$57,42,0)*W476,"")</f>
        <v/>
      </c>
      <c r="Z476" s="163">
        <f>IFERROR(VLOOKUP($G476,нормы!$A$14:$BC$57,14,0)*W476/1000,0)</f>
        <v>0</v>
      </c>
      <c r="AA476" s="33"/>
      <c r="AB476" s="36"/>
      <c r="AC476" s="36"/>
      <c r="AD476" s="36"/>
      <c r="AE476" s="34"/>
      <c r="AF476" s="159"/>
      <c r="AG476" s="390"/>
      <c r="AH476" s="393"/>
      <c r="AI476" s="396"/>
      <c r="AJ476" s="407">
        <f>AG476+AH476</f>
        <v>0</v>
      </c>
      <c r="AK476" s="359"/>
      <c r="AL476" s="359"/>
      <c r="AM476" s="359"/>
      <c r="AN476" s="287">
        <f>IFERROR(Y476*AJ476/Y482,)</f>
        <v>0</v>
      </c>
      <c r="AO476" s="197" t="str">
        <f>IFERROR(VLOOKUP($G476,нормы!$A$14:$BC$57,53,0)*$W476,"")</f>
        <v/>
      </c>
      <c r="AP476" s="288">
        <f>IFERROR(Y476*AI476/Y482,)</f>
        <v>0</v>
      </c>
      <c r="AQ476" s="197" t="str">
        <f>IFERROR(VLOOKUP($G476,нормы!$A$14:$BC$57,54,0)*$W476,"")</f>
        <v/>
      </c>
      <c r="AR476" s="288">
        <f>IFERROR(AS476/SUM(AS476:AS481)*AL476,0)</f>
        <v>0</v>
      </c>
      <c r="AS476" s="197" t="str">
        <f>IFERROR(VLOOKUP($G476,нормы!$A$14:$BC$57,55,0)*W476,"")</f>
        <v/>
      </c>
      <c r="AT476" s="288">
        <f>IFERROR(AU476/SUM(AU476:AU481)*AM476,0)</f>
        <v>0</v>
      </c>
      <c r="AU476" s="197" t="str">
        <f>IFERROR(VLOOKUP($G476,нормы!$A$14:$BI$57,56,0)*W476,"")</f>
        <v/>
      </c>
      <c r="AV476" s="288">
        <f>IFERROR(AW476/SUM(AW476:AW481)*AK476,0)</f>
        <v>0</v>
      </c>
      <c r="AW476" s="202" t="str">
        <f>IFERROR(VLOOKUP($G476,нормы!$A$14:$BI$57,57,0)*W476,"")</f>
        <v/>
      </c>
      <c r="AX476" s="33"/>
      <c r="AY476" s="203" t="str">
        <f>IFERROR(VLOOKUP($G476,нормы!$A$14:$BI$57,58,0)*W476,"")</f>
        <v/>
      </c>
      <c r="AZ476" s="204"/>
      <c r="BA476" s="200" t="str">
        <f>IFERROR(VLOOKUP($G476,нормы!$A$14:$BI$57,61,0)*$W476,"")</f>
        <v/>
      </c>
      <c r="BB476" s="33"/>
      <c r="BC476" s="203" t="str">
        <f>IFERROR(VLOOKUP($G476,нормы!$A$14:$BI$57,60,0)*W476,"")</f>
        <v/>
      </c>
      <c r="BD476" s="200" t="str">
        <f>IFERROR(VLOOKUP($G476,нормы!$A$14:$BG$57,44,0),"")</f>
        <v/>
      </c>
      <c r="BE476" s="199" t="str">
        <f>IFERROR(W476/VLOOKUP($G476,нормы!$A$14:$BI$57,45,0),"")</f>
        <v/>
      </c>
    </row>
    <row r="477" spans="1:57" s="1" customFormat="1" ht="21.6" customHeight="1" x14ac:dyDescent="0.4">
      <c r="A477" s="37" t="str">
        <f t="shared" ref="A477:A505" si="194">A476</f>
        <v>8Н</v>
      </c>
      <c r="B477" s="12">
        <f t="shared" ref="B477:D481" si="195">B476</f>
        <v>46030</v>
      </c>
      <c r="C477" s="97">
        <f t="shared" si="195"/>
        <v>0</v>
      </c>
      <c r="D477" s="97">
        <f t="shared" si="195"/>
        <v>1</v>
      </c>
      <c r="E477" s="54"/>
      <c r="F477" s="151" t="str">
        <f>IFERROR(VLOOKUP($G477,нормы!$A$14:$BC$57,2,0),"")</f>
        <v/>
      </c>
      <c r="G477" s="93"/>
      <c r="H477" s="54">
        <f t="shared" ref="H477:H481" si="196">IF(C477=1,"Кульков С.А.", IF(C477=2,"Чудаков А.А.",IF(C477=3,"Королев В.Н.",IF(C477=4,"Николашин М.П.",IF(C477=5," Кульков С.А.",IF(C477=6,"А.А. Чудаков",IF(C477=7,"В.Н. Королев",IF(C477=8,"М.П. Николашин",0))))))))</f>
        <v>0</v>
      </c>
      <c r="I477" s="55"/>
      <c r="J477" s="333"/>
      <c r="K477" s="30">
        <f>IFERROR(VLOOKUP($G477,[1]нормы!$A$21:$BC$151,15,0),"")</f>
        <v>0</v>
      </c>
      <c r="L477" s="31">
        <f>IFERROR(VLOOKUP($G477,[1]нормы!$A$21:$BC$151,17,0),"")</f>
        <v>0</v>
      </c>
      <c r="M477" s="306">
        <f>IFERROR(VLOOKUP($G477,[1]нормы!$A$21:$BC$151,27,0),"")</f>
        <v>0</v>
      </c>
      <c r="N477" s="307" t="str">
        <f>IFERROR(Y477/Y482*(1.1*J476*I481),"")</f>
        <v/>
      </c>
      <c r="O477" s="300">
        <f>IFERROR(VLOOKUP($G477,[1]нормы!$A$21:$BC$151,21,0),"")</f>
        <v>0</v>
      </c>
      <c r="P477" s="35">
        <f>IFERROR(VLOOKUP($G477,[1]нормы!$A$21:$BC$151,19,0),"")</f>
        <v>0</v>
      </c>
      <c r="Q477" s="35">
        <f>IFERROR(VLOOKUP($G477,[1]нормы!$A$21:$BC$151,23,0),"")</f>
        <v>0</v>
      </c>
      <c r="R477" s="231">
        <f>IFERROR(VLOOKUP($G477,[1]нормы!$A$21:$BC$151,29,0),"")</f>
        <v>0</v>
      </c>
      <c r="S477" s="35">
        <f>IFERROR(VLOOKUP($G477,[1]нормы!$A$21:$BC$151,31,0),"")</f>
        <v>0</v>
      </c>
      <c r="T477" s="32">
        <f>IFERROR(VLOOKUP($G477,[1]нормы!$A$21:$BC$151,25,0),"")</f>
        <v>0</v>
      </c>
      <c r="U477" s="233" t="str">
        <f>IFERROR(W477/(((100*Y477/Y482)*I481)/100),"")</f>
        <v/>
      </c>
      <c r="V477" s="234" t="str">
        <f>IFERROR(VLOOKUP($G477,нормы!$A$14:$BC$57,38,0),"")</f>
        <v/>
      </c>
      <c r="W477" s="136"/>
      <c r="X477" s="237"/>
      <c r="Y477" s="152" t="str">
        <f>IFERROR(VLOOKUP($G477,нормы!$A$14:$BC$57,42,0)*W477,"")</f>
        <v/>
      </c>
      <c r="Z477" s="163">
        <f>IFERROR(VLOOKUP($G477,нормы!$A$14:$BC$57,14,0)*W477/1000,0)</f>
        <v>0</v>
      </c>
      <c r="AA477" s="142"/>
      <c r="AB477" s="35"/>
      <c r="AC477" s="35"/>
      <c r="AD477" s="35"/>
      <c r="AE477" s="31"/>
      <c r="AF477" s="160"/>
      <c r="AG477" s="391"/>
      <c r="AH477" s="394"/>
      <c r="AI477" s="397"/>
      <c r="AJ477" s="408"/>
      <c r="AK477" s="360"/>
      <c r="AL477" s="360"/>
      <c r="AM477" s="360"/>
      <c r="AN477" s="289">
        <f>IFERROR(Y477*AJ476/Y482,)</f>
        <v>0</v>
      </c>
      <c r="AO477" s="197" t="str">
        <f>IFERROR(VLOOKUP($G477,нормы!$A$14:$BC$57,53,0)*$W477,"")</f>
        <v/>
      </c>
      <c r="AP477" s="290">
        <f>IFERROR(Y477*AI476/Y482,)</f>
        <v>0</v>
      </c>
      <c r="AQ477" s="197" t="str">
        <f>IFERROR(VLOOKUP($G477,нормы!$A$14:$BC$57,54,0)*$W477,"")</f>
        <v/>
      </c>
      <c r="AR477" s="290">
        <f>IFERROR(AS477/SUM(AS476:AS481)*AL476,0)</f>
        <v>0</v>
      </c>
      <c r="AS477" s="197" t="str">
        <f>IFERROR(VLOOKUP($G477,нормы!$A$14:$BC$57,55,0)*W477,"")</f>
        <v/>
      </c>
      <c r="AT477" s="290">
        <f>IFERROR(AU477/SUM(AU476:AU481)*AM476,0)</f>
        <v>0</v>
      </c>
      <c r="AU477" s="197" t="str">
        <f>IFERROR(VLOOKUP($G477,нормы!$A$14:$BI$57,56,0)*W477,"")</f>
        <v/>
      </c>
      <c r="AV477" s="290">
        <f>IFERROR(AW477/SUM(AW476:AW481)*AK476,0)</f>
        <v>0</v>
      </c>
      <c r="AW477" s="202" t="str">
        <f>IFERROR(VLOOKUP($G477,нормы!$A$14:$BI$57,57,0)*W477,"")</f>
        <v/>
      </c>
      <c r="AX477" s="30"/>
      <c r="AY477" s="203" t="str">
        <f>IFERROR(VLOOKUP($G477,нормы!$A$14:$BI$57,58,0)*W477,"")</f>
        <v/>
      </c>
      <c r="AZ477" s="205"/>
      <c r="BA477" s="200" t="str">
        <f>IFERROR(VLOOKUP($G477,нормы!$A$14:$BI$57,61,0)*$W477,"")</f>
        <v/>
      </c>
      <c r="BB477" s="30"/>
      <c r="BC477" s="203" t="str">
        <f>IFERROR(VLOOKUP($G477,нормы!$A$14:$BI$57,60,0)*W477,"")</f>
        <v/>
      </c>
      <c r="BD477" s="200" t="str">
        <f>IFERROR(VLOOKUP($G477,нормы!$A$14:$BG$57,44,0),"")</f>
        <v/>
      </c>
      <c r="BE477" s="199" t="str">
        <f>IFERROR(W477/VLOOKUP($G477,нормы!$A$14:$BI$57,45,0),"")</f>
        <v/>
      </c>
    </row>
    <row r="478" spans="1:57" s="1" customFormat="1" ht="20.25" customHeight="1" x14ac:dyDescent="0.4">
      <c r="A478" s="37" t="str">
        <f t="shared" si="194"/>
        <v>8Н</v>
      </c>
      <c r="B478" s="12">
        <f t="shared" si="195"/>
        <v>46030</v>
      </c>
      <c r="C478" s="97">
        <f t="shared" si="195"/>
        <v>0</v>
      </c>
      <c r="D478" s="97">
        <f t="shared" si="195"/>
        <v>1</v>
      </c>
      <c r="E478" s="54"/>
      <c r="F478" s="151" t="str">
        <f>IFERROR(VLOOKUP($G478,нормы!$A$14:$BC$57,2,0),"")</f>
        <v/>
      </c>
      <c r="G478" s="38"/>
      <c r="H478" s="54">
        <f t="shared" si="196"/>
        <v>0</v>
      </c>
      <c r="I478" s="89" t="s">
        <v>85</v>
      </c>
      <c r="J478" s="333"/>
      <c r="K478" s="30">
        <f>IFERROR(VLOOKUP($G478,[1]нормы!$A$21:$BC$151,15,0),"")</f>
        <v>0</v>
      </c>
      <c r="L478" s="31">
        <f>IFERROR(VLOOKUP($G478,[1]нормы!$A$21:$BC$151,17,0),"")</f>
        <v>0</v>
      </c>
      <c r="M478" s="306">
        <f>IFERROR(VLOOKUP($G478,[1]нормы!$A$21:$BC$151,27,0),"")</f>
        <v>0</v>
      </c>
      <c r="N478" s="307" t="str">
        <f>IFERROR(Y478/Y482*(1.1*J476*I481),"")</f>
        <v/>
      </c>
      <c r="O478" s="300">
        <f>IFERROR(VLOOKUP($G478,[1]нормы!$A$21:$BC$151,21,0),"")</f>
        <v>0</v>
      </c>
      <c r="P478" s="35">
        <f>IFERROR(VLOOKUP($G478,[1]нормы!$A$21:$BC$151,19,0),"")</f>
        <v>0</v>
      </c>
      <c r="Q478" s="35">
        <f>IFERROR(VLOOKUP($G478,[1]нормы!$A$21:$BC$151,23,0),"")</f>
        <v>0</v>
      </c>
      <c r="R478" s="231">
        <f>IFERROR(VLOOKUP($G478,[1]нормы!$A$21:$BC$151,29,0),"")</f>
        <v>0</v>
      </c>
      <c r="S478" s="35">
        <f>IFERROR(VLOOKUP($G478,[1]нормы!$A$21:$BC$151,31,0),"")</f>
        <v>0</v>
      </c>
      <c r="T478" s="32">
        <f>IFERROR(VLOOKUP($G478,[1]нормы!$A$21:$BC$151,25,0),"")</f>
        <v>0</v>
      </c>
      <c r="U478" s="233" t="str">
        <f>IFERROR(W478/(((100*Y478/Y482)*I481)/100),"")</f>
        <v/>
      </c>
      <c r="V478" s="234" t="str">
        <f>IFERROR(VLOOKUP($G478,нормы!$A$14:$BC$57,38,0),"")</f>
        <v/>
      </c>
      <c r="W478" s="136"/>
      <c r="X478" s="237"/>
      <c r="Y478" s="152" t="str">
        <f>IFERROR(VLOOKUP($G478,нормы!$A$14:$BC$57,42,0)*W478,"")</f>
        <v/>
      </c>
      <c r="Z478" s="163">
        <f>IFERROR(VLOOKUP($G478,нормы!$A$14:$BC$57,14,0)*W478/1000,0)</f>
        <v>0</v>
      </c>
      <c r="AA478" s="30"/>
      <c r="AB478" s="35"/>
      <c r="AC478" s="35"/>
      <c r="AD478" s="35"/>
      <c r="AE478" s="31"/>
      <c r="AF478" s="160"/>
      <c r="AG478" s="391"/>
      <c r="AH478" s="394"/>
      <c r="AI478" s="397"/>
      <c r="AJ478" s="408"/>
      <c r="AK478" s="360"/>
      <c r="AL478" s="360"/>
      <c r="AM478" s="360"/>
      <c r="AN478" s="289">
        <f>IFERROR(Y478*AJ476/Y482,)</f>
        <v>0</v>
      </c>
      <c r="AO478" s="197" t="str">
        <f>IFERROR(VLOOKUP($G478,нормы!$A$14:$BC$57,53,0)*$W478,"")</f>
        <v/>
      </c>
      <c r="AP478" s="290">
        <f>IFERROR(Y478*AI476/Y482,)</f>
        <v>0</v>
      </c>
      <c r="AQ478" s="197" t="str">
        <f>IFERROR(VLOOKUP($G478,нормы!$A$14:$BC$57,54,0)*$W478,"")</f>
        <v/>
      </c>
      <c r="AR478" s="290">
        <f>IFERROR(AS478/SUM(AS476:AS481)*AL476,0)</f>
        <v>0</v>
      </c>
      <c r="AS478" s="197" t="str">
        <f>IFERROR(VLOOKUP($G478,нормы!$A$14:$BC$57,55,0)*W478,"")</f>
        <v/>
      </c>
      <c r="AT478" s="290">
        <f>IFERROR(AU478/SUM(AU476:AU481)*AM476,0)</f>
        <v>0</v>
      </c>
      <c r="AU478" s="197" t="str">
        <f>IFERROR(VLOOKUP($G478,нормы!$A$14:$BI$57,56,0)*W478,"")</f>
        <v/>
      </c>
      <c r="AV478" s="290">
        <f>IFERROR(AW478/SUM(AW476:AW481)*AK476,0)</f>
        <v>0</v>
      </c>
      <c r="AW478" s="202" t="str">
        <f>IFERROR(VLOOKUP($G478,нормы!$A$14:$BI$57,57,0)*W478,"")</f>
        <v/>
      </c>
      <c r="AX478" s="30"/>
      <c r="AY478" s="203" t="str">
        <f>IFERROR(VLOOKUP($G478,нормы!$A$14:$BI$57,58,0)*W478,"")</f>
        <v/>
      </c>
      <c r="AZ478" s="205"/>
      <c r="BA478" s="200" t="str">
        <f>IFERROR(VLOOKUP($G478,нормы!$A$14:$BI$57,61,0)*$W478,"")</f>
        <v/>
      </c>
      <c r="BB478" s="30"/>
      <c r="BC478" s="203" t="str">
        <f>IFERROR(VLOOKUP($G478,нормы!$A$14:$BI$57,60,0)*W478,"")</f>
        <v/>
      </c>
      <c r="BD478" s="200" t="str">
        <f>IFERROR(VLOOKUP($G478,нормы!$A$14:$BG$57,44,0),"")</f>
        <v/>
      </c>
      <c r="BE478" s="199" t="str">
        <f>IFERROR(W478/VLOOKUP($G478,нормы!$A$14:$BI$57,45,0),"")</f>
        <v/>
      </c>
    </row>
    <row r="479" spans="1:57" s="1" customFormat="1" ht="20.25" customHeight="1" x14ac:dyDescent="0.4">
      <c r="A479" s="37" t="str">
        <f t="shared" si="194"/>
        <v>8Н</v>
      </c>
      <c r="B479" s="12">
        <f t="shared" si="195"/>
        <v>46030</v>
      </c>
      <c r="C479" s="97">
        <f t="shared" si="195"/>
        <v>0</v>
      </c>
      <c r="D479" s="97">
        <f t="shared" si="195"/>
        <v>1</v>
      </c>
      <c r="E479" s="54"/>
      <c r="F479" s="151" t="str">
        <f>IFERROR(VLOOKUP($G479,нормы!$A$14:$BC$57,2,0),"")</f>
        <v/>
      </c>
      <c r="G479" s="93"/>
      <c r="H479" s="54">
        <f t="shared" si="196"/>
        <v>0</v>
      </c>
      <c r="I479" s="55"/>
      <c r="J479" s="333"/>
      <c r="K479" s="30">
        <f>IFERROR(VLOOKUP($G479,[1]нормы!$A$21:$BC$151,15,0),"")</f>
        <v>0</v>
      </c>
      <c r="L479" s="31">
        <f>IFERROR(VLOOKUP($G479,[1]нормы!$A$21:$BC$151,17,0),"")</f>
        <v>0</v>
      </c>
      <c r="M479" s="306">
        <f>IFERROR(VLOOKUP($G479,[1]нормы!$A$21:$BC$151,27,0),"")</f>
        <v>0</v>
      </c>
      <c r="N479" s="307" t="str">
        <f>IFERROR(Y479/Y482*(1.1*J476*I484),"")</f>
        <v/>
      </c>
      <c r="O479" s="300">
        <f>IFERROR(VLOOKUP($G479,[1]нормы!$A$21:$BC$151,21,0),"")</f>
        <v>0</v>
      </c>
      <c r="P479" s="35">
        <f>IFERROR(VLOOKUP($G479,[1]нормы!$A$21:$BC$151,19,0),"")</f>
        <v>0</v>
      </c>
      <c r="Q479" s="35">
        <f>IFERROR(VLOOKUP($G479,[1]нормы!$A$21:$BC$151,23,0),"")</f>
        <v>0</v>
      </c>
      <c r="R479" s="231">
        <f>IFERROR(VLOOKUP($G479,[1]нормы!$A$21:$BC$151,29,0),"")</f>
        <v>0</v>
      </c>
      <c r="S479" s="35">
        <f>IFERROR(VLOOKUP($G479,[1]нормы!$A$21:$BC$151,31,0),"")</f>
        <v>0</v>
      </c>
      <c r="T479" s="32">
        <f>IFERROR(VLOOKUP($G479,[1]нормы!$A$21:$BC$151,25,0),"")</f>
        <v>0</v>
      </c>
      <c r="U479" s="233" t="str">
        <f>IFERROR(W479/(((100*Y479/Y482)*I481)/100),"")</f>
        <v/>
      </c>
      <c r="V479" s="234" t="str">
        <f>IFERROR(VLOOKUP($G479,нормы!$A$14:$BC$57,38,0),"")</f>
        <v/>
      </c>
      <c r="W479" s="136"/>
      <c r="X479" s="237"/>
      <c r="Y479" s="152" t="str">
        <f>IFERROR(VLOOKUP($G479,нормы!$A$14:$BC$57,42,0)*W479,"")</f>
        <v/>
      </c>
      <c r="Z479" s="163">
        <f>IFERROR(VLOOKUP($G479,нормы!$A$14:$BC$57,14,0)*W479/1000,0)</f>
        <v>0</v>
      </c>
      <c r="AA479" s="30"/>
      <c r="AB479" s="35"/>
      <c r="AC479" s="35"/>
      <c r="AD479" s="35"/>
      <c r="AE479" s="31"/>
      <c r="AF479" s="160"/>
      <c r="AG479" s="391"/>
      <c r="AH479" s="394"/>
      <c r="AI479" s="397"/>
      <c r="AJ479" s="408"/>
      <c r="AK479" s="360"/>
      <c r="AL479" s="360"/>
      <c r="AM479" s="360"/>
      <c r="AN479" s="289">
        <f>IFERROR(Y479*AJ476/Y482,)</f>
        <v>0</v>
      </c>
      <c r="AO479" s="197" t="str">
        <f>IFERROR(VLOOKUP($G479,нормы!$A$14:$BC$57,53,0)*$W479,"")</f>
        <v/>
      </c>
      <c r="AP479" s="290">
        <f>IFERROR(Y479*AI476/Y482,)</f>
        <v>0</v>
      </c>
      <c r="AQ479" s="197" t="str">
        <f>IFERROR(VLOOKUP($G479,нормы!$A$14:$BC$57,54,0)*$W479,"")</f>
        <v/>
      </c>
      <c r="AR479" s="290">
        <f>IFERROR(AS479/SUM(AS476:AS481)*AL476,0)</f>
        <v>0</v>
      </c>
      <c r="AS479" s="197" t="str">
        <f>IFERROR(VLOOKUP($G479,нормы!$A$14:$BC$57,55,0)*W479,"")</f>
        <v/>
      </c>
      <c r="AT479" s="290">
        <f>IFERROR(AU479/SUM(AU476:AU481)*AM476,0)</f>
        <v>0</v>
      </c>
      <c r="AU479" s="197" t="str">
        <f>IFERROR(VLOOKUP($G479,нормы!$A$14:$BI$57,56,0)*W479,"")</f>
        <v/>
      </c>
      <c r="AV479" s="290">
        <f>IFERROR(AW479/SUM(AW476:AW481)*AK476,0)</f>
        <v>0</v>
      </c>
      <c r="AW479" s="202" t="str">
        <f>IFERROR(VLOOKUP($G479,нормы!$A$14:$BI$57,57,0)*W479,"")</f>
        <v/>
      </c>
      <c r="AX479" s="30"/>
      <c r="AY479" s="203" t="str">
        <f>IFERROR(VLOOKUP($G479,нормы!$A$14:$BI$57,58,0)*W479,"")</f>
        <v/>
      </c>
      <c r="AZ479" s="205"/>
      <c r="BA479" s="200" t="str">
        <f>IFERROR(VLOOKUP($G479,нормы!$A$14:$BI$57,61,0)*$W479,"")</f>
        <v/>
      </c>
      <c r="BB479" s="30"/>
      <c r="BC479" s="203" t="str">
        <f>IFERROR(VLOOKUP($G479,нормы!$A$14:$BI$57,60,0)*W479,"")</f>
        <v/>
      </c>
      <c r="BD479" s="200" t="str">
        <f>IFERROR(VLOOKUP($G479,нормы!$A$14:$BG$57,44,0),"")</f>
        <v/>
      </c>
      <c r="BE479" s="199" t="str">
        <f>IFERROR(W479/VLOOKUP($G479,нормы!$A$14:$BI$57,45,0),"")</f>
        <v/>
      </c>
    </row>
    <row r="480" spans="1:57" s="1" customFormat="1" ht="20.25" customHeight="1" x14ac:dyDescent="0.4">
      <c r="A480" s="37" t="str">
        <f t="shared" si="194"/>
        <v>8Н</v>
      </c>
      <c r="B480" s="12">
        <f t="shared" si="195"/>
        <v>46030</v>
      </c>
      <c r="C480" s="97">
        <f t="shared" si="195"/>
        <v>0</v>
      </c>
      <c r="D480" s="97">
        <f t="shared" si="195"/>
        <v>1</v>
      </c>
      <c r="E480" s="54"/>
      <c r="F480" s="151" t="str">
        <f>IFERROR(VLOOKUP($G480,нормы!$A$14:$BC$57,2,0),"")</f>
        <v/>
      </c>
      <c r="G480" s="38"/>
      <c r="H480" s="54">
        <f t="shared" si="196"/>
        <v>0</v>
      </c>
      <c r="I480" s="89" t="s">
        <v>73</v>
      </c>
      <c r="J480" s="333"/>
      <c r="K480" s="30">
        <f>IFERROR(VLOOKUP($G480,[1]нормы!$A$21:$BC$151,15,0),"")</f>
        <v>0</v>
      </c>
      <c r="L480" s="31">
        <f>IFERROR(VLOOKUP($G480,[1]нормы!$A$21:$BC$151,17,0),"")</f>
        <v>0</v>
      </c>
      <c r="M480" s="306">
        <f>IFERROR(VLOOKUP($G480,[1]нормы!$A$21:$BC$151,27,0),"")</f>
        <v>0</v>
      </c>
      <c r="N480" s="307" t="str">
        <f>IFERROR(Y480/Y482*(1.1*J476*I485),"")</f>
        <v/>
      </c>
      <c r="O480" s="300">
        <f>IFERROR(VLOOKUP($G480,[1]нормы!$A$21:$BC$151,21,0),"")</f>
        <v>0</v>
      </c>
      <c r="P480" s="35">
        <f>IFERROR(VLOOKUP($G480,[1]нормы!$A$21:$BC$151,19,0),"")</f>
        <v>0</v>
      </c>
      <c r="Q480" s="35">
        <f>IFERROR(VLOOKUP($G480,[1]нормы!$A$21:$BC$151,23,0),"")</f>
        <v>0</v>
      </c>
      <c r="R480" s="231">
        <f>IFERROR(VLOOKUP($G480,[1]нормы!$A$21:$BC$151,29,0),"")</f>
        <v>0</v>
      </c>
      <c r="S480" s="35">
        <f>IFERROR(VLOOKUP($G480,[1]нормы!$A$21:$BC$151,31,0),"")</f>
        <v>0</v>
      </c>
      <c r="T480" s="32">
        <f>IFERROR(VLOOKUP($G480,[1]нормы!$A$21:$BC$151,25,0),"")</f>
        <v>0</v>
      </c>
      <c r="U480" s="233" t="str">
        <f>IFERROR(W480/(((100*Y480/Y482)*I481)/100),"")</f>
        <v/>
      </c>
      <c r="V480" s="234" t="str">
        <f>IFERROR(VLOOKUP($G480,нормы!$A$14:$BC$57,38,0),"")</f>
        <v/>
      </c>
      <c r="W480" s="136"/>
      <c r="X480" s="237"/>
      <c r="Y480" s="152" t="str">
        <f>IFERROR(VLOOKUP($G480,нормы!$A$14:$BC$57,42,0)*W480,"")</f>
        <v/>
      </c>
      <c r="Z480" s="163">
        <f>IFERROR(VLOOKUP($G480,нормы!$A$14:$BC$57,14,0)*W480/1000,0)</f>
        <v>0</v>
      </c>
      <c r="AA480" s="30"/>
      <c r="AB480" s="35"/>
      <c r="AC480" s="35"/>
      <c r="AD480" s="35"/>
      <c r="AE480" s="31"/>
      <c r="AF480" s="160"/>
      <c r="AG480" s="391"/>
      <c r="AH480" s="394"/>
      <c r="AI480" s="397"/>
      <c r="AJ480" s="408"/>
      <c r="AK480" s="360"/>
      <c r="AL480" s="360"/>
      <c r="AM480" s="360"/>
      <c r="AN480" s="289">
        <f>IFERROR(Y480*AJ476/Y482,)</f>
        <v>0</v>
      </c>
      <c r="AO480" s="197" t="str">
        <f>IFERROR(VLOOKUP($G480,нормы!$A$14:$BC$57,53,0)*$W480,"")</f>
        <v/>
      </c>
      <c r="AP480" s="290">
        <f>IFERROR(Y480*AI476/Y482,)</f>
        <v>0</v>
      </c>
      <c r="AQ480" s="197" t="str">
        <f>IFERROR(VLOOKUP($G480,нормы!$A$14:$BC$57,54,0)*$W480,"")</f>
        <v/>
      </c>
      <c r="AR480" s="290">
        <f>IFERROR(AS480/SUM(AS476:AS481)*AL476,0)</f>
        <v>0</v>
      </c>
      <c r="AS480" s="197" t="str">
        <f>IFERROR(VLOOKUP($G480,нормы!$A$14:$BC$57,55,0)*W480,"")</f>
        <v/>
      </c>
      <c r="AT480" s="290">
        <f>IFERROR(AU480/SUM(AU476:AU481)*AM476,0)</f>
        <v>0</v>
      </c>
      <c r="AU480" s="197" t="str">
        <f>IFERROR(VLOOKUP($G480,нормы!$A$14:$BI$57,56,0)*W480,"")</f>
        <v/>
      </c>
      <c r="AV480" s="290">
        <f>IFERROR(AW480/SUM(AW476:AW481)*AK476,0)</f>
        <v>0</v>
      </c>
      <c r="AW480" s="202" t="str">
        <f>IFERROR(VLOOKUP($G480,нормы!$A$14:$BI$57,57,0)*W480,"")</f>
        <v/>
      </c>
      <c r="AX480" s="30"/>
      <c r="AY480" s="203" t="str">
        <f>IFERROR(VLOOKUP($G480,нормы!$A$14:$BI$57,58,0)*W480,"")</f>
        <v/>
      </c>
      <c r="AZ480" s="205"/>
      <c r="BA480" s="200" t="str">
        <f>IFERROR(VLOOKUP($G480,нормы!$A$14:$BI$57,61,0)*$W480,"")</f>
        <v/>
      </c>
      <c r="BB480" s="30"/>
      <c r="BC480" s="203" t="str">
        <f>IFERROR(VLOOKUP($G480,нормы!$A$14:$BI$57,60,0)*W480,"")</f>
        <v/>
      </c>
      <c r="BD480" s="200" t="str">
        <f>IFERROR(VLOOKUP($G480,нормы!$A$14:$BG$57,44,0),"")</f>
        <v/>
      </c>
      <c r="BE480" s="199" t="str">
        <f>IFERROR(W480/VLOOKUP($G480,нормы!$A$14:$BI$57,45,0),"")</f>
        <v/>
      </c>
    </row>
    <row r="481" spans="1:57" s="1" customFormat="1" ht="21" customHeight="1" thickBot="1" x14ac:dyDescent="0.45">
      <c r="A481" s="37" t="str">
        <f t="shared" si="194"/>
        <v>8Н</v>
      </c>
      <c r="B481" s="12">
        <f t="shared" si="195"/>
        <v>46030</v>
      </c>
      <c r="C481" s="97">
        <f t="shared" si="195"/>
        <v>0</v>
      </c>
      <c r="D481" s="97">
        <f t="shared" si="195"/>
        <v>1</v>
      </c>
      <c r="E481" s="54"/>
      <c r="F481" s="151" t="str">
        <f>IFERROR(VLOOKUP($G481,нормы!$A$14:$BC$57,2,0),"")</f>
        <v/>
      </c>
      <c r="G481" s="93"/>
      <c r="H481" s="63">
        <f t="shared" si="196"/>
        <v>0</v>
      </c>
      <c r="I481" s="153">
        <f>I477+I479</f>
        <v>0</v>
      </c>
      <c r="J481" s="334"/>
      <c r="K481" s="30">
        <f>IFERROR(VLOOKUP($G481,[1]нормы!$A$21:$BC$151,15,0),"")</f>
        <v>0</v>
      </c>
      <c r="L481" s="31">
        <f>IFERROR(VLOOKUP($G481,[1]нормы!$A$21:$BC$151,17,0),"")</f>
        <v>0</v>
      </c>
      <c r="M481" s="308">
        <f>IFERROR(VLOOKUP($G481,[1]нормы!$A$21:$BC$151,27,0),"")</f>
        <v>0</v>
      </c>
      <c r="N481" s="309" t="str">
        <f>IFERROR(Y481/Y482*(1.1*J476*I486),"")</f>
        <v/>
      </c>
      <c r="O481" s="300">
        <f>IFERROR(VLOOKUP($G481,[1]нормы!$A$21:$BC$151,21,0),"")</f>
        <v>0</v>
      </c>
      <c r="P481" s="35">
        <f>IFERROR(VLOOKUP($G481,[1]нормы!$A$21:$BC$151,19,0),"")</f>
        <v>0</v>
      </c>
      <c r="Q481" s="35">
        <f>IFERROR(VLOOKUP($G481,[1]нормы!$A$21:$BC$151,23,0),"")</f>
        <v>0</v>
      </c>
      <c r="R481" s="231">
        <f>IFERROR(VLOOKUP($G481,[1]нормы!$A$21:$BC$151,29,0),"")</f>
        <v>0</v>
      </c>
      <c r="S481" s="35">
        <f>IFERROR(VLOOKUP($G481,[1]нормы!$A$21:$BC$151,31,0),"")</f>
        <v>0</v>
      </c>
      <c r="T481" s="32">
        <f>IFERROR(VLOOKUP($G481,[1]нормы!$A$21:$BC$151,25,0),"")</f>
        <v>0</v>
      </c>
      <c r="U481" s="235" t="str">
        <f>IFERROR(W481/(((100*Y481/Y482)*I481)/100),"")</f>
        <v/>
      </c>
      <c r="V481" s="234" t="str">
        <f>IFERROR(VLOOKUP($G481,нормы!$A$14:$BC$57,38,0),"")</f>
        <v/>
      </c>
      <c r="W481" s="154"/>
      <c r="X481" s="238"/>
      <c r="Y481" s="152" t="str">
        <f>IFERROR(VLOOKUP($G481,нормы!$A$14:$BC$57,42,0)*W481,"")</f>
        <v/>
      </c>
      <c r="Z481" s="163">
        <f>IFERROR(VLOOKUP($G481,нормы!$A$14:$BC$57,14,0)*W481/1000,0)</f>
        <v>0</v>
      </c>
      <c r="AA481" s="56"/>
      <c r="AB481" s="58"/>
      <c r="AC481" s="58"/>
      <c r="AD481" s="58"/>
      <c r="AE481" s="57"/>
      <c r="AF481" s="161"/>
      <c r="AG481" s="392"/>
      <c r="AH481" s="395"/>
      <c r="AI481" s="398"/>
      <c r="AJ481" s="409"/>
      <c r="AK481" s="361"/>
      <c r="AL481" s="361"/>
      <c r="AM481" s="361"/>
      <c r="AN481" s="291">
        <f>IFERROR(Y481*AJ476/Y482,)</f>
        <v>0</v>
      </c>
      <c r="AO481" s="197" t="str">
        <f>IFERROR(VLOOKUP($G481,нормы!$A$14:$BC$57,53,0)*$W481,"")</f>
        <v/>
      </c>
      <c r="AP481" s="292">
        <f>IFERROR(Y481*AI476/Y482,)</f>
        <v>0</v>
      </c>
      <c r="AQ481" s="197" t="str">
        <f>IFERROR(VLOOKUP($G481,нормы!$A$14:$BC$57,54,0)*$W481,"")</f>
        <v/>
      </c>
      <c r="AR481" s="290">
        <f>IFERROR(AS481/SUM(AS476:AS481)*AL476,0)</f>
        <v>0</v>
      </c>
      <c r="AS481" s="197" t="str">
        <f>IFERROR(VLOOKUP($G481,нормы!$A$14:$BC$57,55,0)*W481,"")</f>
        <v/>
      </c>
      <c r="AT481" s="292">
        <f>IFERROR(AU481/SUM(AU476:AU481)*AM476,0)</f>
        <v>0</v>
      </c>
      <c r="AU481" s="197" t="str">
        <f>IFERROR(VLOOKUP($G481,нормы!$A$14:$BI$57,56,0)*W481,"")</f>
        <v/>
      </c>
      <c r="AV481" s="292">
        <f>IFERROR(AW481/SUM(AW476:AW481)*AK476,0)</f>
        <v>0</v>
      </c>
      <c r="AW481" s="202" t="str">
        <f>IFERROR(VLOOKUP($G481,нормы!$A$14:$BI$57,57,0)*W481,"")</f>
        <v/>
      </c>
      <c r="AX481" s="56"/>
      <c r="AY481" s="203" t="str">
        <f>IFERROR(VLOOKUP($G481,нормы!$A$14:$BI$57,58,0)*W481,"")</f>
        <v/>
      </c>
      <c r="AZ481" s="206"/>
      <c r="BA481" s="200" t="str">
        <f>IFERROR(VLOOKUP($G481,нормы!$A$14:$BI$57,61,0)*$W481,"")</f>
        <v/>
      </c>
      <c r="BB481" s="56"/>
      <c r="BC481" s="203" t="str">
        <f>IFERROR(VLOOKUP($G481,нормы!$A$14:$BI$57,60,0)*W481,"")</f>
        <v/>
      </c>
      <c r="BD481" s="200" t="str">
        <f>IFERROR(VLOOKUP($G481,нормы!$A$14:$BG$57,44,0),"")</f>
        <v/>
      </c>
      <c r="BE481" s="199" t="str">
        <f>IFERROR(W481/VLOOKUP($G481,нормы!$A$14:$BI$57,45,0),"")</f>
        <v/>
      </c>
    </row>
    <row r="482" spans="1:57" s="1" customFormat="1" ht="29.4" customHeight="1" thickBot="1" x14ac:dyDescent="0.45">
      <c r="A482" s="37" t="str">
        <f t="shared" si="194"/>
        <v>8Н</v>
      </c>
      <c r="B482" s="59"/>
      <c r="C482" s="51"/>
      <c r="D482" s="51"/>
      <c r="E482" s="51"/>
      <c r="F482" s="295" t="s">
        <v>149</v>
      </c>
      <c r="G482" s="51"/>
      <c r="H482" s="51"/>
      <c r="I482" s="60"/>
      <c r="J482" s="60"/>
      <c r="K482" s="319" t="s">
        <v>213</v>
      </c>
      <c r="L482" s="316"/>
      <c r="M482" s="303" t="s">
        <v>213</v>
      </c>
      <c r="N482" s="317">
        <f>SUM(N476:N481)</f>
        <v>0</v>
      </c>
      <c r="O482" s="304" t="s">
        <v>216</v>
      </c>
      <c r="P482" s="318">
        <f>N482*8.937/1000</f>
        <v>0</v>
      </c>
      <c r="Q482" s="305" t="s">
        <v>215</v>
      </c>
      <c r="R482" s="61"/>
      <c r="S482" s="61"/>
      <c r="T482" s="61"/>
      <c r="U482" s="109"/>
      <c r="V482" s="109"/>
      <c r="W482" s="94"/>
      <c r="X482" s="155"/>
      <c r="Y482" s="96">
        <f>SUM(Y476:Y481)</f>
        <v>0</v>
      </c>
      <c r="Z482" s="164">
        <f>SUM(Z476:Z481)</f>
        <v>0</v>
      </c>
      <c r="AA482" s="62"/>
      <c r="AB482" s="62"/>
      <c r="AC482" s="62"/>
      <c r="AD482" s="62"/>
      <c r="AE482" s="62"/>
      <c r="AF482" s="62"/>
      <c r="AG482" s="162" t="s">
        <v>140</v>
      </c>
      <c r="AH482" s="162" t="s">
        <v>141</v>
      </c>
      <c r="AI482" s="162" t="s">
        <v>142</v>
      </c>
      <c r="AJ482" s="91" t="s">
        <v>126</v>
      </c>
      <c r="AK482" s="198" t="s">
        <v>136</v>
      </c>
      <c r="AL482" s="198" t="s">
        <v>137</v>
      </c>
      <c r="AM482" s="198" t="s">
        <v>138</v>
      </c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53" t="str">
        <f>IFERROR(W482/VLOOKUP($G482,нормы!$A$14:$BI$15,28,0),"")</f>
        <v/>
      </c>
    </row>
    <row r="483" spans="1:57" s="1" customFormat="1" ht="21.6" customHeight="1" x14ac:dyDescent="0.4">
      <c r="A483" s="37" t="str">
        <f t="shared" si="194"/>
        <v>8Н</v>
      </c>
      <c r="B483" s="12">
        <f>B481</f>
        <v>46030</v>
      </c>
      <c r="C483" s="97"/>
      <c r="D483" s="97">
        <v>2</v>
      </c>
      <c r="E483" s="29"/>
      <c r="F483" s="151" t="str">
        <f>IFERROR(VLOOKUP($G483,нормы!$A$14:$BC$57,2,0),"")</f>
        <v/>
      </c>
      <c r="G483" s="93"/>
      <c r="H483" s="54">
        <f>IF(C483=1,"Кульков С.А.", IF(C483=2,"Чудаков А.А.",IF(C483=3,"Королев В.Н.",IF(C483=4,"Николашин М.П.",IF(C483=5," Кульков С.А.",IF(C483=6,"А.А. Чудаков",IF(C483=7,"В.Н. Королев",IF(C483=8,"М.П. Николашин",0))))))))</f>
        <v>0</v>
      </c>
      <c r="I483" s="88" t="s">
        <v>211</v>
      </c>
      <c r="J483" s="332"/>
      <c r="K483" s="30">
        <f>IFERROR(VLOOKUP($G483,[1]нормы!$A$21:$BC$151,15,0),"")</f>
        <v>0</v>
      </c>
      <c r="L483" s="31">
        <f>IFERROR(VLOOKUP($G483,[1]нормы!$A$21:$BC$151,17,0),"")</f>
        <v>0</v>
      </c>
      <c r="M483" s="310">
        <f>IFERROR(VLOOKUP($G483,[1]нормы!$A$21:$BC$151,27,0),"")</f>
        <v>0</v>
      </c>
      <c r="N483" s="311" t="str">
        <f>IFERROR(Y483/Y489*(1.1*J483*I488),"")</f>
        <v/>
      </c>
      <c r="O483" s="300">
        <f>IFERROR(VLOOKUP($G483,[1]нормы!$A$21:$BC$151,21,0),"")</f>
        <v>0</v>
      </c>
      <c r="P483" s="35">
        <f>IFERROR(VLOOKUP($G483,[1]нормы!$A$21:$BC$151,19,0),"")</f>
        <v>0</v>
      </c>
      <c r="Q483" s="35">
        <f>IFERROR(VLOOKUP($G483,[1]нормы!$A$21:$BC$151,23,0),"")</f>
        <v>0</v>
      </c>
      <c r="R483" s="231">
        <f>IFERROR(VLOOKUP($G483,[1]нормы!$A$21:$BC$151,29,0),"")</f>
        <v>0</v>
      </c>
      <c r="S483" s="35">
        <f>IFERROR(VLOOKUP($G483,[1]нормы!$A$21:$BC$151,31,0),"")</f>
        <v>0</v>
      </c>
      <c r="T483" s="32">
        <f>IFERROR(VLOOKUP($G483,[1]нормы!$A$21:$BC$151,25,0),"")</f>
        <v>0</v>
      </c>
      <c r="U483" s="232" t="str">
        <f>IFERROR(W483/(((100*Y483/Y489)*I488)/100),"")</f>
        <v/>
      </c>
      <c r="V483" s="234" t="str">
        <f>IFERROR(VLOOKUP($G483,нормы!$A$14:$BC$57,38,0),"")</f>
        <v/>
      </c>
      <c r="W483" s="136"/>
      <c r="X483" s="236"/>
      <c r="Y483" s="152" t="str">
        <f>IFERROR(VLOOKUP($G483,нормы!$A$14:$BC$57,42,0)*W483,"")</f>
        <v/>
      </c>
      <c r="Z483" s="163">
        <f>IFERROR(VLOOKUP($G483,нормы!$A$14:$BC$57,14,0)*W483/1000,0)</f>
        <v>0</v>
      </c>
      <c r="AA483" s="33"/>
      <c r="AB483" s="36"/>
      <c r="AC483" s="36"/>
      <c r="AD483" s="36"/>
      <c r="AE483" s="34"/>
      <c r="AF483" s="159"/>
      <c r="AG483" s="390"/>
      <c r="AH483" s="393"/>
      <c r="AI483" s="396"/>
      <c r="AJ483" s="407">
        <f>AG483+AH483</f>
        <v>0</v>
      </c>
      <c r="AK483" s="359"/>
      <c r="AL483" s="359"/>
      <c r="AM483" s="359"/>
      <c r="AN483" s="287">
        <f>IFERROR(Y483*AJ483/Y489,)</f>
        <v>0</v>
      </c>
      <c r="AO483" s="197" t="str">
        <f>IFERROR(VLOOKUP($G483,нормы!$A$14:$BC$57,53,0)*$W483,"")</f>
        <v/>
      </c>
      <c r="AP483" s="288">
        <f>IFERROR(Y483*AI483/Y489,)</f>
        <v>0</v>
      </c>
      <c r="AQ483" s="197" t="str">
        <f>IFERROR(VLOOKUP($G483,нормы!$A$14:$BC$57,54,0)*$W483,"")</f>
        <v/>
      </c>
      <c r="AR483" s="288">
        <f>IFERROR(AS483/SUM(AS483:AS488)*AL483,0)</f>
        <v>0</v>
      </c>
      <c r="AS483" s="197" t="str">
        <f>IFERROR(VLOOKUP($G483,нормы!$A$14:$BC$57,55,0)*W483,"")</f>
        <v/>
      </c>
      <c r="AT483" s="288">
        <f>IFERROR(AU483/SUM(AU483:AU488)*AM483,0)</f>
        <v>0</v>
      </c>
      <c r="AU483" s="197" t="str">
        <f>IFERROR(VLOOKUP($G483,нормы!$A$14:$BI$57,56,0)*W483,"")</f>
        <v/>
      </c>
      <c r="AV483" s="288">
        <f>IFERROR(AW483/SUM(AW483:AW488)*AK483,0)</f>
        <v>0</v>
      </c>
      <c r="AW483" s="202" t="str">
        <f>IFERROR(VLOOKUP($G483,нормы!$A$14:$BI$57,57,0)*W483,"")</f>
        <v/>
      </c>
      <c r="AX483" s="33"/>
      <c r="AY483" s="203" t="str">
        <f>IFERROR(VLOOKUP($G483,нормы!$A$14:$BI$57,58,0)*W483,"")</f>
        <v/>
      </c>
      <c r="AZ483" s="204"/>
      <c r="BA483" s="200" t="str">
        <f>IFERROR(VLOOKUP($G483,нормы!$A$14:$BI$57,61,0)*$W483,"")</f>
        <v/>
      </c>
      <c r="BB483" s="33"/>
      <c r="BC483" s="203" t="str">
        <f>IFERROR(VLOOKUP($G483,нормы!$A$14:$BI$57,60,0)*W483,"")</f>
        <v/>
      </c>
      <c r="BD483" s="200" t="str">
        <f>IFERROR(VLOOKUP($G483,нормы!$A$14:$BG$57,44,0),"")</f>
        <v/>
      </c>
      <c r="BE483" s="199" t="str">
        <f>IFERROR(W483/VLOOKUP($G483,нормы!$A$14:$BI$57,45,0),"")</f>
        <v/>
      </c>
    </row>
    <row r="484" spans="1:57" s="1" customFormat="1" ht="21.6" customHeight="1" x14ac:dyDescent="0.4">
      <c r="A484" s="37" t="str">
        <f t="shared" si="194"/>
        <v>8Н</v>
      </c>
      <c r="B484" s="12">
        <f t="shared" ref="B484:D488" si="197">B483</f>
        <v>46030</v>
      </c>
      <c r="C484" s="97">
        <f t="shared" si="197"/>
        <v>0</v>
      </c>
      <c r="D484" s="97">
        <f t="shared" si="197"/>
        <v>2</v>
      </c>
      <c r="E484" s="54"/>
      <c r="F484" s="151" t="str">
        <f>IFERROR(VLOOKUP($G484,нормы!$A$14:$BC$57,2,0),"")</f>
        <v/>
      </c>
      <c r="G484" s="93"/>
      <c r="H484" s="54">
        <f t="shared" ref="H484:H488" si="198">IF(C484=1,"Кульков С.А.", IF(C484=2,"Чудаков А.А.",IF(C484=3,"Королев В.Н.",IF(C484=4,"Николашин М.П.",IF(C484=5," Кульков С.А.",IF(C484=6,"А.А. Чудаков",IF(C484=7,"В.Н. Королев",IF(C484=8,"М.П. Николашин",0))))))))</f>
        <v>0</v>
      </c>
      <c r="I484" s="55"/>
      <c r="J484" s="333"/>
      <c r="K484" s="30">
        <f>IFERROR(VLOOKUP($G484,[1]нормы!$A$21:$BC$151,15,0),"")</f>
        <v>0</v>
      </c>
      <c r="L484" s="31">
        <f>IFERROR(VLOOKUP($G484,[1]нормы!$A$21:$BC$151,17,0),"")</f>
        <v>0</v>
      </c>
      <c r="M484" s="306">
        <f>IFERROR(VLOOKUP($G484,[1]нормы!$A$21:$BC$151,27,0),"")</f>
        <v>0</v>
      </c>
      <c r="N484" s="307" t="str">
        <f>IFERROR(Y484/Y489*(1.1*J483*I488),"")</f>
        <v/>
      </c>
      <c r="O484" s="300">
        <f>IFERROR(VLOOKUP($G484,[1]нормы!$A$21:$BC$151,21,0),"")</f>
        <v>0</v>
      </c>
      <c r="P484" s="35">
        <f>IFERROR(VLOOKUP($G484,[1]нормы!$A$21:$BC$151,19,0),"")</f>
        <v>0</v>
      </c>
      <c r="Q484" s="35">
        <f>IFERROR(VLOOKUP($G484,[1]нормы!$A$21:$BC$151,23,0),"")</f>
        <v>0</v>
      </c>
      <c r="R484" s="231">
        <f>IFERROR(VLOOKUP($G484,[1]нормы!$A$21:$BC$151,29,0),"")</f>
        <v>0</v>
      </c>
      <c r="S484" s="35">
        <f>IFERROR(VLOOKUP($G484,[1]нормы!$A$21:$BC$151,31,0),"")</f>
        <v>0</v>
      </c>
      <c r="T484" s="32">
        <f>IFERROR(VLOOKUP($G484,[1]нормы!$A$21:$BC$151,25,0),"")</f>
        <v>0</v>
      </c>
      <c r="U484" s="233" t="str">
        <f>IFERROR(W484/(((100*Y484/Y489)*I488)/100),"")</f>
        <v/>
      </c>
      <c r="V484" s="234" t="str">
        <f>IFERROR(VLOOKUP($G484,нормы!$A$14:$BC$57,38,0),"")</f>
        <v/>
      </c>
      <c r="W484" s="136"/>
      <c r="X484" s="237"/>
      <c r="Y484" s="152" t="str">
        <f>IFERROR(VLOOKUP($G484,нормы!$A$14:$BC$57,42,0)*W484,"")</f>
        <v/>
      </c>
      <c r="Z484" s="163">
        <f>IFERROR(VLOOKUP($G484,нормы!$A$14:$BC$57,14,0)*W484/1000,0)</f>
        <v>0</v>
      </c>
      <c r="AA484" s="142"/>
      <c r="AB484" s="35"/>
      <c r="AC484" s="35"/>
      <c r="AD484" s="35"/>
      <c r="AE484" s="31"/>
      <c r="AF484" s="160"/>
      <c r="AG484" s="391"/>
      <c r="AH484" s="394"/>
      <c r="AI484" s="397"/>
      <c r="AJ484" s="408"/>
      <c r="AK484" s="360"/>
      <c r="AL484" s="360"/>
      <c r="AM484" s="360"/>
      <c r="AN484" s="289">
        <f>IFERROR(Y484*AJ483/Y489,)</f>
        <v>0</v>
      </c>
      <c r="AO484" s="197" t="str">
        <f>IFERROR(VLOOKUP($G484,нормы!$A$14:$BC$57,53,0)*$W484,"")</f>
        <v/>
      </c>
      <c r="AP484" s="290">
        <f>IFERROR(Y484*AI483/Y489,)</f>
        <v>0</v>
      </c>
      <c r="AQ484" s="197" t="str">
        <f>IFERROR(VLOOKUP($G484,нормы!$A$14:$BC$57,54,0)*$W484,"")</f>
        <v/>
      </c>
      <c r="AR484" s="290">
        <f>IFERROR(AS484/SUM(AS483:AS488)*AL483,0)</f>
        <v>0</v>
      </c>
      <c r="AS484" s="197" t="str">
        <f>IFERROR(VLOOKUP($G484,нормы!$A$14:$BC$57,55,0)*W484,"")</f>
        <v/>
      </c>
      <c r="AT484" s="290">
        <f>IFERROR(AU484/SUM(AU483:AU488)*AM483,0)</f>
        <v>0</v>
      </c>
      <c r="AU484" s="197" t="str">
        <f>IFERROR(VLOOKUP($G484,нормы!$A$14:$BI$57,56,0)*W484,"")</f>
        <v/>
      </c>
      <c r="AV484" s="290">
        <f>IFERROR(AW484/SUM(AW483:AW488)*AK483,0)</f>
        <v>0</v>
      </c>
      <c r="AW484" s="202" t="str">
        <f>IFERROR(VLOOKUP($G484,нормы!$A$14:$BI$57,57,0)*W484,"")</f>
        <v/>
      </c>
      <c r="AX484" s="30"/>
      <c r="AY484" s="203" t="str">
        <f>IFERROR(VLOOKUP($G484,нормы!$A$14:$BI$57,58,0)*W484,"")</f>
        <v/>
      </c>
      <c r="AZ484" s="205"/>
      <c r="BA484" s="200" t="str">
        <f>IFERROR(VLOOKUP($G484,нормы!$A$14:$BI$57,61,0)*$W484,"")</f>
        <v/>
      </c>
      <c r="BB484" s="30"/>
      <c r="BC484" s="203" t="str">
        <f>IFERROR(VLOOKUP($G484,нормы!$A$14:$BI$57,60,0)*W484,"")</f>
        <v/>
      </c>
      <c r="BD484" s="200" t="str">
        <f>IFERROR(VLOOKUP($G484,нормы!$A$14:$BG$57,44,0),"")</f>
        <v/>
      </c>
      <c r="BE484" s="199" t="str">
        <f>IFERROR(W484/VLOOKUP($G484,нормы!$A$14:$BI$57,45,0),"")</f>
        <v/>
      </c>
    </row>
    <row r="485" spans="1:57" s="1" customFormat="1" ht="20.25" customHeight="1" x14ac:dyDescent="0.4">
      <c r="A485" s="37" t="str">
        <f t="shared" si="194"/>
        <v>8Н</v>
      </c>
      <c r="B485" s="12">
        <f t="shared" si="197"/>
        <v>46030</v>
      </c>
      <c r="C485" s="97">
        <f t="shared" si="197"/>
        <v>0</v>
      </c>
      <c r="D485" s="97">
        <f t="shared" si="197"/>
        <v>2</v>
      </c>
      <c r="E485" s="54"/>
      <c r="F485" s="151" t="str">
        <f>IFERROR(VLOOKUP($G485,нормы!$A$14:$BC$57,2,0),"")</f>
        <v/>
      </c>
      <c r="G485" s="38"/>
      <c r="H485" s="54">
        <f t="shared" si="198"/>
        <v>0</v>
      </c>
      <c r="I485" s="89" t="s">
        <v>212</v>
      </c>
      <c r="J485" s="333"/>
      <c r="K485" s="30">
        <f>IFERROR(VLOOKUP($G485,[1]нормы!$A$21:$BC$151,15,0),"")</f>
        <v>0</v>
      </c>
      <c r="L485" s="31">
        <f>IFERROR(VLOOKUP($G485,[1]нормы!$A$21:$BC$151,17,0),"")</f>
        <v>0</v>
      </c>
      <c r="M485" s="306">
        <f>IFERROR(VLOOKUP($G485,[1]нормы!$A$21:$BC$151,27,0),"")</f>
        <v>0</v>
      </c>
      <c r="N485" s="307" t="str">
        <f>IFERROR(Y485/Y489*(1.1*J483*I488),"")</f>
        <v/>
      </c>
      <c r="O485" s="300">
        <f>IFERROR(VLOOKUP($G485,[1]нормы!$A$21:$BC$151,21,0),"")</f>
        <v>0</v>
      </c>
      <c r="P485" s="35">
        <f>IFERROR(VLOOKUP($G485,[1]нормы!$A$21:$BC$151,19,0),"")</f>
        <v>0</v>
      </c>
      <c r="Q485" s="35">
        <f>IFERROR(VLOOKUP($G485,[1]нормы!$A$21:$BC$151,23,0),"")</f>
        <v>0</v>
      </c>
      <c r="R485" s="231">
        <f>IFERROR(VLOOKUP($G485,[1]нормы!$A$21:$BC$151,29,0),"")</f>
        <v>0</v>
      </c>
      <c r="S485" s="35">
        <f>IFERROR(VLOOKUP($G485,[1]нормы!$A$21:$BC$151,31,0),"")</f>
        <v>0</v>
      </c>
      <c r="T485" s="32">
        <f>IFERROR(VLOOKUP($G485,[1]нормы!$A$21:$BC$151,25,0),"")</f>
        <v>0</v>
      </c>
      <c r="U485" s="233" t="str">
        <f>IFERROR(W485/(((100*Y485/Y489)*I488)/100),"")</f>
        <v/>
      </c>
      <c r="V485" s="234" t="str">
        <f>IFERROR(VLOOKUP($G485,нормы!$A$14:$BC$57,38,0),"")</f>
        <v/>
      </c>
      <c r="W485" s="136"/>
      <c r="X485" s="237"/>
      <c r="Y485" s="152" t="str">
        <f>IFERROR(VLOOKUP($G485,нормы!$A$14:$BC$57,42,0)*W485,"")</f>
        <v/>
      </c>
      <c r="Z485" s="163">
        <f>IFERROR(VLOOKUP($G485,нормы!$A$14:$BC$57,14,0)*W485/1000,0)</f>
        <v>0</v>
      </c>
      <c r="AA485" s="30"/>
      <c r="AB485" s="35"/>
      <c r="AC485" s="35"/>
      <c r="AD485" s="35"/>
      <c r="AE485" s="31"/>
      <c r="AF485" s="160"/>
      <c r="AG485" s="391"/>
      <c r="AH485" s="394"/>
      <c r="AI485" s="397"/>
      <c r="AJ485" s="408"/>
      <c r="AK485" s="360"/>
      <c r="AL485" s="360"/>
      <c r="AM485" s="360"/>
      <c r="AN485" s="289">
        <f>IFERROR(Y485*AJ483/Y489,)</f>
        <v>0</v>
      </c>
      <c r="AO485" s="197" t="str">
        <f>IFERROR(VLOOKUP($G485,нормы!$A$14:$BC$57,53,0)*$W485,"")</f>
        <v/>
      </c>
      <c r="AP485" s="290">
        <f>IFERROR(Y485*AI483/Y489,)</f>
        <v>0</v>
      </c>
      <c r="AQ485" s="197" t="str">
        <f>IFERROR(VLOOKUP($G485,нормы!$A$14:$BC$57,54,0)*$W485,"")</f>
        <v/>
      </c>
      <c r="AR485" s="290">
        <f>IFERROR(AS485/SUM(AS483:AS488)*AL483,0)</f>
        <v>0</v>
      </c>
      <c r="AS485" s="197" t="str">
        <f>IFERROR(VLOOKUP($G485,нормы!$A$14:$BC$57,55,0)*W485,"")</f>
        <v/>
      </c>
      <c r="AT485" s="290">
        <f>IFERROR(AU485/SUM(AU483:AU488)*AM483,0)</f>
        <v>0</v>
      </c>
      <c r="AU485" s="197" t="str">
        <f>IFERROR(VLOOKUP($G485,нормы!$A$14:$BI$57,56,0)*W485,"")</f>
        <v/>
      </c>
      <c r="AV485" s="290">
        <f>IFERROR(AW485/SUM(AW483:AW488)*AK483,0)</f>
        <v>0</v>
      </c>
      <c r="AW485" s="202" t="str">
        <f>IFERROR(VLOOKUP($G485,нормы!$A$14:$BI$57,57,0)*W485,"")</f>
        <v/>
      </c>
      <c r="AX485" s="30"/>
      <c r="AY485" s="203" t="str">
        <f>IFERROR(VLOOKUP($G485,нормы!$A$14:$BI$57,58,0)*W485,"")</f>
        <v/>
      </c>
      <c r="AZ485" s="205"/>
      <c r="BA485" s="200" t="str">
        <f>IFERROR(VLOOKUP($G485,нормы!$A$14:$BI$57,61,0)*$W485,"")</f>
        <v/>
      </c>
      <c r="BB485" s="30"/>
      <c r="BC485" s="203" t="str">
        <f>IFERROR(VLOOKUP($G485,нормы!$A$14:$BI$57,60,0)*W485,"")</f>
        <v/>
      </c>
      <c r="BD485" s="200" t="str">
        <f>IFERROR(VLOOKUP($G485,нормы!$A$14:$BG$57,44,0),"")</f>
        <v/>
      </c>
      <c r="BE485" s="199" t="str">
        <f>IFERROR(W485/VLOOKUP($G485,нормы!$A$14:$BI$57,45,0),"")</f>
        <v/>
      </c>
    </row>
    <row r="486" spans="1:57" s="1" customFormat="1" ht="20.25" customHeight="1" x14ac:dyDescent="0.4">
      <c r="A486" s="37" t="str">
        <f t="shared" si="194"/>
        <v>8Н</v>
      </c>
      <c r="B486" s="12">
        <f t="shared" si="197"/>
        <v>46030</v>
      </c>
      <c r="C486" s="97">
        <f t="shared" si="197"/>
        <v>0</v>
      </c>
      <c r="D486" s="97">
        <f t="shared" si="197"/>
        <v>2</v>
      </c>
      <c r="E486" s="54"/>
      <c r="F486" s="151" t="str">
        <f>IFERROR(VLOOKUP($G486,нормы!$A$14:$BC$57,2,0),"")</f>
        <v/>
      </c>
      <c r="G486" s="93"/>
      <c r="H486" s="54">
        <f t="shared" si="198"/>
        <v>0</v>
      </c>
      <c r="I486" s="55"/>
      <c r="J486" s="333"/>
      <c r="K486" s="30">
        <f>IFERROR(VLOOKUP($G486,[1]нормы!$A$21:$BC$151,15,0),"")</f>
        <v>0</v>
      </c>
      <c r="L486" s="31">
        <f>IFERROR(VLOOKUP($G486,[1]нормы!$A$21:$BC$151,17,0),"")</f>
        <v>0</v>
      </c>
      <c r="M486" s="306">
        <f>IFERROR(VLOOKUP($G486,[1]нормы!$A$21:$BC$151,27,0),"")</f>
        <v>0</v>
      </c>
      <c r="N486" s="307" t="str">
        <f>IFERROR(Y486/Y489*(1.1*J483*I491),"")</f>
        <v/>
      </c>
      <c r="O486" s="300">
        <f>IFERROR(VLOOKUP($G486,[1]нормы!$A$21:$BC$151,21,0),"")</f>
        <v>0</v>
      </c>
      <c r="P486" s="35">
        <f>IFERROR(VLOOKUP($G486,[1]нормы!$A$21:$BC$151,19,0),"")</f>
        <v>0</v>
      </c>
      <c r="Q486" s="35">
        <f>IFERROR(VLOOKUP($G486,[1]нормы!$A$21:$BC$151,23,0),"")</f>
        <v>0</v>
      </c>
      <c r="R486" s="231">
        <f>IFERROR(VLOOKUP($G486,[1]нормы!$A$21:$BC$151,29,0),"")</f>
        <v>0</v>
      </c>
      <c r="S486" s="35">
        <f>IFERROR(VLOOKUP($G486,[1]нормы!$A$21:$BC$151,31,0),"")</f>
        <v>0</v>
      </c>
      <c r="T486" s="32">
        <f>IFERROR(VLOOKUP($G486,[1]нормы!$A$21:$BC$151,25,0),"")</f>
        <v>0</v>
      </c>
      <c r="U486" s="233" t="str">
        <f>IFERROR(W486/(((100*Y486/Y489)*I488)/100),"")</f>
        <v/>
      </c>
      <c r="V486" s="234" t="str">
        <f>IFERROR(VLOOKUP($G486,нормы!$A$14:$BC$57,38,0),"")</f>
        <v/>
      </c>
      <c r="W486" s="136"/>
      <c r="X486" s="237"/>
      <c r="Y486" s="152" t="str">
        <f>IFERROR(VLOOKUP($G486,нормы!$A$14:$BC$57,42,0)*W486,"")</f>
        <v/>
      </c>
      <c r="Z486" s="163">
        <f>IFERROR(VLOOKUP($G486,нормы!$A$14:$BC$57,14,0)*W486/1000,0)</f>
        <v>0</v>
      </c>
      <c r="AA486" s="30"/>
      <c r="AB486" s="35"/>
      <c r="AC486" s="35"/>
      <c r="AD486" s="35"/>
      <c r="AE486" s="31"/>
      <c r="AF486" s="160"/>
      <c r="AG486" s="391"/>
      <c r="AH486" s="394"/>
      <c r="AI486" s="397"/>
      <c r="AJ486" s="408"/>
      <c r="AK486" s="360"/>
      <c r="AL486" s="360"/>
      <c r="AM486" s="360"/>
      <c r="AN486" s="289">
        <f>IFERROR(Y486*AJ483/Y489,)</f>
        <v>0</v>
      </c>
      <c r="AO486" s="197" t="str">
        <f>IFERROR(VLOOKUP($G486,нормы!$A$14:$BC$57,53,0)*$W486,"")</f>
        <v/>
      </c>
      <c r="AP486" s="290">
        <f>IFERROR(Y486*AI483/Y489,)</f>
        <v>0</v>
      </c>
      <c r="AQ486" s="197" t="str">
        <f>IFERROR(VLOOKUP($G486,нормы!$A$14:$BC$57,54,0)*$W486,"")</f>
        <v/>
      </c>
      <c r="AR486" s="290">
        <f>IFERROR(AS486/SUM(AS483:AS488)*AL483,0)</f>
        <v>0</v>
      </c>
      <c r="AS486" s="197" t="str">
        <f>IFERROR(VLOOKUP($G486,нормы!$A$14:$BC$57,55,0)*W486,"")</f>
        <v/>
      </c>
      <c r="AT486" s="290">
        <f>IFERROR(AU486/SUM(AU483:AU488)*AM483,0)</f>
        <v>0</v>
      </c>
      <c r="AU486" s="197" t="str">
        <f>IFERROR(VLOOKUP($G486,нормы!$A$14:$BI$57,56,0)*W486,"")</f>
        <v/>
      </c>
      <c r="AV486" s="290">
        <f>IFERROR(AW486/SUM(AW483:AW488)*AK483,0)</f>
        <v>0</v>
      </c>
      <c r="AW486" s="202" t="str">
        <f>IFERROR(VLOOKUP($G486,нормы!$A$14:$BI$57,57,0)*W486,"")</f>
        <v/>
      </c>
      <c r="AX486" s="30"/>
      <c r="AY486" s="203" t="str">
        <f>IFERROR(VLOOKUP($G486,нормы!$A$14:$BI$57,58,0)*W486,"")</f>
        <v/>
      </c>
      <c r="AZ486" s="205"/>
      <c r="BA486" s="200" t="str">
        <f>IFERROR(VLOOKUP($G486,нормы!$A$14:$BI$57,61,0)*$W486,"")</f>
        <v/>
      </c>
      <c r="BB486" s="30"/>
      <c r="BC486" s="203" t="str">
        <f>IFERROR(VLOOKUP($G486,нормы!$A$14:$BI$57,60,0)*W486,"")</f>
        <v/>
      </c>
      <c r="BD486" s="200" t="str">
        <f>IFERROR(VLOOKUP($G486,нормы!$A$14:$BG$57,44,0),"")</f>
        <v/>
      </c>
      <c r="BE486" s="199" t="str">
        <f>IFERROR(W486/VLOOKUP($G486,нормы!$A$14:$BI$57,45,0),"")</f>
        <v/>
      </c>
    </row>
    <row r="487" spans="1:57" s="1" customFormat="1" ht="20.25" customHeight="1" x14ac:dyDescent="0.4">
      <c r="A487" s="37" t="str">
        <f t="shared" si="194"/>
        <v>8Н</v>
      </c>
      <c r="B487" s="12">
        <f t="shared" si="197"/>
        <v>46030</v>
      </c>
      <c r="C487" s="97">
        <f t="shared" si="197"/>
        <v>0</v>
      </c>
      <c r="D487" s="97">
        <f t="shared" si="197"/>
        <v>2</v>
      </c>
      <c r="E487" s="54"/>
      <c r="F487" s="151" t="str">
        <f>IFERROR(VLOOKUP($G487,нормы!$A$14:$BC$57,2,0),"")</f>
        <v/>
      </c>
      <c r="G487" s="38"/>
      <c r="H487" s="54">
        <f t="shared" si="198"/>
        <v>0</v>
      </c>
      <c r="I487" s="89" t="s">
        <v>73</v>
      </c>
      <c r="J487" s="333"/>
      <c r="K487" s="30">
        <f>IFERROR(VLOOKUP($G487,[1]нормы!$A$21:$BC$151,15,0),"")</f>
        <v>0</v>
      </c>
      <c r="L487" s="31">
        <f>IFERROR(VLOOKUP($G487,[1]нормы!$A$21:$BC$151,17,0),"")</f>
        <v>0</v>
      </c>
      <c r="M487" s="306">
        <f>IFERROR(VLOOKUP($G487,[1]нормы!$A$21:$BC$151,27,0),"")</f>
        <v>0</v>
      </c>
      <c r="N487" s="307" t="str">
        <f>IFERROR(Y487/Y489*(1.1*J483*I492),"")</f>
        <v/>
      </c>
      <c r="O487" s="300">
        <f>IFERROR(VLOOKUP($G487,[1]нормы!$A$21:$BC$151,21,0),"")</f>
        <v>0</v>
      </c>
      <c r="P487" s="35">
        <f>IFERROR(VLOOKUP($G487,[1]нормы!$A$21:$BC$151,19,0),"")</f>
        <v>0</v>
      </c>
      <c r="Q487" s="35">
        <f>IFERROR(VLOOKUP($G487,[1]нормы!$A$21:$BC$151,23,0),"")</f>
        <v>0</v>
      </c>
      <c r="R487" s="231">
        <f>IFERROR(VLOOKUP($G487,[1]нормы!$A$21:$BC$151,29,0),"")</f>
        <v>0</v>
      </c>
      <c r="S487" s="35">
        <f>IFERROR(VLOOKUP($G487,[1]нормы!$A$21:$BC$151,31,0),"")</f>
        <v>0</v>
      </c>
      <c r="T487" s="32">
        <f>IFERROR(VLOOKUP($G487,[1]нормы!$A$21:$BC$151,25,0),"")</f>
        <v>0</v>
      </c>
      <c r="U487" s="233" t="str">
        <f>IFERROR(W487/(((100*Y487/Y489)*I488)/100),"")</f>
        <v/>
      </c>
      <c r="V487" s="234" t="str">
        <f>IFERROR(VLOOKUP($G487,нормы!$A$14:$BC$57,38,0),"")</f>
        <v/>
      </c>
      <c r="W487" s="136"/>
      <c r="X487" s="237"/>
      <c r="Y487" s="152" t="str">
        <f>IFERROR(VLOOKUP($G487,нормы!$A$14:$BC$57,42,0)*W487,"")</f>
        <v/>
      </c>
      <c r="Z487" s="163">
        <f>IFERROR(VLOOKUP($G487,нормы!$A$14:$BC$57,14,0)*W487/1000,0)</f>
        <v>0</v>
      </c>
      <c r="AA487" s="30"/>
      <c r="AB487" s="35"/>
      <c r="AC487" s="35"/>
      <c r="AD487" s="35"/>
      <c r="AE487" s="31"/>
      <c r="AF487" s="160"/>
      <c r="AG487" s="391"/>
      <c r="AH487" s="394"/>
      <c r="AI487" s="397"/>
      <c r="AJ487" s="408"/>
      <c r="AK487" s="360"/>
      <c r="AL487" s="360"/>
      <c r="AM487" s="360"/>
      <c r="AN487" s="289">
        <f>IFERROR(Y487*AJ483/Y489,)</f>
        <v>0</v>
      </c>
      <c r="AO487" s="197" t="str">
        <f>IFERROR(VLOOKUP($G487,нормы!$A$14:$BC$57,53,0)*$W487,"")</f>
        <v/>
      </c>
      <c r="AP487" s="290">
        <f>IFERROR(Y487*AI483/Y489,)</f>
        <v>0</v>
      </c>
      <c r="AQ487" s="197" t="str">
        <f>IFERROR(VLOOKUP($G487,нормы!$A$14:$BC$57,54,0)*$W487,"")</f>
        <v/>
      </c>
      <c r="AR487" s="290">
        <f>IFERROR(AS487/SUM(AS483:AS488)*AL483,0)</f>
        <v>0</v>
      </c>
      <c r="AS487" s="197" t="str">
        <f>IFERROR(VLOOKUP($G487,нормы!$A$14:$BC$57,55,0)*W487,"")</f>
        <v/>
      </c>
      <c r="AT487" s="290">
        <f>IFERROR(AU487/SUM(AU483:AU488)*AM483,0)</f>
        <v>0</v>
      </c>
      <c r="AU487" s="197" t="str">
        <f>IFERROR(VLOOKUP($G487,нормы!$A$14:$BI$57,56,0)*W487,"")</f>
        <v/>
      </c>
      <c r="AV487" s="290">
        <f>IFERROR(AW487/SUM(AW483:AW488)*AK483,0)</f>
        <v>0</v>
      </c>
      <c r="AW487" s="202" t="str">
        <f>IFERROR(VLOOKUP($G487,нормы!$A$14:$BI$57,57,0)*W487,"")</f>
        <v/>
      </c>
      <c r="AX487" s="30"/>
      <c r="AY487" s="203" t="str">
        <f>IFERROR(VLOOKUP($G487,нормы!$A$14:$BI$57,58,0)*W487,"")</f>
        <v/>
      </c>
      <c r="AZ487" s="205"/>
      <c r="BA487" s="200" t="str">
        <f>IFERROR(VLOOKUP($G487,нормы!$A$14:$BI$57,61,0)*$W487,"")</f>
        <v/>
      </c>
      <c r="BB487" s="30"/>
      <c r="BC487" s="203" t="str">
        <f>IFERROR(VLOOKUP($G487,нормы!$A$14:$BI$57,60,0)*W487,"")</f>
        <v/>
      </c>
      <c r="BD487" s="200" t="str">
        <f>IFERROR(VLOOKUP($G487,нормы!$A$14:$BG$57,44,0),"")</f>
        <v/>
      </c>
      <c r="BE487" s="199" t="str">
        <f>IFERROR(W487/VLOOKUP($G487,нормы!$A$14:$BI$57,45,0),"")</f>
        <v/>
      </c>
    </row>
    <row r="488" spans="1:57" s="1" customFormat="1" ht="21" customHeight="1" thickBot="1" x14ac:dyDescent="0.45">
      <c r="A488" s="37" t="str">
        <f t="shared" si="194"/>
        <v>8Н</v>
      </c>
      <c r="B488" s="12">
        <f t="shared" si="197"/>
        <v>46030</v>
      </c>
      <c r="C488" s="97">
        <f t="shared" si="197"/>
        <v>0</v>
      </c>
      <c r="D488" s="97">
        <f t="shared" si="197"/>
        <v>2</v>
      </c>
      <c r="E488" s="54"/>
      <c r="F488" s="151" t="str">
        <f>IFERROR(VLOOKUP($G488,нормы!$A$14:$BC$57,2,0),"")</f>
        <v/>
      </c>
      <c r="G488" s="93"/>
      <c r="H488" s="63">
        <f t="shared" si="198"/>
        <v>0</v>
      </c>
      <c r="I488" s="153">
        <f>I484+I486</f>
        <v>0</v>
      </c>
      <c r="J488" s="334"/>
      <c r="K488" s="30">
        <f>IFERROR(VLOOKUP($G488,[1]нормы!$A$21:$BC$151,15,0),"")</f>
        <v>0</v>
      </c>
      <c r="L488" s="31">
        <f>IFERROR(VLOOKUP($G488,[1]нормы!$A$21:$BC$151,17,0),"")</f>
        <v>0</v>
      </c>
      <c r="M488" s="308">
        <f>IFERROR(VLOOKUP($G488,[1]нормы!$A$21:$BC$151,27,0),"")</f>
        <v>0</v>
      </c>
      <c r="N488" s="309" t="str">
        <f>IFERROR(Y488/Y489*(1.1*J483*I493),"")</f>
        <v/>
      </c>
      <c r="O488" s="300">
        <f>IFERROR(VLOOKUP($G488,[1]нормы!$A$21:$BC$151,21,0),"")</f>
        <v>0</v>
      </c>
      <c r="P488" s="35">
        <f>IFERROR(VLOOKUP($G488,[1]нормы!$A$21:$BC$151,19,0),"")</f>
        <v>0</v>
      </c>
      <c r="Q488" s="35">
        <f>IFERROR(VLOOKUP($G488,[1]нормы!$A$21:$BC$151,23,0),"")</f>
        <v>0</v>
      </c>
      <c r="R488" s="231">
        <f>IFERROR(VLOOKUP($G488,[1]нормы!$A$21:$BC$151,29,0),"")</f>
        <v>0</v>
      </c>
      <c r="S488" s="35">
        <f>IFERROR(VLOOKUP($G488,[1]нормы!$A$21:$BC$151,31,0),"")</f>
        <v>0</v>
      </c>
      <c r="T488" s="32">
        <f>IFERROR(VLOOKUP($G488,[1]нормы!$A$21:$BC$151,25,0),"")</f>
        <v>0</v>
      </c>
      <c r="U488" s="235" t="str">
        <f>IFERROR(W488/(((100*Y488/Y489)*I488)/100),"")</f>
        <v/>
      </c>
      <c r="V488" s="234" t="str">
        <f>IFERROR(VLOOKUP($G488,нормы!$A$14:$BC$57,38,0),"")</f>
        <v/>
      </c>
      <c r="W488" s="154"/>
      <c r="X488" s="238"/>
      <c r="Y488" s="152" t="str">
        <f>IFERROR(VLOOKUP($G488,нормы!$A$14:$BC$57,42,0)*W488,"")</f>
        <v/>
      </c>
      <c r="Z488" s="163">
        <f>IFERROR(VLOOKUP($G488,нормы!$A$14:$BC$57,14,0)*W488/1000,0)</f>
        <v>0</v>
      </c>
      <c r="AA488" s="56"/>
      <c r="AB488" s="58"/>
      <c r="AC488" s="58"/>
      <c r="AD488" s="58"/>
      <c r="AE488" s="57"/>
      <c r="AF488" s="161"/>
      <c r="AG488" s="392"/>
      <c r="AH488" s="395"/>
      <c r="AI488" s="398"/>
      <c r="AJ488" s="409"/>
      <c r="AK488" s="361"/>
      <c r="AL488" s="361"/>
      <c r="AM488" s="361"/>
      <c r="AN488" s="291">
        <f>IFERROR(Y488*AJ483/Y489,)</f>
        <v>0</v>
      </c>
      <c r="AO488" s="197" t="str">
        <f>IFERROR(VLOOKUP($G488,нормы!$A$14:$BC$57,53,0)*$W488,"")</f>
        <v/>
      </c>
      <c r="AP488" s="292">
        <f>IFERROR(Y488*AI483/Y489,)</f>
        <v>0</v>
      </c>
      <c r="AQ488" s="197" t="str">
        <f>IFERROR(VLOOKUP($G488,нормы!$A$14:$BC$57,54,0)*$W488,"")</f>
        <v/>
      </c>
      <c r="AR488" s="290">
        <f>IFERROR(AS488/SUM(AS483:AS488)*AL483,0)</f>
        <v>0</v>
      </c>
      <c r="AS488" s="197" t="str">
        <f>IFERROR(VLOOKUP($G488,нормы!$A$14:$BC$57,55,0)*W488,"")</f>
        <v/>
      </c>
      <c r="AT488" s="292">
        <f>IFERROR(AU488/SUM(AU483:AU488)*AM483,0)</f>
        <v>0</v>
      </c>
      <c r="AU488" s="197" t="str">
        <f>IFERROR(VLOOKUP($G488,нормы!$A$14:$BI$57,56,0)*W488,"")</f>
        <v/>
      </c>
      <c r="AV488" s="292">
        <f>IFERROR(AW488/SUM(AW483:AW488)*AK483,0)</f>
        <v>0</v>
      </c>
      <c r="AW488" s="202" t="str">
        <f>IFERROR(VLOOKUP($G488,нормы!$A$14:$BI$57,57,0)*W488,"")</f>
        <v/>
      </c>
      <c r="AX488" s="56"/>
      <c r="AY488" s="203" t="str">
        <f>IFERROR(VLOOKUP($G488,нормы!$A$14:$BI$57,58,0)*W488,"")</f>
        <v/>
      </c>
      <c r="AZ488" s="206"/>
      <c r="BA488" s="200" t="str">
        <f>IFERROR(VLOOKUP($G488,нормы!$A$14:$BI$57,61,0)*$W488,"")</f>
        <v/>
      </c>
      <c r="BB488" s="56"/>
      <c r="BC488" s="203" t="str">
        <f>IFERROR(VLOOKUP($G488,нормы!$A$14:$BI$57,60,0)*W488,"")</f>
        <v/>
      </c>
      <c r="BD488" s="200" t="str">
        <f>IFERROR(VLOOKUP($G488,нормы!$A$14:$BG$57,44,0),"")</f>
        <v/>
      </c>
      <c r="BE488" s="199" t="str">
        <f>IFERROR(W488/VLOOKUP($G488,нормы!$A$14:$BI$57,45,0),"")</f>
        <v/>
      </c>
    </row>
    <row r="489" spans="1:57" s="1" customFormat="1" ht="29.4" customHeight="1" thickBot="1" x14ac:dyDescent="0.45">
      <c r="A489" s="37" t="str">
        <f t="shared" si="194"/>
        <v>8Н</v>
      </c>
      <c r="B489" s="59"/>
      <c r="C489" s="51"/>
      <c r="D489" s="51"/>
      <c r="E489" s="51"/>
      <c r="F489" s="51"/>
      <c r="G489" s="51"/>
      <c r="H489" s="51"/>
      <c r="I489" s="60"/>
      <c r="J489" s="60"/>
      <c r="K489" s="319" t="s">
        <v>213</v>
      </c>
      <c r="L489" s="316"/>
      <c r="M489" s="303" t="s">
        <v>213</v>
      </c>
      <c r="N489" s="317">
        <f>SUM(N483:N488)</f>
        <v>0</v>
      </c>
      <c r="O489" s="304" t="s">
        <v>217</v>
      </c>
      <c r="P489" s="318">
        <f>N489*8.937/1000</f>
        <v>0</v>
      </c>
      <c r="Q489" s="305" t="s">
        <v>215</v>
      </c>
      <c r="R489" s="61"/>
      <c r="S489" s="61"/>
      <c r="T489" s="61"/>
      <c r="U489" s="109"/>
      <c r="V489" s="109"/>
      <c r="W489" s="94"/>
      <c r="X489" s="155"/>
      <c r="Y489" s="96">
        <f>SUM(Y483:Y488)</f>
        <v>0</v>
      </c>
      <c r="Z489" s="164">
        <f>SUM(Z483:Z488)</f>
        <v>0</v>
      </c>
      <c r="AA489" s="207">
        <f>(AA475+AA476+AA477+AA478+AA479+AA480+AA481+AA483+AA484+AA485+AA486+AA487+AA488)-AG476</f>
        <v>1</v>
      </c>
      <c r="AB489" s="208">
        <f>(AB475+AB476+AB477+AB478+AB479+AB480+AB481+AB483+AB484+AB485+AB486+AB487+AB488)-AH476</f>
        <v>2</v>
      </c>
      <c r="AC489" s="208">
        <f>(AC475+AC476+AC477+AC478+AC479+AC480+AC481+AC483+AC484+AC485+AC486+AC487+AC488)-AG483</f>
        <v>3</v>
      </c>
      <c r="AD489" s="208">
        <f>(AD475+AD476+AD477+AD478+AD479+AD480+AD481+AD483+AD484+AD485+AD486+AD487+AD488)-AH483</f>
        <v>4</v>
      </c>
      <c r="AE489" s="208">
        <f>(AE475+AE476+AE477+AE478+AE479+AE480+AE481+AE483+AE484+AE485+AE486+AE487+AE488)-AI476</f>
        <v>5</v>
      </c>
      <c r="AF489" s="209">
        <f>(AF475+AF476+AF477+AF478+AF479+AF480+AF481+AF483+AF484+AF485+AF486+AF487+AF488)-AI483</f>
        <v>6</v>
      </c>
      <c r="AG489" s="62"/>
      <c r="AH489" s="62"/>
      <c r="AI489" s="62"/>
      <c r="AJ489" s="62"/>
      <c r="AK489" s="62"/>
      <c r="AL489" s="62"/>
      <c r="AM489" s="62"/>
      <c r="AN489" s="91">
        <f>SUM(AN483:AN488)</f>
        <v>0</v>
      </c>
      <c r="AO489" s="91">
        <f>SUM(AO483:AO488)</f>
        <v>0</v>
      </c>
      <c r="AP489" s="91"/>
      <c r="AQ489" s="91"/>
      <c r="AR489" s="91">
        <f>SUM(AR483:AR488)</f>
        <v>0</v>
      </c>
      <c r="AS489" s="91">
        <f t="shared" ref="AS489:AW489" si="199">SUM(AS483:AS488)</f>
        <v>0</v>
      </c>
      <c r="AT489" s="91">
        <f t="shared" si="199"/>
        <v>0</v>
      </c>
      <c r="AU489" s="91">
        <f t="shared" si="199"/>
        <v>0</v>
      </c>
      <c r="AV489" s="91">
        <f t="shared" si="199"/>
        <v>0</v>
      </c>
      <c r="AW489" s="91">
        <f t="shared" si="199"/>
        <v>0</v>
      </c>
      <c r="AX489" s="91">
        <f>SUM(AX483:AX488)</f>
        <v>0</v>
      </c>
      <c r="AY489" s="91">
        <f>SUM(AY483:AY488)</f>
        <v>0</v>
      </c>
      <c r="AZ489" s="91">
        <f>SUM(AZ483:AZ488)</f>
        <v>0</v>
      </c>
      <c r="BA489" s="91"/>
      <c r="BB489" s="91"/>
      <c r="BC489" s="91"/>
      <c r="BD489" s="91" t="str">
        <f>IFERROR(VLOOKUP($G489,нормы!$A$14:$BG$15,27,0),"")</f>
        <v/>
      </c>
      <c r="BE489" s="53" t="str">
        <f>IFERROR(W489/VLOOKUP($G489,нормы!$A$14:$BI$15,28,0),"")</f>
        <v/>
      </c>
    </row>
    <row r="490" spans="1:57" s="1" customFormat="1" ht="29.4" customHeight="1" thickBot="1" x14ac:dyDescent="0.5">
      <c r="A490" s="37" t="str">
        <f t="shared" si="194"/>
        <v>8Н</v>
      </c>
      <c r="B490" s="166" t="s">
        <v>130</v>
      </c>
      <c r="C490" s="167"/>
      <c r="D490" s="167"/>
      <c r="E490" s="167"/>
      <c r="F490" s="165"/>
      <c r="G490" s="167"/>
      <c r="H490" s="167"/>
      <c r="I490" s="168"/>
      <c r="J490" s="168"/>
      <c r="K490" s="168"/>
      <c r="L490" s="168"/>
      <c r="M490" s="168"/>
      <c r="N490" s="168"/>
      <c r="O490" s="167"/>
      <c r="P490" s="169"/>
      <c r="Q490" s="169"/>
      <c r="R490" s="169"/>
      <c r="S490" s="169"/>
      <c r="T490" s="169"/>
      <c r="U490" s="170"/>
      <c r="V490" s="170"/>
      <c r="W490" s="171"/>
      <c r="X490" s="171"/>
      <c r="Y490" s="172"/>
      <c r="Z490" s="172"/>
      <c r="AA490" s="201" t="s">
        <v>144</v>
      </c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64"/>
      <c r="AN490" s="167"/>
      <c r="AO490" s="167"/>
      <c r="AP490" s="167"/>
      <c r="AQ490" s="167"/>
      <c r="AR490" s="64"/>
      <c r="AS490" s="64"/>
      <c r="AT490" s="65"/>
      <c r="AU490" s="64"/>
      <c r="AV490" s="49"/>
      <c r="AW490" s="49"/>
      <c r="AX490" s="167"/>
      <c r="AY490" s="167"/>
      <c r="AZ490" s="167"/>
      <c r="BA490" s="167"/>
      <c r="BB490" s="167"/>
      <c r="BC490" s="167"/>
      <c r="BD490" s="66"/>
      <c r="BE490" s="66"/>
    </row>
    <row r="491" spans="1:57" s="1" customFormat="1" ht="23.25" customHeight="1" x14ac:dyDescent="0.4">
      <c r="A491" s="37" t="str">
        <f t="shared" si="194"/>
        <v>8Н</v>
      </c>
      <c r="B491" s="183"/>
      <c r="C491" s="100"/>
      <c r="D491" s="185"/>
      <c r="E491" s="186" t="s">
        <v>57</v>
      </c>
      <c r="F491" s="66" t="s">
        <v>87</v>
      </c>
      <c r="G491" s="66"/>
      <c r="H491" s="108" t="s">
        <v>131</v>
      </c>
      <c r="I491" s="101"/>
      <c r="J491" s="101"/>
      <c r="K491" s="101"/>
      <c r="L491" s="101"/>
      <c r="M491" s="101"/>
      <c r="N491" s="101"/>
      <c r="O491" s="67"/>
      <c r="P491" s="102"/>
      <c r="Q491" s="102"/>
      <c r="R491" s="102"/>
      <c r="S491" s="102"/>
      <c r="T491" s="102"/>
      <c r="U491" s="67"/>
      <c r="V491" s="67"/>
      <c r="W491" s="103"/>
      <c r="X491" s="187"/>
      <c r="Y491" s="68" t="s">
        <v>74</v>
      </c>
      <c r="Z491" s="69"/>
      <c r="AA491" s="90"/>
      <c r="AB491" s="100"/>
      <c r="AC491" s="100"/>
      <c r="AD491" s="186" t="s">
        <v>57</v>
      </c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190"/>
      <c r="AU491" s="66"/>
      <c r="AV491" s="165"/>
      <c r="AW491" s="293"/>
      <c r="AX491" s="66"/>
      <c r="AY491" s="66"/>
      <c r="AZ491" s="66"/>
      <c r="BA491" s="66"/>
      <c r="BB491" s="66"/>
      <c r="BC491" s="66"/>
      <c r="BD491" s="68" t="s">
        <v>74</v>
      </c>
      <c r="BE491" s="69"/>
    </row>
    <row r="492" spans="1:57" s="1" customFormat="1" ht="23.25" customHeight="1" thickBot="1" x14ac:dyDescent="0.45">
      <c r="A492" s="37" t="str">
        <f t="shared" si="194"/>
        <v>8Н</v>
      </c>
      <c r="B492" s="183"/>
      <c r="C492" s="41"/>
      <c r="D492" s="184"/>
      <c r="E492" s="50"/>
      <c r="F492" s="70"/>
      <c r="G492" s="70"/>
      <c r="H492" s="70"/>
      <c r="I492" s="104"/>
      <c r="J492" s="104"/>
      <c r="K492" s="104"/>
      <c r="L492" s="104"/>
      <c r="M492" s="104"/>
      <c r="N492" s="104"/>
      <c r="O492" s="71"/>
      <c r="P492" s="105"/>
      <c r="Q492" s="105"/>
      <c r="R492" s="105"/>
      <c r="S492" s="105"/>
      <c r="T492" s="105"/>
      <c r="U492" s="71"/>
      <c r="V492" s="71"/>
      <c r="W492" s="106"/>
      <c r="X492" s="188"/>
      <c r="Y492" s="72"/>
      <c r="Z492" s="73"/>
      <c r="AA492" s="90"/>
      <c r="AB492" s="41"/>
      <c r="AC492" s="41"/>
      <c r="AD492" s="50"/>
      <c r="AE492" s="47"/>
      <c r="AF492" s="47"/>
      <c r="AG492" s="47"/>
      <c r="AH492" s="47"/>
      <c r="AI492" s="47"/>
      <c r="AJ492" s="47"/>
      <c r="AK492" s="47"/>
      <c r="AL492" s="47"/>
      <c r="AM492" s="70"/>
      <c r="AN492" s="47"/>
      <c r="AO492" s="70"/>
      <c r="AP492" s="70"/>
      <c r="AQ492" s="70"/>
      <c r="AR492" s="70"/>
      <c r="AS492" s="70"/>
      <c r="AT492" s="191"/>
      <c r="AU492" s="70"/>
      <c r="AV492" s="192"/>
      <c r="AW492" s="294"/>
      <c r="AX492" s="70"/>
      <c r="AY492" s="70"/>
      <c r="AZ492" s="70"/>
      <c r="BA492" s="70"/>
      <c r="BB492" s="70"/>
      <c r="BC492" s="70"/>
      <c r="BD492" s="72"/>
      <c r="BE492" s="73"/>
    </row>
    <row r="493" spans="1:57" s="1" customFormat="1" ht="18" customHeight="1" x14ac:dyDescent="0.4">
      <c r="A493" s="37" t="str">
        <f t="shared" si="194"/>
        <v>8Н</v>
      </c>
      <c r="B493" s="183"/>
      <c r="C493" s="41"/>
      <c r="D493" s="184"/>
      <c r="E493" s="281">
        <f>B488</f>
        <v>46030</v>
      </c>
      <c r="F493" s="337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98">
        <v>1</v>
      </c>
      <c r="Y493" s="74">
        <v>1</v>
      </c>
      <c r="Z493" s="75">
        <f t="shared" ref="Z493:Z504" si="200">Y493-X493</f>
        <v>0</v>
      </c>
      <c r="AA493" s="189"/>
      <c r="AB493" s="41"/>
      <c r="AC493" s="184"/>
      <c r="AD493" s="210">
        <f>E493</f>
        <v>46030</v>
      </c>
      <c r="AE493" s="387"/>
      <c r="AF493" s="388"/>
      <c r="AG493" s="388"/>
      <c r="AH493" s="388"/>
      <c r="AI493" s="388"/>
      <c r="AJ493" s="388"/>
      <c r="AK493" s="388"/>
      <c r="AL493" s="388"/>
      <c r="AM493" s="388"/>
      <c r="AN493" s="388"/>
      <c r="AO493" s="388"/>
      <c r="AP493" s="388"/>
      <c r="AQ493" s="388"/>
      <c r="AR493" s="388"/>
      <c r="AS493" s="388"/>
      <c r="AT493" s="388"/>
      <c r="AU493" s="388"/>
      <c r="AV493" s="388"/>
      <c r="AW493" s="388"/>
      <c r="AX493" s="388"/>
      <c r="AY493" s="388"/>
      <c r="AZ493" s="388"/>
      <c r="BA493" s="388"/>
      <c r="BB493" s="389"/>
      <c r="BC493" s="98">
        <v>1</v>
      </c>
      <c r="BD493" s="74">
        <v>1</v>
      </c>
      <c r="BE493" s="75">
        <f t="shared" ref="BE493:BE504" si="201">BD493-BC493</f>
        <v>0</v>
      </c>
    </row>
    <row r="494" spans="1:57" s="1" customFormat="1" ht="18" customHeight="1" x14ac:dyDescent="0.4">
      <c r="A494" s="37" t="str">
        <f t="shared" si="194"/>
        <v>8Н</v>
      </c>
      <c r="B494" s="183"/>
      <c r="C494" s="41"/>
      <c r="D494" s="184"/>
      <c r="E494" s="282">
        <f>E493</f>
        <v>46030</v>
      </c>
      <c r="F494" s="335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  <c r="R494" s="336"/>
      <c r="S494" s="336"/>
      <c r="T494" s="336"/>
      <c r="U494" s="336"/>
      <c r="V494" s="336"/>
      <c r="W494" s="336"/>
      <c r="X494" s="98">
        <v>1</v>
      </c>
      <c r="Y494" s="74">
        <v>1</v>
      </c>
      <c r="Z494" s="75">
        <f t="shared" si="200"/>
        <v>0</v>
      </c>
      <c r="AA494" s="107">
        <f>AA493</f>
        <v>0</v>
      </c>
      <c r="AB494" s="41"/>
      <c r="AC494" s="184"/>
      <c r="AD494" s="212">
        <f>AD493</f>
        <v>46030</v>
      </c>
      <c r="AE494" s="387"/>
      <c r="AF494" s="388"/>
      <c r="AG494" s="388"/>
      <c r="AH494" s="388"/>
      <c r="AI494" s="388"/>
      <c r="AJ494" s="388"/>
      <c r="AK494" s="388"/>
      <c r="AL494" s="388"/>
      <c r="AM494" s="388"/>
      <c r="AN494" s="388"/>
      <c r="AO494" s="388"/>
      <c r="AP494" s="388"/>
      <c r="AQ494" s="388"/>
      <c r="AR494" s="388"/>
      <c r="AS494" s="388"/>
      <c r="AT494" s="388"/>
      <c r="AU494" s="388"/>
      <c r="AV494" s="388"/>
      <c r="AW494" s="388"/>
      <c r="AX494" s="388"/>
      <c r="AY494" s="388"/>
      <c r="AZ494" s="388"/>
      <c r="BA494" s="388"/>
      <c r="BB494" s="389"/>
      <c r="BC494" s="98">
        <v>1</v>
      </c>
      <c r="BD494" s="74">
        <v>1</v>
      </c>
      <c r="BE494" s="75">
        <f t="shared" si="201"/>
        <v>0</v>
      </c>
    </row>
    <row r="495" spans="1:57" s="1" customFormat="1" ht="18" customHeight="1" x14ac:dyDescent="0.4">
      <c r="A495" s="37" t="str">
        <f t="shared" si="194"/>
        <v>8Н</v>
      </c>
      <c r="B495" s="183"/>
      <c r="C495" s="41"/>
      <c r="D495" s="184"/>
      <c r="E495" s="282">
        <f t="shared" ref="E495:E504" si="202">E494</f>
        <v>46030</v>
      </c>
      <c r="F495" s="335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  <c r="R495" s="336"/>
      <c r="S495" s="336"/>
      <c r="T495" s="336"/>
      <c r="U495" s="336"/>
      <c r="V495" s="336"/>
      <c r="W495" s="336"/>
      <c r="X495" s="98">
        <v>1</v>
      </c>
      <c r="Y495" s="74">
        <v>1</v>
      </c>
      <c r="Z495" s="75">
        <f t="shared" si="200"/>
        <v>0</v>
      </c>
      <c r="AA495" s="107">
        <f>AA494</f>
        <v>0</v>
      </c>
      <c r="AB495" s="41"/>
      <c r="AC495" s="184"/>
      <c r="AD495" s="212">
        <f t="shared" ref="AD495:AD504" si="203">AD494</f>
        <v>46030</v>
      </c>
      <c r="AE495" s="387"/>
      <c r="AF495" s="388"/>
      <c r="AG495" s="388"/>
      <c r="AH495" s="388"/>
      <c r="AI495" s="388"/>
      <c r="AJ495" s="388"/>
      <c r="AK495" s="388"/>
      <c r="AL495" s="388"/>
      <c r="AM495" s="388"/>
      <c r="AN495" s="388"/>
      <c r="AO495" s="388"/>
      <c r="AP495" s="388"/>
      <c r="AQ495" s="388"/>
      <c r="AR495" s="388"/>
      <c r="AS495" s="388"/>
      <c r="AT495" s="388"/>
      <c r="AU495" s="388"/>
      <c r="AV495" s="388"/>
      <c r="AW495" s="388"/>
      <c r="AX495" s="388"/>
      <c r="AY495" s="388"/>
      <c r="AZ495" s="388"/>
      <c r="BA495" s="388"/>
      <c r="BB495" s="389"/>
      <c r="BC495" s="98">
        <v>1</v>
      </c>
      <c r="BD495" s="74">
        <v>1</v>
      </c>
      <c r="BE495" s="75">
        <f t="shared" si="201"/>
        <v>0</v>
      </c>
    </row>
    <row r="496" spans="1:57" s="1" customFormat="1" ht="18" customHeight="1" x14ac:dyDescent="0.4">
      <c r="A496" s="37" t="str">
        <f t="shared" si="194"/>
        <v>8Н</v>
      </c>
      <c r="B496" s="183"/>
      <c r="C496" s="41"/>
      <c r="D496" s="184"/>
      <c r="E496" s="282">
        <f t="shared" si="202"/>
        <v>46030</v>
      </c>
      <c r="F496" s="335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  <c r="R496" s="336"/>
      <c r="S496" s="336"/>
      <c r="T496" s="336"/>
      <c r="U496" s="336"/>
      <c r="V496" s="336"/>
      <c r="W496" s="336"/>
      <c r="X496" s="98">
        <v>1</v>
      </c>
      <c r="Y496" s="74">
        <v>1</v>
      </c>
      <c r="Z496" s="75">
        <f t="shared" si="200"/>
        <v>0</v>
      </c>
      <c r="AA496" s="107">
        <f t="shared" ref="AA496:AA504" si="204">AA495</f>
        <v>0</v>
      </c>
      <c r="AB496" s="41"/>
      <c r="AC496" s="184"/>
      <c r="AD496" s="212">
        <f t="shared" si="203"/>
        <v>46030</v>
      </c>
      <c r="AE496" s="387"/>
      <c r="AF496" s="388"/>
      <c r="AG496" s="388"/>
      <c r="AH496" s="388"/>
      <c r="AI496" s="388"/>
      <c r="AJ496" s="388"/>
      <c r="AK496" s="388"/>
      <c r="AL496" s="388"/>
      <c r="AM496" s="388"/>
      <c r="AN496" s="388"/>
      <c r="AO496" s="388"/>
      <c r="AP496" s="388"/>
      <c r="AQ496" s="388"/>
      <c r="AR496" s="388"/>
      <c r="AS496" s="388"/>
      <c r="AT496" s="388"/>
      <c r="AU496" s="388"/>
      <c r="AV496" s="388"/>
      <c r="AW496" s="388"/>
      <c r="AX496" s="388"/>
      <c r="AY496" s="388"/>
      <c r="AZ496" s="388"/>
      <c r="BA496" s="388"/>
      <c r="BB496" s="389"/>
      <c r="BC496" s="98">
        <v>1</v>
      </c>
      <c r="BD496" s="74">
        <v>1</v>
      </c>
      <c r="BE496" s="75">
        <f t="shared" si="201"/>
        <v>0</v>
      </c>
    </row>
    <row r="497" spans="1:57" s="1" customFormat="1" ht="18" customHeight="1" x14ac:dyDescent="0.4">
      <c r="A497" s="37" t="str">
        <f t="shared" si="194"/>
        <v>8Н</v>
      </c>
      <c r="B497" s="183"/>
      <c r="C497" s="41"/>
      <c r="D497" s="184"/>
      <c r="E497" s="282">
        <f t="shared" si="202"/>
        <v>46030</v>
      </c>
      <c r="F497" s="335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  <c r="R497" s="336"/>
      <c r="S497" s="336"/>
      <c r="T497" s="336"/>
      <c r="U497" s="336"/>
      <c r="V497" s="336"/>
      <c r="W497" s="336"/>
      <c r="X497" s="98">
        <v>1</v>
      </c>
      <c r="Y497" s="74">
        <v>1</v>
      </c>
      <c r="Z497" s="75">
        <f t="shared" si="200"/>
        <v>0</v>
      </c>
      <c r="AA497" s="107">
        <f t="shared" si="204"/>
        <v>0</v>
      </c>
      <c r="AB497" s="41"/>
      <c r="AC497" s="184"/>
      <c r="AD497" s="212">
        <f t="shared" si="203"/>
        <v>46030</v>
      </c>
      <c r="AE497" s="387"/>
      <c r="AF497" s="388"/>
      <c r="AG497" s="388"/>
      <c r="AH497" s="388"/>
      <c r="AI497" s="388"/>
      <c r="AJ497" s="388"/>
      <c r="AK497" s="388"/>
      <c r="AL497" s="388"/>
      <c r="AM497" s="388"/>
      <c r="AN497" s="388"/>
      <c r="AO497" s="388"/>
      <c r="AP497" s="388"/>
      <c r="AQ497" s="388"/>
      <c r="AR497" s="388"/>
      <c r="AS497" s="388"/>
      <c r="AT497" s="388"/>
      <c r="AU497" s="388"/>
      <c r="AV497" s="388"/>
      <c r="AW497" s="388"/>
      <c r="AX497" s="388"/>
      <c r="AY497" s="388"/>
      <c r="AZ497" s="388"/>
      <c r="BA497" s="388"/>
      <c r="BB497" s="389"/>
      <c r="BC497" s="98">
        <v>1</v>
      </c>
      <c r="BD497" s="74">
        <v>1</v>
      </c>
      <c r="BE497" s="75">
        <f t="shared" si="201"/>
        <v>0</v>
      </c>
    </row>
    <row r="498" spans="1:57" s="1" customFormat="1" ht="18" customHeight="1" x14ac:dyDescent="0.4">
      <c r="A498" s="37" t="str">
        <f t="shared" si="194"/>
        <v>8Н</v>
      </c>
      <c r="B498" s="183"/>
      <c r="C498" s="41"/>
      <c r="D498" s="184"/>
      <c r="E498" s="282">
        <f t="shared" si="202"/>
        <v>46030</v>
      </c>
      <c r="F498" s="335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  <c r="R498" s="336"/>
      <c r="S498" s="336"/>
      <c r="T498" s="336"/>
      <c r="U498" s="336"/>
      <c r="V498" s="336"/>
      <c r="W498" s="336"/>
      <c r="X498" s="98">
        <v>1</v>
      </c>
      <c r="Y498" s="74">
        <v>1</v>
      </c>
      <c r="Z498" s="75">
        <f t="shared" si="200"/>
        <v>0</v>
      </c>
      <c r="AA498" s="107">
        <f t="shared" si="204"/>
        <v>0</v>
      </c>
      <c r="AB498" s="41"/>
      <c r="AC498" s="184"/>
      <c r="AD498" s="212">
        <f t="shared" si="203"/>
        <v>46030</v>
      </c>
      <c r="AE498" s="387"/>
      <c r="AF498" s="388"/>
      <c r="AG498" s="388"/>
      <c r="AH498" s="388"/>
      <c r="AI498" s="388"/>
      <c r="AJ498" s="388"/>
      <c r="AK498" s="388"/>
      <c r="AL498" s="388"/>
      <c r="AM498" s="388"/>
      <c r="AN498" s="388"/>
      <c r="AO498" s="388"/>
      <c r="AP498" s="388"/>
      <c r="AQ498" s="388"/>
      <c r="AR498" s="388"/>
      <c r="AS498" s="388"/>
      <c r="AT498" s="388"/>
      <c r="AU498" s="388"/>
      <c r="AV498" s="388"/>
      <c r="AW498" s="388"/>
      <c r="AX498" s="388"/>
      <c r="AY498" s="388"/>
      <c r="AZ498" s="388"/>
      <c r="BA498" s="388"/>
      <c r="BB498" s="389"/>
      <c r="BC498" s="98">
        <v>1</v>
      </c>
      <c r="BD498" s="74">
        <v>1</v>
      </c>
      <c r="BE498" s="75">
        <f t="shared" si="201"/>
        <v>0</v>
      </c>
    </row>
    <row r="499" spans="1:57" s="1" customFormat="1" ht="18" customHeight="1" x14ac:dyDescent="0.4">
      <c r="A499" s="37" t="str">
        <f t="shared" si="194"/>
        <v>8Н</v>
      </c>
      <c r="B499" s="183"/>
      <c r="C499" s="41"/>
      <c r="D499" s="184"/>
      <c r="E499" s="282">
        <f t="shared" si="202"/>
        <v>46030</v>
      </c>
      <c r="F499" s="335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  <c r="R499" s="336"/>
      <c r="S499" s="336"/>
      <c r="T499" s="336"/>
      <c r="U499" s="336"/>
      <c r="V499" s="336"/>
      <c r="W499" s="336"/>
      <c r="X499" s="98">
        <v>1</v>
      </c>
      <c r="Y499" s="74">
        <v>1</v>
      </c>
      <c r="Z499" s="75">
        <f t="shared" si="200"/>
        <v>0</v>
      </c>
      <c r="AA499" s="107">
        <f t="shared" si="204"/>
        <v>0</v>
      </c>
      <c r="AB499" s="41"/>
      <c r="AC499" s="184"/>
      <c r="AD499" s="212">
        <f t="shared" si="203"/>
        <v>46030</v>
      </c>
      <c r="AE499" s="387"/>
      <c r="AF499" s="388"/>
      <c r="AG499" s="388"/>
      <c r="AH499" s="388"/>
      <c r="AI499" s="388"/>
      <c r="AJ499" s="388"/>
      <c r="AK499" s="388"/>
      <c r="AL499" s="388"/>
      <c r="AM499" s="388"/>
      <c r="AN499" s="388"/>
      <c r="AO499" s="388"/>
      <c r="AP499" s="388"/>
      <c r="AQ499" s="388"/>
      <c r="AR499" s="388"/>
      <c r="AS499" s="388"/>
      <c r="AT499" s="388"/>
      <c r="AU499" s="388"/>
      <c r="AV499" s="388"/>
      <c r="AW499" s="388"/>
      <c r="AX499" s="388"/>
      <c r="AY499" s="388"/>
      <c r="AZ499" s="388"/>
      <c r="BA499" s="388"/>
      <c r="BB499" s="389"/>
      <c r="BC499" s="98">
        <v>1</v>
      </c>
      <c r="BD499" s="74">
        <v>1</v>
      </c>
      <c r="BE499" s="75">
        <f t="shared" si="201"/>
        <v>0</v>
      </c>
    </row>
    <row r="500" spans="1:57" s="1" customFormat="1" ht="18" customHeight="1" x14ac:dyDescent="0.4">
      <c r="A500" s="37" t="str">
        <f t="shared" si="194"/>
        <v>8Н</v>
      </c>
      <c r="B500" s="183"/>
      <c r="C500" s="41"/>
      <c r="D500" s="184"/>
      <c r="E500" s="282">
        <f t="shared" si="202"/>
        <v>46030</v>
      </c>
      <c r="F500" s="335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  <c r="R500" s="336"/>
      <c r="S500" s="336"/>
      <c r="T500" s="336"/>
      <c r="U500" s="336"/>
      <c r="V500" s="336"/>
      <c r="W500" s="336"/>
      <c r="X500" s="98">
        <v>1</v>
      </c>
      <c r="Y500" s="74">
        <v>1</v>
      </c>
      <c r="Z500" s="75">
        <f t="shared" si="200"/>
        <v>0</v>
      </c>
      <c r="AA500" s="107">
        <f t="shared" si="204"/>
        <v>0</v>
      </c>
      <c r="AB500" s="41"/>
      <c r="AC500" s="184"/>
      <c r="AD500" s="212">
        <f t="shared" si="203"/>
        <v>46030</v>
      </c>
      <c r="AE500" s="387"/>
      <c r="AF500" s="388"/>
      <c r="AG500" s="388"/>
      <c r="AH500" s="388"/>
      <c r="AI500" s="388"/>
      <c r="AJ500" s="388"/>
      <c r="AK500" s="388"/>
      <c r="AL500" s="388"/>
      <c r="AM500" s="388"/>
      <c r="AN500" s="388"/>
      <c r="AO500" s="388"/>
      <c r="AP500" s="388"/>
      <c r="AQ500" s="388"/>
      <c r="AR500" s="388"/>
      <c r="AS500" s="388"/>
      <c r="AT500" s="388"/>
      <c r="AU500" s="388"/>
      <c r="AV500" s="388"/>
      <c r="AW500" s="388"/>
      <c r="AX500" s="388"/>
      <c r="AY500" s="388"/>
      <c r="AZ500" s="388"/>
      <c r="BA500" s="388"/>
      <c r="BB500" s="389"/>
      <c r="BC500" s="98">
        <v>1</v>
      </c>
      <c r="BD500" s="74">
        <v>1</v>
      </c>
      <c r="BE500" s="75">
        <f t="shared" si="201"/>
        <v>0</v>
      </c>
    </row>
    <row r="501" spans="1:57" s="1" customFormat="1" ht="18" customHeight="1" x14ac:dyDescent="0.4">
      <c r="A501" s="37" t="str">
        <f t="shared" si="194"/>
        <v>8Н</v>
      </c>
      <c r="B501" s="183"/>
      <c r="C501" s="41"/>
      <c r="D501" s="184"/>
      <c r="E501" s="282">
        <f t="shared" si="202"/>
        <v>46030</v>
      </c>
      <c r="F501" s="335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  <c r="R501" s="336"/>
      <c r="S501" s="336"/>
      <c r="T501" s="336"/>
      <c r="U501" s="336"/>
      <c r="V501" s="336"/>
      <c r="W501" s="336"/>
      <c r="X501" s="98">
        <v>1</v>
      </c>
      <c r="Y501" s="74">
        <v>1</v>
      </c>
      <c r="Z501" s="75">
        <f t="shared" si="200"/>
        <v>0</v>
      </c>
      <c r="AA501" s="107">
        <f t="shared" si="204"/>
        <v>0</v>
      </c>
      <c r="AB501" s="41"/>
      <c r="AC501" s="184"/>
      <c r="AD501" s="212">
        <f t="shared" si="203"/>
        <v>46030</v>
      </c>
      <c r="AE501" s="387"/>
      <c r="AF501" s="388"/>
      <c r="AG501" s="388"/>
      <c r="AH501" s="388"/>
      <c r="AI501" s="388"/>
      <c r="AJ501" s="388"/>
      <c r="AK501" s="388"/>
      <c r="AL501" s="388"/>
      <c r="AM501" s="388"/>
      <c r="AN501" s="388"/>
      <c r="AO501" s="388"/>
      <c r="AP501" s="388"/>
      <c r="AQ501" s="388"/>
      <c r="AR501" s="388"/>
      <c r="AS501" s="388"/>
      <c r="AT501" s="388"/>
      <c r="AU501" s="388"/>
      <c r="AV501" s="388"/>
      <c r="AW501" s="388"/>
      <c r="AX501" s="388"/>
      <c r="AY501" s="388"/>
      <c r="AZ501" s="388"/>
      <c r="BA501" s="388"/>
      <c r="BB501" s="389"/>
      <c r="BC501" s="98">
        <v>1</v>
      </c>
      <c r="BD501" s="74">
        <v>1</v>
      </c>
      <c r="BE501" s="75">
        <f t="shared" si="201"/>
        <v>0</v>
      </c>
    </row>
    <row r="502" spans="1:57" s="1" customFormat="1" ht="18" customHeight="1" x14ac:dyDescent="0.4">
      <c r="A502" s="37" t="str">
        <f t="shared" si="194"/>
        <v>8Н</v>
      </c>
      <c r="B502" s="183"/>
      <c r="C502" s="41"/>
      <c r="D502" s="184"/>
      <c r="E502" s="282">
        <f t="shared" si="202"/>
        <v>46030</v>
      </c>
      <c r="F502" s="335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  <c r="R502" s="336"/>
      <c r="S502" s="336"/>
      <c r="T502" s="336"/>
      <c r="U502" s="336"/>
      <c r="V502" s="336"/>
      <c r="W502" s="336"/>
      <c r="X502" s="98">
        <v>1</v>
      </c>
      <c r="Y502" s="74">
        <v>1</v>
      </c>
      <c r="Z502" s="75">
        <f t="shared" si="200"/>
        <v>0</v>
      </c>
      <c r="AA502" s="107">
        <f t="shared" si="204"/>
        <v>0</v>
      </c>
      <c r="AB502" s="41"/>
      <c r="AC502" s="184"/>
      <c r="AD502" s="212">
        <f t="shared" si="203"/>
        <v>46030</v>
      </c>
      <c r="AE502" s="387"/>
      <c r="AF502" s="388"/>
      <c r="AG502" s="388"/>
      <c r="AH502" s="388"/>
      <c r="AI502" s="388"/>
      <c r="AJ502" s="388"/>
      <c r="AK502" s="388"/>
      <c r="AL502" s="388"/>
      <c r="AM502" s="388"/>
      <c r="AN502" s="388"/>
      <c r="AO502" s="388"/>
      <c r="AP502" s="388"/>
      <c r="AQ502" s="388"/>
      <c r="AR502" s="388"/>
      <c r="AS502" s="388"/>
      <c r="AT502" s="388"/>
      <c r="AU502" s="388"/>
      <c r="AV502" s="388"/>
      <c r="AW502" s="388"/>
      <c r="AX502" s="388"/>
      <c r="AY502" s="388"/>
      <c r="AZ502" s="388"/>
      <c r="BA502" s="388"/>
      <c r="BB502" s="389"/>
      <c r="BC502" s="98">
        <v>1</v>
      </c>
      <c r="BD502" s="74">
        <v>1</v>
      </c>
      <c r="BE502" s="75">
        <f t="shared" si="201"/>
        <v>0</v>
      </c>
    </row>
    <row r="503" spans="1:57" s="1" customFormat="1" ht="18" customHeight="1" x14ac:dyDescent="0.4">
      <c r="A503" s="37" t="str">
        <f t="shared" si="194"/>
        <v>8Н</v>
      </c>
      <c r="B503" s="183"/>
      <c r="C503" s="41"/>
      <c r="D503" s="184"/>
      <c r="E503" s="282">
        <f t="shared" si="202"/>
        <v>46030</v>
      </c>
      <c r="F503" s="335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  <c r="R503" s="336"/>
      <c r="S503" s="336"/>
      <c r="T503" s="336"/>
      <c r="U503" s="336"/>
      <c r="V503" s="336"/>
      <c r="W503" s="336"/>
      <c r="X503" s="98">
        <v>1</v>
      </c>
      <c r="Y503" s="74">
        <v>1</v>
      </c>
      <c r="Z503" s="75">
        <f t="shared" si="200"/>
        <v>0</v>
      </c>
      <c r="AA503" s="107">
        <f t="shared" si="204"/>
        <v>0</v>
      </c>
      <c r="AB503" s="41"/>
      <c r="AC503" s="184"/>
      <c r="AD503" s="212">
        <f t="shared" si="203"/>
        <v>46030</v>
      </c>
      <c r="AE503" s="387"/>
      <c r="AF503" s="388"/>
      <c r="AG503" s="388"/>
      <c r="AH503" s="388"/>
      <c r="AI503" s="388"/>
      <c r="AJ503" s="388"/>
      <c r="AK503" s="388"/>
      <c r="AL503" s="388"/>
      <c r="AM503" s="388"/>
      <c r="AN503" s="388"/>
      <c r="AO503" s="388"/>
      <c r="AP503" s="388"/>
      <c r="AQ503" s="388"/>
      <c r="AR503" s="388"/>
      <c r="AS503" s="388"/>
      <c r="AT503" s="388"/>
      <c r="AU503" s="388"/>
      <c r="AV503" s="388"/>
      <c r="AW503" s="388"/>
      <c r="AX503" s="388"/>
      <c r="AY503" s="388"/>
      <c r="AZ503" s="388"/>
      <c r="BA503" s="388"/>
      <c r="BB503" s="389"/>
      <c r="BC503" s="98">
        <v>1</v>
      </c>
      <c r="BD503" s="74">
        <v>1</v>
      </c>
      <c r="BE503" s="75">
        <f t="shared" si="201"/>
        <v>0</v>
      </c>
    </row>
    <row r="504" spans="1:57" s="1" customFormat="1" ht="18" customHeight="1" thickBot="1" x14ac:dyDescent="0.45">
      <c r="A504" s="37" t="str">
        <f t="shared" si="194"/>
        <v>8Н</v>
      </c>
      <c r="B504" s="183"/>
      <c r="C504" s="41"/>
      <c r="D504" s="184"/>
      <c r="E504" s="283">
        <f t="shared" si="202"/>
        <v>46030</v>
      </c>
      <c r="F504" s="339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99">
        <v>1</v>
      </c>
      <c r="Y504" s="76">
        <v>1</v>
      </c>
      <c r="Z504" s="77">
        <f t="shared" si="200"/>
        <v>0</v>
      </c>
      <c r="AA504" s="107">
        <f t="shared" si="204"/>
        <v>0</v>
      </c>
      <c r="AB504" s="41"/>
      <c r="AC504" s="184"/>
      <c r="AD504" s="211">
        <f t="shared" si="203"/>
        <v>46030</v>
      </c>
      <c r="AE504" s="410"/>
      <c r="AF504" s="411"/>
      <c r="AG504" s="411"/>
      <c r="AH504" s="411"/>
      <c r="AI504" s="411"/>
      <c r="AJ504" s="411"/>
      <c r="AK504" s="411"/>
      <c r="AL504" s="411"/>
      <c r="AM504" s="411"/>
      <c r="AN504" s="411"/>
      <c r="AO504" s="411"/>
      <c r="AP504" s="411"/>
      <c r="AQ504" s="411"/>
      <c r="AR504" s="411"/>
      <c r="AS504" s="411"/>
      <c r="AT504" s="411"/>
      <c r="AU504" s="411"/>
      <c r="AV504" s="411"/>
      <c r="AW504" s="411"/>
      <c r="AX504" s="411"/>
      <c r="AY504" s="411"/>
      <c r="AZ504" s="411"/>
      <c r="BA504" s="411"/>
      <c r="BB504" s="412"/>
      <c r="BC504" s="99">
        <v>1</v>
      </c>
      <c r="BD504" s="76">
        <v>1</v>
      </c>
      <c r="BE504" s="75">
        <f t="shared" si="201"/>
        <v>0</v>
      </c>
    </row>
    <row r="505" spans="1:57" s="1" customFormat="1" ht="23.25" customHeight="1" thickBot="1" x14ac:dyDescent="0.45">
      <c r="A505" s="37" t="str">
        <f t="shared" si="194"/>
        <v>8Н</v>
      </c>
      <c r="B505" s="193"/>
      <c r="C505" s="47"/>
      <c r="D505" s="47"/>
      <c r="E505" s="47"/>
      <c r="F505" s="78"/>
      <c r="G505" s="78"/>
      <c r="H505" s="78"/>
      <c r="I505" s="80"/>
      <c r="J505" s="80"/>
      <c r="K505" s="80"/>
      <c r="L505" s="80"/>
      <c r="M505" s="80"/>
      <c r="N505" s="80"/>
      <c r="O505" s="78"/>
      <c r="P505" s="81"/>
      <c r="Q505" s="81"/>
      <c r="R505" s="81"/>
      <c r="S505" s="81"/>
      <c r="T505" s="81"/>
      <c r="U505" s="82"/>
      <c r="V505" s="82"/>
      <c r="W505" s="86"/>
      <c r="X505" s="194"/>
      <c r="Y505" s="83"/>
      <c r="Z505" s="83"/>
      <c r="AA505" s="78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84"/>
      <c r="AN505" s="47"/>
      <c r="AO505" s="78"/>
      <c r="AP505" s="78"/>
      <c r="AQ505" s="78"/>
      <c r="AR505" s="84"/>
      <c r="AS505" s="78"/>
      <c r="AT505" s="85"/>
      <c r="AU505" s="78"/>
      <c r="AV505" s="83"/>
      <c r="AW505" s="83"/>
      <c r="AX505" s="78"/>
      <c r="AY505" s="78"/>
      <c r="AZ505" s="78"/>
      <c r="BA505" s="78"/>
      <c r="BB505" s="78"/>
      <c r="BC505" s="78"/>
      <c r="BD505" s="79"/>
      <c r="BE505" s="79"/>
    </row>
    <row r="506" spans="1:57" s="1" customFormat="1" ht="21.6" customHeight="1" thickBot="1" x14ac:dyDescent="0.45">
      <c r="A506" s="37" t="s">
        <v>162</v>
      </c>
      <c r="B506" s="59"/>
      <c r="C506" s="51"/>
      <c r="D506" s="51"/>
      <c r="E506" s="51"/>
      <c r="F506" s="158" t="s">
        <v>147</v>
      </c>
      <c r="G506" s="51"/>
      <c r="H506" s="51"/>
      <c r="I506" s="156"/>
      <c r="J506" s="156"/>
      <c r="K506" s="156"/>
      <c r="L506" s="156"/>
      <c r="M506" s="156"/>
      <c r="N506" s="156"/>
      <c r="O506" s="91"/>
      <c r="P506" s="52"/>
      <c r="Q506" s="52"/>
      <c r="R506" s="52"/>
      <c r="S506" s="52"/>
      <c r="T506" s="52"/>
      <c r="U506" s="157"/>
      <c r="V506" s="157"/>
      <c r="W506" s="94"/>
      <c r="X506" s="94"/>
      <c r="Y506" s="51"/>
      <c r="Z506" s="51"/>
      <c r="AA506" s="157">
        <f>AA489</f>
        <v>1</v>
      </c>
      <c r="AB506" s="157">
        <f t="shared" ref="AB506:AF506" si="205">AB489</f>
        <v>2</v>
      </c>
      <c r="AC506" s="157">
        <f t="shared" si="205"/>
        <v>3</v>
      </c>
      <c r="AD506" s="157">
        <f t="shared" si="205"/>
        <v>4</v>
      </c>
      <c r="AE506" s="157">
        <f t="shared" si="205"/>
        <v>5</v>
      </c>
      <c r="AF506" s="157">
        <f t="shared" si="205"/>
        <v>6</v>
      </c>
      <c r="AG506" s="162" t="s">
        <v>123</v>
      </c>
      <c r="AH506" s="162" t="s">
        <v>124</v>
      </c>
      <c r="AI506" s="162" t="s">
        <v>125</v>
      </c>
      <c r="AJ506" s="91" t="s">
        <v>126</v>
      </c>
      <c r="AK506" s="198" t="s">
        <v>136</v>
      </c>
      <c r="AL506" s="198" t="s">
        <v>137</v>
      </c>
      <c r="AM506" s="198" t="s">
        <v>138</v>
      </c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</row>
    <row r="507" spans="1:57" s="1" customFormat="1" ht="21.6" customHeight="1" x14ac:dyDescent="0.4">
      <c r="A507" s="37" t="str">
        <f>A506</f>
        <v>9Д</v>
      </c>
      <c r="B507" s="12">
        <f>B488+1</f>
        <v>46031</v>
      </c>
      <c r="C507" s="97"/>
      <c r="D507" s="97">
        <v>1</v>
      </c>
      <c r="E507" s="29"/>
      <c r="F507" s="151" t="str">
        <f>IFERROR(VLOOKUP($G507,нормы!$A$14:$BC$57,2,0),"")</f>
        <v/>
      </c>
      <c r="G507" s="93"/>
      <c r="H507" s="54">
        <f>IF(C507=1,"Кульков С.А.", IF(C507=2,"Чудаков А.А.",IF(C507=3,"Королев В.Н.",IF(C507=4,"Николашин М.П.",IF(C507=5," Кульков С.А.",IF(C507=6,"А.А. Чудаков",IF(C507=7,"В.Н. Королев",IF(C507=8,"М.П. Николашин",0))))))))</f>
        <v>0</v>
      </c>
      <c r="I507" s="88" t="s">
        <v>84</v>
      </c>
      <c r="J507" s="332"/>
      <c r="K507" s="30">
        <f>IFERROR(VLOOKUP($G507,[1]нормы!$A$21:$BC$151,15,0),"")</f>
        <v>0</v>
      </c>
      <c r="L507" s="31">
        <f>IFERROR(VLOOKUP($G507,[1]нормы!$A$21:$BC$151,17,0),"")</f>
        <v>0</v>
      </c>
      <c r="M507" s="310">
        <f>IFERROR(VLOOKUP($G507,[1]нормы!$A$21:$BC$151,27,0),"")</f>
        <v>0</v>
      </c>
      <c r="N507" s="311" t="str">
        <f>IFERROR(Y507/Y513*(1.1*J507*I512),"")</f>
        <v/>
      </c>
      <c r="O507" s="300">
        <f>IFERROR(VLOOKUP($G507,[1]нормы!$A$21:$BC$151,21,0),"")</f>
        <v>0</v>
      </c>
      <c r="P507" s="35">
        <f>IFERROR(VLOOKUP($G507,[1]нормы!$A$21:$BC$151,19,0),"")</f>
        <v>0</v>
      </c>
      <c r="Q507" s="35">
        <f>IFERROR(VLOOKUP($G507,[1]нормы!$A$21:$BC$151,23,0),"")</f>
        <v>0</v>
      </c>
      <c r="R507" s="231">
        <f>IFERROR(VLOOKUP($G507,[1]нормы!$A$21:$BC$151,29,0),"")</f>
        <v>0</v>
      </c>
      <c r="S507" s="35">
        <f>IFERROR(VLOOKUP($G507,[1]нормы!$A$21:$BC$151,31,0),"")</f>
        <v>0</v>
      </c>
      <c r="T507" s="32">
        <f>IFERROR(VLOOKUP($G507,[1]нормы!$A$21:$BC$151,25,0),"")</f>
        <v>0</v>
      </c>
      <c r="U507" s="232" t="str">
        <f>IFERROR(W507/(((100*Y507/Y513)*I512)/100),"")</f>
        <v/>
      </c>
      <c r="V507" s="234" t="str">
        <f>IFERROR(VLOOKUP($G507,нормы!$A$14:$BC$57,38,0),"")</f>
        <v/>
      </c>
      <c r="W507" s="136"/>
      <c r="X507" s="236"/>
      <c r="Y507" s="152" t="str">
        <f>IFERROR(VLOOKUP($G507,нормы!$A$14:$BC$57,42,0)*W507,"")</f>
        <v/>
      </c>
      <c r="Z507" s="163">
        <f>IFERROR(VLOOKUP($G507,нормы!$A$14:$BC$57,14,0)*W507/1000,0)</f>
        <v>0</v>
      </c>
      <c r="AA507" s="33"/>
      <c r="AB507" s="36"/>
      <c r="AC507" s="36"/>
      <c r="AD507" s="36"/>
      <c r="AE507" s="34"/>
      <c r="AF507" s="159"/>
      <c r="AG507" s="390"/>
      <c r="AH507" s="393"/>
      <c r="AI507" s="396"/>
      <c r="AJ507" s="407">
        <f>AG507+AH507</f>
        <v>0</v>
      </c>
      <c r="AK507" s="359"/>
      <c r="AL507" s="359"/>
      <c r="AM507" s="359"/>
      <c r="AN507" s="287">
        <f>IFERROR(Y507*AJ507/Y513,)</f>
        <v>0</v>
      </c>
      <c r="AO507" s="197" t="str">
        <f>IFERROR(VLOOKUP($G507,нормы!$A$14:$BC$57,53,0)*$W507,"")</f>
        <v/>
      </c>
      <c r="AP507" s="288">
        <f>IFERROR(Y507*AI507/Y513,)</f>
        <v>0</v>
      </c>
      <c r="AQ507" s="197" t="str">
        <f>IFERROR(VLOOKUP($G507,нормы!$A$14:$BC$57,54,0)*$W507,"")</f>
        <v/>
      </c>
      <c r="AR507" s="288">
        <f>IFERROR(AS507/SUM(AS507:AS512)*AL507,0)</f>
        <v>0</v>
      </c>
      <c r="AS507" s="197" t="str">
        <f>IFERROR(VLOOKUP($G507,нормы!$A$14:$BC$57,55,0)*W507,"")</f>
        <v/>
      </c>
      <c r="AT507" s="288">
        <f>IFERROR(AU507/SUM(AU507:AU512)*AM507,0)</f>
        <v>0</v>
      </c>
      <c r="AU507" s="197" t="str">
        <f>IFERROR(VLOOKUP($G507,нормы!$A$14:$BI$57,56,0)*W507,"")</f>
        <v/>
      </c>
      <c r="AV507" s="288">
        <f>IFERROR(AW507/SUM(AW507:AW512)*AK507,0)</f>
        <v>0</v>
      </c>
      <c r="AW507" s="202" t="str">
        <f>IFERROR(VLOOKUP($G507,нормы!$A$14:$BI$57,57,0)*W507,"")</f>
        <v/>
      </c>
      <c r="AX507" s="33"/>
      <c r="AY507" s="203" t="str">
        <f>IFERROR(VLOOKUP($G507,нормы!$A$14:$BI$57,58,0)*W507,"")</f>
        <v/>
      </c>
      <c r="AZ507" s="204"/>
      <c r="BA507" s="200" t="str">
        <f>IFERROR(VLOOKUP($G507,нормы!$A$14:$BI$57,61,0)*$W507,"")</f>
        <v/>
      </c>
      <c r="BB507" s="33"/>
      <c r="BC507" s="203" t="str">
        <f>IFERROR(VLOOKUP($G507,нормы!$A$14:$BI$57,60,0)*W507,"")</f>
        <v/>
      </c>
      <c r="BD507" s="200" t="str">
        <f>IFERROR(VLOOKUP($G507,нормы!$A$14:$BG$57,44,0),"")</f>
        <v/>
      </c>
      <c r="BE507" s="199" t="str">
        <f>IFERROR(W507/VLOOKUP($G507,нормы!$A$14:$BI$57,45,0),"")</f>
        <v/>
      </c>
    </row>
    <row r="508" spans="1:57" s="1" customFormat="1" ht="21.6" customHeight="1" x14ac:dyDescent="0.4">
      <c r="A508" s="37" t="str">
        <f t="shared" ref="A508:A536" si="206">A507</f>
        <v>9Д</v>
      </c>
      <c r="B508" s="12">
        <f t="shared" ref="B508:D512" si="207">B507</f>
        <v>46031</v>
      </c>
      <c r="C508" s="97">
        <f t="shared" si="207"/>
        <v>0</v>
      </c>
      <c r="D508" s="97">
        <f t="shared" si="207"/>
        <v>1</v>
      </c>
      <c r="E508" s="54"/>
      <c r="F508" s="151" t="str">
        <f>IFERROR(VLOOKUP($G508,нормы!$A$14:$BC$57,2,0),"")</f>
        <v/>
      </c>
      <c r="G508" s="93"/>
      <c r="H508" s="54">
        <f t="shared" ref="H508:H512" si="208">IF(C508=1,"Кульков С.А.", IF(C508=2,"Чудаков А.А.",IF(C508=3,"Королев В.Н.",IF(C508=4,"Николашин М.П.",IF(C508=5," Кульков С.А.",IF(C508=6,"А.А. Чудаков",IF(C508=7,"В.Н. Королев",IF(C508=8,"М.П. Николашин",0))))))))</f>
        <v>0</v>
      </c>
      <c r="I508" s="55"/>
      <c r="J508" s="333"/>
      <c r="K508" s="30">
        <f>IFERROR(VLOOKUP($G508,[1]нормы!$A$21:$BC$151,15,0),"")</f>
        <v>0</v>
      </c>
      <c r="L508" s="31">
        <f>IFERROR(VLOOKUP($G508,[1]нормы!$A$21:$BC$151,17,0),"")</f>
        <v>0</v>
      </c>
      <c r="M508" s="306">
        <f>IFERROR(VLOOKUP($G508,[1]нормы!$A$21:$BC$151,27,0),"")</f>
        <v>0</v>
      </c>
      <c r="N508" s="307" t="str">
        <f>IFERROR(Y508/Y513*(1.1*J507*I512),"")</f>
        <v/>
      </c>
      <c r="O508" s="300">
        <f>IFERROR(VLOOKUP($G508,[1]нормы!$A$21:$BC$151,21,0),"")</f>
        <v>0</v>
      </c>
      <c r="P508" s="35">
        <f>IFERROR(VLOOKUP($G508,[1]нормы!$A$21:$BC$151,19,0),"")</f>
        <v>0</v>
      </c>
      <c r="Q508" s="35">
        <f>IFERROR(VLOOKUP($G508,[1]нормы!$A$21:$BC$151,23,0),"")</f>
        <v>0</v>
      </c>
      <c r="R508" s="231">
        <f>IFERROR(VLOOKUP($G508,[1]нормы!$A$21:$BC$151,29,0),"")</f>
        <v>0</v>
      </c>
      <c r="S508" s="35">
        <f>IFERROR(VLOOKUP($G508,[1]нормы!$A$21:$BC$151,31,0),"")</f>
        <v>0</v>
      </c>
      <c r="T508" s="32">
        <f>IFERROR(VLOOKUP($G508,[1]нормы!$A$21:$BC$151,25,0),"")</f>
        <v>0</v>
      </c>
      <c r="U508" s="233" t="str">
        <f>IFERROR(W508/(((100*Y508/Y513)*I512)/100),"")</f>
        <v/>
      </c>
      <c r="V508" s="234" t="str">
        <f>IFERROR(VLOOKUP($G508,нормы!$A$14:$BC$57,38,0),"")</f>
        <v/>
      </c>
      <c r="W508" s="136"/>
      <c r="X508" s="237"/>
      <c r="Y508" s="152" t="str">
        <f>IFERROR(VLOOKUP($G508,нормы!$A$14:$BC$57,42,0)*W508,"")</f>
        <v/>
      </c>
      <c r="Z508" s="163">
        <f>IFERROR(VLOOKUP($G508,нормы!$A$14:$BC$57,14,0)*W508/1000,0)</f>
        <v>0</v>
      </c>
      <c r="AA508" s="142"/>
      <c r="AB508" s="35"/>
      <c r="AC508" s="35"/>
      <c r="AD508" s="35"/>
      <c r="AE508" s="31"/>
      <c r="AF508" s="160"/>
      <c r="AG508" s="391"/>
      <c r="AH508" s="394"/>
      <c r="AI508" s="397"/>
      <c r="AJ508" s="408"/>
      <c r="AK508" s="360"/>
      <c r="AL508" s="360"/>
      <c r="AM508" s="360"/>
      <c r="AN508" s="289">
        <f>IFERROR(Y508*AJ507/Y513,)</f>
        <v>0</v>
      </c>
      <c r="AO508" s="197" t="str">
        <f>IFERROR(VLOOKUP($G508,нормы!$A$14:$BC$57,53,0)*$W508,"")</f>
        <v/>
      </c>
      <c r="AP508" s="290">
        <f>IFERROR(Y508*AI507/Y513,)</f>
        <v>0</v>
      </c>
      <c r="AQ508" s="197" t="str">
        <f>IFERROR(VLOOKUP($G508,нормы!$A$14:$BC$57,54,0)*$W508,"")</f>
        <v/>
      </c>
      <c r="AR508" s="290">
        <f>IFERROR(AS508/SUM(AS507:AS512)*AL507,0)</f>
        <v>0</v>
      </c>
      <c r="AS508" s="197" t="str">
        <f>IFERROR(VLOOKUP($G508,нормы!$A$14:$BC$57,55,0)*W508,"")</f>
        <v/>
      </c>
      <c r="AT508" s="290">
        <f>IFERROR(AU508/SUM(AU507:AU512)*AM507,0)</f>
        <v>0</v>
      </c>
      <c r="AU508" s="197" t="str">
        <f>IFERROR(VLOOKUP($G508,нормы!$A$14:$BI$57,56,0)*W508,"")</f>
        <v/>
      </c>
      <c r="AV508" s="290">
        <f>IFERROR(AW508/SUM(AW507:AW512)*AK507,0)</f>
        <v>0</v>
      </c>
      <c r="AW508" s="202" t="str">
        <f>IFERROR(VLOOKUP($G508,нормы!$A$14:$BI$57,57,0)*W508,"")</f>
        <v/>
      </c>
      <c r="AX508" s="30"/>
      <c r="AY508" s="203" t="str">
        <f>IFERROR(VLOOKUP($G508,нормы!$A$14:$BI$57,58,0)*W508,"")</f>
        <v/>
      </c>
      <c r="AZ508" s="205"/>
      <c r="BA508" s="200" t="str">
        <f>IFERROR(VLOOKUP($G508,нормы!$A$14:$BI$57,61,0)*$W508,"")</f>
        <v/>
      </c>
      <c r="BB508" s="30"/>
      <c r="BC508" s="203" t="str">
        <f>IFERROR(VLOOKUP($G508,нормы!$A$14:$BI$57,60,0)*W508,"")</f>
        <v/>
      </c>
      <c r="BD508" s="200" t="str">
        <f>IFERROR(VLOOKUP($G508,нормы!$A$14:$BG$57,44,0),"")</f>
        <v/>
      </c>
      <c r="BE508" s="199" t="str">
        <f>IFERROR(W508/VLOOKUP($G508,нормы!$A$14:$BI$57,45,0),"")</f>
        <v/>
      </c>
    </row>
    <row r="509" spans="1:57" s="1" customFormat="1" ht="20.25" customHeight="1" x14ac:dyDescent="0.4">
      <c r="A509" s="37" t="str">
        <f t="shared" si="206"/>
        <v>9Д</v>
      </c>
      <c r="B509" s="12">
        <f t="shared" si="207"/>
        <v>46031</v>
      </c>
      <c r="C509" s="97">
        <f t="shared" si="207"/>
        <v>0</v>
      </c>
      <c r="D509" s="97">
        <f t="shared" si="207"/>
        <v>1</v>
      </c>
      <c r="E509" s="54"/>
      <c r="F509" s="151" t="str">
        <f>IFERROR(VLOOKUP($G509,нормы!$A$14:$BC$57,2,0),"")</f>
        <v/>
      </c>
      <c r="G509" s="38"/>
      <c r="H509" s="54">
        <f t="shared" si="208"/>
        <v>0</v>
      </c>
      <c r="I509" s="89" t="s">
        <v>85</v>
      </c>
      <c r="J509" s="333"/>
      <c r="K509" s="30">
        <f>IFERROR(VLOOKUP($G509,[1]нормы!$A$21:$BC$151,15,0),"")</f>
        <v>0</v>
      </c>
      <c r="L509" s="31">
        <f>IFERROR(VLOOKUP($G509,[1]нормы!$A$21:$BC$151,17,0),"")</f>
        <v>0</v>
      </c>
      <c r="M509" s="306">
        <f>IFERROR(VLOOKUP($G509,[1]нормы!$A$21:$BC$151,27,0),"")</f>
        <v>0</v>
      </c>
      <c r="N509" s="307" t="str">
        <f>IFERROR(Y509/Y513*(1.1*J507*I512),"")</f>
        <v/>
      </c>
      <c r="O509" s="300">
        <f>IFERROR(VLOOKUP($G509,[1]нормы!$A$21:$BC$151,21,0),"")</f>
        <v>0</v>
      </c>
      <c r="P509" s="35">
        <f>IFERROR(VLOOKUP($G509,[1]нормы!$A$21:$BC$151,19,0),"")</f>
        <v>0</v>
      </c>
      <c r="Q509" s="35">
        <f>IFERROR(VLOOKUP($G509,[1]нормы!$A$21:$BC$151,23,0),"")</f>
        <v>0</v>
      </c>
      <c r="R509" s="231">
        <f>IFERROR(VLOOKUP($G509,[1]нормы!$A$21:$BC$151,29,0),"")</f>
        <v>0</v>
      </c>
      <c r="S509" s="35">
        <f>IFERROR(VLOOKUP($G509,[1]нормы!$A$21:$BC$151,31,0),"")</f>
        <v>0</v>
      </c>
      <c r="T509" s="32">
        <f>IFERROR(VLOOKUP($G509,[1]нормы!$A$21:$BC$151,25,0),"")</f>
        <v>0</v>
      </c>
      <c r="U509" s="233" t="str">
        <f>IFERROR(W509/(((100*Y509/Y513)*I512)/100),"")</f>
        <v/>
      </c>
      <c r="V509" s="234" t="str">
        <f>IFERROR(VLOOKUP($G509,нормы!$A$14:$BC$57,38,0),"")</f>
        <v/>
      </c>
      <c r="W509" s="136"/>
      <c r="X509" s="237"/>
      <c r="Y509" s="152" t="str">
        <f>IFERROR(VLOOKUP($G509,нормы!$A$14:$BC$57,42,0)*W509,"")</f>
        <v/>
      </c>
      <c r="Z509" s="163">
        <f>IFERROR(VLOOKUP($G509,нормы!$A$14:$BC$57,14,0)*W509/1000,0)</f>
        <v>0</v>
      </c>
      <c r="AA509" s="30"/>
      <c r="AB509" s="35"/>
      <c r="AC509" s="35"/>
      <c r="AD509" s="35"/>
      <c r="AE509" s="31"/>
      <c r="AF509" s="160"/>
      <c r="AG509" s="391"/>
      <c r="AH509" s="394"/>
      <c r="AI509" s="397"/>
      <c r="AJ509" s="408"/>
      <c r="AK509" s="360"/>
      <c r="AL509" s="360"/>
      <c r="AM509" s="360"/>
      <c r="AN509" s="289">
        <f>IFERROR(Y509*AJ507/Y513,)</f>
        <v>0</v>
      </c>
      <c r="AO509" s="197" t="str">
        <f>IFERROR(VLOOKUP($G509,нормы!$A$14:$BC$57,53,0)*$W509,"")</f>
        <v/>
      </c>
      <c r="AP509" s="290">
        <f>IFERROR(Y509*AI507/Y513,)</f>
        <v>0</v>
      </c>
      <c r="AQ509" s="197" t="str">
        <f>IFERROR(VLOOKUP($G509,нормы!$A$14:$BC$57,54,0)*$W509,"")</f>
        <v/>
      </c>
      <c r="AR509" s="290">
        <f>IFERROR(AS509/SUM(AS507:AS512)*AL507,0)</f>
        <v>0</v>
      </c>
      <c r="AS509" s="197" t="str">
        <f>IFERROR(VLOOKUP($G509,нормы!$A$14:$BC$57,55,0)*W509,"")</f>
        <v/>
      </c>
      <c r="AT509" s="290">
        <f>IFERROR(AU509/SUM(AU507:AU512)*AM507,0)</f>
        <v>0</v>
      </c>
      <c r="AU509" s="197" t="str">
        <f>IFERROR(VLOOKUP($G509,нормы!$A$14:$BI$57,56,0)*W509,"")</f>
        <v/>
      </c>
      <c r="AV509" s="290">
        <f>IFERROR(AW509/SUM(AW507:AW512)*AK507,0)</f>
        <v>0</v>
      </c>
      <c r="AW509" s="202" t="str">
        <f>IFERROR(VLOOKUP($G509,нормы!$A$14:$BI$57,57,0)*W509,"")</f>
        <v/>
      </c>
      <c r="AX509" s="30"/>
      <c r="AY509" s="203" t="str">
        <f>IFERROR(VLOOKUP($G509,нормы!$A$14:$BI$57,58,0)*W509,"")</f>
        <v/>
      </c>
      <c r="AZ509" s="205"/>
      <c r="BA509" s="200" t="str">
        <f>IFERROR(VLOOKUP($G509,нормы!$A$14:$BI$57,61,0)*$W509,"")</f>
        <v/>
      </c>
      <c r="BB509" s="30"/>
      <c r="BC509" s="203" t="str">
        <f>IFERROR(VLOOKUP($G509,нормы!$A$14:$BI$57,60,0)*W509,"")</f>
        <v/>
      </c>
      <c r="BD509" s="200" t="str">
        <f>IFERROR(VLOOKUP($G509,нормы!$A$14:$BG$57,44,0),"")</f>
        <v/>
      </c>
      <c r="BE509" s="199" t="str">
        <f>IFERROR(W509/VLOOKUP($G509,нормы!$A$14:$BI$57,45,0),"")</f>
        <v/>
      </c>
    </row>
    <row r="510" spans="1:57" s="1" customFormat="1" ht="20.25" customHeight="1" x14ac:dyDescent="0.4">
      <c r="A510" s="37" t="str">
        <f t="shared" si="206"/>
        <v>9Д</v>
      </c>
      <c r="B510" s="12">
        <f t="shared" si="207"/>
        <v>46031</v>
      </c>
      <c r="C510" s="97">
        <f t="shared" si="207"/>
        <v>0</v>
      </c>
      <c r="D510" s="97">
        <f t="shared" si="207"/>
        <v>1</v>
      </c>
      <c r="E510" s="54"/>
      <c r="F510" s="151" t="str">
        <f>IFERROR(VLOOKUP($G510,нормы!$A$14:$BC$57,2,0),"")</f>
        <v/>
      </c>
      <c r="G510" s="93"/>
      <c r="H510" s="54">
        <f t="shared" si="208"/>
        <v>0</v>
      </c>
      <c r="I510" s="55"/>
      <c r="J510" s="333"/>
      <c r="K510" s="30">
        <f>IFERROR(VLOOKUP($G510,[1]нормы!$A$21:$BC$151,15,0),"")</f>
        <v>0</v>
      </c>
      <c r="L510" s="31">
        <f>IFERROR(VLOOKUP($G510,[1]нормы!$A$21:$BC$151,17,0),"")</f>
        <v>0</v>
      </c>
      <c r="M510" s="306">
        <f>IFERROR(VLOOKUP($G510,[1]нормы!$A$21:$BC$151,27,0),"")</f>
        <v>0</v>
      </c>
      <c r="N510" s="307" t="str">
        <f>IFERROR(Y510/Y513*(1.1*J507*I515),"")</f>
        <v/>
      </c>
      <c r="O510" s="300">
        <f>IFERROR(VLOOKUP($G510,[1]нормы!$A$21:$BC$151,21,0),"")</f>
        <v>0</v>
      </c>
      <c r="P510" s="35">
        <f>IFERROR(VLOOKUP($G510,[1]нормы!$A$21:$BC$151,19,0),"")</f>
        <v>0</v>
      </c>
      <c r="Q510" s="35">
        <f>IFERROR(VLOOKUP($G510,[1]нормы!$A$21:$BC$151,23,0),"")</f>
        <v>0</v>
      </c>
      <c r="R510" s="231">
        <f>IFERROR(VLOOKUP($G510,[1]нормы!$A$21:$BC$151,29,0),"")</f>
        <v>0</v>
      </c>
      <c r="S510" s="35">
        <f>IFERROR(VLOOKUP($G510,[1]нормы!$A$21:$BC$151,31,0),"")</f>
        <v>0</v>
      </c>
      <c r="T510" s="32">
        <f>IFERROR(VLOOKUP($G510,[1]нормы!$A$21:$BC$151,25,0),"")</f>
        <v>0</v>
      </c>
      <c r="U510" s="233" t="str">
        <f>IFERROR(W510/(((100*Y510/Y513)*I512)/100),"")</f>
        <v/>
      </c>
      <c r="V510" s="234" t="str">
        <f>IFERROR(VLOOKUP($G510,нормы!$A$14:$BC$57,38,0),"")</f>
        <v/>
      </c>
      <c r="W510" s="136"/>
      <c r="X510" s="237"/>
      <c r="Y510" s="152" t="str">
        <f>IFERROR(VLOOKUP($G510,нормы!$A$14:$BC$57,42,0)*W510,"")</f>
        <v/>
      </c>
      <c r="Z510" s="163">
        <f>IFERROR(VLOOKUP($G510,нормы!$A$14:$BC$57,14,0)*W510/1000,0)</f>
        <v>0</v>
      </c>
      <c r="AA510" s="30"/>
      <c r="AB510" s="35"/>
      <c r="AC510" s="35"/>
      <c r="AD510" s="35"/>
      <c r="AE510" s="31"/>
      <c r="AF510" s="160"/>
      <c r="AG510" s="391"/>
      <c r="AH510" s="394"/>
      <c r="AI510" s="397"/>
      <c r="AJ510" s="408"/>
      <c r="AK510" s="360"/>
      <c r="AL510" s="360"/>
      <c r="AM510" s="360"/>
      <c r="AN510" s="289">
        <f>IFERROR(Y510*AJ507/Y513,)</f>
        <v>0</v>
      </c>
      <c r="AO510" s="197" t="str">
        <f>IFERROR(VLOOKUP($G510,нормы!$A$14:$BC$57,53,0)*$W510,"")</f>
        <v/>
      </c>
      <c r="AP510" s="290">
        <f>IFERROR(Y510*AI507/Y513,)</f>
        <v>0</v>
      </c>
      <c r="AQ510" s="197" t="str">
        <f>IFERROR(VLOOKUP($G510,нормы!$A$14:$BC$57,54,0)*$W510,"")</f>
        <v/>
      </c>
      <c r="AR510" s="290">
        <f>IFERROR(AS510/SUM(AS507:AS512)*AL507,0)</f>
        <v>0</v>
      </c>
      <c r="AS510" s="197" t="str">
        <f>IFERROR(VLOOKUP($G510,нормы!$A$14:$BC$57,55,0)*W510,"")</f>
        <v/>
      </c>
      <c r="AT510" s="290">
        <f>IFERROR(AU510/SUM(AU507:AU512)*AM507,0)</f>
        <v>0</v>
      </c>
      <c r="AU510" s="197" t="str">
        <f>IFERROR(VLOOKUP($G510,нормы!$A$14:$BI$57,56,0)*W510,"")</f>
        <v/>
      </c>
      <c r="AV510" s="290">
        <f>IFERROR(AW510/SUM(AW507:AW512)*AK507,0)</f>
        <v>0</v>
      </c>
      <c r="AW510" s="202" t="str">
        <f>IFERROR(VLOOKUP($G510,нормы!$A$14:$BI$57,57,0)*W510,"")</f>
        <v/>
      </c>
      <c r="AX510" s="30"/>
      <c r="AY510" s="203" t="str">
        <f>IFERROR(VLOOKUP($G510,нормы!$A$14:$BI$57,58,0)*W510,"")</f>
        <v/>
      </c>
      <c r="AZ510" s="205"/>
      <c r="BA510" s="200" t="str">
        <f>IFERROR(VLOOKUP($G510,нормы!$A$14:$BI$57,61,0)*$W510,"")</f>
        <v/>
      </c>
      <c r="BB510" s="30"/>
      <c r="BC510" s="203" t="str">
        <f>IFERROR(VLOOKUP($G510,нормы!$A$14:$BI$57,60,0)*W510,"")</f>
        <v/>
      </c>
      <c r="BD510" s="200" t="str">
        <f>IFERROR(VLOOKUP($G510,нормы!$A$14:$BG$57,44,0),"")</f>
        <v/>
      </c>
      <c r="BE510" s="199" t="str">
        <f>IFERROR(W510/VLOOKUP($G510,нормы!$A$14:$BI$57,45,0),"")</f>
        <v/>
      </c>
    </row>
    <row r="511" spans="1:57" s="1" customFormat="1" ht="20.25" customHeight="1" x14ac:dyDescent="0.4">
      <c r="A511" s="37" t="str">
        <f t="shared" si="206"/>
        <v>9Д</v>
      </c>
      <c r="B511" s="12">
        <f t="shared" si="207"/>
        <v>46031</v>
      </c>
      <c r="C511" s="97">
        <f t="shared" si="207"/>
        <v>0</v>
      </c>
      <c r="D511" s="97">
        <f t="shared" si="207"/>
        <v>1</v>
      </c>
      <c r="E511" s="54"/>
      <c r="F511" s="151" t="str">
        <f>IFERROR(VLOOKUP($G511,нормы!$A$14:$BC$57,2,0),"")</f>
        <v/>
      </c>
      <c r="G511" s="38"/>
      <c r="H511" s="54">
        <f t="shared" si="208"/>
        <v>0</v>
      </c>
      <c r="I511" s="89" t="s">
        <v>73</v>
      </c>
      <c r="J511" s="333"/>
      <c r="K511" s="30">
        <f>IFERROR(VLOOKUP($G511,[1]нормы!$A$21:$BC$151,15,0),"")</f>
        <v>0</v>
      </c>
      <c r="L511" s="31">
        <f>IFERROR(VLOOKUP($G511,[1]нормы!$A$21:$BC$151,17,0),"")</f>
        <v>0</v>
      </c>
      <c r="M511" s="306">
        <f>IFERROR(VLOOKUP($G511,[1]нормы!$A$21:$BC$151,27,0),"")</f>
        <v>0</v>
      </c>
      <c r="N511" s="307" t="str">
        <f>IFERROR(Y511/Y513*(1.1*J507*I516),"")</f>
        <v/>
      </c>
      <c r="O511" s="300">
        <f>IFERROR(VLOOKUP($G511,[1]нормы!$A$21:$BC$151,21,0),"")</f>
        <v>0</v>
      </c>
      <c r="P511" s="35">
        <f>IFERROR(VLOOKUP($G511,[1]нормы!$A$21:$BC$151,19,0),"")</f>
        <v>0</v>
      </c>
      <c r="Q511" s="35">
        <f>IFERROR(VLOOKUP($G511,[1]нормы!$A$21:$BC$151,23,0),"")</f>
        <v>0</v>
      </c>
      <c r="R511" s="231">
        <f>IFERROR(VLOOKUP($G511,[1]нормы!$A$21:$BC$151,29,0),"")</f>
        <v>0</v>
      </c>
      <c r="S511" s="35">
        <f>IFERROR(VLOOKUP($G511,[1]нормы!$A$21:$BC$151,31,0),"")</f>
        <v>0</v>
      </c>
      <c r="T511" s="32">
        <f>IFERROR(VLOOKUP($G511,[1]нормы!$A$21:$BC$151,25,0),"")</f>
        <v>0</v>
      </c>
      <c r="U511" s="233" t="str">
        <f>IFERROR(W511/(((100*Y511/Y513)*I512)/100),"")</f>
        <v/>
      </c>
      <c r="V511" s="234" t="str">
        <f>IFERROR(VLOOKUP($G511,нормы!$A$14:$BC$57,38,0),"")</f>
        <v/>
      </c>
      <c r="W511" s="136"/>
      <c r="X511" s="237"/>
      <c r="Y511" s="152" t="str">
        <f>IFERROR(VLOOKUP($G511,нормы!$A$14:$BC$57,42,0)*W511,"")</f>
        <v/>
      </c>
      <c r="Z511" s="163">
        <f>IFERROR(VLOOKUP($G511,нормы!$A$14:$BC$57,14,0)*W511/1000,0)</f>
        <v>0</v>
      </c>
      <c r="AA511" s="30"/>
      <c r="AB511" s="35"/>
      <c r="AC511" s="35"/>
      <c r="AD511" s="35"/>
      <c r="AE511" s="31"/>
      <c r="AF511" s="160"/>
      <c r="AG511" s="391"/>
      <c r="AH511" s="394"/>
      <c r="AI511" s="397"/>
      <c r="AJ511" s="408"/>
      <c r="AK511" s="360"/>
      <c r="AL511" s="360"/>
      <c r="AM511" s="360"/>
      <c r="AN511" s="289">
        <f>IFERROR(Y511*AJ507/Y513,)</f>
        <v>0</v>
      </c>
      <c r="AO511" s="197" t="str">
        <f>IFERROR(VLOOKUP($G511,нормы!$A$14:$BC$57,53,0)*$W511,"")</f>
        <v/>
      </c>
      <c r="AP511" s="290">
        <f>IFERROR(Y511*AI507/Y513,)</f>
        <v>0</v>
      </c>
      <c r="AQ511" s="197" t="str">
        <f>IFERROR(VLOOKUP($G511,нормы!$A$14:$BC$57,54,0)*$W511,"")</f>
        <v/>
      </c>
      <c r="AR511" s="290">
        <f>IFERROR(AS511/SUM(AS507:AS512)*AL507,0)</f>
        <v>0</v>
      </c>
      <c r="AS511" s="197" t="str">
        <f>IFERROR(VLOOKUP($G511,нормы!$A$14:$BC$57,55,0)*W511,"")</f>
        <v/>
      </c>
      <c r="AT511" s="290">
        <f>IFERROR(AU511/SUM(AU507:AU512)*AM507,0)</f>
        <v>0</v>
      </c>
      <c r="AU511" s="197" t="str">
        <f>IFERROR(VLOOKUP($G511,нормы!$A$14:$BI$57,56,0)*W511,"")</f>
        <v/>
      </c>
      <c r="AV511" s="290">
        <f>IFERROR(AW511/SUM(AW507:AW512)*AK507,0)</f>
        <v>0</v>
      </c>
      <c r="AW511" s="202" t="str">
        <f>IFERROR(VLOOKUP($G511,нормы!$A$14:$BI$57,57,0)*W511,"")</f>
        <v/>
      </c>
      <c r="AX511" s="30"/>
      <c r="AY511" s="203" t="str">
        <f>IFERROR(VLOOKUP($G511,нормы!$A$14:$BI$57,58,0)*W511,"")</f>
        <v/>
      </c>
      <c r="AZ511" s="205"/>
      <c r="BA511" s="200" t="str">
        <f>IFERROR(VLOOKUP($G511,нормы!$A$14:$BI$57,61,0)*$W511,"")</f>
        <v/>
      </c>
      <c r="BB511" s="30"/>
      <c r="BC511" s="203" t="str">
        <f>IFERROR(VLOOKUP($G511,нормы!$A$14:$BI$57,60,0)*W511,"")</f>
        <v/>
      </c>
      <c r="BD511" s="200" t="str">
        <f>IFERROR(VLOOKUP($G511,нормы!$A$14:$BG$57,44,0),"")</f>
        <v/>
      </c>
      <c r="BE511" s="199" t="str">
        <f>IFERROR(W511/VLOOKUP($G511,нормы!$A$14:$BI$57,45,0),"")</f>
        <v/>
      </c>
    </row>
    <row r="512" spans="1:57" s="1" customFormat="1" ht="21" customHeight="1" thickBot="1" x14ac:dyDescent="0.45">
      <c r="A512" s="37" t="str">
        <f t="shared" si="206"/>
        <v>9Д</v>
      </c>
      <c r="B512" s="12">
        <f t="shared" si="207"/>
        <v>46031</v>
      </c>
      <c r="C512" s="97">
        <f t="shared" si="207"/>
        <v>0</v>
      </c>
      <c r="D512" s="97">
        <f t="shared" si="207"/>
        <v>1</v>
      </c>
      <c r="E512" s="54"/>
      <c r="F512" s="151" t="str">
        <f>IFERROR(VLOOKUP($G512,нормы!$A$14:$BC$57,2,0),"")</f>
        <v/>
      </c>
      <c r="G512" s="93"/>
      <c r="H512" s="63">
        <f t="shared" si="208"/>
        <v>0</v>
      </c>
      <c r="I512" s="153">
        <f>I508+I510</f>
        <v>0</v>
      </c>
      <c r="J512" s="334"/>
      <c r="K512" s="30">
        <f>IFERROR(VLOOKUP($G512,[1]нормы!$A$21:$BC$151,15,0),"")</f>
        <v>0</v>
      </c>
      <c r="L512" s="31">
        <f>IFERROR(VLOOKUP($G512,[1]нормы!$A$21:$BC$151,17,0),"")</f>
        <v>0</v>
      </c>
      <c r="M512" s="308">
        <f>IFERROR(VLOOKUP($G512,[1]нормы!$A$21:$BC$151,27,0),"")</f>
        <v>0</v>
      </c>
      <c r="N512" s="309" t="str">
        <f>IFERROR(Y512/Y513*(1.1*J507*I517),"")</f>
        <v/>
      </c>
      <c r="O512" s="300">
        <f>IFERROR(VLOOKUP($G512,[1]нормы!$A$21:$BC$151,21,0),"")</f>
        <v>0</v>
      </c>
      <c r="P512" s="35">
        <f>IFERROR(VLOOKUP($G512,[1]нормы!$A$21:$BC$151,19,0),"")</f>
        <v>0</v>
      </c>
      <c r="Q512" s="35">
        <f>IFERROR(VLOOKUP($G512,[1]нормы!$A$21:$BC$151,23,0),"")</f>
        <v>0</v>
      </c>
      <c r="R512" s="231">
        <f>IFERROR(VLOOKUP($G512,[1]нормы!$A$21:$BC$151,29,0),"")</f>
        <v>0</v>
      </c>
      <c r="S512" s="35">
        <f>IFERROR(VLOOKUP($G512,[1]нормы!$A$21:$BC$151,31,0),"")</f>
        <v>0</v>
      </c>
      <c r="T512" s="32">
        <f>IFERROR(VLOOKUP($G512,[1]нормы!$A$21:$BC$151,25,0),"")</f>
        <v>0</v>
      </c>
      <c r="U512" s="235" t="str">
        <f>IFERROR(W512/(((100*Y512/Y513)*I512)/100),"")</f>
        <v/>
      </c>
      <c r="V512" s="234" t="str">
        <f>IFERROR(VLOOKUP($G512,нормы!$A$14:$BC$57,38,0),"")</f>
        <v/>
      </c>
      <c r="W512" s="154"/>
      <c r="X512" s="238"/>
      <c r="Y512" s="152" t="str">
        <f>IFERROR(VLOOKUP($G512,нормы!$A$14:$BC$57,42,0)*W512,"")</f>
        <v/>
      </c>
      <c r="Z512" s="163">
        <f>IFERROR(VLOOKUP($G512,нормы!$A$14:$BC$57,14,0)*W512/1000,0)</f>
        <v>0</v>
      </c>
      <c r="AA512" s="56"/>
      <c r="AB512" s="58"/>
      <c r="AC512" s="58"/>
      <c r="AD512" s="58"/>
      <c r="AE512" s="57"/>
      <c r="AF512" s="161"/>
      <c r="AG512" s="392"/>
      <c r="AH512" s="395"/>
      <c r="AI512" s="398"/>
      <c r="AJ512" s="409"/>
      <c r="AK512" s="361"/>
      <c r="AL512" s="361"/>
      <c r="AM512" s="361"/>
      <c r="AN512" s="291">
        <f>IFERROR(Y512*AJ507/Y513,)</f>
        <v>0</v>
      </c>
      <c r="AO512" s="197" t="str">
        <f>IFERROR(VLOOKUP($G512,нормы!$A$14:$BC$57,53,0)*$W512,"")</f>
        <v/>
      </c>
      <c r="AP512" s="292">
        <f>IFERROR(Y512*AI507/Y513,)</f>
        <v>0</v>
      </c>
      <c r="AQ512" s="197" t="str">
        <f>IFERROR(VLOOKUP($G512,нормы!$A$14:$BC$57,54,0)*$W512,"")</f>
        <v/>
      </c>
      <c r="AR512" s="290">
        <f>IFERROR(AS512/SUM(AS507:AS512)*AL507,0)</f>
        <v>0</v>
      </c>
      <c r="AS512" s="197" t="str">
        <f>IFERROR(VLOOKUP($G512,нормы!$A$14:$BC$57,55,0)*W512,"")</f>
        <v/>
      </c>
      <c r="AT512" s="292">
        <f>IFERROR(AU512/SUM(AU507:AU512)*AM507,0)</f>
        <v>0</v>
      </c>
      <c r="AU512" s="197" t="str">
        <f>IFERROR(VLOOKUP($G512,нормы!$A$14:$BI$57,56,0)*W512,"")</f>
        <v/>
      </c>
      <c r="AV512" s="292">
        <f>IFERROR(AW512/SUM(AW507:AW512)*AK507,0)</f>
        <v>0</v>
      </c>
      <c r="AW512" s="202" t="str">
        <f>IFERROR(VLOOKUP($G512,нормы!$A$14:$BI$57,57,0)*W512,"")</f>
        <v/>
      </c>
      <c r="AX512" s="56"/>
      <c r="AY512" s="203" t="str">
        <f>IFERROR(VLOOKUP($G512,нормы!$A$14:$BI$57,58,0)*W512,"")</f>
        <v/>
      </c>
      <c r="AZ512" s="206"/>
      <c r="BA512" s="200" t="str">
        <f>IFERROR(VLOOKUP($G512,нормы!$A$14:$BI$57,61,0)*$W512,"")</f>
        <v/>
      </c>
      <c r="BB512" s="56"/>
      <c r="BC512" s="203" t="str">
        <f>IFERROR(VLOOKUP($G512,нормы!$A$14:$BI$57,60,0)*W512,"")</f>
        <v/>
      </c>
      <c r="BD512" s="200" t="str">
        <f>IFERROR(VLOOKUP($G512,нормы!$A$14:$BG$57,44,0),"")</f>
        <v/>
      </c>
      <c r="BE512" s="199" t="str">
        <f>IFERROR(W512/VLOOKUP($G512,нормы!$A$14:$BI$57,45,0),"")</f>
        <v/>
      </c>
    </row>
    <row r="513" spans="1:57" s="1" customFormat="1" ht="29.4" customHeight="1" thickBot="1" x14ac:dyDescent="0.45">
      <c r="A513" s="37" t="str">
        <f t="shared" si="206"/>
        <v>9Д</v>
      </c>
      <c r="B513" s="59"/>
      <c r="C513" s="51"/>
      <c r="D513" s="51"/>
      <c r="E513" s="51"/>
      <c r="F513" s="295" t="s">
        <v>148</v>
      </c>
      <c r="G513" s="51"/>
      <c r="H513" s="51"/>
      <c r="I513" s="60"/>
      <c r="J513" s="60"/>
      <c r="K513" s="319" t="s">
        <v>213</v>
      </c>
      <c r="L513" s="316"/>
      <c r="M513" s="303" t="s">
        <v>213</v>
      </c>
      <c r="N513" s="317">
        <f>SUM(N507:N512)</f>
        <v>0</v>
      </c>
      <c r="O513" s="304" t="s">
        <v>216</v>
      </c>
      <c r="P513" s="318">
        <f>N513*8.937/1000</f>
        <v>0</v>
      </c>
      <c r="Q513" s="305" t="s">
        <v>215</v>
      </c>
      <c r="R513" s="61"/>
      <c r="S513" s="61"/>
      <c r="T513" s="61"/>
      <c r="U513" s="109"/>
      <c r="V513" s="109"/>
      <c r="W513" s="94"/>
      <c r="X513" s="155"/>
      <c r="Y513" s="96">
        <f>SUM(Y507:Y512)</f>
        <v>0</v>
      </c>
      <c r="Z513" s="164">
        <f>SUM(Z507:Z512)</f>
        <v>0</v>
      </c>
      <c r="AA513" s="62"/>
      <c r="AB513" s="62"/>
      <c r="AC513" s="62"/>
      <c r="AD513" s="62"/>
      <c r="AE513" s="62"/>
      <c r="AF513" s="62"/>
      <c r="AG513" s="162" t="s">
        <v>140</v>
      </c>
      <c r="AH513" s="162" t="s">
        <v>141</v>
      </c>
      <c r="AI513" s="162" t="s">
        <v>142</v>
      </c>
      <c r="AJ513" s="91" t="s">
        <v>126</v>
      </c>
      <c r="AK513" s="198" t="s">
        <v>136</v>
      </c>
      <c r="AL513" s="198" t="s">
        <v>137</v>
      </c>
      <c r="AM513" s="198" t="s">
        <v>138</v>
      </c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53" t="str">
        <f>IFERROR(W513/VLOOKUP($G513,нормы!$A$14:$BI$15,28,0),"")</f>
        <v/>
      </c>
    </row>
    <row r="514" spans="1:57" s="1" customFormat="1" ht="21.6" customHeight="1" x14ac:dyDescent="0.4">
      <c r="A514" s="37" t="str">
        <f t="shared" si="206"/>
        <v>9Д</v>
      </c>
      <c r="B514" s="12">
        <f>B512</f>
        <v>46031</v>
      </c>
      <c r="C514" s="97"/>
      <c r="D514" s="97">
        <v>2</v>
      </c>
      <c r="E514" s="29"/>
      <c r="F514" s="151" t="str">
        <f>IFERROR(VLOOKUP($G514,нормы!$A$14:$BC$57,2,0),"")</f>
        <v/>
      </c>
      <c r="G514" s="93"/>
      <c r="H514" s="54">
        <f>IF(C514=1,"Кульков С.А.", IF(C514=2,"Чудаков А.А.",IF(C514=3,"Королев В.Н.",IF(C514=4,"Николашин М.П.",IF(C514=5," Кульков С.А.",IF(C514=6,"А.А. Чудаков",IF(C514=7,"В.Н. Королев",IF(C514=8,"М.П. Николашин",0))))))))</f>
        <v>0</v>
      </c>
      <c r="I514" s="88" t="s">
        <v>211</v>
      </c>
      <c r="J514" s="332"/>
      <c r="K514" s="30">
        <f>IFERROR(VLOOKUP($G514,[1]нормы!$A$21:$BC$151,15,0),"")</f>
        <v>0</v>
      </c>
      <c r="L514" s="31">
        <f>IFERROR(VLOOKUP($G514,[1]нормы!$A$21:$BC$151,17,0),"")</f>
        <v>0</v>
      </c>
      <c r="M514" s="310">
        <f>IFERROR(VLOOKUP($G514,[1]нормы!$A$21:$BC$151,27,0),"")</f>
        <v>0</v>
      </c>
      <c r="N514" s="311" t="str">
        <f>IFERROR(Y514/Y520*(1.1*J514*I519),"")</f>
        <v/>
      </c>
      <c r="O514" s="300">
        <f>IFERROR(VLOOKUP($G514,[1]нормы!$A$21:$BC$151,21,0),"")</f>
        <v>0</v>
      </c>
      <c r="P514" s="35">
        <f>IFERROR(VLOOKUP($G514,[1]нормы!$A$21:$BC$151,19,0),"")</f>
        <v>0</v>
      </c>
      <c r="Q514" s="35">
        <f>IFERROR(VLOOKUP($G514,[1]нормы!$A$21:$BC$151,23,0),"")</f>
        <v>0</v>
      </c>
      <c r="R514" s="231">
        <f>IFERROR(VLOOKUP($G514,[1]нормы!$A$21:$BC$151,29,0),"")</f>
        <v>0</v>
      </c>
      <c r="S514" s="35">
        <f>IFERROR(VLOOKUP($G514,[1]нормы!$A$21:$BC$151,31,0),"")</f>
        <v>0</v>
      </c>
      <c r="T514" s="32">
        <f>IFERROR(VLOOKUP($G514,[1]нормы!$A$21:$BC$151,25,0),"")</f>
        <v>0</v>
      </c>
      <c r="U514" s="232" t="str">
        <f>IFERROR(W514/(((100*Y514/Y520)*I519)/100),"")</f>
        <v/>
      </c>
      <c r="V514" s="234" t="str">
        <f>IFERROR(VLOOKUP($G514,нормы!$A$14:$BC$57,38,0),"")</f>
        <v/>
      </c>
      <c r="W514" s="136"/>
      <c r="X514" s="236"/>
      <c r="Y514" s="152" t="str">
        <f>IFERROR(VLOOKUP($G514,нормы!$A$14:$BC$57,42,0)*W514,"")</f>
        <v/>
      </c>
      <c r="Z514" s="163">
        <f>IFERROR(VLOOKUP($G514,нормы!$A$14:$BC$57,14,0)*W514/1000,0)</f>
        <v>0</v>
      </c>
      <c r="AA514" s="33"/>
      <c r="AB514" s="36"/>
      <c r="AC514" s="36"/>
      <c r="AD514" s="36"/>
      <c r="AE514" s="34"/>
      <c r="AF514" s="159"/>
      <c r="AG514" s="390"/>
      <c r="AH514" s="393"/>
      <c r="AI514" s="396"/>
      <c r="AJ514" s="407">
        <f>AG514+AH514</f>
        <v>0</v>
      </c>
      <c r="AK514" s="359"/>
      <c r="AL514" s="359"/>
      <c r="AM514" s="359"/>
      <c r="AN514" s="287">
        <f>IFERROR(Y514*AJ514/Y520,)</f>
        <v>0</v>
      </c>
      <c r="AO514" s="197" t="str">
        <f>IFERROR(VLOOKUP($G514,нормы!$A$14:$BC$57,53,0)*$W514,"")</f>
        <v/>
      </c>
      <c r="AP514" s="288">
        <f>IFERROR(Y514*AI514/Y520,)</f>
        <v>0</v>
      </c>
      <c r="AQ514" s="197" t="str">
        <f>IFERROR(VLOOKUP($G514,нормы!$A$14:$BC$57,54,0)*$W514,"")</f>
        <v/>
      </c>
      <c r="AR514" s="288">
        <f>IFERROR(AS514/SUM(AS514:AS519)*AL514,0)</f>
        <v>0</v>
      </c>
      <c r="AS514" s="197" t="str">
        <f>IFERROR(VLOOKUP($G514,нормы!$A$14:$BC$57,55,0)*W514,"")</f>
        <v/>
      </c>
      <c r="AT514" s="288">
        <f>IFERROR(AU514/SUM(AU514:AU519)*AM514,0)</f>
        <v>0</v>
      </c>
      <c r="AU514" s="197" t="str">
        <f>IFERROR(VLOOKUP($G514,нормы!$A$14:$BI$57,56,0)*W514,"")</f>
        <v/>
      </c>
      <c r="AV514" s="288">
        <f>IFERROR(AW514/SUM(AW514:AW519)*AK514,0)</f>
        <v>0</v>
      </c>
      <c r="AW514" s="202" t="str">
        <f>IFERROR(VLOOKUP($G514,нормы!$A$14:$BI$57,57,0)*W514,"")</f>
        <v/>
      </c>
      <c r="AX514" s="33"/>
      <c r="AY514" s="203" t="str">
        <f>IFERROR(VLOOKUP($G514,нормы!$A$14:$BI$57,58,0)*W514,"")</f>
        <v/>
      </c>
      <c r="AZ514" s="204"/>
      <c r="BA514" s="200" t="str">
        <f>IFERROR(VLOOKUP($G514,нормы!$A$14:$BI$57,61,0)*$W514,"")</f>
        <v/>
      </c>
      <c r="BB514" s="33"/>
      <c r="BC514" s="203" t="str">
        <f>IFERROR(VLOOKUP($G514,нормы!$A$14:$BI$57,60,0)*W514,"")</f>
        <v/>
      </c>
      <c r="BD514" s="200" t="str">
        <f>IFERROR(VLOOKUP($G514,нормы!$A$14:$BG$57,44,0),"")</f>
        <v/>
      </c>
      <c r="BE514" s="199" t="str">
        <f>IFERROR(W514/VLOOKUP($G514,нормы!$A$14:$BI$57,45,0),"")</f>
        <v/>
      </c>
    </row>
    <row r="515" spans="1:57" s="1" customFormat="1" ht="21.6" customHeight="1" x14ac:dyDescent="0.4">
      <c r="A515" s="37" t="str">
        <f t="shared" si="206"/>
        <v>9Д</v>
      </c>
      <c r="B515" s="12">
        <f t="shared" ref="B515:D519" si="209">B514</f>
        <v>46031</v>
      </c>
      <c r="C515" s="97">
        <f t="shared" si="209"/>
        <v>0</v>
      </c>
      <c r="D515" s="97">
        <f t="shared" si="209"/>
        <v>2</v>
      </c>
      <c r="E515" s="54"/>
      <c r="F515" s="151" t="str">
        <f>IFERROR(VLOOKUP($G515,нормы!$A$14:$BC$57,2,0),"")</f>
        <v/>
      </c>
      <c r="G515" s="93"/>
      <c r="H515" s="54">
        <f t="shared" ref="H515:H519" si="210">IF(C515=1,"Кульков С.А.", IF(C515=2,"Чудаков А.А.",IF(C515=3,"Королев В.Н.",IF(C515=4,"Николашин М.П.",IF(C515=5," Кульков С.А.",IF(C515=6,"А.А. Чудаков",IF(C515=7,"В.Н. Королев",IF(C515=8,"М.П. Николашин",0))))))))</f>
        <v>0</v>
      </c>
      <c r="I515" s="55"/>
      <c r="J515" s="333"/>
      <c r="K515" s="30">
        <f>IFERROR(VLOOKUP($G515,[1]нормы!$A$21:$BC$151,15,0),"")</f>
        <v>0</v>
      </c>
      <c r="L515" s="31">
        <f>IFERROR(VLOOKUP($G515,[1]нормы!$A$21:$BC$151,17,0),"")</f>
        <v>0</v>
      </c>
      <c r="M515" s="306">
        <f>IFERROR(VLOOKUP($G515,[1]нормы!$A$21:$BC$151,27,0),"")</f>
        <v>0</v>
      </c>
      <c r="N515" s="307" t="str">
        <f>IFERROR(Y515/Y520*(1.1*J514*I519),"")</f>
        <v/>
      </c>
      <c r="O515" s="300">
        <f>IFERROR(VLOOKUP($G515,[1]нормы!$A$21:$BC$151,21,0),"")</f>
        <v>0</v>
      </c>
      <c r="P515" s="35">
        <f>IFERROR(VLOOKUP($G515,[1]нормы!$A$21:$BC$151,19,0),"")</f>
        <v>0</v>
      </c>
      <c r="Q515" s="35">
        <f>IFERROR(VLOOKUP($G515,[1]нормы!$A$21:$BC$151,23,0),"")</f>
        <v>0</v>
      </c>
      <c r="R515" s="231">
        <f>IFERROR(VLOOKUP($G515,[1]нормы!$A$21:$BC$151,29,0),"")</f>
        <v>0</v>
      </c>
      <c r="S515" s="35">
        <f>IFERROR(VLOOKUP($G515,[1]нормы!$A$21:$BC$151,31,0),"")</f>
        <v>0</v>
      </c>
      <c r="T515" s="32">
        <f>IFERROR(VLOOKUP($G515,[1]нормы!$A$21:$BC$151,25,0),"")</f>
        <v>0</v>
      </c>
      <c r="U515" s="233" t="str">
        <f>IFERROR(W515/(((100*Y515/Y520)*I519)/100),"")</f>
        <v/>
      </c>
      <c r="V515" s="234" t="str">
        <f>IFERROR(VLOOKUP($G515,нормы!$A$14:$BC$57,38,0),"")</f>
        <v/>
      </c>
      <c r="W515" s="136"/>
      <c r="X515" s="237"/>
      <c r="Y515" s="152" t="str">
        <f>IFERROR(VLOOKUP($G515,нормы!$A$14:$BC$57,42,0)*W515,"")</f>
        <v/>
      </c>
      <c r="Z515" s="163">
        <f>IFERROR(VLOOKUP($G515,нормы!$A$14:$BC$57,14,0)*W515/1000,0)</f>
        <v>0</v>
      </c>
      <c r="AA515" s="142"/>
      <c r="AB515" s="35"/>
      <c r="AC515" s="35"/>
      <c r="AD515" s="35"/>
      <c r="AE515" s="31"/>
      <c r="AF515" s="160"/>
      <c r="AG515" s="391"/>
      <c r="AH515" s="394"/>
      <c r="AI515" s="397"/>
      <c r="AJ515" s="408"/>
      <c r="AK515" s="360"/>
      <c r="AL515" s="360"/>
      <c r="AM515" s="360"/>
      <c r="AN515" s="289">
        <f>IFERROR(Y515*AJ514/Y520,)</f>
        <v>0</v>
      </c>
      <c r="AO515" s="197" t="str">
        <f>IFERROR(VLOOKUP($G515,нормы!$A$14:$BC$57,53,0)*$W515,"")</f>
        <v/>
      </c>
      <c r="AP515" s="290">
        <f>IFERROR(Y515*AI514/Y520,)</f>
        <v>0</v>
      </c>
      <c r="AQ515" s="197" t="str">
        <f>IFERROR(VLOOKUP($G515,нормы!$A$14:$BC$57,54,0)*$W515,"")</f>
        <v/>
      </c>
      <c r="AR515" s="290">
        <f>IFERROR(AS515/SUM(AS514:AS519)*AL514,0)</f>
        <v>0</v>
      </c>
      <c r="AS515" s="197" t="str">
        <f>IFERROR(VLOOKUP($G515,нормы!$A$14:$BC$57,55,0)*W515,"")</f>
        <v/>
      </c>
      <c r="AT515" s="290">
        <f>IFERROR(AU515/SUM(AU514:AU519)*AM514,0)</f>
        <v>0</v>
      </c>
      <c r="AU515" s="197" t="str">
        <f>IFERROR(VLOOKUP($G515,нормы!$A$14:$BI$57,56,0)*W515,"")</f>
        <v/>
      </c>
      <c r="AV515" s="290">
        <f>IFERROR(AW515/SUM(AW514:AW519)*AK514,0)</f>
        <v>0</v>
      </c>
      <c r="AW515" s="202" t="str">
        <f>IFERROR(VLOOKUP($G515,нормы!$A$14:$BI$57,57,0)*W515,"")</f>
        <v/>
      </c>
      <c r="AX515" s="30"/>
      <c r="AY515" s="203" t="str">
        <f>IFERROR(VLOOKUP($G515,нормы!$A$14:$BI$57,58,0)*W515,"")</f>
        <v/>
      </c>
      <c r="AZ515" s="205"/>
      <c r="BA515" s="200" t="str">
        <f>IFERROR(VLOOKUP($G515,нормы!$A$14:$BI$57,61,0)*$W515,"")</f>
        <v/>
      </c>
      <c r="BB515" s="30"/>
      <c r="BC515" s="203" t="str">
        <f>IFERROR(VLOOKUP($G515,нормы!$A$14:$BI$57,60,0)*W515,"")</f>
        <v/>
      </c>
      <c r="BD515" s="200" t="str">
        <f>IFERROR(VLOOKUP($G515,нормы!$A$14:$BG$57,44,0),"")</f>
        <v/>
      </c>
      <c r="BE515" s="199" t="str">
        <f>IFERROR(W515/VLOOKUP($G515,нормы!$A$14:$BI$57,45,0),"")</f>
        <v/>
      </c>
    </row>
    <row r="516" spans="1:57" s="1" customFormat="1" ht="20.25" customHeight="1" x14ac:dyDescent="0.4">
      <c r="A516" s="37" t="str">
        <f t="shared" si="206"/>
        <v>9Д</v>
      </c>
      <c r="B516" s="12">
        <f t="shared" si="209"/>
        <v>46031</v>
      </c>
      <c r="C516" s="97">
        <f t="shared" si="209"/>
        <v>0</v>
      </c>
      <c r="D516" s="97">
        <f t="shared" si="209"/>
        <v>2</v>
      </c>
      <c r="E516" s="54"/>
      <c r="F516" s="151" t="str">
        <f>IFERROR(VLOOKUP($G516,нормы!$A$14:$BC$57,2,0),"")</f>
        <v/>
      </c>
      <c r="G516" s="38"/>
      <c r="H516" s="54">
        <f t="shared" si="210"/>
        <v>0</v>
      </c>
      <c r="I516" s="89" t="s">
        <v>212</v>
      </c>
      <c r="J516" s="333"/>
      <c r="K516" s="30">
        <f>IFERROR(VLOOKUP($G516,[1]нормы!$A$21:$BC$151,15,0),"")</f>
        <v>0</v>
      </c>
      <c r="L516" s="31">
        <f>IFERROR(VLOOKUP($G516,[1]нормы!$A$21:$BC$151,17,0),"")</f>
        <v>0</v>
      </c>
      <c r="M516" s="306">
        <f>IFERROR(VLOOKUP($G516,[1]нормы!$A$21:$BC$151,27,0),"")</f>
        <v>0</v>
      </c>
      <c r="N516" s="307" t="str">
        <f>IFERROR(Y516/Y520*(1.1*J514*I519),"")</f>
        <v/>
      </c>
      <c r="O516" s="300">
        <f>IFERROR(VLOOKUP($G516,[1]нормы!$A$21:$BC$151,21,0),"")</f>
        <v>0</v>
      </c>
      <c r="P516" s="35">
        <f>IFERROR(VLOOKUP($G516,[1]нормы!$A$21:$BC$151,19,0),"")</f>
        <v>0</v>
      </c>
      <c r="Q516" s="35">
        <f>IFERROR(VLOOKUP($G516,[1]нормы!$A$21:$BC$151,23,0),"")</f>
        <v>0</v>
      </c>
      <c r="R516" s="231">
        <f>IFERROR(VLOOKUP($G516,[1]нормы!$A$21:$BC$151,29,0),"")</f>
        <v>0</v>
      </c>
      <c r="S516" s="35">
        <f>IFERROR(VLOOKUP($G516,[1]нормы!$A$21:$BC$151,31,0),"")</f>
        <v>0</v>
      </c>
      <c r="T516" s="32">
        <f>IFERROR(VLOOKUP($G516,[1]нормы!$A$21:$BC$151,25,0),"")</f>
        <v>0</v>
      </c>
      <c r="U516" s="233" t="str">
        <f>IFERROR(W516/(((100*Y516/Y520)*I519)/100),"")</f>
        <v/>
      </c>
      <c r="V516" s="234" t="str">
        <f>IFERROR(VLOOKUP($G516,нормы!$A$14:$BC$57,38,0),"")</f>
        <v/>
      </c>
      <c r="W516" s="136"/>
      <c r="X516" s="237"/>
      <c r="Y516" s="152" t="str">
        <f>IFERROR(VLOOKUP($G516,нормы!$A$14:$BC$57,42,0)*W516,"")</f>
        <v/>
      </c>
      <c r="Z516" s="163">
        <f>IFERROR(VLOOKUP($G516,нормы!$A$14:$BC$57,14,0)*W516/1000,0)</f>
        <v>0</v>
      </c>
      <c r="AA516" s="30"/>
      <c r="AB516" s="35"/>
      <c r="AC516" s="35"/>
      <c r="AD516" s="35"/>
      <c r="AE516" s="31"/>
      <c r="AF516" s="160"/>
      <c r="AG516" s="391"/>
      <c r="AH516" s="394"/>
      <c r="AI516" s="397"/>
      <c r="AJ516" s="408"/>
      <c r="AK516" s="360"/>
      <c r="AL516" s="360"/>
      <c r="AM516" s="360"/>
      <c r="AN516" s="289">
        <f>IFERROR(Y516*AJ514/Y520,)</f>
        <v>0</v>
      </c>
      <c r="AO516" s="197" t="str">
        <f>IFERROR(VLOOKUP($G516,нормы!$A$14:$BC$57,53,0)*$W516,"")</f>
        <v/>
      </c>
      <c r="AP516" s="290">
        <f>IFERROR(Y516*AI514/Y520,)</f>
        <v>0</v>
      </c>
      <c r="AQ516" s="197" t="str">
        <f>IFERROR(VLOOKUP($G516,нормы!$A$14:$BC$57,54,0)*$W516,"")</f>
        <v/>
      </c>
      <c r="AR516" s="290">
        <f>IFERROR(AS516/SUM(AS514:AS519)*AL514,0)</f>
        <v>0</v>
      </c>
      <c r="AS516" s="197" t="str">
        <f>IFERROR(VLOOKUP($G516,нормы!$A$14:$BC$57,55,0)*W516,"")</f>
        <v/>
      </c>
      <c r="AT516" s="290">
        <f>IFERROR(AU516/SUM(AU514:AU519)*AM514,0)</f>
        <v>0</v>
      </c>
      <c r="AU516" s="197" t="str">
        <f>IFERROR(VLOOKUP($G516,нормы!$A$14:$BI$57,56,0)*W516,"")</f>
        <v/>
      </c>
      <c r="AV516" s="290">
        <f>IFERROR(AW516/SUM(AW514:AW519)*AK514,0)</f>
        <v>0</v>
      </c>
      <c r="AW516" s="202" t="str">
        <f>IFERROR(VLOOKUP($G516,нормы!$A$14:$BI$57,57,0)*W516,"")</f>
        <v/>
      </c>
      <c r="AX516" s="30"/>
      <c r="AY516" s="203" t="str">
        <f>IFERROR(VLOOKUP($G516,нормы!$A$14:$BI$57,58,0)*W516,"")</f>
        <v/>
      </c>
      <c r="AZ516" s="205"/>
      <c r="BA516" s="200" t="str">
        <f>IFERROR(VLOOKUP($G516,нормы!$A$14:$BI$57,61,0)*$W516,"")</f>
        <v/>
      </c>
      <c r="BB516" s="30"/>
      <c r="BC516" s="203" t="str">
        <f>IFERROR(VLOOKUP($G516,нормы!$A$14:$BI$57,60,0)*W516,"")</f>
        <v/>
      </c>
      <c r="BD516" s="200" t="str">
        <f>IFERROR(VLOOKUP($G516,нормы!$A$14:$BG$57,44,0),"")</f>
        <v/>
      </c>
      <c r="BE516" s="199" t="str">
        <f>IFERROR(W516/VLOOKUP($G516,нормы!$A$14:$BI$57,45,0),"")</f>
        <v/>
      </c>
    </row>
    <row r="517" spans="1:57" s="1" customFormat="1" ht="20.25" customHeight="1" x14ac:dyDescent="0.4">
      <c r="A517" s="37" t="str">
        <f t="shared" si="206"/>
        <v>9Д</v>
      </c>
      <c r="B517" s="12">
        <f t="shared" si="209"/>
        <v>46031</v>
      </c>
      <c r="C517" s="97">
        <f t="shared" si="209"/>
        <v>0</v>
      </c>
      <c r="D517" s="97">
        <f t="shared" si="209"/>
        <v>2</v>
      </c>
      <c r="E517" s="54"/>
      <c r="F517" s="151" t="str">
        <f>IFERROR(VLOOKUP($G517,нормы!$A$14:$BC$57,2,0),"")</f>
        <v/>
      </c>
      <c r="G517" s="93"/>
      <c r="H517" s="54">
        <f t="shared" si="210"/>
        <v>0</v>
      </c>
      <c r="I517" s="55"/>
      <c r="J517" s="333"/>
      <c r="K517" s="30">
        <f>IFERROR(VLOOKUP($G517,[1]нормы!$A$21:$BC$151,15,0),"")</f>
        <v>0</v>
      </c>
      <c r="L517" s="31">
        <f>IFERROR(VLOOKUP($G517,[1]нормы!$A$21:$BC$151,17,0),"")</f>
        <v>0</v>
      </c>
      <c r="M517" s="306">
        <f>IFERROR(VLOOKUP($G517,[1]нормы!$A$21:$BC$151,27,0),"")</f>
        <v>0</v>
      </c>
      <c r="N517" s="307" t="str">
        <f>IFERROR(Y517/Y520*(1.1*J514*I522),"")</f>
        <v/>
      </c>
      <c r="O517" s="300">
        <f>IFERROR(VLOOKUP($G517,[1]нормы!$A$21:$BC$151,21,0),"")</f>
        <v>0</v>
      </c>
      <c r="P517" s="35">
        <f>IFERROR(VLOOKUP($G517,[1]нормы!$A$21:$BC$151,19,0),"")</f>
        <v>0</v>
      </c>
      <c r="Q517" s="35">
        <f>IFERROR(VLOOKUP($G517,[1]нормы!$A$21:$BC$151,23,0),"")</f>
        <v>0</v>
      </c>
      <c r="R517" s="231">
        <f>IFERROR(VLOOKUP($G517,[1]нормы!$A$21:$BC$151,29,0),"")</f>
        <v>0</v>
      </c>
      <c r="S517" s="35">
        <f>IFERROR(VLOOKUP($G517,[1]нормы!$A$21:$BC$151,31,0),"")</f>
        <v>0</v>
      </c>
      <c r="T517" s="32">
        <f>IFERROR(VLOOKUP($G517,[1]нормы!$A$21:$BC$151,25,0),"")</f>
        <v>0</v>
      </c>
      <c r="U517" s="233" t="str">
        <f>IFERROR(W517/(((100*Y517/Y520)*I519)/100),"")</f>
        <v/>
      </c>
      <c r="V517" s="234" t="str">
        <f>IFERROR(VLOOKUP($G517,нормы!$A$14:$BC$57,38,0),"")</f>
        <v/>
      </c>
      <c r="W517" s="136"/>
      <c r="X517" s="237"/>
      <c r="Y517" s="152" t="str">
        <f>IFERROR(VLOOKUP($G517,нормы!$A$14:$BC$57,42,0)*W517,"")</f>
        <v/>
      </c>
      <c r="Z517" s="163">
        <f>IFERROR(VLOOKUP($G517,нормы!$A$14:$BC$57,14,0)*W517/1000,0)</f>
        <v>0</v>
      </c>
      <c r="AA517" s="30"/>
      <c r="AB517" s="35"/>
      <c r="AC517" s="35"/>
      <c r="AD517" s="35"/>
      <c r="AE517" s="31"/>
      <c r="AF517" s="160"/>
      <c r="AG517" s="391"/>
      <c r="AH517" s="394"/>
      <c r="AI517" s="397"/>
      <c r="AJ517" s="408"/>
      <c r="AK517" s="360"/>
      <c r="AL517" s="360"/>
      <c r="AM517" s="360"/>
      <c r="AN517" s="289">
        <f>IFERROR(Y517*AJ514/Y520,)</f>
        <v>0</v>
      </c>
      <c r="AO517" s="197" t="str">
        <f>IFERROR(VLOOKUP($G517,нормы!$A$14:$BC$57,53,0)*$W517,"")</f>
        <v/>
      </c>
      <c r="AP517" s="290">
        <f>IFERROR(Y517*AI514/Y520,)</f>
        <v>0</v>
      </c>
      <c r="AQ517" s="197" t="str">
        <f>IFERROR(VLOOKUP($G517,нормы!$A$14:$BC$57,54,0)*$W517,"")</f>
        <v/>
      </c>
      <c r="AR517" s="290">
        <f>IFERROR(AS517/SUM(AS514:AS519)*AL514,0)</f>
        <v>0</v>
      </c>
      <c r="AS517" s="197" t="str">
        <f>IFERROR(VLOOKUP($G517,нормы!$A$14:$BC$57,55,0)*W517,"")</f>
        <v/>
      </c>
      <c r="AT517" s="290">
        <f>IFERROR(AU517/SUM(AU514:AU519)*AM514,0)</f>
        <v>0</v>
      </c>
      <c r="AU517" s="197" t="str">
        <f>IFERROR(VLOOKUP($G517,нормы!$A$14:$BI$57,56,0)*W517,"")</f>
        <v/>
      </c>
      <c r="AV517" s="290">
        <f>IFERROR(AW517/SUM(AW514:AW519)*AK514,0)</f>
        <v>0</v>
      </c>
      <c r="AW517" s="202" t="str">
        <f>IFERROR(VLOOKUP($G517,нормы!$A$14:$BI$57,57,0)*W517,"")</f>
        <v/>
      </c>
      <c r="AX517" s="30"/>
      <c r="AY517" s="203" t="str">
        <f>IFERROR(VLOOKUP($G517,нормы!$A$14:$BI$57,58,0)*W517,"")</f>
        <v/>
      </c>
      <c r="AZ517" s="205"/>
      <c r="BA517" s="200" t="str">
        <f>IFERROR(VLOOKUP($G517,нормы!$A$14:$BI$57,61,0)*$W517,"")</f>
        <v/>
      </c>
      <c r="BB517" s="30"/>
      <c r="BC517" s="203" t="str">
        <f>IFERROR(VLOOKUP($G517,нормы!$A$14:$BI$57,60,0)*W517,"")</f>
        <v/>
      </c>
      <c r="BD517" s="200" t="str">
        <f>IFERROR(VLOOKUP($G517,нормы!$A$14:$BG$57,44,0),"")</f>
        <v/>
      </c>
      <c r="BE517" s="199" t="str">
        <f>IFERROR(W517/VLOOKUP($G517,нормы!$A$14:$BI$57,45,0),"")</f>
        <v/>
      </c>
    </row>
    <row r="518" spans="1:57" s="1" customFormat="1" ht="20.25" customHeight="1" x14ac:dyDescent="0.4">
      <c r="A518" s="37" t="str">
        <f t="shared" si="206"/>
        <v>9Д</v>
      </c>
      <c r="B518" s="12">
        <f t="shared" si="209"/>
        <v>46031</v>
      </c>
      <c r="C518" s="97">
        <f t="shared" si="209"/>
        <v>0</v>
      </c>
      <c r="D518" s="97">
        <f t="shared" si="209"/>
        <v>2</v>
      </c>
      <c r="E518" s="54"/>
      <c r="F518" s="151" t="str">
        <f>IFERROR(VLOOKUP($G518,нормы!$A$14:$BC$57,2,0),"")</f>
        <v/>
      </c>
      <c r="G518" s="38"/>
      <c r="H518" s="54">
        <f t="shared" si="210"/>
        <v>0</v>
      </c>
      <c r="I518" s="89" t="s">
        <v>73</v>
      </c>
      <c r="J518" s="333"/>
      <c r="K518" s="30">
        <f>IFERROR(VLOOKUP($G518,[1]нормы!$A$21:$BC$151,15,0),"")</f>
        <v>0</v>
      </c>
      <c r="L518" s="31">
        <f>IFERROR(VLOOKUP($G518,[1]нормы!$A$21:$BC$151,17,0),"")</f>
        <v>0</v>
      </c>
      <c r="M518" s="306">
        <f>IFERROR(VLOOKUP($G518,[1]нормы!$A$21:$BC$151,27,0),"")</f>
        <v>0</v>
      </c>
      <c r="N518" s="307" t="str">
        <f>IFERROR(Y518/Y520*(1.1*J514*I523),"")</f>
        <v/>
      </c>
      <c r="O518" s="300">
        <f>IFERROR(VLOOKUP($G518,[1]нормы!$A$21:$BC$151,21,0),"")</f>
        <v>0</v>
      </c>
      <c r="P518" s="35">
        <f>IFERROR(VLOOKUP($G518,[1]нормы!$A$21:$BC$151,19,0),"")</f>
        <v>0</v>
      </c>
      <c r="Q518" s="35">
        <f>IFERROR(VLOOKUP($G518,[1]нормы!$A$21:$BC$151,23,0),"")</f>
        <v>0</v>
      </c>
      <c r="R518" s="231">
        <f>IFERROR(VLOOKUP($G518,[1]нормы!$A$21:$BC$151,29,0),"")</f>
        <v>0</v>
      </c>
      <c r="S518" s="35">
        <f>IFERROR(VLOOKUP($G518,[1]нормы!$A$21:$BC$151,31,0),"")</f>
        <v>0</v>
      </c>
      <c r="T518" s="32">
        <f>IFERROR(VLOOKUP($G518,[1]нормы!$A$21:$BC$151,25,0),"")</f>
        <v>0</v>
      </c>
      <c r="U518" s="233" t="str">
        <f>IFERROR(W518/(((100*Y518/Y520)*I519)/100),"")</f>
        <v/>
      </c>
      <c r="V518" s="234" t="str">
        <f>IFERROR(VLOOKUP($G518,нормы!$A$14:$BC$57,38,0),"")</f>
        <v/>
      </c>
      <c r="W518" s="136"/>
      <c r="X518" s="237"/>
      <c r="Y518" s="152" t="str">
        <f>IFERROR(VLOOKUP($G518,нормы!$A$14:$BC$57,42,0)*W518,"")</f>
        <v/>
      </c>
      <c r="Z518" s="163">
        <f>IFERROR(VLOOKUP($G518,нормы!$A$14:$BC$57,14,0)*W518/1000,0)</f>
        <v>0</v>
      </c>
      <c r="AA518" s="30"/>
      <c r="AB518" s="35"/>
      <c r="AC518" s="35"/>
      <c r="AD518" s="35"/>
      <c r="AE518" s="31"/>
      <c r="AF518" s="160"/>
      <c r="AG518" s="391"/>
      <c r="AH518" s="394"/>
      <c r="AI518" s="397"/>
      <c r="AJ518" s="408"/>
      <c r="AK518" s="360"/>
      <c r="AL518" s="360"/>
      <c r="AM518" s="360"/>
      <c r="AN518" s="289">
        <f>IFERROR(Y518*AJ514/Y520,)</f>
        <v>0</v>
      </c>
      <c r="AO518" s="197" t="str">
        <f>IFERROR(VLOOKUP($G518,нормы!$A$14:$BC$57,53,0)*$W518,"")</f>
        <v/>
      </c>
      <c r="AP518" s="290">
        <f>IFERROR(Y518*AI514/Y520,)</f>
        <v>0</v>
      </c>
      <c r="AQ518" s="197" t="str">
        <f>IFERROR(VLOOKUP($G518,нормы!$A$14:$BC$57,54,0)*$W518,"")</f>
        <v/>
      </c>
      <c r="AR518" s="290">
        <f>IFERROR(AS518/SUM(AS514:AS519)*AL514,0)</f>
        <v>0</v>
      </c>
      <c r="AS518" s="197" t="str">
        <f>IFERROR(VLOOKUP($G518,нормы!$A$14:$BC$57,55,0)*W518,"")</f>
        <v/>
      </c>
      <c r="AT518" s="290">
        <f>IFERROR(AU518/SUM(AU514:AU519)*AM514,0)</f>
        <v>0</v>
      </c>
      <c r="AU518" s="197" t="str">
        <f>IFERROR(VLOOKUP($G518,нормы!$A$14:$BI$57,56,0)*W518,"")</f>
        <v/>
      </c>
      <c r="AV518" s="290">
        <f>IFERROR(AW518/SUM(AW514:AW519)*AK514,0)</f>
        <v>0</v>
      </c>
      <c r="AW518" s="202" t="str">
        <f>IFERROR(VLOOKUP($G518,нормы!$A$14:$BI$57,57,0)*W518,"")</f>
        <v/>
      </c>
      <c r="AX518" s="30"/>
      <c r="AY518" s="203" t="str">
        <f>IFERROR(VLOOKUP($G518,нормы!$A$14:$BI$57,58,0)*W518,"")</f>
        <v/>
      </c>
      <c r="AZ518" s="205"/>
      <c r="BA518" s="200" t="str">
        <f>IFERROR(VLOOKUP($G518,нормы!$A$14:$BI$57,61,0)*$W518,"")</f>
        <v/>
      </c>
      <c r="BB518" s="30"/>
      <c r="BC518" s="203" t="str">
        <f>IFERROR(VLOOKUP($G518,нормы!$A$14:$BI$57,60,0)*W518,"")</f>
        <v/>
      </c>
      <c r="BD518" s="200" t="str">
        <f>IFERROR(VLOOKUP($G518,нормы!$A$14:$BG$57,44,0),"")</f>
        <v/>
      </c>
      <c r="BE518" s="199" t="str">
        <f>IFERROR(W518/VLOOKUP($G518,нормы!$A$14:$BI$57,45,0),"")</f>
        <v/>
      </c>
    </row>
    <row r="519" spans="1:57" s="1" customFormat="1" ht="21" customHeight="1" thickBot="1" x14ac:dyDescent="0.45">
      <c r="A519" s="37" t="str">
        <f t="shared" si="206"/>
        <v>9Д</v>
      </c>
      <c r="B519" s="12">
        <f t="shared" si="209"/>
        <v>46031</v>
      </c>
      <c r="C519" s="97">
        <f t="shared" si="209"/>
        <v>0</v>
      </c>
      <c r="D519" s="97">
        <f t="shared" si="209"/>
        <v>2</v>
      </c>
      <c r="E519" s="54"/>
      <c r="F519" s="151" t="str">
        <f>IFERROR(VLOOKUP($G519,нормы!$A$14:$BC$57,2,0),"")</f>
        <v/>
      </c>
      <c r="G519" s="93"/>
      <c r="H519" s="63">
        <f t="shared" si="210"/>
        <v>0</v>
      </c>
      <c r="I519" s="153">
        <f>I515+I517</f>
        <v>0</v>
      </c>
      <c r="J519" s="334"/>
      <c r="K519" s="30">
        <f>IFERROR(VLOOKUP($G519,[1]нормы!$A$21:$BC$151,15,0),"")</f>
        <v>0</v>
      </c>
      <c r="L519" s="31">
        <f>IFERROR(VLOOKUP($G519,[1]нормы!$A$21:$BC$151,17,0),"")</f>
        <v>0</v>
      </c>
      <c r="M519" s="308">
        <f>IFERROR(VLOOKUP($G519,[1]нормы!$A$21:$BC$151,27,0),"")</f>
        <v>0</v>
      </c>
      <c r="N519" s="309" t="str">
        <f>IFERROR(Y519/Y520*(1.1*J514*I524),"")</f>
        <v/>
      </c>
      <c r="O519" s="300">
        <f>IFERROR(VLOOKUP($G519,[1]нормы!$A$21:$BC$151,21,0),"")</f>
        <v>0</v>
      </c>
      <c r="P519" s="35">
        <f>IFERROR(VLOOKUP($G519,[1]нормы!$A$21:$BC$151,19,0),"")</f>
        <v>0</v>
      </c>
      <c r="Q519" s="35">
        <f>IFERROR(VLOOKUP($G519,[1]нормы!$A$21:$BC$151,23,0),"")</f>
        <v>0</v>
      </c>
      <c r="R519" s="231">
        <f>IFERROR(VLOOKUP($G519,[1]нормы!$A$21:$BC$151,29,0),"")</f>
        <v>0</v>
      </c>
      <c r="S519" s="35">
        <f>IFERROR(VLOOKUP($G519,[1]нормы!$A$21:$BC$151,31,0),"")</f>
        <v>0</v>
      </c>
      <c r="T519" s="32">
        <f>IFERROR(VLOOKUP($G519,[1]нормы!$A$21:$BC$151,25,0),"")</f>
        <v>0</v>
      </c>
      <c r="U519" s="235" t="str">
        <f>IFERROR(W519/(((100*Y519/Y520)*I519)/100),"")</f>
        <v/>
      </c>
      <c r="V519" s="234" t="str">
        <f>IFERROR(VLOOKUP($G519,нормы!$A$14:$BC$57,38,0),"")</f>
        <v/>
      </c>
      <c r="W519" s="154"/>
      <c r="X519" s="238"/>
      <c r="Y519" s="152" t="str">
        <f>IFERROR(VLOOKUP($G519,нормы!$A$14:$BC$57,42,0)*W519,"")</f>
        <v/>
      </c>
      <c r="Z519" s="163">
        <f>IFERROR(VLOOKUP($G519,нормы!$A$14:$BC$57,14,0)*W519/1000,0)</f>
        <v>0</v>
      </c>
      <c r="AA519" s="56"/>
      <c r="AB519" s="58"/>
      <c r="AC519" s="58"/>
      <c r="AD519" s="58"/>
      <c r="AE519" s="57"/>
      <c r="AF519" s="161"/>
      <c r="AG519" s="392"/>
      <c r="AH519" s="395"/>
      <c r="AI519" s="398"/>
      <c r="AJ519" s="409"/>
      <c r="AK519" s="361"/>
      <c r="AL519" s="361"/>
      <c r="AM519" s="361"/>
      <c r="AN519" s="291">
        <f>IFERROR(Y519*AJ514/Y520,)</f>
        <v>0</v>
      </c>
      <c r="AO519" s="197" t="str">
        <f>IFERROR(VLOOKUP($G519,нормы!$A$14:$BC$57,53,0)*$W519,"")</f>
        <v/>
      </c>
      <c r="AP519" s="292">
        <f>IFERROR(Y519*AI514/Y520,)</f>
        <v>0</v>
      </c>
      <c r="AQ519" s="197" t="str">
        <f>IFERROR(VLOOKUP($G519,нормы!$A$14:$BC$57,54,0)*$W519,"")</f>
        <v/>
      </c>
      <c r="AR519" s="290">
        <f>IFERROR(AS519/SUM(AS514:AS519)*AL514,0)</f>
        <v>0</v>
      </c>
      <c r="AS519" s="197" t="str">
        <f>IFERROR(VLOOKUP($G519,нормы!$A$14:$BC$57,55,0)*W519,"")</f>
        <v/>
      </c>
      <c r="AT519" s="292">
        <f>IFERROR(AU519/SUM(AU514:AU519)*AM514,0)</f>
        <v>0</v>
      </c>
      <c r="AU519" s="197" t="str">
        <f>IFERROR(VLOOKUP($G519,нормы!$A$14:$BI$57,56,0)*W519,"")</f>
        <v/>
      </c>
      <c r="AV519" s="292">
        <f>IFERROR(AW519/SUM(AW514:AW519)*AK514,0)</f>
        <v>0</v>
      </c>
      <c r="AW519" s="202" t="str">
        <f>IFERROR(VLOOKUP($G519,нормы!$A$14:$BI$57,57,0)*W519,"")</f>
        <v/>
      </c>
      <c r="AX519" s="56"/>
      <c r="AY519" s="203" t="str">
        <f>IFERROR(VLOOKUP($G519,нормы!$A$14:$BI$57,58,0)*W519,"")</f>
        <v/>
      </c>
      <c r="AZ519" s="206"/>
      <c r="BA519" s="200" t="str">
        <f>IFERROR(VLOOKUP($G519,нормы!$A$14:$BI$57,61,0)*$W519,"")</f>
        <v/>
      </c>
      <c r="BB519" s="56"/>
      <c r="BC519" s="203" t="str">
        <f>IFERROR(VLOOKUP($G519,нормы!$A$14:$BI$57,60,0)*W519,"")</f>
        <v/>
      </c>
      <c r="BD519" s="200" t="str">
        <f>IFERROR(VLOOKUP($G519,нормы!$A$14:$BG$57,44,0),"")</f>
        <v/>
      </c>
      <c r="BE519" s="199" t="str">
        <f>IFERROR(W519/VLOOKUP($G519,нормы!$A$14:$BI$57,45,0),"")</f>
        <v/>
      </c>
    </row>
    <row r="520" spans="1:57" s="1" customFormat="1" ht="29.4" customHeight="1" thickBot="1" x14ac:dyDescent="0.45">
      <c r="A520" s="37" t="str">
        <f t="shared" si="206"/>
        <v>9Д</v>
      </c>
      <c r="B520" s="59"/>
      <c r="C520" s="51"/>
      <c r="D520" s="51"/>
      <c r="E520" s="51"/>
      <c r="F520" s="51"/>
      <c r="G520" s="51"/>
      <c r="H520" s="51"/>
      <c r="I520" s="60"/>
      <c r="J520" s="60"/>
      <c r="K520" s="319" t="s">
        <v>213</v>
      </c>
      <c r="L520" s="316"/>
      <c r="M520" s="303" t="s">
        <v>213</v>
      </c>
      <c r="N520" s="317">
        <f>SUM(N514:N519)</f>
        <v>0</v>
      </c>
      <c r="O520" s="304" t="s">
        <v>217</v>
      </c>
      <c r="P520" s="318">
        <f>N520*8.937/1000</f>
        <v>0</v>
      </c>
      <c r="Q520" s="305" t="s">
        <v>215</v>
      </c>
      <c r="R520" s="61"/>
      <c r="S520" s="61"/>
      <c r="T520" s="61"/>
      <c r="U520" s="109"/>
      <c r="V520" s="109"/>
      <c r="W520" s="94"/>
      <c r="X520" s="155"/>
      <c r="Y520" s="96">
        <f>SUM(Y514:Y519)</f>
        <v>0</v>
      </c>
      <c r="Z520" s="164">
        <f>SUM(Z514:Z519)</f>
        <v>0</v>
      </c>
      <c r="AA520" s="207">
        <f>(AA506+AA507+AA508+AA509+AA510+AA511+AA512+AA514+AA515+AA516+AA517+AA518+AA519)-AG507</f>
        <v>1</v>
      </c>
      <c r="AB520" s="208">
        <f>(AB506+AB507+AB508+AB509+AB510+AB511+AB512+AB514+AB515+AB516+AB517+AB518+AB519)-AH507</f>
        <v>2</v>
      </c>
      <c r="AC520" s="208">
        <f>(AC506+AC507+AC508+AC509+AC510+AC511+AC512+AC514+AC515+AC516+AC517+AC518+AC519)-AG514</f>
        <v>3</v>
      </c>
      <c r="AD520" s="208">
        <f>(AD506+AD507+AD508+AD509+AD510+AD511+AD512+AD514+AD515+AD516+AD517+AD518+AD519)-AH514</f>
        <v>4</v>
      </c>
      <c r="AE520" s="208">
        <f>(AE506+AE507+AE508+AE509+AE510+AE511+AE512+AE514+AE515+AE516+AE517+AE518+AE519)-AI507</f>
        <v>5</v>
      </c>
      <c r="AF520" s="209">
        <f>(AF506+AF507+AF508+AF509+AF510+AF511+AF512+AF514+AF515+AF516+AF517+AF518+AF519)-AI514</f>
        <v>6</v>
      </c>
      <c r="AG520" s="62"/>
      <c r="AH520" s="62"/>
      <c r="AI520" s="62"/>
      <c r="AJ520" s="62"/>
      <c r="AK520" s="62"/>
      <c r="AL520" s="62"/>
      <c r="AM520" s="62"/>
      <c r="AN520" s="91">
        <f>SUM(AN514:AN519)</f>
        <v>0</v>
      </c>
      <c r="AO520" s="91">
        <f>SUM(AO514:AO519)</f>
        <v>0</v>
      </c>
      <c r="AP520" s="91"/>
      <c r="AQ520" s="91"/>
      <c r="AR520" s="91">
        <f>SUM(AR514:AR519)</f>
        <v>0</v>
      </c>
      <c r="AS520" s="91">
        <f t="shared" ref="AS520:AW520" si="211">SUM(AS514:AS519)</f>
        <v>0</v>
      </c>
      <c r="AT520" s="91">
        <f t="shared" si="211"/>
        <v>0</v>
      </c>
      <c r="AU520" s="91">
        <f t="shared" si="211"/>
        <v>0</v>
      </c>
      <c r="AV520" s="91">
        <f t="shared" si="211"/>
        <v>0</v>
      </c>
      <c r="AW520" s="91">
        <f t="shared" si="211"/>
        <v>0</v>
      </c>
      <c r="AX520" s="91">
        <f>SUM(AX514:AX519)</f>
        <v>0</v>
      </c>
      <c r="AY520" s="91">
        <f>SUM(AY514:AY519)</f>
        <v>0</v>
      </c>
      <c r="AZ520" s="91">
        <f>SUM(AZ514:AZ519)</f>
        <v>0</v>
      </c>
      <c r="BA520" s="91"/>
      <c r="BB520" s="91"/>
      <c r="BC520" s="91"/>
      <c r="BD520" s="91" t="str">
        <f>IFERROR(VLOOKUP($G520,нормы!$A$14:$BG$15,27,0),"")</f>
        <v/>
      </c>
      <c r="BE520" s="53" t="str">
        <f>IFERROR(W520/VLOOKUP($G520,нормы!$A$14:$BI$15,28,0),"")</f>
        <v/>
      </c>
    </row>
    <row r="521" spans="1:57" s="1" customFormat="1" ht="29.4" customHeight="1" thickBot="1" x14ac:dyDescent="0.5">
      <c r="A521" s="37" t="str">
        <f t="shared" si="206"/>
        <v>9Д</v>
      </c>
      <c r="B521" s="166" t="s">
        <v>130</v>
      </c>
      <c r="C521" s="167"/>
      <c r="D521" s="167"/>
      <c r="E521" s="167"/>
      <c r="F521" s="165"/>
      <c r="G521" s="167"/>
      <c r="H521" s="167"/>
      <c r="I521" s="168"/>
      <c r="J521" s="168"/>
      <c r="K521" s="168"/>
      <c r="L521" s="168"/>
      <c r="M521" s="168"/>
      <c r="N521" s="168"/>
      <c r="O521" s="167"/>
      <c r="P521" s="169"/>
      <c r="Q521" s="169"/>
      <c r="R521" s="169"/>
      <c r="S521" s="169"/>
      <c r="T521" s="169"/>
      <c r="U521" s="170"/>
      <c r="V521" s="170"/>
      <c r="W521" s="171"/>
      <c r="X521" s="171"/>
      <c r="Y521" s="172"/>
      <c r="Z521" s="172"/>
      <c r="AA521" s="201" t="s">
        <v>144</v>
      </c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64"/>
      <c r="AN521" s="167"/>
      <c r="AO521" s="167"/>
      <c r="AP521" s="167"/>
      <c r="AQ521" s="167"/>
      <c r="AR521" s="64"/>
      <c r="AS521" s="64"/>
      <c r="AT521" s="65"/>
      <c r="AU521" s="64"/>
      <c r="AV521" s="49"/>
      <c r="AW521" s="49"/>
      <c r="AX521" s="167"/>
      <c r="AY521" s="167"/>
      <c r="AZ521" s="167"/>
      <c r="BA521" s="167"/>
      <c r="BB521" s="167"/>
      <c r="BC521" s="167"/>
      <c r="BD521" s="66"/>
      <c r="BE521" s="66"/>
    </row>
    <row r="522" spans="1:57" s="1" customFormat="1" ht="23.25" customHeight="1" x14ac:dyDescent="0.4">
      <c r="A522" s="37" t="str">
        <f t="shared" si="206"/>
        <v>9Д</v>
      </c>
      <c r="B522" s="183"/>
      <c r="C522" s="100"/>
      <c r="D522" s="185"/>
      <c r="E522" s="186" t="s">
        <v>57</v>
      </c>
      <c r="F522" s="66" t="s">
        <v>87</v>
      </c>
      <c r="G522" s="66"/>
      <c r="H522" s="108" t="s">
        <v>131</v>
      </c>
      <c r="I522" s="101"/>
      <c r="J522" s="101"/>
      <c r="K522" s="101"/>
      <c r="L522" s="101"/>
      <c r="M522" s="101"/>
      <c r="N522" s="101"/>
      <c r="O522" s="67"/>
      <c r="P522" s="102"/>
      <c r="Q522" s="102"/>
      <c r="R522" s="102"/>
      <c r="S522" s="102"/>
      <c r="T522" s="102"/>
      <c r="U522" s="67"/>
      <c r="V522" s="67"/>
      <c r="W522" s="103"/>
      <c r="X522" s="187"/>
      <c r="Y522" s="68" t="s">
        <v>74</v>
      </c>
      <c r="Z522" s="69"/>
      <c r="AA522" s="90"/>
      <c r="AB522" s="100"/>
      <c r="AC522" s="100"/>
      <c r="AD522" s="186" t="s">
        <v>57</v>
      </c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190"/>
      <c r="AU522" s="66"/>
      <c r="AV522" s="165"/>
      <c r="AW522" s="293"/>
      <c r="AX522" s="66"/>
      <c r="AY522" s="66"/>
      <c r="AZ522" s="66"/>
      <c r="BA522" s="66"/>
      <c r="BB522" s="66"/>
      <c r="BC522" s="66"/>
      <c r="BD522" s="68" t="s">
        <v>74</v>
      </c>
      <c r="BE522" s="69"/>
    </row>
    <row r="523" spans="1:57" s="1" customFormat="1" ht="23.25" customHeight="1" thickBot="1" x14ac:dyDescent="0.45">
      <c r="A523" s="37" t="str">
        <f t="shared" si="206"/>
        <v>9Д</v>
      </c>
      <c r="B523" s="183"/>
      <c r="C523" s="41"/>
      <c r="D523" s="184"/>
      <c r="E523" s="50"/>
      <c r="F523" s="70"/>
      <c r="G523" s="70"/>
      <c r="H523" s="70"/>
      <c r="I523" s="104"/>
      <c r="J523" s="104"/>
      <c r="K523" s="104"/>
      <c r="L523" s="104"/>
      <c r="M523" s="104"/>
      <c r="N523" s="104"/>
      <c r="O523" s="71"/>
      <c r="P523" s="105"/>
      <c r="Q523" s="105"/>
      <c r="R523" s="105"/>
      <c r="S523" s="105"/>
      <c r="T523" s="105"/>
      <c r="U523" s="71"/>
      <c r="V523" s="71"/>
      <c r="W523" s="106"/>
      <c r="X523" s="188"/>
      <c r="Y523" s="72"/>
      <c r="Z523" s="73"/>
      <c r="AA523" s="90"/>
      <c r="AB523" s="41"/>
      <c r="AC523" s="41"/>
      <c r="AD523" s="50"/>
      <c r="AE523" s="47"/>
      <c r="AF523" s="47"/>
      <c r="AG523" s="47"/>
      <c r="AH523" s="47"/>
      <c r="AI523" s="47"/>
      <c r="AJ523" s="47"/>
      <c r="AK523" s="47"/>
      <c r="AL523" s="47"/>
      <c r="AM523" s="70"/>
      <c r="AN523" s="47"/>
      <c r="AO523" s="70"/>
      <c r="AP523" s="70"/>
      <c r="AQ523" s="70"/>
      <c r="AR523" s="70"/>
      <c r="AS523" s="70"/>
      <c r="AT523" s="191"/>
      <c r="AU523" s="70"/>
      <c r="AV523" s="192"/>
      <c r="AW523" s="294"/>
      <c r="AX523" s="70"/>
      <c r="AY523" s="70"/>
      <c r="AZ523" s="70"/>
      <c r="BA523" s="70"/>
      <c r="BB523" s="70"/>
      <c r="BC523" s="70"/>
      <c r="BD523" s="72"/>
      <c r="BE523" s="73"/>
    </row>
    <row r="524" spans="1:57" s="1" customFormat="1" ht="21.9" customHeight="1" x14ac:dyDescent="0.4">
      <c r="A524" s="37" t="str">
        <f t="shared" si="206"/>
        <v>9Д</v>
      </c>
      <c r="B524" s="183"/>
      <c r="C524" s="41"/>
      <c r="D524" s="184"/>
      <c r="E524" s="281">
        <f>B519</f>
        <v>46031</v>
      </c>
      <c r="F524" s="337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98">
        <v>1</v>
      </c>
      <c r="Y524" s="74">
        <v>1</v>
      </c>
      <c r="Z524" s="75">
        <f t="shared" ref="Z524:Z535" si="212">Y524-X524</f>
        <v>0</v>
      </c>
      <c r="AA524" s="189"/>
      <c r="AB524" s="41"/>
      <c r="AC524" s="184"/>
      <c r="AD524" s="210">
        <f>E524</f>
        <v>46031</v>
      </c>
      <c r="AE524" s="387"/>
      <c r="AF524" s="388"/>
      <c r="AG524" s="388"/>
      <c r="AH524" s="388"/>
      <c r="AI524" s="388"/>
      <c r="AJ524" s="388"/>
      <c r="AK524" s="388"/>
      <c r="AL524" s="388"/>
      <c r="AM524" s="388"/>
      <c r="AN524" s="388"/>
      <c r="AO524" s="388"/>
      <c r="AP524" s="388"/>
      <c r="AQ524" s="388"/>
      <c r="AR524" s="388"/>
      <c r="AS524" s="388"/>
      <c r="AT524" s="388"/>
      <c r="AU524" s="388"/>
      <c r="AV524" s="388"/>
      <c r="AW524" s="388"/>
      <c r="AX524" s="388"/>
      <c r="AY524" s="388"/>
      <c r="AZ524" s="388"/>
      <c r="BA524" s="388"/>
      <c r="BB524" s="389"/>
      <c r="BC524" s="98">
        <v>1</v>
      </c>
      <c r="BD524" s="74">
        <v>1</v>
      </c>
      <c r="BE524" s="75">
        <f t="shared" ref="BE524:BE535" si="213">BD524-BC524</f>
        <v>0</v>
      </c>
    </row>
    <row r="525" spans="1:57" s="1" customFormat="1" ht="18" customHeight="1" x14ac:dyDescent="0.4">
      <c r="A525" s="37" t="str">
        <f t="shared" si="206"/>
        <v>9Д</v>
      </c>
      <c r="B525" s="183"/>
      <c r="C525" s="41"/>
      <c r="D525" s="184"/>
      <c r="E525" s="282">
        <f>E524</f>
        <v>46031</v>
      </c>
      <c r="F525" s="335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  <c r="R525" s="336"/>
      <c r="S525" s="336"/>
      <c r="T525" s="336"/>
      <c r="U525" s="336"/>
      <c r="V525" s="336"/>
      <c r="W525" s="336"/>
      <c r="X525" s="98">
        <v>1</v>
      </c>
      <c r="Y525" s="74">
        <v>1</v>
      </c>
      <c r="Z525" s="75">
        <f t="shared" si="212"/>
        <v>0</v>
      </c>
      <c r="AA525" s="107">
        <f>AA524</f>
        <v>0</v>
      </c>
      <c r="AB525" s="41"/>
      <c r="AC525" s="184"/>
      <c r="AD525" s="212">
        <f>AD524</f>
        <v>46031</v>
      </c>
      <c r="AE525" s="387"/>
      <c r="AF525" s="388"/>
      <c r="AG525" s="388"/>
      <c r="AH525" s="388"/>
      <c r="AI525" s="388"/>
      <c r="AJ525" s="388"/>
      <c r="AK525" s="388"/>
      <c r="AL525" s="388"/>
      <c r="AM525" s="388"/>
      <c r="AN525" s="388"/>
      <c r="AO525" s="388"/>
      <c r="AP525" s="388"/>
      <c r="AQ525" s="388"/>
      <c r="AR525" s="388"/>
      <c r="AS525" s="388"/>
      <c r="AT525" s="388"/>
      <c r="AU525" s="388"/>
      <c r="AV525" s="388"/>
      <c r="AW525" s="388"/>
      <c r="AX525" s="388"/>
      <c r="AY525" s="388"/>
      <c r="AZ525" s="388"/>
      <c r="BA525" s="388"/>
      <c r="BB525" s="389"/>
      <c r="BC525" s="98">
        <v>1</v>
      </c>
      <c r="BD525" s="74">
        <v>1</v>
      </c>
      <c r="BE525" s="75">
        <f t="shared" si="213"/>
        <v>0</v>
      </c>
    </row>
    <row r="526" spans="1:57" s="1" customFormat="1" ht="18" customHeight="1" x14ac:dyDescent="0.4">
      <c r="A526" s="37" t="str">
        <f t="shared" si="206"/>
        <v>9Д</v>
      </c>
      <c r="B526" s="183"/>
      <c r="C526" s="41"/>
      <c r="D526" s="184"/>
      <c r="E526" s="282">
        <f t="shared" ref="E526:E535" si="214">E525</f>
        <v>46031</v>
      </c>
      <c r="F526" s="335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  <c r="R526" s="336"/>
      <c r="S526" s="336"/>
      <c r="T526" s="336"/>
      <c r="U526" s="336"/>
      <c r="V526" s="336"/>
      <c r="W526" s="336"/>
      <c r="X526" s="98">
        <v>1</v>
      </c>
      <c r="Y526" s="74">
        <v>1</v>
      </c>
      <c r="Z526" s="75">
        <f t="shared" si="212"/>
        <v>0</v>
      </c>
      <c r="AA526" s="107">
        <f>AA525</f>
        <v>0</v>
      </c>
      <c r="AB526" s="41"/>
      <c r="AC526" s="184"/>
      <c r="AD526" s="212">
        <f t="shared" ref="AD526:AD535" si="215">AD525</f>
        <v>46031</v>
      </c>
      <c r="AE526" s="387"/>
      <c r="AF526" s="388"/>
      <c r="AG526" s="388"/>
      <c r="AH526" s="388"/>
      <c r="AI526" s="388"/>
      <c r="AJ526" s="388"/>
      <c r="AK526" s="388"/>
      <c r="AL526" s="388"/>
      <c r="AM526" s="388"/>
      <c r="AN526" s="388"/>
      <c r="AO526" s="388"/>
      <c r="AP526" s="388"/>
      <c r="AQ526" s="388"/>
      <c r="AR526" s="388"/>
      <c r="AS526" s="388"/>
      <c r="AT526" s="388"/>
      <c r="AU526" s="388"/>
      <c r="AV526" s="388"/>
      <c r="AW526" s="388"/>
      <c r="AX526" s="388"/>
      <c r="AY526" s="388"/>
      <c r="AZ526" s="388"/>
      <c r="BA526" s="388"/>
      <c r="BB526" s="389"/>
      <c r="BC526" s="98">
        <v>1</v>
      </c>
      <c r="BD526" s="74">
        <v>1</v>
      </c>
      <c r="BE526" s="75">
        <f t="shared" si="213"/>
        <v>0</v>
      </c>
    </row>
    <row r="527" spans="1:57" s="1" customFormat="1" ht="18" customHeight="1" x14ac:dyDescent="0.4">
      <c r="A527" s="37" t="str">
        <f t="shared" si="206"/>
        <v>9Д</v>
      </c>
      <c r="B527" s="183"/>
      <c r="C527" s="41"/>
      <c r="D527" s="184"/>
      <c r="E527" s="282">
        <f t="shared" si="214"/>
        <v>46031</v>
      </c>
      <c r="F527" s="335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  <c r="R527" s="336"/>
      <c r="S527" s="336"/>
      <c r="T527" s="336"/>
      <c r="U527" s="336"/>
      <c r="V527" s="336"/>
      <c r="W527" s="336"/>
      <c r="X527" s="98">
        <v>1</v>
      </c>
      <c r="Y527" s="74">
        <v>1</v>
      </c>
      <c r="Z527" s="75">
        <f t="shared" si="212"/>
        <v>0</v>
      </c>
      <c r="AA527" s="107">
        <f t="shared" ref="AA527:AA535" si="216">AA526</f>
        <v>0</v>
      </c>
      <c r="AB527" s="41"/>
      <c r="AC527" s="184"/>
      <c r="AD527" s="212">
        <f t="shared" si="215"/>
        <v>46031</v>
      </c>
      <c r="AE527" s="387"/>
      <c r="AF527" s="388"/>
      <c r="AG527" s="388"/>
      <c r="AH527" s="388"/>
      <c r="AI527" s="388"/>
      <c r="AJ527" s="388"/>
      <c r="AK527" s="388"/>
      <c r="AL527" s="388"/>
      <c r="AM527" s="388"/>
      <c r="AN527" s="388"/>
      <c r="AO527" s="388"/>
      <c r="AP527" s="388"/>
      <c r="AQ527" s="388"/>
      <c r="AR527" s="388"/>
      <c r="AS527" s="388"/>
      <c r="AT527" s="388"/>
      <c r="AU527" s="388"/>
      <c r="AV527" s="388"/>
      <c r="AW527" s="388"/>
      <c r="AX527" s="388"/>
      <c r="AY527" s="388"/>
      <c r="AZ527" s="388"/>
      <c r="BA527" s="388"/>
      <c r="BB527" s="389"/>
      <c r="BC527" s="98">
        <v>1</v>
      </c>
      <c r="BD527" s="74">
        <v>1</v>
      </c>
      <c r="BE527" s="75">
        <f t="shared" si="213"/>
        <v>0</v>
      </c>
    </row>
    <row r="528" spans="1:57" s="1" customFormat="1" ht="18" customHeight="1" x14ac:dyDescent="0.4">
      <c r="A528" s="37" t="str">
        <f t="shared" si="206"/>
        <v>9Д</v>
      </c>
      <c r="B528" s="183"/>
      <c r="C528" s="41"/>
      <c r="D528" s="184"/>
      <c r="E528" s="282">
        <f t="shared" si="214"/>
        <v>46031</v>
      </c>
      <c r="F528" s="335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  <c r="R528" s="336"/>
      <c r="S528" s="336"/>
      <c r="T528" s="336"/>
      <c r="U528" s="336"/>
      <c r="V528" s="336"/>
      <c r="W528" s="336"/>
      <c r="X528" s="98">
        <v>1</v>
      </c>
      <c r="Y528" s="74">
        <v>1</v>
      </c>
      <c r="Z528" s="75">
        <f t="shared" si="212"/>
        <v>0</v>
      </c>
      <c r="AA528" s="107">
        <f t="shared" si="216"/>
        <v>0</v>
      </c>
      <c r="AB528" s="41"/>
      <c r="AC528" s="184"/>
      <c r="AD528" s="212">
        <f t="shared" si="215"/>
        <v>46031</v>
      </c>
      <c r="AE528" s="387"/>
      <c r="AF528" s="388"/>
      <c r="AG528" s="388"/>
      <c r="AH528" s="388"/>
      <c r="AI528" s="388"/>
      <c r="AJ528" s="388"/>
      <c r="AK528" s="388"/>
      <c r="AL528" s="388"/>
      <c r="AM528" s="388"/>
      <c r="AN528" s="388"/>
      <c r="AO528" s="388"/>
      <c r="AP528" s="388"/>
      <c r="AQ528" s="388"/>
      <c r="AR528" s="388"/>
      <c r="AS528" s="388"/>
      <c r="AT528" s="388"/>
      <c r="AU528" s="388"/>
      <c r="AV528" s="388"/>
      <c r="AW528" s="388"/>
      <c r="AX528" s="388"/>
      <c r="AY528" s="388"/>
      <c r="AZ528" s="388"/>
      <c r="BA528" s="388"/>
      <c r="BB528" s="389"/>
      <c r="BC528" s="98">
        <v>1</v>
      </c>
      <c r="BD528" s="74">
        <v>1</v>
      </c>
      <c r="BE528" s="75">
        <f t="shared" si="213"/>
        <v>0</v>
      </c>
    </row>
    <row r="529" spans="1:57" s="1" customFormat="1" ht="18" customHeight="1" x14ac:dyDescent="0.4">
      <c r="A529" s="37" t="str">
        <f t="shared" si="206"/>
        <v>9Д</v>
      </c>
      <c r="B529" s="183"/>
      <c r="C529" s="41"/>
      <c r="D529" s="184"/>
      <c r="E529" s="282">
        <f t="shared" si="214"/>
        <v>46031</v>
      </c>
      <c r="F529" s="335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  <c r="R529" s="336"/>
      <c r="S529" s="336"/>
      <c r="T529" s="336"/>
      <c r="U529" s="336"/>
      <c r="V529" s="336"/>
      <c r="W529" s="336"/>
      <c r="X529" s="98">
        <v>1</v>
      </c>
      <c r="Y529" s="74">
        <v>1</v>
      </c>
      <c r="Z529" s="75">
        <f t="shared" si="212"/>
        <v>0</v>
      </c>
      <c r="AA529" s="107">
        <f t="shared" si="216"/>
        <v>0</v>
      </c>
      <c r="AB529" s="41"/>
      <c r="AC529" s="184"/>
      <c r="AD529" s="212">
        <f t="shared" si="215"/>
        <v>46031</v>
      </c>
      <c r="AE529" s="387"/>
      <c r="AF529" s="388"/>
      <c r="AG529" s="388"/>
      <c r="AH529" s="388"/>
      <c r="AI529" s="388"/>
      <c r="AJ529" s="388"/>
      <c r="AK529" s="388"/>
      <c r="AL529" s="388"/>
      <c r="AM529" s="388"/>
      <c r="AN529" s="388"/>
      <c r="AO529" s="388"/>
      <c r="AP529" s="388"/>
      <c r="AQ529" s="388"/>
      <c r="AR529" s="388"/>
      <c r="AS529" s="388"/>
      <c r="AT529" s="388"/>
      <c r="AU529" s="388"/>
      <c r="AV529" s="388"/>
      <c r="AW529" s="388"/>
      <c r="AX529" s="388"/>
      <c r="AY529" s="388"/>
      <c r="AZ529" s="388"/>
      <c r="BA529" s="388"/>
      <c r="BB529" s="389"/>
      <c r="BC529" s="98">
        <v>1</v>
      </c>
      <c r="BD529" s="74">
        <v>1</v>
      </c>
      <c r="BE529" s="75">
        <f t="shared" si="213"/>
        <v>0</v>
      </c>
    </row>
    <row r="530" spans="1:57" s="1" customFormat="1" ht="18" customHeight="1" x14ac:dyDescent="0.4">
      <c r="A530" s="37" t="str">
        <f t="shared" si="206"/>
        <v>9Д</v>
      </c>
      <c r="B530" s="183"/>
      <c r="C530" s="41"/>
      <c r="D530" s="184"/>
      <c r="E530" s="282">
        <f t="shared" si="214"/>
        <v>46031</v>
      </c>
      <c r="F530" s="335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  <c r="R530" s="336"/>
      <c r="S530" s="336"/>
      <c r="T530" s="336"/>
      <c r="U530" s="336"/>
      <c r="V530" s="336"/>
      <c r="W530" s="336"/>
      <c r="X530" s="98">
        <v>1</v>
      </c>
      <c r="Y530" s="74">
        <v>1</v>
      </c>
      <c r="Z530" s="75">
        <f t="shared" si="212"/>
        <v>0</v>
      </c>
      <c r="AA530" s="107">
        <f t="shared" si="216"/>
        <v>0</v>
      </c>
      <c r="AB530" s="41"/>
      <c r="AC530" s="184"/>
      <c r="AD530" s="212">
        <f t="shared" si="215"/>
        <v>46031</v>
      </c>
      <c r="AE530" s="387"/>
      <c r="AF530" s="388"/>
      <c r="AG530" s="388"/>
      <c r="AH530" s="388"/>
      <c r="AI530" s="388"/>
      <c r="AJ530" s="388"/>
      <c r="AK530" s="388"/>
      <c r="AL530" s="388"/>
      <c r="AM530" s="388"/>
      <c r="AN530" s="388"/>
      <c r="AO530" s="388"/>
      <c r="AP530" s="388"/>
      <c r="AQ530" s="388"/>
      <c r="AR530" s="388"/>
      <c r="AS530" s="388"/>
      <c r="AT530" s="388"/>
      <c r="AU530" s="388"/>
      <c r="AV530" s="388"/>
      <c r="AW530" s="388"/>
      <c r="AX530" s="388"/>
      <c r="AY530" s="388"/>
      <c r="AZ530" s="388"/>
      <c r="BA530" s="388"/>
      <c r="BB530" s="389"/>
      <c r="BC530" s="98">
        <v>1</v>
      </c>
      <c r="BD530" s="74">
        <v>1</v>
      </c>
      <c r="BE530" s="75">
        <f t="shared" si="213"/>
        <v>0</v>
      </c>
    </row>
    <row r="531" spans="1:57" s="1" customFormat="1" ht="18" customHeight="1" x14ac:dyDescent="0.4">
      <c r="A531" s="37" t="str">
        <f t="shared" si="206"/>
        <v>9Д</v>
      </c>
      <c r="B531" s="183"/>
      <c r="C531" s="41"/>
      <c r="D531" s="184"/>
      <c r="E531" s="282">
        <f t="shared" si="214"/>
        <v>46031</v>
      </c>
      <c r="F531" s="335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  <c r="R531" s="336"/>
      <c r="S531" s="336"/>
      <c r="T531" s="336"/>
      <c r="U531" s="336"/>
      <c r="V531" s="336"/>
      <c r="W531" s="336"/>
      <c r="X531" s="98">
        <v>1</v>
      </c>
      <c r="Y531" s="74">
        <v>1</v>
      </c>
      <c r="Z531" s="75">
        <f t="shared" si="212"/>
        <v>0</v>
      </c>
      <c r="AA531" s="107">
        <f t="shared" si="216"/>
        <v>0</v>
      </c>
      <c r="AB531" s="41"/>
      <c r="AC531" s="184"/>
      <c r="AD531" s="212">
        <f t="shared" si="215"/>
        <v>46031</v>
      </c>
      <c r="AE531" s="387"/>
      <c r="AF531" s="388"/>
      <c r="AG531" s="388"/>
      <c r="AH531" s="388"/>
      <c r="AI531" s="388"/>
      <c r="AJ531" s="388"/>
      <c r="AK531" s="388"/>
      <c r="AL531" s="388"/>
      <c r="AM531" s="388"/>
      <c r="AN531" s="388"/>
      <c r="AO531" s="388"/>
      <c r="AP531" s="388"/>
      <c r="AQ531" s="388"/>
      <c r="AR531" s="388"/>
      <c r="AS531" s="388"/>
      <c r="AT531" s="388"/>
      <c r="AU531" s="388"/>
      <c r="AV531" s="388"/>
      <c r="AW531" s="388"/>
      <c r="AX531" s="388"/>
      <c r="AY531" s="388"/>
      <c r="AZ531" s="388"/>
      <c r="BA531" s="388"/>
      <c r="BB531" s="389"/>
      <c r="BC531" s="98">
        <v>1</v>
      </c>
      <c r="BD531" s="74">
        <v>1</v>
      </c>
      <c r="BE531" s="75">
        <f t="shared" si="213"/>
        <v>0</v>
      </c>
    </row>
    <row r="532" spans="1:57" s="1" customFormat="1" ht="18" customHeight="1" x14ac:dyDescent="0.4">
      <c r="A532" s="37" t="str">
        <f t="shared" si="206"/>
        <v>9Д</v>
      </c>
      <c r="B532" s="183"/>
      <c r="C532" s="41"/>
      <c r="D532" s="184"/>
      <c r="E532" s="282">
        <f t="shared" si="214"/>
        <v>46031</v>
      </c>
      <c r="F532" s="335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  <c r="R532" s="336"/>
      <c r="S532" s="336"/>
      <c r="T532" s="336"/>
      <c r="U532" s="336"/>
      <c r="V532" s="336"/>
      <c r="W532" s="336"/>
      <c r="X532" s="98">
        <v>1</v>
      </c>
      <c r="Y532" s="74">
        <v>1</v>
      </c>
      <c r="Z532" s="75">
        <f t="shared" si="212"/>
        <v>0</v>
      </c>
      <c r="AA532" s="107">
        <f t="shared" si="216"/>
        <v>0</v>
      </c>
      <c r="AB532" s="41"/>
      <c r="AC532" s="184"/>
      <c r="AD532" s="212">
        <f t="shared" si="215"/>
        <v>46031</v>
      </c>
      <c r="AE532" s="387"/>
      <c r="AF532" s="388"/>
      <c r="AG532" s="388"/>
      <c r="AH532" s="388"/>
      <c r="AI532" s="388"/>
      <c r="AJ532" s="388"/>
      <c r="AK532" s="388"/>
      <c r="AL532" s="388"/>
      <c r="AM532" s="388"/>
      <c r="AN532" s="388"/>
      <c r="AO532" s="388"/>
      <c r="AP532" s="388"/>
      <c r="AQ532" s="388"/>
      <c r="AR532" s="388"/>
      <c r="AS532" s="388"/>
      <c r="AT532" s="388"/>
      <c r="AU532" s="388"/>
      <c r="AV532" s="388"/>
      <c r="AW532" s="388"/>
      <c r="AX532" s="388"/>
      <c r="AY532" s="388"/>
      <c r="AZ532" s="388"/>
      <c r="BA532" s="388"/>
      <c r="BB532" s="389"/>
      <c r="BC532" s="98">
        <v>1</v>
      </c>
      <c r="BD532" s="74">
        <v>1</v>
      </c>
      <c r="BE532" s="75">
        <f t="shared" si="213"/>
        <v>0</v>
      </c>
    </row>
    <row r="533" spans="1:57" s="1" customFormat="1" ht="18" customHeight="1" x14ac:dyDescent="0.4">
      <c r="A533" s="37" t="str">
        <f t="shared" si="206"/>
        <v>9Д</v>
      </c>
      <c r="B533" s="183"/>
      <c r="C533" s="41"/>
      <c r="D533" s="184"/>
      <c r="E533" s="282">
        <f t="shared" si="214"/>
        <v>46031</v>
      </c>
      <c r="F533" s="335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  <c r="R533" s="336"/>
      <c r="S533" s="336"/>
      <c r="T533" s="336"/>
      <c r="U533" s="336"/>
      <c r="V533" s="336"/>
      <c r="W533" s="336"/>
      <c r="X533" s="98">
        <v>1</v>
      </c>
      <c r="Y533" s="74">
        <v>1</v>
      </c>
      <c r="Z533" s="75">
        <f t="shared" si="212"/>
        <v>0</v>
      </c>
      <c r="AA533" s="107">
        <f t="shared" si="216"/>
        <v>0</v>
      </c>
      <c r="AB533" s="41"/>
      <c r="AC533" s="184"/>
      <c r="AD533" s="212">
        <f t="shared" si="215"/>
        <v>46031</v>
      </c>
      <c r="AE533" s="387"/>
      <c r="AF533" s="388"/>
      <c r="AG533" s="388"/>
      <c r="AH533" s="388"/>
      <c r="AI533" s="388"/>
      <c r="AJ533" s="388"/>
      <c r="AK533" s="388"/>
      <c r="AL533" s="388"/>
      <c r="AM533" s="388"/>
      <c r="AN533" s="388"/>
      <c r="AO533" s="388"/>
      <c r="AP533" s="388"/>
      <c r="AQ533" s="388"/>
      <c r="AR533" s="388"/>
      <c r="AS533" s="388"/>
      <c r="AT533" s="388"/>
      <c r="AU533" s="388"/>
      <c r="AV533" s="388"/>
      <c r="AW533" s="388"/>
      <c r="AX533" s="388"/>
      <c r="AY533" s="388"/>
      <c r="AZ533" s="388"/>
      <c r="BA533" s="388"/>
      <c r="BB533" s="389"/>
      <c r="BC533" s="98">
        <v>1</v>
      </c>
      <c r="BD533" s="74">
        <v>1</v>
      </c>
      <c r="BE533" s="75">
        <f t="shared" si="213"/>
        <v>0</v>
      </c>
    </row>
    <row r="534" spans="1:57" s="1" customFormat="1" ht="18" customHeight="1" x14ac:dyDescent="0.4">
      <c r="A534" s="37" t="str">
        <f t="shared" si="206"/>
        <v>9Д</v>
      </c>
      <c r="B534" s="183"/>
      <c r="C534" s="41"/>
      <c r="D534" s="184"/>
      <c r="E534" s="282">
        <f t="shared" si="214"/>
        <v>46031</v>
      </c>
      <c r="F534" s="335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  <c r="R534" s="336"/>
      <c r="S534" s="336"/>
      <c r="T534" s="336"/>
      <c r="U534" s="336"/>
      <c r="V534" s="336"/>
      <c r="W534" s="336"/>
      <c r="X534" s="98">
        <v>1</v>
      </c>
      <c r="Y534" s="74">
        <v>1</v>
      </c>
      <c r="Z534" s="75">
        <f t="shared" si="212"/>
        <v>0</v>
      </c>
      <c r="AA534" s="107">
        <f t="shared" si="216"/>
        <v>0</v>
      </c>
      <c r="AB534" s="41"/>
      <c r="AC534" s="184"/>
      <c r="AD534" s="212">
        <f t="shared" si="215"/>
        <v>46031</v>
      </c>
      <c r="AE534" s="387"/>
      <c r="AF534" s="388"/>
      <c r="AG534" s="388"/>
      <c r="AH534" s="388"/>
      <c r="AI534" s="388"/>
      <c r="AJ534" s="388"/>
      <c r="AK534" s="388"/>
      <c r="AL534" s="388"/>
      <c r="AM534" s="388"/>
      <c r="AN534" s="388"/>
      <c r="AO534" s="388"/>
      <c r="AP534" s="388"/>
      <c r="AQ534" s="388"/>
      <c r="AR534" s="388"/>
      <c r="AS534" s="388"/>
      <c r="AT534" s="388"/>
      <c r="AU534" s="388"/>
      <c r="AV534" s="388"/>
      <c r="AW534" s="388"/>
      <c r="AX534" s="388"/>
      <c r="AY534" s="388"/>
      <c r="AZ534" s="388"/>
      <c r="BA534" s="388"/>
      <c r="BB534" s="389"/>
      <c r="BC534" s="98">
        <v>1</v>
      </c>
      <c r="BD534" s="74">
        <v>1</v>
      </c>
      <c r="BE534" s="75">
        <f t="shared" si="213"/>
        <v>0</v>
      </c>
    </row>
    <row r="535" spans="1:57" s="1" customFormat="1" ht="18" customHeight="1" thickBot="1" x14ac:dyDescent="0.45">
      <c r="A535" s="37" t="str">
        <f t="shared" si="206"/>
        <v>9Д</v>
      </c>
      <c r="B535" s="183"/>
      <c r="C535" s="41"/>
      <c r="D535" s="184"/>
      <c r="E535" s="283">
        <f t="shared" si="214"/>
        <v>46031</v>
      </c>
      <c r="F535" s="339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99">
        <v>1</v>
      </c>
      <c r="Y535" s="76">
        <v>1</v>
      </c>
      <c r="Z535" s="77">
        <f t="shared" si="212"/>
        <v>0</v>
      </c>
      <c r="AA535" s="107">
        <f t="shared" si="216"/>
        <v>0</v>
      </c>
      <c r="AB535" s="41"/>
      <c r="AC535" s="184"/>
      <c r="AD535" s="211">
        <f t="shared" si="215"/>
        <v>46031</v>
      </c>
      <c r="AE535" s="410"/>
      <c r="AF535" s="411"/>
      <c r="AG535" s="411"/>
      <c r="AH535" s="411"/>
      <c r="AI535" s="411"/>
      <c r="AJ535" s="411"/>
      <c r="AK535" s="411"/>
      <c r="AL535" s="411"/>
      <c r="AM535" s="411"/>
      <c r="AN535" s="411"/>
      <c r="AO535" s="411"/>
      <c r="AP535" s="411"/>
      <c r="AQ535" s="411"/>
      <c r="AR535" s="411"/>
      <c r="AS535" s="411"/>
      <c r="AT535" s="411"/>
      <c r="AU535" s="411"/>
      <c r="AV535" s="411"/>
      <c r="AW535" s="411"/>
      <c r="AX535" s="411"/>
      <c r="AY535" s="411"/>
      <c r="AZ535" s="411"/>
      <c r="BA535" s="411"/>
      <c r="BB535" s="412"/>
      <c r="BC535" s="99">
        <v>1</v>
      </c>
      <c r="BD535" s="76">
        <v>1</v>
      </c>
      <c r="BE535" s="75">
        <f t="shared" si="213"/>
        <v>0</v>
      </c>
    </row>
    <row r="536" spans="1:57" s="1" customFormat="1" ht="23.25" customHeight="1" thickBot="1" x14ac:dyDescent="0.45">
      <c r="A536" s="37" t="str">
        <f t="shared" si="206"/>
        <v>9Д</v>
      </c>
      <c r="B536" s="193"/>
      <c r="C536" s="47"/>
      <c r="D536" s="47"/>
      <c r="E536" s="47"/>
      <c r="F536" s="78"/>
      <c r="G536" s="78"/>
      <c r="H536" s="78"/>
      <c r="I536" s="80"/>
      <c r="J536" s="80"/>
      <c r="K536" s="80"/>
      <c r="L536" s="80"/>
      <c r="M536" s="80"/>
      <c r="N536" s="80"/>
      <c r="O536" s="78"/>
      <c r="P536" s="81"/>
      <c r="Q536" s="81"/>
      <c r="R536" s="81"/>
      <c r="S536" s="81"/>
      <c r="T536" s="81"/>
      <c r="U536" s="82"/>
      <c r="V536" s="82"/>
      <c r="W536" s="86"/>
      <c r="X536" s="194"/>
      <c r="Y536" s="83"/>
      <c r="Z536" s="83"/>
      <c r="AA536" s="78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84"/>
      <c r="AN536" s="47"/>
      <c r="AO536" s="78"/>
      <c r="AP536" s="78"/>
      <c r="AQ536" s="78"/>
      <c r="AR536" s="84"/>
      <c r="AS536" s="78"/>
      <c r="AT536" s="85"/>
      <c r="AU536" s="78"/>
      <c r="AV536" s="83"/>
      <c r="AW536" s="83"/>
      <c r="AX536" s="78"/>
      <c r="AY536" s="78"/>
      <c r="AZ536" s="78"/>
      <c r="BA536" s="78"/>
      <c r="BB536" s="78"/>
      <c r="BC536" s="78"/>
      <c r="BD536" s="79"/>
      <c r="BE536" s="79"/>
    </row>
    <row r="537" spans="1:57" s="1" customFormat="1" ht="21.6" customHeight="1" thickBot="1" x14ac:dyDescent="0.45">
      <c r="A537" s="37" t="s">
        <v>163</v>
      </c>
      <c r="B537" s="59"/>
      <c r="C537" s="51"/>
      <c r="D537" s="51"/>
      <c r="E537" s="51"/>
      <c r="F537" s="158" t="s">
        <v>220</v>
      </c>
      <c r="G537" s="51"/>
      <c r="H537" s="51"/>
      <c r="I537" s="156"/>
      <c r="J537" s="156"/>
      <c r="K537" s="156"/>
      <c r="L537" s="156"/>
      <c r="M537" s="156"/>
      <c r="N537" s="156"/>
      <c r="O537" s="91"/>
      <c r="P537" s="52"/>
      <c r="Q537" s="52"/>
      <c r="R537" s="52"/>
      <c r="S537" s="52"/>
      <c r="T537" s="52"/>
      <c r="U537" s="157"/>
      <c r="V537" s="157"/>
      <c r="W537" s="94"/>
      <c r="X537" s="94"/>
      <c r="Y537" s="51"/>
      <c r="Z537" s="51"/>
      <c r="AA537" s="157">
        <f>AA520</f>
        <v>1</v>
      </c>
      <c r="AB537" s="157">
        <f t="shared" ref="AB537:AF537" si="217">AB520</f>
        <v>2</v>
      </c>
      <c r="AC537" s="157">
        <f t="shared" si="217"/>
        <v>3</v>
      </c>
      <c r="AD537" s="157">
        <f t="shared" si="217"/>
        <v>4</v>
      </c>
      <c r="AE537" s="157">
        <f t="shared" si="217"/>
        <v>5</v>
      </c>
      <c r="AF537" s="157">
        <f t="shared" si="217"/>
        <v>6</v>
      </c>
      <c r="AG537" s="162" t="s">
        <v>123</v>
      </c>
      <c r="AH537" s="162" t="s">
        <v>124</v>
      </c>
      <c r="AI537" s="162" t="s">
        <v>125</v>
      </c>
      <c r="AJ537" s="91" t="s">
        <v>126</v>
      </c>
      <c r="AK537" s="198" t="s">
        <v>136</v>
      </c>
      <c r="AL537" s="198" t="s">
        <v>137</v>
      </c>
      <c r="AM537" s="198" t="s">
        <v>138</v>
      </c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</row>
    <row r="538" spans="1:57" s="1" customFormat="1" ht="21.6" customHeight="1" x14ac:dyDescent="0.4">
      <c r="A538" s="37" t="str">
        <f>A537</f>
        <v>9Н</v>
      </c>
      <c r="B538" s="12">
        <f>B519</f>
        <v>46031</v>
      </c>
      <c r="C538" s="97"/>
      <c r="D538" s="97">
        <v>1</v>
      </c>
      <c r="E538" s="29"/>
      <c r="F538" s="151" t="str">
        <f>IFERROR(VLOOKUP($G538,нормы!$A$14:$BC$57,2,0),"")</f>
        <v/>
      </c>
      <c r="G538" s="93"/>
      <c r="H538" s="54">
        <f>IF(C538=1,"Кульков С.А.", IF(C538=2,"Чудаков А.А.",IF(C538=3,"Королев В.Н.",IF(C538=4,"Николашин М.П.",IF(C538=5," Кульков С.А.",IF(C538=6,"А.А. Чудаков",IF(C538=7,"В.Н. Королев",IF(C538=8,"М.П. Николашин",0))))))))</f>
        <v>0</v>
      </c>
      <c r="I538" s="88" t="s">
        <v>84</v>
      </c>
      <c r="J538" s="332"/>
      <c r="K538" s="30">
        <f>IFERROR(VLOOKUP($G538,[1]нормы!$A$21:$BC$151,15,0),"")</f>
        <v>0</v>
      </c>
      <c r="L538" s="31">
        <f>IFERROR(VLOOKUP($G538,[1]нормы!$A$21:$BC$151,17,0),"")</f>
        <v>0</v>
      </c>
      <c r="M538" s="310">
        <f>IFERROR(VLOOKUP($G538,[1]нормы!$A$21:$BC$151,27,0),"")</f>
        <v>0</v>
      </c>
      <c r="N538" s="311" t="str">
        <f>IFERROR(Y538/Y544*(1.1*J538*I543),"")</f>
        <v/>
      </c>
      <c r="O538" s="300">
        <f>IFERROR(VLOOKUP($G538,[1]нормы!$A$21:$BC$151,21,0),"")</f>
        <v>0</v>
      </c>
      <c r="P538" s="35">
        <f>IFERROR(VLOOKUP($G538,[1]нормы!$A$21:$BC$151,19,0),"")</f>
        <v>0</v>
      </c>
      <c r="Q538" s="35">
        <f>IFERROR(VLOOKUP($G538,[1]нормы!$A$21:$BC$151,23,0),"")</f>
        <v>0</v>
      </c>
      <c r="R538" s="231">
        <f>IFERROR(VLOOKUP($G538,[1]нормы!$A$21:$BC$151,29,0),"")</f>
        <v>0</v>
      </c>
      <c r="S538" s="35">
        <f>IFERROR(VLOOKUP($G538,[1]нормы!$A$21:$BC$151,31,0),"")</f>
        <v>0</v>
      </c>
      <c r="T538" s="32">
        <f>IFERROR(VLOOKUP($G538,[1]нормы!$A$21:$BC$151,25,0),"")</f>
        <v>0</v>
      </c>
      <c r="U538" s="232" t="str">
        <f>IFERROR(W538/(((100*Y538/Y544)*I543)/100),"")</f>
        <v/>
      </c>
      <c r="V538" s="234" t="str">
        <f>IFERROR(VLOOKUP($G538,нормы!$A$14:$BC$57,38,0),"")</f>
        <v/>
      </c>
      <c r="W538" s="136"/>
      <c r="X538" s="236"/>
      <c r="Y538" s="152" t="str">
        <f>IFERROR(VLOOKUP($G538,нормы!$A$14:$BC$57,42,0)*W538,"")</f>
        <v/>
      </c>
      <c r="Z538" s="163">
        <f>IFERROR(VLOOKUP($G538,нормы!$A$14:$BC$57,14,0)*W538/1000,0)</f>
        <v>0</v>
      </c>
      <c r="AA538" s="33"/>
      <c r="AB538" s="36"/>
      <c r="AC538" s="36"/>
      <c r="AD538" s="36"/>
      <c r="AE538" s="34"/>
      <c r="AF538" s="159"/>
      <c r="AG538" s="390"/>
      <c r="AH538" s="393"/>
      <c r="AI538" s="396"/>
      <c r="AJ538" s="407">
        <f>AG538+AH538</f>
        <v>0</v>
      </c>
      <c r="AK538" s="359"/>
      <c r="AL538" s="359"/>
      <c r="AM538" s="359"/>
      <c r="AN538" s="287">
        <f>IFERROR(Y538*AJ538/Y544,)</f>
        <v>0</v>
      </c>
      <c r="AO538" s="197" t="str">
        <f>IFERROR(VLOOKUP($G538,нормы!$A$14:$BC$57,53,0)*$W538,"")</f>
        <v/>
      </c>
      <c r="AP538" s="288">
        <f>IFERROR(Y538*AI538/Y544,)</f>
        <v>0</v>
      </c>
      <c r="AQ538" s="197" t="str">
        <f>IFERROR(VLOOKUP($G538,нормы!$A$14:$BC$57,54,0)*$W538,"")</f>
        <v/>
      </c>
      <c r="AR538" s="288">
        <f>IFERROR(AS538/SUM(AS538:AS543)*AL538,0)</f>
        <v>0</v>
      </c>
      <c r="AS538" s="197" t="str">
        <f>IFERROR(VLOOKUP($G538,нормы!$A$14:$BC$57,55,0)*W538,"")</f>
        <v/>
      </c>
      <c r="AT538" s="288">
        <f>IFERROR(AU538/SUM(AU538:AU543)*AM538,0)</f>
        <v>0</v>
      </c>
      <c r="AU538" s="197" t="str">
        <f>IFERROR(VLOOKUP($G538,нормы!$A$14:$BI$57,56,0)*W538,"")</f>
        <v/>
      </c>
      <c r="AV538" s="288">
        <f>IFERROR(AW538/SUM(AW538:AW543)*AK538,0)</f>
        <v>0</v>
      </c>
      <c r="AW538" s="202" t="str">
        <f>IFERROR(VLOOKUP($G538,нормы!$A$14:$BI$57,57,0)*W538,"")</f>
        <v/>
      </c>
      <c r="AX538" s="33"/>
      <c r="AY538" s="203" t="str">
        <f>IFERROR(VLOOKUP($G538,нормы!$A$14:$BI$57,58,0)*W538,"")</f>
        <v/>
      </c>
      <c r="AZ538" s="204"/>
      <c r="BA538" s="200" t="str">
        <f>IFERROR(VLOOKUP($G538,нормы!$A$14:$BI$57,61,0)*$W538,"")</f>
        <v/>
      </c>
      <c r="BB538" s="33"/>
      <c r="BC538" s="203" t="str">
        <f>IFERROR(VLOOKUP($G538,нормы!$A$14:$BI$57,60,0)*W538,"")</f>
        <v/>
      </c>
      <c r="BD538" s="200" t="str">
        <f>IFERROR(VLOOKUP($G538,нормы!$A$14:$BG$57,44,0),"")</f>
        <v/>
      </c>
      <c r="BE538" s="199" t="str">
        <f>IFERROR(W538/VLOOKUP($G538,нормы!$A$14:$BI$57,45,0),"")</f>
        <v/>
      </c>
    </row>
    <row r="539" spans="1:57" s="1" customFormat="1" ht="21.6" customHeight="1" x14ac:dyDescent="0.4">
      <c r="A539" s="37" t="str">
        <f t="shared" ref="A539:A567" si="218">A538</f>
        <v>9Н</v>
      </c>
      <c r="B539" s="12">
        <f t="shared" ref="B539:D543" si="219">B538</f>
        <v>46031</v>
      </c>
      <c r="C539" s="97">
        <f t="shared" si="219"/>
        <v>0</v>
      </c>
      <c r="D539" s="97">
        <f t="shared" si="219"/>
        <v>1</v>
      </c>
      <c r="E539" s="54"/>
      <c r="F539" s="151" t="str">
        <f>IFERROR(VLOOKUP($G539,нормы!$A$14:$BC$57,2,0),"")</f>
        <v/>
      </c>
      <c r="G539" s="93"/>
      <c r="H539" s="54">
        <f t="shared" ref="H539:H543" si="220">IF(C539=1,"Кульков С.А.", IF(C539=2,"Чудаков А.А.",IF(C539=3,"Королев В.Н.",IF(C539=4,"Николашин М.П.",IF(C539=5," Кульков С.А.",IF(C539=6,"А.А. Чудаков",IF(C539=7,"В.Н. Королев",IF(C539=8,"М.П. Николашин",0))))))))</f>
        <v>0</v>
      </c>
      <c r="I539" s="55"/>
      <c r="J539" s="333"/>
      <c r="K539" s="30">
        <f>IFERROR(VLOOKUP($G539,[1]нормы!$A$21:$BC$151,15,0),"")</f>
        <v>0</v>
      </c>
      <c r="L539" s="31">
        <f>IFERROR(VLOOKUP($G539,[1]нормы!$A$21:$BC$151,17,0),"")</f>
        <v>0</v>
      </c>
      <c r="M539" s="306">
        <f>IFERROR(VLOOKUP($G539,[1]нормы!$A$21:$BC$151,27,0),"")</f>
        <v>0</v>
      </c>
      <c r="N539" s="307" t="str">
        <f>IFERROR(Y539/Y544*(1.1*J538*I543),"")</f>
        <v/>
      </c>
      <c r="O539" s="300">
        <f>IFERROR(VLOOKUP($G539,[1]нормы!$A$21:$BC$151,21,0),"")</f>
        <v>0</v>
      </c>
      <c r="P539" s="35">
        <f>IFERROR(VLOOKUP($G539,[1]нормы!$A$21:$BC$151,19,0),"")</f>
        <v>0</v>
      </c>
      <c r="Q539" s="35">
        <f>IFERROR(VLOOKUP($G539,[1]нормы!$A$21:$BC$151,23,0),"")</f>
        <v>0</v>
      </c>
      <c r="R539" s="231">
        <f>IFERROR(VLOOKUP($G539,[1]нормы!$A$21:$BC$151,29,0),"")</f>
        <v>0</v>
      </c>
      <c r="S539" s="35">
        <f>IFERROR(VLOOKUP($G539,[1]нормы!$A$21:$BC$151,31,0),"")</f>
        <v>0</v>
      </c>
      <c r="T539" s="32">
        <f>IFERROR(VLOOKUP($G539,[1]нормы!$A$21:$BC$151,25,0),"")</f>
        <v>0</v>
      </c>
      <c r="U539" s="233" t="str">
        <f>IFERROR(W539/(((100*Y539/Y544)*I543)/100),"")</f>
        <v/>
      </c>
      <c r="V539" s="234" t="str">
        <f>IFERROR(VLOOKUP($G539,нормы!$A$14:$BC$57,38,0),"")</f>
        <v/>
      </c>
      <c r="W539" s="136"/>
      <c r="X539" s="237"/>
      <c r="Y539" s="152" t="str">
        <f>IFERROR(VLOOKUP($G539,нормы!$A$14:$BC$57,42,0)*W539,"")</f>
        <v/>
      </c>
      <c r="Z539" s="163">
        <f>IFERROR(VLOOKUP($G539,нормы!$A$14:$BC$57,14,0)*W539/1000,0)</f>
        <v>0</v>
      </c>
      <c r="AA539" s="142"/>
      <c r="AB539" s="35"/>
      <c r="AC539" s="35"/>
      <c r="AD539" s="35"/>
      <c r="AE539" s="31"/>
      <c r="AF539" s="160"/>
      <c r="AG539" s="391"/>
      <c r="AH539" s="394"/>
      <c r="AI539" s="397"/>
      <c r="AJ539" s="408"/>
      <c r="AK539" s="360"/>
      <c r="AL539" s="360"/>
      <c r="AM539" s="360"/>
      <c r="AN539" s="289">
        <f>IFERROR(Y539*AJ538/Y544,)</f>
        <v>0</v>
      </c>
      <c r="AO539" s="197" t="str">
        <f>IFERROR(VLOOKUP($G539,нормы!$A$14:$BC$57,53,0)*$W539,"")</f>
        <v/>
      </c>
      <c r="AP539" s="290">
        <f>IFERROR(Y539*AI538/Y544,)</f>
        <v>0</v>
      </c>
      <c r="AQ539" s="197" t="str">
        <f>IFERROR(VLOOKUP($G539,нормы!$A$14:$BC$57,54,0)*$W539,"")</f>
        <v/>
      </c>
      <c r="AR539" s="290">
        <f>IFERROR(AS539/SUM(AS538:AS543)*AL538,0)</f>
        <v>0</v>
      </c>
      <c r="AS539" s="197" t="str">
        <f>IFERROR(VLOOKUP($G539,нормы!$A$14:$BC$57,55,0)*W539,"")</f>
        <v/>
      </c>
      <c r="AT539" s="290">
        <f>IFERROR(AU539/SUM(AU538:AU543)*AM538,0)</f>
        <v>0</v>
      </c>
      <c r="AU539" s="197" t="str">
        <f>IFERROR(VLOOKUP($G539,нормы!$A$14:$BI$57,56,0)*W539,"")</f>
        <v/>
      </c>
      <c r="AV539" s="290">
        <f>IFERROR(AW539/SUM(AW538:AW543)*AK538,0)</f>
        <v>0</v>
      </c>
      <c r="AW539" s="202" t="str">
        <f>IFERROR(VLOOKUP($G539,нормы!$A$14:$BI$57,57,0)*W539,"")</f>
        <v/>
      </c>
      <c r="AX539" s="30"/>
      <c r="AY539" s="203" t="str">
        <f>IFERROR(VLOOKUP($G539,нормы!$A$14:$BI$57,58,0)*W539,"")</f>
        <v/>
      </c>
      <c r="AZ539" s="205"/>
      <c r="BA539" s="200" t="str">
        <f>IFERROR(VLOOKUP($G539,нормы!$A$14:$BI$57,61,0)*$W539,"")</f>
        <v/>
      </c>
      <c r="BB539" s="30"/>
      <c r="BC539" s="203" t="str">
        <f>IFERROR(VLOOKUP($G539,нормы!$A$14:$BI$57,60,0)*W539,"")</f>
        <v/>
      </c>
      <c r="BD539" s="200" t="str">
        <f>IFERROR(VLOOKUP($G539,нормы!$A$14:$BG$57,44,0),"")</f>
        <v/>
      </c>
      <c r="BE539" s="199" t="str">
        <f>IFERROR(W539/VLOOKUP($G539,нормы!$A$14:$BI$57,45,0),"")</f>
        <v/>
      </c>
    </row>
    <row r="540" spans="1:57" s="1" customFormat="1" ht="20.25" customHeight="1" x14ac:dyDescent="0.4">
      <c r="A540" s="37" t="str">
        <f t="shared" si="218"/>
        <v>9Н</v>
      </c>
      <c r="B540" s="12">
        <f t="shared" si="219"/>
        <v>46031</v>
      </c>
      <c r="C540" s="97">
        <f t="shared" si="219"/>
        <v>0</v>
      </c>
      <c r="D540" s="97">
        <f t="shared" si="219"/>
        <v>1</v>
      </c>
      <c r="E540" s="54"/>
      <c r="F540" s="151" t="str">
        <f>IFERROR(VLOOKUP($G540,нормы!$A$14:$BC$57,2,0),"")</f>
        <v/>
      </c>
      <c r="G540" s="38"/>
      <c r="H540" s="54">
        <f t="shared" si="220"/>
        <v>0</v>
      </c>
      <c r="I540" s="89" t="s">
        <v>85</v>
      </c>
      <c r="J540" s="333"/>
      <c r="K540" s="30">
        <f>IFERROR(VLOOKUP($G540,[1]нормы!$A$21:$BC$151,15,0),"")</f>
        <v>0</v>
      </c>
      <c r="L540" s="31">
        <f>IFERROR(VLOOKUP($G540,[1]нормы!$A$21:$BC$151,17,0),"")</f>
        <v>0</v>
      </c>
      <c r="M540" s="306">
        <f>IFERROR(VLOOKUP($G540,[1]нормы!$A$21:$BC$151,27,0),"")</f>
        <v>0</v>
      </c>
      <c r="N540" s="307" t="str">
        <f>IFERROR(Y540/Y544*(1.1*J538*I543),"")</f>
        <v/>
      </c>
      <c r="O540" s="300">
        <f>IFERROR(VLOOKUP($G540,[1]нормы!$A$21:$BC$151,21,0),"")</f>
        <v>0</v>
      </c>
      <c r="P540" s="35">
        <f>IFERROR(VLOOKUP($G540,[1]нормы!$A$21:$BC$151,19,0),"")</f>
        <v>0</v>
      </c>
      <c r="Q540" s="35">
        <f>IFERROR(VLOOKUP($G540,[1]нормы!$A$21:$BC$151,23,0),"")</f>
        <v>0</v>
      </c>
      <c r="R540" s="231">
        <f>IFERROR(VLOOKUP($G540,[1]нормы!$A$21:$BC$151,29,0),"")</f>
        <v>0</v>
      </c>
      <c r="S540" s="35">
        <f>IFERROR(VLOOKUP($G540,[1]нормы!$A$21:$BC$151,31,0),"")</f>
        <v>0</v>
      </c>
      <c r="T540" s="32">
        <f>IFERROR(VLOOKUP($G540,[1]нормы!$A$21:$BC$151,25,0),"")</f>
        <v>0</v>
      </c>
      <c r="U540" s="233" t="str">
        <f>IFERROR(W540/(((100*Y540/Y544)*I543)/100),"")</f>
        <v/>
      </c>
      <c r="V540" s="234" t="str">
        <f>IFERROR(VLOOKUP($G540,нормы!$A$14:$BC$57,38,0),"")</f>
        <v/>
      </c>
      <c r="W540" s="136"/>
      <c r="X540" s="237"/>
      <c r="Y540" s="152" t="str">
        <f>IFERROR(VLOOKUP($G540,нормы!$A$14:$BC$57,42,0)*W540,"")</f>
        <v/>
      </c>
      <c r="Z540" s="163">
        <f>IFERROR(VLOOKUP($G540,нормы!$A$14:$BC$57,14,0)*W540/1000,0)</f>
        <v>0</v>
      </c>
      <c r="AA540" s="30"/>
      <c r="AB540" s="35"/>
      <c r="AC540" s="35"/>
      <c r="AD540" s="35"/>
      <c r="AE540" s="31"/>
      <c r="AF540" s="160"/>
      <c r="AG540" s="391"/>
      <c r="AH540" s="394"/>
      <c r="AI540" s="397"/>
      <c r="AJ540" s="408"/>
      <c r="AK540" s="360"/>
      <c r="AL540" s="360"/>
      <c r="AM540" s="360"/>
      <c r="AN540" s="289">
        <f>IFERROR(Y540*AJ538/Y544,)</f>
        <v>0</v>
      </c>
      <c r="AO540" s="197" t="str">
        <f>IFERROR(VLOOKUP($G540,нормы!$A$14:$BC$57,53,0)*$W540,"")</f>
        <v/>
      </c>
      <c r="AP540" s="290">
        <f>IFERROR(Y540*AI538/Y544,)</f>
        <v>0</v>
      </c>
      <c r="AQ540" s="197" t="str">
        <f>IFERROR(VLOOKUP($G540,нормы!$A$14:$BC$57,54,0)*$W540,"")</f>
        <v/>
      </c>
      <c r="AR540" s="290">
        <f>IFERROR(AS540/SUM(AS538:AS543)*AL538,0)</f>
        <v>0</v>
      </c>
      <c r="AS540" s="197" t="str">
        <f>IFERROR(VLOOKUP($G540,нормы!$A$14:$BC$57,55,0)*W540,"")</f>
        <v/>
      </c>
      <c r="AT540" s="290">
        <f>IFERROR(AU540/SUM(AU538:AU543)*AM538,0)</f>
        <v>0</v>
      </c>
      <c r="AU540" s="197" t="str">
        <f>IFERROR(VLOOKUP($G540,нормы!$A$14:$BI$57,56,0)*W540,"")</f>
        <v/>
      </c>
      <c r="AV540" s="290">
        <f>IFERROR(AW540/SUM(AW538:AW543)*AK538,0)</f>
        <v>0</v>
      </c>
      <c r="AW540" s="202" t="str">
        <f>IFERROR(VLOOKUP($G540,нормы!$A$14:$BI$57,57,0)*W540,"")</f>
        <v/>
      </c>
      <c r="AX540" s="30"/>
      <c r="AY540" s="203" t="str">
        <f>IFERROR(VLOOKUP($G540,нормы!$A$14:$BI$57,58,0)*W540,"")</f>
        <v/>
      </c>
      <c r="AZ540" s="205"/>
      <c r="BA540" s="200" t="str">
        <f>IFERROR(VLOOKUP($G540,нормы!$A$14:$BI$57,61,0)*$W540,"")</f>
        <v/>
      </c>
      <c r="BB540" s="30"/>
      <c r="BC540" s="203" t="str">
        <f>IFERROR(VLOOKUP($G540,нормы!$A$14:$BI$57,60,0)*W540,"")</f>
        <v/>
      </c>
      <c r="BD540" s="200" t="str">
        <f>IFERROR(VLOOKUP($G540,нормы!$A$14:$BG$57,44,0),"")</f>
        <v/>
      </c>
      <c r="BE540" s="199" t="str">
        <f>IFERROR(W540/VLOOKUP($G540,нормы!$A$14:$BI$57,45,0),"")</f>
        <v/>
      </c>
    </row>
    <row r="541" spans="1:57" s="1" customFormat="1" ht="20.25" customHeight="1" x14ac:dyDescent="0.4">
      <c r="A541" s="37" t="str">
        <f t="shared" si="218"/>
        <v>9Н</v>
      </c>
      <c r="B541" s="12">
        <f t="shared" si="219"/>
        <v>46031</v>
      </c>
      <c r="C541" s="97">
        <f t="shared" si="219"/>
        <v>0</v>
      </c>
      <c r="D541" s="97">
        <f t="shared" si="219"/>
        <v>1</v>
      </c>
      <c r="E541" s="54"/>
      <c r="F541" s="151" t="str">
        <f>IFERROR(VLOOKUP($G541,нормы!$A$14:$BC$57,2,0),"")</f>
        <v/>
      </c>
      <c r="G541" s="93"/>
      <c r="H541" s="54">
        <f t="shared" si="220"/>
        <v>0</v>
      </c>
      <c r="I541" s="55"/>
      <c r="J541" s="333"/>
      <c r="K541" s="30">
        <f>IFERROR(VLOOKUP($G541,[1]нормы!$A$21:$BC$151,15,0),"")</f>
        <v>0</v>
      </c>
      <c r="L541" s="31">
        <f>IFERROR(VLOOKUP($G541,[1]нормы!$A$21:$BC$151,17,0),"")</f>
        <v>0</v>
      </c>
      <c r="M541" s="306">
        <f>IFERROR(VLOOKUP($G541,[1]нормы!$A$21:$BC$151,27,0),"")</f>
        <v>0</v>
      </c>
      <c r="N541" s="307" t="str">
        <f>IFERROR(Y541/Y544*(1.1*J538*I546),"")</f>
        <v/>
      </c>
      <c r="O541" s="300">
        <f>IFERROR(VLOOKUP($G541,[1]нормы!$A$21:$BC$151,21,0),"")</f>
        <v>0</v>
      </c>
      <c r="P541" s="35">
        <f>IFERROR(VLOOKUP($G541,[1]нормы!$A$21:$BC$151,19,0),"")</f>
        <v>0</v>
      </c>
      <c r="Q541" s="35">
        <f>IFERROR(VLOOKUP($G541,[1]нормы!$A$21:$BC$151,23,0),"")</f>
        <v>0</v>
      </c>
      <c r="R541" s="231">
        <f>IFERROR(VLOOKUP($G541,[1]нормы!$A$21:$BC$151,29,0),"")</f>
        <v>0</v>
      </c>
      <c r="S541" s="35">
        <f>IFERROR(VLOOKUP($G541,[1]нормы!$A$21:$BC$151,31,0),"")</f>
        <v>0</v>
      </c>
      <c r="T541" s="32">
        <f>IFERROR(VLOOKUP($G541,[1]нормы!$A$21:$BC$151,25,0),"")</f>
        <v>0</v>
      </c>
      <c r="U541" s="233" t="str">
        <f>IFERROR(W541/(((100*Y541/Y544)*I543)/100),"")</f>
        <v/>
      </c>
      <c r="V541" s="234" t="str">
        <f>IFERROR(VLOOKUP($G541,нормы!$A$14:$BC$57,38,0),"")</f>
        <v/>
      </c>
      <c r="W541" s="136"/>
      <c r="X541" s="237"/>
      <c r="Y541" s="152" t="str">
        <f>IFERROR(VLOOKUP($G541,нормы!$A$14:$BC$57,42,0)*W541,"")</f>
        <v/>
      </c>
      <c r="Z541" s="163">
        <f>IFERROR(VLOOKUP($G541,нормы!$A$14:$BC$57,14,0)*W541/1000,0)</f>
        <v>0</v>
      </c>
      <c r="AA541" s="30"/>
      <c r="AB541" s="35"/>
      <c r="AC541" s="35"/>
      <c r="AD541" s="35"/>
      <c r="AE541" s="31"/>
      <c r="AF541" s="160"/>
      <c r="AG541" s="391"/>
      <c r="AH541" s="394"/>
      <c r="AI541" s="397"/>
      <c r="AJ541" s="408"/>
      <c r="AK541" s="360"/>
      <c r="AL541" s="360"/>
      <c r="AM541" s="360"/>
      <c r="AN541" s="289">
        <f>IFERROR(Y541*AJ538/Y544,)</f>
        <v>0</v>
      </c>
      <c r="AO541" s="197" t="str">
        <f>IFERROR(VLOOKUP($G541,нормы!$A$14:$BC$57,53,0)*$W541,"")</f>
        <v/>
      </c>
      <c r="AP541" s="290">
        <f>IFERROR(Y541*AI538/Y544,)</f>
        <v>0</v>
      </c>
      <c r="AQ541" s="197" t="str">
        <f>IFERROR(VLOOKUP($G541,нормы!$A$14:$BC$57,54,0)*$W541,"")</f>
        <v/>
      </c>
      <c r="AR541" s="290">
        <f>IFERROR(AS541/SUM(AS538:AS543)*AL538,0)</f>
        <v>0</v>
      </c>
      <c r="AS541" s="197" t="str">
        <f>IFERROR(VLOOKUP($G541,нормы!$A$14:$BC$57,55,0)*W541,"")</f>
        <v/>
      </c>
      <c r="AT541" s="290">
        <f>IFERROR(AU541/SUM(AU538:AU543)*AM538,0)</f>
        <v>0</v>
      </c>
      <c r="AU541" s="197" t="str">
        <f>IFERROR(VLOOKUP($G541,нормы!$A$14:$BI$57,56,0)*W541,"")</f>
        <v/>
      </c>
      <c r="AV541" s="290">
        <f>IFERROR(AW541/SUM(AW538:AW543)*AK538,0)</f>
        <v>0</v>
      </c>
      <c r="AW541" s="202" t="str">
        <f>IFERROR(VLOOKUP($G541,нормы!$A$14:$BI$57,57,0)*W541,"")</f>
        <v/>
      </c>
      <c r="AX541" s="30"/>
      <c r="AY541" s="203" t="str">
        <f>IFERROR(VLOOKUP($G541,нормы!$A$14:$BI$57,58,0)*W541,"")</f>
        <v/>
      </c>
      <c r="AZ541" s="205"/>
      <c r="BA541" s="200" t="str">
        <f>IFERROR(VLOOKUP($G541,нормы!$A$14:$BI$57,61,0)*$W541,"")</f>
        <v/>
      </c>
      <c r="BB541" s="30"/>
      <c r="BC541" s="203" t="str">
        <f>IFERROR(VLOOKUP($G541,нормы!$A$14:$BI$57,60,0)*W541,"")</f>
        <v/>
      </c>
      <c r="BD541" s="200" t="str">
        <f>IFERROR(VLOOKUP($G541,нормы!$A$14:$BG$57,44,0),"")</f>
        <v/>
      </c>
      <c r="BE541" s="199" t="str">
        <f>IFERROR(W541/VLOOKUP($G541,нормы!$A$14:$BI$57,45,0),"")</f>
        <v/>
      </c>
    </row>
    <row r="542" spans="1:57" s="1" customFormat="1" ht="20.25" customHeight="1" x14ac:dyDescent="0.4">
      <c r="A542" s="37" t="str">
        <f t="shared" si="218"/>
        <v>9Н</v>
      </c>
      <c r="B542" s="12">
        <f t="shared" si="219"/>
        <v>46031</v>
      </c>
      <c r="C542" s="97">
        <f t="shared" si="219"/>
        <v>0</v>
      </c>
      <c r="D542" s="97">
        <f t="shared" si="219"/>
        <v>1</v>
      </c>
      <c r="E542" s="54"/>
      <c r="F542" s="151" t="str">
        <f>IFERROR(VLOOKUP($G542,нормы!$A$14:$BC$57,2,0),"")</f>
        <v/>
      </c>
      <c r="G542" s="38"/>
      <c r="H542" s="54">
        <f t="shared" si="220"/>
        <v>0</v>
      </c>
      <c r="I542" s="89" t="s">
        <v>73</v>
      </c>
      <c r="J542" s="333"/>
      <c r="K542" s="30">
        <f>IFERROR(VLOOKUP($G542,[1]нормы!$A$21:$BC$151,15,0),"")</f>
        <v>0</v>
      </c>
      <c r="L542" s="31">
        <f>IFERROR(VLOOKUP($G542,[1]нормы!$A$21:$BC$151,17,0),"")</f>
        <v>0</v>
      </c>
      <c r="M542" s="306">
        <f>IFERROR(VLOOKUP($G542,[1]нормы!$A$21:$BC$151,27,0),"")</f>
        <v>0</v>
      </c>
      <c r="N542" s="307" t="str">
        <f>IFERROR(Y542/Y544*(1.1*J538*I547),"")</f>
        <v/>
      </c>
      <c r="O542" s="300">
        <f>IFERROR(VLOOKUP($G542,[1]нормы!$A$21:$BC$151,21,0),"")</f>
        <v>0</v>
      </c>
      <c r="P542" s="35">
        <f>IFERROR(VLOOKUP($G542,[1]нормы!$A$21:$BC$151,19,0),"")</f>
        <v>0</v>
      </c>
      <c r="Q542" s="35">
        <f>IFERROR(VLOOKUP($G542,[1]нормы!$A$21:$BC$151,23,0),"")</f>
        <v>0</v>
      </c>
      <c r="R542" s="231">
        <f>IFERROR(VLOOKUP($G542,[1]нормы!$A$21:$BC$151,29,0),"")</f>
        <v>0</v>
      </c>
      <c r="S542" s="35">
        <f>IFERROR(VLOOKUP($G542,[1]нормы!$A$21:$BC$151,31,0),"")</f>
        <v>0</v>
      </c>
      <c r="T542" s="32">
        <f>IFERROR(VLOOKUP($G542,[1]нормы!$A$21:$BC$151,25,0),"")</f>
        <v>0</v>
      </c>
      <c r="U542" s="233" t="str">
        <f>IFERROR(W542/(((100*Y542/Y544)*I543)/100),"")</f>
        <v/>
      </c>
      <c r="V542" s="234" t="str">
        <f>IFERROR(VLOOKUP($G542,нормы!$A$14:$BC$57,38,0),"")</f>
        <v/>
      </c>
      <c r="W542" s="136"/>
      <c r="X542" s="237"/>
      <c r="Y542" s="152" t="str">
        <f>IFERROR(VLOOKUP($G542,нормы!$A$14:$BC$57,42,0)*W542,"")</f>
        <v/>
      </c>
      <c r="Z542" s="163">
        <f>IFERROR(VLOOKUP($G542,нормы!$A$14:$BC$57,14,0)*W542/1000,0)</f>
        <v>0</v>
      </c>
      <c r="AA542" s="30"/>
      <c r="AB542" s="35"/>
      <c r="AC542" s="35"/>
      <c r="AD542" s="35"/>
      <c r="AE542" s="31"/>
      <c r="AF542" s="160"/>
      <c r="AG542" s="391"/>
      <c r="AH542" s="394"/>
      <c r="AI542" s="397"/>
      <c r="AJ542" s="408"/>
      <c r="AK542" s="360"/>
      <c r="AL542" s="360"/>
      <c r="AM542" s="360"/>
      <c r="AN542" s="289">
        <f>IFERROR(Y542*AJ538/Y544,)</f>
        <v>0</v>
      </c>
      <c r="AO542" s="197" t="str">
        <f>IFERROR(VLOOKUP($G542,нормы!$A$14:$BC$57,53,0)*$W542,"")</f>
        <v/>
      </c>
      <c r="AP542" s="290">
        <f>IFERROR(Y542*AI538/Y544,)</f>
        <v>0</v>
      </c>
      <c r="AQ542" s="197" t="str">
        <f>IFERROR(VLOOKUP($G542,нормы!$A$14:$BC$57,54,0)*$W542,"")</f>
        <v/>
      </c>
      <c r="AR542" s="290">
        <f>IFERROR(AS542/SUM(AS538:AS543)*AL538,0)</f>
        <v>0</v>
      </c>
      <c r="AS542" s="197" t="str">
        <f>IFERROR(VLOOKUP($G542,нормы!$A$14:$BC$57,55,0)*W542,"")</f>
        <v/>
      </c>
      <c r="AT542" s="290">
        <f>IFERROR(AU542/SUM(AU538:AU543)*AM538,0)</f>
        <v>0</v>
      </c>
      <c r="AU542" s="197" t="str">
        <f>IFERROR(VLOOKUP($G542,нормы!$A$14:$BI$57,56,0)*W542,"")</f>
        <v/>
      </c>
      <c r="AV542" s="290">
        <f>IFERROR(AW542/SUM(AW538:AW543)*AK538,0)</f>
        <v>0</v>
      </c>
      <c r="AW542" s="202" t="str">
        <f>IFERROR(VLOOKUP($G542,нормы!$A$14:$BI$57,57,0)*W542,"")</f>
        <v/>
      </c>
      <c r="AX542" s="30"/>
      <c r="AY542" s="203" t="str">
        <f>IFERROR(VLOOKUP($G542,нормы!$A$14:$BI$57,58,0)*W542,"")</f>
        <v/>
      </c>
      <c r="AZ542" s="205"/>
      <c r="BA542" s="200" t="str">
        <f>IFERROR(VLOOKUP($G542,нормы!$A$14:$BI$57,61,0)*$W542,"")</f>
        <v/>
      </c>
      <c r="BB542" s="30"/>
      <c r="BC542" s="203" t="str">
        <f>IFERROR(VLOOKUP($G542,нормы!$A$14:$BI$57,60,0)*W542,"")</f>
        <v/>
      </c>
      <c r="BD542" s="200" t="str">
        <f>IFERROR(VLOOKUP($G542,нормы!$A$14:$BG$57,44,0),"")</f>
        <v/>
      </c>
      <c r="BE542" s="199" t="str">
        <f>IFERROR(W542/VLOOKUP($G542,нормы!$A$14:$BI$57,45,0),"")</f>
        <v/>
      </c>
    </row>
    <row r="543" spans="1:57" s="1" customFormat="1" ht="21" customHeight="1" thickBot="1" x14ac:dyDescent="0.45">
      <c r="A543" s="37" t="str">
        <f t="shared" si="218"/>
        <v>9Н</v>
      </c>
      <c r="B543" s="12">
        <f t="shared" si="219"/>
        <v>46031</v>
      </c>
      <c r="C543" s="97">
        <f t="shared" si="219"/>
        <v>0</v>
      </c>
      <c r="D543" s="97">
        <f t="shared" si="219"/>
        <v>1</v>
      </c>
      <c r="E543" s="54"/>
      <c r="F543" s="151" t="str">
        <f>IFERROR(VLOOKUP($G543,нормы!$A$14:$BC$57,2,0),"")</f>
        <v/>
      </c>
      <c r="G543" s="93"/>
      <c r="H543" s="63">
        <f t="shared" si="220"/>
        <v>0</v>
      </c>
      <c r="I543" s="153">
        <f>I539+I541</f>
        <v>0</v>
      </c>
      <c r="J543" s="334"/>
      <c r="K543" s="30">
        <f>IFERROR(VLOOKUP($G543,[1]нормы!$A$21:$BC$151,15,0),"")</f>
        <v>0</v>
      </c>
      <c r="L543" s="31">
        <f>IFERROR(VLOOKUP($G543,[1]нормы!$A$21:$BC$151,17,0),"")</f>
        <v>0</v>
      </c>
      <c r="M543" s="308">
        <f>IFERROR(VLOOKUP($G543,[1]нормы!$A$21:$BC$151,27,0),"")</f>
        <v>0</v>
      </c>
      <c r="N543" s="309" t="str">
        <f>IFERROR(Y543/Y544*(1.1*J538*I548),"")</f>
        <v/>
      </c>
      <c r="O543" s="300">
        <f>IFERROR(VLOOKUP($G543,[1]нормы!$A$21:$BC$151,21,0),"")</f>
        <v>0</v>
      </c>
      <c r="P543" s="35">
        <f>IFERROR(VLOOKUP($G543,[1]нормы!$A$21:$BC$151,19,0),"")</f>
        <v>0</v>
      </c>
      <c r="Q543" s="35">
        <f>IFERROR(VLOOKUP($G543,[1]нормы!$A$21:$BC$151,23,0),"")</f>
        <v>0</v>
      </c>
      <c r="R543" s="231">
        <f>IFERROR(VLOOKUP($G543,[1]нормы!$A$21:$BC$151,29,0),"")</f>
        <v>0</v>
      </c>
      <c r="S543" s="35">
        <f>IFERROR(VLOOKUP($G543,[1]нормы!$A$21:$BC$151,31,0),"")</f>
        <v>0</v>
      </c>
      <c r="T543" s="32">
        <f>IFERROR(VLOOKUP($G543,[1]нормы!$A$21:$BC$151,25,0),"")</f>
        <v>0</v>
      </c>
      <c r="U543" s="235" t="str">
        <f>IFERROR(W543/(((100*Y543/Y544)*I543)/100),"")</f>
        <v/>
      </c>
      <c r="V543" s="234" t="str">
        <f>IFERROR(VLOOKUP($G543,нормы!$A$14:$BC$57,38,0),"")</f>
        <v/>
      </c>
      <c r="W543" s="154"/>
      <c r="X543" s="238"/>
      <c r="Y543" s="152" t="str">
        <f>IFERROR(VLOOKUP($G543,нормы!$A$14:$BC$57,42,0)*W543,"")</f>
        <v/>
      </c>
      <c r="Z543" s="163">
        <f>IFERROR(VLOOKUP($G543,нормы!$A$14:$BC$57,14,0)*W543/1000,0)</f>
        <v>0</v>
      </c>
      <c r="AA543" s="56"/>
      <c r="AB543" s="58"/>
      <c r="AC543" s="58"/>
      <c r="AD543" s="58"/>
      <c r="AE543" s="57"/>
      <c r="AF543" s="161"/>
      <c r="AG543" s="392"/>
      <c r="AH543" s="395"/>
      <c r="AI543" s="398"/>
      <c r="AJ543" s="409"/>
      <c r="AK543" s="361"/>
      <c r="AL543" s="361"/>
      <c r="AM543" s="361"/>
      <c r="AN543" s="291">
        <f>IFERROR(Y543*AJ538/Y544,)</f>
        <v>0</v>
      </c>
      <c r="AO543" s="197" t="str">
        <f>IFERROR(VLOOKUP($G543,нормы!$A$14:$BC$57,53,0)*$W543,"")</f>
        <v/>
      </c>
      <c r="AP543" s="292">
        <f>IFERROR(Y543*AI538/Y544,)</f>
        <v>0</v>
      </c>
      <c r="AQ543" s="197" t="str">
        <f>IFERROR(VLOOKUP($G543,нормы!$A$14:$BC$57,54,0)*$W543,"")</f>
        <v/>
      </c>
      <c r="AR543" s="290">
        <f>IFERROR(AS543/SUM(AS538:AS543)*AL538,0)</f>
        <v>0</v>
      </c>
      <c r="AS543" s="197" t="str">
        <f>IFERROR(VLOOKUP($G543,нормы!$A$14:$BC$57,55,0)*W543,"")</f>
        <v/>
      </c>
      <c r="AT543" s="292">
        <f>IFERROR(AU543/SUM(AU538:AU543)*AM538,0)</f>
        <v>0</v>
      </c>
      <c r="AU543" s="197" t="str">
        <f>IFERROR(VLOOKUP($G543,нормы!$A$14:$BI$57,56,0)*W543,"")</f>
        <v/>
      </c>
      <c r="AV543" s="292">
        <f>IFERROR(AW543/SUM(AW538:AW543)*AK538,0)</f>
        <v>0</v>
      </c>
      <c r="AW543" s="202" t="str">
        <f>IFERROR(VLOOKUP($G543,нормы!$A$14:$BI$57,57,0)*W543,"")</f>
        <v/>
      </c>
      <c r="AX543" s="56"/>
      <c r="AY543" s="203" t="str">
        <f>IFERROR(VLOOKUP($G543,нормы!$A$14:$BI$57,58,0)*W543,"")</f>
        <v/>
      </c>
      <c r="AZ543" s="206"/>
      <c r="BA543" s="200" t="str">
        <f>IFERROR(VLOOKUP($G543,нормы!$A$14:$BI$57,61,0)*$W543,"")</f>
        <v/>
      </c>
      <c r="BB543" s="56"/>
      <c r="BC543" s="203" t="str">
        <f>IFERROR(VLOOKUP($G543,нормы!$A$14:$BI$57,60,0)*W543,"")</f>
        <v/>
      </c>
      <c r="BD543" s="200" t="str">
        <f>IFERROR(VLOOKUP($G543,нормы!$A$14:$BG$57,44,0),"")</f>
        <v/>
      </c>
      <c r="BE543" s="199" t="str">
        <f>IFERROR(W543/VLOOKUP($G543,нормы!$A$14:$BI$57,45,0),"")</f>
        <v/>
      </c>
    </row>
    <row r="544" spans="1:57" s="1" customFormat="1" ht="29.4" customHeight="1" thickBot="1" x14ac:dyDescent="0.45">
      <c r="A544" s="37" t="str">
        <f t="shared" si="218"/>
        <v>9Н</v>
      </c>
      <c r="B544" s="59"/>
      <c r="C544" s="51"/>
      <c r="D544" s="51"/>
      <c r="E544" s="51"/>
      <c r="F544" s="295" t="s">
        <v>149</v>
      </c>
      <c r="G544" s="51"/>
      <c r="H544" s="51"/>
      <c r="I544" s="60"/>
      <c r="J544" s="60"/>
      <c r="K544" s="319" t="s">
        <v>213</v>
      </c>
      <c r="L544" s="316"/>
      <c r="M544" s="303" t="s">
        <v>213</v>
      </c>
      <c r="N544" s="317">
        <f>SUM(N538:N543)</f>
        <v>0</v>
      </c>
      <c r="O544" s="304" t="s">
        <v>216</v>
      </c>
      <c r="P544" s="318">
        <f>N544*8.937/1000</f>
        <v>0</v>
      </c>
      <c r="Q544" s="305" t="s">
        <v>215</v>
      </c>
      <c r="R544" s="61"/>
      <c r="S544" s="61"/>
      <c r="T544" s="61"/>
      <c r="U544" s="109"/>
      <c r="V544" s="109"/>
      <c r="W544" s="94"/>
      <c r="X544" s="155"/>
      <c r="Y544" s="96">
        <f>SUM(Y538:Y543)</f>
        <v>0</v>
      </c>
      <c r="Z544" s="164">
        <f>SUM(Z538:Z543)</f>
        <v>0</v>
      </c>
      <c r="AA544" s="62"/>
      <c r="AB544" s="62"/>
      <c r="AC544" s="62"/>
      <c r="AD544" s="62"/>
      <c r="AE544" s="62"/>
      <c r="AF544" s="62"/>
      <c r="AG544" s="162" t="s">
        <v>140</v>
      </c>
      <c r="AH544" s="162" t="s">
        <v>141</v>
      </c>
      <c r="AI544" s="162" t="s">
        <v>142</v>
      </c>
      <c r="AJ544" s="91" t="s">
        <v>126</v>
      </c>
      <c r="AK544" s="198" t="s">
        <v>136</v>
      </c>
      <c r="AL544" s="198" t="s">
        <v>137</v>
      </c>
      <c r="AM544" s="198" t="s">
        <v>138</v>
      </c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53" t="str">
        <f>IFERROR(W544/VLOOKUP($G544,нормы!$A$14:$BI$15,28,0),"")</f>
        <v/>
      </c>
    </row>
    <row r="545" spans="1:57" s="1" customFormat="1" ht="21.6" customHeight="1" x14ac:dyDescent="0.4">
      <c r="A545" s="37" t="str">
        <f t="shared" si="218"/>
        <v>9Н</v>
      </c>
      <c r="B545" s="12">
        <f>B543</f>
        <v>46031</v>
      </c>
      <c r="C545" s="97"/>
      <c r="D545" s="97">
        <v>2</v>
      </c>
      <c r="E545" s="29"/>
      <c r="F545" s="151" t="str">
        <f>IFERROR(VLOOKUP($G545,нормы!$A$14:$BC$57,2,0),"")</f>
        <v/>
      </c>
      <c r="G545" s="93"/>
      <c r="H545" s="54">
        <f>IF(C545=1,"Кульков С.А.", IF(C545=2,"Чудаков А.А.",IF(C545=3,"Королев В.Н.",IF(C545=4,"Николашин М.П.",IF(C545=5," Кульков С.А.",IF(C545=6,"А.А. Чудаков",IF(C545=7,"В.Н. Королев",IF(C545=8,"М.П. Николашин",0))))))))</f>
        <v>0</v>
      </c>
      <c r="I545" s="88" t="s">
        <v>211</v>
      </c>
      <c r="J545" s="332"/>
      <c r="K545" s="30">
        <f>IFERROR(VLOOKUP($G545,[1]нормы!$A$21:$BC$151,15,0),"")</f>
        <v>0</v>
      </c>
      <c r="L545" s="31">
        <f>IFERROR(VLOOKUP($G545,[1]нормы!$A$21:$BC$151,17,0),"")</f>
        <v>0</v>
      </c>
      <c r="M545" s="310">
        <f>IFERROR(VLOOKUP($G545,[1]нормы!$A$21:$BC$151,27,0),"")</f>
        <v>0</v>
      </c>
      <c r="N545" s="311" t="str">
        <f>IFERROR(Y545/Y551*(1.1*J545*I550),"")</f>
        <v/>
      </c>
      <c r="O545" s="300">
        <f>IFERROR(VLOOKUP($G545,[1]нормы!$A$21:$BC$151,21,0),"")</f>
        <v>0</v>
      </c>
      <c r="P545" s="35">
        <f>IFERROR(VLOOKUP($G545,[1]нормы!$A$21:$BC$151,19,0),"")</f>
        <v>0</v>
      </c>
      <c r="Q545" s="35">
        <f>IFERROR(VLOOKUP($G545,[1]нормы!$A$21:$BC$151,23,0),"")</f>
        <v>0</v>
      </c>
      <c r="R545" s="231">
        <f>IFERROR(VLOOKUP($G545,[1]нормы!$A$21:$BC$151,29,0),"")</f>
        <v>0</v>
      </c>
      <c r="S545" s="35">
        <f>IFERROR(VLOOKUP($G545,[1]нормы!$A$21:$BC$151,31,0),"")</f>
        <v>0</v>
      </c>
      <c r="T545" s="32">
        <f>IFERROR(VLOOKUP($G545,[1]нормы!$A$21:$BC$151,25,0),"")</f>
        <v>0</v>
      </c>
      <c r="U545" s="232" t="str">
        <f>IFERROR(W545/(((100*Y545/Y551)*I550)/100),"")</f>
        <v/>
      </c>
      <c r="V545" s="234" t="str">
        <f>IFERROR(VLOOKUP($G545,нормы!$A$14:$BC$57,38,0),"")</f>
        <v/>
      </c>
      <c r="W545" s="136"/>
      <c r="X545" s="236"/>
      <c r="Y545" s="152" t="str">
        <f>IFERROR(VLOOKUP($G545,нормы!$A$14:$BC$57,42,0)*W545,"")</f>
        <v/>
      </c>
      <c r="Z545" s="163">
        <f>IFERROR(VLOOKUP($G545,нормы!$A$14:$BC$57,14,0)*W545/1000,0)</f>
        <v>0</v>
      </c>
      <c r="AA545" s="33"/>
      <c r="AB545" s="36"/>
      <c r="AC545" s="36"/>
      <c r="AD545" s="36"/>
      <c r="AE545" s="34"/>
      <c r="AF545" s="159"/>
      <c r="AG545" s="390"/>
      <c r="AH545" s="393"/>
      <c r="AI545" s="396"/>
      <c r="AJ545" s="407">
        <f>AG545+AH545</f>
        <v>0</v>
      </c>
      <c r="AK545" s="359"/>
      <c r="AL545" s="359"/>
      <c r="AM545" s="359"/>
      <c r="AN545" s="287">
        <f>IFERROR(Y545*AJ545/Y551,)</f>
        <v>0</v>
      </c>
      <c r="AO545" s="197" t="str">
        <f>IFERROR(VLOOKUP($G545,нормы!$A$14:$BC$57,53,0)*$W545,"")</f>
        <v/>
      </c>
      <c r="AP545" s="288">
        <f>IFERROR(Y545*AI545/Y551,)</f>
        <v>0</v>
      </c>
      <c r="AQ545" s="197" t="str">
        <f>IFERROR(VLOOKUP($G545,нормы!$A$14:$BC$57,54,0)*$W545,"")</f>
        <v/>
      </c>
      <c r="AR545" s="288">
        <f>IFERROR(AS545/SUM(AS545:AS550)*AL545,0)</f>
        <v>0</v>
      </c>
      <c r="AS545" s="197" t="str">
        <f>IFERROR(VLOOKUP($G545,нормы!$A$14:$BC$57,55,0)*W545,"")</f>
        <v/>
      </c>
      <c r="AT545" s="288">
        <f>IFERROR(AU545/SUM(AU545:AU550)*AM545,0)</f>
        <v>0</v>
      </c>
      <c r="AU545" s="197" t="str">
        <f>IFERROR(VLOOKUP($G545,нормы!$A$14:$BI$57,56,0)*W545,"")</f>
        <v/>
      </c>
      <c r="AV545" s="288">
        <f>IFERROR(AW545/SUM(AW545:AW550)*AK545,0)</f>
        <v>0</v>
      </c>
      <c r="AW545" s="202" t="str">
        <f>IFERROR(VLOOKUP($G545,нормы!$A$14:$BI$57,57,0)*W545,"")</f>
        <v/>
      </c>
      <c r="AX545" s="33"/>
      <c r="AY545" s="203" t="str">
        <f>IFERROR(VLOOKUP($G545,нормы!$A$14:$BI$57,58,0)*W545,"")</f>
        <v/>
      </c>
      <c r="AZ545" s="204"/>
      <c r="BA545" s="200" t="str">
        <f>IFERROR(VLOOKUP($G545,нормы!$A$14:$BI$57,61,0)*$W545,"")</f>
        <v/>
      </c>
      <c r="BB545" s="33"/>
      <c r="BC545" s="203" t="str">
        <f>IFERROR(VLOOKUP($G545,нормы!$A$14:$BI$57,60,0)*W545,"")</f>
        <v/>
      </c>
      <c r="BD545" s="200" t="str">
        <f>IFERROR(VLOOKUP($G545,нормы!$A$14:$BG$57,44,0),"")</f>
        <v/>
      </c>
      <c r="BE545" s="199" t="str">
        <f>IFERROR(W545/VLOOKUP($G545,нормы!$A$14:$BI$57,45,0),"")</f>
        <v/>
      </c>
    </row>
    <row r="546" spans="1:57" s="1" customFormat="1" ht="21.6" customHeight="1" x14ac:dyDescent="0.4">
      <c r="A546" s="37" t="str">
        <f t="shared" si="218"/>
        <v>9Н</v>
      </c>
      <c r="B546" s="12">
        <f t="shared" ref="B546:D550" si="221">B545</f>
        <v>46031</v>
      </c>
      <c r="C546" s="97">
        <f t="shared" si="221"/>
        <v>0</v>
      </c>
      <c r="D546" s="97">
        <f t="shared" si="221"/>
        <v>2</v>
      </c>
      <c r="E546" s="54"/>
      <c r="F546" s="151" t="str">
        <f>IFERROR(VLOOKUP($G546,нормы!$A$14:$BC$57,2,0),"")</f>
        <v/>
      </c>
      <c r="G546" s="93"/>
      <c r="H546" s="54">
        <f t="shared" ref="H546:H550" si="222">IF(C546=1,"Кульков С.А.", IF(C546=2,"Чудаков А.А.",IF(C546=3,"Королев В.Н.",IF(C546=4,"Николашин М.П.",IF(C546=5," Кульков С.А.",IF(C546=6,"А.А. Чудаков",IF(C546=7,"В.Н. Королев",IF(C546=8,"М.П. Николашин",0))))))))</f>
        <v>0</v>
      </c>
      <c r="I546" s="55"/>
      <c r="J546" s="333"/>
      <c r="K546" s="30">
        <f>IFERROR(VLOOKUP($G546,[1]нормы!$A$21:$BC$151,15,0),"")</f>
        <v>0</v>
      </c>
      <c r="L546" s="31">
        <f>IFERROR(VLOOKUP($G546,[1]нормы!$A$21:$BC$151,17,0),"")</f>
        <v>0</v>
      </c>
      <c r="M546" s="306">
        <f>IFERROR(VLOOKUP($G546,[1]нормы!$A$21:$BC$151,27,0),"")</f>
        <v>0</v>
      </c>
      <c r="N546" s="307" t="str">
        <f>IFERROR(Y546/Y551*(1.1*J545*I550),"")</f>
        <v/>
      </c>
      <c r="O546" s="300">
        <f>IFERROR(VLOOKUP($G546,[1]нормы!$A$21:$BC$151,21,0),"")</f>
        <v>0</v>
      </c>
      <c r="P546" s="35">
        <f>IFERROR(VLOOKUP($G546,[1]нормы!$A$21:$BC$151,19,0),"")</f>
        <v>0</v>
      </c>
      <c r="Q546" s="35">
        <f>IFERROR(VLOOKUP($G546,[1]нормы!$A$21:$BC$151,23,0),"")</f>
        <v>0</v>
      </c>
      <c r="R546" s="231">
        <f>IFERROR(VLOOKUP($G546,[1]нормы!$A$21:$BC$151,29,0),"")</f>
        <v>0</v>
      </c>
      <c r="S546" s="35">
        <f>IFERROR(VLOOKUP($G546,[1]нормы!$A$21:$BC$151,31,0),"")</f>
        <v>0</v>
      </c>
      <c r="T546" s="32">
        <f>IFERROR(VLOOKUP($G546,[1]нормы!$A$21:$BC$151,25,0),"")</f>
        <v>0</v>
      </c>
      <c r="U546" s="233" t="str">
        <f>IFERROR(W546/(((100*Y546/Y551)*I550)/100),"")</f>
        <v/>
      </c>
      <c r="V546" s="234" t="str">
        <f>IFERROR(VLOOKUP($G546,нормы!$A$14:$BC$57,38,0),"")</f>
        <v/>
      </c>
      <c r="W546" s="136"/>
      <c r="X546" s="237"/>
      <c r="Y546" s="152" t="str">
        <f>IFERROR(VLOOKUP($G546,нормы!$A$14:$BC$57,42,0)*W546,"")</f>
        <v/>
      </c>
      <c r="Z546" s="163">
        <f>IFERROR(VLOOKUP($G546,нормы!$A$14:$BC$57,14,0)*W546/1000,0)</f>
        <v>0</v>
      </c>
      <c r="AA546" s="142"/>
      <c r="AB546" s="35"/>
      <c r="AC546" s="35"/>
      <c r="AD546" s="35"/>
      <c r="AE546" s="31"/>
      <c r="AF546" s="160"/>
      <c r="AG546" s="391"/>
      <c r="AH546" s="394"/>
      <c r="AI546" s="397"/>
      <c r="AJ546" s="408"/>
      <c r="AK546" s="360"/>
      <c r="AL546" s="360"/>
      <c r="AM546" s="360"/>
      <c r="AN546" s="289">
        <f>IFERROR(Y546*AJ545/Y551,)</f>
        <v>0</v>
      </c>
      <c r="AO546" s="197" t="str">
        <f>IFERROR(VLOOKUP($G546,нормы!$A$14:$BC$57,53,0)*$W546,"")</f>
        <v/>
      </c>
      <c r="AP546" s="290">
        <f>IFERROR(Y546*AI545/Y551,)</f>
        <v>0</v>
      </c>
      <c r="AQ546" s="197" t="str">
        <f>IFERROR(VLOOKUP($G546,нормы!$A$14:$BC$57,54,0)*$W546,"")</f>
        <v/>
      </c>
      <c r="AR546" s="290">
        <f>IFERROR(AS546/SUM(AS545:AS550)*AL545,0)</f>
        <v>0</v>
      </c>
      <c r="AS546" s="197" t="str">
        <f>IFERROR(VLOOKUP($G546,нормы!$A$14:$BC$57,55,0)*W546,"")</f>
        <v/>
      </c>
      <c r="AT546" s="290">
        <f>IFERROR(AU546/SUM(AU545:AU550)*AM545,0)</f>
        <v>0</v>
      </c>
      <c r="AU546" s="197" t="str">
        <f>IFERROR(VLOOKUP($G546,нормы!$A$14:$BI$57,56,0)*W546,"")</f>
        <v/>
      </c>
      <c r="AV546" s="290">
        <f>IFERROR(AW546/SUM(AW545:AW550)*AK545,0)</f>
        <v>0</v>
      </c>
      <c r="AW546" s="202" t="str">
        <f>IFERROR(VLOOKUP($G546,нормы!$A$14:$BI$57,57,0)*W546,"")</f>
        <v/>
      </c>
      <c r="AX546" s="30"/>
      <c r="AY546" s="203" t="str">
        <f>IFERROR(VLOOKUP($G546,нормы!$A$14:$BI$57,58,0)*W546,"")</f>
        <v/>
      </c>
      <c r="AZ546" s="205"/>
      <c r="BA546" s="200" t="str">
        <f>IFERROR(VLOOKUP($G546,нормы!$A$14:$BI$57,61,0)*$W546,"")</f>
        <v/>
      </c>
      <c r="BB546" s="30"/>
      <c r="BC546" s="203" t="str">
        <f>IFERROR(VLOOKUP($G546,нормы!$A$14:$BI$57,60,0)*W546,"")</f>
        <v/>
      </c>
      <c r="BD546" s="200" t="str">
        <f>IFERROR(VLOOKUP($G546,нормы!$A$14:$BG$57,44,0),"")</f>
        <v/>
      </c>
      <c r="BE546" s="199" t="str">
        <f>IFERROR(W546/VLOOKUP($G546,нормы!$A$14:$BI$57,45,0),"")</f>
        <v/>
      </c>
    </row>
    <row r="547" spans="1:57" s="1" customFormat="1" ht="20.25" customHeight="1" x14ac:dyDescent="0.4">
      <c r="A547" s="37" t="str">
        <f t="shared" si="218"/>
        <v>9Н</v>
      </c>
      <c r="B547" s="12">
        <f t="shared" si="221"/>
        <v>46031</v>
      </c>
      <c r="C547" s="97">
        <f t="shared" si="221"/>
        <v>0</v>
      </c>
      <c r="D547" s="97">
        <f t="shared" si="221"/>
        <v>2</v>
      </c>
      <c r="E547" s="54"/>
      <c r="F547" s="151" t="str">
        <f>IFERROR(VLOOKUP($G547,нормы!$A$14:$BC$57,2,0),"")</f>
        <v/>
      </c>
      <c r="G547" s="38"/>
      <c r="H547" s="54">
        <f t="shared" si="222"/>
        <v>0</v>
      </c>
      <c r="I547" s="89" t="s">
        <v>212</v>
      </c>
      <c r="J547" s="333"/>
      <c r="K547" s="30">
        <f>IFERROR(VLOOKUP($G547,[1]нормы!$A$21:$BC$151,15,0),"")</f>
        <v>0</v>
      </c>
      <c r="L547" s="31">
        <f>IFERROR(VLOOKUP($G547,[1]нормы!$A$21:$BC$151,17,0),"")</f>
        <v>0</v>
      </c>
      <c r="M547" s="306">
        <f>IFERROR(VLOOKUP($G547,[1]нормы!$A$21:$BC$151,27,0),"")</f>
        <v>0</v>
      </c>
      <c r="N547" s="307" t="str">
        <f>IFERROR(Y547/Y551*(1.1*J545*I550),"")</f>
        <v/>
      </c>
      <c r="O547" s="300">
        <f>IFERROR(VLOOKUP($G547,[1]нормы!$A$21:$BC$151,21,0),"")</f>
        <v>0</v>
      </c>
      <c r="P547" s="35">
        <f>IFERROR(VLOOKUP($G547,[1]нормы!$A$21:$BC$151,19,0),"")</f>
        <v>0</v>
      </c>
      <c r="Q547" s="35">
        <f>IFERROR(VLOOKUP($G547,[1]нормы!$A$21:$BC$151,23,0),"")</f>
        <v>0</v>
      </c>
      <c r="R547" s="231">
        <f>IFERROR(VLOOKUP($G547,[1]нормы!$A$21:$BC$151,29,0),"")</f>
        <v>0</v>
      </c>
      <c r="S547" s="35">
        <f>IFERROR(VLOOKUP($G547,[1]нормы!$A$21:$BC$151,31,0),"")</f>
        <v>0</v>
      </c>
      <c r="T547" s="32">
        <f>IFERROR(VLOOKUP($G547,[1]нормы!$A$21:$BC$151,25,0),"")</f>
        <v>0</v>
      </c>
      <c r="U547" s="233" t="str">
        <f>IFERROR(W547/(((100*Y547/Y551)*I550)/100),"")</f>
        <v/>
      </c>
      <c r="V547" s="234" t="str">
        <f>IFERROR(VLOOKUP($G547,нормы!$A$14:$BC$57,38,0),"")</f>
        <v/>
      </c>
      <c r="W547" s="136"/>
      <c r="X547" s="237"/>
      <c r="Y547" s="152" t="str">
        <f>IFERROR(VLOOKUP($G547,нормы!$A$14:$BC$57,42,0)*W547,"")</f>
        <v/>
      </c>
      <c r="Z547" s="163">
        <f>IFERROR(VLOOKUP($G547,нормы!$A$14:$BC$57,14,0)*W547/1000,0)</f>
        <v>0</v>
      </c>
      <c r="AA547" s="30"/>
      <c r="AB547" s="35"/>
      <c r="AC547" s="35"/>
      <c r="AD547" s="35"/>
      <c r="AE547" s="31"/>
      <c r="AF547" s="160"/>
      <c r="AG547" s="391"/>
      <c r="AH547" s="394"/>
      <c r="AI547" s="397"/>
      <c r="AJ547" s="408"/>
      <c r="AK547" s="360"/>
      <c r="AL547" s="360"/>
      <c r="AM547" s="360"/>
      <c r="AN547" s="289">
        <f>IFERROR(Y547*AJ545/Y551,)</f>
        <v>0</v>
      </c>
      <c r="AO547" s="197" t="str">
        <f>IFERROR(VLOOKUP($G547,нормы!$A$14:$BC$57,53,0)*$W547,"")</f>
        <v/>
      </c>
      <c r="AP547" s="290">
        <f>IFERROR(Y547*AI545/Y551,)</f>
        <v>0</v>
      </c>
      <c r="AQ547" s="197" t="str">
        <f>IFERROR(VLOOKUP($G547,нормы!$A$14:$BC$57,54,0)*$W547,"")</f>
        <v/>
      </c>
      <c r="AR547" s="290">
        <f>IFERROR(AS547/SUM(AS545:AS550)*AL545,0)</f>
        <v>0</v>
      </c>
      <c r="AS547" s="197" t="str">
        <f>IFERROR(VLOOKUP($G547,нормы!$A$14:$BC$57,55,0)*W547,"")</f>
        <v/>
      </c>
      <c r="AT547" s="290">
        <f>IFERROR(AU547/SUM(AU545:AU550)*AM545,0)</f>
        <v>0</v>
      </c>
      <c r="AU547" s="197" t="str">
        <f>IFERROR(VLOOKUP($G547,нормы!$A$14:$BI$57,56,0)*W547,"")</f>
        <v/>
      </c>
      <c r="AV547" s="290">
        <f>IFERROR(AW547/SUM(AW545:AW550)*AK545,0)</f>
        <v>0</v>
      </c>
      <c r="AW547" s="202" t="str">
        <f>IFERROR(VLOOKUP($G547,нормы!$A$14:$BI$57,57,0)*W547,"")</f>
        <v/>
      </c>
      <c r="AX547" s="30"/>
      <c r="AY547" s="203" t="str">
        <f>IFERROR(VLOOKUP($G547,нормы!$A$14:$BI$57,58,0)*W547,"")</f>
        <v/>
      </c>
      <c r="AZ547" s="205"/>
      <c r="BA547" s="200" t="str">
        <f>IFERROR(VLOOKUP($G547,нормы!$A$14:$BI$57,61,0)*$W547,"")</f>
        <v/>
      </c>
      <c r="BB547" s="30"/>
      <c r="BC547" s="203" t="str">
        <f>IFERROR(VLOOKUP($G547,нормы!$A$14:$BI$57,60,0)*W547,"")</f>
        <v/>
      </c>
      <c r="BD547" s="200" t="str">
        <f>IFERROR(VLOOKUP($G547,нормы!$A$14:$BG$57,44,0),"")</f>
        <v/>
      </c>
      <c r="BE547" s="199" t="str">
        <f>IFERROR(W547/VLOOKUP($G547,нормы!$A$14:$BI$57,45,0),"")</f>
        <v/>
      </c>
    </row>
    <row r="548" spans="1:57" s="1" customFormat="1" ht="20.25" customHeight="1" x14ac:dyDescent="0.4">
      <c r="A548" s="37" t="str">
        <f t="shared" si="218"/>
        <v>9Н</v>
      </c>
      <c r="B548" s="12">
        <f t="shared" si="221"/>
        <v>46031</v>
      </c>
      <c r="C548" s="97">
        <f t="shared" si="221"/>
        <v>0</v>
      </c>
      <c r="D548" s="97">
        <f t="shared" si="221"/>
        <v>2</v>
      </c>
      <c r="E548" s="54"/>
      <c r="F548" s="151" t="str">
        <f>IFERROR(VLOOKUP($G548,нормы!$A$14:$BC$57,2,0),"")</f>
        <v/>
      </c>
      <c r="G548" s="93"/>
      <c r="H548" s="54">
        <f t="shared" si="222"/>
        <v>0</v>
      </c>
      <c r="I548" s="55"/>
      <c r="J548" s="333"/>
      <c r="K548" s="30">
        <f>IFERROR(VLOOKUP($G548,[1]нормы!$A$21:$BC$151,15,0),"")</f>
        <v>0</v>
      </c>
      <c r="L548" s="31">
        <f>IFERROR(VLOOKUP($G548,[1]нормы!$A$21:$BC$151,17,0),"")</f>
        <v>0</v>
      </c>
      <c r="M548" s="306">
        <f>IFERROR(VLOOKUP($G548,[1]нормы!$A$21:$BC$151,27,0),"")</f>
        <v>0</v>
      </c>
      <c r="N548" s="307" t="str">
        <f>IFERROR(Y548/Y551*(1.1*J545*I553),"")</f>
        <v/>
      </c>
      <c r="O548" s="300">
        <f>IFERROR(VLOOKUP($G548,[1]нормы!$A$21:$BC$151,21,0),"")</f>
        <v>0</v>
      </c>
      <c r="P548" s="35">
        <f>IFERROR(VLOOKUP($G548,[1]нормы!$A$21:$BC$151,19,0),"")</f>
        <v>0</v>
      </c>
      <c r="Q548" s="35">
        <f>IFERROR(VLOOKUP($G548,[1]нормы!$A$21:$BC$151,23,0),"")</f>
        <v>0</v>
      </c>
      <c r="R548" s="231">
        <f>IFERROR(VLOOKUP($G548,[1]нормы!$A$21:$BC$151,29,0),"")</f>
        <v>0</v>
      </c>
      <c r="S548" s="35">
        <f>IFERROR(VLOOKUP($G548,[1]нормы!$A$21:$BC$151,31,0),"")</f>
        <v>0</v>
      </c>
      <c r="T548" s="32">
        <f>IFERROR(VLOOKUP($G548,[1]нормы!$A$21:$BC$151,25,0),"")</f>
        <v>0</v>
      </c>
      <c r="U548" s="233" t="str">
        <f>IFERROR(W548/(((100*Y548/Y551)*I550)/100),"")</f>
        <v/>
      </c>
      <c r="V548" s="234" t="str">
        <f>IFERROR(VLOOKUP($G548,нормы!$A$14:$BC$57,38,0),"")</f>
        <v/>
      </c>
      <c r="W548" s="136"/>
      <c r="X548" s="237"/>
      <c r="Y548" s="152" t="str">
        <f>IFERROR(VLOOKUP($G548,нормы!$A$14:$BC$57,42,0)*W548,"")</f>
        <v/>
      </c>
      <c r="Z548" s="163">
        <f>IFERROR(VLOOKUP($G548,нормы!$A$14:$BC$57,14,0)*W548/1000,0)</f>
        <v>0</v>
      </c>
      <c r="AA548" s="30"/>
      <c r="AB548" s="35"/>
      <c r="AC548" s="35"/>
      <c r="AD548" s="35"/>
      <c r="AE548" s="31"/>
      <c r="AF548" s="160"/>
      <c r="AG548" s="391"/>
      <c r="AH548" s="394"/>
      <c r="AI548" s="397"/>
      <c r="AJ548" s="408"/>
      <c r="AK548" s="360"/>
      <c r="AL548" s="360"/>
      <c r="AM548" s="360"/>
      <c r="AN548" s="289">
        <f>IFERROR(Y548*AJ545/Y551,)</f>
        <v>0</v>
      </c>
      <c r="AO548" s="197" t="str">
        <f>IFERROR(VLOOKUP($G548,нормы!$A$14:$BC$57,53,0)*$W548,"")</f>
        <v/>
      </c>
      <c r="AP548" s="290">
        <f>IFERROR(Y548*AI545/Y551,)</f>
        <v>0</v>
      </c>
      <c r="AQ548" s="197" t="str">
        <f>IFERROR(VLOOKUP($G548,нормы!$A$14:$BC$57,54,0)*$W548,"")</f>
        <v/>
      </c>
      <c r="AR548" s="290">
        <f>IFERROR(AS548/SUM(AS545:AS550)*AL545,0)</f>
        <v>0</v>
      </c>
      <c r="AS548" s="197" t="str">
        <f>IFERROR(VLOOKUP($G548,нормы!$A$14:$BC$57,55,0)*W548,"")</f>
        <v/>
      </c>
      <c r="AT548" s="290">
        <f>IFERROR(AU548/SUM(AU545:AU550)*AM545,0)</f>
        <v>0</v>
      </c>
      <c r="AU548" s="197" t="str">
        <f>IFERROR(VLOOKUP($G548,нормы!$A$14:$BI$57,56,0)*W548,"")</f>
        <v/>
      </c>
      <c r="AV548" s="290">
        <f>IFERROR(AW548/SUM(AW545:AW550)*AK545,0)</f>
        <v>0</v>
      </c>
      <c r="AW548" s="202" t="str">
        <f>IFERROR(VLOOKUP($G548,нормы!$A$14:$BI$57,57,0)*W548,"")</f>
        <v/>
      </c>
      <c r="AX548" s="30"/>
      <c r="AY548" s="203" t="str">
        <f>IFERROR(VLOOKUP($G548,нормы!$A$14:$BI$57,58,0)*W548,"")</f>
        <v/>
      </c>
      <c r="AZ548" s="205"/>
      <c r="BA548" s="200" t="str">
        <f>IFERROR(VLOOKUP($G548,нормы!$A$14:$BI$57,61,0)*$W548,"")</f>
        <v/>
      </c>
      <c r="BB548" s="30"/>
      <c r="BC548" s="203" t="str">
        <f>IFERROR(VLOOKUP($G548,нормы!$A$14:$BI$57,60,0)*W548,"")</f>
        <v/>
      </c>
      <c r="BD548" s="200" t="str">
        <f>IFERROR(VLOOKUP($G548,нормы!$A$14:$BG$57,44,0),"")</f>
        <v/>
      </c>
      <c r="BE548" s="199" t="str">
        <f>IFERROR(W548/VLOOKUP($G548,нормы!$A$14:$BI$57,45,0),"")</f>
        <v/>
      </c>
    </row>
    <row r="549" spans="1:57" s="1" customFormat="1" ht="20.25" customHeight="1" x14ac:dyDescent="0.4">
      <c r="A549" s="37" t="str">
        <f t="shared" si="218"/>
        <v>9Н</v>
      </c>
      <c r="B549" s="12">
        <f t="shared" si="221"/>
        <v>46031</v>
      </c>
      <c r="C549" s="97">
        <f t="shared" si="221"/>
        <v>0</v>
      </c>
      <c r="D549" s="97">
        <f t="shared" si="221"/>
        <v>2</v>
      </c>
      <c r="E549" s="54"/>
      <c r="F549" s="151" t="str">
        <f>IFERROR(VLOOKUP($G549,нормы!$A$14:$BC$57,2,0),"")</f>
        <v/>
      </c>
      <c r="G549" s="38"/>
      <c r="H549" s="54">
        <f t="shared" si="222"/>
        <v>0</v>
      </c>
      <c r="I549" s="89" t="s">
        <v>73</v>
      </c>
      <c r="J549" s="333"/>
      <c r="K549" s="30">
        <f>IFERROR(VLOOKUP($G549,[1]нормы!$A$21:$BC$151,15,0),"")</f>
        <v>0</v>
      </c>
      <c r="L549" s="31">
        <f>IFERROR(VLOOKUP($G549,[1]нормы!$A$21:$BC$151,17,0),"")</f>
        <v>0</v>
      </c>
      <c r="M549" s="306">
        <f>IFERROR(VLOOKUP($G549,[1]нормы!$A$21:$BC$151,27,0),"")</f>
        <v>0</v>
      </c>
      <c r="N549" s="307" t="str">
        <f>IFERROR(Y549/Y551*(1.1*J545*I554),"")</f>
        <v/>
      </c>
      <c r="O549" s="300">
        <f>IFERROR(VLOOKUP($G549,[1]нормы!$A$21:$BC$151,21,0),"")</f>
        <v>0</v>
      </c>
      <c r="P549" s="35">
        <f>IFERROR(VLOOKUP($G549,[1]нормы!$A$21:$BC$151,19,0),"")</f>
        <v>0</v>
      </c>
      <c r="Q549" s="35">
        <f>IFERROR(VLOOKUP($G549,[1]нормы!$A$21:$BC$151,23,0),"")</f>
        <v>0</v>
      </c>
      <c r="R549" s="231">
        <f>IFERROR(VLOOKUP($G549,[1]нормы!$A$21:$BC$151,29,0),"")</f>
        <v>0</v>
      </c>
      <c r="S549" s="35">
        <f>IFERROR(VLOOKUP($G549,[1]нормы!$A$21:$BC$151,31,0),"")</f>
        <v>0</v>
      </c>
      <c r="T549" s="32">
        <f>IFERROR(VLOOKUP($G549,[1]нормы!$A$21:$BC$151,25,0),"")</f>
        <v>0</v>
      </c>
      <c r="U549" s="233" t="str">
        <f>IFERROR(W549/(((100*Y549/Y551)*I550)/100),"")</f>
        <v/>
      </c>
      <c r="V549" s="234" t="str">
        <f>IFERROR(VLOOKUP($G549,нормы!$A$14:$BC$57,38,0),"")</f>
        <v/>
      </c>
      <c r="W549" s="136"/>
      <c r="X549" s="237"/>
      <c r="Y549" s="152" t="str">
        <f>IFERROR(VLOOKUP($G549,нормы!$A$14:$BC$57,42,0)*W549,"")</f>
        <v/>
      </c>
      <c r="Z549" s="163">
        <f>IFERROR(VLOOKUP($G549,нормы!$A$14:$BC$57,14,0)*W549/1000,0)</f>
        <v>0</v>
      </c>
      <c r="AA549" s="30"/>
      <c r="AB549" s="35"/>
      <c r="AC549" s="35"/>
      <c r="AD549" s="35"/>
      <c r="AE549" s="31"/>
      <c r="AF549" s="160"/>
      <c r="AG549" s="391"/>
      <c r="AH549" s="394"/>
      <c r="AI549" s="397"/>
      <c r="AJ549" s="408"/>
      <c r="AK549" s="360"/>
      <c r="AL549" s="360"/>
      <c r="AM549" s="360"/>
      <c r="AN549" s="289">
        <f>IFERROR(Y549*AJ545/Y551,)</f>
        <v>0</v>
      </c>
      <c r="AO549" s="197" t="str">
        <f>IFERROR(VLOOKUP($G549,нормы!$A$14:$BC$57,53,0)*$W549,"")</f>
        <v/>
      </c>
      <c r="AP549" s="290">
        <f>IFERROR(Y549*AI545/Y551,)</f>
        <v>0</v>
      </c>
      <c r="AQ549" s="197" t="str">
        <f>IFERROR(VLOOKUP($G549,нормы!$A$14:$BC$57,54,0)*$W549,"")</f>
        <v/>
      </c>
      <c r="AR549" s="290">
        <f>IFERROR(AS549/SUM(AS545:AS550)*AL545,0)</f>
        <v>0</v>
      </c>
      <c r="AS549" s="197" t="str">
        <f>IFERROR(VLOOKUP($G549,нормы!$A$14:$BC$57,55,0)*W549,"")</f>
        <v/>
      </c>
      <c r="AT549" s="290">
        <f>IFERROR(AU549/SUM(AU545:AU550)*AM545,0)</f>
        <v>0</v>
      </c>
      <c r="AU549" s="197" t="str">
        <f>IFERROR(VLOOKUP($G549,нормы!$A$14:$BI$57,56,0)*W549,"")</f>
        <v/>
      </c>
      <c r="AV549" s="290">
        <f>IFERROR(AW549/SUM(AW545:AW550)*AK545,0)</f>
        <v>0</v>
      </c>
      <c r="AW549" s="202" t="str">
        <f>IFERROR(VLOOKUP($G549,нормы!$A$14:$BI$57,57,0)*W549,"")</f>
        <v/>
      </c>
      <c r="AX549" s="30"/>
      <c r="AY549" s="203" t="str">
        <f>IFERROR(VLOOKUP($G549,нормы!$A$14:$BI$57,58,0)*W549,"")</f>
        <v/>
      </c>
      <c r="AZ549" s="205"/>
      <c r="BA549" s="200" t="str">
        <f>IFERROR(VLOOKUP($G549,нормы!$A$14:$BI$57,61,0)*$W549,"")</f>
        <v/>
      </c>
      <c r="BB549" s="30"/>
      <c r="BC549" s="203" t="str">
        <f>IFERROR(VLOOKUP($G549,нормы!$A$14:$BI$57,60,0)*W549,"")</f>
        <v/>
      </c>
      <c r="BD549" s="200" t="str">
        <f>IFERROR(VLOOKUP($G549,нормы!$A$14:$BG$57,44,0),"")</f>
        <v/>
      </c>
      <c r="BE549" s="199" t="str">
        <f>IFERROR(W549/VLOOKUP($G549,нормы!$A$14:$BI$57,45,0),"")</f>
        <v/>
      </c>
    </row>
    <row r="550" spans="1:57" s="1" customFormat="1" ht="21" customHeight="1" thickBot="1" x14ac:dyDescent="0.45">
      <c r="A550" s="37" t="str">
        <f t="shared" si="218"/>
        <v>9Н</v>
      </c>
      <c r="B550" s="12">
        <f t="shared" si="221"/>
        <v>46031</v>
      </c>
      <c r="C550" s="97">
        <f t="shared" si="221"/>
        <v>0</v>
      </c>
      <c r="D550" s="97">
        <f t="shared" si="221"/>
        <v>2</v>
      </c>
      <c r="E550" s="54"/>
      <c r="F550" s="151" t="str">
        <f>IFERROR(VLOOKUP($G550,нормы!$A$14:$BC$57,2,0),"")</f>
        <v/>
      </c>
      <c r="G550" s="93"/>
      <c r="H550" s="63">
        <f t="shared" si="222"/>
        <v>0</v>
      </c>
      <c r="I550" s="153">
        <f>I546+I548</f>
        <v>0</v>
      </c>
      <c r="J550" s="334"/>
      <c r="K550" s="30">
        <f>IFERROR(VLOOKUP($G550,[1]нормы!$A$21:$BC$151,15,0),"")</f>
        <v>0</v>
      </c>
      <c r="L550" s="31">
        <f>IFERROR(VLOOKUP($G550,[1]нормы!$A$21:$BC$151,17,0),"")</f>
        <v>0</v>
      </c>
      <c r="M550" s="308">
        <f>IFERROR(VLOOKUP($G550,[1]нормы!$A$21:$BC$151,27,0),"")</f>
        <v>0</v>
      </c>
      <c r="N550" s="309" t="str">
        <f>IFERROR(Y550/Y551*(1.1*J545*I555),"")</f>
        <v/>
      </c>
      <c r="O550" s="300">
        <f>IFERROR(VLOOKUP($G550,[1]нормы!$A$21:$BC$151,21,0),"")</f>
        <v>0</v>
      </c>
      <c r="P550" s="35">
        <f>IFERROR(VLOOKUP($G550,[1]нормы!$A$21:$BC$151,19,0),"")</f>
        <v>0</v>
      </c>
      <c r="Q550" s="35">
        <f>IFERROR(VLOOKUP($G550,[1]нормы!$A$21:$BC$151,23,0),"")</f>
        <v>0</v>
      </c>
      <c r="R550" s="231">
        <f>IFERROR(VLOOKUP($G550,[1]нормы!$A$21:$BC$151,29,0),"")</f>
        <v>0</v>
      </c>
      <c r="S550" s="35">
        <f>IFERROR(VLOOKUP($G550,[1]нормы!$A$21:$BC$151,31,0),"")</f>
        <v>0</v>
      </c>
      <c r="T550" s="32">
        <f>IFERROR(VLOOKUP($G550,[1]нормы!$A$21:$BC$151,25,0),"")</f>
        <v>0</v>
      </c>
      <c r="U550" s="235" t="str">
        <f>IFERROR(W550/(((100*Y550/Y551)*I550)/100),"")</f>
        <v/>
      </c>
      <c r="V550" s="234" t="str">
        <f>IFERROR(VLOOKUP($G550,нормы!$A$14:$BC$57,38,0),"")</f>
        <v/>
      </c>
      <c r="W550" s="154"/>
      <c r="X550" s="238"/>
      <c r="Y550" s="152" t="str">
        <f>IFERROR(VLOOKUP($G550,нормы!$A$14:$BC$57,42,0)*W550,"")</f>
        <v/>
      </c>
      <c r="Z550" s="163">
        <f>IFERROR(VLOOKUP($G550,нормы!$A$14:$BC$57,14,0)*W550/1000,0)</f>
        <v>0</v>
      </c>
      <c r="AA550" s="56"/>
      <c r="AB550" s="58"/>
      <c r="AC550" s="58"/>
      <c r="AD550" s="58"/>
      <c r="AE550" s="57"/>
      <c r="AF550" s="161"/>
      <c r="AG550" s="392"/>
      <c r="AH550" s="395"/>
      <c r="AI550" s="398"/>
      <c r="AJ550" s="409"/>
      <c r="AK550" s="361"/>
      <c r="AL550" s="361"/>
      <c r="AM550" s="361"/>
      <c r="AN550" s="291">
        <f>IFERROR(Y550*AJ545/Y551,)</f>
        <v>0</v>
      </c>
      <c r="AO550" s="197" t="str">
        <f>IFERROR(VLOOKUP($G550,нормы!$A$14:$BC$57,53,0)*$W550,"")</f>
        <v/>
      </c>
      <c r="AP550" s="292">
        <f>IFERROR(Y550*AI545/Y551,)</f>
        <v>0</v>
      </c>
      <c r="AQ550" s="197" t="str">
        <f>IFERROR(VLOOKUP($G550,нормы!$A$14:$BC$57,54,0)*$W550,"")</f>
        <v/>
      </c>
      <c r="AR550" s="290">
        <f>IFERROR(AS550/SUM(AS545:AS550)*AL545,0)</f>
        <v>0</v>
      </c>
      <c r="AS550" s="197" t="str">
        <f>IFERROR(VLOOKUP($G550,нормы!$A$14:$BC$57,55,0)*W550,"")</f>
        <v/>
      </c>
      <c r="AT550" s="292">
        <f>IFERROR(AU550/SUM(AU545:AU550)*AM545,0)</f>
        <v>0</v>
      </c>
      <c r="AU550" s="197" t="str">
        <f>IFERROR(VLOOKUP($G550,нормы!$A$14:$BI$57,56,0)*W550,"")</f>
        <v/>
      </c>
      <c r="AV550" s="292">
        <f>IFERROR(AW550/SUM(AW545:AW550)*AK545,0)</f>
        <v>0</v>
      </c>
      <c r="AW550" s="202" t="str">
        <f>IFERROR(VLOOKUP($G550,нормы!$A$14:$BI$57,57,0)*W550,"")</f>
        <v/>
      </c>
      <c r="AX550" s="56"/>
      <c r="AY550" s="203" t="str">
        <f>IFERROR(VLOOKUP($G550,нормы!$A$14:$BI$57,58,0)*W550,"")</f>
        <v/>
      </c>
      <c r="AZ550" s="206"/>
      <c r="BA550" s="200" t="str">
        <f>IFERROR(VLOOKUP($G550,нормы!$A$14:$BI$57,61,0)*$W550,"")</f>
        <v/>
      </c>
      <c r="BB550" s="56"/>
      <c r="BC550" s="203" t="str">
        <f>IFERROR(VLOOKUP($G550,нормы!$A$14:$BI$57,60,0)*W550,"")</f>
        <v/>
      </c>
      <c r="BD550" s="200" t="str">
        <f>IFERROR(VLOOKUP($G550,нормы!$A$14:$BG$57,44,0),"")</f>
        <v/>
      </c>
      <c r="BE550" s="199" t="str">
        <f>IFERROR(W550/VLOOKUP($G550,нормы!$A$14:$BI$57,45,0),"")</f>
        <v/>
      </c>
    </row>
    <row r="551" spans="1:57" s="1" customFormat="1" ht="29.4" customHeight="1" thickBot="1" x14ac:dyDescent="0.45">
      <c r="A551" s="37" t="str">
        <f t="shared" si="218"/>
        <v>9Н</v>
      </c>
      <c r="B551" s="59"/>
      <c r="C551" s="51"/>
      <c r="D551" s="51"/>
      <c r="E551" s="51"/>
      <c r="F551" s="51"/>
      <c r="G551" s="51"/>
      <c r="H551" s="51"/>
      <c r="I551" s="60"/>
      <c r="J551" s="60"/>
      <c r="K551" s="319" t="s">
        <v>213</v>
      </c>
      <c r="L551" s="316"/>
      <c r="M551" s="303" t="s">
        <v>213</v>
      </c>
      <c r="N551" s="317">
        <f>SUM(N545:N550)</f>
        <v>0</v>
      </c>
      <c r="O551" s="304" t="s">
        <v>217</v>
      </c>
      <c r="P551" s="318">
        <f>N551*8.937/1000</f>
        <v>0</v>
      </c>
      <c r="Q551" s="305" t="s">
        <v>215</v>
      </c>
      <c r="R551" s="61"/>
      <c r="S551" s="61"/>
      <c r="T551" s="61"/>
      <c r="U551" s="109"/>
      <c r="V551" s="109"/>
      <c r="W551" s="94"/>
      <c r="X551" s="155"/>
      <c r="Y551" s="96">
        <f>SUM(Y545:Y550)</f>
        <v>0</v>
      </c>
      <c r="Z551" s="164">
        <f>SUM(Z545:Z550)</f>
        <v>0</v>
      </c>
      <c r="AA551" s="207">
        <f>(AA537+AA538+AA539+AA540+AA541+AA542+AA543+AA545+AA546+AA547+AA548+AA549+AA550)-AG538</f>
        <v>1</v>
      </c>
      <c r="AB551" s="208">
        <f>(AB537+AB538+AB539+AB540+AB541+AB542+AB543+AB545+AB546+AB547+AB548+AB549+AB550)-AH538</f>
        <v>2</v>
      </c>
      <c r="AC551" s="208">
        <f>(AC537+AC538+AC539+AC540+AC541+AC542+AC543+AC545+AC546+AC547+AC548+AC549+AC550)-AG545</f>
        <v>3</v>
      </c>
      <c r="AD551" s="208">
        <f>(AD537+AD538+AD539+AD540+AD541+AD542+AD543+AD545+AD546+AD547+AD548+AD549+AD550)-AH545</f>
        <v>4</v>
      </c>
      <c r="AE551" s="208">
        <f>(AE537+AE538+AE539+AE540+AE541+AE542+AE543+AE545+AE546+AE547+AE548+AE549+AE550)-AI538</f>
        <v>5</v>
      </c>
      <c r="AF551" s="209">
        <f>(AF537+AF538+AF539+AF540+AF541+AF542+AF543+AF545+AF546+AF547+AF548+AF549+AF550)-AI545</f>
        <v>6</v>
      </c>
      <c r="AG551" s="62"/>
      <c r="AH551" s="62"/>
      <c r="AI551" s="62"/>
      <c r="AJ551" s="62"/>
      <c r="AK551" s="62"/>
      <c r="AL551" s="62"/>
      <c r="AM551" s="62"/>
      <c r="AN551" s="91">
        <f>SUM(AN545:AN550)</f>
        <v>0</v>
      </c>
      <c r="AO551" s="91">
        <f>SUM(AO545:AO550)</f>
        <v>0</v>
      </c>
      <c r="AP551" s="91"/>
      <c r="AQ551" s="91"/>
      <c r="AR551" s="91">
        <f>SUM(AR545:AR550)</f>
        <v>0</v>
      </c>
      <c r="AS551" s="91">
        <f t="shared" ref="AS551:AW551" si="223">SUM(AS545:AS550)</f>
        <v>0</v>
      </c>
      <c r="AT551" s="91">
        <f t="shared" si="223"/>
        <v>0</v>
      </c>
      <c r="AU551" s="91">
        <f t="shared" si="223"/>
        <v>0</v>
      </c>
      <c r="AV551" s="91">
        <f t="shared" si="223"/>
        <v>0</v>
      </c>
      <c r="AW551" s="91">
        <f t="shared" si="223"/>
        <v>0</v>
      </c>
      <c r="AX551" s="91">
        <f>SUM(AX545:AX550)</f>
        <v>0</v>
      </c>
      <c r="AY551" s="91">
        <f>SUM(AY545:AY550)</f>
        <v>0</v>
      </c>
      <c r="AZ551" s="91">
        <f>SUM(AZ545:AZ550)</f>
        <v>0</v>
      </c>
      <c r="BA551" s="91"/>
      <c r="BB551" s="91"/>
      <c r="BC551" s="91"/>
      <c r="BD551" s="91" t="str">
        <f>IFERROR(VLOOKUP($G551,нормы!$A$14:$BG$15,27,0),"")</f>
        <v/>
      </c>
      <c r="BE551" s="53" t="str">
        <f>IFERROR(W551/VLOOKUP($G551,нормы!$A$14:$BI$15,28,0),"")</f>
        <v/>
      </c>
    </row>
    <row r="552" spans="1:57" s="1" customFormat="1" ht="29.4" customHeight="1" thickBot="1" x14ac:dyDescent="0.5">
      <c r="A552" s="37" t="str">
        <f t="shared" si="218"/>
        <v>9Н</v>
      </c>
      <c r="B552" s="166" t="s">
        <v>130</v>
      </c>
      <c r="C552" s="167"/>
      <c r="D552" s="167"/>
      <c r="E552" s="167"/>
      <c r="F552" s="165"/>
      <c r="G552" s="167"/>
      <c r="H552" s="167"/>
      <c r="I552" s="168"/>
      <c r="J552" s="168"/>
      <c r="K552" s="168"/>
      <c r="L552" s="168"/>
      <c r="M552" s="168"/>
      <c r="N552" s="168"/>
      <c r="O552" s="167"/>
      <c r="P552" s="169"/>
      <c r="Q552" s="169"/>
      <c r="R552" s="169"/>
      <c r="S552" s="169"/>
      <c r="T552" s="169"/>
      <c r="U552" s="170"/>
      <c r="V552" s="170"/>
      <c r="W552" s="171"/>
      <c r="X552" s="171"/>
      <c r="Y552" s="172"/>
      <c r="Z552" s="172"/>
      <c r="AA552" s="201" t="s">
        <v>144</v>
      </c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64"/>
      <c r="AN552" s="167"/>
      <c r="AO552" s="167"/>
      <c r="AP552" s="167"/>
      <c r="AQ552" s="167"/>
      <c r="AR552" s="64"/>
      <c r="AS552" s="64"/>
      <c r="AT552" s="65"/>
      <c r="AU552" s="64"/>
      <c r="AV552" s="49"/>
      <c r="AW552" s="49"/>
      <c r="AX552" s="167"/>
      <c r="AY552" s="167"/>
      <c r="AZ552" s="167"/>
      <c r="BA552" s="167"/>
      <c r="BB552" s="167"/>
      <c r="BC552" s="167"/>
      <c r="BD552" s="66"/>
      <c r="BE552" s="66"/>
    </row>
    <row r="553" spans="1:57" s="1" customFormat="1" ht="23.25" customHeight="1" x14ac:dyDescent="0.4">
      <c r="A553" s="37" t="str">
        <f t="shared" si="218"/>
        <v>9Н</v>
      </c>
      <c r="B553" s="183"/>
      <c r="C553" s="100"/>
      <c r="D553" s="185"/>
      <c r="E553" s="186" t="s">
        <v>57</v>
      </c>
      <c r="F553" s="66" t="s">
        <v>87</v>
      </c>
      <c r="G553" s="66"/>
      <c r="H553" s="108" t="s">
        <v>131</v>
      </c>
      <c r="I553" s="101"/>
      <c r="J553" s="101"/>
      <c r="K553" s="101"/>
      <c r="L553" s="101"/>
      <c r="M553" s="101"/>
      <c r="N553" s="101"/>
      <c r="O553" s="67"/>
      <c r="P553" s="102"/>
      <c r="Q553" s="102"/>
      <c r="R553" s="102"/>
      <c r="S553" s="102"/>
      <c r="T553" s="102"/>
      <c r="U553" s="67"/>
      <c r="V553" s="67"/>
      <c r="W553" s="103"/>
      <c r="X553" s="187"/>
      <c r="Y553" s="68" t="s">
        <v>74</v>
      </c>
      <c r="Z553" s="69"/>
      <c r="AA553" s="90"/>
      <c r="AB553" s="100"/>
      <c r="AC553" s="100"/>
      <c r="AD553" s="186" t="s">
        <v>57</v>
      </c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190"/>
      <c r="AU553" s="66"/>
      <c r="AV553" s="165"/>
      <c r="AW553" s="293"/>
      <c r="AX553" s="66"/>
      <c r="AY553" s="66"/>
      <c r="AZ553" s="66"/>
      <c r="BA553" s="66"/>
      <c r="BB553" s="66"/>
      <c r="BC553" s="66"/>
      <c r="BD553" s="68" t="s">
        <v>74</v>
      </c>
      <c r="BE553" s="69"/>
    </row>
    <row r="554" spans="1:57" s="1" customFormat="1" ht="23.25" customHeight="1" thickBot="1" x14ac:dyDescent="0.45">
      <c r="A554" s="37" t="str">
        <f t="shared" si="218"/>
        <v>9Н</v>
      </c>
      <c r="B554" s="183"/>
      <c r="C554" s="41"/>
      <c r="D554" s="184"/>
      <c r="E554" s="50"/>
      <c r="F554" s="70"/>
      <c r="G554" s="70"/>
      <c r="H554" s="70"/>
      <c r="I554" s="104"/>
      <c r="J554" s="104"/>
      <c r="K554" s="104"/>
      <c r="L554" s="104"/>
      <c r="M554" s="104"/>
      <c r="N554" s="104"/>
      <c r="O554" s="71"/>
      <c r="P554" s="105"/>
      <c r="Q554" s="105"/>
      <c r="R554" s="105"/>
      <c r="S554" s="105"/>
      <c r="T554" s="105"/>
      <c r="U554" s="71"/>
      <c r="V554" s="71"/>
      <c r="W554" s="106"/>
      <c r="X554" s="188"/>
      <c r="Y554" s="72"/>
      <c r="Z554" s="73"/>
      <c r="AA554" s="90"/>
      <c r="AB554" s="41"/>
      <c r="AC554" s="41"/>
      <c r="AD554" s="50"/>
      <c r="AE554" s="47"/>
      <c r="AF554" s="47"/>
      <c r="AG554" s="47"/>
      <c r="AH554" s="47"/>
      <c r="AI554" s="47"/>
      <c r="AJ554" s="47"/>
      <c r="AK554" s="47"/>
      <c r="AL554" s="47"/>
      <c r="AM554" s="70"/>
      <c r="AN554" s="47"/>
      <c r="AO554" s="70"/>
      <c r="AP554" s="70"/>
      <c r="AQ554" s="70"/>
      <c r="AR554" s="70"/>
      <c r="AS554" s="70"/>
      <c r="AT554" s="191"/>
      <c r="AU554" s="70"/>
      <c r="AV554" s="192"/>
      <c r="AW554" s="294"/>
      <c r="AX554" s="70"/>
      <c r="AY554" s="70"/>
      <c r="AZ554" s="70"/>
      <c r="BA554" s="70"/>
      <c r="BB554" s="70"/>
      <c r="BC554" s="70"/>
      <c r="BD554" s="72"/>
      <c r="BE554" s="73"/>
    </row>
    <row r="555" spans="1:57" s="1" customFormat="1" ht="27" customHeight="1" x14ac:dyDescent="0.4">
      <c r="A555" s="37" t="str">
        <f t="shared" si="218"/>
        <v>9Н</v>
      </c>
      <c r="B555" s="183"/>
      <c r="C555" s="41"/>
      <c r="D555" s="184"/>
      <c r="E555" s="281">
        <f>B550</f>
        <v>46031</v>
      </c>
      <c r="F555" s="337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98">
        <v>1</v>
      </c>
      <c r="Y555" s="74">
        <v>1</v>
      </c>
      <c r="Z555" s="75">
        <f t="shared" ref="Z555:Z566" si="224">Y555-X555</f>
        <v>0</v>
      </c>
      <c r="AA555" s="189"/>
      <c r="AB555" s="41"/>
      <c r="AC555" s="184"/>
      <c r="AD555" s="210">
        <f>E555</f>
        <v>46031</v>
      </c>
      <c r="AE555" s="387"/>
      <c r="AF555" s="388"/>
      <c r="AG555" s="388"/>
      <c r="AH555" s="388"/>
      <c r="AI555" s="388"/>
      <c r="AJ555" s="388"/>
      <c r="AK555" s="388"/>
      <c r="AL555" s="388"/>
      <c r="AM555" s="388"/>
      <c r="AN555" s="388"/>
      <c r="AO555" s="388"/>
      <c r="AP555" s="388"/>
      <c r="AQ555" s="388"/>
      <c r="AR555" s="388"/>
      <c r="AS555" s="388"/>
      <c r="AT555" s="388"/>
      <c r="AU555" s="388"/>
      <c r="AV555" s="388"/>
      <c r="AW555" s="388"/>
      <c r="AX555" s="388"/>
      <c r="AY555" s="388"/>
      <c r="AZ555" s="388"/>
      <c r="BA555" s="388"/>
      <c r="BB555" s="389"/>
      <c r="BC555" s="98">
        <v>1</v>
      </c>
      <c r="BD555" s="74">
        <v>1</v>
      </c>
      <c r="BE555" s="75">
        <f t="shared" ref="BE555:BE566" si="225">BD555-BC555</f>
        <v>0</v>
      </c>
    </row>
    <row r="556" spans="1:57" s="1" customFormat="1" ht="21.9" customHeight="1" x14ac:dyDescent="0.4">
      <c r="A556" s="37" t="str">
        <f t="shared" si="218"/>
        <v>9Н</v>
      </c>
      <c r="B556" s="183"/>
      <c r="C556" s="41"/>
      <c r="D556" s="184"/>
      <c r="E556" s="282">
        <f>E555</f>
        <v>46031</v>
      </c>
      <c r="F556" s="335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  <c r="R556" s="336"/>
      <c r="S556" s="336"/>
      <c r="T556" s="336"/>
      <c r="U556" s="336"/>
      <c r="V556" s="336"/>
      <c r="W556" s="336"/>
      <c r="X556" s="98">
        <v>1</v>
      </c>
      <c r="Y556" s="74">
        <v>1</v>
      </c>
      <c r="Z556" s="75">
        <f t="shared" si="224"/>
        <v>0</v>
      </c>
      <c r="AA556" s="107">
        <f>AA555</f>
        <v>0</v>
      </c>
      <c r="AB556" s="41"/>
      <c r="AC556" s="184"/>
      <c r="AD556" s="212">
        <f>AD555</f>
        <v>46031</v>
      </c>
      <c r="AE556" s="387"/>
      <c r="AF556" s="388"/>
      <c r="AG556" s="388"/>
      <c r="AH556" s="388"/>
      <c r="AI556" s="388"/>
      <c r="AJ556" s="388"/>
      <c r="AK556" s="388"/>
      <c r="AL556" s="388"/>
      <c r="AM556" s="388"/>
      <c r="AN556" s="388"/>
      <c r="AO556" s="388"/>
      <c r="AP556" s="388"/>
      <c r="AQ556" s="388"/>
      <c r="AR556" s="388"/>
      <c r="AS556" s="388"/>
      <c r="AT556" s="388"/>
      <c r="AU556" s="388"/>
      <c r="AV556" s="388"/>
      <c r="AW556" s="388"/>
      <c r="AX556" s="388"/>
      <c r="AY556" s="388"/>
      <c r="AZ556" s="388"/>
      <c r="BA556" s="388"/>
      <c r="BB556" s="389"/>
      <c r="BC556" s="98">
        <v>1</v>
      </c>
      <c r="BD556" s="74">
        <v>1</v>
      </c>
      <c r="BE556" s="75">
        <f t="shared" si="225"/>
        <v>0</v>
      </c>
    </row>
    <row r="557" spans="1:57" s="1" customFormat="1" ht="18" customHeight="1" x14ac:dyDescent="0.4">
      <c r="A557" s="37" t="str">
        <f t="shared" si="218"/>
        <v>9Н</v>
      </c>
      <c r="B557" s="183"/>
      <c r="C557" s="41"/>
      <c r="D557" s="184"/>
      <c r="E557" s="282">
        <f t="shared" ref="E557:E566" si="226">E556</f>
        <v>46031</v>
      </c>
      <c r="F557" s="335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  <c r="R557" s="336"/>
      <c r="S557" s="336"/>
      <c r="T557" s="336"/>
      <c r="U557" s="336"/>
      <c r="V557" s="336"/>
      <c r="W557" s="336"/>
      <c r="X557" s="98">
        <v>1</v>
      </c>
      <c r="Y557" s="74">
        <v>1</v>
      </c>
      <c r="Z557" s="75">
        <f t="shared" si="224"/>
        <v>0</v>
      </c>
      <c r="AA557" s="107">
        <f>AA556</f>
        <v>0</v>
      </c>
      <c r="AB557" s="41"/>
      <c r="AC557" s="184"/>
      <c r="AD557" s="212">
        <f t="shared" ref="AD557:AD566" si="227">AD556</f>
        <v>46031</v>
      </c>
      <c r="AE557" s="387"/>
      <c r="AF557" s="388"/>
      <c r="AG557" s="388"/>
      <c r="AH557" s="388"/>
      <c r="AI557" s="388"/>
      <c r="AJ557" s="388"/>
      <c r="AK557" s="388"/>
      <c r="AL557" s="388"/>
      <c r="AM557" s="388"/>
      <c r="AN557" s="388"/>
      <c r="AO557" s="388"/>
      <c r="AP557" s="388"/>
      <c r="AQ557" s="388"/>
      <c r="AR557" s="388"/>
      <c r="AS557" s="388"/>
      <c r="AT557" s="388"/>
      <c r="AU557" s="388"/>
      <c r="AV557" s="388"/>
      <c r="AW557" s="388"/>
      <c r="AX557" s="388"/>
      <c r="AY557" s="388"/>
      <c r="AZ557" s="388"/>
      <c r="BA557" s="388"/>
      <c r="BB557" s="389"/>
      <c r="BC557" s="98">
        <v>1</v>
      </c>
      <c r="BD557" s="74">
        <v>1</v>
      </c>
      <c r="BE557" s="75">
        <f t="shared" si="225"/>
        <v>0</v>
      </c>
    </row>
    <row r="558" spans="1:57" s="1" customFormat="1" ht="18" customHeight="1" x14ac:dyDescent="0.4">
      <c r="A558" s="37" t="str">
        <f t="shared" si="218"/>
        <v>9Н</v>
      </c>
      <c r="B558" s="183"/>
      <c r="C558" s="41"/>
      <c r="D558" s="184"/>
      <c r="E558" s="282">
        <f t="shared" si="226"/>
        <v>46031</v>
      </c>
      <c r="F558" s="335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  <c r="R558" s="336"/>
      <c r="S558" s="336"/>
      <c r="T558" s="336"/>
      <c r="U558" s="336"/>
      <c r="V558" s="336"/>
      <c r="W558" s="336"/>
      <c r="X558" s="98">
        <v>1</v>
      </c>
      <c r="Y558" s="74">
        <v>1</v>
      </c>
      <c r="Z558" s="75">
        <f t="shared" si="224"/>
        <v>0</v>
      </c>
      <c r="AA558" s="107">
        <f t="shared" ref="AA558:AA566" si="228">AA557</f>
        <v>0</v>
      </c>
      <c r="AB558" s="41"/>
      <c r="AC558" s="184"/>
      <c r="AD558" s="212">
        <f t="shared" si="227"/>
        <v>46031</v>
      </c>
      <c r="AE558" s="387"/>
      <c r="AF558" s="388"/>
      <c r="AG558" s="388"/>
      <c r="AH558" s="388"/>
      <c r="AI558" s="388"/>
      <c r="AJ558" s="388"/>
      <c r="AK558" s="388"/>
      <c r="AL558" s="388"/>
      <c r="AM558" s="388"/>
      <c r="AN558" s="388"/>
      <c r="AO558" s="388"/>
      <c r="AP558" s="388"/>
      <c r="AQ558" s="388"/>
      <c r="AR558" s="388"/>
      <c r="AS558" s="388"/>
      <c r="AT558" s="388"/>
      <c r="AU558" s="388"/>
      <c r="AV558" s="388"/>
      <c r="AW558" s="388"/>
      <c r="AX558" s="388"/>
      <c r="AY558" s="388"/>
      <c r="AZ558" s="388"/>
      <c r="BA558" s="388"/>
      <c r="BB558" s="389"/>
      <c r="BC558" s="98">
        <v>1</v>
      </c>
      <c r="BD558" s="74">
        <v>1</v>
      </c>
      <c r="BE558" s="75">
        <f t="shared" si="225"/>
        <v>0</v>
      </c>
    </row>
    <row r="559" spans="1:57" s="1" customFormat="1" ht="18" customHeight="1" x14ac:dyDescent="0.4">
      <c r="A559" s="37" t="str">
        <f t="shared" si="218"/>
        <v>9Н</v>
      </c>
      <c r="B559" s="183"/>
      <c r="C559" s="41"/>
      <c r="D559" s="184"/>
      <c r="E559" s="282">
        <f t="shared" si="226"/>
        <v>46031</v>
      </c>
      <c r="F559" s="335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  <c r="R559" s="336"/>
      <c r="S559" s="336"/>
      <c r="T559" s="336"/>
      <c r="U559" s="336"/>
      <c r="V559" s="336"/>
      <c r="W559" s="336"/>
      <c r="X559" s="98">
        <v>1</v>
      </c>
      <c r="Y559" s="74">
        <v>1</v>
      </c>
      <c r="Z559" s="75">
        <f t="shared" si="224"/>
        <v>0</v>
      </c>
      <c r="AA559" s="107">
        <f t="shared" si="228"/>
        <v>0</v>
      </c>
      <c r="AB559" s="41"/>
      <c r="AC559" s="184"/>
      <c r="AD559" s="212">
        <f t="shared" si="227"/>
        <v>46031</v>
      </c>
      <c r="AE559" s="387"/>
      <c r="AF559" s="388"/>
      <c r="AG559" s="388"/>
      <c r="AH559" s="388"/>
      <c r="AI559" s="388"/>
      <c r="AJ559" s="388"/>
      <c r="AK559" s="388"/>
      <c r="AL559" s="388"/>
      <c r="AM559" s="388"/>
      <c r="AN559" s="388"/>
      <c r="AO559" s="388"/>
      <c r="AP559" s="388"/>
      <c r="AQ559" s="388"/>
      <c r="AR559" s="388"/>
      <c r="AS559" s="388"/>
      <c r="AT559" s="388"/>
      <c r="AU559" s="388"/>
      <c r="AV559" s="388"/>
      <c r="AW559" s="388"/>
      <c r="AX559" s="388"/>
      <c r="AY559" s="388"/>
      <c r="AZ559" s="388"/>
      <c r="BA559" s="388"/>
      <c r="BB559" s="389"/>
      <c r="BC559" s="98">
        <v>1</v>
      </c>
      <c r="BD559" s="74">
        <v>1</v>
      </c>
      <c r="BE559" s="75">
        <f t="shared" si="225"/>
        <v>0</v>
      </c>
    </row>
    <row r="560" spans="1:57" s="1" customFormat="1" ht="18" customHeight="1" x14ac:dyDescent="0.4">
      <c r="A560" s="37" t="str">
        <f t="shared" si="218"/>
        <v>9Н</v>
      </c>
      <c r="B560" s="183"/>
      <c r="C560" s="41"/>
      <c r="D560" s="184"/>
      <c r="E560" s="282">
        <f t="shared" si="226"/>
        <v>46031</v>
      </c>
      <c r="F560" s="335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  <c r="R560" s="336"/>
      <c r="S560" s="336"/>
      <c r="T560" s="336"/>
      <c r="U560" s="336"/>
      <c r="V560" s="336"/>
      <c r="W560" s="336"/>
      <c r="X560" s="98">
        <v>1</v>
      </c>
      <c r="Y560" s="74">
        <v>1</v>
      </c>
      <c r="Z560" s="75">
        <f t="shared" si="224"/>
        <v>0</v>
      </c>
      <c r="AA560" s="107">
        <f t="shared" si="228"/>
        <v>0</v>
      </c>
      <c r="AB560" s="41"/>
      <c r="AC560" s="184"/>
      <c r="AD560" s="212">
        <f t="shared" si="227"/>
        <v>46031</v>
      </c>
      <c r="AE560" s="387"/>
      <c r="AF560" s="388"/>
      <c r="AG560" s="388"/>
      <c r="AH560" s="388"/>
      <c r="AI560" s="388"/>
      <c r="AJ560" s="388"/>
      <c r="AK560" s="388"/>
      <c r="AL560" s="388"/>
      <c r="AM560" s="388"/>
      <c r="AN560" s="388"/>
      <c r="AO560" s="388"/>
      <c r="AP560" s="388"/>
      <c r="AQ560" s="388"/>
      <c r="AR560" s="388"/>
      <c r="AS560" s="388"/>
      <c r="AT560" s="388"/>
      <c r="AU560" s="388"/>
      <c r="AV560" s="388"/>
      <c r="AW560" s="388"/>
      <c r="AX560" s="388"/>
      <c r="AY560" s="388"/>
      <c r="AZ560" s="388"/>
      <c r="BA560" s="388"/>
      <c r="BB560" s="389"/>
      <c r="BC560" s="98">
        <v>1</v>
      </c>
      <c r="BD560" s="74">
        <v>1</v>
      </c>
      <c r="BE560" s="75">
        <f t="shared" si="225"/>
        <v>0</v>
      </c>
    </row>
    <row r="561" spans="1:57" s="1" customFormat="1" ht="18" customHeight="1" x14ac:dyDescent="0.4">
      <c r="A561" s="37" t="str">
        <f t="shared" si="218"/>
        <v>9Н</v>
      </c>
      <c r="B561" s="183"/>
      <c r="C561" s="41"/>
      <c r="D561" s="184"/>
      <c r="E561" s="282">
        <f t="shared" si="226"/>
        <v>46031</v>
      </c>
      <c r="F561" s="335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  <c r="R561" s="336"/>
      <c r="S561" s="336"/>
      <c r="T561" s="336"/>
      <c r="U561" s="336"/>
      <c r="V561" s="336"/>
      <c r="W561" s="336"/>
      <c r="X561" s="98">
        <v>1</v>
      </c>
      <c r="Y561" s="74">
        <v>1</v>
      </c>
      <c r="Z561" s="75">
        <f t="shared" si="224"/>
        <v>0</v>
      </c>
      <c r="AA561" s="107">
        <f t="shared" si="228"/>
        <v>0</v>
      </c>
      <c r="AB561" s="41"/>
      <c r="AC561" s="184"/>
      <c r="AD561" s="212">
        <f t="shared" si="227"/>
        <v>46031</v>
      </c>
      <c r="AE561" s="387"/>
      <c r="AF561" s="388"/>
      <c r="AG561" s="388"/>
      <c r="AH561" s="388"/>
      <c r="AI561" s="388"/>
      <c r="AJ561" s="388"/>
      <c r="AK561" s="388"/>
      <c r="AL561" s="388"/>
      <c r="AM561" s="388"/>
      <c r="AN561" s="388"/>
      <c r="AO561" s="388"/>
      <c r="AP561" s="388"/>
      <c r="AQ561" s="388"/>
      <c r="AR561" s="388"/>
      <c r="AS561" s="388"/>
      <c r="AT561" s="388"/>
      <c r="AU561" s="388"/>
      <c r="AV561" s="388"/>
      <c r="AW561" s="388"/>
      <c r="AX561" s="388"/>
      <c r="AY561" s="388"/>
      <c r="AZ561" s="388"/>
      <c r="BA561" s="388"/>
      <c r="BB561" s="389"/>
      <c r="BC561" s="98">
        <v>1</v>
      </c>
      <c r="BD561" s="74">
        <v>1</v>
      </c>
      <c r="BE561" s="75">
        <f t="shared" si="225"/>
        <v>0</v>
      </c>
    </row>
    <row r="562" spans="1:57" s="1" customFormat="1" ht="18" customHeight="1" x14ac:dyDescent="0.4">
      <c r="A562" s="37" t="str">
        <f t="shared" si="218"/>
        <v>9Н</v>
      </c>
      <c r="B562" s="183"/>
      <c r="C562" s="41"/>
      <c r="D562" s="184"/>
      <c r="E562" s="282">
        <f t="shared" si="226"/>
        <v>46031</v>
      </c>
      <c r="F562" s="335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  <c r="R562" s="336"/>
      <c r="S562" s="336"/>
      <c r="T562" s="336"/>
      <c r="U562" s="336"/>
      <c r="V562" s="336"/>
      <c r="W562" s="336"/>
      <c r="X562" s="98">
        <v>1</v>
      </c>
      <c r="Y562" s="74">
        <v>1</v>
      </c>
      <c r="Z562" s="75">
        <f t="shared" si="224"/>
        <v>0</v>
      </c>
      <c r="AA562" s="107">
        <f t="shared" si="228"/>
        <v>0</v>
      </c>
      <c r="AB562" s="41"/>
      <c r="AC562" s="184"/>
      <c r="AD562" s="212">
        <f t="shared" si="227"/>
        <v>46031</v>
      </c>
      <c r="AE562" s="387"/>
      <c r="AF562" s="388"/>
      <c r="AG562" s="388"/>
      <c r="AH562" s="388"/>
      <c r="AI562" s="388"/>
      <c r="AJ562" s="388"/>
      <c r="AK562" s="388"/>
      <c r="AL562" s="388"/>
      <c r="AM562" s="388"/>
      <c r="AN562" s="388"/>
      <c r="AO562" s="388"/>
      <c r="AP562" s="388"/>
      <c r="AQ562" s="388"/>
      <c r="AR562" s="388"/>
      <c r="AS562" s="388"/>
      <c r="AT562" s="388"/>
      <c r="AU562" s="388"/>
      <c r="AV562" s="388"/>
      <c r="AW562" s="388"/>
      <c r="AX562" s="388"/>
      <c r="AY562" s="388"/>
      <c r="AZ562" s="388"/>
      <c r="BA562" s="388"/>
      <c r="BB562" s="389"/>
      <c r="BC562" s="98">
        <v>1</v>
      </c>
      <c r="BD562" s="74">
        <v>1</v>
      </c>
      <c r="BE562" s="75">
        <f t="shared" si="225"/>
        <v>0</v>
      </c>
    </row>
    <row r="563" spans="1:57" s="1" customFormat="1" ht="18" customHeight="1" x14ac:dyDescent="0.4">
      <c r="A563" s="37" t="str">
        <f t="shared" si="218"/>
        <v>9Н</v>
      </c>
      <c r="B563" s="183"/>
      <c r="C563" s="41"/>
      <c r="D563" s="184"/>
      <c r="E563" s="282">
        <f t="shared" si="226"/>
        <v>46031</v>
      </c>
      <c r="F563" s="335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  <c r="R563" s="336"/>
      <c r="S563" s="336"/>
      <c r="T563" s="336"/>
      <c r="U563" s="336"/>
      <c r="V563" s="336"/>
      <c r="W563" s="336"/>
      <c r="X563" s="98">
        <v>1</v>
      </c>
      <c r="Y563" s="74">
        <v>1</v>
      </c>
      <c r="Z563" s="75">
        <f t="shared" si="224"/>
        <v>0</v>
      </c>
      <c r="AA563" s="107">
        <f t="shared" si="228"/>
        <v>0</v>
      </c>
      <c r="AB563" s="41"/>
      <c r="AC563" s="184"/>
      <c r="AD563" s="212">
        <f t="shared" si="227"/>
        <v>46031</v>
      </c>
      <c r="AE563" s="387"/>
      <c r="AF563" s="388"/>
      <c r="AG563" s="388"/>
      <c r="AH563" s="388"/>
      <c r="AI563" s="388"/>
      <c r="AJ563" s="388"/>
      <c r="AK563" s="388"/>
      <c r="AL563" s="388"/>
      <c r="AM563" s="388"/>
      <c r="AN563" s="388"/>
      <c r="AO563" s="388"/>
      <c r="AP563" s="388"/>
      <c r="AQ563" s="388"/>
      <c r="AR563" s="388"/>
      <c r="AS563" s="388"/>
      <c r="AT563" s="388"/>
      <c r="AU563" s="388"/>
      <c r="AV563" s="388"/>
      <c r="AW563" s="388"/>
      <c r="AX563" s="388"/>
      <c r="AY563" s="388"/>
      <c r="AZ563" s="388"/>
      <c r="BA563" s="388"/>
      <c r="BB563" s="389"/>
      <c r="BC563" s="98">
        <v>1</v>
      </c>
      <c r="BD563" s="74">
        <v>1</v>
      </c>
      <c r="BE563" s="75">
        <f t="shared" si="225"/>
        <v>0</v>
      </c>
    </row>
    <row r="564" spans="1:57" s="1" customFormat="1" ht="18" customHeight="1" x14ac:dyDescent="0.4">
      <c r="A564" s="37" t="str">
        <f t="shared" si="218"/>
        <v>9Н</v>
      </c>
      <c r="B564" s="183"/>
      <c r="C564" s="41"/>
      <c r="D564" s="184"/>
      <c r="E564" s="282">
        <f t="shared" si="226"/>
        <v>46031</v>
      </c>
      <c r="F564" s="335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  <c r="R564" s="336"/>
      <c r="S564" s="336"/>
      <c r="T564" s="336"/>
      <c r="U564" s="336"/>
      <c r="V564" s="336"/>
      <c r="W564" s="336"/>
      <c r="X564" s="98">
        <v>1</v>
      </c>
      <c r="Y564" s="74">
        <v>1</v>
      </c>
      <c r="Z564" s="75">
        <f t="shared" si="224"/>
        <v>0</v>
      </c>
      <c r="AA564" s="107">
        <f t="shared" si="228"/>
        <v>0</v>
      </c>
      <c r="AB564" s="41"/>
      <c r="AC564" s="184"/>
      <c r="AD564" s="212">
        <f t="shared" si="227"/>
        <v>46031</v>
      </c>
      <c r="AE564" s="387"/>
      <c r="AF564" s="388"/>
      <c r="AG564" s="388"/>
      <c r="AH564" s="388"/>
      <c r="AI564" s="388"/>
      <c r="AJ564" s="388"/>
      <c r="AK564" s="388"/>
      <c r="AL564" s="388"/>
      <c r="AM564" s="388"/>
      <c r="AN564" s="388"/>
      <c r="AO564" s="388"/>
      <c r="AP564" s="388"/>
      <c r="AQ564" s="388"/>
      <c r="AR564" s="388"/>
      <c r="AS564" s="388"/>
      <c r="AT564" s="388"/>
      <c r="AU564" s="388"/>
      <c r="AV564" s="388"/>
      <c r="AW564" s="388"/>
      <c r="AX564" s="388"/>
      <c r="AY564" s="388"/>
      <c r="AZ564" s="388"/>
      <c r="BA564" s="388"/>
      <c r="BB564" s="389"/>
      <c r="BC564" s="98">
        <v>1</v>
      </c>
      <c r="BD564" s="74">
        <v>1</v>
      </c>
      <c r="BE564" s="75">
        <f t="shared" si="225"/>
        <v>0</v>
      </c>
    </row>
    <row r="565" spans="1:57" s="1" customFormat="1" ht="18" customHeight="1" x14ac:dyDescent="0.4">
      <c r="A565" s="37" t="str">
        <f t="shared" si="218"/>
        <v>9Н</v>
      </c>
      <c r="B565" s="183"/>
      <c r="C565" s="41"/>
      <c r="D565" s="184"/>
      <c r="E565" s="282">
        <f t="shared" si="226"/>
        <v>46031</v>
      </c>
      <c r="F565" s="335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  <c r="R565" s="336"/>
      <c r="S565" s="336"/>
      <c r="T565" s="336"/>
      <c r="U565" s="336"/>
      <c r="V565" s="336"/>
      <c r="W565" s="336"/>
      <c r="X565" s="98">
        <v>1</v>
      </c>
      <c r="Y565" s="74">
        <v>1</v>
      </c>
      <c r="Z565" s="75">
        <f t="shared" si="224"/>
        <v>0</v>
      </c>
      <c r="AA565" s="107">
        <f t="shared" si="228"/>
        <v>0</v>
      </c>
      <c r="AB565" s="41"/>
      <c r="AC565" s="184"/>
      <c r="AD565" s="212">
        <f t="shared" si="227"/>
        <v>46031</v>
      </c>
      <c r="AE565" s="387"/>
      <c r="AF565" s="388"/>
      <c r="AG565" s="388"/>
      <c r="AH565" s="388"/>
      <c r="AI565" s="388"/>
      <c r="AJ565" s="388"/>
      <c r="AK565" s="388"/>
      <c r="AL565" s="388"/>
      <c r="AM565" s="388"/>
      <c r="AN565" s="388"/>
      <c r="AO565" s="388"/>
      <c r="AP565" s="388"/>
      <c r="AQ565" s="388"/>
      <c r="AR565" s="388"/>
      <c r="AS565" s="388"/>
      <c r="AT565" s="388"/>
      <c r="AU565" s="388"/>
      <c r="AV565" s="388"/>
      <c r="AW565" s="388"/>
      <c r="AX565" s="388"/>
      <c r="AY565" s="388"/>
      <c r="AZ565" s="388"/>
      <c r="BA565" s="388"/>
      <c r="BB565" s="389"/>
      <c r="BC565" s="98">
        <v>1</v>
      </c>
      <c r="BD565" s="74">
        <v>1</v>
      </c>
      <c r="BE565" s="75">
        <f t="shared" si="225"/>
        <v>0</v>
      </c>
    </row>
    <row r="566" spans="1:57" s="1" customFormat="1" ht="18" customHeight="1" thickBot="1" x14ac:dyDescent="0.45">
      <c r="A566" s="37" t="str">
        <f t="shared" si="218"/>
        <v>9Н</v>
      </c>
      <c r="B566" s="183"/>
      <c r="C566" s="41"/>
      <c r="D566" s="184"/>
      <c r="E566" s="283">
        <f t="shared" si="226"/>
        <v>46031</v>
      </c>
      <c r="F566" s="339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99">
        <v>1</v>
      </c>
      <c r="Y566" s="76">
        <v>1</v>
      </c>
      <c r="Z566" s="77">
        <f t="shared" si="224"/>
        <v>0</v>
      </c>
      <c r="AA566" s="107">
        <f t="shared" si="228"/>
        <v>0</v>
      </c>
      <c r="AB566" s="41"/>
      <c r="AC566" s="184"/>
      <c r="AD566" s="211">
        <f t="shared" si="227"/>
        <v>46031</v>
      </c>
      <c r="AE566" s="410"/>
      <c r="AF566" s="411"/>
      <c r="AG566" s="411"/>
      <c r="AH566" s="411"/>
      <c r="AI566" s="411"/>
      <c r="AJ566" s="411"/>
      <c r="AK566" s="411"/>
      <c r="AL566" s="411"/>
      <c r="AM566" s="411"/>
      <c r="AN566" s="411"/>
      <c r="AO566" s="411"/>
      <c r="AP566" s="411"/>
      <c r="AQ566" s="411"/>
      <c r="AR566" s="411"/>
      <c r="AS566" s="411"/>
      <c r="AT566" s="411"/>
      <c r="AU566" s="411"/>
      <c r="AV566" s="411"/>
      <c r="AW566" s="411"/>
      <c r="AX566" s="411"/>
      <c r="AY566" s="411"/>
      <c r="AZ566" s="411"/>
      <c r="BA566" s="411"/>
      <c r="BB566" s="412"/>
      <c r="BC566" s="99">
        <v>1</v>
      </c>
      <c r="BD566" s="76">
        <v>1</v>
      </c>
      <c r="BE566" s="75">
        <f t="shared" si="225"/>
        <v>0</v>
      </c>
    </row>
    <row r="567" spans="1:57" s="1" customFormat="1" ht="23.25" customHeight="1" thickBot="1" x14ac:dyDescent="0.45">
      <c r="A567" s="37" t="str">
        <f t="shared" si="218"/>
        <v>9Н</v>
      </c>
      <c r="B567" s="193"/>
      <c r="C567" s="47"/>
      <c r="D567" s="47"/>
      <c r="E567" s="47"/>
      <c r="F567" s="78"/>
      <c r="G567" s="78"/>
      <c r="H567" s="78"/>
      <c r="I567" s="80"/>
      <c r="J567" s="80"/>
      <c r="K567" s="80"/>
      <c r="L567" s="80"/>
      <c r="M567" s="80"/>
      <c r="N567" s="80"/>
      <c r="O567" s="78"/>
      <c r="P567" s="81"/>
      <c r="Q567" s="81"/>
      <c r="R567" s="81"/>
      <c r="S567" s="81"/>
      <c r="T567" s="81"/>
      <c r="U567" s="82"/>
      <c r="V567" s="82"/>
      <c r="W567" s="86"/>
      <c r="X567" s="194"/>
      <c r="Y567" s="83"/>
      <c r="Z567" s="83"/>
      <c r="AA567" s="78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84"/>
      <c r="AN567" s="47"/>
      <c r="AO567" s="78"/>
      <c r="AP567" s="78"/>
      <c r="AQ567" s="78"/>
      <c r="AR567" s="84"/>
      <c r="AS567" s="78"/>
      <c r="AT567" s="85"/>
      <c r="AU567" s="78"/>
      <c r="AV567" s="83"/>
      <c r="AW567" s="83"/>
      <c r="AX567" s="78"/>
      <c r="AY567" s="78"/>
      <c r="AZ567" s="78"/>
      <c r="BA567" s="78"/>
      <c r="BB567" s="78"/>
      <c r="BC567" s="78"/>
      <c r="BD567" s="79"/>
      <c r="BE567" s="79"/>
    </row>
    <row r="568" spans="1:57" s="1" customFormat="1" ht="21.6" customHeight="1" thickBot="1" x14ac:dyDescent="0.45">
      <c r="A568" s="37" t="s">
        <v>164</v>
      </c>
      <c r="B568" s="59"/>
      <c r="C568" s="51"/>
      <c r="D568" s="51"/>
      <c r="E568" s="51"/>
      <c r="F568" s="158" t="s">
        <v>147</v>
      </c>
      <c r="G568" s="51"/>
      <c r="H568" s="51"/>
      <c r="I568" s="156"/>
      <c r="J568" s="156"/>
      <c r="K568" s="156"/>
      <c r="L568" s="156"/>
      <c r="M568" s="156"/>
      <c r="N568" s="156"/>
      <c r="O568" s="91"/>
      <c r="P568" s="52"/>
      <c r="Q568" s="52"/>
      <c r="R568" s="52"/>
      <c r="S568" s="52"/>
      <c r="T568" s="52"/>
      <c r="U568" s="157"/>
      <c r="V568" s="157"/>
      <c r="W568" s="94"/>
      <c r="X568" s="94"/>
      <c r="Y568" s="51"/>
      <c r="Z568" s="51"/>
      <c r="AA568" s="157">
        <f>AA551</f>
        <v>1</v>
      </c>
      <c r="AB568" s="157">
        <f t="shared" ref="AB568:AF568" si="229">AB551</f>
        <v>2</v>
      </c>
      <c r="AC568" s="157">
        <f t="shared" si="229"/>
        <v>3</v>
      </c>
      <c r="AD568" s="157">
        <f t="shared" si="229"/>
        <v>4</v>
      </c>
      <c r="AE568" s="157">
        <f t="shared" si="229"/>
        <v>5</v>
      </c>
      <c r="AF568" s="157">
        <f t="shared" si="229"/>
        <v>6</v>
      </c>
      <c r="AG568" s="162" t="s">
        <v>123</v>
      </c>
      <c r="AH568" s="162" t="s">
        <v>124</v>
      </c>
      <c r="AI568" s="162" t="s">
        <v>125</v>
      </c>
      <c r="AJ568" s="91" t="s">
        <v>126</v>
      </c>
      <c r="AK568" s="198" t="s">
        <v>136</v>
      </c>
      <c r="AL568" s="198" t="s">
        <v>137</v>
      </c>
      <c r="AM568" s="198" t="s">
        <v>138</v>
      </c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</row>
    <row r="569" spans="1:57" s="1" customFormat="1" ht="21.6" customHeight="1" x14ac:dyDescent="0.4">
      <c r="A569" s="37" t="str">
        <f>A568</f>
        <v>10Д</v>
      </c>
      <c r="B569" s="12">
        <f>B550+1</f>
        <v>46032</v>
      </c>
      <c r="C569" s="97"/>
      <c r="D569" s="97">
        <v>1</v>
      </c>
      <c r="E569" s="29"/>
      <c r="F569" s="151" t="str">
        <f>IFERROR(VLOOKUP($G569,нормы!$A$14:$BC$57,2,0),"")</f>
        <v/>
      </c>
      <c r="G569" s="93"/>
      <c r="H569" s="54">
        <f>IF(C569=1,"Кульков С.А.", IF(C569=2,"Чудаков А.А.",IF(C569=3,"Королев В.Н.",IF(C569=4,"Николашин М.П.",IF(C569=5," Кульков С.А.",IF(C569=6,"А.А. Чудаков",IF(C569=7,"В.Н. Королев",IF(C569=8,"М.П. Николашин",0))))))))</f>
        <v>0</v>
      </c>
      <c r="I569" s="88" t="s">
        <v>84</v>
      </c>
      <c r="J569" s="332"/>
      <c r="K569" s="30">
        <f>IFERROR(VLOOKUP($G569,[1]нормы!$A$21:$BC$151,15,0),"")</f>
        <v>0</v>
      </c>
      <c r="L569" s="31">
        <f>IFERROR(VLOOKUP($G569,[1]нормы!$A$21:$BC$151,17,0),"")</f>
        <v>0</v>
      </c>
      <c r="M569" s="310">
        <f>IFERROR(VLOOKUP($G569,[1]нормы!$A$21:$BC$151,27,0),"")</f>
        <v>0</v>
      </c>
      <c r="N569" s="311" t="str">
        <f>IFERROR(Y569/Y575*(1.1*J569*I574),"")</f>
        <v/>
      </c>
      <c r="O569" s="300">
        <f>IFERROR(VLOOKUP($G569,[1]нормы!$A$21:$BC$151,21,0),"")</f>
        <v>0</v>
      </c>
      <c r="P569" s="35">
        <f>IFERROR(VLOOKUP($G569,[1]нормы!$A$21:$BC$151,19,0),"")</f>
        <v>0</v>
      </c>
      <c r="Q569" s="35">
        <f>IFERROR(VLOOKUP($G569,[1]нормы!$A$21:$BC$151,23,0),"")</f>
        <v>0</v>
      </c>
      <c r="R569" s="231">
        <f>IFERROR(VLOOKUP($G569,[1]нормы!$A$21:$BC$151,29,0),"")</f>
        <v>0</v>
      </c>
      <c r="S569" s="35">
        <f>IFERROR(VLOOKUP($G569,[1]нормы!$A$21:$BC$151,31,0),"")</f>
        <v>0</v>
      </c>
      <c r="T569" s="32">
        <f>IFERROR(VLOOKUP($G569,[1]нормы!$A$21:$BC$151,25,0),"")</f>
        <v>0</v>
      </c>
      <c r="U569" s="232" t="str">
        <f>IFERROR(W569/(((100*Y569/Y575)*I574)/100),"")</f>
        <v/>
      </c>
      <c r="V569" s="234" t="str">
        <f>IFERROR(VLOOKUP($G569,нормы!$A$14:$BC$57,38,0),"")</f>
        <v/>
      </c>
      <c r="W569" s="136"/>
      <c r="X569" s="236"/>
      <c r="Y569" s="152" t="str">
        <f>IFERROR(VLOOKUP($G569,нормы!$A$14:$BC$57,42,0)*W569,"")</f>
        <v/>
      </c>
      <c r="Z569" s="163">
        <f>IFERROR(VLOOKUP($G569,нормы!$A$14:$BC$57,14,0)*W569/1000,0)</f>
        <v>0</v>
      </c>
      <c r="AA569" s="33"/>
      <c r="AB569" s="36"/>
      <c r="AC569" s="36"/>
      <c r="AD569" s="36"/>
      <c r="AE569" s="34"/>
      <c r="AF569" s="159"/>
      <c r="AG569" s="390"/>
      <c r="AH569" s="393"/>
      <c r="AI569" s="396"/>
      <c r="AJ569" s="407">
        <f>AG569+AH569</f>
        <v>0</v>
      </c>
      <c r="AK569" s="359"/>
      <c r="AL569" s="359"/>
      <c r="AM569" s="359"/>
      <c r="AN569" s="287">
        <f>IFERROR(Y569*AJ569/Y575,)</f>
        <v>0</v>
      </c>
      <c r="AO569" s="197" t="str">
        <f>IFERROR(VLOOKUP($G569,нормы!$A$14:$BC$57,53,0)*$W569,"")</f>
        <v/>
      </c>
      <c r="AP569" s="288">
        <f>IFERROR(Y569*AI569/Y575,)</f>
        <v>0</v>
      </c>
      <c r="AQ569" s="197" t="str">
        <f>IFERROR(VLOOKUP($G569,нормы!$A$14:$BC$57,54,0)*$W569,"")</f>
        <v/>
      </c>
      <c r="AR569" s="288">
        <f>IFERROR(AS569/SUM(AS569:AS574)*AL569,0)</f>
        <v>0</v>
      </c>
      <c r="AS569" s="197" t="str">
        <f>IFERROR(VLOOKUP($G569,нормы!$A$14:$BC$57,55,0)*W569,"")</f>
        <v/>
      </c>
      <c r="AT569" s="288">
        <f>IFERROR(AU569/SUM(AU569:AU574)*AM569,0)</f>
        <v>0</v>
      </c>
      <c r="AU569" s="197" t="str">
        <f>IFERROR(VLOOKUP($G569,нормы!$A$14:$BI$57,56,0)*W569,"")</f>
        <v/>
      </c>
      <c r="AV569" s="288">
        <f>IFERROR(AW569/SUM(AW569:AW574)*AK569,0)</f>
        <v>0</v>
      </c>
      <c r="AW569" s="202" t="str">
        <f>IFERROR(VLOOKUP($G569,нормы!$A$14:$BI$57,57,0)*W569,"")</f>
        <v/>
      </c>
      <c r="AX569" s="33"/>
      <c r="AY569" s="203" t="str">
        <f>IFERROR(VLOOKUP($G569,нормы!$A$14:$BI$57,58,0)*W569,"")</f>
        <v/>
      </c>
      <c r="AZ569" s="204"/>
      <c r="BA569" s="200" t="str">
        <f>IFERROR(VLOOKUP($G569,нормы!$A$14:$BI$57,61,0)*$W569,"")</f>
        <v/>
      </c>
      <c r="BB569" s="33"/>
      <c r="BC569" s="203" t="str">
        <f>IFERROR(VLOOKUP($G569,нормы!$A$14:$BI$57,60,0)*W569,"")</f>
        <v/>
      </c>
      <c r="BD569" s="200" t="str">
        <f>IFERROR(VLOOKUP($G569,нормы!$A$14:$BG$57,44,0),"")</f>
        <v/>
      </c>
      <c r="BE569" s="199" t="str">
        <f>IFERROR(W569/VLOOKUP($G569,нормы!$A$14:$BI$57,45,0),"")</f>
        <v/>
      </c>
    </row>
    <row r="570" spans="1:57" s="1" customFormat="1" ht="21.6" customHeight="1" x14ac:dyDescent="0.4">
      <c r="A570" s="37" t="str">
        <f t="shared" ref="A570:A598" si="230">A569</f>
        <v>10Д</v>
      </c>
      <c r="B570" s="12">
        <f t="shared" ref="B570:D574" si="231">B569</f>
        <v>46032</v>
      </c>
      <c r="C570" s="97">
        <f t="shared" si="231"/>
        <v>0</v>
      </c>
      <c r="D570" s="97">
        <f t="shared" si="231"/>
        <v>1</v>
      </c>
      <c r="E570" s="54"/>
      <c r="F570" s="151" t="str">
        <f>IFERROR(VLOOKUP($G570,нормы!$A$14:$BC$57,2,0),"")</f>
        <v/>
      </c>
      <c r="G570" s="93"/>
      <c r="H570" s="54">
        <f t="shared" ref="H570:H574" si="232">IF(C570=1,"Кульков С.А.", IF(C570=2,"Чудаков А.А.",IF(C570=3,"Королев В.Н.",IF(C570=4,"Николашин М.П.",IF(C570=5," Кульков С.А.",IF(C570=6,"А.А. Чудаков",IF(C570=7,"В.Н. Королев",IF(C570=8,"М.П. Николашин",0))))))))</f>
        <v>0</v>
      </c>
      <c r="I570" s="55"/>
      <c r="J570" s="333"/>
      <c r="K570" s="30">
        <f>IFERROR(VLOOKUP($G570,[1]нормы!$A$21:$BC$151,15,0),"")</f>
        <v>0</v>
      </c>
      <c r="L570" s="31">
        <f>IFERROR(VLOOKUP($G570,[1]нормы!$A$21:$BC$151,17,0),"")</f>
        <v>0</v>
      </c>
      <c r="M570" s="306">
        <f>IFERROR(VLOOKUP($G570,[1]нормы!$A$21:$BC$151,27,0),"")</f>
        <v>0</v>
      </c>
      <c r="N570" s="307" t="str">
        <f>IFERROR(Y570/Y575*(1.1*J569*I574),"")</f>
        <v/>
      </c>
      <c r="O570" s="300">
        <f>IFERROR(VLOOKUP($G570,[1]нормы!$A$21:$BC$151,21,0),"")</f>
        <v>0</v>
      </c>
      <c r="P570" s="35">
        <f>IFERROR(VLOOKUP($G570,[1]нормы!$A$21:$BC$151,19,0),"")</f>
        <v>0</v>
      </c>
      <c r="Q570" s="35">
        <f>IFERROR(VLOOKUP($G570,[1]нормы!$A$21:$BC$151,23,0),"")</f>
        <v>0</v>
      </c>
      <c r="R570" s="231">
        <f>IFERROR(VLOOKUP($G570,[1]нормы!$A$21:$BC$151,29,0),"")</f>
        <v>0</v>
      </c>
      <c r="S570" s="35">
        <f>IFERROR(VLOOKUP($G570,[1]нормы!$A$21:$BC$151,31,0),"")</f>
        <v>0</v>
      </c>
      <c r="T570" s="32">
        <f>IFERROR(VLOOKUP($G570,[1]нормы!$A$21:$BC$151,25,0),"")</f>
        <v>0</v>
      </c>
      <c r="U570" s="233" t="str">
        <f>IFERROR(W570/(((100*Y570/Y575)*I574)/100),"")</f>
        <v/>
      </c>
      <c r="V570" s="234" t="str">
        <f>IFERROR(VLOOKUP($G570,нормы!$A$14:$BC$57,38,0),"")</f>
        <v/>
      </c>
      <c r="W570" s="136"/>
      <c r="X570" s="237"/>
      <c r="Y570" s="152" t="str">
        <f>IFERROR(VLOOKUP($G570,нормы!$A$14:$BC$57,42,0)*W570,"")</f>
        <v/>
      </c>
      <c r="Z570" s="163">
        <f>IFERROR(VLOOKUP($G570,нормы!$A$14:$BC$57,14,0)*W570/1000,0)</f>
        <v>0</v>
      </c>
      <c r="AA570" s="142"/>
      <c r="AB570" s="35"/>
      <c r="AC570" s="35"/>
      <c r="AD570" s="35"/>
      <c r="AE570" s="31"/>
      <c r="AF570" s="160"/>
      <c r="AG570" s="391"/>
      <c r="AH570" s="394"/>
      <c r="AI570" s="397"/>
      <c r="AJ570" s="408"/>
      <c r="AK570" s="360"/>
      <c r="AL570" s="360"/>
      <c r="AM570" s="360"/>
      <c r="AN570" s="289">
        <f>IFERROR(Y570*AJ569/Y575,)</f>
        <v>0</v>
      </c>
      <c r="AO570" s="197" t="str">
        <f>IFERROR(VLOOKUP($G570,нормы!$A$14:$BC$57,53,0)*$W570,"")</f>
        <v/>
      </c>
      <c r="AP570" s="290">
        <f>IFERROR(Y570*AI569/Y575,)</f>
        <v>0</v>
      </c>
      <c r="AQ570" s="197" t="str">
        <f>IFERROR(VLOOKUP($G570,нормы!$A$14:$BC$57,54,0)*$W570,"")</f>
        <v/>
      </c>
      <c r="AR570" s="290">
        <f>IFERROR(AS570/SUM(AS569:AS574)*AL569,0)</f>
        <v>0</v>
      </c>
      <c r="AS570" s="197" t="str">
        <f>IFERROR(VLOOKUP($G570,нормы!$A$14:$BC$57,55,0)*W570,"")</f>
        <v/>
      </c>
      <c r="AT570" s="290">
        <f>IFERROR(AU570/SUM(AU569:AU574)*AM569,0)</f>
        <v>0</v>
      </c>
      <c r="AU570" s="197" t="str">
        <f>IFERROR(VLOOKUP($G570,нормы!$A$14:$BI$57,56,0)*W570,"")</f>
        <v/>
      </c>
      <c r="AV570" s="290">
        <f>IFERROR(AW570/SUM(AW569:AW574)*AK569,0)</f>
        <v>0</v>
      </c>
      <c r="AW570" s="202" t="str">
        <f>IFERROR(VLOOKUP($G570,нормы!$A$14:$BI$57,57,0)*W570,"")</f>
        <v/>
      </c>
      <c r="AX570" s="30"/>
      <c r="AY570" s="203" t="str">
        <f>IFERROR(VLOOKUP($G570,нормы!$A$14:$BI$57,58,0)*W570,"")</f>
        <v/>
      </c>
      <c r="AZ570" s="205"/>
      <c r="BA570" s="200" t="str">
        <f>IFERROR(VLOOKUP($G570,нормы!$A$14:$BI$57,61,0)*$W570,"")</f>
        <v/>
      </c>
      <c r="BB570" s="30"/>
      <c r="BC570" s="203" t="str">
        <f>IFERROR(VLOOKUP($G570,нормы!$A$14:$BI$57,60,0)*W570,"")</f>
        <v/>
      </c>
      <c r="BD570" s="200" t="str">
        <f>IFERROR(VLOOKUP($G570,нормы!$A$14:$BG$57,44,0),"")</f>
        <v/>
      </c>
      <c r="BE570" s="199" t="str">
        <f>IFERROR(W570/VLOOKUP($G570,нормы!$A$14:$BI$57,45,0),"")</f>
        <v/>
      </c>
    </row>
    <row r="571" spans="1:57" s="1" customFormat="1" ht="20.25" customHeight="1" x14ac:dyDescent="0.4">
      <c r="A571" s="37" t="str">
        <f t="shared" si="230"/>
        <v>10Д</v>
      </c>
      <c r="B571" s="12">
        <f t="shared" si="231"/>
        <v>46032</v>
      </c>
      <c r="C571" s="97">
        <f t="shared" si="231"/>
        <v>0</v>
      </c>
      <c r="D571" s="97">
        <f t="shared" si="231"/>
        <v>1</v>
      </c>
      <c r="E571" s="54"/>
      <c r="F571" s="151" t="str">
        <f>IFERROR(VLOOKUP($G571,нормы!$A$14:$BC$57,2,0),"")</f>
        <v/>
      </c>
      <c r="G571" s="38"/>
      <c r="H571" s="54">
        <f t="shared" si="232"/>
        <v>0</v>
      </c>
      <c r="I571" s="89" t="s">
        <v>85</v>
      </c>
      <c r="J571" s="333"/>
      <c r="K571" s="30">
        <f>IFERROR(VLOOKUP($G571,[1]нормы!$A$21:$BC$151,15,0),"")</f>
        <v>0</v>
      </c>
      <c r="L571" s="31">
        <f>IFERROR(VLOOKUP($G571,[1]нормы!$A$21:$BC$151,17,0),"")</f>
        <v>0</v>
      </c>
      <c r="M571" s="306">
        <f>IFERROR(VLOOKUP($G571,[1]нормы!$A$21:$BC$151,27,0),"")</f>
        <v>0</v>
      </c>
      <c r="N571" s="307" t="str">
        <f>IFERROR(Y571/Y575*(1.1*J569*I574),"")</f>
        <v/>
      </c>
      <c r="O571" s="300">
        <f>IFERROR(VLOOKUP($G571,[1]нормы!$A$21:$BC$151,21,0),"")</f>
        <v>0</v>
      </c>
      <c r="P571" s="35">
        <f>IFERROR(VLOOKUP($G571,[1]нормы!$A$21:$BC$151,19,0),"")</f>
        <v>0</v>
      </c>
      <c r="Q571" s="35">
        <f>IFERROR(VLOOKUP($G571,[1]нормы!$A$21:$BC$151,23,0),"")</f>
        <v>0</v>
      </c>
      <c r="R571" s="231">
        <f>IFERROR(VLOOKUP($G571,[1]нормы!$A$21:$BC$151,29,0),"")</f>
        <v>0</v>
      </c>
      <c r="S571" s="35">
        <f>IFERROR(VLOOKUP($G571,[1]нормы!$A$21:$BC$151,31,0),"")</f>
        <v>0</v>
      </c>
      <c r="T571" s="32">
        <f>IFERROR(VLOOKUP($G571,[1]нормы!$A$21:$BC$151,25,0),"")</f>
        <v>0</v>
      </c>
      <c r="U571" s="233" t="str">
        <f>IFERROR(W571/(((100*Y571/Y575)*I574)/100),"")</f>
        <v/>
      </c>
      <c r="V571" s="234" t="str">
        <f>IFERROR(VLOOKUP($G571,нормы!$A$14:$BC$57,38,0),"")</f>
        <v/>
      </c>
      <c r="W571" s="136"/>
      <c r="X571" s="237"/>
      <c r="Y571" s="152" t="str">
        <f>IFERROR(VLOOKUP($G571,нормы!$A$14:$BC$57,42,0)*W571,"")</f>
        <v/>
      </c>
      <c r="Z571" s="163">
        <f>IFERROR(VLOOKUP($G571,нормы!$A$14:$BC$57,14,0)*W571/1000,0)</f>
        <v>0</v>
      </c>
      <c r="AA571" s="30"/>
      <c r="AB571" s="35"/>
      <c r="AC571" s="35"/>
      <c r="AD571" s="35"/>
      <c r="AE571" s="31"/>
      <c r="AF571" s="160"/>
      <c r="AG571" s="391"/>
      <c r="AH571" s="394"/>
      <c r="AI571" s="397"/>
      <c r="AJ571" s="408"/>
      <c r="AK571" s="360"/>
      <c r="AL571" s="360"/>
      <c r="AM571" s="360"/>
      <c r="AN571" s="289">
        <f>IFERROR(Y571*AJ569/Y575,)</f>
        <v>0</v>
      </c>
      <c r="AO571" s="197" t="str">
        <f>IFERROR(VLOOKUP($G571,нормы!$A$14:$BC$57,53,0)*$W571,"")</f>
        <v/>
      </c>
      <c r="AP571" s="290">
        <f>IFERROR(Y571*AI569/Y575,)</f>
        <v>0</v>
      </c>
      <c r="AQ571" s="197" t="str">
        <f>IFERROR(VLOOKUP($G571,нормы!$A$14:$BC$57,54,0)*$W571,"")</f>
        <v/>
      </c>
      <c r="AR571" s="290">
        <f>IFERROR(AS571/SUM(AS569:AS574)*AL569,0)</f>
        <v>0</v>
      </c>
      <c r="AS571" s="197" t="str">
        <f>IFERROR(VLOOKUP($G571,нормы!$A$14:$BC$57,55,0)*W571,"")</f>
        <v/>
      </c>
      <c r="AT571" s="290">
        <f>IFERROR(AU571/SUM(AU569:AU574)*AM569,0)</f>
        <v>0</v>
      </c>
      <c r="AU571" s="197" t="str">
        <f>IFERROR(VLOOKUP($G571,нормы!$A$14:$BI$57,56,0)*W571,"")</f>
        <v/>
      </c>
      <c r="AV571" s="290">
        <f>IFERROR(AW571/SUM(AW569:AW574)*AK569,0)</f>
        <v>0</v>
      </c>
      <c r="AW571" s="202" t="str">
        <f>IFERROR(VLOOKUP($G571,нормы!$A$14:$BI$57,57,0)*W571,"")</f>
        <v/>
      </c>
      <c r="AX571" s="30"/>
      <c r="AY571" s="203" t="str">
        <f>IFERROR(VLOOKUP($G571,нормы!$A$14:$BI$57,58,0)*W571,"")</f>
        <v/>
      </c>
      <c r="AZ571" s="205"/>
      <c r="BA571" s="200" t="str">
        <f>IFERROR(VLOOKUP($G571,нормы!$A$14:$BI$57,61,0)*$W571,"")</f>
        <v/>
      </c>
      <c r="BB571" s="30"/>
      <c r="BC571" s="203" t="str">
        <f>IFERROR(VLOOKUP($G571,нормы!$A$14:$BI$57,60,0)*W571,"")</f>
        <v/>
      </c>
      <c r="BD571" s="200" t="str">
        <f>IFERROR(VLOOKUP($G571,нормы!$A$14:$BG$57,44,0),"")</f>
        <v/>
      </c>
      <c r="BE571" s="199" t="str">
        <f>IFERROR(W571/VLOOKUP($G571,нормы!$A$14:$BI$57,45,0),"")</f>
        <v/>
      </c>
    </row>
    <row r="572" spans="1:57" s="1" customFormat="1" ht="20.25" customHeight="1" x14ac:dyDescent="0.4">
      <c r="A572" s="37" t="str">
        <f t="shared" si="230"/>
        <v>10Д</v>
      </c>
      <c r="B572" s="12">
        <f t="shared" si="231"/>
        <v>46032</v>
      </c>
      <c r="C572" s="97">
        <f t="shared" si="231"/>
        <v>0</v>
      </c>
      <c r="D572" s="97">
        <f t="shared" si="231"/>
        <v>1</v>
      </c>
      <c r="E572" s="54"/>
      <c r="F572" s="151" t="str">
        <f>IFERROR(VLOOKUP($G572,нормы!$A$14:$BC$57,2,0),"")</f>
        <v/>
      </c>
      <c r="G572" s="93"/>
      <c r="H572" s="54">
        <f t="shared" si="232"/>
        <v>0</v>
      </c>
      <c r="I572" s="55"/>
      <c r="J572" s="333"/>
      <c r="K572" s="30">
        <f>IFERROR(VLOOKUP($G572,[1]нормы!$A$21:$BC$151,15,0),"")</f>
        <v>0</v>
      </c>
      <c r="L572" s="31">
        <f>IFERROR(VLOOKUP($G572,[1]нормы!$A$21:$BC$151,17,0),"")</f>
        <v>0</v>
      </c>
      <c r="M572" s="306">
        <f>IFERROR(VLOOKUP($G572,[1]нормы!$A$21:$BC$151,27,0),"")</f>
        <v>0</v>
      </c>
      <c r="N572" s="307" t="str">
        <f>IFERROR(Y572/Y575*(1.1*J569*I577),"")</f>
        <v/>
      </c>
      <c r="O572" s="300">
        <f>IFERROR(VLOOKUP($G572,[1]нормы!$A$21:$BC$151,21,0),"")</f>
        <v>0</v>
      </c>
      <c r="P572" s="35">
        <f>IFERROR(VLOOKUP($G572,[1]нормы!$A$21:$BC$151,19,0),"")</f>
        <v>0</v>
      </c>
      <c r="Q572" s="35">
        <f>IFERROR(VLOOKUP($G572,[1]нормы!$A$21:$BC$151,23,0),"")</f>
        <v>0</v>
      </c>
      <c r="R572" s="231">
        <f>IFERROR(VLOOKUP($G572,[1]нормы!$A$21:$BC$151,29,0),"")</f>
        <v>0</v>
      </c>
      <c r="S572" s="35">
        <f>IFERROR(VLOOKUP($G572,[1]нормы!$A$21:$BC$151,31,0),"")</f>
        <v>0</v>
      </c>
      <c r="T572" s="32">
        <f>IFERROR(VLOOKUP($G572,[1]нормы!$A$21:$BC$151,25,0),"")</f>
        <v>0</v>
      </c>
      <c r="U572" s="233" t="str">
        <f>IFERROR(W572/(((100*Y572/Y575)*I574)/100),"")</f>
        <v/>
      </c>
      <c r="V572" s="234" t="str">
        <f>IFERROR(VLOOKUP($G572,нормы!$A$14:$BC$57,38,0),"")</f>
        <v/>
      </c>
      <c r="W572" s="136"/>
      <c r="X572" s="237"/>
      <c r="Y572" s="152" t="str">
        <f>IFERROR(VLOOKUP($G572,нормы!$A$14:$BC$57,42,0)*W572,"")</f>
        <v/>
      </c>
      <c r="Z572" s="163">
        <f>IFERROR(VLOOKUP($G572,нормы!$A$14:$BC$57,14,0)*W572/1000,0)</f>
        <v>0</v>
      </c>
      <c r="AA572" s="30"/>
      <c r="AB572" s="35"/>
      <c r="AC572" s="35"/>
      <c r="AD572" s="35"/>
      <c r="AE572" s="31"/>
      <c r="AF572" s="160"/>
      <c r="AG572" s="391"/>
      <c r="AH572" s="394"/>
      <c r="AI572" s="397"/>
      <c r="AJ572" s="408"/>
      <c r="AK572" s="360"/>
      <c r="AL572" s="360"/>
      <c r="AM572" s="360"/>
      <c r="AN572" s="289">
        <f>IFERROR(Y572*AJ569/Y575,)</f>
        <v>0</v>
      </c>
      <c r="AO572" s="197" t="str">
        <f>IFERROR(VLOOKUP($G572,нормы!$A$14:$BC$57,53,0)*$W572,"")</f>
        <v/>
      </c>
      <c r="AP572" s="290">
        <f>IFERROR(Y572*AI569/Y575,)</f>
        <v>0</v>
      </c>
      <c r="AQ572" s="197" t="str">
        <f>IFERROR(VLOOKUP($G572,нормы!$A$14:$BC$57,54,0)*$W572,"")</f>
        <v/>
      </c>
      <c r="AR572" s="290">
        <f>IFERROR(AS572/SUM(AS569:AS574)*AL569,0)</f>
        <v>0</v>
      </c>
      <c r="AS572" s="197" t="str">
        <f>IFERROR(VLOOKUP($G572,нормы!$A$14:$BC$57,55,0)*W572,"")</f>
        <v/>
      </c>
      <c r="AT572" s="290">
        <f>IFERROR(AU572/SUM(AU569:AU574)*AM569,0)</f>
        <v>0</v>
      </c>
      <c r="AU572" s="197" t="str">
        <f>IFERROR(VLOOKUP($G572,нормы!$A$14:$BI$57,56,0)*W572,"")</f>
        <v/>
      </c>
      <c r="AV572" s="290">
        <f>IFERROR(AW572/SUM(AW569:AW574)*AK569,0)</f>
        <v>0</v>
      </c>
      <c r="AW572" s="202" t="str">
        <f>IFERROR(VLOOKUP($G572,нормы!$A$14:$BI$57,57,0)*W572,"")</f>
        <v/>
      </c>
      <c r="AX572" s="30"/>
      <c r="AY572" s="203" t="str">
        <f>IFERROR(VLOOKUP($G572,нормы!$A$14:$BI$57,58,0)*W572,"")</f>
        <v/>
      </c>
      <c r="AZ572" s="205"/>
      <c r="BA572" s="200" t="str">
        <f>IFERROR(VLOOKUP($G572,нормы!$A$14:$BI$57,61,0)*$W572,"")</f>
        <v/>
      </c>
      <c r="BB572" s="30"/>
      <c r="BC572" s="203" t="str">
        <f>IFERROR(VLOOKUP($G572,нормы!$A$14:$BI$57,60,0)*W572,"")</f>
        <v/>
      </c>
      <c r="BD572" s="200" t="str">
        <f>IFERROR(VLOOKUP($G572,нормы!$A$14:$BG$57,44,0),"")</f>
        <v/>
      </c>
      <c r="BE572" s="199" t="str">
        <f>IFERROR(W572/VLOOKUP($G572,нормы!$A$14:$BI$57,45,0),"")</f>
        <v/>
      </c>
    </row>
    <row r="573" spans="1:57" s="1" customFormat="1" ht="20.25" customHeight="1" x14ac:dyDescent="0.4">
      <c r="A573" s="37" t="str">
        <f t="shared" si="230"/>
        <v>10Д</v>
      </c>
      <c r="B573" s="12">
        <f t="shared" si="231"/>
        <v>46032</v>
      </c>
      <c r="C573" s="97">
        <f t="shared" si="231"/>
        <v>0</v>
      </c>
      <c r="D573" s="97">
        <f t="shared" si="231"/>
        <v>1</v>
      </c>
      <c r="E573" s="54"/>
      <c r="F573" s="151" t="str">
        <f>IFERROR(VLOOKUP($G573,нормы!$A$14:$BC$57,2,0),"")</f>
        <v/>
      </c>
      <c r="G573" s="38"/>
      <c r="H573" s="54">
        <f t="shared" si="232"/>
        <v>0</v>
      </c>
      <c r="I573" s="89" t="s">
        <v>73</v>
      </c>
      <c r="J573" s="333"/>
      <c r="K573" s="30">
        <f>IFERROR(VLOOKUP($G573,[1]нормы!$A$21:$BC$151,15,0),"")</f>
        <v>0</v>
      </c>
      <c r="L573" s="31">
        <f>IFERROR(VLOOKUP($G573,[1]нормы!$A$21:$BC$151,17,0),"")</f>
        <v>0</v>
      </c>
      <c r="M573" s="306">
        <f>IFERROR(VLOOKUP($G573,[1]нормы!$A$21:$BC$151,27,0),"")</f>
        <v>0</v>
      </c>
      <c r="N573" s="307" t="str">
        <f>IFERROR(Y573/Y575*(1.1*J569*I578),"")</f>
        <v/>
      </c>
      <c r="O573" s="300">
        <f>IFERROR(VLOOKUP($G573,[1]нормы!$A$21:$BC$151,21,0),"")</f>
        <v>0</v>
      </c>
      <c r="P573" s="35">
        <f>IFERROR(VLOOKUP($G573,[1]нормы!$A$21:$BC$151,19,0),"")</f>
        <v>0</v>
      </c>
      <c r="Q573" s="35">
        <f>IFERROR(VLOOKUP($G573,[1]нормы!$A$21:$BC$151,23,0),"")</f>
        <v>0</v>
      </c>
      <c r="R573" s="231">
        <f>IFERROR(VLOOKUP($G573,[1]нормы!$A$21:$BC$151,29,0),"")</f>
        <v>0</v>
      </c>
      <c r="S573" s="35">
        <f>IFERROR(VLOOKUP($G573,[1]нормы!$A$21:$BC$151,31,0),"")</f>
        <v>0</v>
      </c>
      <c r="T573" s="32">
        <f>IFERROR(VLOOKUP($G573,[1]нормы!$A$21:$BC$151,25,0),"")</f>
        <v>0</v>
      </c>
      <c r="U573" s="233" t="str">
        <f>IFERROR(W573/(((100*Y573/Y575)*I574)/100),"")</f>
        <v/>
      </c>
      <c r="V573" s="234" t="str">
        <f>IFERROR(VLOOKUP($G573,нормы!$A$14:$BC$57,38,0),"")</f>
        <v/>
      </c>
      <c r="W573" s="136"/>
      <c r="X573" s="237"/>
      <c r="Y573" s="152" t="str">
        <f>IFERROR(VLOOKUP($G573,нормы!$A$14:$BC$57,42,0)*W573,"")</f>
        <v/>
      </c>
      <c r="Z573" s="163">
        <f>IFERROR(VLOOKUP($G573,нормы!$A$14:$BC$57,14,0)*W573/1000,0)</f>
        <v>0</v>
      </c>
      <c r="AA573" s="30"/>
      <c r="AB573" s="35"/>
      <c r="AC573" s="35"/>
      <c r="AD573" s="35"/>
      <c r="AE573" s="31"/>
      <c r="AF573" s="160"/>
      <c r="AG573" s="391"/>
      <c r="AH573" s="394"/>
      <c r="AI573" s="397"/>
      <c r="AJ573" s="408"/>
      <c r="AK573" s="360"/>
      <c r="AL573" s="360"/>
      <c r="AM573" s="360"/>
      <c r="AN573" s="289">
        <f>IFERROR(Y573*AJ569/Y575,)</f>
        <v>0</v>
      </c>
      <c r="AO573" s="197" t="str">
        <f>IFERROR(VLOOKUP($G573,нормы!$A$14:$BC$57,53,0)*$W573,"")</f>
        <v/>
      </c>
      <c r="AP573" s="290">
        <f>IFERROR(Y573*AI569/Y575,)</f>
        <v>0</v>
      </c>
      <c r="AQ573" s="197" t="str">
        <f>IFERROR(VLOOKUP($G573,нормы!$A$14:$BC$57,54,0)*$W573,"")</f>
        <v/>
      </c>
      <c r="AR573" s="290">
        <f>IFERROR(AS573/SUM(AS569:AS574)*AL569,0)</f>
        <v>0</v>
      </c>
      <c r="AS573" s="197" t="str">
        <f>IFERROR(VLOOKUP($G573,нормы!$A$14:$BC$57,55,0)*W573,"")</f>
        <v/>
      </c>
      <c r="AT573" s="290">
        <f>IFERROR(AU573/SUM(AU569:AU574)*AM569,0)</f>
        <v>0</v>
      </c>
      <c r="AU573" s="197" t="str">
        <f>IFERROR(VLOOKUP($G573,нормы!$A$14:$BI$57,56,0)*W573,"")</f>
        <v/>
      </c>
      <c r="AV573" s="290">
        <f>IFERROR(AW573/SUM(AW569:AW574)*AK569,0)</f>
        <v>0</v>
      </c>
      <c r="AW573" s="202" t="str">
        <f>IFERROR(VLOOKUP($G573,нормы!$A$14:$BI$57,57,0)*W573,"")</f>
        <v/>
      </c>
      <c r="AX573" s="30"/>
      <c r="AY573" s="203" t="str">
        <f>IFERROR(VLOOKUP($G573,нормы!$A$14:$BI$57,58,0)*W573,"")</f>
        <v/>
      </c>
      <c r="AZ573" s="205"/>
      <c r="BA573" s="200" t="str">
        <f>IFERROR(VLOOKUP($G573,нормы!$A$14:$BI$57,61,0)*$W573,"")</f>
        <v/>
      </c>
      <c r="BB573" s="30"/>
      <c r="BC573" s="203" t="str">
        <f>IFERROR(VLOOKUP($G573,нормы!$A$14:$BI$57,60,0)*W573,"")</f>
        <v/>
      </c>
      <c r="BD573" s="200" t="str">
        <f>IFERROR(VLOOKUP($G573,нормы!$A$14:$BG$57,44,0),"")</f>
        <v/>
      </c>
      <c r="BE573" s="199" t="str">
        <f>IFERROR(W573/VLOOKUP($G573,нормы!$A$14:$BI$57,45,0),"")</f>
        <v/>
      </c>
    </row>
    <row r="574" spans="1:57" s="1" customFormat="1" ht="21" customHeight="1" thickBot="1" x14ac:dyDescent="0.45">
      <c r="A574" s="37" t="str">
        <f t="shared" si="230"/>
        <v>10Д</v>
      </c>
      <c r="B574" s="12">
        <f t="shared" si="231"/>
        <v>46032</v>
      </c>
      <c r="C574" s="97">
        <f t="shared" si="231"/>
        <v>0</v>
      </c>
      <c r="D574" s="97">
        <f t="shared" si="231"/>
        <v>1</v>
      </c>
      <c r="E574" s="54"/>
      <c r="F574" s="151" t="str">
        <f>IFERROR(VLOOKUP($G574,нормы!$A$14:$BC$57,2,0),"")</f>
        <v/>
      </c>
      <c r="G574" s="93"/>
      <c r="H574" s="63">
        <f t="shared" si="232"/>
        <v>0</v>
      </c>
      <c r="I574" s="153">
        <f>I570+I572</f>
        <v>0</v>
      </c>
      <c r="J574" s="334"/>
      <c r="K574" s="30">
        <f>IFERROR(VLOOKUP($G574,[1]нормы!$A$21:$BC$151,15,0),"")</f>
        <v>0</v>
      </c>
      <c r="L574" s="31">
        <f>IFERROR(VLOOKUP($G574,[1]нормы!$A$21:$BC$151,17,0),"")</f>
        <v>0</v>
      </c>
      <c r="M574" s="308">
        <f>IFERROR(VLOOKUP($G574,[1]нормы!$A$21:$BC$151,27,0),"")</f>
        <v>0</v>
      </c>
      <c r="N574" s="309" t="str">
        <f>IFERROR(Y574/Y575*(1.1*J569*I579),"")</f>
        <v/>
      </c>
      <c r="O574" s="300">
        <f>IFERROR(VLOOKUP($G574,[1]нормы!$A$21:$BC$151,21,0),"")</f>
        <v>0</v>
      </c>
      <c r="P574" s="35">
        <f>IFERROR(VLOOKUP($G574,[1]нормы!$A$21:$BC$151,19,0),"")</f>
        <v>0</v>
      </c>
      <c r="Q574" s="35">
        <f>IFERROR(VLOOKUP($G574,[1]нормы!$A$21:$BC$151,23,0),"")</f>
        <v>0</v>
      </c>
      <c r="R574" s="231">
        <f>IFERROR(VLOOKUP($G574,[1]нормы!$A$21:$BC$151,29,0),"")</f>
        <v>0</v>
      </c>
      <c r="S574" s="35">
        <f>IFERROR(VLOOKUP($G574,[1]нормы!$A$21:$BC$151,31,0),"")</f>
        <v>0</v>
      </c>
      <c r="T574" s="32">
        <f>IFERROR(VLOOKUP($G574,[1]нормы!$A$21:$BC$151,25,0),"")</f>
        <v>0</v>
      </c>
      <c r="U574" s="235" t="str">
        <f>IFERROR(W574/(((100*Y574/Y575)*I574)/100),"")</f>
        <v/>
      </c>
      <c r="V574" s="234" t="str">
        <f>IFERROR(VLOOKUP($G574,нормы!$A$14:$BC$57,38,0),"")</f>
        <v/>
      </c>
      <c r="W574" s="154"/>
      <c r="X574" s="238"/>
      <c r="Y574" s="152" t="str">
        <f>IFERROR(VLOOKUP($G574,нормы!$A$14:$BC$57,42,0)*W574,"")</f>
        <v/>
      </c>
      <c r="Z574" s="163">
        <f>IFERROR(VLOOKUP($G574,нормы!$A$14:$BC$57,14,0)*W574/1000,0)</f>
        <v>0</v>
      </c>
      <c r="AA574" s="56"/>
      <c r="AB574" s="58"/>
      <c r="AC574" s="58"/>
      <c r="AD574" s="58"/>
      <c r="AE574" s="57"/>
      <c r="AF574" s="161"/>
      <c r="AG574" s="392"/>
      <c r="AH574" s="395"/>
      <c r="AI574" s="398"/>
      <c r="AJ574" s="409"/>
      <c r="AK574" s="361"/>
      <c r="AL574" s="361"/>
      <c r="AM574" s="361"/>
      <c r="AN574" s="291">
        <f>IFERROR(Y574*AJ569/Y575,)</f>
        <v>0</v>
      </c>
      <c r="AO574" s="197" t="str">
        <f>IFERROR(VLOOKUP($G574,нормы!$A$14:$BC$57,53,0)*$W574,"")</f>
        <v/>
      </c>
      <c r="AP574" s="292">
        <f>IFERROR(Y574*AI569/Y575,)</f>
        <v>0</v>
      </c>
      <c r="AQ574" s="197" t="str">
        <f>IFERROR(VLOOKUP($G574,нормы!$A$14:$BC$57,54,0)*$W574,"")</f>
        <v/>
      </c>
      <c r="AR574" s="290">
        <f>IFERROR(AS574/SUM(AS569:AS574)*AL569,0)</f>
        <v>0</v>
      </c>
      <c r="AS574" s="197" t="str">
        <f>IFERROR(VLOOKUP($G574,нормы!$A$14:$BC$57,55,0)*W574,"")</f>
        <v/>
      </c>
      <c r="AT574" s="292">
        <f>IFERROR(AU574/SUM(AU569:AU574)*AM569,0)</f>
        <v>0</v>
      </c>
      <c r="AU574" s="197" t="str">
        <f>IFERROR(VLOOKUP($G574,нормы!$A$14:$BI$57,56,0)*W574,"")</f>
        <v/>
      </c>
      <c r="AV574" s="292">
        <f>IFERROR(AW574/SUM(AW569:AW574)*AK569,0)</f>
        <v>0</v>
      </c>
      <c r="AW574" s="202" t="str">
        <f>IFERROR(VLOOKUP($G574,нормы!$A$14:$BI$57,57,0)*W574,"")</f>
        <v/>
      </c>
      <c r="AX574" s="56"/>
      <c r="AY574" s="203" t="str">
        <f>IFERROR(VLOOKUP($G574,нормы!$A$14:$BI$57,58,0)*W574,"")</f>
        <v/>
      </c>
      <c r="AZ574" s="206"/>
      <c r="BA574" s="200" t="str">
        <f>IFERROR(VLOOKUP($G574,нормы!$A$14:$BI$57,61,0)*$W574,"")</f>
        <v/>
      </c>
      <c r="BB574" s="56"/>
      <c r="BC574" s="203" t="str">
        <f>IFERROR(VLOOKUP($G574,нормы!$A$14:$BI$57,60,0)*W574,"")</f>
        <v/>
      </c>
      <c r="BD574" s="200" t="str">
        <f>IFERROR(VLOOKUP($G574,нормы!$A$14:$BG$57,44,0),"")</f>
        <v/>
      </c>
      <c r="BE574" s="199" t="str">
        <f>IFERROR(W574/VLOOKUP($G574,нормы!$A$14:$BI$57,45,0),"")</f>
        <v/>
      </c>
    </row>
    <row r="575" spans="1:57" s="1" customFormat="1" ht="29.4" customHeight="1" thickBot="1" x14ac:dyDescent="0.45">
      <c r="A575" s="37" t="str">
        <f t="shared" si="230"/>
        <v>10Д</v>
      </c>
      <c r="B575" s="59"/>
      <c r="C575" s="51"/>
      <c r="D575" s="51"/>
      <c r="E575" s="51"/>
      <c r="F575" s="295" t="s">
        <v>148</v>
      </c>
      <c r="G575" s="51"/>
      <c r="H575" s="51"/>
      <c r="I575" s="60"/>
      <c r="J575" s="60"/>
      <c r="K575" s="319" t="s">
        <v>213</v>
      </c>
      <c r="L575" s="316"/>
      <c r="M575" s="303" t="s">
        <v>213</v>
      </c>
      <c r="N575" s="317">
        <f>SUM(N569:N574)</f>
        <v>0</v>
      </c>
      <c r="O575" s="304" t="s">
        <v>216</v>
      </c>
      <c r="P575" s="318">
        <f>N575*8.937/1000</f>
        <v>0</v>
      </c>
      <c r="Q575" s="305" t="s">
        <v>215</v>
      </c>
      <c r="R575" s="61"/>
      <c r="S575" s="61"/>
      <c r="T575" s="61"/>
      <c r="U575" s="109"/>
      <c r="V575" s="109"/>
      <c r="W575" s="94"/>
      <c r="X575" s="155"/>
      <c r="Y575" s="96">
        <f>SUM(Y569:Y574)</f>
        <v>0</v>
      </c>
      <c r="Z575" s="164">
        <f>SUM(Z569:Z574)</f>
        <v>0</v>
      </c>
      <c r="AA575" s="62"/>
      <c r="AB575" s="62"/>
      <c r="AC575" s="62"/>
      <c r="AD575" s="62"/>
      <c r="AE575" s="62"/>
      <c r="AF575" s="62"/>
      <c r="AG575" s="162" t="s">
        <v>140</v>
      </c>
      <c r="AH575" s="162" t="s">
        <v>141</v>
      </c>
      <c r="AI575" s="162" t="s">
        <v>142</v>
      </c>
      <c r="AJ575" s="91" t="s">
        <v>126</v>
      </c>
      <c r="AK575" s="198" t="s">
        <v>136</v>
      </c>
      <c r="AL575" s="198" t="s">
        <v>137</v>
      </c>
      <c r="AM575" s="198" t="s">
        <v>138</v>
      </c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53" t="str">
        <f>IFERROR(W575/VLOOKUP($G575,нормы!$A$14:$BI$15,28,0),"")</f>
        <v/>
      </c>
    </row>
    <row r="576" spans="1:57" s="1" customFormat="1" ht="21.6" customHeight="1" x14ac:dyDescent="0.4">
      <c r="A576" s="37" t="str">
        <f t="shared" si="230"/>
        <v>10Д</v>
      </c>
      <c r="B576" s="12">
        <f>B574</f>
        <v>46032</v>
      </c>
      <c r="C576" s="97"/>
      <c r="D576" s="97">
        <v>2</v>
      </c>
      <c r="E576" s="29"/>
      <c r="F576" s="151" t="str">
        <f>IFERROR(VLOOKUP($G576,нормы!$A$14:$BC$57,2,0),"")</f>
        <v/>
      </c>
      <c r="G576" s="93"/>
      <c r="H576" s="54">
        <f>IF(C576=1,"Кульков С.А.", IF(C576=2,"Чудаков А.А.",IF(C576=3,"Королев В.Н.",IF(C576=4,"Николашин М.П.",IF(C576=5," Кульков С.А.",IF(C576=6,"А.А. Чудаков",IF(C576=7,"В.Н. Королев",IF(C576=8,"М.П. Николашин",0))))))))</f>
        <v>0</v>
      </c>
      <c r="I576" s="88" t="s">
        <v>211</v>
      </c>
      <c r="J576" s="332"/>
      <c r="K576" s="30">
        <f>IFERROR(VLOOKUP($G576,[1]нормы!$A$21:$BC$151,15,0),"")</f>
        <v>0</v>
      </c>
      <c r="L576" s="31">
        <f>IFERROR(VLOOKUP($G576,[1]нормы!$A$21:$BC$151,17,0),"")</f>
        <v>0</v>
      </c>
      <c r="M576" s="310">
        <f>IFERROR(VLOOKUP($G576,[1]нормы!$A$21:$BC$151,27,0),"")</f>
        <v>0</v>
      </c>
      <c r="N576" s="311" t="str">
        <f>IFERROR(Y576/Y582*(1.1*J576*I581),"")</f>
        <v/>
      </c>
      <c r="O576" s="300">
        <f>IFERROR(VLOOKUP($G576,[1]нормы!$A$21:$BC$151,21,0),"")</f>
        <v>0</v>
      </c>
      <c r="P576" s="35">
        <f>IFERROR(VLOOKUP($G576,[1]нормы!$A$21:$BC$151,19,0),"")</f>
        <v>0</v>
      </c>
      <c r="Q576" s="35">
        <f>IFERROR(VLOOKUP($G576,[1]нормы!$A$21:$BC$151,23,0),"")</f>
        <v>0</v>
      </c>
      <c r="R576" s="231">
        <f>IFERROR(VLOOKUP($G576,[1]нормы!$A$21:$BC$151,29,0),"")</f>
        <v>0</v>
      </c>
      <c r="S576" s="35">
        <f>IFERROR(VLOOKUP($G576,[1]нормы!$A$21:$BC$151,31,0),"")</f>
        <v>0</v>
      </c>
      <c r="T576" s="32">
        <f>IFERROR(VLOOKUP($G576,[1]нормы!$A$21:$BC$151,25,0),"")</f>
        <v>0</v>
      </c>
      <c r="U576" s="232" t="str">
        <f>IFERROR(W576/(((100*Y576/Y582)*I581)/100),"")</f>
        <v/>
      </c>
      <c r="V576" s="234" t="str">
        <f>IFERROR(VLOOKUP($G576,нормы!$A$14:$BC$57,38,0),"")</f>
        <v/>
      </c>
      <c r="W576" s="136"/>
      <c r="X576" s="236"/>
      <c r="Y576" s="152" t="str">
        <f>IFERROR(VLOOKUP($G576,нормы!$A$14:$BC$57,42,0)*W576,"")</f>
        <v/>
      </c>
      <c r="Z576" s="163">
        <f>IFERROR(VLOOKUP($G576,нормы!$A$14:$BC$57,14,0)*W576/1000,0)</f>
        <v>0</v>
      </c>
      <c r="AA576" s="33"/>
      <c r="AB576" s="36"/>
      <c r="AC576" s="36"/>
      <c r="AD576" s="36"/>
      <c r="AE576" s="34"/>
      <c r="AF576" s="159"/>
      <c r="AG576" s="390"/>
      <c r="AH576" s="393"/>
      <c r="AI576" s="396"/>
      <c r="AJ576" s="407">
        <f>AG576+AH576</f>
        <v>0</v>
      </c>
      <c r="AK576" s="359"/>
      <c r="AL576" s="359"/>
      <c r="AM576" s="359"/>
      <c r="AN576" s="287">
        <f>IFERROR(Y576*AJ576/Y582,)</f>
        <v>0</v>
      </c>
      <c r="AO576" s="197" t="str">
        <f>IFERROR(VLOOKUP($G576,нормы!$A$14:$BC$57,53,0)*$W576,"")</f>
        <v/>
      </c>
      <c r="AP576" s="288">
        <f>IFERROR(Y576*AI576/Y582,)</f>
        <v>0</v>
      </c>
      <c r="AQ576" s="197" t="str">
        <f>IFERROR(VLOOKUP($G576,нормы!$A$14:$BC$57,54,0)*$W576,"")</f>
        <v/>
      </c>
      <c r="AR576" s="288">
        <f>IFERROR(AS576/SUM(AS576:AS581)*AL576,0)</f>
        <v>0</v>
      </c>
      <c r="AS576" s="197" t="str">
        <f>IFERROR(VLOOKUP($G576,нормы!$A$14:$BC$57,55,0)*W576,"")</f>
        <v/>
      </c>
      <c r="AT576" s="288">
        <f>IFERROR(AU576/SUM(AU576:AU581)*AM576,0)</f>
        <v>0</v>
      </c>
      <c r="AU576" s="197" t="str">
        <f>IFERROR(VLOOKUP($G576,нормы!$A$14:$BI$57,56,0)*W576,"")</f>
        <v/>
      </c>
      <c r="AV576" s="288">
        <f>IFERROR(AW576/SUM(AW576:AW581)*AK576,0)</f>
        <v>0</v>
      </c>
      <c r="AW576" s="202" t="str">
        <f>IFERROR(VLOOKUP($G576,нормы!$A$14:$BI$57,57,0)*W576,"")</f>
        <v/>
      </c>
      <c r="AX576" s="33"/>
      <c r="AY576" s="203" t="str">
        <f>IFERROR(VLOOKUP($G576,нормы!$A$14:$BI$57,58,0)*W576,"")</f>
        <v/>
      </c>
      <c r="AZ576" s="204"/>
      <c r="BA576" s="200" t="str">
        <f>IFERROR(VLOOKUP($G576,нормы!$A$14:$BI$57,61,0)*$W576,"")</f>
        <v/>
      </c>
      <c r="BB576" s="33"/>
      <c r="BC576" s="203" t="str">
        <f>IFERROR(VLOOKUP($G576,нормы!$A$14:$BI$57,60,0)*W576,"")</f>
        <v/>
      </c>
      <c r="BD576" s="200" t="str">
        <f>IFERROR(VLOOKUP($G576,нормы!$A$14:$BG$57,44,0),"")</f>
        <v/>
      </c>
      <c r="BE576" s="199" t="str">
        <f>IFERROR(W576/VLOOKUP($G576,нормы!$A$14:$BI$57,45,0),"")</f>
        <v/>
      </c>
    </row>
    <row r="577" spans="1:57" s="1" customFormat="1" ht="21.6" customHeight="1" x14ac:dyDescent="0.4">
      <c r="A577" s="37" t="str">
        <f t="shared" si="230"/>
        <v>10Д</v>
      </c>
      <c r="B577" s="12">
        <f t="shared" ref="B577:D581" si="233">B576</f>
        <v>46032</v>
      </c>
      <c r="C577" s="97">
        <f t="shared" si="233"/>
        <v>0</v>
      </c>
      <c r="D577" s="97">
        <f t="shared" si="233"/>
        <v>2</v>
      </c>
      <c r="E577" s="54"/>
      <c r="F577" s="151" t="str">
        <f>IFERROR(VLOOKUP($G577,нормы!$A$14:$BC$57,2,0),"")</f>
        <v/>
      </c>
      <c r="G577" s="93"/>
      <c r="H577" s="54">
        <f t="shared" ref="H577:H581" si="234">IF(C577=1,"Кульков С.А.", IF(C577=2,"Чудаков А.А.",IF(C577=3,"Королев В.Н.",IF(C577=4,"Николашин М.П.",IF(C577=5," Кульков С.А.",IF(C577=6,"А.А. Чудаков",IF(C577=7,"В.Н. Королев",IF(C577=8,"М.П. Николашин",0))))))))</f>
        <v>0</v>
      </c>
      <c r="I577" s="55"/>
      <c r="J577" s="333"/>
      <c r="K577" s="30">
        <f>IFERROR(VLOOKUP($G577,[1]нормы!$A$21:$BC$151,15,0),"")</f>
        <v>0</v>
      </c>
      <c r="L577" s="31">
        <f>IFERROR(VLOOKUP($G577,[1]нормы!$A$21:$BC$151,17,0),"")</f>
        <v>0</v>
      </c>
      <c r="M577" s="306">
        <f>IFERROR(VLOOKUP($G577,[1]нормы!$A$21:$BC$151,27,0),"")</f>
        <v>0</v>
      </c>
      <c r="N577" s="307" t="str">
        <f>IFERROR(Y577/Y582*(1.1*J576*I581),"")</f>
        <v/>
      </c>
      <c r="O577" s="300">
        <f>IFERROR(VLOOKUP($G577,[1]нормы!$A$21:$BC$151,21,0),"")</f>
        <v>0</v>
      </c>
      <c r="P577" s="35">
        <f>IFERROR(VLOOKUP($G577,[1]нормы!$A$21:$BC$151,19,0),"")</f>
        <v>0</v>
      </c>
      <c r="Q577" s="35">
        <f>IFERROR(VLOOKUP($G577,[1]нормы!$A$21:$BC$151,23,0),"")</f>
        <v>0</v>
      </c>
      <c r="R577" s="231">
        <f>IFERROR(VLOOKUP($G577,[1]нормы!$A$21:$BC$151,29,0),"")</f>
        <v>0</v>
      </c>
      <c r="S577" s="35">
        <f>IFERROR(VLOOKUP($G577,[1]нормы!$A$21:$BC$151,31,0),"")</f>
        <v>0</v>
      </c>
      <c r="T577" s="32">
        <f>IFERROR(VLOOKUP($G577,[1]нормы!$A$21:$BC$151,25,0),"")</f>
        <v>0</v>
      </c>
      <c r="U577" s="233" t="str">
        <f>IFERROR(W577/(((100*Y577/Y582)*I581)/100),"")</f>
        <v/>
      </c>
      <c r="V577" s="234" t="str">
        <f>IFERROR(VLOOKUP($G577,нормы!$A$14:$BC$57,38,0),"")</f>
        <v/>
      </c>
      <c r="W577" s="136"/>
      <c r="X577" s="237"/>
      <c r="Y577" s="152" t="str">
        <f>IFERROR(VLOOKUP($G577,нормы!$A$14:$BC$57,42,0)*W577,"")</f>
        <v/>
      </c>
      <c r="Z577" s="163">
        <f>IFERROR(VLOOKUP($G577,нормы!$A$14:$BC$57,14,0)*W577/1000,0)</f>
        <v>0</v>
      </c>
      <c r="AA577" s="142"/>
      <c r="AB577" s="35"/>
      <c r="AC577" s="35"/>
      <c r="AD577" s="35"/>
      <c r="AE577" s="31"/>
      <c r="AF577" s="160"/>
      <c r="AG577" s="391"/>
      <c r="AH577" s="394"/>
      <c r="AI577" s="397"/>
      <c r="AJ577" s="408"/>
      <c r="AK577" s="360"/>
      <c r="AL577" s="360"/>
      <c r="AM577" s="360"/>
      <c r="AN577" s="289">
        <f>IFERROR(Y577*AJ576/Y582,)</f>
        <v>0</v>
      </c>
      <c r="AO577" s="197" t="str">
        <f>IFERROR(VLOOKUP($G577,нормы!$A$14:$BC$57,53,0)*$W577,"")</f>
        <v/>
      </c>
      <c r="AP577" s="290">
        <f>IFERROR(Y577*AI576/Y582,)</f>
        <v>0</v>
      </c>
      <c r="AQ577" s="197" t="str">
        <f>IFERROR(VLOOKUP($G577,нормы!$A$14:$BC$57,54,0)*$W577,"")</f>
        <v/>
      </c>
      <c r="AR577" s="290">
        <f>IFERROR(AS577/SUM(AS576:AS581)*AL576,0)</f>
        <v>0</v>
      </c>
      <c r="AS577" s="197" t="str">
        <f>IFERROR(VLOOKUP($G577,нормы!$A$14:$BC$57,55,0)*W577,"")</f>
        <v/>
      </c>
      <c r="AT577" s="290">
        <f>IFERROR(AU577/SUM(AU576:AU581)*AM576,0)</f>
        <v>0</v>
      </c>
      <c r="AU577" s="197" t="str">
        <f>IFERROR(VLOOKUP($G577,нормы!$A$14:$BI$57,56,0)*W577,"")</f>
        <v/>
      </c>
      <c r="AV577" s="290">
        <f>IFERROR(AW577/SUM(AW576:AW581)*AK576,0)</f>
        <v>0</v>
      </c>
      <c r="AW577" s="202" t="str">
        <f>IFERROR(VLOOKUP($G577,нормы!$A$14:$BI$57,57,0)*W577,"")</f>
        <v/>
      </c>
      <c r="AX577" s="30"/>
      <c r="AY577" s="203" t="str">
        <f>IFERROR(VLOOKUP($G577,нормы!$A$14:$BI$57,58,0)*W577,"")</f>
        <v/>
      </c>
      <c r="AZ577" s="205"/>
      <c r="BA577" s="200" t="str">
        <f>IFERROR(VLOOKUP($G577,нормы!$A$14:$BI$57,61,0)*$W577,"")</f>
        <v/>
      </c>
      <c r="BB577" s="30"/>
      <c r="BC577" s="203" t="str">
        <f>IFERROR(VLOOKUP($G577,нормы!$A$14:$BI$57,60,0)*W577,"")</f>
        <v/>
      </c>
      <c r="BD577" s="200" t="str">
        <f>IFERROR(VLOOKUP($G577,нормы!$A$14:$BG$57,44,0),"")</f>
        <v/>
      </c>
      <c r="BE577" s="199" t="str">
        <f>IFERROR(W577/VLOOKUP($G577,нормы!$A$14:$BI$57,45,0),"")</f>
        <v/>
      </c>
    </row>
    <row r="578" spans="1:57" s="1" customFormat="1" ht="20.25" customHeight="1" x14ac:dyDescent="0.4">
      <c r="A578" s="37" t="str">
        <f t="shared" si="230"/>
        <v>10Д</v>
      </c>
      <c r="B578" s="12">
        <f t="shared" si="233"/>
        <v>46032</v>
      </c>
      <c r="C578" s="97">
        <f t="shared" si="233"/>
        <v>0</v>
      </c>
      <c r="D578" s="97">
        <f t="shared" si="233"/>
        <v>2</v>
      </c>
      <c r="E578" s="54"/>
      <c r="F578" s="151" t="str">
        <f>IFERROR(VLOOKUP($G578,нормы!$A$14:$BC$57,2,0),"")</f>
        <v/>
      </c>
      <c r="G578" s="38"/>
      <c r="H578" s="54">
        <f t="shared" si="234"/>
        <v>0</v>
      </c>
      <c r="I578" s="89" t="s">
        <v>212</v>
      </c>
      <c r="J578" s="333"/>
      <c r="K578" s="30">
        <f>IFERROR(VLOOKUP($G578,[1]нормы!$A$21:$BC$151,15,0),"")</f>
        <v>0</v>
      </c>
      <c r="L578" s="31">
        <f>IFERROR(VLOOKUP($G578,[1]нормы!$A$21:$BC$151,17,0),"")</f>
        <v>0</v>
      </c>
      <c r="M578" s="306">
        <f>IFERROR(VLOOKUP($G578,[1]нормы!$A$21:$BC$151,27,0),"")</f>
        <v>0</v>
      </c>
      <c r="N578" s="307" t="str">
        <f>IFERROR(Y578/Y582*(1.1*J576*I581),"")</f>
        <v/>
      </c>
      <c r="O578" s="300">
        <f>IFERROR(VLOOKUP($G578,[1]нормы!$A$21:$BC$151,21,0),"")</f>
        <v>0</v>
      </c>
      <c r="P578" s="35">
        <f>IFERROR(VLOOKUP($G578,[1]нормы!$A$21:$BC$151,19,0),"")</f>
        <v>0</v>
      </c>
      <c r="Q578" s="35">
        <f>IFERROR(VLOOKUP($G578,[1]нормы!$A$21:$BC$151,23,0),"")</f>
        <v>0</v>
      </c>
      <c r="R578" s="231">
        <f>IFERROR(VLOOKUP($G578,[1]нормы!$A$21:$BC$151,29,0),"")</f>
        <v>0</v>
      </c>
      <c r="S578" s="35">
        <f>IFERROR(VLOOKUP($G578,[1]нормы!$A$21:$BC$151,31,0),"")</f>
        <v>0</v>
      </c>
      <c r="T578" s="32">
        <f>IFERROR(VLOOKUP($G578,[1]нормы!$A$21:$BC$151,25,0),"")</f>
        <v>0</v>
      </c>
      <c r="U578" s="233" t="str">
        <f>IFERROR(W578/(((100*Y578/Y582)*I581)/100),"")</f>
        <v/>
      </c>
      <c r="V578" s="234" t="str">
        <f>IFERROR(VLOOKUP($G578,нормы!$A$14:$BC$57,38,0),"")</f>
        <v/>
      </c>
      <c r="W578" s="136"/>
      <c r="X578" s="237"/>
      <c r="Y578" s="152" t="str">
        <f>IFERROR(VLOOKUP($G578,нормы!$A$14:$BC$57,42,0)*W578,"")</f>
        <v/>
      </c>
      <c r="Z578" s="163">
        <f>IFERROR(VLOOKUP($G578,нормы!$A$14:$BC$57,14,0)*W578/1000,0)</f>
        <v>0</v>
      </c>
      <c r="AA578" s="30"/>
      <c r="AB578" s="35"/>
      <c r="AC578" s="35"/>
      <c r="AD578" s="35"/>
      <c r="AE578" s="31"/>
      <c r="AF578" s="160"/>
      <c r="AG578" s="391"/>
      <c r="AH578" s="394"/>
      <c r="AI578" s="397"/>
      <c r="AJ578" s="408"/>
      <c r="AK578" s="360"/>
      <c r="AL578" s="360"/>
      <c r="AM578" s="360"/>
      <c r="AN578" s="289">
        <f>IFERROR(Y578*AJ576/Y582,)</f>
        <v>0</v>
      </c>
      <c r="AO578" s="197" t="str">
        <f>IFERROR(VLOOKUP($G578,нормы!$A$14:$BC$57,53,0)*$W578,"")</f>
        <v/>
      </c>
      <c r="AP578" s="290">
        <f>IFERROR(Y578*AI576/Y582,)</f>
        <v>0</v>
      </c>
      <c r="AQ578" s="197" t="str">
        <f>IFERROR(VLOOKUP($G578,нормы!$A$14:$BC$57,54,0)*$W578,"")</f>
        <v/>
      </c>
      <c r="AR578" s="290">
        <f>IFERROR(AS578/SUM(AS576:AS581)*AL576,0)</f>
        <v>0</v>
      </c>
      <c r="AS578" s="197" t="str">
        <f>IFERROR(VLOOKUP($G578,нормы!$A$14:$BC$57,55,0)*W578,"")</f>
        <v/>
      </c>
      <c r="AT578" s="290">
        <f>IFERROR(AU578/SUM(AU576:AU581)*AM576,0)</f>
        <v>0</v>
      </c>
      <c r="AU578" s="197" t="str">
        <f>IFERROR(VLOOKUP($G578,нормы!$A$14:$BI$57,56,0)*W578,"")</f>
        <v/>
      </c>
      <c r="AV578" s="290">
        <f>IFERROR(AW578/SUM(AW576:AW581)*AK576,0)</f>
        <v>0</v>
      </c>
      <c r="AW578" s="202" t="str">
        <f>IFERROR(VLOOKUP($G578,нормы!$A$14:$BI$57,57,0)*W578,"")</f>
        <v/>
      </c>
      <c r="AX578" s="30"/>
      <c r="AY578" s="203" t="str">
        <f>IFERROR(VLOOKUP($G578,нормы!$A$14:$BI$57,58,0)*W578,"")</f>
        <v/>
      </c>
      <c r="AZ578" s="205"/>
      <c r="BA578" s="200" t="str">
        <f>IFERROR(VLOOKUP($G578,нормы!$A$14:$BI$57,61,0)*$W578,"")</f>
        <v/>
      </c>
      <c r="BB578" s="30"/>
      <c r="BC578" s="203" t="str">
        <f>IFERROR(VLOOKUP($G578,нормы!$A$14:$BI$57,60,0)*W578,"")</f>
        <v/>
      </c>
      <c r="BD578" s="200" t="str">
        <f>IFERROR(VLOOKUP($G578,нормы!$A$14:$BG$57,44,0),"")</f>
        <v/>
      </c>
      <c r="BE578" s="199" t="str">
        <f>IFERROR(W578/VLOOKUP($G578,нормы!$A$14:$BI$57,45,0),"")</f>
        <v/>
      </c>
    </row>
    <row r="579" spans="1:57" s="1" customFormat="1" ht="20.25" customHeight="1" x14ac:dyDescent="0.4">
      <c r="A579" s="37" t="str">
        <f t="shared" si="230"/>
        <v>10Д</v>
      </c>
      <c r="B579" s="12">
        <f t="shared" si="233"/>
        <v>46032</v>
      </c>
      <c r="C579" s="97">
        <f t="shared" si="233"/>
        <v>0</v>
      </c>
      <c r="D579" s="97">
        <f t="shared" si="233"/>
        <v>2</v>
      </c>
      <c r="E579" s="54"/>
      <c r="F579" s="151" t="str">
        <f>IFERROR(VLOOKUP($G579,нормы!$A$14:$BC$57,2,0),"")</f>
        <v/>
      </c>
      <c r="G579" s="93"/>
      <c r="H579" s="54">
        <f t="shared" si="234"/>
        <v>0</v>
      </c>
      <c r="I579" s="55"/>
      <c r="J579" s="333"/>
      <c r="K579" s="30">
        <f>IFERROR(VLOOKUP($G579,[1]нормы!$A$21:$BC$151,15,0),"")</f>
        <v>0</v>
      </c>
      <c r="L579" s="31">
        <f>IFERROR(VLOOKUP($G579,[1]нормы!$A$21:$BC$151,17,0),"")</f>
        <v>0</v>
      </c>
      <c r="M579" s="306">
        <f>IFERROR(VLOOKUP($G579,[1]нормы!$A$21:$BC$151,27,0),"")</f>
        <v>0</v>
      </c>
      <c r="N579" s="307" t="str">
        <f>IFERROR(Y579/Y582*(1.1*J576*I584),"")</f>
        <v/>
      </c>
      <c r="O579" s="300">
        <f>IFERROR(VLOOKUP($G579,[1]нормы!$A$21:$BC$151,21,0),"")</f>
        <v>0</v>
      </c>
      <c r="P579" s="35">
        <f>IFERROR(VLOOKUP($G579,[1]нормы!$A$21:$BC$151,19,0),"")</f>
        <v>0</v>
      </c>
      <c r="Q579" s="35">
        <f>IFERROR(VLOOKUP($G579,[1]нормы!$A$21:$BC$151,23,0),"")</f>
        <v>0</v>
      </c>
      <c r="R579" s="231">
        <f>IFERROR(VLOOKUP($G579,[1]нормы!$A$21:$BC$151,29,0),"")</f>
        <v>0</v>
      </c>
      <c r="S579" s="35">
        <f>IFERROR(VLOOKUP($G579,[1]нормы!$A$21:$BC$151,31,0),"")</f>
        <v>0</v>
      </c>
      <c r="T579" s="32">
        <f>IFERROR(VLOOKUP($G579,[1]нормы!$A$21:$BC$151,25,0),"")</f>
        <v>0</v>
      </c>
      <c r="U579" s="233" t="str">
        <f>IFERROR(W579/(((100*Y579/Y582)*I581)/100),"")</f>
        <v/>
      </c>
      <c r="V579" s="234" t="str">
        <f>IFERROR(VLOOKUP($G579,нормы!$A$14:$BC$57,38,0),"")</f>
        <v/>
      </c>
      <c r="W579" s="136"/>
      <c r="X579" s="237"/>
      <c r="Y579" s="152" t="str">
        <f>IFERROR(VLOOKUP($G579,нормы!$A$14:$BC$57,42,0)*W579,"")</f>
        <v/>
      </c>
      <c r="Z579" s="163">
        <f>IFERROR(VLOOKUP($G579,нормы!$A$14:$BC$57,14,0)*W579/1000,0)</f>
        <v>0</v>
      </c>
      <c r="AA579" s="30"/>
      <c r="AB579" s="35"/>
      <c r="AC579" s="35"/>
      <c r="AD579" s="35"/>
      <c r="AE579" s="31"/>
      <c r="AF579" s="160"/>
      <c r="AG579" s="391"/>
      <c r="AH579" s="394"/>
      <c r="AI579" s="397"/>
      <c r="AJ579" s="408"/>
      <c r="AK579" s="360"/>
      <c r="AL579" s="360"/>
      <c r="AM579" s="360"/>
      <c r="AN579" s="289">
        <f>IFERROR(Y579*AJ576/Y582,)</f>
        <v>0</v>
      </c>
      <c r="AO579" s="197" t="str">
        <f>IFERROR(VLOOKUP($G579,нормы!$A$14:$BC$57,53,0)*$W579,"")</f>
        <v/>
      </c>
      <c r="AP579" s="290">
        <f>IFERROR(Y579*AI576/Y582,)</f>
        <v>0</v>
      </c>
      <c r="AQ579" s="197" t="str">
        <f>IFERROR(VLOOKUP($G579,нормы!$A$14:$BC$57,54,0)*$W579,"")</f>
        <v/>
      </c>
      <c r="AR579" s="290">
        <f>IFERROR(AS579/SUM(AS576:AS581)*AL576,0)</f>
        <v>0</v>
      </c>
      <c r="AS579" s="197" t="str">
        <f>IFERROR(VLOOKUP($G579,нормы!$A$14:$BC$57,55,0)*W579,"")</f>
        <v/>
      </c>
      <c r="AT579" s="290">
        <f>IFERROR(AU579/SUM(AU576:AU581)*AM576,0)</f>
        <v>0</v>
      </c>
      <c r="AU579" s="197" t="str">
        <f>IFERROR(VLOOKUP($G579,нормы!$A$14:$BI$57,56,0)*W579,"")</f>
        <v/>
      </c>
      <c r="AV579" s="290">
        <f>IFERROR(AW579/SUM(AW576:AW581)*AK576,0)</f>
        <v>0</v>
      </c>
      <c r="AW579" s="202" t="str">
        <f>IFERROR(VLOOKUP($G579,нормы!$A$14:$BI$57,57,0)*W579,"")</f>
        <v/>
      </c>
      <c r="AX579" s="30"/>
      <c r="AY579" s="203" t="str">
        <f>IFERROR(VLOOKUP($G579,нормы!$A$14:$BI$57,58,0)*W579,"")</f>
        <v/>
      </c>
      <c r="AZ579" s="205"/>
      <c r="BA579" s="200" t="str">
        <f>IFERROR(VLOOKUP($G579,нормы!$A$14:$BI$57,61,0)*$W579,"")</f>
        <v/>
      </c>
      <c r="BB579" s="30"/>
      <c r="BC579" s="203" t="str">
        <f>IFERROR(VLOOKUP($G579,нормы!$A$14:$BI$57,60,0)*W579,"")</f>
        <v/>
      </c>
      <c r="BD579" s="200" t="str">
        <f>IFERROR(VLOOKUP($G579,нормы!$A$14:$BG$57,44,0),"")</f>
        <v/>
      </c>
      <c r="BE579" s="199" t="str">
        <f>IFERROR(W579/VLOOKUP($G579,нормы!$A$14:$BI$57,45,0),"")</f>
        <v/>
      </c>
    </row>
    <row r="580" spans="1:57" s="1" customFormat="1" ht="20.25" customHeight="1" x14ac:dyDescent="0.4">
      <c r="A580" s="37" t="str">
        <f t="shared" si="230"/>
        <v>10Д</v>
      </c>
      <c r="B580" s="12">
        <f t="shared" si="233"/>
        <v>46032</v>
      </c>
      <c r="C580" s="97">
        <f t="shared" si="233"/>
        <v>0</v>
      </c>
      <c r="D580" s="97">
        <f t="shared" si="233"/>
        <v>2</v>
      </c>
      <c r="E580" s="54"/>
      <c r="F580" s="151" t="str">
        <f>IFERROR(VLOOKUP($G580,нормы!$A$14:$BC$57,2,0),"")</f>
        <v/>
      </c>
      <c r="G580" s="38"/>
      <c r="H580" s="54">
        <f t="shared" si="234"/>
        <v>0</v>
      </c>
      <c r="I580" s="89" t="s">
        <v>73</v>
      </c>
      <c r="J580" s="333"/>
      <c r="K580" s="30">
        <f>IFERROR(VLOOKUP($G580,[1]нормы!$A$21:$BC$151,15,0),"")</f>
        <v>0</v>
      </c>
      <c r="L580" s="31">
        <f>IFERROR(VLOOKUP($G580,[1]нормы!$A$21:$BC$151,17,0),"")</f>
        <v>0</v>
      </c>
      <c r="M580" s="306">
        <f>IFERROR(VLOOKUP($G580,[1]нормы!$A$21:$BC$151,27,0),"")</f>
        <v>0</v>
      </c>
      <c r="N580" s="307" t="str">
        <f>IFERROR(Y580/Y582*(1.1*J576*I585),"")</f>
        <v/>
      </c>
      <c r="O580" s="300">
        <f>IFERROR(VLOOKUP($G580,[1]нормы!$A$21:$BC$151,21,0),"")</f>
        <v>0</v>
      </c>
      <c r="P580" s="35">
        <f>IFERROR(VLOOKUP($G580,[1]нормы!$A$21:$BC$151,19,0),"")</f>
        <v>0</v>
      </c>
      <c r="Q580" s="35">
        <f>IFERROR(VLOOKUP($G580,[1]нормы!$A$21:$BC$151,23,0),"")</f>
        <v>0</v>
      </c>
      <c r="R580" s="231">
        <f>IFERROR(VLOOKUP($G580,[1]нормы!$A$21:$BC$151,29,0),"")</f>
        <v>0</v>
      </c>
      <c r="S580" s="35">
        <f>IFERROR(VLOOKUP($G580,[1]нормы!$A$21:$BC$151,31,0),"")</f>
        <v>0</v>
      </c>
      <c r="T580" s="32">
        <f>IFERROR(VLOOKUP($G580,[1]нормы!$A$21:$BC$151,25,0),"")</f>
        <v>0</v>
      </c>
      <c r="U580" s="233" t="str">
        <f>IFERROR(W580/(((100*Y580/Y582)*I581)/100),"")</f>
        <v/>
      </c>
      <c r="V580" s="234" t="str">
        <f>IFERROR(VLOOKUP($G580,нормы!$A$14:$BC$57,38,0),"")</f>
        <v/>
      </c>
      <c r="W580" s="136"/>
      <c r="X580" s="237"/>
      <c r="Y580" s="152" t="str">
        <f>IFERROR(VLOOKUP($G580,нормы!$A$14:$BC$57,42,0)*W580,"")</f>
        <v/>
      </c>
      <c r="Z580" s="163">
        <f>IFERROR(VLOOKUP($G580,нормы!$A$14:$BC$57,14,0)*W580/1000,0)</f>
        <v>0</v>
      </c>
      <c r="AA580" s="30"/>
      <c r="AB580" s="35"/>
      <c r="AC580" s="35"/>
      <c r="AD580" s="35"/>
      <c r="AE580" s="31"/>
      <c r="AF580" s="160"/>
      <c r="AG580" s="391"/>
      <c r="AH580" s="394"/>
      <c r="AI580" s="397"/>
      <c r="AJ580" s="408"/>
      <c r="AK580" s="360"/>
      <c r="AL580" s="360"/>
      <c r="AM580" s="360"/>
      <c r="AN580" s="289">
        <f>IFERROR(Y580*AJ576/Y582,)</f>
        <v>0</v>
      </c>
      <c r="AO580" s="197" t="str">
        <f>IFERROR(VLOOKUP($G580,нормы!$A$14:$BC$57,53,0)*$W580,"")</f>
        <v/>
      </c>
      <c r="AP580" s="290">
        <f>IFERROR(Y580*AI576/Y582,)</f>
        <v>0</v>
      </c>
      <c r="AQ580" s="197" t="str">
        <f>IFERROR(VLOOKUP($G580,нормы!$A$14:$BC$57,54,0)*$W580,"")</f>
        <v/>
      </c>
      <c r="AR580" s="290">
        <f>IFERROR(AS580/SUM(AS576:AS581)*AL576,0)</f>
        <v>0</v>
      </c>
      <c r="AS580" s="197" t="str">
        <f>IFERROR(VLOOKUP($G580,нормы!$A$14:$BC$57,55,0)*W580,"")</f>
        <v/>
      </c>
      <c r="AT580" s="290">
        <f>IFERROR(AU580/SUM(AU576:AU581)*AM576,0)</f>
        <v>0</v>
      </c>
      <c r="AU580" s="197" t="str">
        <f>IFERROR(VLOOKUP($G580,нормы!$A$14:$BI$57,56,0)*W580,"")</f>
        <v/>
      </c>
      <c r="AV580" s="290">
        <f>IFERROR(AW580/SUM(AW576:AW581)*AK576,0)</f>
        <v>0</v>
      </c>
      <c r="AW580" s="202" t="str">
        <f>IFERROR(VLOOKUP($G580,нормы!$A$14:$BI$57,57,0)*W580,"")</f>
        <v/>
      </c>
      <c r="AX580" s="30"/>
      <c r="AY580" s="203" t="str">
        <f>IFERROR(VLOOKUP($G580,нормы!$A$14:$BI$57,58,0)*W580,"")</f>
        <v/>
      </c>
      <c r="AZ580" s="205"/>
      <c r="BA580" s="200" t="str">
        <f>IFERROR(VLOOKUP($G580,нормы!$A$14:$BI$57,61,0)*$W580,"")</f>
        <v/>
      </c>
      <c r="BB580" s="30"/>
      <c r="BC580" s="203" t="str">
        <f>IFERROR(VLOOKUP($G580,нормы!$A$14:$BI$57,60,0)*W580,"")</f>
        <v/>
      </c>
      <c r="BD580" s="200" t="str">
        <f>IFERROR(VLOOKUP($G580,нормы!$A$14:$BG$57,44,0),"")</f>
        <v/>
      </c>
      <c r="BE580" s="199" t="str">
        <f>IFERROR(W580/VLOOKUP($G580,нормы!$A$14:$BI$57,45,0),"")</f>
        <v/>
      </c>
    </row>
    <row r="581" spans="1:57" s="1" customFormat="1" ht="21" customHeight="1" thickBot="1" x14ac:dyDescent="0.45">
      <c r="A581" s="37" t="str">
        <f t="shared" si="230"/>
        <v>10Д</v>
      </c>
      <c r="B581" s="12">
        <f t="shared" si="233"/>
        <v>46032</v>
      </c>
      <c r="C581" s="97">
        <f t="shared" si="233"/>
        <v>0</v>
      </c>
      <c r="D581" s="97">
        <f t="shared" si="233"/>
        <v>2</v>
      </c>
      <c r="E581" s="54"/>
      <c r="F581" s="151" t="str">
        <f>IFERROR(VLOOKUP($G581,нормы!$A$14:$BC$57,2,0),"")</f>
        <v/>
      </c>
      <c r="G581" s="93"/>
      <c r="H581" s="63">
        <f t="shared" si="234"/>
        <v>0</v>
      </c>
      <c r="I581" s="153">
        <f>I577+I579</f>
        <v>0</v>
      </c>
      <c r="J581" s="334"/>
      <c r="K581" s="30">
        <f>IFERROR(VLOOKUP($G581,[1]нормы!$A$21:$BC$151,15,0),"")</f>
        <v>0</v>
      </c>
      <c r="L581" s="31">
        <f>IFERROR(VLOOKUP($G581,[1]нормы!$A$21:$BC$151,17,0),"")</f>
        <v>0</v>
      </c>
      <c r="M581" s="308">
        <f>IFERROR(VLOOKUP($G581,[1]нормы!$A$21:$BC$151,27,0),"")</f>
        <v>0</v>
      </c>
      <c r="N581" s="309" t="str">
        <f>IFERROR(Y581/Y582*(1.1*J576*I586),"")</f>
        <v/>
      </c>
      <c r="O581" s="300">
        <f>IFERROR(VLOOKUP($G581,[1]нормы!$A$21:$BC$151,21,0),"")</f>
        <v>0</v>
      </c>
      <c r="P581" s="35">
        <f>IFERROR(VLOOKUP($G581,[1]нормы!$A$21:$BC$151,19,0),"")</f>
        <v>0</v>
      </c>
      <c r="Q581" s="35">
        <f>IFERROR(VLOOKUP($G581,[1]нормы!$A$21:$BC$151,23,0),"")</f>
        <v>0</v>
      </c>
      <c r="R581" s="231">
        <f>IFERROR(VLOOKUP($G581,[1]нормы!$A$21:$BC$151,29,0),"")</f>
        <v>0</v>
      </c>
      <c r="S581" s="35">
        <f>IFERROR(VLOOKUP($G581,[1]нормы!$A$21:$BC$151,31,0),"")</f>
        <v>0</v>
      </c>
      <c r="T581" s="32">
        <f>IFERROR(VLOOKUP($G581,[1]нормы!$A$21:$BC$151,25,0),"")</f>
        <v>0</v>
      </c>
      <c r="U581" s="235" t="str">
        <f>IFERROR(W581/(((100*Y581/Y582)*I581)/100),"")</f>
        <v/>
      </c>
      <c r="V581" s="234" t="str">
        <f>IFERROR(VLOOKUP($G581,нормы!$A$14:$BC$57,38,0),"")</f>
        <v/>
      </c>
      <c r="W581" s="154"/>
      <c r="X581" s="238"/>
      <c r="Y581" s="152" t="str">
        <f>IFERROR(VLOOKUP($G581,нормы!$A$14:$BC$57,42,0)*W581,"")</f>
        <v/>
      </c>
      <c r="Z581" s="163">
        <f>IFERROR(VLOOKUP($G581,нормы!$A$14:$BC$57,14,0)*W581/1000,0)</f>
        <v>0</v>
      </c>
      <c r="AA581" s="56"/>
      <c r="AB581" s="58"/>
      <c r="AC581" s="58"/>
      <c r="AD581" s="58"/>
      <c r="AE581" s="57"/>
      <c r="AF581" s="161"/>
      <c r="AG581" s="392"/>
      <c r="AH581" s="395"/>
      <c r="AI581" s="398"/>
      <c r="AJ581" s="409"/>
      <c r="AK581" s="361"/>
      <c r="AL581" s="361"/>
      <c r="AM581" s="361"/>
      <c r="AN581" s="291">
        <f>IFERROR(Y581*AJ576/Y582,)</f>
        <v>0</v>
      </c>
      <c r="AO581" s="197" t="str">
        <f>IFERROR(VLOOKUP($G581,нормы!$A$14:$BC$57,53,0)*$W581,"")</f>
        <v/>
      </c>
      <c r="AP581" s="292">
        <f>IFERROR(Y581*AI576/Y582,)</f>
        <v>0</v>
      </c>
      <c r="AQ581" s="197" t="str">
        <f>IFERROR(VLOOKUP($G581,нормы!$A$14:$BC$57,54,0)*$W581,"")</f>
        <v/>
      </c>
      <c r="AR581" s="290">
        <f>IFERROR(AS581/SUM(AS576:AS581)*AL576,0)</f>
        <v>0</v>
      </c>
      <c r="AS581" s="197" t="str">
        <f>IFERROR(VLOOKUP($G581,нормы!$A$14:$BC$57,55,0)*W581,"")</f>
        <v/>
      </c>
      <c r="AT581" s="292">
        <f>IFERROR(AU581/SUM(AU576:AU581)*AM576,0)</f>
        <v>0</v>
      </c>
      <c r="AU581" s="197" t="str">
        <f>IFERROR(VLOOKUP($G581,нормы!$A$14:$BI$57,56,0)*W581,"")</f>
        <v/>
      </c>
      <c r="AV581" s="292">
        <f>IFERROR(AW581/SUM(AW576:AW581)*AK576,0)</f>
        <v>0</v>
      </c>
      <c r="AW581" s="202" t="str">
        <f>IFERROR(VLOOKUP($G581,нормы!$A$14:$BI$57,57,0)*W581,"")</f>
        <v/>
      </c>
      <c r="AX581" s="56"/>
      <c r="AY581" s="203" t="str">
        <f>IFERROR(VLOOKUP($G581,нормы!$A$14:$BI$57,58,0)*W581,"")</f>
        <v/>
      </c>
      <c r="AZ581" s="206"/>
      <c r="BA581" s="200" t="str">
        <f>IFERROR(VLOOKUP($G581,нормы!$A$14:$BI$57,61,0)*$W581,"")</f>
        <v/>
      </c>
      <c r="BB581" s="56"/>
      <c r="BC581" s="203" t="str">
        <f>IFERROR(VLOOKUP($G581,нормы!$A$14:$BI$57,60,0)*W581,"")</f>
        <v/>
      </c>
      <c r="BD581" s="200" t="str">
        <f>IFERROR(VLOOKUP($G581,нормы!$A$14:$BG$57,44,0),"")</f>
        <v/>
      </c>
      <c r="BE581" s="199" t="str">
        <f>IFERROR(W581/VLOOKUP($G581,нормы!$A$14:$BI$57,45,0),"")</f>
        <v/>
      </c>
    </row>
    <row r="582" spans="1:57" s="1" customFormat="1" ht="29.4" customHeight="1" thickBot="1" x14ac:dyDescent="0.45">
      <c r="A582" s="37" t="str">
        <f t="shared" si="230"/>
        <v>10Д</v>
      </c>
      <c r="B582" s="59"/>
      <c r="C582" s="51"/>
      <c r="D582" s="51"/>
      <c r="E582" s="51"/>
      <c r="F582" s="51"/>
      <c r="G582" s="51"/>
      <c r="H582" s="51"/>
      <c r="I582" s="60"/>
      <c r="J582" s="60"/>
      <c r="K582" s="319" t="s">
        <v>213</v>
      </c>
      <c r="L582" s="316"/>
      <c r="M582" s="303" t="s">
        <v>213</v>
      </c>
      <c r="N582" s="317">
        <f>SUM(N576:N581)</f>
        <v>0</v>
      </c>
      <c r="O582" s="304" t="s">
        <v>217</v>
      </c>
      <c r="P582" s="318">
        <f>N582*8.937/1000</f>
        <v>0</v>
      </c>
      <c r="Q582" s="305" t="s">
        <v>215</v>
      </c>
      <c r="R582" s="61"/>
      <c r="S582" s="61"/>
      <c r="T582" s="61"/>
      <c r="U582" s="109"/>
      <c r="V582" s="109"/>
      <c r="W582" s="94"/>
      <c r="X582" s="155"/>
      <c r="Y582" s="96">
        <f>SUM(Y576:Y581)</f>
        <v>0</v>
      </c>
      <c r="Z582" s="164">
        <f>SUM(Z576:Z581)</f>
        <v>0</v>
      </c>
      <c r="AA582" s="207">
        <f>(AA568+AA569+AA570+AA571+AA572+AA573+AA574+AA576+AA577+AA578+AA579+AA580+AA581)-AG569</f>
        <v>1</v>
      </c>
      <c r="AB582" s="208">
        <f>(AB568+AB569+AB570+AB571+AB572+AB573+AB574+AB576+AB577+AB578+AB579+AB580+AB581)-AH569</f>
        <v>2</v>
      </c>
      <c r="AC582" s="208">
        <f>(AC568+AC569+AC570+AC571+AC572+AC573+AC574+AC576+AC577+AC578+AC579+AC580+AC581)-AG576</f>
        <v>3</v>
      </c>
      <c r="AD582" s="208">
        <f>(AD568+AD569+AD570+AD571+AD572+AD573+AD574+AD576+AD577+AD578+AD579+AD580+AD581)-AH576</f>
        <v>4</v>
      </c>
      <c r="AE582" s="208">
        <f>(AE568+AE569+AE570+AE571+AE572+AE573+AE574+AE576+AE577+AE578+AE579+AE580+AE581)-AI569</f>
        <v>5</v>
      </c>
      <c r="AF582" s="209">
        <f>(AF568+AF569+AF570+AF571+AF572+AF573+AF574+AF576+AF577+AF578+AF579+AF580+AF581)-AI576</f>
        <v>6</v>
      </c>
      <c r="AG582" s="62"/>
      <c r="AH582" s="62"/>
      <c r="AI582" s="62"/>
      <c r="AJ582" s="62"/>
      <c r="AK582" s="62"/>
      <c r="AL582" s="62"/>
      <c r="AM582" s="62"/>
      <c r="AN582" s="91">
        <f>SUM(AN576:AN581)</f>
        <v>0</v>
      </c>
      <c r="AO582" s="91">
        <f>SUM(AO576:AO581)</f>
        <v>0</v>
      </c>
      <c r="AP582" s="91"/>
      <c r="AQ582" s="91"/>
      <c r="AR582" s="91">
        <f>SUM(AR576:AR581)</f>
        <v>0</v>
      </c>
      <c r="AS582" s="91">
        <f t="shared" ref="AS582:AW582" si="235">SUM(AS576:AS581)</f>
        <v>0</v>
      </c>
      <c r="AT582" s="91">
        <f t="shared" si="235"/>
        <v>0</v>
      </c>
      <c r="AU582" s="91">
        <f t="shared" si="235"/>
        <v>0</v>
      </c>
      <c r="AV582" s="91">
        <f t="shared" si="235"/>
        <v>0</v>
      </c>
      <c r="AW582" s="91">
        <f t="shared" si="235"/>
        <v>0</v>
      </c>
      <c r="AX582" s="91">
        <f>SUM(AX576:AX581)</f>
        <v>0</v>
      </c>
      <c r="AY582" s="91">
        <f>SUM(AY576:AY581)</f>
        <v>0</v>
      </c>
      <c r="AZ582" s="91">
        <f>SUM(AZ576:AZ581)</f>
        <v>0</v>
      </c>
      <c r="BA582" s="91"/>
      <c r="BB582" s="91"/>
      <c r="BC582" s="91"/>
      <c r="BD582" s="91" t="str">
        <f>IFERROR(VLOOKUP($G582,нормы!$A$14:$BG$15,27,0),"")</f>
        <v/>
      </c>
      <c r="BE582" s="53" t="str">
        <f>IFERROR(W582/VLOOKUP($G582,нормы!$A$14:$BI$15,28,0),"")</f>
        <v/>
      </c>
    </row>
    <row r="583" spans="1:57" s="1" customFormat="1" ht="29.4" customHeight="1" thickBot="1" x14ac:dyDescent="0.5">
      <c r="A583" s="37" t="str">
        <f t="shared" si="230"/>
        <v>10Д</v>
      </c>
      <c r="B583" s="166" t="s">
        <v>130</v>
      </c>
      <c r="C583" s="167"/>
      <c r="D583" s="167"/>
      <c r="E583" s="167"/>
      <c r="F583" s="165"/>
      <c r="G583" s="167"/>
      <c r="H583" s="167"/>
      <c r="I583" s="168"/>
      <c r="J583" s="168"/>
      <c r="K583" s="168"/>
      <c r="L583" s="168"/>
      <c r="M583" s="168"/>
      <c r="N583" s="168"/>
      <c r="O583" s="167"/>
      <c r="P583" s="169"/>
      <c r="Q583" s="169"/>
      <c r="R583" s="169"/>
      <c r="S583" s="169"/>
      <c r="T583" s="169"/>
      <c r="U583" s="170"/>
      <c r="V583" s="170"/>
      <c r="W583" s="171"/>
      <c r="X583" s="171"/>
      <c r="Y583" s="172"/>
      <c r="Z583" s="172"/>
      <c r="AA583" s="201" t="s">
        <v>144</v>
      </c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64"/>
      <c r="AN583" s="167"/>
      <c r="AO583" s="167"/>
      <c r="AP583" s="167"/>
      <c r="AQ583" s="167"/>
      <c r="AR583" s="64"/>
      <c r="AS583" s="64"/>
      <c r="AT583" s="65"/>
      <c r="AU583" s="64"/>
      <c r="AV583" s="49"/>
      <c r="AW583" s="49"/>
      <c r="AX583" s="167"/>
      <c r="AY583" s="167"/>
      <c r="AZ583" s="167"/>
      <c r="BA583" s="167"/>
      <c r="BB583" s="167"/>
      <c r="BC583" s="167"/>
      <c r="BD583" s="66"/>
      <c r="BE583" s="66"/>
    </row>
    <row r="584" spans="1:57" s="1" customFormat="1" ht="23.25" customHeight="1" x14ac:dyDescent="0.4">
      <c r="A584" s="37" t="str">
        <f t="shared" si="230"/>
        <v>10Д</v>
      </c>
      <c r="B584" s="183"/>
      <c r="C584" s="100"/>
      <c r="D584" s="185"/>
      <c r="E584" s="186" t="s">
        <v>57</v>
      </c>
      <c r="F584" s="66" t="s">
        <v>87</v>
      </c>
      <c r="G584" s="66"/>
      <c r="H584" s="108" t="s">
        <v>131</v>
      </c>
      <c r="I584" s="101"/>
      <c r="J584" s="101"/>
      <c r="K584" s="101"/>
      <c r="L584" s="101"/>
      <c r="M584" s="101"/>
      <c r="N584" s="101"/>
      <c r="O584" s="67"/>
      <c r="P584" s="102"/>
      <c r="Q584" s="102"/>
      <c r="R584" s="102"/>
      <c r="S584" s="102"/>
      <c r="T584" s="102"/>
      <c r="U584" s="67"/>
      <c r="V584" s="67"/>
      <c r="W584" s="103"/>
      <c r="X584" s="187"/>
      <c r="Y584" s="68" t="s">
        <v>74</v>
      </c>
      <c r="Z584" s="69"/>
      <c r="AA584" s="90"/>
      <c r="AB584" s="100"/>
      <c r="AC584" s="100"/>
      <c r="AD584" s="186" t="s">
        <v>57</v>
      </c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190"/>
      <c r="AU584" s="66"/>
      <c r="AV584" s="165"/>
      <c r="AW584" s="293"/>
      <c r="AX584" s="66"/>
      <c r="AY584" s="66"/>
      <c r="AZ584" s="66"/>
      <c r="BA584" s="66"/>
      <c r="BB584" s="66"/>
      <c r="BC584" s="66"/>
      <c r="BD584" s="68" t="s">
        <v>74</v>
      </c>
      <c r="BE584" s="69"/>
    </row>
    <row r="585" spans="1:57" s="1" customFormat="1" ht="23.25" customHeight="1" thickBot="1" x14ac:dyDescent="0.45">
      <c r="A585" s="37" t="str">
        <f t="shared" si="230"/>
        <v>10Д</v>
      </c>
      <c r="B585" s="183"/>
      <c r="C585" s="41"/>
      <c r="D585" s="184"/>
      <c r="E585" s="50"/>
      <c r="F585" s="70"/>
      <c r="G585" s="70"/>
      <c r="H585" s="70"/>
      <c r="I585" s="104"/>
      <c r="J585" s="104"/>
      <c r="K585" s="104"/>
      <c r="L585" s="104"/>
      <c r="M585" s="104"/>
      <c r="N585" s="104"/>
      <c r="O585" s="71"/>
      <c r="P585" s="105"/>
      <c r="Q585" s="105"/>
      <c r="R585" s="105"/>
      <c r="S585" s="105"/>
      <c r="T585" s="105"/>
      <c r="U585" s="71"/>
      <c r="V585" s="71"/>
      <c r="W585" s="106"/>
      <c r="X585" s="188"/>
      <c r="Y585" s="72"/>
      <c r="Z585" s="73"/>
      <c r="AA585" s="90"/>
      <c r="AB585" s="41"/>
      <c r="AC585" s="41"/>
      <c r="AD585" s="50"/>
      <c r="AE585" s="47"/>
      <c r="AF585" s="47"/>
      <c r="AG585" s="47"/>
      <c r="AH585" s="47"/>
      <c r="AI585" s="47"/>
      <c r="AJ585" s="47"/>
      <c r="AK585" s="47"/>
      <c r="AL585" s="47"/>
      <c r="AM585" s="70"/>
      <c r="AN585" s="47"/>
      <c r="AO585" s="70"/>
      <c r="AP585" s="70"/>
      <c r="AQ585" s="70"/>
      <c r="AR585" s="70"/>
      <c r="AS585" s="70"/>
      <c r="AT585" s="191"/>
      <c r="AU585" s="70"/>
      <c r="AV585" s="192"/>
      <c r="AW585" s="294"/>
      <c r="AX585" s="70"/>
      <c r="AY585" s="70"/>
      <c r="AZ585" s="70"/>
      <c r="BA585" s="70"/>
      <c r="BB585" s="70"/>
      <c r="BC585" s="70"/>
      <c r="BD585" s="72"/>
      <c r="BE585" s="73"/>
    </row>
    <row r="586" spans="1:57" s="1" customFormat="1" ht="21.9" customHeight="1" x14ac:dyDescent="0.4">
      <c r="A586" s="37" t="str">
        <f t="shared" si="230"/>
        <v>10Д</v>
      </c>
      <c r="B586" s="183"/>
      <c r="C586" s="41"/>
      <c r="D586" s="184"/>
      <c r="E586" s="281">
        <f>B581</f>
        <v>46032</v>
      </c>
      <c r="F586" s="337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98">
        <v>1</v>
      </c>
      <c r="Y586" s="74">
        <v>1</v>
      </c>
      <c r="Z586" s="75">
        <f t="shared" ref="Z586:Z597" si="236">Y586-X586</f>
        <v>0</v>
      </c>
      <c r="AA586" s="189"/>
      <c r="AB586" s="41"/>
      <c r="AC586" s="184"/>
      <c r="AD586" s="210">
        <f>E586</f>
        <v>46032</v>
      </c>
      <c r="AE586" s="387"/>
      <c r="AF586" s="388"/>
      <c r="AG586" s="388"/>
      <c r="AH586" s="388"/>
      <c r="AI586" s="388"/>
      <c r="AJ586" s="388"/>
      <c r="AK586" s="388"/>
      <c r="AL586" s="388"/>
      <c r="AM586" s="388"/>
      <c r="AN586" s="388"/>
      <c r="AO586" s="388"/>
      <c r="AP586" s="388"/>
      <c r="AQ586" s="388"/>
      <c r="AR586" s="388"/>
      <c r="AS586" s="388"/>
      <c r="AT586" s="388"/>
      <c r="AU586" s="388"/>
      <c r="AV586" s="388"/>
      <c r="AW586" s="388"/>
      <c r="AX586" s="388"/>
      <c r="AY586" s="388"/>
      <c r="AZ586" s="388"/>
      <c r="BA586" s="388"/>
      <c r="BB586" s="389"/>
      <c r="BC586" s="98">
        <v>1</v>
      </c>
      <c r="BD586" s="74">
        <v>1</v>
      </c>
      <c r="BE586" s="75">
        <f t="shared" ref="BE586:BE597" si="237">BD586-BC586</f>
        <v>0</v>
      </c>
    </row>
    <row r="587" spans="1:57" s="1" customFormat="1" ht="21.9" customHeight="1" x14ac:dyDescent="0.4">
      <c r="A587" s="37" t="str">
        <f t="shared" si="230"/>
        <v>10Д</v>
      </c>
      <c r="B587" s="183"/>
      <c r="C587" s="41"/>
      <c r="D587" s="184"/>
      <c r="E587" s="282">
        <f>E586</f>
        <v>46032</v>
      </c>
      <c r="F587" s="335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  <c r="R587" s="336"/>
      <c r="S587" s="336"/>
      <c r="T587" s="336"/>
      <c r="U587" s="336"/>
      <c r="V587" s="336"/>
      <c r="W587" s="336"/>
      <c r="X587" s="98">
        <v>1</v>
      </c>
      <c r="Y587" s="74">
        <v>1</v>
      </c>
      <c r="Z587" s="75">
        <f t="shared" si="236"/>
        <v>0</v>
      </c>
      <c r="AA587" s="107">
        <f>AA586</f>
        <v>0</v>
      </c>
      <c r="AB587" s="41"/>
      <c r="AC587" s="184"/>
      <c r="AD587" s="212">
        <f>AD586</f>
        <v>46032</v>
      </c>
      <c r="AE587" s="387"/>
      <c r="AF587" s="388"/>
      <c r="AG587" s="388"/>
      <c r="AH587" s="388"/>
      <c r="AI587" s="388"/>
      <c r="AJ587" s="388"/>
      <c r="AK587" s="388"/>
      <c r="AL587" s="388"/>
      <c r="AM587" s="388"/>
      <c r="AN587" s="388"/>
      <c r="AO587" s="388"/>
      <c r="AP587" s="388"/>
      <c r="AQ587" s="388"/>
      <c r="AR587" s="388"/>
      <c r="AS587" s="388"/>
      <c r="AT587" s="388"/>
      <c r="AU587" s="388"/>
      <c r="AV587" s="388"/>
      <c r="AW587" s="388"/>
      <c r="AX587" s="388"/>
      <c r="AY587" s="388"/>
      <c r="AZ587" s="388"/>
      <c r="BA587" s="388"/>
      <c r="BB587" s="389"/>
      <c r="BC587" s="98">
        <v>1</v>
      </c>
      <c r="BD587" s="74">
        <v>1</v>
      </c>
      <c r="BE587" s="75">
        <f t="shared" si="237"/>
        <v>0</v>
      </c>
    </row>
    <row r="588" spans="1:57" s="1" customFormat="1" ht="21.9" customHeight="1" x14ac:dyDescent="0.4">
      <c r="A588" s="37" t="str">
        <f t="shared" si="230"/>
        <v>10Д</v>
      </c>
      <c r="B588" s="183"/>
      <c r="C588" s="41"/>
      <c r="D588" s="184"/>
      <c r="E588" s="282">
        <f t="shared" ref="E588:E597" si="238">E587</f>
        <v>46032</v>
      </c>
      <c r="F588" s="335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  <c r="R588" s="336"/>
      <c r="S588" s="336"/>
      <c r="T588" s="336"/>
      <c r="U588" s="336"/>
      <c r="V588" s="336"/>
      <c r="W588" s="336"/>
      <c r="X588" s="98">
        <v>1</v>
      </c>
      <c r="Y588" s="74">
        <v>1</v>
      </c>
      <c r="Z588" s="75">
        <f t="shared" si="236"/>
        <v>0</v>
      </c>
      <c r="AA588" s="107">
        <f>AA587</f>
        <v>0</v>
      </c>
      <c r="AB588" s="41"/>
      <c r="AC588" s="184"/>
      <c r="AD588" s="212">
        <f t="shared" ref="AD588:AD597" si="239">AD587</f>
        <v>46032</v>
      </c>
      <c r="AE588" s="387"/>
      <c r="AF588" s="388"/>
      <c r="AG588" s="388"/>
      <c r="AH588" s="388"/>
      <c r="AI588" s="388"/>
      <c r="AJ588" s="388"/>
      <c r="AK588" s="388"/>
      <c r="AL588" s="388"/>
      <c r="AM588" s="388"/>
      <c r="AN588" s="388"/>
      <c r="AO588" s="388"/>
      <c r="AP588" s="388"/>
      <c r="AQ588" s="388"/>
      <c r="AR588" s="388"/>
      <c r="AS588" s="388"/>
      <c r="AT588" s="388"/>
      <c r="AU588" s="388"/>
      <c r="AV588" s="388"/>
      <c r="AW588" s="388"/>
      <c r="AX588" s="388"/>
      <c r="AY588" s="388"/>
      <c r="AZ588" s="388"/>
      <c r="BA588" s="388"/>
      <c r="BB588" s="389"/>
      <c r="BC588" s="98">
        <v>1</v>
      </c>
      <c r="BD588" s="74">
        <v>1</v>
      </c>
      <c r="BE588" s="75">
        <f t="shared" si="237"/>
        <v>0</v>
      </c>
    </row>
    <row r="589" spans="1:57" s="1" customFormat="1" ht="21.9" customHeight="1" x14ac:dyDescent="0.4">
      <c r="A589" s="37" t="str">
        <f t="shared" si="230"/>
        <v>10Д</v>
      </c>
      <c r="B589" s="183"/>
      <c r="C589" s="41"/>
      <c r="D589" s="184"/>
      <c r="E589" s="282">
        <f t="shared" si="238"/>
        <v>46032</v>
      </c>
      <c r="F589" s="335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  <c r="R589" s="336"/>
      <c r="S589" s="336"/>
      <c r="T589" s="336"/>
      <c r="U589" s="336"/>
      <c r="V589" s="336"/>
      <c r="W589" s="336"/>
      <c r="X589" s="98">
        <v>1</v>
      </c>
      <c r="Y589" s="74">
        <v>1</v>
      </c>
      <c r="Z589" s="75">
        <f t="shared" si="236"/>
        <v>0</v>
      </c>
      <c r="AA589" s="107">
        <f t="shared" ref="AA589:AA597" si="240">AA588</f>
        <v>0</v>
      </c>
      <c r="AB589" s="41"/>
      <c r="AC589" s="184"/>
      <c r="AD589" s="212">
        <f t="shared" si="239"/>
        <v>46032</v>
      </c>
      <c r="AE589" s="387"/>
      <c r="AF589" s="388"/>
      <c r="AG589" s="388"/>
      <c r="AH589" s="388"/>
      <c r="AI589" s="388"/>
      <c r="AJ589" s="388"/>
      <c r="AK589" s="388"/>
      <c r="AL589" s="388"/>
      <c r="AM589" s="388"/>
      <c r="AN589" s="388"/>
      <c r="AO589" s="388"/>
      <c r="AP589" s="388"/>
      <c r="AQ589" s="388"/>
      <c r="AR589" s="388"/>
      <c r="AS589" s="388"/>
      <c r="AT589" s="388"/>
      <c r="AU589" s="388"/>
      <c r="AV589" s="388"/>
      <c r="AW589" s="388"/>
      <c r="AX589" s="388"/>
      <c r="AY589" s="388"/>
      <c r="AZ589" s="388"/>
      <c r="BA589" s="388"/>
      <c r="BB589" s="389"/>
      <c r="BC589" s="98">
        <v>1</v>
      </c>
      <c r="BD589" s="74">
        <v>1</v>
      </c>
      <c r="BE589" s="75">
        <f t="shared" si="237"/>
        <v>0</v>
      </c>
    </row>
    <row r="590" spans="1:57" s="1" customFormat="1" ht="21.9" customHeight="1" x14ac:dyDescent="0.4">
      <c r="A590" s="37" t="str">
        <f t="shared" si="230"/>
        <v>10Д</v>
      </c>
      <c r="B590" s="183"/>
      <c r="C590" s="41"/>
      <c r="D590" s="184"/>
      <c r="E590" s="282">
        <f t="shared" si="238"/>
        <v>46032</v>
      </c>
      <c r="F590" s="335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  <c r="R590" s="336"/>
      <c r="S590" s="336"/>
      <c r="T590" s="336"/>
      <c r="U590" s="336"/>
      <c r="V590" s="336"/>
      <c r="W590" s="336"/>
      <c r="X590" s="98">
        <v>1</v>
      </c>
      <c r="Y590" s="74">
        <v>1</v>
      </c>
      <c r="Z590" s="75">
        <f t="shared" si="236"/>
        <v>0</v>
      </c>
      <c r="AA590" s="107">
        <f t="shared" si="240"/>
        <v>0</v>
      </c>
      <c r="AB590" s="41"/>
      <c r="AC590" s="184"/>
      <c r="AD590" s="212">
        <f t="shared" si="239"/>
        <v>46032</v>
      </c>
      <c r="AE590" s="387"/>
      <c r="AF590" s="388"/>
      <c r="AG590" s="388"/>
      <c r="AH590" s="388"/>
      <c r="AI590" s="388"/>
      <c r="AJ590" s="388"/>
      <c r="AK590" s="388"/>
      <c r="AL590" s="388"/>
      <c r="AM590" s="388"/>
      <c r="AN590" s="388"/>
      <c r="AO590" s="388"/>
      <c r="AP590" s="388"/>
      <c r="AQ590" s="388"/>
      <c r="AR590" s="388"/>
      <c r="AS590" s="388"/>
      <c r="AT590" s="388"/>
      <c r="AU590" s="388"/>
      <c r="AV590" s="388"/>
      <c r="AW590" s="388"/>
      <c r="AX590" s="388"/>
      <c r="AY590" s="388"/>
      <c r="AZ590" s="388"/>
      <c r="BA590" s="388"/>
      <c r="BB590" s="389"/>
      <c r="BC590" s="98">
        <v>1</v>
      </c>
      <c r="BD590" s="74">
        <v>1</v>
      </c>
      <c r="BE590" s="75">
        <f t="shared" si="237"/>
        <v>0</v>
      </c>
    </row>
    <row r="591" spans="1:57" s="1" customFormat="1" ht="21.9" customHeight="1" x14ac:dyDescent="0.4">
      <c r="A591" s="37" t="str">
        <f t="shared" si="230"/>
        <v>10Д</v>
      </c>
      <c r="B591" s="183"/>
      <c r="C591" s="41"/>
      <c r="D591" s="184"/>
      <c r="E591" s="282">
        <f t="shared" si="238"/>
        <v>46032</v>
      </c>
      <c r="F591" s="335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  <c r="R591" s="336"/>
      <c r="S591" s="336"/>
      <c r="T591" s="336"/>
      <c r="U591" s="336"/>
      <c r="V591" s="336"/>
      <c r="W591" s="336"/>
      <c r="X591" s="98">
        <v>1</v>
      </c>
      <c r="Y591" s="74">
        <v>1</v>
      </c>
      <c r="Z591" s="75">
        <f t="shared" si="236"/>
        <v>0</v>
      </c>
      <c r="AA591" s="107">
        <f t="shared" si="240"/>
        <v>0</v>
      </c>
      <c r="AB591" s="41"/>
      <c r="AC591" s="184"/>
      <c r="AD591" s="212">
        <f t="shared" si="239"/>
        <v>46032</v>
      </c>
      <c r="AE591" s="387"/>
      <c r="AF591" s="388"/>
      <c r="AG591" s="388"/>
      <c r="AH591" s="388"/>
      <c r="AI591" s="388"/>
      <c r="AJ591" s="388"/>
      <c r="AK591" s="388"/>
      <c r="AL591" s="388"/>
      <c r="AM591" s="388"/>
      <c r="AN591" s="388"/>
      <c r="AO591" s="388"/>
      <c r="AP591" s="388"/>
      <c r="AQ591" s="388"/>
      <c r="AR591" s="388"/>
      <c r="AS591" s="388"/>
      <c r="AT591" s="388"/>
      <c r="AU591" s="388"/>
      <c r="AV591" s="388"/>
      <c r="AW591" s="388"/>
      <c r="AX591" s="388"/>
      <c r="AY591" s="388"/>
      <c r="AZ591" s="388"/>
      <c r="BA591" s="388"/>
      <c r="BB591" s="389"/>
      <c r="BC591" s="98">
        <v>1</v>
      </c>
      <c r="BD591" s="74">
        <v>1</v>
      </c>
      <c r="BE591" s="75">
        <f t="shared" si="237"/>
        <v>0</v>
      </c>
    </row>
    <row r="592" spans="1:57" s="1" customFormat="1" ht="18" customHeight="1" x14ac:dyDescent="0.4">
      <c r="A592" s="37" t="str">
        <f t="shared" si="230"/>
        <v>10Д</v>
      </c>
      <c r="B592" s="183"/>
      <c r="C592" s="41"/>
      <c r="D592" s="184"/>
      <c r="E592" s="282">
        <f t="shared" si="238"/>
        <v>46032</v>
      </c>
      <c r="F592" s="335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  <c r="R592" s="336"/>
      <c r="S592" s="336"/>
      <c r="T592" s="336"/>
      <c r="U592" s="336"/>
      <c r="V592" s="336"/>
      <c r="W592" s="336"/>
      <c r="X592" s="98">
        <v>1</v>
      </c>
      <c r="Y592" s="74">
        <v>1</v>
      </c>
      <c r="Z592" s="75">
        <f t="shared" si="236"/>
        <v>0</v>
      </c>
      <c r="AA592" s="107">
        <f t="shared" si="240"/>
        <v>0</v>
      </c>
      <c r="AB592" s="41"/>
      <c r="AC592" s="184"/>
      <c r="AD592" s="212">
        <f t="shared" si="239"/>
        <v>46032</v>
      </c>
      <c r="AE592" s="387"/>
      <c r="AF592" s="388"/>
      <c r="AG592" s="388"/>
      <c r="AH592" s="388"/>
      <c r="AI592" s="388"/>
      <c r="AJ592" s="388"/>
      <c r="AK592" s="388"/>
      <c r="AL592" s="388"/>
      <c r="AM592" s="388"/>
      <c r="AN592" s="388"/>
      <c r="AO592" s="388"/>
      <c r="AP592" s="388"/>
      <c r="AQ592" s="388"/>
      <c r="AR592" s="388"/>
      <c r="AS592" s="388"/>
      <c r="AT592" s="388"/>
      <c r="AU592" s="388"/>
      <c r="AV592" s="388"/>
      <c r="AW592" s="388"/>
      <c r="AX592" s="388"/>
      <c r="AY592" s="388"/>
      <c r="AZ592" s="388"/>
      <c r="BA592" s="388"/>
      <c r="BB592" s="389"/>
      <c r="BC592" s="98">
        <v>1</v>
      </c>
      <c r="BD592" s="74">
        <v>1</v>
      </c>
      <c r="BE592" s="75">
        <f t="shared" si="237"/>
        <v>0</v>
      </c>
    </row>
    <row r="593" spans="1:57" s="1" customFormat="1" ht="18" customHeight="1" x14ac:dyDescent="0.4">
      <c r="A593" s="37" t="str">
        <f t="shared" si="230"/>
        <v>10Д</v>
      </c>
      <c r="B593" s="183"/>
      <c r="C593" s="41"/>
      <c r="D593" s="184"/>
      <c r="E593" s="282">
        <f t="shared" si="238"/>
        <v>46032</v>
      </c>
      <c r="F593" s="335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  <c r="R593" s="336"/>
      <c r="S593" s="336"/>
      <c r="T593" s="336"/>
      <c r="U593" s="336"/>
      <c r="V593" s="336"/>
      <c r="W593" s="336"/>
      <c r="X593" s="98">
        <v>1</v>
      </c>
      <c r="Y593" s="74">
        <v>1</v>
      </c>
      <c r="Z593" s="75">
        <f t="shared" si="236"/>
        <v>0</v>
      </c>
      <c r="AA593" s="107">
        <f t="shared" si="240"/>
        <v>0</v>
      </c>
      <c r="AB593" s="41"/>
      <c r="AC593" s="184"/>
      <c r="AD593" s="212">
        <f t="shared" si="239"/>
        <v>46032</v>
      </c>
      <c r="AE593" s="387"/>
      <c r="AF593" s="388"/>
      <c r="AG593" s="388"/>
      <c r="AH593" s="388"/>
      <c r="AI593" s="388"/>
      <c r="AJ593" s="388"/>
      <c r="AK593" s="388"/>
      <c r="AL593" s="388"/>
      <c r="AM593" s="388"/>
      <c r="AN593" s="388"/>
      <c r="AO593" s="388"/>
      <c r="AP593" s="388"/>
      <c r="AQ593" s="388"/>
      <c r="AR593" s="388"/>
      <c r="AS593" s="388"/>
      <c r="AT593" s="388"/>
      <c r="AU593" s="388"/>
      <c r="AV593" s="388"/>
      <c r="AW593" s="388"/>
      <c r="AX593" s="388"/>
      <c r="AY593" s="388"/>
      <c r="AZ593" s="388"/>
      <c r="BA593" s="388"/>
      <c r="BB593" s="389"/>
      <c r="BC593" s="98">
        <v>1</v>
      </c>
      <c r="BD593" s="74">
        <v>1</v>
      </c>
      <c r="BE593" s="75">
        <f t="shared" si="237"/>
        <v>0</v>
      </c>
    </row>
    <row r="594" spans="1:57" s="1" customFormat="1" ht="18" customHeight="1" x14ac:dyDescent="0.4">
      <c r="A594" s="37" t="str">
        <f t="shared" si="230"/>
        <v>10Д</v>
      </c>
      <c r="B594" s="183"/>
      <c r="C594" s="41"/>
      <c r="D594" s="184"/>
      <c r="E594" s="282">
        <f t="shared" si="238"/>
        <v>46032</v>
      </c>
      <c r="F594" s="335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  <c r="R594" s="336"/>
      <c r="S594" s="336"/>
      <c r="T594" s="336"/>
      <c r="U594" s="336"/>
      <c r="V594" s="336"/>
      <c r="W594" s="336"/>
      <c r="X594" s="98">
        <v>1</v>
      </c>
      <c r="Y594" s="74">
        <v>1</v>
      </c>
      <c r="Z594" s="75">
        <f t="shared" si="236"/>
        <v>0</v>
      </c>
      <c r="AA594" s="107">
        <f t="shared" si="240"/>
        <v>0</v>
      </c>
      <c r="AB594" s="41"/>
      <c r="AC594" s="184"/>
      <c r="AD594" s="212">
        <f t="shared" si="239"/>
        <v>46032</v>
      </c>
      <c r="AE594" s="387"/>
      <c r="AF594" s="388"/>
      <c r="AG594" s="388"/>
      <c r="AH594" s="388"/>
      <c r="AI594" s="388"/>
      <c r="AJ594" s="388"/>
      <c r="AK594" s="388"/>
      <c r="AL594" s="388"/>
      <c r="AM594" s="388"/>
      <c r="AN594" s="388"/>
      <c r="AO594" s="388"/>
      <c r="AP594" s="388"/>
      <c r="AQ594" s="388"/>
      <c r="AR594" s="388"/>
      <c r="AS594" s="388"/>
      <c r="AT594" s="388"/>
      <c r="AU594" s="388"/>
      <c r="AV594" s="388"/>
      <c r="AW594" s="388"/>
      <c r="AX594" s="388"/>
      <c r="AY594" s="388"/>
      <c r="AZ594" s="388"/>
      <c r="BA594" s="388"/>
      <c r="BB594" s="389"/>
      <c r="BC594" s="98">
        <v>1</v>
      </c>
      <c r="BD594" s="74">
        <v>1</v>
      </c>
      <c r="BE594" s="75">
        <f t="shared" si="237"/>
        <v>0</v>
      </c>
    </row>
    <row r="595" spans="1:57" s="1" customFormat="1" ht="18" customHeight="1" x14ac:dyDescent="0.4">
      <c r="A595" s="37" t="str">
        <f t="shared" si="230"/>
        <v>10Д</v>
      </c>
      <c r="B595" s="183"/>
      <c r="C595" s="41"/>
      <c r="D595" s="184"/>
      <c r="E595" s="282">
        <f t="shared" si="238"/>
        <v>46032</v>
      </c>
      <c r="F595" s="335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  <c r="R595" s="336"/>
      <c r="S595" s="336"/>
      <c r="T595" s="336"/>
      <c r="U595" s="336"/>
      <c r="V595" s="336"/>
      <c r="W595" s="336"/>
      <c r="X595" s="98">
        <v>1</v>
      </c>
      <c r="Y595" s="74">
        <v>1</v>
      </c>
      <c r="Z595" s="75">
        <f t="shared" si="236"/>
        <v>0</v>
      </c>
      <c r="AA595" s="107">
        <f t="shared" si="240"/>
        <v>0</v>
      </c>
      <c r="AB595" s="41"/>
      <c r="AC595" s="184"/>
      <c r="AD595" s="212">
        <f t="shared" si="239"/>
        <v>46032</v>
      </c>
      <c r="AE595" s="387"/>
      <c r="AF595" s="388"/>
      <c r="AG595" s="388"/>
      <c r="AH595" s="388"/>
      <c r="AI595" s="388"/>
      <c r="AJ595" s="388"/>
      <c r="AK595" s="388"/>
      <c r="AL595" s="388"/>
      <c r="AM595" s="388"/>
      <c r="AN595" s="388"/>
      <c r="AO595" s="388"/>
      <c r="AP595" s="388"/>
      <c r="AQ595" s="388"/>
      <c r="AR595" s="388"/>
      <c r="AS595" s="388"/>
      <c r="AT595" s="388"/>
      <c r="AU595" s="388"/>
      <c r="AV595" s="388"/>
      <c r="AW595" s="388"/>
      <c r="AX595" s="388"/>
      <c r="AY595" s="388"/>
      <c r="AZ595" s="388"/>
      <c r="BA595" s="388"/>
      <c r="BB595" s="389"/>
      <c r="BC595" s="98">
        <v>1</v>
      </c>
      <c r="BD595" s="74">
        <v>1</v>
      </c>
      <c r="BE595" s="75">
        <f t="shared" si="237"/>
        <v>0</v>
      </c>
    </row>
    <row r="596" spans="1:57" s="1" customFormat="1" ht="18" customHeight="1" x14ac:dyDescent="0.4">
      <c r="A596" s="37" t="str">
        <f t="shared" si="230"/>
        <v>10Д</v>
      </c>
      <c r="B596" s="183"/>
      <c r="C596" s="41"/>
      <c r="D596" s="184"/>
      <c r="E596" s="282">
        <f t="shared" si="238"/>
        <v>46032</v>
      </c>
      <c r="F596" s="335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  <c r="R596" s="336"/>
      <c r="S596" s="336"/>
      <c r="T596" s="336"/>
      <c r="U596" s="336"/>
      <c r="V596" s="336"/>
      <c r="W596" s="336"/>
      <c r="X596" s="98">
        <v>1</v>
      </c>
      <c r="Y596" s="74">
        <v>1</v>
      </c>
      <c r="Z596" s="75">
        <f t="shared" si="236"/>
        <v>0</v>
      </c>
      <c r="AA596" s="107">
        <f t="shared" si="240"/>
        <v>0</v>
      </c>
      <c r="AB596" s="41"/>
      <c r="AC596" s="184"/>
      <c r="AD596" s="212">
        <f t="shared" si="239"/>
        <v>46032</v>
      </c>
      <c r="AE596" s="387"/>
      <c r="AF596" s="388"/>
      <c r="AG596" s="388"/>
      <c r="AH596" s="388"/>
      <c r="AI596" s="388"/>
      <c r="AJ596" s="388"/>
      <c r="AK596" s="388"/>
      <c r="AL596" s="388"/>
      <c r="AM596" s="388"/>
      <c r="AN596" s="388"/>
      <c r="AO596" s="388"/>
      <c r="AP596" s="388"/>
      <c r="AQ596" s="388"/>
      <c r="AR596" s="388"/>
      <c r="AS596" s="388"/>
      <c r="AT596" s="388"/>
      <c r="AU596" s="388"/>
      <c r="AV596" s="388"/>
      <c r="AW596" s="388"/>
      <c r="AX596" s="388"/>
      <c r="AY596" s="388"/>
      <c r="AZ596" s="388"/>
      <c r="BA596" s="388"/>
      <c r="BB596" s="389"/>
      <c r="BC596" s="98">
        <v>1</v>
      </c>
      <c r="BD596" s="74">
        <v>1</v>
      </c>
      <c r="BE596" s="75">
        <f t="shared" si="237"/>
        <v>0</v>
      </c>
    </row>
    <row r="597" spans="1:57" s="1" customFormat="1" ht="18" customHeight="1" thickBot="1" x14ac:dyDescent="0.45">
      <c r="A597" s="37" t="str">
        <f t="shared" si="230"/>
        <v>10Д</v>
      </c>
      <c r="B597" s="183"/>
      <c r="C597" s="41"/>
      <c r="D597" s="184"/>
      <c r="E597" s="283">
        <f t="shared" si="238"/>
        <v>46032</v>
      </c>
      <c r="F597" s="339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99">
        <v>1</v>
      </c>
      <c r="Y597" s="76">
        <v>1</v>
      </c>
      <c r="Z597" s="77">
        <f t="shared" si="236"/>
        <v>0</v>
      </c>
      <c r="AA597" s="107">
        <f t="shared" si="240"/>
        <v>0</v>
      </c>
      <c r="AB597" s="41"/>
      <c r="AC597" s="184"/>
      <c r="AD597" s="211">
        <f t="shared" si="239"/>
        <v>46032</v>
      </c>
      <c r="AE597" s="410"/>
      <c r="AF597" s="411"/>
      <c r="AG597" s="411"/>
      <c r="AH597" s="411"/>
      <c r="AI597" s="411"/>
      <c r="AJ597" s="411"/>
      <c r="AK597" s="411"/>
      <c r="AL597" s="411"/>
      <c r="AM597" s="411"/>
      <c r="AN597" s="411"/>
      <c r="AO597" s="411"/>
      <c r="AP597" s="411"/>
      <c r="AQ597" s="411"/>
      <c r="AR597" s="411"/>
      <c r="AS597" s="411"/>
      <c r="AT597" s="411"/>
      <c r="AU597" s="411"/>
      <c r="AV597" s="411"/>
      <c r="AW597" s="411"/>
      <c r="AX597" s="411"/>
      <c r="AY597" s="411"/>
      <c r="AZ597" s="411"/>
      <c r="BA597" s="411"/>
      <c r="BB597" s="412"/>
      <c r="BC597" s="99">
        <v>1</v>
      </c>
      <c r="BD597" s="76">
        <v>1</v>
      </c>
      <c r="BE597" s="75">
        <f t="shared" si="237"/>
        <v>0</v>
      </c>
    </row>
    <row r="598" spans="1:57" s="1" customFormat="1" ht="23.25" customHeight="1" thickBot="1" x14ac:dyDescent="0.45">
      <c r="A598" s="37" t="str">
        <f t="shared" si="230"/>
        <v>10Д</v>
      </c>
      <c r="B598" s="193"/>
      <c r="C598" s="47"/>
      <c r="D598" s="47"/>
      <c r="E598" s="47"/>
      <c r="F598" s="78"/>
      <c r="G598" s="78"/>
      <c r="H598" s="78"/>
      <c r="I598" s="80"/>
      <c r="J598" s="80"/>
      <c r="K598" s="80"/>
      <c r="L598" s="80"/>
      <c r="M598" s="80"/>
      <c r="N598" s="80"/>
      <c r="O598" s="78"/>
      <c r="P598" s="81"/>
      <c r="Q598" s="81"/>
      <c r="R598" s="81"/>
      <c r="S598" s="81"/>
      <c r="T598" s="81"/>
      <c r="U598" s="82"/>
      <c r="V598" s="82"/>
      <c r="W598" s="86"/>
      <c r="X598" s="194"/>
      <c r="Y598" s="83"/>
      <c r="Z598" s="83"/>
      <c r="AA598" s="78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84"/>
      <c r="AN598" s="47"/>
      <c r="AO598" s="78"/>
      <c r="AP598" s="78"/>
      <c r="AQ598" s="78"/>
      <c r="AR598" s="84"/>
      <c r="AS598" s="78"/>
      <c r="AT598" s="85"/>
      <c r="AU598" s="78"/>
      <c r="AV598" s="83"/>
      <c r="AW598" s="83"/>
      <c r="AX598" s="78"/>
      <c r="AY598" s="78"/>
      <c r="AZ598" s="78"/>
      <c r="BA598" s="78"/>
      <c r="BB598" s="78"/>
      <c r="BC598" s="78"/>
      <c r="BD598" s="79"/>
      <c r="BE598" s="79"/>
    </row>
    <row r="599" spans="1:57" s="1" customFormat="1" ht="21.6" customHeight="1" thickBot="1" x14ac:dyDescent="0.45">
      <c r="A599" s="37" t="s">
        <v>165</v>
      </c>
      <c r="B599" s="59"/>
      <c r="C599" s="51"/>
      <c r="D599" s="51"/>
      <c r="E599" s="51"/>
      <c r="F599" s="158" t="s">
        <v>220</v>
      </c>
      <c r="G599" s="51"/>
      <c r="H599" s="51"/>
      <c r="I599" s="156"/>
      <c r="J599" s="156"/>
      <c r="K599" s="156"/>
      <c r="L599" s="156"/>
      <c r="M599" s="156"/>
      <c r="N599" s="156"/>
      <c r="O599" s="91"/>
      <c r="P599" s="52"/>
      <c r="Q599" s="52"/>
      <c r="R599" s="52"/>
      <c r="S599" s="52"/>
      <c r="T599" s="52"/>
      <c r="U599" s="157"/>
      <c r="V599" s="157"/>
      <c r="W599" s="94"/>
      <c r="X599" s="94"/>
      <c r="Y599" s="51"/>
      <c r="Z599" s="51"/>
      <c r="AA599" s="157">
        <f>AA582</f>
        <v>1</v>
      </c>
      <c r="AB599" s="157">
        <f t="shared" ref="AB599:AF599" si="241">AB582</f>
        <v>2</v>
      </c>
      <c r="AC599" s="157">
        <f t="shared" si="241"/>
        <v>3</v>
      </c>
      <c r="AD599" s="157">
        <f t="shared" si="241"/>
        <v>4</v>
      </c>
      <c r="AE599" s="157">
        <f t="shared" si="241"/>
        <v>5</v>
      </c>
      <c r="AF599" s="157">
        <f t="shared" si="241"/>
        <v>6</v>
      </c>
      <c r="AG599" s="162" t="s">
        <v>123</v>
      </c>
      <c r="AH599" s="162" t="s">
        <v>124</v>
      </c>
      <c r="AI599" s="162" t="s">
        <v>125</v>
      </c>
      <c r="AJ599" s="91" t="s">
        <v>126</v>
      </c>
      <c r="AK599" s="198" t="s">
        <v>136</v>
      </c>
      <c r="AL599" s="198" t="s">
        <v>137</v>
      </c>
      <c r="AM599" s="198" t="s">
        <v>138</v>
      </c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</row>
    <row r="600" spans="1:57" s="1" customFormat="1" ht="21.6" customHeight="1" x14ac:dyDescent="0.4">
      <c r="A600" s="37" t="str">
        <f>A599</f>
        <v>10Н</v>
      </c>
      <c r="B600" s="12">
        <f>B581</f>
        <v>46032</v>
      </c>
      <c r="C600" s="97"/>
      <c r="D600" s="97">
        <v>1</v>
      </c>
      <c r="E600" s="29"/>
      <c r="F600" s="151" t="str">
        <f>IFERROR(VLOOKUP($G600,нормы!$A$14:$BC$57,2,0),"")</f>
        <v/>
      </c>
      <c r="G600" s="93"/>
      <c r="H600" s="54">
        <f>IF(C600=1,"Кульков С.А.", IF(C600=2,"Чудаков А.А.",IF(C600=3,"Королев В.Н.",IF(C600=4,"Николашин М.П.",IF(C600=5," Кульков С.А.",IF(C600=6,"А.А. Чудаков",IF(C600=7,"В.Н. Королев",IF(C600=8,"М.П. Николашин",0))))))))</f>
        <v>0</v>
      </c>
      <c r="I600" s="88" t="s">
        <v>84</v>
      </c>
      <c r="J600" s="332"/>
      <c r="K600" s="30">
        <f>IFERROR(VLOOKUP($G600,[1]нормы!$A$21:$BC$151,15,0),"")</f>
        <v>0</v>
      </c>
      <c r="L600" s="31">
        <f>IFERROR(VLOOKUP($G600,[1]нормы!$A$21:$BC$151,17,0),"")</f>
        <v>0</v>
      </c>
      <c r="M600" s="310">
        <f>IFERROR(VLOOKUP($G600,[1]нормы!$A$21:$BC$151,27,0),"")</f>
        <v>0</v>
      </c>
      <c r="N600" s="311" t="str">
        <f>IFERROR(Y600/Y606*(1.1*J600*I605),"")</f>
        <v/>
      </c>
      <c r="O600" s="300">
        <f>IFERROR(VLOOKUP($G600,[1]нормы!$A$21:$BC$151,21,0),"")</f>
        <v>0</v>
      </c>
      <c r="P600" s="35">
        <f>IFERROR(VLOOKUP($G600,[1]нормы!$A$21:$BC$151,19,0),"")</f>
        <v>0</v>
      </c>
      <c r="Q600" s="35">
        <f>IFERROR(VLOOKUP($G600,[1]нормы!$A$21:$BC$151,23,0),"")</f>
        <v>0</v>
      </c>
      <c r="R600" s="231">
        <f>IFERROR(VLOOKUP($G600,[1]нормы!$A$21:$BC$151,29,0),"")</f>
        <v>0</v>
      </c>
      <c r="S600" s="35">
        <f>IFERROR(VLOOKUP($G600,[1]нормы!$A$21:$BC$151,31,0),"")</f>
        <v>0</v>
      </c>
      <c r="T600" s="32">
        <f>IFERROR(VLOOKUP($G600,[1]нормы!$A$21:$BC$151,25,0),"")</f>
        <v>0</v>
      </c>
      <c r="U600" s="232" t="str">
        <f>IFERROR(W600/(((100*Y600/Y606)*I605)/100),"")</f>
        <v/>
      </c>
      <c r="V600" s="234" t="str">
        <f>IFERROR(VLOOKUP($G600,нормы!$A$14:$BC$57,38,0),"")</f>
        <v/>
      </c>
      <c r="W600" s="136"/>
      <c r="X600" s="236"/>
      <c r="Y600" s="152" t="str">
        <f>IFERROR(VLOOKUP($G600,нормы!$A$14:$BC$57,42,0)*W600,"")</f>
        <v/>
      </c>
      <c r="Z600" s="163">
        <f>IFERROR(VLOOKUP($G600,нормы!$A$14:$BC$57,14,0)*W600/1000,0)</f>
        <v>0</v>
      </c>
      <c r="AA600" s="33"/>
      <c r="AB600" s="36"/>
      <c r="AC600" s="36"/>
      <c r="AD600" s="36"/>
      <c r="AE600" s="34"/>
      <c r="AF600" s="159"/>
      <c r="AG600" s="390"/>
      <c r="AH600" s="393"/>
      <c r="AI600" s="396"/>
      <c r="AJ600" s="407">
        <f>AG600+AH600</f>
        <v>0</v>
      </c>
      <c r="AK600" s="359"/>
      <c r="AL600" s="359"/>
      <c r="AM600" s="359"/>
      <c r="AN600" s="287">
        <f>IFERROR(Y600*AJ600/Y606,)</f>
        <v>0</v>
      </c>
      <c r="AO600" s="197" t="str">
        <f>IFERROR(VLOOKUP($G600,нормы!$A$14:$BC$57,53,0)*$W600,"")</f>
        <v/>
      </c>
      <c r="AP600" s="288">
        <f>IFERROR(Y600*AI600/Y606,)</f>
        <v>0</v>
      </c>
      <c r="AQ600" s="197" t="str">
        <f>IFERROR(VLOOKUP($G600,нормы!$A$14:$BC$57,54,0)*$W600,"")</f>
        <v/>
      </c>
      <c r="AR600" s="288">
        <f>IFERROR(AS600/SUM(AS600:AS605)*AL600,0)</f>
        <v>0</v>
      </c>
      <c r="AS600" s="197" t="str">
        <f>IFERROR(VLOOKUP($G600,нормы!$A$14:$BC$57,55,0)*W600,"")</f>
        <v/>
      </c>
      <c r="AT600" s="288">
        <f>IFERROR(AU600/SUM(AU600:AU605)*AM600,0)</f>
        <v>0</v>
      </c>
      <c r="AU600" s="197" t="str">
        <f>IFERROR(VLOOKUP($G600,нормы!$A$14:$BI$57,56,0)*W600,"")</f>
        <v/>
      </c>
      <c r="AV600" s="288">
        <f>IFERROR(AW600/SUM(AW600:AW605)*AK600,0)</f>
        <v>0</v>
      </c>
      <c r="AW600" s="202" t="str">
        <f>IFERROR(VLOOKUP($G600,нормы!$A$14:$BI$57,57,0)*W600,"")</f>
        <v/>
      </c>
      <c r="AX600" s="33"/>
      <c r="AY600" s="203" t="str">
        <f>IFERROR(VLOOKUP($G600,нормы!$A$14:$BI$57,58,0)*W600,"")</f>
        <v/>
      </c>
      <c r="AZ600" s="204"/>
      <c r="BA600" s="200" t="str">
        <f>IFERROR(VLOOKUP($G600,нормы!$A$14:$BI$57,61,0)*$W600,"")</f>
        <v/>
      </c>
      <c r="BB600" s="33"/>
      <c r="BC600" s="203" t="str">
        <f>IFERROR(VLOOKUP($G600,нормы!$A$14:$BI$57,60,0)*W600,"")</f>
        <v/>
      </c>
      <c r="BD600" s="200" t="str">
        <f>IFERROR(VLOOKUP($G600,нормы!$A$14:$BG$57,44,0),"")</f>
        <v/>
      </c>
      <c r="BE600" s="199" t="str">
        <f>IFERROR(W600/VLOOKUP($G600,нормы!$A$14:$BI$57,45,0),"")</f>
        <v/>
      </c>
    </row>
    <row r="601" spans="1:57" s="1" customFormat="1" ht="21.6" customHeight="1" x14ac:dyDescent="0.4">
      <c r="A601" s="37" t="str">
        <f t="shared" ref="A601:A629" si="242">A600</f>
        <v>10Н</v>
      </c>
      <c r="B601" s="12">
        <f t="shared" ref="B601:D605" si="243">B600</f>
        <v>46032</v>
      </c>
      <c r="C601" s="97">
        <f t="shared" si="243"/>
        <v>0</v>
      </c>
      <c r="D601" s="97">
        <f t="shared" si="243"/>
        <v>1</v>
      </c>
      <c r="E601" s="54"/>
      <c r="F601" s="151" t="str">
        <f>IFERROR(VLOOKUP($G601,нормы!$A$14:$BC$57,2,0),"")</f>
        <v/>
      </c>
      <c r="G601" s="93"/>
      <c r="H601" s="54">
        <f t="shared" ref="H601:H605" si="244">IF(C601=1,"Кульков С.А.", IF(C601=2,"Чудаков А.А.",IF(C601=3,"Королев В.Н.",IF(C601=4,"Николашин М.П.",IF(C601=5," Кульков С.А.",IF(C601=6,"А.А. Чудаков",IF(C601=7,"В.Н. Королев",IF(C601=8,"М.П. Николашин",0))))))))</f>
        <v>0</v>
      </c>
      <c r="I601" s="55"/>
      <c r="J601" s="333"/>
      <c r="K601" s="30">
        <f>IFERROR(VLOOKUP($G601,[1]нормы!$A$21:$BC$151,15,0),"")</f>
        <v>0</v>
      </c>
      <c r="L601" s="31">
        <f>IFERROR(VLOOKUP($G601,[1]нормы!$A$21:$BC$151,17,0),"")</f>
        <v>0</v>
      </c>
      <c r="M601" s="306">
        <f>IFERROR(VLOOKUP($G601,[1]нормы!$A$21:$BC$151,27,0),"")</f>
        <v>0</v>
      </c>
      <c r="N601" s="307" t="str">
        <f>IFERROR(Y601/Y606*(1.1*J600*I605),"")</f>
        <v/>
      </c>
      <c r="O601" s="300">
        <f>IFERROR(VLOOKUP($G601,[1]нормы!$A$21:$BC$151,21,0),"")</f>
        <v>0</v>
      </c>
      <c r="P601" s="35">
        <f>IFERROR(VLOOKUP($G601,[1]нормы!$A$21:$BC$151,19,0),"")</f>
        <v>0</v>
      </c>
      <c r="Q601" s="35">
        <f>IFERROR(VLOOKUP($G601,[1]нормы!$A$21:$BC$151,23,0),"")</f>
        <v>0</v>
      </c>
      <c r="R601" s="231">
        <f>IFERROR(VLOOKUP($G601,[1]нормы!$A$21:$BC$151,29,0),"")</f>
        <v>0</v>
      </c>
      <c r="S601" s="35">
        <f>IFERROR(VLOOKUP($G601,[1]нормы!$A$21:$BC$151,31,0),"")</f>
        <v>0</v>
      </c>
      <c r="T601" s="32">
        <f>IFERROR(VLOOKUP($G601,[1]нормы!$A$21:$BC$151,25,0),"")</f>
        <v>0</v>
      </c>
      <c r="U601" s="233" t="str">
        <f>IFERROR(W601/(((100*Y601/Y606)*I605)/100),"")</f>
        <v/>
      </c>
      <c r="V601" s="234" t="str">
        <f>IFERROR(VLOOKUP($G601,нормы!$A$14:$BC$57,38,0),"")</f>
        <v/>
      </c>
      <c r="W601" s="136"/>
      <c r="X601" s="237"/>
      <c r="Y601" s="152" t="str">
        <f>IFERROR(VLOOKUP($G601,нормы!$A$14:$BC$57,42,0)*W601,"")</f>
        <v/>
      </c>
      <c r="Z601" s="163">
        <f>IFERROR(VLOOKUP($G601,нормы!$A$14:$BC$57,14,0)*W601/1000,0)</f>
        <v>0</v>
      </c>
      <c r="AA601" s="142"/>
      <c r="AB601" s="35"/>
      <c r="AC601" s="35"/>
      <c r="AD601" s="35"/>
      <c r="AE601" s="31"/>
      <c r="AF601" s="160"/>
      <c r="AG601" s="391"/>
      <c r="AH601" s="394"/>
      <c r="AI601" s="397"/>
      <c r="AJ601" s="408"/>
      <c r="AK601" s="360"/>
      <c r="AL601" s="360"/>
      <c r="AM601" s="360"/>
      <c r="AN601" s="289">
        <f>IFERROR(Y601*AJ600/Y606,)</f>
        <v>0</v>
      </c>
      <c r="AO601" s="197" t="str">
        <f>IFERROR(VLOOKUP($G601,нормы!$A$14:$BC$57,53,0)*$W601,"")</f>
        <v/>
      </c>
      <c r="AP601" s="290">
        <f>IFERROR(Y601*AI600/Y606,)</f>
        <v>0</v>
      </c>
      <c r="AQ601" s="197" t="str">
        <f>IFERROR(VLOOKUP($G601,нормы!$A$14:$BC$57,54,0)*$W601,"")</f>
        <v/>
      </c>
      <c r="AR601" s="290">
        <f>IFERROR(AS601/SUM(AS600:AS605)*AL600,0)</f>
        <v>0</v>
      </c>
      <c r="AS601" s="197" t="str">
        <f>IFERROR(VLOOKUP($G601,нормы!$A$14:$BC$57,55,0)*W601,"")</f>
        <v/>
      </c>
      <c r="AT601" s="290">
        <f>IFERROR(AU601/SUM(AU600:AU605)*AM600,0)</f>
        <v>0</v>
      </c>
      <c r="AU601" s="197" t="str">
        <f>IFERROR(VLOOKUP($G601,нормы!$A$14:$BI$57,56,0)*W601,"")</f>
        <v/>
      </c>
      <c r="AV601" s="290">
        <f>IFERROR(AW601/SUM(AW600:AW605)*AK600,0)</f>
        <v>0</v>
      </c>
      <c r="AW601" s="202" t="str">
        <f>IFERROR(VLOOKUP($G601,нормы!$A$14:$BI$57,57,0)*W601,"")</f>
        <v/>
      </c>
      <c r="AX601" s="30"/>
      <c r="AY601" s="203" t="str">
        <f>IFERROR(VLOOKUP($G601,нормы!$A$14:$BI$57,58,0)*W601,"")</f>
        <v/>
      </c>
      <c r="AZ601" s="205"/>
      <c r="BA601" s="200" t="str">
        <f>IFERROR(VLOOKUP($G601,нормы!$A$14:$BI$57,61,0)*$W601,"")</f>
        <v/>
      </c>
      <c r="BB601" s="30"/>
      <c r="BC601" s="203" t="str">
        <f>IFERROR(VLOOKUP($G601,нормы!$A$14:$BI$57,60,0)*W601,"")</f>
        <v/>
      </c>
      <c r="BD601" s="200" t="str">
        <f>IFERROR(VLOOKUP($G601,нормы!$A$14:$BG$57,44,0),"")</f>
        <v/>
      </c>
      <c r="BE601" s="199" t="str">
        <f>IFERROR(W601/VLOOKUP($G601,нормы!$A$14:$BI$57,45,0),"")</f>
        <v/>
      </c>
    </row>
    <row r="602" spans="1:57" s="1" customFormat="1" ht="20.25" customHeight="1" x14ac:dyDescent="0.4">
      <c r="A602" s="37" t="str">
        <f t="shared" si="242"/>
        <v>10Н</v>
      </c>
      <c r="B602" s="12">
        <f t="shared" si="243"/>
        <v>46032</v>
      </c>
      <c r="C602" s="97">
        <f t="shared" si="243"/>
        <v>0</v>
      </c>
      <c r="D602" s="97">
        <f t="shared" si="243"/>
        <v>1</v>
      </c>
      <c r="E602" s="54"/>
      <c r="F602" s="151" t="str">
        <f>IFERROR(VLOOKUP($G602,нормы!$A$14:$BC$57,2,0),"")</f>
        <v/>
      </c>
      <c r="G602" s="38"/>
      <c r="H602" s="54">
        <f t="shared" si="244"/>
        <v>0</v>
      </c>
      <c r="I602" s="89" t="s">
        <v>85</v>
      </c>
      <c r="J602" s="333"/>
      <c r="K602" s="30">
        <f>IFERROR(VLOOKUP($G602,[1]нормы!$A$21:$BC$151,15,0),"")</f>
        <v>0</v>
      </c>
      <c r="L602" s="31">
        <f>IFERROR(VLOOKUP($G602,[1]нормы!$A$21:$BC$151,17,0),"")</f>
        <v>0</v>
      </c>
      <c r="M602" s="306">
        <f>IFERROR(VLOOKUP($G602,[1]нормы!$A$21:$BC$151,27,0),"")</f>
        <v>0</v>
      </c>
      <c r="N602" s="307" t="str">
        <f>IFERROR(Y602/Y606*(1.1*J600*I605),"")</f>
        <v/>
      </c>
      <c r="O602" s="300">
        <f>IFERROR(VLOOKUP($G602,[1]нормы!$A$21:$BC$151,21,0),"")</f>
        <v>0</v>
      </c>
      <c r="P602" s="35">
        <f>IFERROR(VLOOKUP($G602,[1]нормы!$A$21:$BC$151,19,0),"")</f>
        <v>0</v>
      </c>
      <c r="Q602" s="35">
        <f>IFERROR(VLOOKUP($G602,[1]нормы!$A$21:$BC$151,23,0),"")</f>
        <v>0</v>
      </c>
      <c r="R602" s="231">
        <f>IFERROR(VLOOKUP($G602,[1]нормы!$A$21:$BC$151,29,0),"")</f>
        <v>0</v>
      </c>
      <c r="S602" s="35">
        <f>IFERROR(VLOOKUP($G602,[1]нормы!$A$21:$BC$151,31,0),"")</f>
        <v>0</v>
      </c>
      <c r="T602" s="32">
        <f>IFERROR(VLOOKUP($G602,[1]нормы!$A$21:$BC$151,25,0),"")</f>
        <v>0</v>
      </c>
      <c r="U602" s="233" t="str">
        <f>IFERROR(W602/(((100*Y602/Y606)*I605)/100),"")</f>
        <v/>
      </c>
      <c r="V602" s="234" t="str">
        <f>IFERROR(VLOOKUP($G602,нормы!$A$14:$BC$57,38,0),"")</f>
        <v/>
      </c>
      <c r="W602" s="136"/>
      <c r="X602" s="237"/>
      <c r="Y602" s="152" t="str">
        <f>IFERROR(VLOOKUP($G602,нормы!$A$14:$BC$57,42,0)*W602,"")</f>
        <v/>
      </c>
      <c r="Z602" s="163">
        <f>IFERROR(VLOOKUP($G602,нормы!$A$14:$BC$57,14,0)*W602/1000,0)</f>
        <v>0</v>
      </c>
      <c r="AA602" s="30"/>
      <c r="AB602" s="35"/>
      <c r="AC602" s="35"/>
      <c r="AD602" s="35"/>
      <c r="AE602" s="31"/>
      <c r="AF602" s="160"/>
      <c r="AG602" s="391"/>
      <c r="AH602" s="394"/>
      <c r="AI602" s="397"/>
      <c r="AJ602" s="408"/>
      <c r="AK602" s="360"/>
      <c r="AL602" s="360"/>
      <c r="AM602" s="360"/>
      <c r="AN602" s="289">
        <f>IFERROR(Y602*AJ600/Y606,)</f>
        <v>0</v>
      </c>
      <c r="AO602" s="197" t="str">
        <f>IFERROR(VLOOKUP($G602,нормы!$A$14:$BC$57,53,0)*$W602,"")</f>
        <v/>
      </c>
      <c r="AP602" s="290">
        <f>IFERROR(Y602*AI600/Y606,)</f>
        <v>0</v>
      </c>
      <c r="AQ602" s="197" t="str">
        <f>IFERROR(VLOOKUP($G602,нормы!$A$14:$BC$57,54,0)*$W602,"")</f>
        <v/>
      </c>
      <c r="AR602" s="290">
        <f>IFERROR(AS602/SUM(AS600:AS605)*AL600,0)</f>
        <v>0</v>
      </c>
      <c r="AS602" s="197" t="str">
        <f>IFERROR(VLOOKUP($G602,нормы!$A$14:$BC$57,55,0)*W602,"")</f>
        <v/>
      </c>
      <c r="AT602" s="290">
        <f>IFERROR(AU602/SUM(AU600:AU605)*AM600,0)</f>
        <v>0</v>
      </c>
      <c r="AU602" s="197" t="str">
        <f>IFERROR(VLOOKUP($G602,нормы!$A$14:$BI$57,56,0)*W602,"")</f>
        <v/>
      </c>
      <c r="AV602" s="290">
        <f>IFERROR(AW602/SUM(AW600:AW605)*AK600,0)</f>
        <v>0</v>
      </c>
      <c r="AW602" s="202" t="str">
        <f>IFERROR(VLOOKUP($G602,нормы!$A$14:$BI$57,57,0)*W602,"")</f>
        <v/>
      </c>
      <c r="AX602" s="30"/>
      <c r="AY602" s="203" t="str">
        <f>IFERROR(VLOOKUP($G602,нормы!$A$14:$BI$57,58,0)*W602,"")</f>
        <v/>
      </c>
      <c r="AZ602" s="205"/>
      <c r="BA602" s="200" t="str">
        <f>IFERROR(VLOOKUP($G602,нормы!$A$14:$BI$57,61,0)*$W602,"")</f>
        <v/>
      </c>
      <c r="BB602" s="30"/>
      <c r="BC602" s="203" t="str">
        <f>IFERROR(VLOOKUP($G602,нормы!$A$14:$BI$57,60,0)*W602,"")</f>
        <v/>
      </c>
      <c r="BD602" s="200" t="str">
        <f>IFERROR(VLOOKUP($G602,нормы!$A$14:$BG$57,44,0),"")</f>
        <v/>
      </c>
      <c r="BE602" s="199" t="str">
        <f>IFERROR(W602/VLOOKUP($G602,нормы!$A$14:$BI$57,45,0),"")</f>
        <v/>
      </c>
    </row>
    <row r="603" spans="1:57" s="1" customFormat="1" ht="20.25" customHeight="1" x14ac:dyDescent="0.4">
      <c r="A603" s="37" t="str">
        <f t="shared" si="242"/>
        <v>10Н</v>
      </c>
      <c r="B603" s="12">
        <f t="shared" si="243"/>
        <v>46032</v>
      </c>
      <c r="C603" s="97">
        <f t="shared" si="243"/>
        <v>0</v>
      </c>
      <c r="D603" s="97">
        <f t="shared" si="243"/>
        <v>1</v>
      </c>
      <c r="E603" s="54"/>
      <c r="F603" s="151" t="str">
        <f>IFERROR(VLOOKUP($G603,нормы!$A$14:$BC$57,2,0),"")</f>
        <v/>
      </c>
      <c r="G603" s="93"/>
      <c r="H603" s="54">
        <f t="shared" si="244"/>
        <v>0</v>
      </c>
      <c r="I603" s="55"/>
      <c r="J603" s="333"/>
      <c r="K603" s="30">
        <f>IFERROR(VLOOKUP($G603,[1]нормы!$A$21:$BC$151,15,0),"")</f>
        <v>0</v>
      </c>
      <c r="L603" s="31">
        <f>IFERROR(VLOOKUP($G603,[1]нормы!$A$21:$BC$151,17,0),"")</f>
        <v>0</v>
      </c>
      <c r="M603" s="306">
        <f>IFERROR(VLOOKUP($G603,[1]нормы!$A$21:$BC$151,27,0),"")</f>
        <v>0</v>
      </c>
      <c r="N603" s="307" t="str">
        <f>IFERROR(Y603/Y606*(1.1*J600*I608),"")</f>
        <v/>
      </c>
      <c r="O603" s="300">
        <f>IFERROR(VLOOKUP($G603,[1]нормы!$A$21:$BC$151,21,0),"")</f>
        <v>0</v>
      </c>
      <c r="P603" s="35">
        <f>IFERROR(VLOOKUP($G603,[1]нормы!$A$21:$BC$151,19,0),"")</f>
        <v>0</v>
      </c>
      <c r="Q603" s="35">
        <f>IFERROR(VLOOKUP($G603,[1]нормы!$A$21:$BC$151,23,0),"")</f>
        <v>0</v>
      </c>
      <c r="R603" s="231">
        <f>IFERROR(VLOOKUP($G603,[1]нормы!$A$21:$BC$151,29,0),"")</f>
        <v>0</v>
      </c>
      <c r="S603" s="35">
        <f>IFERROR(VLOOKUP($G603,[1]нормы!$A$21:$BC$151,31,0),"")</f>
        <v>0</v>
      </c>
      <c r="T603" s="32">
        <f>IFERROR(VLOOKUP($G603,[1]нормы!$A$21:$BC$151,25,0),"")</f>
        <v>0</v>
      </c>
      <c r="U603" s="233" t="str">
        <f>IFERROR(W603/(((100*Y603/Y606)*I605)/100),"")</f>
        <v/>
      </c>
      <c r="V603" s="234" t="str">
        <f>IFERROR(VLOOKUP($G603,нормы!$A$14:$BC$57,38,0),"")</f>
        <v/>
      </c>
      <c r="W603" s="136"/>
      <c r="X603" s="237"/>
      <c r="Y603" s="152" t="str">
        <f>IFERROR(VLOOKUP($G603,нормы!$A$14:$BC$57,42,0)*W603,"")</f>
        <v/>
      </c>
      <c r="Z603" s="163">
        <f>IFERROR(VLOOKUP($G603,нормы!$A$14:$BC$57,14,0)*W603/1000,0)</f>
        <v>0</v>
      </c>
      <c r="AA603" s="30"/>
      <c r="AB603" s="35"/>
      <c r="AC603" s="35"/>
      <c r="AD603" s="35"/>
      <c r="AE603" s="31"/>
      <c r="AF603" s="160"/>
      <c r="AG603" s="391"/>
      <c r="AH603" s="394"/>
      <c r="AI603" s="397"/>
      <c r="AJ603" s="408"/>
      <c r="AK603" s="360"/>
      <c r="AL603" s="360"/>
      <c r="AM603" s="360"/>
      <c r="AN603" s="289">
        <f>IFERROR(Y603*AJ600/Y606,)</f>
        <v>0</v>
      </c>
      <c r="AO603" s="197" t="str">
        <f>IFERROR(VLOOKUP($G603,нормы!$A$14:$BC$57,53,0)*$W603,"")</f>
        <v/>
      </c>
      <c r="AP603" s="290">
        <f>IFERROR(Y603*AI600/Y606,)</f>
        <v>0</v>
      </c>
      <c r="AQ603" s="197" t="str">
        <f>IFERROR(VLOOKUP($G603,нормы!$A$14:$BC$57,54,0)*$W603,"")</f>
        <v/>
      </c>
      <c r="AR603" s="290">
        <f>IFERROR(AS603/SUM(AS600:AS605)*AL600,0)</f>
        <v>0</v>
      </c>
      <c r="AS603" s="197" t="str">
        <f>IFERROR(VLOOKUP($G603,нормы!$A$14:$BC$57,55,0)*W603,"")</f>
        <v/>
      </c>
      <c r="AT603" s="290">
        <f>IFERROR(AU603/SUM(AU600:AU605)*AM600,0)</f>
        <v>0</v>
      </c>
      <c r="AU603" s="197" t="str">
        <f>IFERROR(VLOOKUP($G603,нормы!$A$14:$BI$57,56,0)*W603,"")</f>
        <v/>
      </c>
      <c r="AV603" s="290">
        <f>IFERROR(AW603/SUM(AW600:AW605)*AK600,0)</f>
        <v>0</v>
      </c>
      <c r="AW603" s="202" t="str">
        <f>IFERROR(VLOOKUP($G603,нормы!$A$14:$BI$57,57,0)*W603,"")</f>
        <v/>
      </c>
      <c r="AX603" s="30"/>
      <c r="AY603" s="203" t="str">
        <f>IFERROR(VLOOKUP($G603,нормы!$A$14:$BI$57,58,0)*W603,"")</f>
        <v/>
      </c>
      <c r="AZ603" s="205"/>
      <c r="BA603" s="200" t="str">
        <f>IFERROR(VLOOKUP($G603,нормы!$A$14:$BI$57,61,0)*$W603,"")</f>
        <v/>
      </c>
      <c r="BB603" s="30"/>
      <c r="BC603" s="203" t="str">
        <f>IFERROR(VLOOKUP($G603,нормы!$A$14:$BI$57,60,0)*W603,"")</f>
        <v/>
      </c>
      <c r="BD603" s="200" t="str">
        <f>IFERROR(VLOOKUP($G603,нормы!$A$14:$BG$57,44,0),"")</f>
        <v/>
      </c>
      <c r="BE603" s="199" t="str">
        <f>IFERROR(W603/VLOOKUP($G603,нормы!$A$14:$BI$57,45,0),"")</f>
        <v/>
      </c>
    </row>
    <row r="604" spans="1:57" s="1" customFormat="1" ht="20.25" customHeight="1" x14ac:dyDescent="0.4">
      <c r="A604" s="37" t="str">
        <f t="shared" si="242"/>
        <v>10Н</v>
      </c>
      <c r="B604" s="12">
        <f t="shared" si="243"/>
        <v>46032</v>
      </c>
      <c r="C604" s="97">
        <f t="shared" si="243"/>
        <v>0</v>
      </c>
      <c r="D604" s="97">
        <f t="shared" si="243"/>
        <v>1</v>
      </c>
      <c r="E604" s="54"/>
      <c r="F604" s="151" t="str">
        <f>IFERROR(VLOOKUP($G604,нормы!$A$14:$BC$57,2,0),"")</f>
        <v/>
      </c>
      <c r="G604" s="38"/>
      <c r="H604" s="54">
        <f t="shared" si="244"/>
        <v>0</v>
      </c>
      <c r="I604" s="89" t="s">
        <v>73</v>
      </c>
      <c r="J604" s="333"/>
      <c r="K604" s="30">
        <f>IFERROR(VLOOKUP($G604,[1]нормы!$A$21:$BC$151,15,0),"")</f>
        <v>0</v>
      </c>
      <c r="L604" s="31">
        <f>IFERROR(VLOOKUP($G604,[1]нормы!$A$21:$BC$151,17,0),"")</f>
        <v>0</v>
      </c>
      <c r="M604" s="306">
        <f>IFERROR(VLOOKUP($G604,[1]нормы!$A$21:$BC$151,27,0),"")</f>
        <v>0</v>
      </c>
      <c r="N604" s="307" t="str">
        <f>IFERROR(Y604/Y606*(1.1*J600*I609),"")</f>
        <v/>
      </c>
      <c r="O604" s="300">
        <f>IFERROR(VLOOKUP($G604,[1]нормы!$A$21:$BC$151,21,0),"")</f>
        <v>0</v>
      </c>
      <c r="P604" s="35">
        <f>IFERROR(VLOOKUP($G604,[1]нормы!$A$21:$BC$151,19,0),"")</f>
        <v>0</v>
      </c>
      <c r="Q604" s="35">
        <f>IFERROR(VLOOKUP($G604,[1]нормы!$A$21:$BC$151,23,0),"")</f>
        <v>0</v>
      </c>
      <c r="R604" s="231">
        <f>IFERROR(VLOOKUP($G604,[1]нормы!$A$21:$BC$151,29,0),"")</f>
        <v>0</v>
      </c>
      <c r="S604" s="35">
        <f>IFERROR(VLOOKUP($G604,[1]нормы!$A$21:$BC$151,31,0),"")</f>
        <v>0</v>
      </c>
      <c r="T604" s="32">
        <f>IFERROR(VLOOKUP($G604,[1]нормы!$A$21:$BC$151,25,0),"")</f>
        <v>0</v>
      </c>
      <c r="U604" s="233" t="str">
        <f>IFERROR(W604/(((100*Y604/Y606)*I605)/100),"")</f>
        <v/>
      </c>
      <c r="V604" s="234" t="str">
        <f>IFERROR(VLOOKUP($G604,нормы!$A$14:$BC$57,38,0),"")</f>
        <v/>
      </c>
      <c r="W604" s="136"/>
      <c r="X604" s="237"/>
      <c r="Y604" s="152" t="str">
        <f>IFERROR(VLOOKUP($G604,нормы!$A$14:$BC$57,42,0)*W604,"")</f>
        <v/>
      </c>
      <c r="Z604" s="163">
        <f>IFERROR(VLOOKUP($G604,нормы!$A$14:$BC$57,14,0)*W604/1000,0)</f>
        <v>0</v>
      </c>
      <c r="AA604" s="30"/>
      <c r="AB604" s="35"/>
      <c r="AC604" s="35"/>
      <c r="AD604" s="35"/>
      <c r="AE604" s="31"/>
      <c r="AF604" s="160"/>
      <c r="AG604" s="391"/>
      <c r="AH604" s="394"/>
      <c r="AI604" s="397"/>
      <c r="AJ604" s="408"/>
      <c r="AK604" s="360"/>
      <c r="AL604" s="360"/>
      <c r="AM604" s="360"/>
      <c r="AN604" s="289">
        <f>IFERROR(Y604*AJ600/Y606,)</f>
        <v>0</v>
      </c>
      <c r="AO604" s="197" t="str">
        <f>IFERROR(VLOOKUP($G604,нормы!$A$14:$BC$57,53,0)*$W604,"")</f>
        <v/>
      </c>
      <c r="AP604" s="290">
        <f>IFERROR(Y604*AI600/Y606,)</f>
        <v>0</v>
      </c>
      <c r="AQ604" s="197" t="str">
        <f>IFERROR(VLOOKUP($G604,нормы!$A$14:$BC$57,54,0)*$W604,"")</f>
        <v/>
      </c>
      <c r="AR604" s="290">
        <f>IFERROR(AS604/SUM(AS600:AS605)*AL600,0)</f>
        <v>0</v>
      </c>
      <c r="AS604" s="197" t="str">
        <f>IFERROR(VLOOKUP($G604,нормы!$A$14:$BC$57,55,0)*W604,"")</f>
        <v/>
      </c>
      <c r="AT604" s="290">
        <f>IFERROR(AU604/SUM(AU600:AU605)*AM600,0)</f>
        <v>0</v>
      </c>
      <c r="AU604" s="197" t="str">
        <f>IFERROR(VLOOKUP($G604,нормы!$A$14:$BI$57,56,0)*W604,"")</f>
        <v/>
      </c>
      <c r="AV604" s="290">
        <f>IFERROR(AW604/SUM(AW600:AW605)*AK600,0)</f>
        <v>0</v>
      </c>
      <c r="AW604" s="202" t="str">
        <f>IFERROR(VLOOKUP($G604,нормы!$A$14:$BI$57,57,0)*W604,"")</f>
        <v/>
      </c>
      <c r="AX604" s="30"/>
      <c r="AY604" s="203" t="str">
        <f>IFERROR(VLOOKUP($G604,нормы!$A$14:$BI$57,58,0)*W604,"")</f>
        <v/>
      </c>
      <c r="AZ604" s="205"/>
      <c r="BA604" s="200" t="str">
        <f>IFERROR(VLOOKUP($G604,нормы!$A$14:$BI$57,61,0)*$W604,"")</f>
        <v/>
      </c>
      <c r="BB604" s="30"/>
      <c r="BC604" s="203" t="str">
        <f>IFERROR(VLOOKUP($G604,нормы!$A$14:$BI$57,60,0)*W604,"")</f>
        <v/>
      </c>
      <c r="BD604" s="200" t="str">
        <f>IFERROR(VLOOKUP($G604,нормы!$A$14:$BG$57,44,0),"")</f>
        <v/>
      </c>
      <c r="BE604" s="199" t="str">
        <f>IFERROR(W604/VLOOKUP($G604,нормы!$A$14:$BI$57,45,0),"")</f>
        <v/>
      </c>
    </row>
    <row r="605" spans="1:57" s="1" customFormat="1" ht="21" customHeight="1" thickBot="1" x14ac:dyDescent="0.45">
      <c r="A605" s="37" t="str">
        <f t="shared" si="242"/>
        <v>10Н</v>
      </c>
      <c r="B605" s="12">
        <f t="shared" si="243"/>
        <v>46032</v>
      </c>
      <c r="C605" s="97">
        <f t="shared" si="243"/>
        <v>0</v>
      </c>
      <c r="D605" s="97">
        <f t="shared" si="243"/>
        <v>1</v>
      </c>
      <c r="E605" s="54"/>
      <c r="F605" s="151" t="str">
        <f>IFERROR(VLOOKUP($G605,нормы!$A$14:$BC$57,2,0),"")</f>
        <v/>
      </c>
      <c r="G605" s="93"/>
      <c r="H605" s="63">
        <f t="shared" si="244"/>
        <v>0</v>
      </c>
      <c r="I605" s="153">
        <f>I601+I603</f>
        <v>0</v>
      </c>
      <c r="J605" s="334"/>
      <c r="K605" s="30">
        <f>IFERROR(VLOOKUP($G605,[1]нормы!$A$21:$BC$151,15,0),"")</f>
        <v>0</v>
      </c>
      <c r="L605" s="31">
        <f>IFERROR(VLOOKUP($G605,[1]нормы!$A$21:$BC$151,17,0),"")</f>
        <v>0</v>
      </c>
      <c r="M605" s="308">
        <f>IFERROR(VLOOKUP($G605,[1]нормы!$A$21:$BC$151,27,0),"")</f>
        <v>0</v>
      </c>
      <c r="N605" s="309" t="str">
        <f>IFERROR(Y605/Y606*(1.1*J600*I610),"")</f>
        <v/>
      </c>
      <c r="O605" s="300">
        <f>IFERROR(VLOOKUP($G605,[1]нормы!$A$21:$BC$151,21,0),"")</f>
        <v>0</v>
      </c>
      <c r="P605" s="35">
        <f>IFERROR(VLOOKUP($G605,[1]нормы!$A$21:$BC$151,19,0),"")</f>
        <v>0</v>
      </c>
      <c r="Q605" s="35">
        <f>IFERROR(VLOOKUP($G605,[1]нормы!$A$21:$BC$151,23,0),"")</f>
        <v>0</v>
      </c>
      <c r="R605" s="231">
        <f>IFERROR(VLOOKUP($G605,[1]нормы!$A$21:$BC$151,29,0),"")</f>
        <v>0</v>
      </c>
      <c r="S605" s="35">
        <f>IFERROR(VLOOKUP($G605,[1]нормы!$A$21:$BC$151,31,0),"")</f>
        <v>0</v>
      </c>
      <c r="T605" s="32">
        <f>IFERROR(VLOOKUP($G605,[1]нормы!$A$21:$BC$151,25,0),"")</f>
        <v>0</v>
      </c>
      <c r="U605" s="235" t="str">
        <f>IFERROR(W605/(((100*Y605/Y606)*I605)/100),"")</f>
        <v/>
      </c>
      <c r="V605" s="234" t="str">
        <f>IFERROR(VLOOKUP($G605,нормы!$A$14:$BC$57,38,0),"")</f>
        <v/>
      </c>
      <c r="W605" s="154"/>
      <c r="X605" s="238"/>
      <c r="Y605" s="152" t="str">
        <f>IFERROR(VLOOKUP($G605,нормы!$A$14:$BC$57,42,0)*W605,"")</f>
        <v/>
      </c>
      <c r="Z605" s="163">
        <f>IFERROR(VLOOKUP($G605,нормы!$A$14:$BC$57,14,0)*W605/1000,0)</f>
        <v>0</v>
      </c>
      <c r="AA605" s="56"/>
      <c r="AB605" s="58"/>
      <c r="AC605" s="58"/>
      <c r="AD605" s="58"/>
      <c r="AE605" s="57"/>
      <c r="AF605" s="161"/>
      <c r="AG605" s="392"/>
      <c r="AH605" s="395"/>
      <c r="AI605" s="398"/>
      <c r="AJ605" s="409"/>
      <c r="AK605" s="361"/>
      <c r="AL605" s="361"/>
      <c r="AM605" s="361"/>
      <c r="AN605" s="291">
        <f>IFERROR(Y605*AJ600/Y606,)</f>
        <v>0</v>
      </c>
      <c r="AO605" s="197" t="str">
        <f>IFERROR(VLOOKUP($G605,нормы!$A$14:$BC$57,53,0)*$W605,"")</f>
        <v/>
      </c>
      <c r="AP605" s="292">
        <f>IFERROR(Y605*AI600/Y606,)</f>
        <v>0</v>
      </c>
      <c r="AQ605" s="197" t="str">
        <f>IFERROR(VLOOKUP($G605,нормы!$A$14:$BC$57,54,0)*$W605,"")</f>
        <v/>
      </c>
      <c r="AR605" s="290">
        <f>IFERROR(AS605/SUM(AS600:AS605)*AL600,0)</f>
        <v>0</v>
      </c>
      <c r="AS605" s="197" t="str">
        <f>IFERROR(VLOOKUP($G605,нормы!$A$14:$BC$57,55,0)*W605,"")</f>
        <v/>
      </c>
      <c r="AT605" s="292">
        <f>IFERROR(AU605/SUM(AU600:AU605)*AM600,0)</f>
        <v>0</v>
      </c>
      <c r="AU605" s="197" t="str">
        <f>IFERROR(VLOOKUP($G605,нормы!$A$14:$BI$57,56,0)*W605,"")</f>
        <v/>
      </c>
      <c r="AV605" s="292">
        <f>IFERROR(AW605/SUM(AW600:AW605)*AK600,0)</f>
        <v>0</v>
      </c>
      <c r="AW605" s="202" t="str">
        <f>IFERROR(VLOOKUP($G605,нормы!$A$14:$BI$57,57,0)*W605,"")</f>
        <v/>
      </c>
      <c r="AX605" s="56"/>
      <c r="AY605" s="203" t="str">
        <f>IFERROR(VLOOKUP($G605,нормы!$A$14:$BI$57,58,0)*W605,"")</f>
        <v/>
      </c>
      <c r="AZ605" s="206"/>
      <c r="BA605" s="200" t="str">
        <f>IFERROR(VLOOKUP($G605,нормы!$A$14:$BI$57,61,0)*$W605,"")</f>
        <v/>
      </c>
      <c r="BB605" s="56"/>
      <c r="BC605" s="203" t="str">
        <f>IFERROR(VLOOKUP($G605,нормы!$A$14:$BI$57,60,0)*W605,"")</f>
        <v/>
      </c>
      <c r="BD605" s="200" t="str">
        <f>IFERROR(VLOOKUP($G605,нормы!$A$14:$BG$57,44,0),"")</f>
        <v/>
      </c>
      <c r="BE605" s="199" t="str">
        <f>IFERROR(W605/VLOOKUP($G605,нормы!$A$14:$BI$57,45,0),"")</f>
        <v/>
      </c>
    </row>
    <row r="606" spans="1:57" s="1" customFormat="1" ht="29.4" customHeight="1" thickBot="1" x14ac:dyDescent="0.45">
      <c r="A606" s="37" t="str">
        <f t="shared" si="242"/>
        <v>10Н</v>
      </c>
      <c r="B606" s="59"/>
      <c r="C606" s="51"/>
      <c r="D606" s="51"/>
      <c r="E606" s="51"/>
      <c r="F606" s="295" t="s">
        <v>149</v>
      </c>
      <c r="G606" s="51"/>
      <c r="H606" s="51"/>
      <c r="I606" s="60"/>
      <c r="J606" s="60"/>
      <c r="K606" s="319" t="s">
        <v>213</v>
      </c>
      <c r="L606" s="316"/>
      <c r="M606" s="303" t="s">
        <v>213</v>
      </c>
      <c r="N606" s="317">
        <f>SUM(N600:N605)</f>
        <v>0</v>
      </c>
      <c r="O606" s="304" t="s">
        <v>216</v>
      </c>
      <c r="P606" s="318">
        <f>N606*8.937/1000</f>
        <v>0</v>
      </c>
      <c r="Q606" s="305" t="s">
        <v>215</v>
      </c>
      <c r="R606" s="61"/>
      <c r="S606" s="61"/>
      <c r="T606" s="61"/>
      <c r="U606" s="109"/>
      <c r="V606" s="109"/>
      <c r="W606" s="94"/>
      <c r="X606" s="155"/>
      <c r="Y606" s="96">
        <f>SUM(Y600:Y605)</f>
        <v>0</v>
      </c>
      <c r="Z606" s="164">
        <f>SUM(Z600:Z605)</f>
        <v>0</v>
      </c>
      <c r="AA606" s="62"/>
      <c r="AB606" s="62"/>
      <c r="AC606" s="62"/>
      <c r="AD606" s="62"/>
      <c r="AE606" s="62"/>
      <c r="AF606" s="62"/>
      <c r="AG606" s="162" t="s">
        <v>140</v>
      </c>
      <c r="AH606" s="162" t="s">
        <v>141</v>
      </c>
      <c r="AI606" s="162" t="s">
        <v>142</v>
      </c>
      <c r="AJ606" s="91" t="s">
        <v>126</v>
      </c>
      <c r="AK606" s="198" t="s">
        <v>136</v>
      </c>
      <c r="AL606" s="198" t="s">
        <v>137</v>
      </c>
      <c r="AM606" s="198" t="s">
        <v>138</v>
      </c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53" t="str">
        <f>IFERROR(W606/VLOOKUP($G606,нормы!$A$14:$BI$15,28,0),"")</f>
        <v/>
      </c>
    </row>
    <row r="607" spans="1:57" s="1" customFormat="1" ht="21.6" customHeight="1" x14ac:dyDescent="0.4">
      <c r="A607" s="37" t="str">
        <f t="shared" si="242"/>
        <v>10Н</v>
      </c>
      <c r="B607" s="12">
        <f>B605</f>
        <v>46032</v>
      </c>
      <c r="C607" s="97"/>
      <c r="D607" s="97">
        <v>2</v>
      </c>
      <c r="E607" s="29"/>
      <c r="F607" s="151" t="str">
        <f>IFERROR(VLOOKUP($G607,нормы!$A$14:$BC$57,2,0),"")</f>
        <v/>
      </c>
      <c r="G607" s="93"/>
      <c r="H607" s="54">
        <f>IF(C607=1,"Кульков С.А.", IF(C607=2,"Чудаков А.А.",IF(C607=3,"Королев В.Н.",IF(C607=4,"Николашин М.П.",IF(C607=5," Кульков С.А.",IF(C607=6,"А.А. Чудаков",IF(C607=7,"В.Н. Королев",IF(C607=8,"М.П. Николашин",0))))))))</f>
        <v>0</v>
      </c>
      <c r="I607" s="88" t="s">
        <v>211</v>
      </c>
      <c r="J607" s="332"/>
      <c r="K607" s="30">
        <f>IFERROR(VLOOKUP($G607,[1]нормы!$A$21:$BC$151,15,0),"")</f>
        <v>0</v>
      </c>
      <c r="L607" s="31">
        <f>IFERROR(VLOOKUP($G607,[1]нормы!$A$21:$BC$151,17,0),"")</f>
        <v>0</v>
      </c>
      <c r="M607" s="310">
        <f>IFERROR(VLOOKUP($G607,[1]нормы!$A$21:$BC$151,27,0),"")</f>
        <v>0</v>
      </c>
      <c r="N607" s="311" t="str">
        <f>IFERROR(Y607/Y613*(1.1*J607*I612),"")</f>
        <v/>
      </c>
      <c r="O607" s="300">
        <f>IFERROR(VLOOKUP($G607,[1]нормы!$A$21:$BC$151,21,0),"")</f>
        <v>0</v>
      </c>
      <c r="P607" s="35">
        <f>IFERROR(VLOOKUP($G607,[1]нормы!$A$21:$BC$151,19,0),"")</f>
        <v>0</v>
      </c>
      <c r="Q607" s="35">
        <f>IFERROR(VLOOKUP($G607,[1]нормы!$A$21:$BC$151,23,0),"")</f>
        <v>0</v>
      </c>
      <c r="R607" s="231">
        <f>IFERROR(VLOOKUP($G607,[1]нормы!$A$21:$BC$151,29,0),"")</f>
        <v>0</v>
      </c>
      <c r="S607" s="35">
        <f>IFERROR(VLOOKUP($G607,[1]нормы!$A$21:$BC$151,31,0),"")</f>
        <v>0</v>
      </c>
      <c r="T607" s="32">
        <f>IFERROR(VLOOKUP($G607,[1]нормы!$A$21:$BC$151,25,0),"")</f>
        <v>0</v>
      </c>
      <c r="U607" s="232" t="str">
        <f>IFERROR(W607/(((100*Y607/Y613)*I612)/100),"")</f>
        <v/>
      </c>
      <c r="V607" s="234" t="str">
        <f>IFERROR(VLOOKUP($G607,нормы!$A$14:$BC$57,38,0),"")</f>
        <v/>
      </c>
      <c r="W607" s="136"/>
      <c r="X607" s="236"/>
      <c r="Y607" s="152" t="str">
        <f>IFERROR(VLOOKUP($G607,нормы!$A$14:$BC$57,42,0)*W607,"")</f>
        <v/>
      </c>
      <c r="Z607" s="163">
        <f>IFERROR(VLOOKUP($G607,нормы!$A$14:$BC$57,14,0)*W607/1000,0)</f>
        <v>0</v>
      </c>
      <c r="AA607" s="33"/>
      <c r="AB607" s="36"/>
      <c r="AC607" s="36"/>
      <c r="AD607" s="36"/>
      <c r="AE607" s="34"/>
      <c r="AF607" s="159"/>
      <c r="AG607" s="390"/>
      <c r="AH607" s="393"/>
      <c r="AI607" s="396"/>
      <c r="AJ607" s="407">
        <f>AG607+AH607</f>
        <v>0</v>
      </c>
      <c r="AK607" s="359"/>
      <c r="AL607" s="359"/>
      <c r="AM607" s="359"/>
      <c r="AN607" s="287">
        <f>IFERROR(Y607*AJ607/Y613,)</f>
        <v>0</v>
      </c>
      <c r="AO607" s="197" t="str">
        <f>IFERROR(VLOOKUP($G607,нормы!$A$14:$BC$57,53,0)*$W607,"")</f>
        <v/>
      </c>
      <c r="AP607" s="288">
        <f>IFERROR(Y607*AI607/Y613,)</f>
        <v>0</v>
      </c>
      <c r="AQ607" s="197" t="str">
        <f>IFERROR(VLOOKUP($G607,нормы!$A$14:$BC$57,54,0)*$W607,"")</f>
        <v/>
      </c>
      <c r="AR607" s="288">
        <f>IFERROR(AS607/SUM(AS607:AS612)*AL607,0)</f>
        <v>0</v>
      </c>
      <c r="AS607" s="197" t="str">
        <f>IFERROR(VLOOKUP($G607,нормы!$A$14:$BC$57,55,0)*W607,"")</f>
        <v/>
      </c>
      <c r="AT607" s="288">
        <f>IFERROR(AU607/SUM(AU607:AU612)*AM607,0)</f>
        <v>0</v>
      </c>
      <c r="AU607" s="197" t="str">
        <f>IFERROR(VLOOKUP($G607,нормы!$A$14:$BI$57,56,0)*W607,"")</f>
        <v/>
      </c>
      <c r="AV607" s="288">
        <f>IFERROR(AW607/SUM(AW607:AW612)*AK607,0)</f>
        <v>0</v>
      </c>
      <c r="AW607" s="202" t="str">
        <f>IFERROR(VLOOKUP($G607,нормы!$A$14:$BI$57,57,0)*W607,"")</f>
        <v/>
      </c>
      <c r="AX607" s="33"/>
      <c r="AY607" s="203" t="str">
        <f>IFERROR(VLOOKUP($G607,нормы!$A$14:$BI$57,58,0)*W607,"")</f>
        <v/>
      </c>
      <c r="AZ607" s="204"/>
      <c r="BA607" s="200" t="str">
        <f>IFERROR(VLOOKUP($G607,нормы!$A$14:$BI$57,61,0)*$W607,"")</f>
        <v/>
      </c>
      <c r="BB607" s="33"/>
      <c r="BC607" s="203" t="str">
        <f>IFERROR(VLOOKUP($G607,нормы!$A$14:$BI$57,60,0)*W607,"")</f>
        <v/>
      </c>
      <c r="BD607" s="200" t="str">
        <f>IFERROR(VLOOKUP($G607,нормы!$A$14:$BG$57,44,0),"")</f>
        <v/>
      </c>
      <c r="BE607" s="199" t="str">
        <f>IFERROR(W607/VLOOKUP($G607,нормы!$A$14:$BI$57,45,0),"")</f>
        <v/>
      </c>
    </row>
    <row r="608" spans="1:57" s="1" customFormat="1" ht="21.6" customHeight="1" x14ac:dyDescent="0.4">
      <c r="A608" s="37" t="str">
        <f t="shared" si="242"/>
        <v>10Н</v>
      </c>
      <c r="B608" s="12">
        <f t="shared" ref="B608:D612" si="245">B607</f>
        <v>46032</v>
      </c>
      <c r="C608" s="97">
        <f t="shared" si="245"/>
        <v>0</v>
      </c>
      <c r="D608" s="97">
        <f t="shared" si="245"/>
        <v>2</v>
      </c>
      <c r="E608" s="54"/>
      <c r="F608" s="151" t="str">
        <f>IFERROR(VLOOKUP($G608,нормы!$A$14:$BC$57,2,0),"")</f>
        <v/>
      </c>
      <c r="G608" s="93"/>
      <c r="H608" s="54">
        <f t="shared" ref="H608:H612" si="246">IF(C608=1,"Кульков С.А.", IF(C608=2,"Чудаков А.А.",IF(C608=3,"Королев В.Н.",IF(C608=4,"Николашин М.П.",IF(C608=5," Кульков С.А.",IF(C608=6,"А.А. Чудаков",IF(C608=7,"В.Н. Королев",IF(C608=8,"М.П. Николашин",0))))))))</f>
        <v>0</v>
      </c>
      <c r="I608" s="55"/>
      <c r="J608" s="333"/>
      <c r="K608" s="30">
        <f>IFERROR(VLOOKUP($G608,[1]нормы!$A$21:$BC$151,15,0),"")</f>
        <v>0</v>
      </c>
      <c r="L608" s="31">
        <f>IFERROR(VLOOKUP($G608,[1]нормы!$A$21:$BC$151,17,0),"")</f>
        <v>0</v>
      </c>
      <c r="M608" s="306">
        <f>IFERROR(VLOOKUP($G608,[1]нормы!$A$21:$BC$151,27,0),"")</f>
        <v>0</v>
      </c>
      <c r="N608" s="307" t="str">
        <f>IFERROR(Y608/Y613*(1.1*J607*I612),"")</f>
        <v/>
      </c>
      <c r="O608" s="300">
        <f>IFERROR(VLOOKUP($G608,[1]нормы!$A$21:$BC$151,21,0),"")</f>
        <v>0</v>
      </c>
      <c r="P608" s="35">
        <f>IFERROR(VLOOKUP($G608,[1]нормы!$A$21:$BC$151,19,0),"")</f>
        <v>0</v>
      </c>
      <c r="Q608" s="35">
        <f>IFERROR(VLOOKUP($G608,[1]нормы!$A$21:$BC$151,23,0),"")</f>
        <v>0</v>
      </c>
      <c r="R608" s="231">
        <f>IFERROR(VLOOKUP($G608,[1]нормы!$A$21:$BC$151,29,0),"")</f>
        <v>0</v>
      </c>
      <c r="S608" s="35">
        <f>IFERROR(VLOOKUP($G608,[1]нормы!$A$21:$BC$151,31,0),"")</f>
        <v>0</v>
      </c>
      <c r="T608" s="32">
        <f>IFERROR(VLOOKUP($G608,[1]нормы!$A$21:$BC$151,25,0),"")</f>
        <v>0</v>
      </c>
      <c r="U608" s="233" t="str">
        <f>IFERROR(W608/(((100*Y608/Y613)*I612)/100),"")</f>
        <v/>
      </c>
      <c r="V608" s="234" t="str">
        <f>IFERROR(VLOOKUP($G608,нормы!$A$14:$BC$57,38,0),"")</f>
        <v/>
      </c>
      <c r="W608" s="136"/>
      <c r="X608" s="237"/>
      <c r="Y608" s="152" t="str">
        <f>IFERROR(VLOOKUP($G608,нормы!$A$14:$BC$57,42,0)*W608,"")</f>
        <v/>
      </c>
      <c r="Z608" s="163">
        <f>IFERROR(VLOOKUP($G608,нормы!$A$14:$BC$57,14,0)*W608/1000,0)</f>
        <v>0</v>
      </c>
      <c r="AA608" s="142"/>
      <c r="AB608" s="35"/>
      <c r="AC608" s="35"/>
      <c r="AD608" s="35"/>
      <c r="AE608" s="31"/>
      <c r="AF608" s="160"/>
      <c r="AG608" s="391"/>
      <c r="AH608" s="394"/>
      <c r="AI608" s="397"/>
      <c r="AJ608" s="408"/>
      <c r="AK608" s="360"/>
      <c r="AL608" s="360"/>
      <c r="AM608" s="360"/>
      <c r="AN608" s="289">
        <f>IFERROR(Y608*AJ607/Y613,)</f>
        <v>0</v>
      </c>
      <c r="AO608" s="197" t="str">
        <f>IFERROR(VLOOKUP($G608,нормы!$A$14:$BC$57,53,0)*$W608,"")</f>
        <v/>
      </c>
      <c r="AP608" s="290">
        <f>IFERROR(Y608*AI607/Y613,)</f>
        <v>0</v>
      </c>
      <c r="AQ608" s="197" t="str">
        <f>IFERROR(VLOOKUP($G608,нормы!$A$14:$BC$57,54,0)*$W608,"")</f>
        <v/>
      </c>
      <c r="AR608" s="290">
        <f>IFERROR(AS608/SUM(AS607:AS612)*AL607,0)</f>
        <v>0</v>
      </c>
      <c r="AS608" s="197" t="str">
        <f>IFERROR(VLOOKUP($G608,нормы!$A$14:$BC$57,55,0)*W608,"")</f>
        <v/>
      </c>
      <c r="AT608" s="290">
        <f>IFERROR(AU608/SUM(AU607:AU612)*AM607,0)</f>
        <v>0</v>
      </c>
      <c r="AU608" s="197" t="str">
        <f>IFERROR(VLOOKUP($G608,нормы!$A$14:$BI$57,56,0)*W608,"")</f>
        <v/>
      </c>
      <c r="AV608" s="290">
        <f>IFERROR(AW608/SUM(AW607:AW612)*AK607,0)</f>
        <v>0</v>
      </c>
      <c r="AW608" s="202" t="str">
        <f>IFERROR(VLOOKUP($G608,нормы!$A$14:$BI$57,57,0)*W608,"")</f>
        <v/>
      </c>
      <c r="AX608" s="30"/>
      <c r="AY608" s="203" t="str">
        <f>IFERROR(VLOOKUP($G608,нормы!$A$14:$BI$57,58,0)*W608,"")</f>
        <v/>
      </c>
      <c r="AZ608" s="205"/>
      <c r="BA608" s="200" t="str">
        <f>IFERROR(VLOOKUP($G608,нормы!$A$14:$BI$57,61,0)*$W608,"")</f>
        <v/>
      </c>
      <c r="BB608" s="30"/>
      <c r="BC608" s="203" t="str">
        <f>IFERROR(VLOOKUP($G608,нормы!$A$14:$BI$57,60,0)*W608,"")</f>
        <v/>
      </c>
      <c r="BD608" s="200" t="str">
        <f>IFERROR(VLOOKUP($G608,нормы!$A$14:$BG$57,44,0),"")</f>
        <v/>
      </c>
      <c r="BE608" s="199" t="str">
        <f>IFERROR(W608/VLOOKUP($G608,нормы!$A$14:$BI$57,45,0),"")</f>
        <v/>
      </c>
    </row>
    <row r="609" spans="1:57" s="1" customFormat="1" ht="20.25" customHeight="1" x14ac:dyDescent="0.4">
      <c r="A609" s="37" t="str">
        <f t="shared" si="242"/>
        <v>10Н</v>
      </c>
      <c r="B609" s="12">
        <f t="shared" si="245"/>
        <v>46032</v>
      </c>
      <c r="C609" s="97">
        <f t="shared" si="245"/>
        <v>0</v>
      </c>
      <c r="D609" s="97">
        <f t="shared" si="245"/>
        <v>2</v>
      </c>
      <c r="E609" s="54"/>
      <c r="F609" s="151" t="str">
        <f>IFERROR(VLOOKUP($G609,нормы!$A$14:$BC$57,2,0),"")</f>
        <v/>
      </c>
      <c r="G609" s="38"/>
      <c r="H609" s="54">
        <f t="shared" si="246"/>
        <v>0</v>
      </c>
      <c r="I609" s="89" t="s">
        <v>212</v>
      </c>
      <c r="J609" s="333"/>
      <c r="K609" s="30">
        <f>IFERROR(VLOOKUP($G609,[1]нормы!$A$21:$BC$151,15,0),"")</f>
        <v>0</v>
      </c>
      <c r="L609" s="31">
        <f>IFERROR(VLOOKUP($G609,[1]нормы!$A$21:$BC$151,17,0),"")</f>
        <v>0</v>
      </c>
      <c r="M609" s="306">
        <f>IFERROR(VLOOKUP($G609,[1]нормы!$A$21:$BC$151,27,0),"")</f>
        <v>0</v>
      </c>
      <c r="N609" s="307" t="str">
        <f>IFERROR(Y609/Y613*(1.1*J607*I612),"")</f>
        <v/>
      </c>
      <c r="O609" s="300">
        <f>IFERROR(VLOOKUP($G609,[1]нормы!$A$21:$BC$151,21,0),"")</f>
        <v>0</v>
      </c>
      <c r="P609" s="35">
        <f>IFERROR(VLOOKUP($G609,[1]нормы!$A$21:$BC$151,19,0),"")</f>
        <v>0</v>
      </c>
      <c r="Q609" s="35">
        <f>IFERROR(VLOOKUP($G609,[1]нормы!$A$21:$BC$151,23,0),"")</f>
        <v>0</v>
      </c>
      <c r="R609" s="231">
        <f>IFERROR(VLOOKUP($G609,[1]нормы!$A$21:$BC$151,29,0),"")</f>
        <v>0</v>
      </c>
      <c r="S609" s="35">
        <f>IFERROR(VLOOKUP($G609,[1]нормы!$A$21:$BC$151,31,0),"")</f>
        <v>0</v>
      </c>
      <c r="T609" s="32">
        <f>IFERROR(VLOOKUP($G609,[1]нормы!$A$21:$BC$151,25,0),"")</f>
        <v>0</v>
      </c>
      <c r="U609" s="233" t="str">
        <f>IFERROR(W609/(((100*Y609/Y613)*I612)/100),"")</f>
        <v/>
      </c>
      <c r="V609" s="234" t="str">
        <f>IFERROR(VLOOKUP($G609,нормы!$A$14:$BC$57,38,0),"")</f>
        <v/>
      </c>
      <c r="W609" s="136"/>
      <c r="X609" s="237"/>
      <c r="Y609" s="152" t="str">
        <f>IFERROR(VLOOKUP($G609,нормы!$A$14:$BC$57,42,0)*W609,"")</f>
        <v/>
      </c>
      <c r="Z609" s="163">
        <f>IFERROR(VLOOKUP($G609,нормы!$A$14:$BC$57,14,0)*W609/1000,0)</f>
        <v>0</v>
      </c>
      <c r="AA609" s="30"/>
      <c r="AB609" s="35"/>
      <c r="AC609" s="35"/>
      <c r="AD609" s="35"/>
      <c r="AE609" s="31"/>
      <c r="AF609" s="160"/>
      <c r="AG609" s="391"/>
      <c r="AH609" s="394"/>
      <c r="AI609" s="397"/>
      <c r="AJ609" s="408"/>
      <c r="AK609" s="360"/>
      <c r="AL609" s="360"/>
      <c r="AM609" s="360"/>
      <c r="AN609" s="289">
        <f>IFERROR(Y609*AJ607/Y613,)</f>
        <v>0</v>
      </c>
      <c r="AO609" s="197" t="str">
        <f>IFERROR(VLOOKUP($G609,нормы!$A$14:$BC$57,53,0)*$W609,"")</f>
        <v/>
      </c>
      <c r="AP609" s="290">
        <f>IFERROR(Y609*AI607/Y613,)</f>
        <v>0</v>
      </c>
      <c r="AQ609" s="197" t="str">
        <f>IFERROR(VLOOKUP($G609,нормы!$A$14:$BC$57,54,0)*$W609,"")</f>
        <v/>
      </c>
      <c r="AR609" s="290">
        <f>IFERROR(AS609/SUM(AS607:AS612)*AL607,0)</f>
        <v>0</v>
      </c>
      <c r="AS609" s="197" t="str">
        <f>IFERROR(VLOOKUP($G609,нормы!$A$14:$BC$57,55,0)*W609,"")</f>
        <v/>
      </c>
      <c r="AT609" s="290">
        <f>IFERROR(AU609/SUM(AU607:AU612)*AM607,0)</f>
        <v>0</v>
      </c>
      <c r="AU609" s="197" t="str">
        <f>IFERROR(VLOOKUP($G609,нормы!$A$14:$BI$57,56,0)*W609,"")</f>
        <v/>
      </c>
      <c r="AV609" s="290">
        <f>IFERROR(AW609/SUM(AW607:AW612)*AK607,0)</f>
        <v>0</v>
      </c>
      <c r="AW609" s="202" t="str">
        <f>IFERROR(VLOOKUP($G609,нормы!$A$14:$BI$57,57,0)*W609,"")</f>
        <v/>
      </c>
      <c r="AX609" s="30"/>
      <c r="AY609" s="203" t="str">
        <f>IFERROR(VLOOKUP($G609,нормы!$A$14:$BI$57,58,0)*W609,"")</f>
        <v/>
      </c>
      <c r="AZ609" s="205"/>
      <c r="BA609" s="200" t="str">
        <f>IFERROR(VLOOKUP($G609,нормы!$A$14:$BI$57,61,0)*$W609,"")</f>
        <v/>
      </c>
      <c r="BB609" s="30"/>
      <c r="BC609" s="203" t="str">
        <f>IFERROR(VLOOKUP($G609,нормы!$A$14:$BI$57,60,0)*W609,"")</f>
        <v/>
      </c>
      <c r="BD609" s="200" t="str">
        <f>IFERROR(VLOOKUP($G609,нормы!$A$14:$BG$57,44,0),"")</f>
        <v/>
      </c>
      <c r="BE609" s="199" t="str">
        <f>IFERROR(W609/VLOOKUP($G609,нормы!$A$14:$BI$57,45,0),"")</f>
        <v/>
      </c>
    </row>
    <row r="610" spans="1:57" s="1" customFormat="1" ht="20.25" customHeight="1" x14ac:dyDescent="0.4">
      <c r="A610" s="37" t="str">
        <f t="shared" si="242"/>
        <v>10Н</v>
      </c>
      <c r="B610" s="12">
        <f t="shared" si="245"/>
        <v>46032</v>
      </c>
      <c r="C610" s="97">
        <f t="shared" si="245"/>
        <v>0</v>
      </c>
      <c r="D610" s="97">
        <f t="shared" si="245"/>
        <v>2</v>
      </c>
      <c r="E610" s="54"/>
      <c r="F610" s="151" t="str">
        <f>IFERROR(VLOOKUP($G610,нормы!$A$14:$BC$57,2,0),"")</f>
        <v/>
      </c>
      <c r="G610" s="93"/>
      <c r="H610" s="54">
        <f t="shared" si="246"/>
        <v>0</v>
      </c>
      <c r="I610" s="55"/>
      <c r="J610" s="333"/>
      <c r="K610" s="30">
        <f>IFERROR(VLOOKUP($G610,[1]нормы!$A$21:$BC$151,15,0),"")</f>
        <v>0</v>
      </c>
      <c r="L610" s="31">
        <f>IFERROR(VLOOKUP($G610,[1]нормы!$A$21:$BC$151,17,0),"")</f>
        <v>0</v>
      </c>
      <c r="M610" s="306">
        <f>IFERROR(VLOOKUP($G610,[1]нормы!$A$21:$BC$151,27,0),"")</f>
        <v>0</v>
      </c>
      <c r="N610" s="307" t="str">
        <f>IFERROR(Y610/Y613*(1.1*J607*I615),"")</f>
        <v/>
      </c>
      <c r="O610" s="300">
        <f>IFERROR(VLOOKUP($G610,[1]нормы!$A$21:$BC$151,21,0),"")</f>
        <v>0</v>
      </c>
      <c r="P610" s="35">
        <f>IFERROR(VLOOKUP($G610,[1]нормы!$A$21:$BC$151,19,0),"")</f>
        <v>0</v>
      </c>
      <c r="Q610" s="35">
        <f>IFERROR(VLOOKUP($G610,[1]нормы!$A$21:$BC$151,23,0),"")</f>
        <v>0</v>
      </c>
      <c r="R610" s="231">
        <f>IFERROR(VLOOKUP($G610,[1]нормы!$A$21:$BC$151,29,0),"")</f>
        <v>0</v>
      </c>
      <c r="S610" s="35">
        <f>IFERROR(VLOOKUP($G610,[1]нормы!$A$21:$BC$151,31,0),"")</f>
        <v>0</v>
      </c>
      <c r="T610" s="32">
        <f>IFERROR(VLOOKUP($G610,[1]нормы!$A$21:$BC$151,25,0),"")</f>
        <v>0</v>
      </c>
      <c r="U610" s="233" t="str">
        <f>IFERROR(W610/(((100*Y610/Y613)*I612)/100),"")</f>
        <v/>
      </c>
      <c r="V610" s="234" t="str">
        <f>IFERROR(VLOOKUP($G610,нормы!$A$14:$BC$57,38,0),"")</f>
        <v/>
      </c>
      <c r="W610" s="136"/>
      <c r="X610" s="237"/>
      <c r="Y610" s="152" t="str">
        <f>IFERROR(VLOOKUP($G610,нормы!$A$14:$BC$57,42,0)*W610,"")</f>
        <v/>
      </c>
      <c r="Z610" s="163">
        <f>IFERROR(VLOOKUP($G610,нормы!$A$14:$BC$57,14,0)*W610/1000,0)</f>
        <v>0</v>
      </c>
      <c r="AA610" s="30"/>
      <c r="AB610" s="35"/>
      <c r="AC610" s="35"/>
      <c r="AD610" s="35"/>
      <c r="AE610" s="31"/>
      <c r="AF610" s="160"/>
      <c r="AG610" s="391"/>
      <c r="AH610" s="394"/>
      <c r="AI610" s="397"/>
      <c r="AJ610" s="408"/>
      <c r="AK610" s="360"/>
      <c r="AL610" s="360"/>
      <c r="AM610" s="360"/>
      <c r="AN610" s="289">
        <f>IFERROR(Y610*AJ607/Y613,)</f>
        <v>0</v>
      </c>
      <c r="AO610" s="197" t="str">
        <f>IFERROR(VLOOKUP($G610,нормы!$A$14:$BC$57,53,0)*$W610,"")</f>
        <v/>
      </c>
      <c r="AP610" s="290">
        <f>IFERROR(Y610*AI607/Y613,)</f>
        <v>0</v>
      </c>
      <c r="AQ610" s="197" t="str">
        <f>IFERROR(VLOOKUP($G610,нормы!$A$14:$BC$57,54,0)*$W610,"")</f>
        <v/>
      </c>
      <c r="AR610" s="290">
        <f>IFERROR(AS610/SUM(AS607:AS612)*AL607,0)</f>
        <v>0</v>
      </c>
      <c r="AS610" s="197" t="str">
        <f>IFERROR(VLOOKUP($G610,нормы!$A$14:$BC$57,55,0)*W610,"")</f>
        <v/>
      </c>
      <c r="AT610" s="290">
        <f>IFERROR(AU610/SUM(AU607:AU612)*AM607,0)</f>
        <v>0</v>
      </c>
      <c r="AU610" s="197" t="str">
        <f>IFERROR(VLOOKUP($G610,нормы!$A$14:$BI$57,56,0)*W610,"")</f>
        <v/>
      </c>
      <c r="AV610" s="290">
        <f>IFERROR(AW610/SUM(AW607:AW612)*AK607,0)</f>
        <v>0</v>
      </c>
      <c r="AW610" s="202" t="str">
        <f>IFERROR(VLOOKUP($G610,нормы!$A$14:$BI$57,57,0)*W610,"")</f>
        <v/>
      </c>
      <c r="AX610" s="30"/>
      <c r="AY610" s="203" t="str">
        <f>IFERROR(VLOOKUP($G610,нормы!$A$14:$BI$57,58,0)*W610,"")</f>
        <v/>
      </c>
      <c r="AZ610" s="205"/>
      <c r="BA610" s="200" t="str">
        <f>IFERROR(VLOOKUP($G610,нормы!$A$14:$BI$57,61,0)*$W610,"")</f>
        <v/>
      </c>
      <c r="BB610" s="30"/>
      <c r="BC610" s="203" t="str">
        <f>IFERROR(VLOOKUP($G610,нормы!$A$14:$BI$57,60,0)*W610,"")</f>
        <v/>
      </c>
      <c r="BD610" s="200" t="str">
        <f>IFERROR(VLOOKUP($G610,нормы!$A$14:$BG$57,44,0),"")</f>
        <v/>
      </c>
      <c r="BE610" s="199" t="str">
        <f>IFERROR(W610/VLOOKUP($G610,нормы!$A$14:$BI$57,45,0),"")</f>
        <v/>
      </c>
    </row>
    <row r="611" spans="1:57" s="1" customFormat="1" ht="20.25" customHeight="1" x14ac:dyDescent="0.4">
      <c r="A611" s="37" t="str">
        <f t="shared" si="242"/>
        <v>10Н</v>
      </c>
      <c r="B611" s="12">
        <f t="shared" si="245"/>
        <v>46032</v>
      </c>
      <c r="C611" s="97">
        <f t="shared" si="245"/>
        <v>0</v>
      </c>
      <c r="D611" s="97">
        <f t="shared" si="245"/>
        <v>2</v>
      </c>
      <c r="E611" s="54"/>
      <c r="F611" s="151" t="str">
        <f>IFERROR(VLOOKUP($G611,нормы!$A$14:$BC$57,2,0),"")</f>
        <v/>
      </c>
      <c r="G611" s="38"/>
      <c r="H611" s="54">
        <f t="shared" si="246"/>
        <v>0</v>
      </c>
      <c r="I611" s="89" t="s">
        <v>73</v>
      </c>
      <c r="J611" s="333"/>
      <c r="K611" s="30">
        <f>IFERROR(VLOOKUP($G611,[1]нормы!$A$21:$BC$151,15,0),"")</f>
        <v>0</v>
      </c>
      <c r="L611" s="31">
        <f>IFERROR(VLOOKUP($G611,[1]нормы!$A$21:$BC$151,17,0),"")</f>
        <v>0</v>
      </c>
      <c r="M611" s="306">
        <f>IFERROR(VLOOKUP($G611,[1]нормы!$A$21:$BC$151,27,0),"")</f>
        <v>0</v>
      </c>
      <c r="N611" s="307" t="str">
        <f>IFERROR(Y611/Y613*(1.1*J607*I616),"")</f>
        <v/>
      </c>
      <c r="O611" s="300">
        <f>IFERROR(VLOOKUP($G611,[1]нормы!$A$21:$BC$151,21,0),"")</f>
        <v>0</v>
      </c>
      <c r="P611" s="35">
        <f>IFERROR(VLOOKUP($G611,[1]нормы!$A$21:$BC$151,19,0),"")</f>
        <v>0</v>
      </c>
      <c r="Q611" s="35">
        <f>IFERROR(VLOOKUP($G611,[1]нормы!$A$21:$BC$151,23,0),"")</f>
        <v>0</v>
      </c>
      <c r="R611" s="231">
        <f>IFERROR(VLOOKUP($G611,[1]нормы!$A$21:$BC$151,29,0),"")</f>
        <v>0</v>
      </c>
      <c r="S611" s="35">
        <f>IFERROR(VLOOKUP($G611,[1]нормы!$A$21:$BC$151,31,0),"")</f>
        <v>0</v>
      </c>
      <c r="T611" s="32">
        <f>IFERROR(VLOOKUP($G611,[1]нормы!$A$21:$BC$151,25,0),"")</f>
        <v>0</v>
      </c>
      <c r="U611" s="233" t="str">
        <f>IFERROR(W611/(((100*Y611/Y613)*I612)/100),"")</f>
        <v/>
      </c>
      <c r="V611" s="234" t="str">
        <f>IFERROR(VLOOKUP($G611,нормы!$A$14:$BC$57,38,0),"")</f>
        <v/>
      </c>
      <c r="W611" s="136"/>
      <c r="X611" s="237"/>
      <c r="Y611" s="152" t="str">
        <f>IFERROR(VLOOKUP($G611,нормы!$A$14:$BC$57,42,0)*W611,"")</f>
        <v/>
      </c>
      <c r="Z611" s="163">
        <f>IFERROR(VLOOKUP($G611,нормы!$A$14:$BC$57,14,0)*W611/1000,0)</f>
        <v>0</v>
      </c>
      <c r="AA611" s="30"/>
      <c r="AB611" s="35"/>
      <c r="AC611" s="35"/>
      <c r="AD611" s="35"/>
      <c r="AE611" s="31"/>
      <c r="AF611" s="160"/>
      <c r="AG611" s="391"/>
      <c r="AH611" s="394"/>
      <c r="AI611" s="397"/>
      <c r="AJ611" s="408"/>
      <c r="AK611" s="360"/>
      <c r="AL611" s="360"/>
      <c r="AM611" s="360"/>
      <c r="AN611" s="289">
        <f>IFERROR(Y611*AJ607/Y613,)</f>
        <v>0</v>
      </c>
      <c r="AO611" s="197" t="str">
        <f>IFERROR(VLOOKUP($G611,нормы!$A$14:$BC$57,53,0)*$W611,"")</f>
        <v/>
      </c>
      <c r="AP611" s="290">
        <f>IFERROR(Y611*AI607/Y613,)</f>
        <v>0</v>
      </c>
      <c r="AQ611" s="197" t="str">
        <f>IFERROR(VLOOKUP($G611,нормы!$A$14:$BC$57,54,0)*$W611,"")</f>
        <v/>
      </c>
      <c r="AR611" s="290">
        <f>IFERROR(AS611/SUM(AS607:AS612)*AL607,0)</f>
        <v>0</v>
      </c>
      <c r="AS611" s="197" t="str">
        <f>IFERROR(VLOOKUP($G611,нормы!$A$14:$BC$57,55,0)*W611,"")</f>
        <v/>
      </c>
      <c r="AT611" s="290">
        <f>IFERROR(AU611/SUM(AU607:AU612)*AM607,0)</f>
        <v>0</v>
      </c>
      <c r="AU611" s="197" t="str">
        <f>IFERROR(VLOOKUP($G611,нормы!$A$14:$BI$57,56,0)*W611,"")</f>
        <v/>
      </c>
      <c r="AV611" s="290">
        <f>IFERROR(AW611/SUM(AW607:AW612)*AK607,0)</f>
        <v>0</v>
      </c>
      <c r="AW611" s="202" t="str">
        <f>IFERROR(VLOOKUP($G611,нормы!$A$14:$BI$57,57,0)*W611,"")</f>
        <v/>
      </c>
      <c r="AX611" s="30"/>
      <c r="AY611" s="203" t="str">
        <f>IFERROR(VLOOKUP($G611,нормы!$A$14:$BI$57,58,0)*W611,"")</f>
        <v/>
      </c>
      <c r="AZ611" s="205"/>
      <c r="BA611" s="200" t="str">
        <f>IFERROR(VLOOKUP($G611,нормы!$A$14:$BI$57,61,0)*$W611,"")</f>
        <v/>
      </c>
      <c r="BB611" s="30"/>
      <c r="BC611" s="203" t="str">
        <f>IFERROR(VLOOKUP($G611,нормы!$A$14:$BI$57,60,0)*W611,"")</f>
        <v/>
      </c>
      <c r="BD611" s="200" t="str">
        <f>IFERROR(VLOOKUP($G611,нормы!$A$14:$BG$57,44,0),"")</f>
        <v/>
      </c>
      <c r="BE611" s="199" t="str">
        <f>IFERROR(W611/VLOOKUP($G611,нормы!$A$14:$BI$57,45,0),"")</f>
        <v/>
      </c>
    </row>
    <row r="612" spans="1:57" s="1" customFormat="1" ht="21" customHeight="1" thickBot="1" x14ac:dyDescent="0.45">
      <c r="A612" s="37" t="str">
        <f t="shared" si="242"/>
        <v>10Н</v>
      </c>
      <c r="B612" s="12">
        <f t="shared" si="245"/>
        <v>46032</v>
      </c>
      <c r="C612" s="97">
        <f t="shared" si="245"/>
        <v>0</v>
      </c>
      <c r="D612" s="97">
        <f t="shared" si="245"/>
        <v>2</v>
      </c>
      <c r="E612" s="54"/>
      <c r="F612" s="151" t="str">
        <f>IFERROR(VLOOKUP($G612,нормы!$A$14:$BC$57,2,0),"")</f>
        <v/>
      </c>
      <c r="G612" s="93"/>
      <c r="H612" s="63">
        <f t="shared" si="246"/>
        <v>0</v>
      </c>
      <c r="I612" s="153">
        <f>I608+I610</f>
        <v>0</v>
      </c>
      <c r="J612" s="334"/>
      <c r="K612" s="30">
        <f>IFERROR(VLOOKUP($G612,[1]нормы!$A$21:$BC$151,15,0),"")</f>
        <v>0</v>
      </c>
      <c r="L612" s="31">
        <f>IFERROR(VLOOKUP($G612,[1]нормы!$A$21:$BC$151,17,0),"")</f>
        <v>0</v>
      </c>
      <c r="M612" s="308">
        <f>IFERROR(VLOOKUP($G612,[1]нормы!$A$21:$BC$151,27,0),"")</f>
        <v>0</v>
      </c>
      <c r="N612" s="309" t="str">
        <f>IFERROR(Y612/Y613*(1.1*J607*I617),"")</f>
        <v/>
      </c>
      <c r="O612" s="300">
        <f>IFERROR(VLOOKUP($G612,[1]нормы!$A$21:$BC$151,21,0),"")</f>
        <v>0</v>
      </c>
      <c r="P612" s="35">
        <f>IFERROR(VLOOKUP($G612,[1]нормы!$A$21:$BC$151,19,0),"")</f>
        <v>0</v>
      </c>
      <c r="Q612" s="35">
        <f>IFERROR(VLOOKUP($G612,[1]нормы!$A$21:$BC$151,23,0),"")</f>
        <v>0</v>
      </c>
      <c r="R612" s="231">
        <f>IFERROR(VLOOKUP($G612,[1]нормы!$A$21:$BC$151,29,0),"")</f>
        <v>0</v>
      </c>
      <c r="S612" s="35">
        <f>IFERROR(VLOOKUP($G612,[1]нормы!$A$21:$BC$151,31,0),"")</f>
        <v>0</v>
      </c>
      <c r="T612" s="32">
        <f>IFERROR(VLOOKUP($G612,[1]нормы!$A$21:$BC$151,25,0),"")</f>
        <v>0</v>
      </c>
      <c r="U612" s="235" t="str">
        <f>IFERROR(W612/(((100*Y612/Y613)*I612)/100),"")</f>
        <v/>
      </c>
      <c r="V612" s="234" t="str">
        <f>IFERROR(VLOOKUP($G612,нормы!$A$14:$BC$57,38,0),"")</f>
        <v/>
      </c>
      <c r="W612" s="154"/>
      <c r="X612" s="238"/>
      <c r="Y612" s="152" t="str">
        <f>IFERROR(VLOOKUP($G612,нормы!$A$14:$BC$57,42,0)*W612,"")</f>
        <v/>
      </c>
      <c r="Z612" s="163">
        <f>IFERROR(VLOOKUP($G612,нормы!$A$14:$BC$57,14,0)*W612/1000,0)</f>
        <v>0</v>
      </c>
      <c r="AA612" s="56"/>
      <c r="AB612" s="58"/>
      <c r="AC612" s="58"/>
      <c r="AD612" s="58"/>
      <c r="AE612" s="57"/>
      <c r="AF612" s="161"/>
      <c r="AG612" s="392"/>
      <c r="AH612" s="395"/>
      <c r="AI612" s="398"/>
      <c r="AJ612" s="409"/>
      <c r="AK612" s="361"/>
      <c r="AL612" s="361"/>
      <c r="AM612" s="361"/>
      <c r="AN612" s="291">
        <f>IFERROR(Y612*AJ607/Y613,)</f>
        <v>0</v>
      </c>
      <c r="AO612" s="197" t="str">
        <f>IFERROR(VLOOKUP($G612,нормы!$A$14:$BC$57,53,0)*$W612,"")</f>
        <v/>
      </c>
      <c r="AP612" s="292">
        <f>IFERROR(Y612*AI607/Y613,)</f>
        <v>0</v>
      </c>
      <c r="AQ612" s="197" t="str">
        <f>IFERROR(VLOOKUP($G612,нормы!$A$14:$BC$57,54,0)*$W612,"")</f>
        <v/>
      </c>
      <c r="AR612" s="290">
        <f>IFERROR(AS612/SUM(AS607:AS612)*AL607,0)</f>
        <v>0</v>
      </c>
      <c r="AS612" s="197" t="str">
        <f>IFERROR(VLOOKUP($G612,нормы!$A$14:$BC$57,55,0)*W612,"")</f>
        <v/>
      </c>
      <c r="AT612" s="292">
        <f>IFERROR(AU612/SUM(AU607:AU612)*AM607,0)</f>
        <v>0</v>
      </c>
      <c r="AU612" s="197" t="str">
        <f>IFERROR(VLOOKUP($G612,нормы!$A$14:$BI$57,56,0)*W612,"")</f>
        <v/>
      </c>
      <c r="AV612" s="292">
        <f>IFERROR(AW612/SUM(AW607:AW612)*AK607,0)</f>
        <v>0</v>
      </c>
      <c r="AW612" s="202" t="str">
        <f>IFERROR(VLOOKUP($G612,нормы!$A$14:$BI$57,57,0)*W612,"")</f>
        <v/>
      </c>
      <c r="AX612" s="56"/>
      <c r="AY612" s="203" t="str">
        <f>IFERROR(VLOOKUP($G612,нормы!$A$14:$BI$57,58,0)*W612,"")</f>
        <v/>
      </c>
      <c r="AZ612" s="206"/>
      <c r="BA612" s="200" t="str">
        <f>IFERROR(VLOOKUP($G612,нормы!$A$14:$BI$57,61,0)*$W612,"")</f>
        <v/>
      </c>
      <c r="BB612" s="56"/>
      <c r="BC612" s="203" t="str">
        <f>IFERROR(VLOOKUP($G612,нормы!$A$14:$BI$57,60,0)*W612,"")</f>
        <v/>
      </c>
      <c r="BD612" s="200" t="str">
        <f>IFERROR(VLOOKUP($G612,нормы!$A$14:$BG$57,44,0),"")</f>
        <v/>
      </c>
      <c r="BE612" s="199" t="str">
        <f>IFERROR(W612/VLOOKUP($G612,нормы!$A$14:$BI$57,45,0),"")</f>
        <v/>
      </c>
    </row>
    <row r="613" spans="1:57" s="1" customFormat="1" ht="29.4" customHeight="1" thickBot="1" x14ac:dyDescent="0.45">
      <c r="A613" s="37" t="str">
        <f t="shared" si="242"/>
        <v>10Н</v>
      </c>
      <c r="B613" s="59"/>
      <c r="C613" s="51"/>
      <c r="D613" s="51"/>
      <c r="E613" s="51"/>
      <c r="F613" s="51"/>
      <c r="G613" s="51"/>
      <c r="H613" s="51"/>
      <c r="I613" s="60"/>
      <c r="J613" s="60"/>
      <c r="K613" s="319" t="s">
        <v>213</v>
      </c>
      <c r="L613" s="316"/>
      <c r="M613" s="303" t="s">
        <v>213</v>
      </c>
      <c r="N613" s="317">
        <f>SUM(N607:N612)</f>
        <v>0</v>
      </c>
      <c r="O613" s="304" t="s">
        <v>217</v>
      </c>
      <c r="P613" s="318">
        <f>N613*8.937/1000</f>
        <v>0</v>
      </c>
      <c r="Q613" s="305" t="s">
        <v>215</v>
      </c>
      <c r="R613" s="61"/>
      <c r="S613" s="61"/>
      <c r="T613" s="61"/>
      <c r="U613" s="109"/>
      <c r="V613" s="109"/>
      <c r="W613" s="94"/>
      <c r="X613" s="155"/>
      <c r="Y613" s="96">
        <f>SUM(Y607:Y612)</f>
        <v>0</v>
      </c>
      <c r="Z613" s="164">
        <f>SUM(Z607:Z612)</f>
        <v>0</v>
      </c>
      <c r="AA613" s="207">
        <f>(AA599+AA600+AA601+AA602+AA603+AA604+AA605+AA607+AA608+AA609+AA610+AA611+AA612)-AG600</f>
        <v>1</v>
      </c>
      <c r="AB613" s="208">
        <f>(AB599+AB600+AB601+AB602+AB603+AB604+AB605+AB607+AB608+AB609+AB610+AB611+AB612)-AH600</f>
        <v>2</v>
      </c>
      <c r="AC613" s="208">
        <f>(AC599+AC600+AC601+AC602+AC603+AC604+AC605+AC607+AC608+AC609+AC610+AC611+AC612)-AG607</f>
        <v>3</v>
      </c>
      <c r="AD613" s="208">
        <f>(AD599+AD600+AD601+AD602+AD603+AD604+AD605+AD607+AD608+AD609+AD610+AD611+AD612)-AH607</f>
        <v>4</v>
      </c>
      <c r="AE613" s="208">
        <f>(AE599+AE600+AE601+AE602+AE603+AE604+AE605+AE607+AE608+AE609+AE610+AE611+AE612)-AI600</f>
        <v>5</v>
      </c>
      <c r="AF613" s="209">
        <f>(AF599+AF600+AF601+AF602+AF603+AF604+AF605+AF607+AF608+AF609+AF610+AF611+AF612)-AI607</f>
        <v>6</v>
      </c>
      <c r="AG613" s="62"/>
      <c r="AH613" s="62"/>
      <c r="AI613" s="62"/>
      <c r="AJ613" s="62"/>
      <c r="AK613" s="62"/>
      <c r="AL613" s="62"/>
      <c r="AM613" s="62"/>
      <c r="AN613" s="91">
        <f>SUM(AN607:AN612)</f>
        <v>0</v>
      </c>
      <c r="AO613" s="91">
        <f>SUM(AO607:AO612)</f>
        <v>0</v>
      </c>
      <c r="AP613" s="91"/>
      <c r="AQ613" s="91"/>
      <c r="AR613" s="91">
        <f>SUM(AR607:AR612)</f>
        <v>0</v>
      </c>
      <c r="AS613" s="91">
        <f t="shared" ref="AS613:AW613" si="247">SUM(AS607:AS612)</f>
        <v>0</v>
      </c>
      <c r="AT613" s="91">
        <f t="shared" si="247"/>
        <v>0</v>
      </c>
      <c r="AU613" s="91">
        <f t="shared" si="247"/>
        <v>0</v>
      </c>
      <c r="AV613" s="91">
        <f t="shared" si="247"/>
        <v>0</v>
      </c>
      <c r="AW613" s="91">
        <f t="shared" si="247"/>
        <v>0</v>
      </c>
      <c r="AX613" s="91">
        <f>SUM(AX607:AX612)</f>
        <v>0</v>
      </c>
      <c r="AY613" s="91">
        <f>SUM(AY607:AY612)</f>
        <v>0</v>
      </c>
      <c r="AZ613" s="91">
        <f>SUM(AZ607:AZ612)</f>
        <v>0</v>
      </c>
      <c r="BA613" s="91"/>
      <c r="BB613" s="91"/>
      <c r="BC613" s="91"/>
      <c r="BD613" s="91" t="str">
        <f>IFERROR(VLOOKUP($G613,нормы!$A$14:$BG$15,27,0),"")</f>
        <v/>
      </c>
      <c r="BE613" s="53" t="str">
        <f>IFERROR(W613/VLOOKUP($G613,нормы!$A$14:$BI$15,28,0),"")</f>
        <v/>
      </c>
    </row>
    <row r="614" spans="1:57" s="1" customFormat="1" ht="29.4" customHeight="1" thickBot="1" x14ac:dyDescent="0.5">
      <c r="A614" s="37" t="str">
        <f t="shared" si="242"/>
        <v>10Н</v>
      </c>
      <c r="B614" s="166" t="s">
        <v>130</v>
      </c>
      <c r="C614" s="167"/>
      <c r="D614" s="167"/>
      <c r="E614" s="167"/>
      <c r="F614" s="165"/>
      <c r="G614" s="167"/>
      <c r="H614" s="167"/>
      <c r="I614" s="168"/>
      <c r="J614" s="168"/>
      <c r="K614" s="168"/>
      <c r="L614" s="168"/>
      <c r="M614" s="168"/>
      <c r="N614" s="168"/>
      <c r="O614" s="167"/>
      <c r="P614" s="169"/>
      <c r="Q614" s="169"/>
      <c r="R614" s="169"/>
      <c r="S614" s="169"/>
      <c r="T614" s="169"/>
      <c r="U614" s="170"/>
      <c r="V614" s="170"/>
      <c r="W614" s="171"/>
      <c r="X614" s="171"/>
      <c r="Y614" s="172"/>
      <c r="Z614" s="172"/>
      <c r="AA614" s="201" t="s">
        <v>144</v>
      </c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64"/>
      <c r="AN614" s="167"/>
      <c r="AO614" s="167"/>
      <c r="AP614" s="167"/>
      <c r="AQ614" s="167"/>
      <c r="AR614" s="64"/>
      <c r="AS614" s="64"/>
      <c r="AT614" s="65"/>
      <c r="AU614" s="64"/>
      <c r="AV614" s="49"/>
      <c r="AW614" s="49"/>
      <c r="AX614" s="167"/>
      <c r="AY614" s="167"/>
      <c r="AZ614" s="167"/>
      <c r="BA614" s="167"/>
      <c r="BB614" s="167"/>
      <c r="BC614" s="167"/>
      <c r="BD614" s="66"/>
      <c r="BE614" s="66"/>
    </row>
    <row r="615" spans="1:57" s="1" customFormat="1" ht="23.25" customHeight="1" x14ac:dyDescent="0.4">
      <c r="A615" s="37" t="str">
        <f t="shared" si="242"/>
        <v>10Н</v>
      </c>
      <c r="B615" s="183"/>
      <c r="C615" s="100"/>
      <c r="D615" s="185"/>
      <c r="E615" s="186" t="s">
        <v>57</v>
      </c>
      <c r="F615" s="66" t="s">
        <v>87</v>
      </c>
      <c r="G615" s="66"/>
      <c r="H615" s="108" t="s">
        <v>131</v>
      </c>
      <c r="I615" s="101"/>
      <c r="J615" s="101"/>
      <c r="K615" s="101"/>
      <c r="L615" s="101"/>
      <c r="M615" s="101"/>
      <c r="N615" s="101"/>
      <c r="O615" s="67"/>
      <c r="P615" s="102"/>
      <c r="Q615" s="102"/>
      <c r="R615" s="102"/>
      <c r="S615" s="102"/>
      <c r="T615" s="102"/>
      <c r="U615" s="67"/>
      <c r="V615" s="67"/>
      <c r="W615" s="103"/>
      <c r="X615" s="187"/>
      <c r="Y615" s="68" t="s">
        <v>74</v>
      </c>
      <c r="Z615" s="69"/>
      <c r="AA615" s="90"/>
      <c r="AB615" s="100"/>
      <c r="AC615" s="100"/>
      <c r="AD615" s="186" t="s">
        <v>57</v>
      </c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190"/>
      <c r="AU615" s="66"/>
      <c r="AV615" s="165"/>
      <c r="AW615" s="293"/>
      <c r="AX615" s="66"/>
      <c r="AY615" s="66"/>
      <c r="AZ615" s="66"/>
      <c r="BA615" s="66"/>
      <c r="BB615" s="66"/>
      <c r="BC615" s="66"/>
      <c r="BD615" s="68" t="s">
        <v>74</v>
      </c>
      <c r="BE615" s="69"/>
    </row>
    <row r="616" spans="1:57" s="1" customFormat="1" ht="23.25" customHeight="1" thickBot="1" x14ac:dyDescent="0.45">
      <c r="A616" s="37" t="str">
        <f t="shared" si="242"/>
        <v>10Н</v>
      </c>
      <c r="B616" s="183"/>
      <c r="C616" s="41"/>
      <c r="D616" s="184"/>
      <c r="E616" s="50"/>
      <c r="F616" s="70"/>
      <c r="G616" s="70"/>
      <c r="H616" s="70"/>
      <c r="I616" s="104"/>
      <c r="J616" s="104"/>
      <c r="K616" s="104"/>
      <c r="L616" s="104"/>
      <c r="M616" s="104"/>
      <c r="N616" s="104"/>
      <c r="O616" s="71"/>
      <c r="P616" s="105"/>
      <c r="Q616" s="105"/>
      <c r="R616" s="105"/>
      <c r="S616" s="105"/>
      <c r="T616" s="105"/>
      <c r="U616" s="71"/>
      <c r="V616" s="71"/>
      <c r="W616" s="106"/>
      <c r="X616" s="188"/>
      <c r="Y616" s="72"/>
      <c r="Z616" s="73"/>
      <c r="AA616" s="90"/>
      <c r="AB616" s="41"/>
      <c r="AC616" s="41"/>
      <c r="AD616" s="50"/>
      <c r="AE616" s="47"/>
      <c r="AF616" s="47"/>
      <c r="AG616" s="47"/>
      <c r="AH616" s="47"/>
      <c r="AI616" s="47"/>
      <c r="AJ616" s="47"/>
      <c r="AK616" s="47"/>
      <c r="AL616" s="47"/>
      <c r="AM616" s="70"/>
      <c r="AN616" s="47"/>
      <c r="AO616" s="70"/>
      <c r="AP616" s="70"/>
      <c r="AQ616" s="70"/>
      <c r="AR616" s="70"/>
      <c r="AS616" s="70"/>
      <c r="AT616" s="191"/>
      <c r="AU616" s="70"/>
      <c r="AV616" s="192"/>
      <c r="AW616" s="294"/>
      <c r="AX616" s="70"/>
      <c r="AY616" s="70"/>
      <c r="AZ616" s="70"/>
      <c r="BA616" s="70"/>
      <c r="BB616" s="70"/>
      <c r="BC616" s="70"/>
      <c r="BD616" s="72"/>
      <c r="BE616" s="73"/>
    </row>
    <row r="617" spans="1:57" s="1" customFormat="1" ht="27" customHeight="1" x14ac:dyDescent="0.4">
      <c r="A617" s="37" t="str">
        <f t="shared" si="242"/>
        <v>10Н</v>
      </c>
      <c r="B617" s="183"/>
      <c r="C617" s="41"/>
      <c r="D617" s="184"/>
      <c r="E617" s="281">
        <f>B612</f>
        <v>46032</v>
      </c>
      <c r="F617" s="337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98">
        <v>1</v>
      </c>
      <c r="Y617" s="74">
        <v>1</v>
      </c>
      <c r="Z617" s="75">
        <f t="shared" ref="Z617:Z628" si="248">Y617-X617</f>
        <v>0</v>
      </c>
      <c r="AA617" s="189"/>
      <c r="AB617" s="41"/>
      <c r="AC617" s="184"/>
      <c r="AD617" s="210">
        <f>E617</f>
        <v>46032</v>
      </c>
      <c r="AE617" s="387"/>
      <c r="AF617" s="388"/>
      <c r="AG617" s="388"/>
      <c r="AH617" s="388"/>
      <c r="AI617" s="388"/>
      <c r="AJ617" s="388"/>
      <c r="AK617" s="388"/>
      <c r="AL617" s="388"/>
      <c r="AM617" s="388"/>
      <c r="AN617" s="388"/>
      <c r="AO617" s="388"/>
      <c r="AP617" s="388"/>
      <c r="AQ617" s="388"/>
      <c r="AR617" s="388"/>
      <c r="AS617" s="388"/>
      <c r="AT617" s="388"/>
      <c r="AU617" s="388"/>
      <c r="AV617" s="388"/>
      <c r="AW617" s="388"/>
      <c r="AX617" s="388"/>
      <c r="AY617" s="388"/>
      <c r="AZ617" s="388"/>
      <c r="BA617" s="388"/>
      <c r="BB617" s="389"/>
      <c r="BC617" s="98">
        <v>1</v>
      </c>
      <c r="BD617" s="74">
        <v>1</v>
      </c>
      <c r="BE617" s="75">
        <f t="shared" ref="BE617:BE628" si="249">BD617-BC617</f>
        <v>0</v>
      </c>
    </row>
    <row r="618" spans="1:57" s="1" customFormat="1" ht="18" customHeight="1" x14ac:dyDescent="0.4">
      <c r="A618" s="37" t="str">
        <f t="shared" si="242"/>
        <v>10Н</v>
      </c>
      <c r="B618" s="183"/>
      <c r="C618" s="41"/>
      <c r="D618" s="184"/>
      <c r="E618" s="282">
        <f>E617</f>
        <v>46032</v>
      </c>
      <c r="F618" s="335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  <c r="R618" s="336"/>
      <c r="S618" s="336"/>
      <c r="T618" s="336"/>
      <c r="U618" s="336"/>
      <c r="V618" s="336"/>
      <c r="W618" s="336"/>
      <c r="X618" s="98">
        <v>1</v>
      </c>
      <c r="Y618" s="74">
        <v>1</v>
      </c>
      <c r="Z618" s="75">
        <f t="shared" si="248"/>
        <v>0</v>
      </c>
      <c r="AA618" s="107">
        <f>AA617</f>
        <v>0</v>
      </c>
      <c r="AB618" s="41"/>
      <c r="AC618" s="184"/>
      <c r="AD618" s="212">
        <f>AD617</f>
        <v>46032</v>
      </c>
      <c r="AE618" s="387"/>
      <c r="AF618" s="388"/>
      <c r="AG618" s="388"/>
      <c r="AH618" s="388"/>
      <c r="AI618" s="388"/>
      <c r="AJ618" s="388"/>
      <c r="AK618" s="388"/>
      <c r="AL618" s="388"/>
      <c r="AM618" s="388"/>
      <c r="AN618" s="388"/>
      <c r="AO618" s="388"/>
      <c r="AP618" s="388"/>
      <c r="AQ618" s="388"/>
      <c r="AR618" s="388"/>
      <c r="AS618" s="388"/>
      <c r="AT618" s="388"/>
      <c r="AU618" s="388"/>
      <c r="AV618" s="388"/>
      <c r="AW618" s="388"/>
      <c r="AX618" s="388"/>
      <c r="AY618" s="388"/>
      <c r="AZ618" s="388"/>
      <c r="BA618" s="388"/>
      <c r="BB618" s="389"/>
      <c r="BC618" s="98">
        <v>1</v>
      </c>
      <c r="BD618" s="74">
        <v>1</v>
      </c>
      <c r="BE618" s="75">
        <f t="shared" si="249"/>
        <v>0</v>
      </c>
    </row>
    <row r="619" spans="1:57" s="1" customFormat="1" ht="18" customHeight="1" x14ac:dyDescent="0.4">
      <c r="A619" s="37" t="str">
        <f t="shared" si="242"/>
        <v>10Н</v>
      </c>
      <c r="B619" s="183"/>
      <c r="C619" s="41"/>
      <c r="D619" s="184"/>
      <c r="E619" s="282">
        <f t="shared" ref="E619:E628" si="250">E618</f>
        <v>46032</v>
      </c>
      <c r="F619" s="335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  <c r="R619" s="336"/>
      <c r="S619" s="336"/>
      <c r="T619" s="336"/>
      <c r="U619" s="336"/>
      <c r="V619" s="336"/>
      <c r="W619" s="336"/>
      <c r="X619" s="98">
        <v>1</v>
      </c>
      <c r="Y619" s="74">
        <v>1</v>
      </c>
      <c r="Z619" s="75">
        <f t="shared" si="248"/>
        <v>0</v>
      </c>
      <c r="AA619" s="107">
        <f>AA618</f>
        <v>0</v>
      </c>
      <c r="AB619" s="41"/>
      <c r="AC619" s="184"/>
      <c r="AD619" s="212">
        <f t="shared" ref="AD619:AD628" si="251">AD618</f>
        <v>46032</v>
      </c>
      <c r="AE619" s="387"/>
      <c r="AF619" s="388"/>
      <c r="AG619" s="388"/>
      <c r="AH619" s="388"/>
      <c r="AI619" s="388"/>
      <c r="AJ619" s="388"/>
      <c r="AK619" s="388"/>
      <c r="AL619" s="388"/>
      <c r="AM619" s="388"/>
      <c r="AN619" s="388"/>
      <c r="AO619" s="388"/>
      <c r="AP619" s="388"/>
      <c r="AQ619" s="388"/>
      <c r="AR619" s="388"/>
      <c r="AS619" s="388"/>
      <c r="AT619" s="388"/>
      <c r="AU619" s="388"/>
      <c r="AV619" s="388"/>
      <c r="AW619" s="388"/>
      <c r="AX619" s="388"/>
      <c r="AY619" s="388"/>
      <c r="AZ619" s="388"/>
      <c r="BA619" s="388"/>
      <c r="BB619" s="389"/>
      <c r="BC619" s="98">
        <v>1</v>
      </c>
      <c r="BD619" s="74">
        <v>1</v>
      </c>
      <c r="BE619" s="75">
        <f t="shared" si="249"/>
        <v>0</v>
      </c>
    </row>
    <row r="620" spans="1:57" s="1" customFormat="1" ht="18" customHeight="1" x14ac:dyDescent="0.4">
      <c r="A620" s="37" t="str">
        <f t="shared" si="242"/>
        <v>10Н</v>
      </c>
      <c r="B620" s="183"/>
      <c r="C620" s="41"/>
      <c r="D620" s="184"/>
      <c r="E620" s="282">
        <f t="shared" si="250"/>
        <v>46032</v>
      </c>
      <c r="F620" s="335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  <c r="R620" s="336"/>
      <c r="S620" s="336"/>
      <c r="T620" s="336"/>
      <c r="U620" s="336"/>
      <c r="V620" s="336"/>
      <c r="W620" s="336"/>
      <c r="X620" s="98">
        <v>1</v>
      </c>
      <c r="Y620" s="74">
        <v>1</v>
      </c>
      <c r="Z620" s="75">
        <f t="shared" si="248"/>
        <v>0</v>
      </c>
      <c r="AA620" s="107">
        <f t="shared" ref="AA620:AA628" si="252">AA619</f>
        <v>0</v>
      </c>
      <c r="AB620" s="41"/>
      <c r="AC620" s="184"/>
      <c r="AD620" s="212">
        <f t="shared" si="251"/>
        <v>46032</v>
      </c>
      <c r="AE620" s="387"/>
      <c r="AF620" s="388"/>
      <c r="AG620" s="388"/>
      <c r="AH620" s="388"/>
      <c r="AI620" s="388"/>
      <c r="AJ620" s="388"/>
      <c r="AK620" s="388"/>
      <c r="AL620" s="388"/>
      <c r="AM620" s="388"/>
      <c r="AN620" s="388"/>
      <c r="AO620" s="388"/>
      <c r="AP620" s="388"/>
      <c r="AQ620" s="388"/>
      <c r="AR620" s="388"/>
      <c r="AS620" s="388"/>
      <c r="AT620" s="388"/>
      <c r="AU620" s="388"/>
      <c r="AV620" s="388"/>
      <c r="AW620" s="388"/>
      <c r="AX620" s="388"/>
      <c r="AY620" s="388"/>
      <c r="AZ620" s="388"/>
      <c r="BA620" s="388"/>
      <c r="BB620" s="389"/>
      <c r="BC620" s="98">
        <v>1</v>
      </c>
      <c r="BD620" s="74">
        <v>1</v>
      </c>
      <c r="BE620" s="75">
        <f t="shared" si="249"/>
        <v>0</v>
      </c>
    </row>
    <row r="621" spans="1:57" s="1" customFormat="1" ht="18" customHeight="1" x14ac:dyDescent="0.4">
      <c r="A621" s="37" t="str">
        <f t="shared" si="242"/>
        <v>10Н</v>
      </c>
      <c r="B621" s="183"/>
      <c r="C621" s="41"/>
      <c r="D621" s="184"/>
      <c r="E621" s="282">
        <f t="shared" si="250"/>
        <v>46032</v>
      </c>
      <c r="F621" s="335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  <c r="R621" s="336"/>
      <c r="S621" s="336"/>
      <c r="T621" s="336"/>
      <c r="U621" s="336"/>
      <c r="V621" s="336"/>
      <c r="W621" s="336"/>
      <c r="X621" s="98">
        <v>1</v>
      </c>
      <c r="Y621" s="74">
        <v>1</v>
      </c>
      <c r="Z621" s="75">
        <f t="shared" si="248"/>
        <v>0</v>
      </c>
      <c r="AA621" s="107">
        <f t="shared" si="252"/>
        <v>0</v>
      </c>
      <c r="AB621" s="41"/>
      <c r="AC621" s="184"/>
      <c r="AD621" s="212">
        <f t="shared" si="251"/>
        <v>46032</v>
      </c>
      <c r="AE621" s="387"/>
      <c r="AF621" s="388"/>
      <c r="AG621" s="388"/>
      <c r="AH621" s="388"/>
      <c r="AI621" s="388"/>
      <c r="AJ621" s="388"/>
      <c r="AK621" s="388"/>
      <c r="AL621" s="388"/>
      <c r="AM621" s="388"/>
      <c r="AN621" s="388"/>
      <c r="AO621" s="388"/>
      <c r="AP621" s="388"/>
      <c r="AQ621" s="388"/>
      <c r="AR621" s="388"/>
      <c r="AS621" s="388"/>
      <c r="AT621" s="388"/>
      <c r="AU621" s="388"/>
      <c r="AV621" s="388"/>
      <c r="AW621" s="388"/>
      <c r="AX621" s="388"/>
      <c r="AY621" s="388"/>
      <c r="AZ621" s="388"/>
      <c r="BA621" s="388"/>
      <c r="BB621" s="389"/>
      <c r="BC621" s="98">
        <v>1</v>
      </c>
      <c r="BD621" s="74">
        <v>1</v>
      </c>
      <c r="BE621" s="75">
        <f t="shared" si="249"/>
        <v>0</v>
      </c>
    </row>
    <row r="622" spans="1:57" s="1" customFormat="1" ht="18" customHeight="1" x14ac:dyDescent="0.4">
      <c r="A622" s="37" t="str">
        <f t="shared" si="242"/>
        <v>10Н</v>
      </c>
      <c r="B622" s="183"/>
      <c r="C622" s="41"/>
      <c r="D622" s="184"/>
      <c r="E622" s="282">
        <f t="shared" si="250"/>
        <v>46032</v>
      </c>
      <c r="F622" s="335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  <c r="R622" s="336"/>
      <c r="S622" s="336"/>
      <c r="T622" s="336"/>
      <c r="U622" s="336"/>
      <c r="V622" s="336"/>
      <c r="W622" s="336"/>
      <c r="X622" s="98">
        <v>1</v>
      </c>
      <c r="Y622" s="74">
        <v>1</v>
      </c>
      <c r="Z622" s="75">
        <f t="shared" si="248"/>
        <v>0</v>
      </c>
      <c r="AA622" s="107">
        <f t="shared" si="252"/>
        <v>0</v>
      </c>
      <c r="AB622" s="41"/>
      <c r="AC622" s="184"/>
      <c r="AD622" s="212">
        <f t="shared" si="251"/>
        <v>46032</v>
      </c>
      <c r="AE622" s="387"/>
      <c r="AF622" s="388"/>
      <c r="AG622" s="388"/>
      <c r="AH622" s="388"/>
      <c r="AI622" s="388"/>
      <c r="AJ622" s="388"/>
      <c r="AK622" s="388"/>
      <c r="AL622" s="388"/>
      <c r="AM622" s="388"/>
      <c r="AN622" s="388"/>
      <c r="AO622" s="388"/>
      <c r="AP622" s="388"/>
      <c r="AQ622" s="388"/>
      <c r="AR622" s="388"/>
      <c r="AS622" s="388"/>
      <c r="AT622" s="388"/>
      <c r="AU622" s="388"/>
      <c r="AV622" s="388"/>
      <c r="AW622" s="388"/>
      <c r="AX622" s="388"/>
      <c r="AY622" s="388"/>
      <c r="AZ622" s="388"/>
      <c r="BA622" s="388"/>
      <c r="BB622" s="389"/>
      <c r="BC622" s="98">
        <v>1</v>
      </c>
      <c r="BD622" s="74">
        <v>1</v>
      </c>
      <c r="BE622" s="75">
        <f t="shared" si="249"/>
        <v>0</v>
      </c>
    </row>
    <row r="623" spans="1:57" s="1" customFormat="1" ht="18" customHeight="1" x14ac:dyDescent="0.4">
      <c r="A623" s="37" t="str">
        <f t="shared" si="242"/>
        <v>10Н</v>
      </c>
      <c r="B623" s="183"/>
      <c r="C623" s="41"/>
      <c r="D623" s="184"/>
      <c r="E623" s="282">
        <f t="shared" si="250"/>
        <v>46032</v>
      </c>
      <c r="F623" s="335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  <c r="R623" s="336"/>
      <c r="S623" s="336"/>
      <c r="T623" s="336"/>
      <c r="U623" s="336"/>
      <c r="V623" s="336"/>
      <c r="W623" s="336"/>
      <c r="X623" s="98">
        <v>1</v>
      </c>
      <c r="Y623" s="74">
        <v>1</v>
      </c>
      <c r="Z623" s="75">
        <f t="shared" si="248"/>
        <v>0</v>
      </c>
      <c r="AA623" s="107">
        <f t="shared" si="252"/>
        <v>0</v>
      </c>
      <c r="AB623" s="41"/>
      <c r="AC623" s="184"/>
      <c r="AD623" s="212">
        <f t="shared" si="251"/>
        <v>46032</v>
      </c>
      <c r="AE623" s="387"/>
      <c r="AF623" s="388"/>
      <c r="AG623" s="388"/>
      <c r="AH623" s="388"/>
      <c r="AI623" s="388"/>
      <c r="AJ623" s="388"/>
      <c r="AK623" s="388"/>
      <c r="AL623" s="388"/>
      <c r="AM623" s="388"/>
      <c r="AN623" s="388"/>
      <c r="AO623" s="388"/>
      <c r="AP623" s="388"/>
      <c r="AQ623" s="388"/>
      <c r="AR623" s="388"/>
      <c r="AS623" s="388"/>
      <c r="AT623" s="388"/>
      <c r="AU623" s="388"/>
      <c r="AV623" s="388"/>
      <c r="AW623" s="388"/>
      <c r="AX623" s="388"/>
      <c r="AY623" s="388"/>
      <c r="AZ623" s="388"/>
      <c r="BA623" s="388"/>
      <c r="BB623" s="389"/>
      <c r="BC623" s="98">
        <v>1</v>
      </c>
      <c r="BD623" s="74">
        <v>1</v>
      </c>
      <c r="BE623" s="75">
        <f t="shared" si="249"/>
        <v>0</v>
      </c>
    </row>
    <row r="624" spans="1:57" s="1" customFormat="1" ht="18" customHeight="1" x14ac:dyDescent="0.4">
      <c r="A624" s="37" t="str">
        <f t="shared" si="242"/>
        <v>10Н</v>
      </c>
      <c r="B624" s="183"/>
      <c r="C624" s="41"/>
      <c r="D624" s="184"/>
      <c r="E624" s="282">
        <f t="shared" si="250"/>
        <v>46032</v>
      </c>
      <c r="F624" s="335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  <c r="R624" s="336"/>
      <c r="S624" s="336"/>
      <c r="T624" s="336"/>
      <c r="U624" s="336"/>
      <c r="V624" s="336"/>
      <c r="W624" s="336"/>
      <c r="X624" s="98">
        <v>1</v>
      </c>
      <c r="Y624" s="74">
        <v>1</v>
      </c>
      <c r="Z624" s="75">
        <f t="shared" si="248"/>
        <v>0</v>
      </c>
      <c r="AA624" s="107">
        <f t="shared" si="252"/>
        <v>0</v>
      </c>
      <c r="AB624" s="41"/>
      <c r="AC624" s="184"/>
      <c r="AD624" s="212">
        <f t="shared" si="251"/>
        <v>46032</v>
      </c>
      <c r="AE624" s="387"/>
      <c r="AF624" s="388"/>
      <c r="AG624" s="388"/>
      <c r="AH624" s="388"/>
      <c r="AI624" s="388"/>
      <c r="AJ624" s="388"/>
      <c r="AK624" s="388"/>
      <c r="AL624" s="388"/>
      <c r="AM624" s="388"/>
      <c r="AN624" s="388"/>
      <c r="AO624" s="388"/>
      <c r="AP624" s="388"/>
      <c r="AQ624" s="388"/>
      <c r="AR624" s="388"/>
      <c r="AS624" s="388"/>
      <c r="AT624" s="388"/>
      <c r="AU624" s="388"/>
      <c r="AV624" s="388"/>
      <c r="AW624" s="388"/>
      <c r="AX624" s="388"/>
      <c r="AY624" s="388"/>
      <c r="AZ624" s="388"/>
      <c r="BA624" s="388"/>
      <c r="BB624" s="389"/>
      <c r="BC624" s="98">
        <v>1</v>
      </c>
      <c r="BD624" s="74">
        <v>1</v>
      </c>
      <c r="BE624" s="75">
        <f t="shared" si="249"/>
        <v>0</v>
      </c>
    </row>
    <row r="625" spans="1:57" s="1" customFormat="1" ht="18" customHeight="1" x14ac:dyDescent="0.4">
      <c r="A625" s="37" t="str">
        <f t="shared" si="242"/>
        <v>10Н</v>
      </c>
      <c r="B625" s="183"/>
      <c r="C625" s="41"/>
      <c r="D625" s="184"/>
      <c r="E625" s="282">
        <f t="shared" si="250"/>
        <v>46032</v>
      </c>
      <c r="F625" s="335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  <c r="R625" s="336"/>
      <c r="S625" s="336"/>
      <c r="T625" s="336"/>
      <c r="U625" s="336"/>
      <c r="V625" s="336"/>
      <c r="W625" s="336"/>
      <c r="X625" s="98">
        <v>1</v>
      </c>
      <c r="Y625" s="74">
        <v>1</v>
      </c>
      <c r="Z625" s="75">
        <f t="shared" si="248"/>
        <v>0</v>
      </c>
      <c r="AA625" s="107">
        <f t="shared" si="252"/>
        <v>0</v>
      </c>
      <c r="AB625" s="41"/>
      <c r="AC625" s="184"/>
      <c r="AD625" s="212">
        <f t="shared" si="251"/>
        <v>46032</v>
      </c>
      <c r="AE625" s="387"/>
      <c r="AF625" s="388"/>
      <c r="AG625" s="388"/>
      <c r="AH625" s="388"/>
      <c r="AI625" s="388"/>
      <c r="AJ625" s="388"/>
      <c r="AK625" s="388"/>
      <c r="AL625" s="388"/>
      <c r="AM625" s="388"/>
      <c r="AN625" s="388"/>
      <c r="AO625" s="388"/>
      <c r="AP625" s="388"/>
      <c r="AQ625" s="388"/>
      <c r="AR625" s="388"/>
      <c r="AS625" s="388"/>
      <c r="AT625" s="388"/>
      <c r="AU625" s="388"/>
      <c r="AV625" s="388"/>
      <c r="AW625" s="388"/>
      <c r="AX625" s="388"/>
      <c r="AY625" s="388"/>
      <c r="AZ625" s="388"/>
      <c r="BA625" s="388"/>
      <c r="BB625" s="389"/>
      <c r="BC625" s="98">
        <v>1</v>
      </c>
      <c r="BD625" s="74">
        <v>1</v>
      </c>
      <c r="BE625" s="75">
        <f t="shared" si="249"/>
        <v>0</v>
      </c>
    </row>
    <row r="626" spans="1:57" s="1" customFormat="1" ht="18" customHeight="1" x14ac:dyDescent="0.4">
      <c r="A626" s="37" t="str">
        <f t="shared" si="242"/>
        <v>10Н</v>
      </c>
      <c r="B626" s="183"/>
      <c r="C626" s="41"/>
      <c r="D626" s="184"/>
      <c r="E626" s="282">
        <f t="shared" si="250"/>
        <v>46032</v>
      </c>
      <c r="F626" s="335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  <c r="R626" s="336"/>
      <c r="S626" s="336"/>
      <c r="T626" s="336"/>
      <c r="U626" s="336"/>
      <c r="V626" s="336"/>
      <c r="W626" s="336"/>
      <c r="X626" s="98">
        <v>1</v>
      </c>
      <c r="Y626" s="74">
        <v>1</v>
      </c>
      <c r="Z626" s="75">
        <f t="shared" si="248"/>
        <v>0</v>
      </c>
      <c r="AA626" s="107">
        <f t="shared" si="252"/>
        <v>0</v>
      </c>
      <c r="AB626" s="41"/>
      <c r="AC626" s="184"/>
      <c r="AD626" s="212">
        <f t="shared" si="251"/>
        <v>46032</v>
      </c>
      <c r="AE626" s="387"/>
      <c r="AF626" s="388"/>
      <c r="AG626" s="388"/>
      <c r="AH626" s="388"/>
      <c r="AI626" s="388"/>
      <c r="AJ626" s="388"/>
      <c r="AK626" s="388"/>
      <c r="AL626" s="388"/>
      <c r="AM626" s="388"/>
      <c r="AN626" s="388"/>
      <c r="AO626" s="388"/>
      <c r="AP626" s="388"/>
      <c r="AQ626" s="388"/>
      <c r="AR626" s="388"/>
      <c r="AS626" s="388"/>
      <c r="AT626" s="388"/>
      <c r="AU626" s="388"/>
      <c r="AV626" s="388"/>
      <c r="AW626" s="388"/>
      <c r="AX626" s="388"/>
      <c r="AY626" s="388"/>
      <c r="AZ626" s="388"/>
      <c r="BA626" s="388"/>
      <c r="BB626" s="389"/>
      <c r="BC626" s="98">
        <v>1</v>
      </c>
      <c r="BD626" s="74">
        <v>1</v>
      </c>
      <c r="BE626" s="75">
        <f t="shared" si="249"/>
        <v>0</v>
      </c>
    </row>
    <row r="627" spans="1:57" s="1" customFormat="1" ht="18" customHeight="1" x14ac:dyDescent="0.4">
      <c r="A627" s="37" t="str">
        <f t="shared" si="242"/>
        <v>10Н</v>
      </c>
      <c r="B627" s="183"/>
      <c r="C627" s="41"/>
      <c r="D627" s="184"/>
      <c r="E627" s="282">
        <f t="shared" si="250"/>
        <v>46032</v>
      </c>
      <c r="F627" s="335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  <c r="R627" s="336"/>
      <c r="S627" s="336"/>
      <c r="T627" s="336"/>
      <c r="U627" s="336"/>
      <c r="V627" s="336"/>
      <c r="W627" s="336"/>
      <c r="X627" s="98">
        <v>1</v>
      </c>
      <c r="Y627" s="74">
        <v>1</v>
      </c>
      <c r="Z627" s="75">
        <f t="shared" si="248"/>
        <v>0</v>
      </c>
      <c r="AA627" s="107">
        <f t="shared" si="252"/>
        <v>0</v>
      </c>
      <c r="AB627" s="41"/>
      <c r="AC627" s="184"/>
      <c r="AD627" s="212">
        <f t="shared" si="251"/>
        <v>46032</v>
      </c>
      <c r="AE627" s="387"/>
      <c r="AF627" s="388"/>
      <c r="AG627" s="388"/>
      <c r="AH627" s="388"/>
      <c r="AI627" s="388"/>
      <c r="AJ627" s="388"/>
      <c r="AK627" s="388"/>
      <c r="AL627" s="388"/>
      <c r="AM627" s="388"/>
      <c r="AN627" s="388"/>
      <c r="AO627" s="388"/>
      <c r="AP627" s="388"/>
      <c r="AQ627" s="388"/>
      <c r="AR627" s="388"/>
      <c r="AS627" s="388"/>
      <c r="AT627" s="388"/>
      <c r="AU627" s="388"/>
      <c r="AV627" s="388"/>
      <c r="AW627" s="388"/>
      <c r="AX627" s="388"/>
      <c r="AY627" s="388"/>
      <c r="AZ627" s="388"/>
      <c r="BA627" s="388"/>
      <c r="BB627" s="389"/>
      <c r="BC627" s="98">
        <v>1</v>
      </c>
      <c r="BD627" s="74">
        <v>1</v>
      </c>
      <c r="BE627" s="75">
        <f t="shared" si="249"/>
        <v>0</v>
      </c>
    </row>
    <row r="628" spans="1:57" s="1" customFormat="1" ht="18" customHeight="1" thickBot="1" x14ac:dyDescent="0.45">
      <c r="A628" s="37" t="str">
        <f t="shared" si="242"/>
        <v>10Н</v>
      </c>
      <c r="B628" s="183"/>
      <c r="C628" s="41"/>
      <c r="D628" s="184"/>
      <c r="E628" s="283">
        <f t="shared" si="250"/>
        <v>46032</v>
      </c>
      <c r="F628" s="339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99">
        <v>1</v>
      </c>
      <c r="Y628" s="76">
        <v>1</v>
      </c>
      <c r="Z628" s="77">
        <f t="shared" si="248"/>
        <v>0</v>
      </c>
      <c r="AA628" s="107">
        <f t="shared" si="252"/>
        <v>0</v>
      </c>
      <c r="AB628" s="41"/>
      <c r="AC628" s="184"/>
      <c r="AD628" s="211">
        <f t="shared" si="251"/>
        <v>46032</v>
      </c>
      <c r="AE628" s="410"/>
      <c r="AF628" s="411"/>
      <c r="AG628" s="411"/>
      <c r="AH628" s="411"/>
      <c r="AI628" s="411"/>
      <c r="AJ628" s="411"/>
      <c r="AK628" s="411"/>
      <c r="AL628" s="411"/>
      <c r="AM628" s="411"/>
      <c r="AN628" s="411"/>
      <c r="AO628" s="411"/>
      <c r="AP628" s="411"/>
      <c r="AQ628" s="411"/>
      <c r="AR628" s="411"/>
      <c r="AS628" s="411"/>
      <c r="AT628" s="411"/>
      <c r="AU628" s="411"/>
      <c r="AV628" s="411"/>
      <c r="AW628" s="411"/>
      <c r="AX628" s="411"/>
      <c r="AY628" s="411"/>
      <c r="AZ628" s="411"/>
      <c r="BA628" s="411"/>
      <c r="BB628" s="412"/>
      <c r="BC628" s="99">
        <v>1</v>
      </c>
      <c r="BD628" s="76">
        <v>1</v>
      </c>
      <c r="BE628" s="75">
        <f t="shared" si="249"/>
        <v>0</v>
      </c>
    </row>
    <row r="629" spans="1:57" s="1" customFormat="1" ht="23.25" customHeight="1" thickBot="1" x14ac:dyDescent="0.45">
      <c r="A629" s="37" t="str">
        <f t="shared" si="242"/>
        <v>10Н</v>
      </c>
      <c r="B629" s="193"/>
      <c r="C629" s="47"/>
      <c r="D629" s="47"/>
      <c r="E629" s="47"/>
      <c r="F629" s="78"/>
      <c r="G629" s="78"/>
      <c r="H629" s="78"/>
      <c r="I629" s="80"/>
      <c r="J629" s="80"/>
      <c r="K629" s="80"/>
      <c r="L629" s="80"/>
      <c r="M629" s="80"/>
      <c r="N629" s="80"/>
      <c r="O629" s="78"/>
      <c r="P629" s="81"/>
      <c r="Q629" s="81"/>
      <c r="R629" s="81"/>
      <c r="S629" s="81"/>
      <c r="T629" s="81"/>
      <c r="U629" s="82"/>
      <c r="V629" s="82"/>
      <c r="W629" s="86"/>
      <c r="X629" s="194"/>
      <c r="Y629" s="83"/>
      <c r="Z629" s="83"/>
      <c r="AA629" s="78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84"/>
      <c r="AN629" s="47"/>
      <c r="AO629" s="78"/>
      <c r="AP629" s="78"/>
      <c r="AQ629" s="78"/>
      <c r="AR629" s="84"/>
      <c r="AS629" s="78"/>
      <c r="AT629" s="85"/>
      <c r="AU629" s="78"/>
      <c r="AV629" s="83"/>
      <c r="AW629" s="83"/>
      <c r="AX629" s="78"/>
      <c r="AY629" s="78"/>
      <c r="AZ629" s="78"/>
      <c r="BA629" s="78"/>
      <c r="BB629" s="78"/>
      <c r="BC629" s="78"/>
      <c r="BD629" s="79"/>
      <c r="BE629" s="79"/>
    </row>
    <row r="630" spans="1:57" s="1" customFormat="1" ht="21.6" customHeight="1" thickBot="1" x14ac:dyDescent="0.45">
      <c r="A630" s="37" t="s">
        <v>166</v>
      </c>
      <c r="B630" s="59"/>
      <c r="C630" s="51"/>
      <c r="D630" s="51"/>
      <c r="E630" s="51"/>
      <c r="F630" s="158" t="s">
        <v>147</v>
      </c>
      <c r="G630" s="51"/>
      <c r="H630" s="51"/>
      <c r="I630" s="156"/>
      <c r="J630" s="156"/>
      <c r="K630" s="156"/>
      <c r="L630" s="156"/>
      <c r="M630" s="156"/>
      <c r="N630" s="156"/>
      <c r="O630" s="91"/>
      <c r="P630" s="52"/>
      <c r="Q630" s="52"/>
      <c r="R630" s="52"/>
      <c r="S630" s="52"/>
      <c r="T630" s="52"/>
      <c r="U630" s="157"/>
      <c r="V630" s="157"/>
      <c r="W630" s="94"/>
      <c r="X630" s="94"/>
      <c r="Y630" s="51"/>
      <c r="Z630" s="51"/>
      <c r="AA630" s="157">
        <f>AA613</f>
        <v>1</v>
      </c>
      <c r="AB630" s="157">
        <f t="shared" ref="AB630:AF630" si="253">AB613</f>
        <v>2</v>
      </c>
      <c r="AC630" s="157">
        <f t="shared" si="253"/>
        <v>3</v>
      </c>
      <c r="AD630" s="157">
        <f t="shared" si="253"/>
        <v>4</v>
      </c>
      <c r="AE630" s="157">
        <f t="shared" si="253"/>
        <v>5</v>
      </c>
      <c r="AF630" s="157">
        <f t="shared" si="253"/>
        <v>6</v>
      </c>
      <c r="AG630" s="162" t="s">
        <v>123</v>
      </c>
      <c r="AH630" s="162" t="s">
        <v>124</v>
      </c>
      <c r="AI630" s="162" t="s">
        <v>125</v>
      </c>
      <c r="AJ630" s="91" t="s">
        <v>126</v>
      </c>
      <c r="AK630" s="198" t="s">
        <v>136</v>
      </c>
      <c r="AL630" s="198" t="s">
        <v>137</v>
      </c>
      <c r="AM630" s="198" t="s">
        <v>138</v>
      </c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</row>
    <row r="631" spans="1:57" s="1" customFormat="1" ht="21.6" customHeight="1" x14ac:dyDescent="0.4">
      <c r="A631" s="37" t="str">
        <f>A630</f>
        <v>11Д</v>
      </c>
      <c r="B631" s="12">
        <f>B612+1</f>
        <v>46033</v>
      </c>
      <c r="C631" s="97"/>
      <c r="D631" s="97">
        <v>1</v>
      </c>
      <c r="E631" s="29"/>
      <c r="F631" s="151" t="str">
        <f>IFERROR(VLOOKUP($G631,нормы!$A$14:$BC$57,2,0),"")</f>
        <v/>
      </c>
      <c r="G631" s="93"/>
      <c r="H631" s="54">
        <f>IF(C631=1,"Кульков С.А.", IF(C631=2,"Чудаков А.А.",IF(C631=3,"Королев В.Н.",IF(C631=4,"Николашин М.П.",IF(C631=5," Кульков С.А.",IF(C631=6,"А.А. Чудаков",IF(C631=7,"В.Н. Королев",IF(C631=8,"М.П. Николашин",0))))))))</f>
        <v>0</v>
      </c>
      <c r="I631" s="88" t="s">
        <v>84</v>
      </c>
      <c r="J631" s="332"/>
      <c r="K631" s="30">
        <f>IFERROR(VLOOKUP($G631,[1]нормы!$A$21:$BC$151,15,0),"")</f>
        <v>0</v>
      </c>
      <c r="L631" s="31">
        <f>IFERROR(VLOOKUP($G631,[1]нормы!$A$21:$BC$151,17,0),"")</f>
        <v>0</v>
      </c>
      <c r="M631" s="310">
        <f>IFERROR(VLOOKUP($G631,[1]нормы!$A$21:$BC$151,27,0),"")</f>
        <v>0</v>
      </c>
      <c r="N631" s="311" t="str">
        <f>IFERROR(Y631/Y637*(1.1*J631*I636),"")</f>
        <v/>
      </c>
      <c r="O631" s="300">
        <f>IFERROR(VLOOKUP($G631,[1]нормы!$A$21:$BC$151,21,0),"")</f>
        <v>0</v>
      </c>
      <c r="P631" s="35">
        <f>IFERROR(VLOOKUP($G631,[1]нормы!$A$21:$BC$151,19,0),"")</f>
        <v>0</v>
      </c>
      <c r="Q631" s="35">
        <f>IFERROR(VLOOKUP($G631,[1]нормы!$A$21:$BC$151,23,0),"")</f>
        <v>0</v>
      </c>
      <c r="R631" s="231">
        <f>IFERROR(VLOOKUP($G631,[1]нормы!$A$21:$BC$151,29,0),"")</f>
        <v>0</v>
      </c>
      <c r="S631" s="35">
        <f>IFERROR(VLOOKUP($G631,[1]нормы!$A$21:$BC$151,31,0),"")</f>
        <v>0</v>
      </c>
      <c r="T631" s="32">
        <f>IFERROR(VLOOKUP($G631,[1]нормы!$A$21:$BC$151,25,0),"")</f>
        <v>0</v>
      </c>
      <c r="U631" s="232" t="str">
        <f>IFERROR(W631/(((100*Y631/Y637)*I636)/100),"")</f>
        <v/>
      </c>
      <c r="V631" s="234" t="str">
        <f>IFERROR(VLOOKUP($G631,нормы!$A$14:$BC$57,38,0),"")</f>
        <v/>
      </c>
      <c r="W631" s="136"/>
      <c r="X631" s="236"/>
      <c r="Y631" s="152" t="str">
        <f>IFERROR(VLOOKUP($G631,нормы!$A$14:$BC$57,42,0)*W631,"")</f>
        <v/>
      </c>
      <c r="Z631" s="163">
        <f>IFERROR(VLOOKUP($G631,нормы!$A$14:$BC$57,14,0)*W631/1000,0)</f>
        <v>0</v>
      </c>
      <c r="AA631" s="33"/>
      <c r="AB631" s="36"/>
      <c r="AC631" s="36"/>
      <c r="AD631" s="36"/>
      <c r="AE631" s="34"/>
      <c r="AF631" s="159"/>
      <c r="AG631" s="390"/>
      <c r="AH631" s="393"/>
      <c r="AI631" s="396"/>
      <c r="AJ631" s="407">
        <f>AG631+AH631</f>
        <v>0</v>
      </c>
      <c r="AK631" s="359"/>
      <c r="AL631" s="359"/>
      <c r="AM631" s="359"/>
      <c r="AN631" s="287">
        <f>IFERROR(Y631*AJ631/Y637,)</f>
        <v>0</v>
      </c>
      <c r="AO631" s="197" t="str">
        <f>IFERROR(VLOOKUP($G631,нормы!$A$14:$BC$57,53,0)*$W631,"")</f>
        <v/>
      </c>
      <c r="AP631" s="288">
        <f>IFERROR(Y631*AI631/Y637,)</f>
        <v>0</v>
      </c>
      <c r="AQ631" s="197" t="str">
        <f>IFERROR(VLOOKUP($G631,нормы!$A$14:$BC$57,54,0)*$W631,"")</f>
        <v/>
      </c>
      <c r="AR631" s="288">
        <f>IFERROR(AS631/SUM(AS631:AS636)*AL631,0)</f>
        <v>0</v>
      </c>
      <c r="AS631" s="197" t="str">
        <f>IFERROR(VLOOKUP($G631,нормы!$A$14:$BC$57,55,0)*W631,"")</f>
        <v/>
      </c>
      <c r="AT631" s="288">
        <f>IFERROR(AU631/SUM(AU631:AU636)*AM631,0)</f>
        <v>0</v>
      </c>
      <c r="AU631" s="197" t="str">
        <f>IFERROR(VLOOKUP($G631,нормы!$A$14:$BI$57,56,0)*W631,"")</f>
        <v/>
      </c>
      <c r="AV631" s="288">
        <f>IFERROR(AW631/SUM(AW631:AW636)*AK631,0)</f>
        <v>0</v>
      </c>
      <c r="AW631" s="202" t="str">
        <f>IFERROR(VLOOKUP($G631,нормы!$A$14:$BI$57,57,0)*W631,"")</f>
        <v/>
      </c>
      <c r="AX631" s="33"/>
      <c r="AY631" s="203" t="str">
        <f>IFERROR(VLOOKUP($G631,нормы!$A$14:$BI$57,58,0)*W631,"")</f>
        <v/>
      </c>
      <c r="AZ631" s="204"/>
      <c r="BA631" s="200" t="str">
        <f>IFERROR(VLOOKUP($G631,нормы!$A$14:$BI$57,61,0)*$W631,"")</f>
        <v/>
      </c>
      <c r="BB631" s="33"/>
      <c r="BC631" s="203" t="str">
        <f>IFERROR(VLOOKUP($G631,нормы!$A$14:$BI$57,60,0)*W631,"")</f>
        <v/>
      </c>
      <c r="BD631" s="200" t="str">
        <f>IFERROR(VLOOKUP($G631,нормы!$A$14:$BG$57,44,0),"")</f>
        <v/>
      </c>
      <c r="BE631" s="199" t="str">
        <f>IFERROR(W631/VLOOKUP($G631,нормы!$A$14:$BI$57,45,0),"")</f>
        <v/>
      </c>
    </row>
    <row r="632" spans="1:57" s="1" customFormat="1" ht="21.6" customHeight="1" x14ac:dyDescent="0.4">
      <c r="A632" s="37" t="str">
        <f t="shared" ref="A632:A660" si="254">A631</f>
        <v>11Д</v>
      </c>
      <c r="B632" s="12">
        <f t="shared" ref="B632:D636" si="255">B631</f>
        <v>46033</v>
      </c>
      <c r="C632" s="97">
        <f t="shared" si="255"/>
        <v>0</v>
      </c>
      <c r="D632" s="97">
        <f t="shared" si="255"/>
        <v>1</v>
      </c>
      <c r="E632" s="54"/>
      <c r="F632" s="151" t="str">
        <f>IFERROR(VLOOKUP($G632,нормы!$A$14:$BC$57,2,0),"")</f>
        <v/>
      </c>
      <c r="G632" s="93"/>
      <c r="H632" s="54">
        <f t="shared" ref="H632:H636" si="256">IF(C632=1,"Кульков С.А.", IF(C632=2,"Чудаков А.А.",IF(C632=3,"Королев В.Н.",IF(C632=4,"Николашин М.П.",IF(C632=5," Кульков С.А.",IF(C632=6,"А.А. Чудаков",IF(C632=7,"В.Н. Королев",IF(C632=8,"М.П. Николашин",0))))))))</f>
        <v>0</v>
      </c>
      <c r="I632" s="55"/>
      <c r="J632" s="333"/>
      <c r="K632" s="30">
        <f>IFERROR(VLOOKUP($G632,[1]нормы!$A$21:$BC$151,15,0),"")</f>
        <v>0</v>
      </c>
      <c r="L632" s="31">
        <f>IFERROR(VLOOKUP($G632,[1]нормы!$A$21:$BC$151,17,0),"")</f>
        <v>0</v>
      </c>
      <c r="M632" s="306">
        <f>IFERROR(VLOOKUP($G632,[1]нормы!$A$21:$BC$151,27,0),"")</f>
        <v>0</v>
      </c>
      <c r="N632" s="307" t="str">
        <f>IFERROR(Y632/Y637*(1.1*J631*I636),"")</f>
        <v/>
      </c>
      <c r="O632" s="300">
        <f>IFERROR(VLOOKUP($G632,[1]нормы!$A$21:$BC$151,21,0),"")</f>
        <v>0</v>
      </c>
      <c r="P632" s="35">
        <f>IFERROR(VLOOKUP($G632,[1]нормы!$A$21:$BC$151,19,0),"")</f>
        <v>0</v>
      </c>
      <c r="Q632" s="35">
        <f>IFERROR(VLOOKUP($G632,[1]нормы!$A$21:$BC$151,23,0),"")</f>
        <v>0</v>
      </c>
      <c r="R632" s="231">
        <f>IFERROR(VLOOKUP($G632,[1]нормы!$A$21:$BC$151,29,0),"")</f>
        <v>0</v>
      </c>
      <c r="S632" s="35">
        <f>IFERROR(VLOOKUP($G632,[1]нормы!$A$21:$BC$151,31,0),"")</f>
        <v>0</v>
      </c>
      <c r="T632" s="32">
        <f>IFERROR(VLOOKUP($G632,[1]нормы!$A$21:$BC$151,25,0),"")</f>
        <v>0</v>
      </c>
      <c r="U632" s="233" t="str">
        <f>IFERROR(W632/(((100*Y632/Y637)*I636)/100),"")</f>
        <v/>
      </c>
      <c r="V632" s="234" t="str">
        <f>IFERROR(VLOOKUP($G632,нормы!$A$14:$BC$57,38,0),"")</f>
        <v/>
      </c>
      <c r="W632" s="136"/>
      <c r="X632" s="237"/>
      <c r="Y632" s="152" t="str">
        <f>IFERROR(VLOOKUP($G632,нормы!$A$14:$BC$57,42,0)*W632,"")</f>
        <v/>
      </c>
      <c r="Z632" s="163">
        <f>IFERROR(VLOOKUP($G632,нормы!$A$14:$BC$57,14,0)*W632/1000,0)</f>
        <v>0</v>
      </c>
      <c r="AA632" s="142"/>
      <c r="AB632" s="35"/>
      <c r="AC632" s="35"/>
      <c r="AD632" s="35"/>
      <c r="AE632" s="31"/>
      <c r="AF632" s="160"/>
      <c r="AG632" s="391"/>
      <c r="AH632" s="394"/>
      <c r="AI632" s="397"/>
      <c r="AJ632" s="408"/>
      <c r="AK632" s="360"/>
      <c r="AL632" s="360"/>
      <c r="AM632" s="360"/>
      <c r="AN632" s="289">
        <f>IFERROR(Y632*AJ631/Y637,)</f>
        <v>0</v>
      </c>
      <c r="AO632" s="197" t="str">
        <f>IFERROR(VLOOKUP($G632,нормы!$A$14:$BC$57,53,0)*$W632,"")</f>
        <v/>
      </c>
      <c r="AP632" s="290">
        <f>IFERROR(Y632*AI631/Y637,)</f>
        <v>0</v>
      </c>
      <c r="AQ632" s="197" t="str">
        <f>IFERROR(VLOOKUP($G632,нормы!$A$14:$BC$57,54,0)*$W632,"")</f>
        <v/>
      </c>
      <c r="AR632" s="290">
        <f>IFERROR(AS632/SUM(AS631:AS636)*AL631,0)</f>
        <v>0</v>
      </c>
      <c r="AS632" s="197" t="str">
        <f>IFERROR(VLOOKUP($G632,нормы!$A$14:$BC$57,55,0)*W632,"")</f>
        <v/>
      </c>
      <c r="AT632" s="290">
        <f>IFERROR(AU632/SUM(AU631:AU636)*AM631,0)</f>
        <v>0</v>
      </c>
      <c r="AU632" s="197" t="str">
        <f>IFERROR(VLOOKUP($G632,нормы!$A$14:$BI$57,56,0)*W632,"")</f>
        <v/>
      </c>
      <c r="AV632" s="290">
        <f>IFERROR(AW632/SUM(AW631:AW636)*AK631,0)</f>
        <v>0</v>
      </c>
      <c r="AW632" s="202" t="str">
        <f>IFERROR(VLOOKUP($G632,нормы!$A$14:$BI$57,57,0)*W632,"")</f>
        <v/>
      </c>
      <c r="AX632" s="30"/>
      <c r="AY632" s="203" t="str">
        <f>IFERROR(VLOOKUP($G632,нормы!$A$14:$BI$57,58,0)*W632,"")</f>
        <v/>
      </c>
      <c r="AZ632" s="205"/>
      <c r="BA632" s="200" t="str">
        <f>IFERROR(VLOOKUP($G632,нормы!$A$14:$BI$57,61,0)*$W632,"")</f>
        <v/>
      </c>
      <c r="BB632" s="30"/>
      <c r="BC632" s="203" t="str">
        <f>IFERROR(VLOOKUP($G632,нормы!$A$14:$BI$57,60,0)*W632,"")</f>
        <v/>
      </c>
      <c r="BD632" s="200" t="str">
        <f>IFERROR(VLOOKUP($G632,нормы!$A$14:$BG$57,44,0),"")</f>
        <v/>
      </c>
      <c r="BE632" s="199" t="str">
        <f>IFERROR(W632/VLOOKUP($G632,нормы!$A$14:$BI$57,45,0),"")</f>
        <v/>
      </c>
    </row>
    <row r="633" spans="1:57" s="1" customFormat="1" ht="20.25" customHeight="1" x14ac:dyDescent="0.4">
      <c r="A633" s="37" t="str">
        <f t="shared" si="254"/>
        <v>11Д</v>
      </c>
      <c r="B633" s="12">
        <f t="shared" si="255"/>
        <v>46033</v>
      </c>
      <c r="C633" s="97">
        <f t="shared" si="255"/>
        <v>0</v>
      </c>
      <c r="D633" s="97">
        <f t="shared" si="255"/>
        <v>1</v>
      </c>
      <c r="E633" s="54"/>
      <c r="F633" s="151" t="str">
        <f>IFERROR(VLOOKUP($G633,нормы!$A$14:$BC$57,2,0),"")</f>
        <v/>
      </c>
      <c r="G633" s="38"/>
      <c r="H633" s="54">
        <f t="shared" si="256"/>
        <v>0</v>
      </c>
      <c r="I633" s="89" t="s">
        <v>85</v>
      </c>
      <c r="J633" s="333"/>
      <c r="K633" s="30">
        <f>IFERROR(VLOOKUP($G633,[1]нормы!$A$21:$BC$151,15,0),"")</f>
        <v>0</v>
      </c>
      <c r="L633" s="31">
        <f>IFERROR(VLOOKUP($G633,[1]нормы!$A$21:$BC$151,17,0),"")</f>
        <v>0</v>
      </c>
      <c r="M633" s="306">
        <f>IFERROR(VLOOKUP($G633,[1]нормы!$A$21:$BC$151,27,0),"")</f>
        <v>0</v>
      </c>
      <c r="N633" s="307" t="str">
        <f>IFERROR(Y633/Y637*(1.1*J631*I636),"")</f>
        <v/>
      </c>
      <c r="O633" s="300">
        <f>IFERROR(VLOOKUP($G633,[1]нормы!$A$21:$BC$151,21,0),"")</f>
        <v>0</v>
      </c>
      <c r="P633" s="35">
        <f>IFERROR(VLOOKUP($G633,[1]нормы!$A$21:$BC$151,19,0),"")</f>
        <v>0</v>
      </c>
      <c r="Q633" s="35">
        <f>IFERROR(VLOOKUP($G633,[1]нормы!$A$21:$BC$151,23,0),"")</f>
        <v>0</v>
      </c>
      <c r="R633" s="231">
        <f>IFERROR(VLOOKUP($G633,[1]нормы!$A$21:$BC$151,29,0),"")</f>
        <v>0</v>
      </c>
      <c r="S633" s="35">
        <f>IFERROR(VLOOKUP($G633,[1]нормы!$A$21:$BC$151,31,0),"")</f>
        <v>0</v>
      </c>
      <c r="T633" s="32">
        <f>IFERROR(VLOOKUP($G633,[1]нормы!$A$21:$BC$151,25,0),"")</f>
        <v>0</v>
      </c>
      <c r="U633" s="233" t="str">
        <f>IFERROR(W633/(((100*Y633/Y637)*I636)/100),"")</f>
        <v/>
      </c>
      <c r="V633" s="234" t="str">
        <f>IFERROR(VLOOKUP($G633,нормы!$A$14:$BC$57,38,0),"")</f>
        <v/>
      </c>
      <c r="W633" s="136"/>
      <c r="X633" s="237"/>
      <c r="Y633" s="152" t="str">
        <f>IFERROR(VLOOKUP($G633,нормы!$A$14:$BC$57,42,0)*W633,"")</f>
        <v/>
      </c>
      <c r="Z633" s="163">
        <f>IFERROR(VLOOKUP($G633,нормы!$A$14:$BC$57,14,0)*W633/1000,0)</f>
        <v>0</v>
      </c>
      <c r="AA633" s="30"/>
      <c r="AB633" s="35"/>
      <c r="AC633" s="35"/>
      <c r="AD633" s="35"/>
      <c r="AE633" s="31"/>
      <c r="AF633" s="160"/>
      <c r="AG633" s="391"/>
      <c r="AH633" s="394"/>
      <c r="AI633" s="397"/>
      <c r="AJ633" s="408"/>
      <c r="AK633" s="360"/>
      <c r="AL633" s="360"/>
      <c r="AM633" s="360"/>
      <c r="AN633" s="289">
        <f>IFERROR(Y633*AJ631/Y637,)</f>
        <v>0</v>
      </c>
      <c r="AO633" s="197" t="str">
        <f>IFERROR(VLOOKUP($G633,нормы!$A$14:$BC$57,53,0)*$W633,"")</f>
        <v/>
      </c>
      <c r="AP633" s="290">
        <f>IFERROR(Y633*AI631/Y637,)</f>
        <v>0</v>
      </c>
      <c r="AQ633" s="197" t="str">
        <f>IFERROR(VLOOKUP($G633,нормы!$A$14:$BC$57,54,0)*$W633,"")</f>
        <v/>
      </c>
      <c r="AR633" s="290">
        <f>IFERROR(AS633/SUM(AS631:AS636)*AL631,0)</f>
        <v>0</v>
      </c>
      <c r="AS633" s="197" t="str">
        <f>IFERROR(VLOOKUP($G633,нормы!$A$14:$BC$57,55,0)*W633,"")</f>
        <v/>
      </c>
      <c r="AT633" s="290">
        <f>IFERROR(AU633/SUM(AU631:AU636)*AM631,0)</f>
        <v>0</v>
      </c>
      <c r="AU633" s="197" t="str">
        <f>IFERROR(VLOOKUP($G633,нормы!$A$14:$BI$57,56,0)*W633,"")</f>
        <v/>
      </c>
      <c r="AV633" s="290">
        <f>IFERROR(AW633/SUM(AW631:AW636)*AK631,0)</f>
        <v>0</v>
      </c>
      <c r="AW633" s="202" t="str">
        <f>IFERROR(VLOOKUP($G633,нормы!$A$14:$BI$57,57,0)*W633,"")</f>
        <v/>
      </c>
      <c r="AX633" s="30"/>
      <c r="AY633" s="203" t="str">
        <f>IFERROR(VLOOKUP($G633,нормы!$A$14:$BI$57,58,0)*W633,"")</f>
        <v/>
      </c>
      <c r="AZ633" s="205"/>
      <c r="BA633" s="200" t="str">
        <f>IFERROR(VLOOKUP($G633,нормы!$A$14:$BI$57,61,0)*$W633,"")</f>
        <v/>
      </c>
      <c r="BB633" s="30"/>
      <c r="BC633" s="203" t="str">
        <f>IFERROR(VLOOKUP($G633,нормы!$A$14:$BI$57,60,0)*W633,"")</f>
        <v/>
      </c>
      <c r="BD633" s="200" t="str">
        <f>IFERROR(VLOOKUP($G633,нормы!$A$14:$BG$57,44,0),"")</f>
        <v/>
      </c>
      <c r="BE633" s="199" t="str">
        <f>IFERROR(W633/VLOOKUP($G633,нормы!$A$14:$BI$57,45,0),"")</f>
        <v/>
      </c>
    </row>
    <row r="634" spans="1:57" s="1" customFormat="1" ht="20.25" customHeight="1" x14ac:dyDescent="0.4">
      <c r="A634" s="37" t="str">
        <f t="shared" si="254"/>
        <v>11Д</v>
      </c>
      <c r="B634" s="12">
        <f t="shared" si="255"/>
        <v>46033</v>
      </c>
      <c r="C634" s="97">
        <f t="shared" si="255"/>
        <v>0</v>
      </c>
      <c r="D634" s="97">
        <f t="shared" si="255"/>
        <v>1</v>
      </c>
      <c r="E634" s="54"/>
      <c r="F634" s="151" t="str">
        <f>IFERROR(VLOOKUP($G634,нормы!$A$14:$BC$57,2,0),"")</f>
        <v/>
      </c>
      <c r="G634" s="93"/>
      <c r="H634" s="54">
        <f t="shared" si="256"/>
        <v>0</v>
      </c>
      <c r="I634" s="55"/>
      <c r="J634" s="333"/>
      <c r="K634" s="30">
        <f>IFERROR(VLOOKUP($G634,[1]нормы!$A$21:$BC$151,15,0),"")</f>
        <v>0</v>
      </c>
      <c r="L634" s="31">
        <f>IFERROR(VLOOKUP($G634,[1]нормы!$A$21:$BC$151,17,0),"")</f>
        <v>0</v>
      </c>
      <c r="M634" s="306">
        <f>IFERROR(VLOOKUP($G634,[1]нормы!$A$21:$BC$151,27,0),"")</f>
        <v>0</v>
      </c>
      <c r="N634" s="307" t="str">
        <f>IFERROR(Y634/Y637*(1.1*J631*I639),"")</f>
        <v/>
      </c>
      <c r="O634" s="300">
        <f>IFERROR(VLOOKUP($G634,[1]нормы!$A$21:$BC$151,21,0),"")</f>
        <v>0</v>
      </c>
      <c r="P634" s="35">
        <f>IFERROR(VLOOKUP($G634,[1]нормы!$A$21:$BC$151,19,0),"")</f>
        <v>0</v>
      </c>
      <c r="Q634" s="35">
        <f>IFERROR(VLOOKUP($G634,[1]нормы!$A$21:$BC$151,23,0),"")</f>
        <v>0</v>
      </c>
      <c r="R634" s="231">
        <f>IFERROR(VLOOKUP($G634,[1]нормы!$A$21:$BC$151,29,0),"")</f>
        <v>0</v>
      </c>
      <c r="S634" s="35">
        <f>IFERROR(VLOOKUP($G634,[1]нормы!$A$21:$BC$151,31,0),"")</f>
        <v>0</v>
      </c>
      <c r="T634" s="32">
        <f>IFERROR(VLOOKUP($G634,[1]нормы!$A$21:$BC$151,25,0),"")</f>
        <v>0</v>
      </c>
      <c r="U634" s="233" t="str">
        <f>IFERROR(W634/(((100*Y634/Y637)*I636)/100),"")</f>
        <v/>
      </c>
      <c r="V634" s="234" t="str">
        <f>IFERROR(VLOOKUP($G634,нормы!$A$14:$BC$57,38,0),"")</f>
        <v/>
      </c>
      <c r="W634" s="136"/>
      <c r="X634" s="237"/>
      <c r="Y634" s="152" t="str">
        <f>IFERROR(VLOOKUP($G634,нормы!$A$14:$BC$57,42,0)*W634,"")</f>
        <v/>
      </c>
      <c r="Z634" s="163">
        <f>IFERROR(VLOOKUP($G634,нормы!$A$14:$BC$57,14,0)*W634/1000,0)</f>
        <v>0</v>
      </c>
      <c r="AA634" s="30"/>
      <c r="AB634" s="35"/>
      <c r="AC634" s="35"/>
      <c r="AD634" s="35"/>
      <c r="AE634" s="31"/>
      <c r="AF634" s="160"/>
      <c r="AG634" s="391"/>
      <c r="AH634" s="394"/>
      <c r="AI634" s="397"/>
      <c r="AJ634" s="408"/>
      <c r="AK634" s="360"/>
      <c r="AL634" s="360"/>
      <c r="AM634" s="360"/>
      <c r="AN634" s="289">
        <f>IFERROR(Y634*AJ631/Y637,)</f>
        <v>0</v>
      </c>
      <c r="AO634" s="197" t="str">
        <f>IFERROR(VLOOKUP($G634,нормы!$A$14:$BC$57,53,0)*$W634,"")</f>
        <v/>
      </c>
      <c r="AP634" s="290">
        <f>IFERROR(Y634*AI631/Y637,)</f>
        <v>0</v>
      </c>
      <c r="AQ634" s="197" t="str">
        <f>IFERROR(VLOOKUP($G634,нормы!$A$14:$BC$57,54,0)*$W634,"")</f>
        <v/>
      </c>
      <c r="AR634" s="290">
        <f>IFERROR(AS634/SUM(AS631:AS636)*AL631,0)</f>
        <v>0</v>
      </c>
      <c r="AS634" s="197" t="str">
        <f>IFERROR(VLOOKUP($G634,нормы!$A$14:$BC$57,55,0)*W634,"")</f>
        <v/>
      </c>
      <c r="AT634" s="290">
        <f>IFERROR(AU634/SUM(AU631:AU636)*AM631,0)</f>
        <v>0</v>
      </c>
      <c r="AU634" s="197" t="str">
        <f>IFERROR(VLOOKUP($G634,нормы!$A$14:$BI$57,56,0)*W634,"")</f>
        <v/>
      </c>
      <c r="AV634" s="290">
        <f>IFERROR(AW634/SUM(AW631:AW636)*AK631,0)</f>
        <v>0</v>
      </c>
      <c r="AW634" s="202" t="str">
        <f>IFERROR(VLOOKUP($G634,нормы!$A$14:$BI$57,57,0)*W634,"")</f>
        <v/>
      </c>
      <c r="AX634" s="30"/>
      <c r="AY634" s="203" t="str">
        <f>IFERROR(VLOOKUP($G634,нормы!$A$14:$BI$57,58,0)*W634,"")</f>
        <v/>
      </c>
      <c r="AZ634" s="205"/>
      <c r="BA634" s="200" t="str">
        <f>IFERROR(VLOOKUP($G634,нормы!$A$14:$BI$57,61,0)*$W634,"")</f>
        <v/>
      </c>
      <c r="BB634" s="30"/>
      <c r="BC634" s="203" t="str">
        <f>IFERROR(VLOOKUP($G634,нормы!$A$14:$BI$57,60,0)*W634,"")</f>
        <v/>
      </c>
      <c r="BD634" s="200" t="str">
        <f>IFERROR(VLOOKUP($G634,нормы!$A$14:$BG$57,44,0),"")</f>
        <v/>
      </c>
      <c r="BE634" s="199" t="str">
        <f>IFERROR(W634/VLOOKUP($G634,нормы!$A$14:$BI$57,45,0),"")</f>
        <v/>
      </c>
    </row>
    <row r="635" spans="1:57" s="1" customFormat="1" ht="20.25" customHeight="1" x14ac:dyDescent="0.4">
      <c r="A635" s="37" t="str">
        <f t="shared" si="254"/>
        <v>11Д</v>
      </c>
      <c r="B635" s="12">
        <f t="shared" si="255"/>
        <v>46033</v>
      </c>
      <c r="C635" s="97">
        <f t="shared" si="255"/>
        <v>0</v>
      </c>
      <c r="D635" s="97">
        <f t="shared" si="255"/>
        <v>1</v>
      </c>
      <c r="E635" s="54"/>
      <c r="F635" s="151" t="str">
        <f>IFERROR(VLOOKUP($G635,нормы!$A$14:$BC$57,2,0),"")</f>
        <v/>
      </c>
      <c r="G635" s="38"/>
      <c r="H635" s="54">
        <f t="shared" si="256"/>
        <v>0</v>
      </c>
      <c r="I635" s="89" t="s">
        <v>73</v>
      </c>
      <c r="J635" s="333"/>
      <c r="K635" s="30">
        <f>IFERROR(VLOOKUP($G635,[1]нормы!$A$21:$BC$151,15,0),"")</f>
        <v>0</v>
      </c>
      <c r="L635" s="31">
        <f>IFERROR(VLOOKUP($G635,[1]нормы!$A$21:$BC$151,17,0),"")</f>
        <v>0</v>
      </c>
      <c r="M635" s="306">
        <f>IFERROR(VLOOKUP($G635,[1]нормы!$A$21:$BC$151,27,0),"")</f>
        <v>0</v>
      </c>
      <c r="N635" s="307" t="str">
        <f>IFERROR(Y635/Y637*(1.1*J631*I640),"")</f>
        <v/>
      </c>
      <c r="O635" s="300">
        <f>IFERROR(VLOOKUP($G635,[1]нормы!$A$21:$BC$151,21,0),"")</f>
        <v>0</v>
      </c>
      <c r="P635" s="35">
        <f>IFERROR(VLOOKUP($G635,[1]нормы!$A$21:$BC$151,19,0),"")</f>
        <v>0</v>
      </c>
      <c r="Q635" s="35">
        <f>IFERROR(VLOOKUP($G635,[1]нормы!$A$21:$BC$151,23,0),"")</f>
        <v>0</v>
      </c>
      <c r="R635" s="231">
        <f>IFERROR(VLOOKUP($G635,[1]нормы!$A$21:$BC$151,29,0),"")</f>
        <v>0</v>
      </c>
      <c r="S635" s="35">
        <f>IFERROR(VLOOKUP($G635,[1]нормы!$A$21:$BC$151,31,0),"")</f>
        <v>0</v>
      </c>
      <c r="T635" s="32">
        <f>IFERROR(VLOOKUP($G635,[1]нормы!$A$21:$BC$151,25,0),"")</f>
        <v>0</v>
      </c>
      <c r="U635" s="233" t="str">
        <f>IFERROR(W635/(((100*Y635/Y637)*I636)/100),"")</f>
        <v/>
      </c>
      <c r="V635" s="234" t="str">
        <f>IFERROR(VLOOKUP($G635,нормы!$A$14:$BC$57,38,0),"")</f>
        <v/>
      </c>
      <c r="W635" s="136"/>
      <c r="X635" s="237"/>
      <c r="Y635" s="152" t="str">
        <f>IFERROR(VLOOKUP($G635,нормы!$A$14:$BC$57,42,0)*W635,"")</f>
        <v/>
      </c>
      <c r="Z635" s="163">
        <f>IFERROR(VLOOKUP($G635,нормы!$A$14:$BC$57,14,0)*W635/1000,0)</f>
        <v>0</v>
      </c>
      <c r="AA635" s="30"/>
      <c r="AB635" s="35"/>
      <c r="AC635" s="35"/>
      <c r="AD635" s="35"/>
      <c r="AE635" s="31"/>
      <c r="AF635" s="160"/>
      <c r="AG635" s="391"/>
      <c r="AH635" s="394"/>
      <c r="AI635" s="397"/>
      <c r="AJ635" s="408"/>
      <c r="AK635" s="360"/>
      <c r="AL635" s="360"/>
      <c r="AM635" s="360"/>
      <c r="AN635" s="289">
        <f>IFERROR(Y635*AJ631/Y637,)</f>
        <v>0</v>
      </c>
      <c r="AO635" s="197" t="str">
        <f>IFERROR(VLOOKUP($G635,нормы!$A$14:$BC$57,53,0)*$W635,"")</f>
        <v/>
      </c>
      <c r="AP635" s="290">
        <f>IFERROR(Y635*AI631/Y637,)</f>
        <v>0</v>
      </c>
      <c r="AQ635" s="197" t="str">
        <f>IFERROR(VLOOKUP($G635,нормы!$A$14:$BC$57,54,0)*$W635,"")</f>
        <v/>
      </c>
      <c r="AR635" s="290">
        <f>IFERROR(AS635/SUM(AS631:AS636)*AL631,0)</f>
        <v>0</v>
      </c>
      <c r="AS635" s="197" t="str">
        <f>IFERROR(VLOOKUP($G635,нормы!$A$14:$BC$57,55,0)*W635,"")</f>
        <v/>
      </c>
      <c r="AT635" s="290">
        <f>IFERROR(AU635/SUM(AU631:AU636)*AM631,0)</f>
        <v>0</v>
      </c>
      <c r="AU635" s="197" t="str">
        <f>IFERROR(VLOOKUP($G635,нормы!$A$14:$BI$57,56,0)*W635,"")</f>
        <v/>
      </c>
      <c r="AV635" s="290">
        <f>IFERROR(AW635/SUM(AW631:AW636)*AK631,0)</f>
        <v>0</v>
      </c>
      <c r="AW635" s="202" t="str">
        <f>IFERROR(VLOOKUP($G635,нормы!$A$14:$BI$57,57,0)*W635,"")</f>
        <v/>
      </c>
      <c r="AX635" s="30"/>
      <c r="AY635" s="203" t="str">
        <f>IFERROR(VLOOKUP($G635,нормы!$A$14:$BI$57,58,0)*W635,"")</f>
        <v/>
      </c>
      <c r="AZ635" s="205"/>
      <c r="BA635" s="200" t="str">
        <f>IFERROR(VLOOKUP($G635,нормы!$A$14:$BI$57,61,0)*$W635,"")</f>
        <v/>
      </c>
      <c r="BB635" s="30"/>
      <c r="BC635" s="203" t="str">
        <f>IFERROR(VLOOKUP($G635,нормы!$A$14:$BI$57,60,0)*W635,"")</f>
        <v/>
      </c>
      <c r="BD635" s="200" t="str">
        <f>IFERROR(VLOOKUP($G635,нормы!$A$14:$BG$57,44,0),"")</f>
        <v/>
      </c>
      <c r="BE635" s="199" t="str">
        <f>IFERROR(W635/VLOOKUP($G635,нормы!$A$14:$BI$57,45,0),"")</f>
        <v/>
      </c>
    </row>
    <row r="636" spans="1:57" s="1" customFormat="1" ht="21" customHeight="1" thickBot="1" x14ac:dyDescent="0.45">
      <c r="A636" s="37" t="str">
        <f t="shared" si="254"/>
        <v>11Д</v>
      </c>
      <c r="B636" s="12">
        <f t="shared" si="255"/>
        <v>46033</v>
      </c>
      <c r="C636" s="97">
        <f t="shared" si="255"/>
        <v>0</v>
      </c>
      <c r="D636" s="97">
        <f t="shared" si="255"/>
        <v>1</v>
      </c>
      <c r="E636" s="54"/>
      <c r="F636" s="151" t="str">
        <f>IFERROR(VLOOKUP($G636,нормы!$A$14:$BC$57,2,0),"")</f>
        <v/>
      </c>
      <c r="G636" s="93"/>
      <c r="H636" s="63">
        <f t="shared" si="256"/>
        <v>0</v>
      </c>
      <c r="I636" s="153">
        <f>I632+I634</f>
        <v>0</v>
      </c>
      <c r="J636" s="334"/>
      <c r="K636" s="30">
        <f>IFERROR(VLOOKUP($G636,[1]нормы!$A$21:$BC$151,15,0),"")</f>
        <v>0</v>
      </c>
      <c r="L636" s="31">
        <f>IFERROR(VLOOKUP($G636,[1]нормы!$A$21:$BC$151,17,0),"")</f>
        <v>0</v>
      </c>
      <c r="M636" s="308">
        <f>IFERROR(VLOOKUP($G636,[1]нормы!$A$21:$BC$151,27,0),"")</f>
        <v>0</v>
      </c>
      <c r="N636" s="309" t="str">
        <f>IFERROR(Y636/Y637*(1.1*J631*I641),"")</f>
        <v/>
      </c>
      <c r="O636" s="300">
        <f>IFERROR(VLOOKUP($G636,[1]нормы!$A$21:$BC$151,21,0),"")</f>
        <v>0</v>
      </c>
      <c r="P636" s="35">
        <f>IFERROR(VLOOKUP($G636,[1]нормы!$A$21:$BC$151,19,0),"")</f>
        <v>0</v>
      </c>
      <c r="Q636" s="35">
        <f>IFERROR(VLOOKUP($G636,[1]нормы!$A$21:$BC$151,23,0),"")</f>
        <v>0</v>
      </c>
      <c r="R636" s="231">
        <f>IFERROR(VLOOKUP($G636,[1]нормы!$A$21:$BC$151,29,0),"")</f>
        <v>0</v>
      </c>
      <c r="S636" s="35">
        <f>IFERROR(VLOOKUP($G636,[1]нормы!$A$21:$BC$151,31,0),"")</f>
        <v>0</v>
      </c>
      <c r="T636" s="32">
        <f>IFERROR(VLOOKUP($G636,[1]нормы!$A$21:$BC$151,25,0),"")</f>
        <v>0</v>
      </c>
      <c r="U636" s="235" t="str">
        <f>IFERROR(W636/(((100*Y636/Y637)*I636)/100),"")</f>
        <v/>
      </c>
      <c r="V636" s="234" t="str">
        <f>IFERROR(VLOOKUP($G636,нормы!$A$14:$BC$57,38,0),"")</f>
        <v/>
      </c>
      <c r="W636" s="154"/>
      <c r="X636" s="238"/>
      <c r="Y636" s="152" t="str">
        <f>IFERROR(VLOOKUP($G636,нормы!$A$14:$BC$57,42,0)*W636,"")</f>
        <v/>
      </c>
      <c r="Z636" s="163">
        <f>IFERROR(VLOOKUP($G636,нормы!$A$14:$BC$57,14,0)*W636/1000,0)</f>
        <v>0</v>
      </c>
      <c r="AA636" s="56"/>
      <c r="AB636" s="58"/>
      <c r="AC636" s="58"/>
      <c r="AD636" s="58"/>
      <c r="AE636" s="57"/>
      <c r="AF636" s="161"/>
      <c r="AG636" s="392"/>
      <c r="AH636" s="395"/>
      <c r="AI636" s="398"/>
      <c r="AJ636" s="409"/>
      <c r="AK636" s="361"/>
      <c r="AL636" s="361"/>
      <c r="AM636" s="361"/>
      <c r="AN636" s="291">
        <f>IFERROR(Y636*AJ631/Y637,)</f>
        <v>0</v>
      </c>
      <c r="AO636" s="197" t="str">
        <f>IFERROR(VLOOKUP($G636,нормы!$A$14:$BC$57,53,0)*$W636,"")</f>
        <v/>
      </c>
      <c r="AP636" s="292">
        <f>IFERROR(Y636*AI631/Y637,)</f>
        <v>0</v>
      </c>
      <c r="AQ636" s="197" t="str">
        <f>IFERROR(VLOOKUP($G636,нормы!$A$14:$BC$57,54,0)*$W636,"")</f>
        <v/>
      </c>
      <c r="AR636" s="290">
        <f>IFERROR(AS636/SUM(AS631:AS636)*AL631,0)</f>
        <v>0</v>
      </c>
      <c r="AS636" s="197" t="str">
        <f>IFERROR(VLOOKUP($G636,нормы!$A$14:$BC$57,55,0)*W636,"")</f>
        <v/>
      </c>
      <c r="AT636" s="292">
        <f>IFERROR(AU636/SUM(AU631:AU636)*AM631,0)</f>
        <v>0</v>
      </c>
      <c r="AU636" s="197" t="str">
        <f>IFERROR(VLOOKUP($G636,нормы!$A$14:$BI$57,56,0)*W636,"")</f>
        <v/>
      </c>
      <c r="AV636" s="292">
        <f>IFERROR(AW636/SUM(AW631:AW636)*AK631,0)</f>
        <v>0</v>
      </c>
      <c r="AW636" s="202" t="str">
        <f>IFERROR(VLOOKUP($G636,нормы!$A$14:$BI$57,57,0)*W636,"")</f>
        <v/>
      </c>
      <c r="AX636" s="56"/>
      <c r="AY636" s="203" t="str">
        <f>IFERROR(VLOOKUP($G636,нормы!$A$14:$BI$57,58,0)*W636,"")</f>
        <v/>
      </c>
      <c r="AZ636" s="206"/>
      <c r="BA636" s="200" t="str">
        <f>IFERROR(VLOOKUP($G636,нормы!$A$14:$BI$57,61,0)*$W636,"")</f>
        <v/>
      </c>
      <c r="BB636" s="56"/>
      <c r="BC636" s="203" t="str">
        <f>IFERROR(VLOOKUP($G636,нормы!$A$14:$BI$57,60,0)*W636,"")</f>
        <v/>
      </c>
      <c r="BD636" s="200" t="str">
        <f>IFERROR(VLOOKUP($G636,нормы!$A$14:$BG$57,44,0),"")</f>
        <v/>
      </c>
      <c r="BE636" s="199" t="str">
        <f>IFERROR(W636/VLOOKUP($G636,нормы!$A$14:$BI$57,45,0),"")</f>
        <v/>
      </c>
    </row>
    <row r="637" spans="1:57" s="1" customFormat="1" ht="29.4" customHeight="1" thickBot="1" x14ac:dyDescent="0.45">
      <c r="A637" s="37" t="str">
        <f t="shared" si="254"/>
        <v>11Д</v>
      </c>
      <c r="B637" s="59"/>
      <c r="C637" s="51"/>
      <c r="D637" s="51"/>
      <c r="E637" s="51"/>
      <c r="F637" s="295" t="s">
        <v>148</v>
      </c>
      <c r="G637" s="51"/>
      <c r="H637" s="51"/>
      <c r="I637" s="60"/>
      <c r="J637" s="60"/>
      <c r="K637" s="319" t="s">
        <v>213</v>
      </c>
      <c r="L637" s="316"/>
      <c r="M637" s="303" t="s">
        <v>213</v>
      </c>
      <c r="N637" s="317">
        <f>SUM(N631:N636)</f>
        <v>0</v>
      </c>
      <c r="O637" s="304" t="s">
        <v>216</v>
      </c>
      <c r="P637" s="318">
        <f>N637*8.937/1000</f>
        <v>0</v>
      </c>
      <c r="Q637" s="305" t="s">
        <v>215</v>
      </c>
      <c r="R637" s="61"/>
      <c r="S637" s="61"/>
      <c r="T637" s="61"/>
      <c r="U637" s="109"/>
      <c r="V637" s="109"/>
      <c r="W637" s="94"/>
      <c r="X637" s="155"/>
      <c r="Y637" s="96">
        <f>SUM(Y631:Y636)</f>
        <v>0</v>
      </c>
      <c r="Z637" s="164">
        <f>SUM(Z631:Z636)</f>
        <v>0</v>
      </c>
      <c r="AA637" s="62"/>
      <c r="AB637" s="62"/>
      <c r="AC637" s="62"/>
      <c r="AD637" s="62"/>
      <c r="AE637" s="62"/>
      <c r="AF637" s="62"/>
      <c r="AG637" s="162" t="s">
        <v>140</v>
      </c>
      <c r="AH637" s="162" t="s">
        <v>141</v>
      </c>
      <c r="AI637" s="162" t="s">
        <v>142</v>
      </c>
      <c r="AJ637" s="91" t="s">
        <v>126</v>
      </c>
      <c r="AK637" s="198" t="s">
        <v>136</v>
      </c>
      <c r="AL637" s="198" t="s">
        <v>137</v>
      </c>
      <c r="AM637" s="198" t="s">
        <v>138</v>
      </c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53" t="str">
        <f>IFERROR(W637/VLOOKUP($G637,нормы!$A$14:$BI$15,28,0),"")</f>
        <v/>
      </c>
    </row>
    <row r="638" spans="1:57" s="1" customFormat="1" ht="21.6" customHeight="1" x14ac:dyDescent="0.4">
      <c r="A638" s="37" t="str">
        <f t="shared" si="254"/>
        <v>11Д</v>
      </c>
      <c r="B638" s="12">
        <f>B636</f>
        <v>46033</v>
      </c>
      <c r="C638" s="97"/>
      <c r="D638" s="97">
        <v>2</v>
      </c>
      <c r="E638" s="29"/>
      <c r="F638" s="151" t="str">
        <f>IFERROR(VLOOKUP($G638,нормы!$A$14:$BC$57,2,0),"")</f>
        <v/>
      </c>
      <c r="G638" s="93"/>
      <c r="H638" s="54">
        <f>IF(C638=1,"Кульков С.А.", IF(C638=2,"Чудаков А.А.",IF(C638=3,"Королев В.Н.",IF(C638=4,"Николашин М.П.",IF(C638=5," Кульков С.А.",IF(C638=6,"А.А. Чудаков",IF(C638=7,"В.Н. Королев",IF(C638=8,"М.П. Николашин",0))))))))</f>
        <v>0</v>
      </c>
      <c r="I638" s="88" t="s">
        <v>211</v>
      </c>
      <c r="J638" s="332"/>
      <c r="K638" s="30">
        <f>IFERROR(VLOOKUP($G638,[1]нормы!$A$21:$BC$151,15,0),"")</f>
        <v>0</v>
      </c>
      <c r="L638" s="31">
        <f>IFERROR(VLOOKUP($G638,[1]нормы!$A$21:$BC$151,17,0),"")</f>
        <v>0</v>
      </c>
      <c r="M638" s="310">
        <f>IFERROR(VLOOKUP($G638,[1]нормы!$A$21:$BC$151,27,0),"")</f>
        <v>0</v>
      </c>
      <c r="N638" s="311" t="str">
        <f>IFERROR(Y638/Y644*(1.1*J638*I643),"")</f>
        <v/>
      </c>
      <c r="O638" s="300">
        <f>IFERROR(VLOOKUP($G638,[1]нормы!$A$21:$BC$151,21,0),"")</f>
        <v>0</v>
      </c>
      <c r="P638" s="35">
        <f>IFERROR(VLOOKUP($G638,[1]нормы!$A$21:$BC$151,19,0),"")</f>
        <v>0</v>
      </c>
      <c r="Q638" s="35">
        <f>IFERROR(VLOOKUP($G638,[1]нормы!$A$21:$BC$151,23,0),"")</f>
        <v>0</v>
      </c>
      <c r="R638" s="231">
        <f>IFERROR(VLOOKUP($G638,[1]нормы!$A$21:$BC$151,29,0),"")</f>
        <v>0</v>
      </c>
      <c r="S638" s="35">
        <f>IFERROR(VLOOKUP($G638,[1]нормы!$A$21:$BC$151,31,0),"")</f>
        <v>0</v>
      </c>
      <c r="T638" s="32">
        <f>IFERROR(VLOOKUP($G638,[1]нормы!$A$21:$BC$151,25,0),"")</f>
        <v>0</v>
      </c>
      <c r="U638" s="232" t="str">
        <f>IFERROR(W638/(((100*Y638/Y644)*I643)/100),"")</f>
        <v/>
      </c>
      <c r="V638" s="234" t="str">
        <f>IFERROR(VLOOKUP($G638,нормы!$A$14:$BC$57,38,0),"")</f>
        <v/>
      </c>
      <c r="W638" s="136"/>
      <c r="X638" s="236"/>
      <c r="Y638" s="152" t="str">
        <f>IFERROR(VLOOKUP($G638,нормы!$A$14:$BC$57,42,0)*W638,"")</f>
        <v/>
      </c>
      <c r="Z638" s="163">
        <f>IFERROR(VLOOKUP($G638,нормы!$A$14:$BC$57,14,0)*W638/1000,0)</f>
        <v>0</v>
      </c>
      <c r="AA638" s="33"/>
      <c r="AB638" s="36"/>
      <c r="AC638" s="36"/>
      <c r="AD638" s="36"/>
      <c r="AE638" s="34"/>
      <c r="AF638" s="159"/>
      <c r="AG638" s="390"/>
      <c r="AH638" s="393"/>
      <c r="AI638" s="396"/>
      <c r="AJ638" s="407">
        <f>AG638+AH638</f>
        <v>0</v>
      </c>
      <c r="AK638" s="359"/>
      <c r="AL638" s="359"/>
      <c r="AM638" s="359"/>
      <c r="AN638" s="287">
        <f>IFERROR(Y638*AJ638/Y644,)</f>
        <v>0</v>
      </c>
      <c r="AO638" s="197" t="str">
        <f>IFERROR(VLOOKUP($G638,нормы!$A$14:$BC$57,53,0)*$W638,"")</f>
        <v/>
      </c>
      <c r="AP638" s="288">
        <f>IFERROR(Y638*AI638/Y644,)</f>
        <v>0</v>
      </c>
      <c r="AQ638" s="197" t="str">
        <f>IFERROR(VLOOKUP($G638,нормы!$A$14:$BC$57,54,0)*$W638,"")</f>
        <v/>
      </c>
      <c r="AR638" s="288">
        <f>IFERROR(AS638/SUM(AS638:AS643)*AL638,0)</f>
        <v>0</v>
      </c>
      <c r="AS638" s="197" t="str">
        <f>IFERROR(VLOOKUP($G638,нормы!$A$14:$BC$57,55,0)*W638,"")</f>
        <v/>
      </c>
      <c r="AT638" s="288">
        <f>IFERROR(AU638/SUM(AU638:AU643)*AM638,0)</f>
        <v>0</v>
      </c>
      <c r="AU638" s="197" t="str">
        <f>IFERROR(VLOOKUP($G638,нормы!$A$14:$BI$57,56,0)*W638,"")</f>
        <v/>
      </c>
      <c r="AV638" s="288">
        <f>IFERROR(AW638/SUM(AW638:AW643)*AK638,0)</f>
        <v>0</v>
      </c>
      <c r="AW638" s="202" t="str">
        <f>IFERROR(VLOOKUP($G638,нормы!$A$14:$BI$57,57,0)*W638,"")</f>
        <v/>
      </c>
      <c r="AX638" s="33"/>
      <c r="AY638" s="203" t="str">
        <f>IFERROR(VLOOKUP($G638,нормы!$A$14:$BI$57,58,0)*W638,"")</f>
        <v/>
      </c>
      <c r="AZ638" s="204"/>
      <c r="BA638" s="200" t="str">
        <f>IFERROR(VLOOKUP($G638,нормы!$A$14:$BI$57,61,0)*$W638,"")</f>
        <v/>
      </c>
      <c r="BB638" s="33"/>
      <c r="BC638" s="203" t="str">
        <f>IFERROR(VLOOKUP($G638,нормы!$A$14:$BI$57,60,0)*W638,"")</f>
        <v/>
      </c>
      <c r="BD638" s="200" t="str">
        <f>IFERROR(VLOOKUP($G638,нормы!$A$14:$BG$57,44,0),"")</f>
        <v/>
      </c>
      <c r="BE638" s="199" t="str">
        <f>IFERROR(W638/VLOOKUP($G638,нормы!$A$14:$BI$57,45,0),"")</f>
        <v/>
      </c>
    </row>
    <row r="639" spans="1:57" s="1" customFormat="1" ht="21.6" customHeight="1" x14ac:dyDescent="0.4">
      <c r="A639" s="37" t="str">
        <f t="shared" si="254"/>
        <v>11Д</v>
      </c>
      <c r="B639" s="12">
        <f t="shared" ref="B639:D643" si="257">B638</f>
        <v>46033</v>
      </c>
      <c r="C639" s="97">
        <f t="shared" si="257"/>
        <v>0</v>
      </c>
      <c r="D639" s="97">
        <f t="shared" si="257"/>
        <v>2</v>
      </c>
      <c r="E639" s="54"/>
      <c r="F639" s="151" t="str">
        <f>IFERROR(VLOOKUP($G639,нормы!$A$14:$BC$57,2,0),"")</f>
        <v/>
      </c>
      <c r="G639" s="93"/>
      <c r="H639" s="54">
        <f t="shared" ref="H639:H643" si="258">IF(C639=1,"Кульков С.А.", IF(C639=2,"Чудаков А.А.",IF(C639=3,"Королев В.Н.",IF(C639=4,"Николашин М.П.",IF(C639=5," Кульков С.А.",IF(C639=6,"А.А. Чудаков",IF(C639=7,"В.Н. Королев",IF(C639=8,"М.П. Николашин",0))))))))</f>
        <v>0</v>
      </c>
      <c r="I639" s="55"/>
      <c r="J639" s="333"/>
      <c r="K639" s="30">
        <f>IFERROR(VLOOKUP($G639,[1]нормы!$A$21:$BC$151,15,0),"")</f>
        <v>0</v>
      </c>
      <c r="L639" s="31">
        <f>IFERROR(VLOOKUP($G639,[1]нормы!$A$21:$BC$151,17,0),"")</f>
        <v>0</v>
      </c>
      <c r="M639" s="306">
        <f>IFERROR(VLOOKUP($G639,[1]нормы!$A$21:$BC$151,27,0),"")</f>
        <v>0</v>
      </c>
      <c r="N639" s="307" t="str">
        <f>IFERROR(Y639/Y644*(1.1*J638*I643),"")</f>
        <v/>
      </c>
      <c r="O639" s="300">
        <f>IFERROR(VLOOKUP($G639,[1]нормы!$A$21:$BC$151,21,0),"")</f>
        <v>0</v>
      </c>
      <c r="P639" s="35">
        <f>IFERROR(VLOOKUP($G639,[1]нормы!$A$21:$BC$151,19,0),"")</f>
        <v>0</v>
      </c>
      <c r="Q639" s="35">
        <f>IFERROR(VLOOKUP($G639,[1]нормы!$A$21:$BC$151,23,0),"")</f>
        <v>0</v>
      </c>
      <c r="R639" s="231">
        <f>IFERROR(VLOOKUP($G639,[1]нормы!$A$21:$BC$151,29,0),"")</f>
        <v>0</v>
      </c>
      <c r="S639" s="35">
        <f>IFERROR(VLOOKUP($G639,[1]нормы!$A$21:$BC$151,31,0),"")</f>
        <v>0</v>
      </c>
      <c r="T639" s="32">
        <f>IFERROR(VLOOKUP($G639,[1]нормы!$A$21:$BC$151,25,0),"")</f>
        <v>0</v>
      </c>
      <c r="U639" s="233" t="str">
        <f>IFERROR(W639/(((100*Y639/Y644)*I643)/100),"")</f>
        <v/>
      </c>
      <c r="V639" s="234" t="str">
        <f>IFERROR(VLOOKUP($G639,нормы!$A$14:$BC$57,38,0),"")</f>
        <v/>
      </c>
      <c r="W639" s="136"/>
      <c r="X639" s="237"/>
      <c r="Y639" s="152" t="str">
        <f>IFERROR(VLOOKUP($G639,нормы!$A$14:$BC$57,42,0)*W639,"")</f>
        <v/>
      </c>
      <c r="Z639" s="163">
        <f>IFERROR(VLOOKUP($G639,нормы!$A$14:$BC$57,14,0)*W639/1000,0)</f>
        <v>0</v>
      </c>
      <c r="AA639" s="142"/>
      <c r="AB639" s="35"/>
      <c r="AC639" s="35"/>
      <c r="AD639" s="35"/>
      <c r="AE639" s="31"/>
      <c r="AF639" s="160"/>
      <c r="AG639" s="391"/>
      <c r="AH639" s="394"/>
      <c r="AI639" s="397"/>
      <c r="AJ639" s="408"/>
      <c r="AK639" s="360"/>
      <c r="AL639" s="360"/>
      <c r="AM639" s="360"/>
      <c r="AN639" s="289">
        <f>IFERROR(Y639*AJ638/Y644,)</f>
        <v>0</v>
      </c>
      <c r="AO639" s="197" t="str">
        <f>IFERROR(VLOOKUP($G639,нормы!$A$14:$BC$57,53,0)*$W639,"")</f>
        <v/>
      </c>
      <c r="AP639" s="290">
        <f>IFERROR(Y639*AI638/Y644,)</f>
        <v>0</v>
      </c>
      <c r="AQ639" s="197" t="str">
        <f>IFERROR(VLOOKUP($G639,нормы!$A$14:$BC$57,54,0)*$W639,"")</f>
        <v/>
      </c>
      <c r="AR639" s="290">
        <f>IFERROR(AS639/SUM(AS638:AS643)*AL638,0)</f>
        <v>0</v>
      </c>
      <c r="AS639" s="197" t="str">
        <f>IFERROR(VLOOKUP($G639,нормы!$A$14:$BC$57,55,0)*W639,"")</f>
        <v/>
      </c>
      <c r="AT639" s="290">
        <f>IFERROR(AU639/SUM(AU638:AU643)*AM638,0)</f>
        <v>0</v>
      </c>
      <c r="AU639" s="197" t="str">
        <f>IFERROR(VLOOKUP($G639,нормы!$A$14:$BI$57,56,0)*W639,"")</f>
        <v/>
      </c>
      <c r="AV639" s="290">
        <f>IFERROR(AW639/SUM(AW638:AW643)*AK638,0)</f>
        <v>0</v>
      </c>
      <c r="AW639" s="202" t="str">
        <f>IFERROR(VLOOKUP($G639,нормы!$A$14:$BI$57,57,0)*W639,"")</f>
        <v/>
      </c>
      <c r="AX639" s="30"/>
      <c r="AY639" s="203" t="str">
        <f>IFERROR(VLOOKUP($G639,нормы!$A$14:$BI$57,58,0)*W639,"")</f>
        <v/>
      </c>
      <c r="AZ639" s="205"/>
      <c r="BA639" s="200" t="str">
        <f>IFERROR(VLOOKUP($G639,нормы!$A$14:$BI$57,61,0)*$W639,"")</f>
        <v/>
      </c>
      <c r="BB639" s="30"/>
      <c r="BC639" s="203" t="str">
        <f>IFERROR(VLOOKUP($G639,нормы!$A$14:$BI$57,60,0)*W639,"")</f>
        <v/>
      </c>
      <c r="BD639" s="200" t="str">
        <f>IFERROR(VLOOKUP($G639,нормы!$A$14:$BG$57,44,0),"")</f>
        <v/>
      </c>
      <c r="BE639" s="199" t="str">
        <f>IFERROR(W639/VLOOKUP($G639,нормы!$A$14:$BI$57,45,0),"")</f>
        <v/>
      </c>
    </row>
    <row r="640" spans="1:57" s="1" customFormat="1" ht="20.25" customHeight="1" x14ac:dyDescent="0.4">
      <c r="A640" s="37" t="str">
        <f t="shared" si="254"/>
        <v>11Д</v>
      </c>
      <c r="B640" s="12">
        <f t="shared" si="257"/>
        <v>46033</v>
      </c>
      <c r="C640" s="97">
        <f t="shared" si="257"/>
        <v>0</v>
      </c>
      <c r="D640" s="97">
        <f t="shared" si="257"/>
        <v>2</v>
      </c>
      <c r="E640" s="54"/>
      <c r="F640" s="151" t="str">
        <f>IFERROR(VLOOKUP($G640,нормы!$A$14:$BC$57,2,0),"")</f>
        <v/>
      </c>
      <c r="G640" s="38"/>
      <c r="H640" s="54">
        <f t="shared" si="258"/>
        <v>0</v>
      </c>
      <c r="I640" s="89" t="s">
        <v>212</v>
      </c>
      <c r="J640" s="333"/>
      <c r="K640" s="30">
        <f>IFERROR(VLOOKUP($G640,[1]нормы!$A$21:$BC$151,15,0),"")</f>
        <v>0</v>
      </c>
      <c r="L640" s="31">
        <f>IFERROR(VLOOKUP($G640,[1]нормы!$A$21:$BC$151,17,0),"")</f>
        <v>0</v>
      </c>
      <c r="M640" s="306">
        <f>IFERROR(VLOOKUP($G640,[1]нормы!$A$21:$BC$151,27,0),"")</f>
        <v>0</v>
      </c>
      <c r="N640" s="307" t="str">
        <f>IFERROR(Y640/Y644*(1.1*J638*I643),"")</f>
        <v/>
      </c>
      <c r="O640" s="300">
        <f>IFERROR(VLOOKUP($G640,[1]нормы!$A$21:$BC$151,21,0),"")</f>
        <v>0</v>
      </c>
      <c r="P640" s="35">
        <f>IFERROR(VLOOKUP($G640,[1]нормы!$A$21:$BC$151,19,0),"")</f>
        <v>0</v>
      </c>
      <c r="Q640" s="35">
        <f>IFERROR(VLOOKUP($G640,[1]нормы!$A$21:$BC$151,23,0),"")</f>
        <v>0</v>
      </c>
      <c r="R640" s="231">
        <f>IFERROR(VLOOKUP($G640,[1]нормы!$A$21:$BC$151,29,0),"")</f>
        <v>0</v>
      </c>
      <c r="S640" s="35">
        <f>IFERROR(VLOOKUP($G640,[1]нормы!$A$21:$BC$151,31,0),"")</f>
        <v>0</v>
      </c>
      <c r="T640" s="32">
        <f>IFERROR(VLOOKUP($G640,[1]нормы!$A$21:$BC$151,25,0),"")</f>
        <v>0</v>
      </c>
      <c r="U640" s="233" t="str">
        <f>IFERROR(W640/(((100*Y640/Y644)*I643)/100),"")</f>
        <v/>
      </c>
      <c r="V640" s="234" t="str">
        <f>IFERROR(VLOOKUP($G640,нормы!$A$14:$BC$57,38,0),"")</f>
        <v/>
      </c>
      <c r="W640" s="136"/>
      <c r="X640" s="237"/>
      <c r="Y640" s="152" t="str">
        <f>IFERROR(VLOOKUP($G640,нормы!$A$14:$BC$57,42,0)*W640,"")</f>
        <v/>
      </c>
      <c r="Z640" s="163">
        <f>IFERROR(VLOOKUP($G640,нормы!$A$14:$BC$57,14,0)*W640/1000,0)</f>
        <v>0</v>
      </c>
      <c r="AA640" s="30"/>
      <c r="AB640" s="35"/>
      <c r="AC640" s="35"/>
      <c r="AD640" s="35"/>
      <c r="AE640" s="31"/>
      <c r="AF640" s="160"/>
      <c r="AG640" s="391"/>
      <c r="AH640" s="394"/>
      <c r="AI640" s="397"/>
      <c r="AJ640" s="408"/>
      <c r="AK640" s="360"/>
      <c r="AL640" s="360"/>
      <c r="AM640" s="360"/>
      <c r="AN640" s="289">
        <f>IFERROR(Y640*AJ638/Y644,)</f>
        <v>0</v>
      </c>
      <c r="AO640" s="197" t="str">
        <f>IFERROR(VLOOKUP($G640,нормы!$A$14:$BC$57,53,0)*$W640,"")</f>
        <v/>
      </c>
      <c r="AP640" s="290">
        <f>IFERROR(Y640*AI638/Y644,)</f>
        <v>0</v>
      </c>
      <c r="AQ640" s="197" t="str">
        <f>IFERROR(VLOOKUP($G640,нормы!$A$14:$BC$57,54,0)*$W640,"")</f>
        <v/>
      </c>
      <c r="AR640" s="290">
        <f>IFERROR(AS640/SUM(AS638:AS643)*AL638,0)</f>
        <v>0</v>
      </c>
      <c r="AS640" s="197" t="str">
        <f>IFERROR(VLOOKUP($G640,нормы!$A$14:$BC$57,55,0)*W640,"")</f>
        <v/>
      </c>
      <c r="AT640" s="290">
        <f>IFERROR(AU640/SUM(AU638:AU643)*AM638,0)</f>
        <v>0</v>
      </c>
      <c r="AU640" s="197" t="str">
        <f>IFERROR(VLOOKUP($G640,нормы!$A$14:$BI$57,56,0)*W640,"")</f>
        <v/>
      </c>
      <c r="AV640" s="290">
        <f>IFERROR(AW640/SUM(AW638:AW643)*AK638,0)</f>
        <v>0</v>
      </c>
      <c r="AW640" s="202" t="str">
        <f>IFERROR(VLOOKUP($G640,нормы!$A$14:$BI$57,57,0)*W640,"")</f>
        <v/>
      </c>
      <c r="AX640" s="30"/>
      <c r="AY640" s="203" t="str">
        <f>IFERROR(VLOOKUP($G640,нормы!$A$14:$BI$57,58,0)*W640,"")</f>
        <v/>
      </c>
      <c r="AZ640" s="205"/>
      <c r="BA640" s="200" t="str">
        <f>IFERROR(VLOOKUP($G640,нормы!$A$14:$BI$57,61,0)*$W640,"")</f>
        <v/>
      </c>
      <c r="BB640" s="30"/>
      <c r="BC640" s="203" t="str">
        <f>IFERROR(VLOOKUP($G640,нормы!$A$14:$BI$57,60,0)*W640,"")</f>
        <v/>
      </c>
      <c r="BD640" s="200" t="str">
        <f>IFERROR(VLOOKUP($G640,нормы!$A$14:$BG$57,44,0),"")</f>
        <v/>
      </c>
      <c r="BE640" s="199" t="str">
        <f>IFERROR(W640/VLOOKUP($G640,нормы!$A$14:$BI$57,45,0),"")</f>
        <v/>
      </c>
    </row>
    <row r="641" spans="1:57" s="1" customFormat="1" ht="20.25" customHeight="1" x14ac:dyDescent="0.4">
      <c r="A641" s="37" t="str">
        <f t="shared" si="254"/>
        <v>11Д</v>
      </c>
      <c r="B641" s="12">
        <f t="shared" si="257"/>
        <v>46033</v>
      </c>
      <c r="C641" s="97">
        <f t="shared" si="257"/>
        <v>0</v>
      </c>
      <c r="D641" s="97">
        <f t="shared" si="257"/>
        <v>2</v>
      </c>
      <c r="E641" s="54"/>
      <c r="F641" s="151" t="str">
        <f>IFERROR(VLOOKUP($G641,нормы!$A$14:$BC$57,2,0),"")</f>
        <v/>
      </c>
      <c r="G641" s="93"/>
      <c r="H641" s="54">
        <f t="shared" si="258"/>
        <v>0</v>
      </c>
      <c r="I641" s="55"/>
      <c r="J641" s="333"/>
      <c r="K641" s="30">
        <f>IFERROR(VLOOKUP($G641,[1]нормы!$A$21:$BC$151,15,0),"")</f>
        <v>0</v>
      </c>
      <c r="L641" s="31">
        <f>IFERROR(VLOOKUP($G641,[1]нормы!$A$21:$BC$151,17,0),"")</f>
        <v>0</v>
      </c>
      <c r="M641" s="306">
        <f>IFERROR(VLOOKUP($G641,[1]нормы!$A$21:$BC$151,27,0),"")</f>
        <v>0</v>
      </c>
      <c r="N641" s="307" t="str">
        <f>IFERROR(Y641/Y644*(1.1*J638*I646),"")</f>
        <v/>
      </c>
      <c r="O641" s="300">
        <f>IFERROR(VLOOKUP($G641,[1]нормы!$A$21:$BC$151,21,0),"")</f>
        <v>0</v>
      </c>
      <c r="P641" s="35">
        <f>IFERROR(VLOOKUP($G641,[1]нормы!$A$21:$BC$151,19,0),"")</f>
        <v>0</v>
      </c>
      <c r="Q641" s="35">
        <f>IFERROR(VLOOKUP($G641,[1]нормы!$A$21:$BC$151,23,0),"")</f>
        <v>0</v>
      </c>
      <c r="R641" s="231">
        <f>IFERROR(VLOOKUP($G641,[1]нормы!$A$21:$BC$151,29,0),"")</f>
        <v>0</v>
      </c>
      <c r="S641" s="35">
        <f>IFERROR(VLOOKUP($G641,[1]нормы!$A$21:$BC$151,31,0),"")</f>
        <v>0</v>
      </c>
      <c r="T641" s="32">
        <f>IFERROR(VLOOKUP($G641,[1]нормы!$A$21:$BC$151,25,0),"")</f>
        <v>0</v>
      </c>
      <c r="U641" s="233" t="str">
        <f>IFERROR(W641/(((100*Y641/Y644)*I643)/100),"")</f>
        <v/>
      </c>
      <c r="V641" s="234" t="str">
        <f>IFERROR(VLOOKUP($G641,нормы!$A$14:$BC$57,38,0),"")</f>
        <v/>
      </c>
      <c r="W641" s="136"/>
      <c r="X641" s="237"/>
      <c r="Y641" s="152" t="str">
        <f>IFERROR(VLOOKUP($G641,нормы!$A$14:$BC$57,42,0)*W641,"")</f>
        <v/>
      </c>
      <c r="Z641" s="163">
        <f>IFERROR(VLOOKUP($G641,нормы!$A$14:$BC$57,14,0)*W641/1000,0)</f>
        <v>0</v>
      </c>
      <c r="AA641" s="30"/>
      <c r="AB641" s="35"/>
      <c r="AC641" s="35"/>
      <c r="AD641" s="35"/>
      <c r="AE641" s="31"/>
      <c r="AF641" s="160"/>
      <c r="AG641" s="391"/>
      <c r="AH641" s="394"/>
      <c r="AI641" s="397"/>
      <c r="AJ641" s="408"/>
      <c r="AK641" s="360"/>
      <c r="AL641" s="360"/>
      <c r="AM641" s="360"/>
      <c r="AN641" s="289">
        <f>IFERROR(Y641*AJ638/Y644,)</f>
        <v>0</v>
      </c>
      <c r="AO641" s="197" t="str">
        <f>IFERROR(VLOOKUP($G641,нормы!$A$14:$BC$57,53,0)*$W641,"")</f>
        <v/>
      </c>
      <c r="AP641" s="290">
        <f>IFERROR(Y641*AI638/Y644,)</f>
        <v>0</v>
      </c>
      <c r="AQ641" s="197" t="str">
        <f>IFERROR(VLOOKUP($G641,нормы!$A$14:$BC$57,54,0)*$W641,"")</f>
        <v/>
      </c>
      <c r="AR641" s="290">
        <f>IFERROR(AS641/SUM(AS638:AS643)*AL638,0)</f>
        <v>0</v>
      </c>
      <c r="AS641" s="197" t="str">
        <f>IFERROR(VLOOKUP($G641,нормы!$A$14:$BC$57,55,0)*W641,"")</f>
        <v/>
      </c>
      <c r="AT641" s="290">
        <f>IFERROR(AU641/SUM(AU638:AU643)*AM638,0)</f>
        <v>0</v>
      </c>
      <c r="AU641" s="197" t="str">
        <f>IFERROR(VLOOKUP($G641,нормы!$A$14:$BI$57,56,0)*W641,"")</f>
        <v/>
      </c>
      <c r="AV641" s="290">
        <f>IFERROR(AW641/SUM(AW638:AW643)*AK638,0)</f>
        <v>0</v>
      </c>
      <c r="AW641" s="202" t="str">
        <f>IFERROR(VLOOKUP($G641,нормы!$A$14:$BI$57,57,0)*W641,"")</f>
        <v/>
      </c>
      <c r="AX641" s="30"/>
      <c r="AY641" s="203" t="str">
        <f>IFERROR(VLOOKUP($G641,нормы!$A$14:$BI$57,58,0)*W641,"")</f>
        <v/>
      </c>
      <c r="AZ641" s="205"/>
      <c r="BA641" s="200" t="str">
        <f>IFERROR(VLOOKUP($G641,нормы!$A$14:$BI$57,61,0)*$W641,"")</f>
        <v/>
      </c>
      <c r="BB641" s="30"/>
      <c r="BC641" s="203" t="str">
        <f>IFERROR(VLOOKUP($G641,нормы!$A$14:$BI$57,60,0)*W641,"")</f>
        <v/>
      </c>
      <c r="BD641" s="200" t="str">
        <f>IFERROR(VLOOKUP($G641,нормы!$A$14:$BG$57,44,0),"")</f>
        <v/>
      </c>
      <c r="BE641" s="199" t="str">
        <f>IFERROR(W641/VLOOKUP($G641,нормы!$A$14:$BI$57,45,0),"")</f>
        <v/>
      </c>
    </row>
    <row r="642" spans="1:57" s="1" customFormat="1" ht="20.25" customHeight="1" x14ac:dyDescent="0.4">
      <c r="A642" s="37" t="str">
        <f t="shared" si="254"/>
        <v>11Д</v>
      </c>
      <c r="B642" s="12">
        <f t="shared" si="257"/>
        <v>46033</v>
      </c>
      <c r="C642" s="97">
        <f t="shared" si="257"/>
        <v>0</v>
      </c>
      <c r="D642" s="97">
        <f t="shared" si="257"/>
        <v>2</v>
      </c>
      <c r="E642" s="54"/>
      <c r="F642" s="151" t="str">
        <f>IFERROR(VLOOKUP($G642,нормы!$A$14:$BC$57,2,0),"")</f>
        <v/>
      </c>
      <c r="G642" s="38"/>
      <c r="H642" s="54">
        <f t="shared" si="258"/>
        <v>0</v>
      </c>
      <c r="I642" s="89" t="s">
        <v>73</v>
      </c>
      <c r="J642" s="333"/>
      <c r="K642" s="30">
        <f>IFERROR(VLOOKUP($G642,[1]нормы!$A$21:$BC$151,15,0),"")</f>
        <v>0</v>
      </c>
      <c r="L642" s="31">
        <f>IFERROR(VLOOKUP($G642,[1]нормы!$A$21:$BC$151,17,0),"")</f>
        <v>0</v>
      </c>
      <c r="M642" s="306">
        <f>IFERROR(VLOOKUP($G642,[1]нормы!$A$21:$BC$151,27,0),"")</f>
        <v>0</v>
      </c>
      <c r="N642" s="307" t="str">
        <f>IFERROR(Y642/Y644*(1.1*J638*I647),"")</f>
        <v/>
      </c>
      <c r="O642" s="300">
        <f>IFERROR(VLOOKUP($G642,[1]нормы!$A$21:$BC$151,21,0),"")</f>
        <v>0</v>
      </c>
      <c r="P642" s="35">
        <f>IFERROR(VLOOKUP($G642,[1]нормы!$A$21:$BC$151,19,0),"")</f>
        <v>0</v>
      </c>
      <c r="Q642" s="35">
        <f>IFERROR(VLOOKUP($G642,[1]нормы!$A$21:$BC$151,23,0),"")</f>
        <v>0</v>
      </c>
      <c r="R642" s="231">
        <f>IFERROR(VLOOKUP($G642,[1]нормы!$A$21:$BC$151,29,0),"")</f>
        <v>0</v>
      </c>
      <c r="S642" s="35">
        <f>IFERROR(VLOOKUP($G642,[1]нормы!$A$21:$BC$151,31,0),"")</f>
        <v>0</v>
      </c>
      <c r="T642" s="32">
        <f>IFERROR(VLOOKUP($G642,[1]нормы!$A$21:$BC$151,25,0),"")</f>
        <v>0</v>
      </c>
      <c r="U642" s="233" t="str">
        <f>IFERROR(W642/(((100*Y642/Y644)*I643)/100),"")</f>
        <v/>
      </c>
      <c r="V642" s="234" t="str">
        <f>IFERROR(VLOOKUP($G642,нормы!$A$14:$BC$57,38,0),"")</f>
        <v/>
      </c>
      <c r="W642" s="136"/>
      <c r="X642" s="237"/>
      <c r="Y642" s="152" t="str">
        <f>IFERROR(VLOOKUP($G642,нормы!$A$14:$BC$57,42,0)*W642,"")</f>
        <v/>
      </c>
      <c r="Z642" s="163">
        <f>IFERROR(VLOOKUP($G642,нормы!$A$14:$BC$57,14,0)*W642/1000,0)</f>
        <v>0</v>
      </c>
      <c r="AA642" s="30"/>
      <c r="AB642" s="35"/>
      <c r="AC642" s="35"/>
      <c r="AD642" s="35"/>
      <c r="AE642" s="31"/>
      <c r="AF642" s="160"/>
      <c r="AG642" s="391"/>
      <c r="AH642" s="394"/>
      <c r="AI642" s="397"/>
      <c r="AJ642" s="408"/>
      <c r="AK642" s="360"/>
      <c r="AL642" s="360"/>
      <c r="AM642" s="360"/>
      <c r="AN642" s="289">
        <f>IFERROR(Y642*AJ638/Y644,)</f>
        <v>0</v>
      </c>
      <c r="AO642" s="197" t="str">
        <f>IFERROR(VLOOKUP($G642,нормы!$A$14:$BC$57,53,0)*$W642,"")</f>
        <v/>
      </c>
      <c r="AP642" s="290">
        <f>IFERROR(Y642*AI638/Y644,)</f>
        <v>0</v>
      </c>
      <c r="AQ642" s="197" t="str">
        <f>IFERROR(VLOOKUP($G642,нормы!$A$14:$BC$57,54,0)*$W642,"")</f>
        <v/>
      </c>
      <c r="AR642" s="290">
        <f>IFERROR(AS642/SUM(AS638:AS643)*AL638,0)</f>
        <v>0</v>
      </c>
      <c r="AS642" s="197" t="str">
        <f>IFERROR(VLOOKUP($G642,нормы!$A$14:$BC$57,55,0)*W642,"")</f>
        <v/>
      </c>
      <c r="AT642" s="290">
        <f>IFERROR(AU642/SUM(AU638:AU643)*AM638,0)</f>
        <v>0</v>
      </c>
      <c r="AU642" s="197" t="str">
        <f>IFERROR(VLOOKUP($G642,нормы!$A$14:$BI$57,56,0)*W642,"")</f>
        <v/>
      </c>
      <c r="AV642" s="290">
        <f>IFERROR(AW642/SUM(AW638:AW643)*AK638,0)</f>
        <v>0</v>
      </c>
      <c r="AW642" s="202" t="str">
        <f>IFERROR(VLOOKUP($G642,нормы!$A$14:$BI$57,57,0)*W642,"")</f>
        <v/>
      </c>
      <c r="AX642" s="30"/>
      <c r="AY642" s="203" t="str">
        <f>IFERROR(VLOOKUP($G642,нормы!$A$14:$BI$57,58,0)*W642,"")</f>
        <v/>
      </c>
      <c r="AZ642" s="205"/>
      <c r="BA642" s="200" t="str">
        <f>IFERROR(VLOOKUP($G642,нормы!$A$14:$BI$57,61,0)*$W642,"")</f>
        <v/>
      </c>
      <c r="BB642" s="30"/>
      <c r="BC642" s="203" t="str">
        <f>IFERROR(VLOOKUP($G642,нормы!$A$14:$BI$57,60,0)*W642,"")</f>
        <v/>
      </c>
      <c r="BD642" s="200" t="str">
        <f>IFERROR(VLOOKUP($G642,нормы!$A$14:$BG$57,44,0),"")</f>
        <v/>
      </c>
      <c r="BE642" s="199" t="str">
        <f>IFERROR(W642/VLOOKUP($G642,нормы!$A$14:$BI$57,45,0),"")</f>
        <v/>
      </c>
    </row>
    <row r="643" spans="1:57" s="1" customFormat="1" ht="21" customHeight="1" thickBot="1" x14ac:dyDescent="0.45">
      <c r="A643" s="37" t="str">
        <f t="shared" si="254"/>
        <v>11Д</v>
      </c>
      <c r="B643" s="12">
        <f t="shared" si="257"/>
        <v>46033</v>
      </c>
      <c r="C643" s="97">
        <f t="shared" si="257"/>
        <v>0</v>
      </c>
      <c r="D643" s="97">
        <f t="shared" si="257"/>
        <v>2</v>
      </c>
      <c r="E643" s="54"/>
      <c r="F643" s="151" t="str">
        <f>IFERROR(VLOOKUP($G643,нормы!$A$14:$BC$57,2,0),"")</f>
        <v/>
      </c>
      <c r="G643" s="93"/>
      <c r="H643" s="63">
        <f t="shared" si="258"/>
        <v>0</v>
      </c>
      <c r="I643" s="153">
        <f>I639+I641</f>
        <v>0</v>
      </c>
      <c r="J643" s="334"/>
      <c r="K643" s="30">
        <f>IFERROR(VLOOKUP($G643,[1]нормы!$A$21:$BC$151,15,0),"")</f>
        <v>0</v>
      </c>
      <c r="L643" s="31">
        <f>IFERROR(VLOOKUP($G643,[1]нормы!$A$21:$BC$151,17,0),"")</f>
        <v>0</v>
      </c>
      <c r="M643" s="308">
        <f>IFERROR(VLOOKUP($G643,[1]нормы!$A$21:$BC$151,27,0),"")</f>
        <v>0</v>
      </c>
      <c r="N643" s="309" t="str">
        <f>IFERROR(Y643/Y644*(1.1*J638*I648),"")</f>
        <v/>
      </c>
      <c r="O643" s="300">
        <f>IFERROR(VLOOKUP($G643,[1]нормы!$A$21:$BC$151,21,0),"")</f>
        <v>0</v>
      </c>
      <c r="P643" s="35">
        <f>IFERROR(VLOOKUP($G643,[1]нормы!$A$21:$BC$151,19,0),"")</f>
        <v>0</v>
      </c>
      <c r="Q643" s="35">
        <f>IFERROR(VLOOKUP($G643,[1]нормы!$A$21:$BC$151,23,0),"")</f>
        <v>0</v>
      </c>
      <c r="R643" s="231">
        <f>IFERROR(VLOOKUP($G643,[1]нормы!$A$21:$BC$151,29,0),"")</f>
        <v>0</v>
      </c>
      <c r="S643" s="35">
        <f>IFERROR(VLOOKUP($G643,[1]нормы!$A$21:$BC$151,31,0),"")</f>
        <v>0</v>
      </c>
      <c r="T643" s="32">
        <f>IFERROR(VLOOKUP($G643,[1]нормы!$A$21:$BC$151,25,0),"")</f>
        <v>0</v>
      </c>
      <c r="U643" s="235" t="str">
        <f>IFERROR(W643/(((100*Y643/Y644)*I643)/100),"")</f>
        <v/>
      </c>
      <c r="V643" s="234" t="str">
        <f>IFERROR(VLOOKUP($G643,нормы!$A$14:$BC$57,38,0),"")</f>
        <v/>
      </c>
      <c r="W643" s="154"/>
      <c r="X643" s="238"/>
      <c r="Y643" s="152" t="str">
        <f>IFERROR(VLOOKUP($G643,нормы!$A$14:$BC$57,42,0)*W643,"")</f>
        <v/>
      </c>
      <c r="Z643" s="163">
        <f>IFERROR(VLOOKUP($G643,нормы!$A$14:$BC$57,14,0)*W643/1000,0)</f>
        <v>0</v>
      </c>
      <c r="AA643" s="56"/>
      <c r="AB643" s="58"/>
      <c r="AC643" s="58"/>
      <c r="AD643" s="58"/>
      <c r="AE643" s="57"/>
      <c r="AF643" s="161"/>
      <c r="AG643" s="392"/>
      <c r="AH643" s="395"/>
      <c r="AI643" s="398"/>
      <c r="AJ643" s="409"/>
      <c r="AK643" s="361"/>
      <c r="AL643" s="361"/>
      <c r="AM643" s="361"/>
      <c r="AN643" s="291">
        <f>IFERROR(Y643*AJ638/Y644,)</f>
        <v>0</v>
      </c>
      <c r="AO643" s="197" t="str">
        <f>IFERROR(VLOOKUP($G643,нормы!$A$14:$BC$57,53,0)*$W643,"")</f>
        <v/>
      </c>
      <c r="AP643" s="292">
        <f>IFERROR(Y643*AI638/Y644,)</f>
        <v>0</v>
      </c>
      <c r="AQ643" s="197" t="str">
        <f>IFERROR(VLOOKUP($G643,нормы!$A$14:$BC$57,54,0)*$W643,"")</f>
        <v/>
      </c>
      <c r="AR643" s="290">
        <f>IFERROR(AS643/SUM(AS638:AS643)*AL638,0)</f>
        <v>0</v>
      </c>
      <c r="AS643" s="197" t="str">
        <f>IFERROR(VLOOKUP($G643,нормы!$A$14:$BC$57,55,0)*W643,"")</f>
        <v/>
      </c>
      <c r="AT643" s="292">
        <f>IFERROR(AU643/SUM(AU638:AU643)*AM638,0)</f>
        <v>0</v>
      </c>
      <c r="AU643" s="197" t="str">
        <f>IFERROR(VLOOKUP($G643,нормы!$A$14:$BI$57,56,0)*W643,"")</f>
        <v/>
      </c>
      <c r="AV643" s="292">
        <f>IFERROR(AW643/SUM(AW638:AW643)*AK638,0)</f>
        <v>0</v>
      </c>
      <c r="AW643" s="202" t="str">
        <f>IFERROR(VLOOKUP($G643,нормы!$A$14:$BI$57,57,0)*W643,"")</f>
        <v/>
      </c>
      <c r="AX643" s="56"/>
      <c r="AY643" s="203" t="str">
        <f>IFERROR(VLOOKUP($G643,нормы!$A$14:$BI$57,58,0)*W643,"")</f>
        <v/>
      </c>
      <c r="AZ643" s="206"/>
      <c r="BA643" s="200" t="str">
        <f>IFERROR(VLOOKUP($G643,нормы!$A$14:$BI$57,61,0)*$W643,"")</f>
        <v/>
      </c>
      <c r="BB643" s="56"/>
      <c r="BC643" s="203" t="str">
        <f>IFERROR(VLOOKUP($G643,нормы!$A$14:$BI$57,60,0)*W643,"")</f>
        <v/>
      </c>
      <c r="BD643" s="200" t="str">
        <f>IFERROR(VLOOKUP($G643,нормы!$A$14:$BG$57,44,0),"")</f>
        <v/>
      </c>
      <c r="BE643" s="199" t="str">
        <f>IFERROR(W643/VLOOKUP($G643,нормы!$A$14:$BI$57,45,0),"")</f>
        <v/>
      </c>
    </row>
    <row r="644" spans="1:57" s="1" customFormat="1" ht="29.4" customHeight="1" thickBot="1" x14ac:dyDescent="0.45">
      <c r="A644" s="37" t="str">
        <f t="shared" si="254"/>
        <v>11Д</v>
      </c>
      <c r="B644" s="59"/>
      <c r="C644" s="51"/>
      <c r="D644" s="51"/>
      <c r="E644" s="51"/>
      <c r="F644" s="51"/>
      <c r="G644" s="51"/>
      <c r="H644" s="51"/>
      <c r="I644" s="60"/>
      <c r="J644" s="60"/>
      <c r="K644" s="319" t="s">
        <v>213</v>
      </c>
      <c r="L644" s="316"/>
      <c r="M644" s="303" t="s">
        <v>213</v>
      </c>
      <c r="N644" s="317">
        <f>SUM(N638:N643)</f>
        <v>0</v>
      </c>
      <c r="O644" s="304" t="s">
        <v>217</v>
      </c>
      <c r="P644" s="318">
        <f>N644*8.937/1000</f>
        <v>0</v>
      </c>
      <c r="Q644" s="305" t="s">
        <v>215</v>
      </c>
      <c r="R644" s="61"/>
      <c r="S644" s="61"/>
      <c r="T644" s="61"/>
      <c r="U644" s="109"/>
      <c r="V644" s="109"/>
      <c r="W644" s="94"/>
      <c r="X644" s="155"/>
      <c r="Y644" s="96">
        <f>SUM(Y638:Y643)</f>
        <v>0</v>
      </c>
      <c r="Z644" s="164">
        <f>SUM(Z638:Z643)</f>
        <v>0</v>
      </c>
      <c r="AA644" s="207">
        <f>(AA630+AA631+AA632+AA633+AA634+AA635+AA636+AA638+AA639+AA640+AA641+AA642+AA643)-AG631</f>
        <v>1</v>
      </c>
      <c r="AB644" s="208">
        <f>(AB630+AB631+AB632+AB633+AB634+AB635+AB636+AB638+AB639+AB640+AB641+AB642+AB643)-AH631</f>
        <v>2</v>
      </c>
      <c r="AC644" s="208">
        <f>(AC630+AC631+AC632+AC633+AC634+AC635+AC636+AC638+AC639+AC640+AC641+AC642+AC643)-AG638</f>
        <v>3</v>
      </c>
      <c r="AD644" s="208">
        <f>(AD630+AD631+AD632+AD633+AD634+AD635+AD636+AD638+AD639+AD640+AD641+AD642+AD643)-AH638</f>
        <v>4</v>
      </c>
      <c r="AE644" s="208">
        <f>(AE630+AE631+AE632+AE633+AE634+AE635+AE636+AE638+AE639+AE640+AE641+AE642+AE643)-AI631</f>
        <v>5</v>
      </c>
      <c r="AF644" s="209">
        <f>(AF630+AF631+AF632+AF633+AF634+AF635+AF636+AF638+AF639+AF640+AF641+AF642+AF643)-AI638</f>
        <v>6</v>
      </c>
      <c r="AG644" s="62"/>
      <c r="AH644" s="62"/>
      <c r="AI644" s="62"/>
      <c r="AJ644" s="62"/>
      <c r="AK644" s="62"/>
      <c r="AL644" s="62"/>
      <c r="AM644" s="62"/>
      <c r="AN644" s="91">
        <f>SUM(AN638:AN643)</f>
        <v>0</v>
      </c>
      <c r="AO644" s="91">
        <f>SUM(AO638:AO643)</f>
        <v>0</v>
      </c>
      <c r="AP644" s="91"/>
      <c r="AQ644" s="91"/>
      <c r="AR644" s="91">
        <f>SUM(AR638:AR643)</f>
        <v>0</v>
      </c>
      <c r="AS644" s="91">
        <f t="shared" ref="AS644:AW644" si="259">SUM(AS638:AS643)</f>
        <v>0</v>
      </c>
      <c r="AT644" s="91">
        <f t="shared" si="259"/>
        <v>0</v>
      </c>
      <c r="AU644" s="91">
        <f t="shared" si="259"/>
        <v>0</v>
      </c>
      <c r="AV644" s="91">
        <f t="shared" si="259"/>
        <v>0</v>
      </c>
      <c r="AW644" s="91">
        <f t="shared" si="259"/>
        <v>0</v>
      </c>
      <c r="AX644" s="91">
        <f>SUM(AX638:AX643)</f>
        <v>0</v>
      </c>
      <c r="AY644" s="91">
        <f>SUM(AY638:AY643)</f>
        <v>0</v>
      </c>
      <c r="AZ644" s="91">
        <f>SUM(AZ638:AZ643)</f>
        <v>0</v>
      </c>
      <c r="BA644" s="91"/>
      <c r="BB644" s="91"/>
      <c r="BC644" s="91"/>
      <c r="BD644" s="91" t="str">
        <f>IFERROR(VLOOKUP($G644,нормы!$A$14:$BG$15,27,0),"")</f>
        <v/>
      </c>
      <c r="BE644" s="53" t="str">
        <f>IFERROR(W644/VLOOKUP($G644,нормы!$A$14:$BI$15,28,0),"")</f>
        <v/>
      </c>
    </row>
    <row r="645" spans="1:57" s="1" customFormat="1" ht="29.4" customHeight="1" thickBot="1" x14ac:dyDescent="0.5">
      <c r="A645" s="37" t="str">
        <f t="shared" si="254"/>
        <v>11Д</v>
      </c>
      <c r="B645" s="166" t="s">
        <v>130</v>
      </c>
      <c r="C645" s="167"/>
      <c r="D645" s="167"/>
      <c r="E645" s="167"/>
      <c r="F645" s="165"/>
      <c r="G645" s="167"/>
      <c r="H645" s="167"/>
      <c r="I645" s="168"/>
      <c r="J645" s="168"/>
      <c r="K645" s="168"/>
      <c r="L645" s="168"/>
      <c r="M645" s="168"/>
      <c r="N645" s="168"/>
      <c r="O645" s="167"/>
      <c r="P645" s="169"/>
      <c r="Q645" s="169"/>
      <c r="R645" s="169"/>
      <c r="S645" s="169"/>
      <c r="T645" s="169"/>
      <c r="U645" s="170"/>
      <c r="V645" s="170"/>
      <c r="W645" s="171"/>
      <c r="X645" s="171"/>
      <c r="Y645" s="172"/>
      <c r="Z645" s="172"/>
      <c r="AA645" s="201" t="s">
        <v>144</v>
      </c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64"/>
      <c r="AN645" s="167"/>
      <c r="AO645" s="167"/>
      <c r="AP645" s="167"/>
      <c r="AQ645" s="167"/>
      <c r="AR645" s="64"/>
      <c r="AS645" s="64"/>
      <c r="AT645" s="65"/>
      <c r="AU645" s="64"/>
      <c r="AV645" s="49"/>
      <c r="AW645" s="49"/>
      <c r="AX645" s="167"/>
      <c r="AY645" s="167"/>
      <c r="AZ645" s="167"/>
      <c r="BA645" s="167"/>
      <c r="BB645" s="167"/>
      <c r="BC645" s="167"/>
      <c r="BD645" s="66"/>
      <c r="BE645" s="66"/>
    </row>
    <row r="646" spans="1:57" s="1" customFormat="1" ht="23.25" customHeight="1" x14ac:dyDescent="0.4">
      <c r="A646" s="37" t="str">
        <f t="shared" si="254"/>
        <v>11Д</v>
      </c>
      <c r="B646" s="183"/>
      <c r="C646" s="100"/>
      <c r="D646" s="185"/>
      <c r="E646" s="186" t="s">
        <v>57</v>
      </c>
      <c r="F646" s="66" t="s">
        <v>87</v>
      </c>
      <c r="G646" s="66"/>
      <c r="H646" s="108" t="s">
        <v>131</v>
      </c>
      <c r="I646" s="101"/>
      <c r="J646" s="101"/>
      <c r="K646" s="101"/>
      <c r="L646" s="101"/>
      <c r="M646" s="101"/>
      <c r="N646" s="101"/>
      <c r="O646" s="67"/>
      <c r="P646" s="102"/>
      <c r="Q646" s="102"/>
      <c r="R646" s="102"/>
      <c r="S646" s="102"/>
      <c r="T646" s="102"/>
      <c r="U646" s="67"/>
      <c r="V646" s="67"/>
      <c r="W646" s="103"/>
      <c r="X646" s="187"/>
      <c r="Y646" s="68" t="s">
        <v>74</v>
      </c>
      <c r="Z646" s="69"/>
      <c r="AA646" s="90"/>
      <c r="AB646" s="100"/>
      <c r="AC646" s="100"/>
      <c r="AD646" s="186" t="s">
        <v>57</v>
      </c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190"/>
      <c r="AU646" s="66"/>
      <c r="AV646" s="165"/>
      <c r="AW646" s="293"/>
      <c r="AX646" s="66"/>
      <c r="AY646" s="66"/>
      <c r="AZ646" s="66"/>
      <c r="BA646" s="66"/>
      <c r="BB646" s="66"/>
      <c r="BC646" s="66"/>
      <c r="BD646" s="68" t="s">
        <v>74</v>
      </c>
      <c r="BE646" s="69"/>
    </row>
    <row r="647" spans="1:57" s="1" customFormat="1" ht="23.25" customHeight="1" thickBot="1" x14ac:dyDescent="0.45">
      <c r="A647" s="37" t="str">
        <f t="shared" si="254"/>
        <v>11Д</v>
      </c>
      <c r="B647" s="183"/>
      <c r="C647" s="41"/>
      <c r="D647" s="184"/>
      <c r="E647" s="50"/>
      <c r="F647" s="70"/>
      <c r="G647" s="70"/>
      <c r="H647" s="70"/>
      <c r="I647" s="104"/>
      <c r="J647" s="104"/>
      <c r="K647" s="104"/>
      <c r="L647" s="104"/>
      <c r="M647" s="104"/>
      <c r="N647" s="104"/>
      <c r="O647" s="71"/>
      <c r="P647" s="105"/>
      <c r="Q647" s="105"/>
      <c r="R647" s="105"/>
      <c r="S647" s="105"/>
      <c r="T647" s="105"/>
      <c r="U647" s="71"/>
      <c r="V647" s="71"/>
      <c r="W647" s="106"/>
      <c r="X647" s="188"/>
      <c r="Y647" s="72"/>
      <c r="Z647" s="73"/>
      <c r="AA647" s="90"/>
      <c r="AB647" s="41"/>
      <c r="AC647" s="41"/>
      <c r="AD647" s="50"/>
      <c r="AE647" s="47"/>
      <c r="AF647" s="47"/>
      <c r="AG647" s="47"/>
      <c r="AH647" s="47"/>
      <c r="AI647" s="47"/>
      <c r="AJ647" s="47"/>
      <c r="AK647" s="47"/>
      <c r="AL647" s="47"/>
      <c r="AM647" s="70"/>
      <c r="AN647" s="47"/>
      <c r="AO647" s="70"/>
      <c r="AP647" s="70"/>
      <c r="AQ647" s="70"/>
      <c r="AR647" s="70"/>
      <c r="AS647" s="70"/>
      <c r="AT647" s="191"/>
      <c r="AU647" s="70"/>
      <c r="AV647" s="192"/>
      <c r="AW647" s="294"/>
      <c r="AX647" s="70"/>
      <c r="AY647" s="70"/>
      <c r="AZ647" s="70"/>
      <c r="BA647" s="70"/>
      <c r="BB647" s="70"/>
      <c r="BC647" s="70"/>
      <c r="BD647" s="72"/>
      <c r="BE647" s="73"/>
    </row>
    <row r="648" spans="1:57" s="1" customFormat="1" ht="21.9" customHeight="1" x14ac:dyDescent="0.4">
      <c r="A648" s="37" t="str">
        <f t="shared" si="254"/>
        <v>11Д</v>
      </c>
      <c r="B648" s="183"/>
      <c r="C648" s="41"/>
      <c r="D648" s="184"/>
      <c r="E648" s="281">
        <f>B643</f>
        <v>46033</v>
      </c>
      <c r="F648" s="337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98">
        <v>1</v>
      </c>
      <c r="Y648" s="74">
        <v>1</v>
      </c>
      <c r="Z648" s="75">
        <f t="shared" ref="Z648:Z659" si="260">Y648-X648</f>
        <v>0</v>
      </c>
      <c r="AA648" s="189"/>
      <c r="AB648" s="41"/>
      <c r="AC648" s="184"/>
      <c r="AD648" s="210">
        <f>E648</f>
        <v>46033</v>
      </c>
      <c r="AE648" s="387"/>
      <c r="AF648" s="388"/>
      <c r="AG648" s="388"/>
      <c r="AH648" s="388"/>
      <c r="AI648" s="388"/>
      <c r="AJ648" s="388"/>
      <c r="AK648" s="388"/>
      <c r="AL648" s="388"/>
      <c r="AM648" s="388"/>
      <c r="AN648" s="388"/>
      <c r="AO648" s="388"/>
      <c r="AP648" s="388"/>
      <c r="AQ648" s="388"/>
      <c r="AR648" s="388"/>
      <c r="AS648" s="388"/>
      <c r="AT648" s="388"/>
      <c r="AU648" s="388"/>
      <c r="AV648" s="388"/>
      <c r="AW648" s="388"/>
      <c r="AX648" s="388"/>
      <c r="AY648" s="388"/>
      <c r="AZ648" s="388"/>
      <c r="BA648" s="388"/>
      <c r="BB648" s="389"/>
      <c r="BC648" s="98">
        <v>1</v>
      </c>
      <c r="BD648" s="74">
        <v>1</v>
      </c>
      <c r="BE648" s="75">
        <f t="shared" ref="BE648:BE659" si="261">BD648-BC648</f>
        <v>0</v>
      </c>
    </row>
    <row r="649" spans="1:57" s="1" customFormat="1" ht="21.9" customHeight="1" x14ac:dyDescent="0.4">
      <c r="A649" s="37" t="str">
        <f t="shared" si="254"/>
        <v>11Д</v>
      </c>
      <c r="B649" s="183"/>
      <c r="C649" s="41"/>
      <c r="D649" s="184"/>
      <c r="E649" s="282">
        <f>E648</f>
        <v>46033</v>
      </c>
      <c r="F649" s="335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  <c r="R649" s="336"/>
      <c r="S649" s="336"/>
      <c r="T649" s="336"/>
      <c r="U649" s="336"/>
      <c r="V649" s="336"/>
      <c r="W649" s="336"/>
      <c r="X649" s="98">
        <v>1</v>
      </c>
      <c r="Y649" s="74">
        <v>1</v>
      </c>
      <c r="Z649" s="75">
        <f t="shared" si="260"/>
        <v>0</v>
      </c>
      <c r="AA649" s="107">
        <f>AA648</f>
        <v>0</v>
      </c>
      <c r="AB649" s="41"/>
      <c r="AC649" s="184"/>
      <c r="AD649" s="212">
        <f>AD648</f>
        <v>46033</v>
      </c>
      <c r="AE649" s="387"/>
      <c r="AF649" s="388"/>
      <c r="AG649" s="388"/>
      <c r="AH649" s="388"/>
      <c r="AI649" s="388"/>
      <c r="AJ649" s="388"/>
      <c r="AK649" s="388"/>
      <c r="AL649" s="388"/>
      <c r="AM649" s="388"/>
      <c r="AN649" s="388"/>
      <c r="AO649" s="388"/>
      <c r="AP649" s="388"/>
      <c r="AQ649" s="388"/>
      <c r="AR649" s="388"/>
      <c r="AS649" s="388"/>
      <c r="AT649" s="388"/>
      <c r="AU649" s="388"/>
      <c r="AV649" s="388"/>
      <c r="AW649" s="388"/>
      <c r="AX649" s="388"/>
      <c r="AY649" s="388"/>
      <c r="AZ649" s="388"/>
      <c r="BA649" s="388"/>
      <c r="BB649" s="389"/>
      <c r="BC649" s="98">
        <v>1</v>
      </c>
      <c r="BD649" s="74">
        <v>1</v>
      </c>
      <c r="BE649" s="75">
        <f t="shared" si="261"/>
        <v>0</v>
      </c>
    </row>
    <row r="650" spans="1:57" s="1" customFormat="1" ht="21.9" customHeight="1" x14ac:dyDescent="0.4">
      <c r="A650" s="37" t="str">
        <f t="shared" si="254"/>
        <v>11Д</v>
      </c>
      <c r="B650" s="183"/>
      <c r="C650" s="41"/>
      <c r="D650" s="184"/>
      <c r="E650" s="282">
        <f t="shared" ref="E650:E659" si="262">E649</f>
        <v>46033</v>
      </c>
      <c r="F650" s="335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  <c r="R650" s="336"/>
      <c r="S650" s="336"/>
      <c r="T650" s="336"/>
      <c r="U650" s="336"/>
      <c r="V650" s="336"/>
      <c r="W650" s="336"/>
      <c r="X650" s="98">
        <v>1</v>
      </c>
      <c r="Y650" s="74">
        <v>1</v>
      </c>
      <c r="Z650" s="75">
        <f t="shared" si="260"/>
        <v>0</v>
      </c>
      <c r="AA650" s="107">
        <f>AA649</f>
        <v>0</v>
      </c>
      <c r="AB650" s="41"/>
      <c r="AC650" s="184"/>
      <c r="AD650" s="212">
        <f t="shared" ref="AD650:AD659" si="263">AD649</f>
        <v>46033</v>
      </c>
      <c r="AE650" s="387"/>
      <c r="AF650" s="388"/>
      <c r="AG650" s="388"/>
      <c r="AH650" s="388"/>
      <c r="AI650" s="388"/>
      <c r="AJ650" s="388"/>
      <c r="AK650" s="388"/>
      <c r="AL650" s="388"/>
      <c r="AM650" s="388"/>
      <c r="AN650" s="388"/>
      <c r="AO650" s="388"/>
      <c r="AP650" s="388"/>
      <c r="AQ650" s="388"/>
      <c r="AR650" s="388"/>
      <c r="AS650" s="388"/>
      <c r="AT650" s="388"/>
      <c r="AU650" s="388"/>
      <c r="AV650" s="388"/>
      <c r="AW650" s="388"/>
      <c r="AX650" s="388"/>
      <c r="AY650" s="388"/>
      <c r="AZ650" s="388"/>
      <c r="BA650" s="388"/>
      <c r="BB650" s="389"/>
      <c r="BC650" s="98">
        <v>1</v>
      </c>
      <c r="BD650" s="74">
        <v>1</v>
      </c>
      <c r="BE650" s="75">
        <f t="shared" si="261"/>
        <v>0</v>
      </c>
    </row>
    <row r="651" spans="1:57" s="1" customFormat="1" ht="25.5" customHeight="1" x14ac:dyDescent="0.4">
      <c r="A651" s="37" t="str">
        <f t="shared" si="254"/>
        <v>11Д</v>
      </c>
      <c r="B651" s="183"/>
      <c r="C651" s="41"/>
      <c r="D651" s="184"/>
      <c r="E651" s="282">
        <f t="shared" si="262"/>
        <v>46033</v>
      </c>
      <c r="F651" s="335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  <c r="R651" s="336"/>
      <c r="S651" s="336"/>
      <c r="T651" s="336"/>
      <c r="U651" s="336"/>
      <c r="V651" s="336"/>
      <c r="W651" s="336"/>
      <c r="X651" s="98">
        <v>1</v>
      </c>
      <c r="Y651" s="74">
        <v>1</v>
      </c>
      <c r="Z651" s="75">
        <f t="shared" si="260"/>
        <v>0</v>
      </c>
      <c r="AA651" s="107">
        <f t="shared" ref="AA651:AA659" si="264">AA650</f>
        <v>0</v>
      </c>
      <c r="AB651" s="41"/>
      <c r="AC651" s="184"/>
      <c r="AD651" s="212">
        <f t="shared" si="263"/>
        <v>46033</v>
      </c>
      <c r="AE651" s="387"/>
      <c r="AF651" s="388"/>
      <c r="AG651" s="388"/>
      <c r="AH651" s="388"/>
      <c r="AI651" s="388"/>
      <c r="AJ651" s="388"/>
      <c r="AK651" s="388"/>
      <c r="AL651" s="388"/>
      <c r="AM651" s="388"/>
      <c r="AN651" s="388"/>
      <c r="AO651" s="388"/>
      <c r="AP651" s="388"/>
      <c r="AQ651" s="388"/>
      <c r="AR651" s="388"/>
      <c r="AS651" s="388"/>
      <c r="AT651" s="388"/>
      <c r="AU651" s="388"/>
      <c r="AV651" s="388"/>
      <c r="AW651" s="388"/>
      <c r="AX651" s="388"/>
      <c r="AY651" s="388"/>
      <c r="AZ651" s="388"/>
      <c r="BA651" s="388"/>
      <c r="BB651" s="389"/>
      <c r="BC651" s="98">
        <v>1</v>
      </c>
      <c r="BD651" s="74">
        <v>1</v>
      </c>
      <c r="BE651" s="75">
        <f t="shared" si="261"/>
        <v>0</v>
      </c>
    </row>
    <row r="652" spans="1:57" s="1" customFormat="1" ht="21.9" customHeight="1" x14ac:dyDescent="0.4">
      <c r="A652" s="37" t="str">
        <f t="shared" si="254"/>
        <v>11Д</v>
      </c>
      <c r="B652" s="183"/>
      <c r="C652" s="41"/>
      <c r="D652" s="184"/>
      <c r="E652" s="282">
        <f t="shared" si="262"/>
        <v>46033</v>
      </c>
      <c r="F652" s="335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  <c r="R652" s="336"/>
      <c r="S652" s="336"/>
      <c r="T652" s="336"/>
      <c r="U652" s="336"/>
      <c r="V652" s="336"/>
      <c r="W652" s="336"/>
      <c r="X652" s="98">
        <v>1</v>
      </c>
      <c r="Y652" s="74">
        <v>1</v>
      </c>
      <c r="Z652" s="75">
        <f t="shared" si="260"/>
        <v>0</v>
      </c>
      <c r="AA652" s="107">
        <f t="shared" si="264"/>
        <v>0</v>
      </c>
      <c r="AB652" s="41"/>
      <c r="AC652" s="184"/>
      <c r="AD652" s="212">
        <f t="shared" si="263"/>
        <v>46033</v>
      </c>
      <c r="AE652" s="387"/>
      <c r="AF652" s="388"/>
      <c r="AG652" s="388"/>
      <c r="AH652" s="388"/>
      <c r="AI652" s="388"/>
      <c r="AJ652" s="388"/>
      <c r="AK652" s="388"/>
      <c r="AL652" s="388"/>
      <c r="AM652" s="388"/>
      <c r="AN652" s="388"/>
      <c r="AO652" s="388"/>
      <c r="AP652" s="388"/>
      <c r="AQ652" s="388"/>
      <c r="AR652" s="388"/>
      <c r="AS652" s="388"/>
      <c r="AT652" s="388"/>
      <c r="AU652" s="388"/>
      <c r="AV652" s="388"/>
      <c r="AW652" s="388"/>
      <c r="AX652" s="388"/>
      <c r="AY652" s="388"/>
      <c r="AZ652" s="388"/>
      <c r="BA652" s="388"/>
      <c r="BB652" s="389"/>
      <c r="BC652" s="98">
        <v>1</v>
      </c>
      <c r="BD652" s="74">
        <v>1</v>
      </c>
      <c r="BE652" s="75">
        <f t="shared" si="261"/>
        <v>0</v>
      </c>
    </row>
    <row r="653" spans="1:57" s="1" customFormat="1" ht="21.9" customHeight="1" x14ac:dyDescent="0.4">
      <c r="A653" s="37" t="str">
        <f t="shared" si="254"/>
        <v>11Д</v>
      </c>
      <c r="B653" s="183"/>
      <c r="C653" s="41"/>
      <c r="D653" s="184"/>
      <c r="E653" s="282">
        <f t="shared" si="262"/>
        <v>46033</v>
      </c>
      <c r="F653" s="335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  <c r="R653" s="336"/>
      <c r="S653" s="336"/>
      <c r="T653" s="336"/>
      <c r="U653" s="336"/>
      <c r="V653" s="336"/>
      <c r="W653" s="336"/>
      <c r="X653" s="98">
        <v>1</v>
      </c>
      <c r="Y653" s="74">
        <v>1</v>
      </c>
      <c r="Z653" s="75">
        <f t="shared" si="260"/>
        <v>0</v>
      </c>
      <c r="AA653" s="107">
        <f t="shared" si="264"/>
        <v>0</v>
      </c>
      <c r="AB653" s="41"/>
      <c r="AC653" s="184"/>
      <c r="AD653" s="212">
        <f t="shared" si="263"/>
        <v>46033</v>
      </c>
      <c r="AE653" s="387"/>
      <c r="AF653" s="388"/>
      <c r="AG653" s="388"/>
      <c r="AH653" s="388"/>
      <c r="AI653" s="388"/>
      <c r="AJ653" s="388"/>
      <c r="AK653" s="388"/>
      <c r="AL653" s="388"/>
      <c r="AM653" s="388"/>
      <c r="AN653" s="388"/>
      <c r="AO653" s="388"/>
      <c r="AP653" s="388"/>
      <c r="AQ653" s="388"/>
      <c r="AR653" s="388"/>
      <c r="AS653" s="388"/>
      <c r="AT653" s="388"/>
      <c r="AU653" s="388"/>
      <c r="AV653" s="388"/>
      <c r="AW653" s="388"/>
      <c r="AX653" s="388"/>
      <c r="AY653" s="388"/>
      <c r="AZ653" s="388"/>
      <c r="BA653" s="388"/>
      <c r="BB653" s="389"/>
      <c r="BC653" s="98">
        <v>1</v>
      </c>
      <c r="BD653" s="74">
        <v>1</v>
      </c>
      <c r="BE653" s="75">
        <f t="shared" si="261"/>
        <v>0</v>
      </c>
    </row>
    <row r="654" spans="1:57" s="1" customFormat="1" ht="18" customHeight="1" x14ac:dyDescent="0.4">
      <c r="A654" s="37" t="str">
        <f t="shared" si="254"/>
        <v>11Д</v>
      </c>
      <c r="B654" s="183"/>
      <c r="C654" s="41"/>
      <c r="D654" s="184"/>
      <c r="E654" s="282">
        <f t="shared" si="262"/>
        <v>46033</v>
      </c>
      <c r="F654" s="335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  <c r="R654" s="336"/>
      <c r="S654" s="336"/>
      <c r="T654" s="336"/>
      <c r="U654" s="336"/>
      <c r="V654" s="336"/>
      <c r="W654" s="336"/>
      <c r="X654" s="98">
        <v>1</v>
      </c>
      <c r="Y654" s="74">
        <v>1</v>
      </c>
      <c r="Z654" s="75">
        <f t="shared" si="260"/>
        <v>0</v>
      </c>
      <c r="AA654" s="107">
        <f t="shared" si="264"/>
        <v>0</v>
      </c>
      <c r="AB654" s="41"/>
      <c r="AC654" s="184"/>
      <c r="AD654" s="212">
        <f t="shared" si="263"/>
        <v>46033</v>
      </c>
      <c r="AE654" s="387"/>
      <c r="AF654" s="388"/>
      <c r="AG654" s="388"/>
      <c r="AH654" s="388"/>
      <c r="AI654" s="388"/>
      <c r="AJ654" s="388"/>
      <c r="AK654" s="388"/>
      <c r="AL654" s="388"/>
      <c r="AM654" s="388"/>
      <c r="AN654" s="388"/>
      <c r="AO654" s="388"/>
      <c r="AP654" s="388"/>
      <c r="AQ654" s="388"/>
      <c r="AR654" s="388"/>
      <c r="AS654" s="388"/>
      <c r="AT654" s="388"/>
      <c r="AU654" s="388"/>
      <c r="AV654" s="388"/>
      <c r="AW654" s="388"/>
      <c r="AX654" s="388"/>
      <c r="AY654" s="388"/>
      <c r="AZ654" s="388"/>
      <c r="BA654" s="388"/>
      <c r="BB654" s="389"/>
      <c r="BC654" s="98">
        <v>1</v>
      </c>
      <c r="BD654" s="74">
        <v>1</v>
      </c>
      <c r="BE654" s="75">
        <f t="shared" si="261"/>
        <v>0</v>
      </c>
    </row>
    <row r="655" spans="1:57" s="1" customFormat="1" ht="18" customHeight="1" x14ac:dyDescent="0.4">
      <c r="A655" s="37" t="str">
        <f t="shared" si="254"/>
        <v>11Д</v>
      </c>
      <c r="B655" s="183"/>
      <c r="C655" s="41"/>
      <c r="D655" s="184"/>
      <c r="E655" s="282">
        <f t="shared" si="262"/>
        <v>46033</v>
      </c>
      <c r="F655" s="335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  <c r="R655" s="336"/>
      <c r="S655" s="336"/>
      <c r="T655" s="336"/>
      <c r="U655" s="336"/>
      <c r="V655" s="336"/>
      <c r="W655" s="336"/>
      <c r="X655" s="98">
        <v>1</v>
      </c>
      <c r="Y655" s="74">
        <v>1</v>
      </c>
      <c r="Z655" s="75">
        <f t="shared" si="260"/>
        <v>0</v>
      </c>
      <c r="AA655" s="107">
        <f t="shared" si="264"/>
        <v>0</v>
      </c>
      <c r="AB655" s="41"/>
      <c r="AC655" s="184"/>
      <c r="AD655" s="212">
        <f t="shared" si="263"/>
        <v>46033</v>
      </c>
      <c r="AE655" s="387"/>
      <c r="AF655" s="388"/>
      <c r="AG655" s="388"/>
      <c r="AH655" s="388"/>
      <c r="AI655" s="388"/>
      <c r="AJ655" s="388"/>
      <c r="AK655" s="388"/>
      <c r="AL655" s="388"/>
      <c r="AM655" s="388"/>
      <c r="AN655" s="388"/>
      <c r="AO655" s="388"/>
      <c r="AP655" s="388"/>
      <c r="AQ655" s="388"/>
      <c r="AR655" s="388"/>
      <c r="AS655" s="388"/>
      <c r="AT655" s="388"/>
      <c r="AU655" s="388"/>
      <c r="AV655" s="388"/>
      <c r="AW655" s="388"/>
      <c r="AX655" s="388"/>
      <c r="AY655" s="388"/>
      <c r="AZ655" s="388"/>
      <c r="BA655" s="388"/>
      <c r="BB655" s="389"/>
      <c r="BC655" s="98">
        <v>1</v>
      </c>
      <c r="BD655" s="74">
        <v>1</v>
      </c>
      <c r="BE655" s="75">
        <f t="shared" si="261"/>
        <v>0</v>
      </c>
    </row>
    <row r="656" spans="1:57" s="1" customFormat="1" ht="18" customHeight="1" x14ac:dyDescent="0.4">
      <c r="A656" s="37" t="str">
        <f t="shared" si="254"/>
        <v>11Д</v>
      </c>
      <c r="B656" s="183"/>
      <c r="C656" s="41"/>
      <c r="D656" s="184"/>
      <c r="E656" s="282">
        <f t="shared" si="262"/>
        <v>46033</v>
      </c>
      <c r="F656" s="335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  <c r="R656" s="336"/>
      <c r="S656" s="336"/>
      <c r="T656" s="336"/>
      <c r="U656" s="336"/>
      <c r="V656" s="336"/>
      <c r="W656" s="336"/>
      <c r="X656" s="98">
        <v>1</v>
      </c>
      <c r="Y656" s="74">
        <v>1</v>
      </c>
      <c r="Z656" s="75">
        <f t="shared" si="260"/>
        <v>0</v>
      </c>
      <c r="AA656" s="107">
        <f t="shared" si="264"/>
        <v>0</v>
      </c>
      <c r="AB656" s="41"/>
      <c r="AC656" s="184"/>
      <c r="AD656" s="212">
        <f t="shared" si="263"/>
        <v>46033</v>
      </c>
      <c r="AE656" s="387"/>
      <c r="AF656" s="388"/>
      <c r="AG656" s="388"/>
      <c r="AH656" s="388"/>
      <c r="AI656" s="388"/>
      <c r="AJ656" s="388"/>
      <c r="AK656" s="388"/>
      <c r="AL656" s="388"/>
      <c r="AM656" s="388"/>
      <c r="AN656" s="388"/>
      <c r="AO656" s="388"/>
      <c r="AP656" s="388"/>
      <c r="AQ656" s="388"/>
      <c r="AR656" s="388"/>
      <c r="AS656" s="388"/>
      <c r="AT656" s="388"/>
      <c r="AU656" s="388"/>
      <c r="AV656" s="388"/>
      <c r="AW656" s="388"/>
      <c r="AX656" s="388"/>
      <c r="AY656" s="388"/>
      <c r="AZ656" s="388"/>
      <c r="BA656" s="388"/>
      <c r="BB656" s="389"/>
      <c r="BC656" s="98">
        <v>1</v>
      </c>
      <c r="BD656" s="74">
        <v>1</v>
      </c>
      <c r="BE656" s="75">
        <f t="shared" si="261"/>
        <v>0</v>
      </c>
    </row>
    <row r="657" spans="1:57" s="1" customFormat="1" ht="18" customHeight="1" x14ac:dyDescent="0.4">
      <c r="A657" s="37" t="str">
        <f t="shared" si="254"/>
        <v>11Д</v>
      </c>
      <c r="B657" s="183"/>
      <c r="C657" s="41"/>
      <c r="D657" s="184"/>
      <c r="E657" s="282">
        <f t="shared" si="262"/>
        <v>46033</v>
      </c>
      <c r="F657" s="335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  <c r="R657" s="336"/>
      <c r="S657" s="336"/>
      <c r="T657" s="336"/>
      <c r="U657" s="336"/>
      <c r="V657" s="336"/>
      <c r="W657" s="336"/>
      <c r="X657" s="98">
        <v>1</v>
      </c>
      <c r="Y657" s="74">
        <v>1</v>
      </c>
      <c r="Z657" s="75">
        <f t="shared" si="260"/>
        <v>0</v>
      </c>
      <c r="AA657" s="107">
        <f t="shared" si="264"/>
        <v>0</v>
      </c>
      <c r="AB657" s="41"/>
      <c r="AC657" s="184"/>
      <c r="AD657" s="212">
        <f t="shared" si="263"/>
        <v>46033</v>
      </c>
      <c r="AE657" s="387"/>
      <c r="AF657" s="388"/>
      <c r="AG657" s="388"/>
      <c r="AH657" s="388"/>
      <c r="AI657" s="388"/>
      <c r="AJ657" s="388"/>
      <c r="AK657" s="388"/>
      <c r="AL657" s="388"/>
      <c r="AM657" s="388"/>
      <c r="AN657" s="388"/>
      <c r="AO657" s="388"/>
      <c r="AP657" s="388"/>
      <c r="AQ657" s="388"/>
      <c r="AR657" s="388"/>
      <c r="AS657" s="388"/>
      <c r="AT657" s="388"/>
      <c r="AU657" s="388"/>
      <c r="AV657" s="388"/>
      <c r="AW657" s="388"/>
      <c r="AX657" s="388"/>
      <c r="AY657" s="388"/>
      <c r="AZ657" s="388"/>
      <c r="BA657" s="388"/>
      <c r="BB657" s="389"/>
      <c r="BC657" s="98">
        <v>1</v>
      </c>
      <c r="BD657" s="74">
        <v>1</v>
      </c>
      <c r="BE657" s="75">
        <f t="shared" si="261"/>
        <v>0</v>
      </c>
    </row>
    <row r="658" spans="1:57" s="1" customFormat="1" ht="18" customHeight="1" x14ac:dyDescent="0.4">
      <c r="A658" s="37" t="str">
        <f t="shared" si="254"/>
        <v>11Д</v>
      </c>
      <c r="B658" s="183"/>
      <c r="C658" s="41"/>
      <c r="D658" s="184"/>
      <c r="E658" s="282">
        <f t="shared" si="262"/>
        <v>46033</v>
      </c>
      <c r="F658" s="335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  <c r="R658" s="336"/>
      <c r="S658" s="336"/>
      <c r="T658" s="336"/>
      <c r="U658" s="336"/>
      <c r="V658" s="336"/>
      <c r="W658" s="336"/>
      <c r="X658" s="98">
        <v>1</v>
      </c>
      <c r="Y658" s="74">
        <v>1</v>
      </c>
      <c r="Z658" s="75">
        <f t="shared" si="260"/>
        <v>0</v>
      </c>
      <c r="AA658" s="107">
        <f t="shared" si="264"/>
        <v>0</v>
      </c>
      <c r="AB658" s="41"/>
      <c r="AC658" s="184"/>
      <c r="AD658" s="212">
        <f t="shared" si="263"/>
        <v>46033</v>
      </c>
      <c r="AE658" s="387"/>
      <c r="AF658" s="388"/>
      <c r="AG658" s="388"/>
      <c r="AH658" s="388"/>
      <c r="AI658" s="388"/>
      <c r="AJ658" s="388"/>
      <c r="AK658" s="388"/>
      <c r="AL658" s="388"/>
      <c r="AM658" s="388"/>
      <c r="AN658" s="388"/>
      <c r="AO658" s="388"/>
      <c r="AP658" s="388"/>
      <c r="AQ658" s="388"/>
      <c r="AR658" s="388"/>
      <c r="AS658" s="388"/>
      <c r="AT658" s="388"/>
      <c r="AU658" s="388"/>
      <c r="AV658" s="388"/>
      <c r="AW658" s="388"/>
      <c r="AX658" s="388"/>
      <c r="AY658" s="388"/>
      <c r="AZ658" s="388"/>
      <c r="BA658" s="388"/>
      <c r="BB658" s="389"/>
      <c r="BC658" s="98">
        <v>1</v>
      </c>
      <c r="BD658" s="74">
        <v>1</v>
      </c>
      <c r="BE658" s="75">
        <f t="shared" si="261"/>
        <v>0</v>
      </c>
    </row>
    <row r="659" spans="1:57" s="1" customFormat="1" ht="18" customHeight="1" thickBot="1" x14ac:dyDescent="0.45">
      <c r="A659" s="37" t="str">
        <f t="shared" si="254"/>
        <v>11Д</v>
      </c>
      <c r="B659" s="183"/>
      <c r="C659" s="41"/>
      <c r="D659" s="184"/>
      <c r="E659" s="283">
        <f t="shared" si="262"/>
        <v>46033</v>
      </c>
      <c r="F659" s="339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99">
        <v>1</v>
      </c>
      <c r="Y659" s="76">
        <v>1</v>
      </c>
      <c r="Z659" s="77">
        <f t="shared" si="260"/>
        <v>0</v>
      </c>
      <c r="AA659" s="107">
        <f t="shared" si="264"/>
        <v>0</v>
      </c>
      <c r="AB659" s="41"/>
      <c r="AC659" s="184"/>
      <c r="AD659" s="211">
        <f t="shared" si="263"/>
        <v>46033</v>
      </c>
      <c r="AE659" s="410"/>
      <c r="AF659" s="411"/>
      <c r="AG659" s="411"/>
      <c r="AH659" s="411"/>
      <c r="AI659" s="411"/>
      <c r="AJ659" s="411"/>
      <c r="AK659" s="411"/>
      <c r="AL659" s="411"/>
      <c r="AM659" s="411"/>
      <c r="AN659" s="411"/>
      <c r="AO659" s="411"/>
      <c r="AP659" s="411"/>
      <c r="AQ659" s="411"/>
      <c r="AR659" s="411"/>
      <c r="AS659" s="411"/>
      <c r="AT659" s="411"/>
      <c r="AU659" s="411"/>
      <c r="AV659" s="411"/>
      <c r="AW659" s="411"/>
      <c r="AX659" s="411"/>
      <c r="AY659" s="411"/>
      <c r="AZ659" s="411"/>
      <c r="BA659" s="411"/>
      <c r="BB659" s="412"/>
      <c r="BC659" s="99">
        <v>1</v>
      </c>
      <c r="BD659" s="76">
        <v>1</v>
      </c>
      <c r="BE659" s="75">
        <f t="shared" si="261"/>
        <v>0</v>
      </c>
    </row>
    <row r="660" spans="1:57" s="1" customFormat="1" ht="23.25" customHeight="1" thickBot="1" x14ac:dyDescent="0.45">
      <c r="A660" s="37" t="str">
        <f t="shared" si="254"/>
        <v>11Д</v>
      </c>
      <c r="B660" s="193"/>
      <c r="C660" s="47"/>
      <c r="D660" s="47"/>
      <c r="E660" s="47"/>
      <c r="F660" s="78"/>
      <c r="G660" s="78"/>
      <c r="H660" s="78"/>
      <c r="I660" s="80"/>
      <c r="J660" s="80"/>
      <c r="K660" s="80"/>
      <c r="L660" s="80"/>
      <c r="M660" s="80"/>
      <c r="N660" s="80"/>
      <c r="O660" s="78"/>
      <c r="P660" s="81"/>
      <c r="Q660" s="81"/>
      <c r="R660" s="81"/>
      <c r="S660" s="81"/>
      <c r="T660" s="81"/>
      <c r="U660" s="82"/>
      <c r="V660" s="82"/>
      <c r="W660" s="86"/>
      <c r="X660" s="194"/>
      <c r="Y660" s="83"/>
      <c r="Z660" s="83"/>
      <c r="AA660" s="78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84"/>
      <c r="AN660" s="47"/>
      <c r="AO660" s="78"/>
      <c r="AP660" s="78"/>
      <c r="AQ660" s="78"/>
      <c r="AR660" s="84"/>
      <c r="AS660" s="78"/>
      <c r="AT660" s="85"/>
      <c r="AU660" s="78"/>
      <c r="AV660" s="83"/>
      <c r="AW660" s="83"/>
      <c r="AX660" s="78"/>
      <c r="AY660" s="78"/>
      <c r="AZ660" s="78"/>
      <c r="BA660" s="78"/>
      <c r="BB660" s="78"/>
      <c r="BC660" s="78"/>
      <c r="BD660" s="79"/>
      <c r="BE660" s="79"/>
    </row>
    <row r="661" spans="1:57" s="1" customFormat="1" ht="21.6" customHeight="1" thickBot="1" x14ac:dyDescent="0.45">
      <c r="A661" s="37" t="s">
        <v>167</v>
      </c>
      <c r="B661" s="59"/>
      <c r="C661" s="51"/>
      <c r="D661" s="51"/>
      <c r="E661" s="51"/>
      <c r="F661" s="158" t="s">
        <v>220</v>
      </c>
      <c r="G661" s="51"/>
      <c r="H661" s="51"/>
      <c r="I661" s="156"/>
      <c r="J661" s="156"/>
      <c r="K661" s="156"/>
      <c r="L661" s="156"/>
      <c r="M661" s="156"/>
      <c r="N661" s="156"/>
      <c r="O661" s="91"/>
      <c r="P661" s="52"/>
      <c r="Q661" s="52"/>
      <c r="R661" s="52"/>
      <c r="S661" s="52"/>
      <c r="T661" s="52"/>
      <c r="U661" s="157"/>
      <c r="V661" s="157"/>
      <c r="W661" s="94"/>
      <c r="X661" s="94"/>
      <c r="Y661" s="51"/>
      <c r="Z661" s="51"/>
      <c r="AA661" s="157">
        <f>AA644</f>
        <v>1</v>
      </c>
      <c r="AB661" s="157">
        <f t="shared" ref="AB661:AF661" si="265">AB644</f>
        <v>2</v>
      </c>
      <c r="AC661" s="157">
        <f t="shared" si="265"/>
        <v>3</v>
      </c>
      <c r="AD661" s="157">
        <f t="shared" si="265"/>
        <v>4</v>
      </c>
      <c r="AE661" s="157">
        <f t="shared" si="265"/>
        <v>5</v>
      </c>
      <c r="AF661" s="157">
        <f t="shared" si="265"/>
        <v>6</v>
      </c>
      <c r="AG661" s="162" t="s">
        <v>123</v>
      </c>
      <c r="AH661" s="162" t="s">
        <v>124</v>
      </c>
      <c r="AI661" s="162" t="s">
        <v>125</v>
      </c>
      <c r="AJ661" s="91" t="s">
        <v>126</v>
      </c>
      <c r="AK661" s="198" t="s">
        <v>136</v>
      </c>
      <c r="AL661" s="198" t="s">
        <v>137</v>
      </c>
      <c r="AM661" s="198" t="s">
        <v>138</v>
      </c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</row>
    <row r="662" spans="1:57" s="1" customFormat="1" ht="21.6" customHeight="1" x14ac:dyDescent="0.4">
      <c r="A662" s="37" t="str">
        <f>A661</f>
        <v>11Н</v>
      </c>
      <c r="B662" s="12">
        <f>B643</f>
        <v>46033</v>
      </c>
      <c r="C662" s="97"/>
      <c r="D662" s="97">
        <v>1</v>
      </c>
      <c r="E662" s="29"/>
      <c r="F662" s="151" t="str">
        <f>IFERROR(VLOOKUP($G662,нормы!$A$14:$BC$57,2,0),"")</f>
        <v/>
      </c>
      <c r="G662" s="93"/>
      <c r="H662" s="54">
        <f>IF(C662=1,"Кульков С.А.", IF(C662=2,"Чудаков А.А.",IF(C662=3,"Королев В.Н.",IF(C662=4,"Николашин М.П.",IF(C662=5," Кульков С.А.",IF(C662=6,"А.А. Чудаков",IF(C662=7,"В.Н. Королев",IF(C662=8,"М.П. Николашин",0))))))))</f>
        <v>0</v>
      </c>
      <c r="I662" s="88" t="s">
        <v>84</v>
      </c>
      <c r="J662" s="332"/>
      <c r="K662" s="30">
        <f>IFERROR(VLOOKUP($G662,[1]нормы!$A$21:$BC$151,15,0),"")</f>
        <v>0</v>
      </c>
      <c r="L662" s="31">
        <f>IFERROR(VLOOKUP($G662,[1]нормы!$A$21:$BC$151,17,0),"")</f>
        <v>0</v>
      </c>
      <c r="M662" s="310">
        <f>IFERROR(VLOOKUP($G662,[1]нормы!$A$21:$BC$151,27,0),"")</f>
        <v>0</v>
      </c>
      <c r="N662" s="311" t="str">
        <f>IFERROR(Y662/Y668*(1.1*J662*I667),"")</f>
        <v/>
      </c>
      <c r="O662" s="300">
        <f>IFERROR(VLOOKUP($G662,[1]нормы!$A$21:$BC$151,21,0),"")</f>
        <v>0</v>
      </c>
      <c r="P662" s="35">
        <f>IFERROR(VLOOKUP($G662,[1]нормы!$A$21:$BC$151,19,0),"")</f>
        <v>0</v>
      </c>
      <c r="Q662" s="35">
        <f>IFERROR(VLOOKUP($G662,[1]нормы!$A$21:$BC$151,23,0),"")</f>
        <v>0</v>
      </c>
      <c r="R662" s="231">
        <f>IFERROR(VLOOKUP($G662,[1]нормы!$A$21:$BC$151,29,0),"")</f>
        <v>0</v>
      </c>
      <c r="S662" s="35">
        <f>IFERROR(VLOOKUP($G662,[1]нормы!$A$21:$BC$151,31,0),"")</f>
        <v>0</v>
      </c>
      <c r="T662" s="32">
        <f>IFERROR(VLOOKUP($G662,[1]нормы!$A$21:$BC$151,25,0),"")</f>
        <v>0</v>
      </c>
      <c r="U662" s="232" t="str">
        <f>IFERROR(W662/(((100*Y662/Y668)*I667)/100),"")</f>
        <v/>
      </c>
      <c r="V662" s="234" t="str">
        <f>IFERROR(VLOOKUP($G662,нормы!$A$14:$BC$57,38,0),"")</f>
        <v/>
      </c>
      <c r="W662" s="136"/>
      <c r="X662" s="236"/>
      <c r="Y662" s="152" t="str">
        <f>IFERROR(VLOOKUP($G662,нормы!$A$14:$BC$57,42,0)*W662,"")</f>
        <v/>
      </c>
      <c r="Z662" s="163">
        <f>IFERROR(VLOOKUP($G662,нормы!$A$14:$BC$57,14,0)*W662/1000,0)</f>
        <v>0</v>
      </c>
      <c r="AA662" s="33"/>
      <c r="AB662" s="36"/>
      <c r="AC662" s="36"/>
      <c r="AD662" s="36"/>
      <c r="AE662" s="34"/>
      <c r="AF662" s="159"/>
      <c r="AG662" s="390"/>
      <c r="AH662" s="393"/>
      <c r="AI662" s="396"/>
      <c r="AJ662" s="407">
        <f>AG662+AH662</f>
        <v>0</v>
      </c>
      <c r="AK662" s="359"/>
      <c r="AL662" s="359"/>
      <c r="AM662" s="359"/>
      <c r="AN662" s="287">
        <f>IFERROR(Y662*AJ662/Y668,)</f>
        <v>0</v>
      </c>
      <c r="AO662" s="197" t="str">
        <f>IFERROR(VLOOKUP($G662,нормы!$A$14:$BC$57,53,0)*$W662,"")</f>
        <v/>
      </c>
      <c r="AP662" s="288">
        <f>IFERROR(Y662*AI662/Y668,)</f>
        <v>0</v>
      </c>
      <c r="AQ662" s="197" t="str">
        <f>IFERROR(VLOOKUP($G662,нормы!$A$14:$BC$57,54,0)*$W662,"")</f>
        <v/>
      </c>
      <c r="AR662" s="288">
        <f>IFERROR(AS662/SUM(AS662:AS667)*AL662,0)</f>
        <v>0</v>
      </c>
      <c r="AS662" s="197" t="str">
        <f>IFERROR(VLOOKUP($G662,нормы!$A$14:$BC$57,55,0)*W662,"")</f>
        <v/>
      </c>
      <c r="AT662" s="288">
        <f>IFERROR(AU662/SUM(AU662:AU667)*AM662,0)</f>
        <v>0</v>
      </c>
      <c r="AU662" s="197" t="str">
        <f>IFERROR(VLOOKUP($G662,нормы!$A$14:$BI$57,56,0)*W662,"")</f>
        <v/>
      </c>
      <c r="AV662" s="288">
        <f>IFERROR(AW662/SUM(AW662:AW667)*AK662,0)</f>
        <v>0</v>
      </c>
      <c r="AW662" s="202" t="str">
        <f>IFERROR(VLOOKUP($G662,нормы!$A$14:$BI$57,57,0)*W662,"")</f>
        <v/>
      </c>
      <c r="AX662" s="33"/>
      <c r="AY662" s="203" t="str">
        <f>IFERROR(VLOOKUP($G662,нормы!$A$14:$BI$57,58,0)*W662,"")</f>
        <v/>
      </c>
      <c r="AZ662" s="204"/>
      <c r="BA662" s="200" t="str">
        <f>IFERROR(VLOOKUP($G662,нормы!$A$14:$BI$57,61,0)*$W662,"")</f>
        <v/>
      </c>
      <c r="BB662" s="33"/>
      <c r="BC662" s="203" t="str">
        <f>IFERROR(VLOOKUP($G662,нормы!$A$14:$BI$57,60,0)*W662,"")</f>
        <v/>
      </c>
      <c r="BD662" s="200" t="str">
        <f>IFERROR(VLOOKUP($G662,нормы!$A$14:$BG$57,44,0),"")</f>
        <v/>
      </c>
      <c r="BE662" s="199" t="str">
        <f>IFERROR(W662/VLOOKUP($G662,нормы!$A$14:$BI$57,45,0),"")</f>
        <v/>
      </c>
    </row>
    <row r="663" spans="1:57" s="1" customFormat="1" ht="21.6" customHeight="1" x14ac:dyDescent="0.4">
      <c r="A663" s="37" t="str">
        <f t="shared" ref="A663:A691" si="266">A662</f>
        <v>11Н</v>
      </c>
      <c r="B663" s="12">
        <f t="shared" ref="B663:D667" si="267">B662</f>
        <v>46033</v>
      </c>
      <c r="C663" s="97">
        <f t="shared" si="267"/>
        <v>0</v>
      </c>
      <c r="D663" s="97">
        <f t="shared" si="267"/>
        <v>1</v>
      </c>
      <c r="E663" s="54"/>
      <c r="F663" s="151" t="str">
        <f>IFERROR(VLOOKUP($G663,нормы!$A$14:$BC$57,2,0),"")</f>
        <v/>
      </c>
      <c r="G663" s="93"/>
      <c r="H663" s="54">
        <f t="shared" ref="H663:H667" si="268">IF(C663=1,"Кульков С.А.", IF(C663=2,"Чудаков А.А.",IF(C663=3,"Королев В.Н.",IF(C663=4,"Николашин М.П.",IF(C663=5," Кульков С.А.",IF(C663=6,"А.А. Чудаков",IF(C663=7,"В.Н. Королев",IF(C663=8,"М.П. Николашин",0))))))))</f>
        <v>0</v>
      </c>
      <c r="I663" s="55"/>
      <c r="J663" s="333"/>
      <c r="K663" s="30">
        <f>IFERROR(VLOOKUP($G663,[1]нормы!$A$21:$BC$151,15,0),"")</f>
        <v>0</v>
      </c>
      <c r="L663" s="31">
        <f>IFERROR(VLOOKUP($G663,[1]нормы!$A$21:$BC$151,17,0),"")</f>
        <v>0</v>
      </c>
      <c r="M663" s="306">
        <f>IFERROR(VLOOKUP($G663,[1]нормы!$A$21:$BC$151,27,0),"")</f>
        <v>0</v>
      </c>
      <c r="N663" s="307" t="str">
        <f>IFERROR(Y663/Y668*(1.1*J662*I667),"")</f>
        <v/>
      </c>
      <c r="O663" s="300">
        <f>IFERROR(VLOOKUP($G663,[1]нормы!$A$21:$BC$151,21,0),"")</f>
        <v>0</v>
      </c>
      <c r="P663" s="35">
        <f>IFERROR(VLOOKUP($G663,[1]нормы!$A$21:$BC$151,19,0),"")</f>
        <v>0</v>
      </c>
      <c r="Q663" s="35">
        <f>IFERROR(VLOOKUP($G663,[1]нормы!$A$21:$BC$151,23,0),"")</f>
        <v>0</v>
      </c>
      <c r="R663" s="231">
        <f>IFERROR(VLOOKUP($G663,[1]нормы!$A$21:$BC$151,29,0),"")</f>
        <v>0</v>
      </c>
      <c r="S663" s="35">
        <f>IFERROR(VLOOKUP($G663,[1]нормы!$A$21:$BC$151,31,0),"")</f>
        <v>0</v>
      </c>
      <c r="T663" s="32">
        <f>IFERROR(VLOOKUP($G663,[1]нормы!$A$21:$BC$151,25,0),"")</f>
        <v>0</v>
      </c>
      <c r="U663" s="233" t="str">
        <f>IFERROR(W663/(((100*Y663/Y668)*I667)/100),"")</f>
        <v/>
      </c>
      <c r="V663" s="234" t="str">
        <f>IFERROR(VLOOKUP($G663,нормы!$A$14:$BC$57,38,0),"")</f>
        <v/>
      </c>
      <c r="W663" s="136"/>
      <c r="X663" s="237"/>
      <c r="Y663" s="152" t="str">
        <f>IFERROR(VLOOKUP($G663,нормы!$A$14:$BC$57,42,0)*W663,"")</f>
        <v/>
      </c>
      <c r="Z663" s="163">
        <f>IFERROR(VLOOKUP($G663,нормы!$A$14:$BC$57,14,0)*W663/1000,0)</f>
        <v>0</v>
      </c>
      <c r="AA663" s="142"/>
      <c r="AB663" s="35"/>
      <c r="AC663" s="35"/>
      <c r="AD663" s="35"/>
      <c r="AE663" s="31"/>
      <c r="AF663" s="160"/>
      <c r="AG663" s="391"/>
      <c r="AH663" s="394"/>
      <c r="AI663" s="397"/>
      <c r="AJ663" s="408"/>
      <c r="AK663" s="360"/>
      <c r="AL663" s="360"/>
      <c r="AM663" s="360"/>
      <c r="AN663" s="289">
        <f>IFERROR(Y663*AJ662/Y668,)</f>
        <v>0</v>
      </c>
      <c r="AO663" s="197" t="str">
        <f>IFERROR(VLOOKUP($G663,нормы!$A$14:$BC$57,53,0)*$W663,"")</f>
        <v/>
      </c>
      <c r="AP663" s="290">
        <f>IFERROR(Y663*AI662/Y668,)</f>
        <v>0</v>
      </c>
      <c r="AQ663" s="197" t="str">
        <f>IFERROR(VLOOKUP($G663,нормы!$A$14:$BC$57,54,0)*$W663,"")</f>
        <v/>
      </c>
      <c r="AR663" s="290">
        <f>IFERROR(AS663/SUM(AS662:AS667)*AL662,0)</f>
        <v>0</v>
      </c>
      <c r="AS663" s="197" t="str">
        <f>IFERROR(VLOOKUP($G663,нормы!$A$14:$BC$57,55,0)*W663,"")</f>
        <v/>
      </c>
      <c r="AT663" s="290">
        <f>IFERROR(AU663/SUM(AU662:AU667)*AM662,0)</f>
        <v>0</v>
      </c>
      <c r="AU663" s="197" t="str">
        <f>IFERROR(VLOOKUP($G663,нормы!$A$14:$BI$57,56,0)*W663,"")</f>
        <v/>
      </c>
      <c r="AV663" s="290">
        <f>IFERROR(AW663/SUM(AW662:AW667)*AK662,0)</f>
        <v>0</v>
      </c>
      <c r="AW663" s="202" t="str">
        <f>IFERROR(VLOOKUP($G663,нормы!$A$14:$BI$57,57,0)*W663,"")</f>
        <v/>
      </c>
      <c r="AX663" s="30"/>
      <c r="AY663" s="203" t="str">
        <f>IFERROR(VLOOKUP($G663,нормы!$A$14:$BI$57,58,0)*W663,"")</f>
        <v/>
      </c>
      <c r="AZ663" s="205"/>
      <c r="BA663" s="200" t="str">
        <f>IFERROR(VLOOKUP($G663,нормы!$A$14:$BI$57,61,0)*$W663,"")</f>
        <v/>
      </c>
      <c r="BB663" s="30"/>
      <c r="BC663" s="203" t="str">
        <f>IFERROR(VLOOKUP($G663,нормы!$A$14:$BI$57,60,0)*W663,"")</f>
        <v/>
      </c>
      <c r="BD663" s="200" t="str">
        <f>IFERROR(VLOOKUP($G663,нормы!$A$14:$BG$57,44,0),"")</f>
        <v/>
      </c>
      <c r="BE663" s="199" t="str">
        <f>IFERROR(W663/VLOOKUP($G663,нормы!$A$14:$BI$57,45,0),"")</f>
        <v/>
      </c>
    </row>
    <row r="664" spans="1:57" s="1" customFormat="1" ht="20.25" customHeight="1" x14ac:dyDescent="0.4">
      <c r="A664" s="37" t="str">
        <f t="shared" si="266"/>
        <v>11Н</v>
      </c>
      <c r="B664" s="12">
        <f t="shared" si="267"/>
        <v>46033</v>
      </c>
      <c r="C664" s="97">
        <f t="shared" si="267"/>
        <v>0</v>
      </c>
      <c r="D664" s="97">
        <f t="shared" si="267"/>
        <v>1</v>
      </c>
      <c r="E664" s="54"/>
      <c r="F664" s="151" t="str">
        <f>IFERROR(VLOOKUP($G664,нормы!$A$14:$BC$57,2,0),"")</f>
        <v/>
      </c>
      <c r="G664" s="38"/>
      <c r="H664" s="54">
        <f t="shared" si="268"/>
        <v>0</v>
      </c>
      <c r="I664" s="89" t="s">
        <v>85</v>
      </c>
      <c r="J664" s="333"/>
      <c r="K664" s="30">
        <f>IFERROR(VLOOKUP($G664,[1]нормы!$A$21:$BC$151,15,0),"")</f>
        <v>0</v>
      </c>
      <c r="L664" s="31">
        <f>IFERROR(VLOOKUP($G664,[1]нормы!$A$21:$BC$151,17,0),"")</f>
        <v>0</v>
      </c>
      <c r="M664" s="306">
        <f>IFERROR(VLOOKUP($G664,[1]нормы!$A$21:$BC$151,27,0),"")</f>
        <v>0</v>
      </c>
      <c r="N664" s="307" t="str">
        <f>IFERROR(Y664/Y668*(1.1*J662*I667),"")</f>
        <v/>
      </c>
      <c r="O664" s="300">
        <f>IFERROR(VLOOKUP($G664,[1]нормы!$A$21:$BC$151,21,0),"")</f>
        <v>0</v>
      </c>
      <c r="P664" s="35">
        <f>IFERROR(VLOOKUP($G664,[1]нормы!$A$21:$BC$151,19,0),"")</f>
        <v>0</v>
      </c>
      <c r="Q664" s="35">
        <f>IFERROR(VLOOKUP($G664,[1]нормы!$A$21:$BC$151,23,0),"")</f>
        <v>0</v>
      </c>
      <c r="R664" s="231">
        <f>IFERROR(VLOOKUP($G664,[1]нормы!$A$21:$BC$151,29,0),"")</f>
        <v>0</v>
      </c>
      <c r="S664" s="35">
        <f>IFERROR(VLOOKUP($G664,[1]нормы!$A$21:$BC$151,31,0),"")</f>
        <v>0</v>
      </c>
      <c r="T664" s="32">
        <f>IFERROR(VLOOKUP($G664,[1]нормы!$A$21:$BC$151,25,0),"")</f>
        <v>0</v>
      </c>
      <c r="U664" s="233" t="str">
        <f>IFERROR(W664/(((100*Y664/Y668)*I667)/100),"")</f>
        <v/>
      </c>
      <c r="V664" s="234" t="str">
        <f>IFERROR(VLOOKUP($G664,нормы!$A$14:$BC$57,38,0),"")</f>
        <v/>
      </c>
      <c r="W664" s="136"/>
      <c r="X664" s="237"/>
      <c r="Y664" s="152" t="str">
        <f>IFERROR(VLOOKUP($G664,нормы!$A$14:$BC$57,42,0)*W664,"")</f>
        <v/>
      </c>
      <c r="Z664" s="163">
        <f>IFERROR(VLOOKUP($G664,нормы!$A$14:$BC$57,14,0)*W664/1000,0)</f>
        <v>0</v>
      </c>
      <c r="AA664" s="30"/>
      <c r="AB664" s="35"/>
      <c r="AC664" s="35"/>
      <c r="AD664" s="35"/>
      <c r="AE664" s="31"/>
      <c r="AF664" s="160"/>
      <c r="AG664" s="391"/>
      <c r="AH664" s="394"/>
      <c r="AI664" s="397"/>
      <c r="AJ664" s="408"/>
      <c r="AK664" s="360"/>
      <c r="AL664" s="360"/>
      <c r="AM664" s="360"/>
      <c r="AN664" s="289">
        <f>IFERROR(Y664*AJ662/Y668,)</f>
        <v>0</v>
      </c>
      <c r="AO664" s="197" t="str">
        <f>IFERROR(VLOOKUP($G664,нормы!$A$14:$BC$57,53,0)*$W664,"")</f>
        <v/>
      </c>
      <c r="AP664" s="290">
        <f>IFERROR(Y664*AI662/Y668,)</f>
        <v>0</v>
      </c>
      <c r="AQ664" s="197" t="str">
        <f>IFERROR(VLOOKUP($G664,нормы!$A$14:$BC$57,54,0)*$W664,"")</f>
        <v/>
      </c>
      <c r="AR664" s="290">
        <f>IFERROR(AS664/SUM(AS662:AS667)*AL662,0)</f>
        <v>0</v>
      </c>
      <c r="AS664" s="197" t="str">
        <f>IFERROR(VLOOKUP($G664,нормы!$A$14:$BC$57,55,0)*W664,"")</f>
        <v/>
      </c>
      <c r="AT664" s="290">
        <f>IFERROR(AU664/SUM(AU662:AU667)*AM662,0)</f>
        <v>0</v>
      </c>
      <c r="AU664" s="197" t="str">
        <f>IFERROR(VLOOKUP($G664,нормы!$A$14:$BI$57,56,0)*W664,"")</f>
        <v/>
      </c>
      <c r="AV664" s="290">
        <f>IFERROR(AW664/SUM(AW662:AW667)*AK662,0)</f>
        <v>0</v>
      </c>
      <c r="AW664" s="202" t="str">
        <f>IFERROR(VLOOKUP($G664,нормы!$A$14:$BI$57,57,0)*W664,"")</f>
        <v/>
      </c>
      <c r="AX664" s="30"/>
      <c r="AY664" s="203" t="str">
        <f>IFERROR(VLOOKUP($G664,нормы!$A$14:$BI$57,58,0)*W664,"")</f>
        <v/>
      </c>
      <c r="AZ664" s="205"/>
      <c r="BA664" s="200" t="str">
        <f>IFERROR(VLOOKUP($G664,нормы!$A$14:$BI$57,61,0)*$W664,"")</f>
        <v/>
      </c>
      <c r="BB664" s="30"/>
      <c r="BC664" s="203" t="str">
        <f>IFERROR(VLOOKUP($G664,нормы!$A$14:$BI$57,60,0)*W664,"")</f>
        <v/>
      </c>
      <c r="BD664" s="200" t="str">
        <f>IFERROR(VLOOKUP($G664,нормы!$A$14:$BG$57,44,0),"")</f>
        <v/>
      </c>
      <c r="BE664" s="199" t="str">
        <f>IFERROR(W664/VLOOKUP($G664,нормы!$A$14:$BI$57,45,0),"")</f>
        <v/>
      </c>
    </row>
    <row r="665" spans="1:57" s="1" customFormat="1" ht="20.25" customHeight="1" x14ac:dyDescent="0.4">
      <c r="A665" s="37" t="str">
        <f t="shared" si="266"/>
        <v>11Н</v>
      </c>
      <c r="B665" s="12">
        <f t="shared" si="267"/>
        <v>46033</v>
      </c>
      <c r="C665" s="97">
        <f t="shared" si="267"/>
        <v>0</v>
      </c>
      <c r="D665" s="97">
        <f t="shared" si="267"/>
        <v>1</v>
      </c>
      <c r="E665" s="54"/>
      <c r="F665" s="151" t="str">
        <f>IFERROR(VLOOKUP($G665,нормы!$A$14:$BC$57,2,0),"")</f>
        <v/>
      </c>
      <c r="G665" s="93"/>
      <c r="H665" s="54">
        <f t="shared" si="268"/>
        <v>0</v>
      </c>
      <c r="I665" s="55"/>
      <c r="J665" s="333"/>
      <c r="K665" s="30">
        <f>IFERROR(VLOOKUP($G665,[1]нормы!$A$21:$BC$151,15,0),"")</f>
        <v>0</v>
      </c>
      <c r="L665" s="31">
        <f>IFERROR(VLOOKUP($G665,[1]нормы!$A$21:$BC$151,17,0),"")</f>
        <v>0</v>
      </c>
      <c r="M665" s="306">
        <f>IFERROR(VLOOKUP($G665,[1]нормы!$A$21:$BC$151,27,0),"")</f>
        <v>0</v>
      </c>
      <c r="N665" s="307" t="str">
        <f>IFERROR(Y665/Y668*(1.1*J662*I670),"")</f>
        <v/>
      </c>
      <c r="O665" s="300">
        <f>IFERROR(VLOOKUP($G665,[1]нормы!$A$21:$BC$151,21,0),"")</f>
        <v>0</v>
      </c>
      <c r="P665" s="35">
        <f>IFERROR(VLOOKUP($G665,[1]нормы!$A$21:$BC$151,19,0),"")</f>
        <v>0</v>
      </c>
      <c r="Q665" s="35">
        <f>IFERROR(VLOOKUP($G665,[1]нормы!$A$21:$BC$151,23,0),"")</f>
        <v>0</v>
      </c>
      <c r="R665" s="231">
        <f>IFERROR(VLOOKUP($G665,[1]нормы!$A$21:$BC$151,29,0),"")</f>
        <v>0</v>
      </c>
      <c r="S665" s="35">
        <f>IFERROR(VLOOKUP($G665,[1]нормы!$A$21:$BC$151,31,0),"")</f>
        <v>0</v>
      </c>
      <c r="T665" s="32">
        <f>IFERROR(VLOOKUP($G665,[1]нормы!$A$21:$BC$151,25,0),"")</f>
        <v>0</v>
      </c>
      <c r="U665" s="233" t="str">
        <f>IFERROR(W665/(((100*Y665/Y668)*I667)/100),"")</f>
        <v/>
      </c>
      <c r="V665" s="234" t="str">
        <f>IFERROR(VLOOKUP($G665,нормы!$A$14:$BC$57,38,0),"")</f>
        <v/>
      </c>
      <c r="W665" s="136"/>
      <c r="X665" s="237"/>
      <c r="Y665" s="152" t="str">
        <f>IFERROR(VLOOKUP($G665,нормы!$A$14:$BC$57,42,0)*W665,"")</f>
        <v/>
      </c>
      <c r="Z665" s="163">
        <f>IFERROR(VLOOKUP($G665,нормы!$A$14:$BC$57,14,0)*W665/1000,0)</f>
        <v>0</v>
      </c>
      <c r="AA665" s="30"/>
      <c r="AB665" s="35"/>
      <c r="AC665" s="35"/>
      <c r="AD665" s="35"/>
      <c r="AE665" s="31"/>
      <c r="AF665" s="160"/>
      <c r="AG665" s="391"/>
      <c r="AH665" s="394"/>
      <c r="AI665" s="397"/>
      <c r="AJ665" s="408"/>
      <c r="AK665" s="360"/>
      <c r="AL665" s="360"/>
      <c r="AM665" s="360"/>
      <c r="AN665" s="289">
        <f>IFERROR(Y665*AJ662/Y668,)</f>
        <v>0</v>
      </c>
      <c r="AO665" s="197" t="str">
        <f>IFERROR(VLOOKUP($G665,нормы!$A$14:$BC$57,53,0)*$W665,"")</f>
        <v/>
      </c>
      <c r="AP665" s="290">
        <f>IFERROR(Y665*AI662/Y668,)</f>
        <v>0</v>
      </c>
      <c r="AQ665" s="197" t="str">
        <f>IFERROR(VLOOKUP($G665,нормы!$A$14:$BC$57,54,0)*$W665,"")</f>
        <v/>
      </c>
      <c r="AR665" s="290">
        <f>IFERROR(AS665/SUM(AS662:AS667)*AL662,0)</f>
        <v>0</v>
      </c>
      <c r="AS665" s="197" t="str">
        <f>IFERROR(VLOOKUP($G665,нормы!$A$14:$BC$57,55,0)*W665,"")</f>
        <v/>
      </c>
      <c r="AT665" s="290">
        <f>IFERROR(AU665/SUM(AU662:AU667)*AM662,0)</f>
        <v>0</v>
      </c>
      <c r="AU665" s="197" t="str">
        <f>IFERROR(VLOOKUP($G665,нормы!$A$14:$BI$57,56,0)*W665,"")</f>
        <v/>
      </c>
      <c r="AV665" s="290">
        <f>IFERROR(AW665/SUM(AW662:AW667)*AK662,0)</f>
        <v>0</v>
      </c>
      <c r="AW665" s="202" t="str">
        <f>IFERROR(VLOOKUP($G665,нормы!$A$14:$BI$57,57,0)*W665,"")</f>
        <v/>
      </c>
      <c r="AX665" s="30"/>
      <c r="AY665" s="203" t="str">
        <f>IFERROR(VLOOKUP($G665,нормы!$A$14:$BI$57,58,0)*W665,"")</f>
        <v/>
      </c>
      <c r="AZ665" s="205"/>
      <c r="BA665" s="200" t="str">
        <f>IFERROR(VLOOKUP($G665,нормы!$A$14:$BI$57,61,0)*$W665,"")</f>
        <v/>
      </c>
      <c r="BB665" s="30"/>
      <c r="BC665" s="203" t="str">
        <f>IFERROR(VLOOKUP($G665,нормы!$A$14:$BI$57,60,0)*W665,"")</f>
        <v/>
      </c>
      <c r="BD665" s="200" t="str">
        <f>IFERROR(VLOOKUP($G665,нормы!$A$14:$BG$57,44,0),"")</f>
        <v/>
      </c>
      <c r="BE665" s="199" t="str">
        <f>IFERROR(W665/VLOOKUP($G665,нормы!$A$14:$BI$57,45,0),"")</f>
        <v/>
      </c>
    </row>
    <row r="666" spans="1:57" s="1" customFormat="1" ht="20.25" customHeight="1" x14ac:dyDescent="0.4">
      <c r="A666" s="37" t="str">
        <f t="shared" si="266"/>
        <v>11Н</v>
      </c>
      <c r="B666" s="12">
        <f t="shared" si="267"/>
        <v>46033</v>
      </c>
      <c r="C666" s="97">
        <f t="shared" si="267"/>
        <v>0</v>
      </c>
      <c r="D666" s="97">
        <f t="shared" si="267"/>
        <v>1</v>
      </c>
      <c r="E666" s="54"/>
      <c r="F666" s="151" t="str">
        <f>IFERROR(VLOOKUP($G666,нормы!$A$14:$BC$57,2,0),"")</f>
        <v/>
      </c>
      <c r="G666" s="38"/>
      <c r="H666" s="54">
        <f t="shared" si="268"/>
        <v>0</v>
      </c>
      <c r="I666" s="89" t="s">
        <v>73</v>
      </c>
      <c r="J666" s="333"/>
      <c r="K666" s="30">
        <f>IFERROR(VLOOKUP($G666,[1]нормы!$A$21:$BC$151,15,0),"")</f>
        <v>0</v>
      </c>
      <c r="L666" s="31">
        <f>IFERROR(VLOOKUP($G666,[1]нормы!$A$21:$BC$151,17,0),"")</f>
        <v>0</v>
      </c>
      <c r="M666" s="306">
        <f>IFERROR(VLOOKUP($G666,[1]нормы!$A$21:$BC$151,27,0),"")</f>
        <v>0</v>
      </c>
      <c r="N666" s="307" t="str">
        <f>IFERROR(Y666/Y668*(1.1*J662*I671),"")</f>
        <v/>
      </c>
      <c r="O666" s="300">
        <f>IFERROR(VLOOKUP($G666,[1]нормы!$A$21:$BC$151,21,0),"")</f>
        <v>0</v>
      </c>
      <c r="P666" s="35">
        <f>IFERROR(VLOOKUP($G666,[1]нормы!$A$21:$BC$151,19,0),"")</f>
        <v>0</v>
      </c>
      <c r="Q666" s="35">
        <f>IFERROR(VLOOKUP($G666,[1]нормы!$A$21:$BC$151,23,0),"")</f>
        <v>0</v>
      </c>
      <c r="R666" s="231">
        <f>IFERROR(VLOOKUP($G666,[1]нормы!$A$21:$BC$151,29,0),"")</f>
        <v>0</v>
      </c>
      <c r="S666" s="35">
        <f>IFERROR(VLOOKUP($G666,[1]нормы!$A$21:$BC$151,31,0),"")</f>
        <v>0</v>
      </c>
      <c r="T666" s="32">
        <f>IFERROR(VLOOKUP($G666,[1]нормы!$A$21:$BC$151,25,0),"")</f>
        <v>0</v>
      </c>
      <c r="U666" s="233" t="str">
        <f>IFERROR(W666/(((100*Y666/Y668)*I667)/100),"")</f>
        <v/>
      </c>
      <c r="V666" s="234" t="str">
        <f>IFERROR(VLOOKUP($G666,нормы!$A$14:$BC$57,38,0),"")</f>
        <v/>
      </c>
      <c r="W666" s="136"/>
      <c r="X666" s="237"/>
      <c r="Y666" s="152" t="str">
        <f>IFERROR(VLOOKUP($G666,нормы!$A$14:$BC$57,42,0)*W666,"")</f>
        <v/>
      </c>
      <c r="Z666" s="163">
        <f>IFERROR(VLOOKUP($G666,нормы!$A$14:$BC$57,14,0)*W666/1000,0)</f>
        <v>0</v>
      </c>
      <c r="AA666" s="30"/>
      <c r="AB666" s="35"/>
      <c r="AC666" s="35"/>
      <c r="AD666" s="35"/>
      <c r="AE666" s="31"/>
      <c r="AF666" s="160"/>
      <c r="AG666" s="391"/>
      <c r="AH666" s="394"/>
      <c r="AI666" s="397"/>
      <c r="AJ666" s="408"/>
      <c r="AK666" s="360"/>
      <c r="AL666" s="360"/>
      <c r="AM666" s="360"/>
      <c r="AN666" s="289">
        <f>IFERROR(Y666*AJ662/Y668,)</f>
        <v>0</v>
      </c>
      <c r="AO666" s="197" t="str">
        <f>IFERROR(VLOOKUP($G666,нормы!$A$14:$BC$57,53,0)*$W666,"")</f>
        <v/>
      </c>
      <c r="AP666" s="290">
        <f>IFERROR(Y666*AI662/Y668,)</f>
        <v>0</v>
      </c>
      <c r="AQ666" s="197" t="str">
        <f>IFERROR(VLOOKUP($G666,нормы!$A$14:$BC$57,54,0)*$W666,"")</f>
        <v/>
      </c>
      <c r="AR666" s="290">
        <f>IFERROR(AS666/SUM(AS662:AS667)*AL662,0)</f>
        <v>0</v>
      </c>
      <c r="AS666" s="197" t="str">
        <f>IFERROR(VLOOKUP($G666,нормы!$A$14:$BC$57,55,0)*W666,"")</f>
        <v/>
      </c>
      <c r="AT666" s="290">
        <f>IFERROR(AU666/SUM(AU662:AU667)*AM662,0)</f>
        <v>0</v>
      </c>
      <c r="AU666" s="197" t="str">
        <f>IFERROR(VLOOKUP($G666,нормы!$A$14:$BI$57,56,0)*W666,"")</f>
        <v/>
      </c>
      <c r="AV666" s="290">
        <f>IFERROR(AW666/SUM(AW662:AW667)*AK662,0)</f>
        <v>0</v>
      </c>
      <c r="AW666" s="202" t="str">
        <f>IFERROR(VLOOKUP($G666,нормы!$A$14:$BI$57,57,0)*W666,"")</f>
        <v/>
      </c>
      <c r="AX666" s="30"/>
      <c r="AY666" s="203" t="str">
        <f>IFERROR(VLOOKUP($G666,нормы!$A$14:$BI$57,58,0)*W666,"")</f>
        <v/>
      </c>
      <c r="AZ666" s="205"/>
      <c r="BA666" s="200" t="str">
        <f>IFERROR(VLOOKUP($G666,нормы!$A$14:$BI$57,61,0)*$W666,"")</f>
        <v/>
      </c>
      <c r="BB666" s="30"/>
      <c r="BC666" s="203" t="str">
        <f>IFERROR(VLOOKUP($G666,нормы!$A$14:$BI$57,60,0)*W666,"")</f>
        <v/>
      </c>
      <c r="BD666" s="200" t="str">
        <f>IFERROR(VLOOKUP($G666,нормы!$A$14:$BG$57,44,0),"")</f>
        <v/>
      </c>
      <c r="BE666" s="199" t="str">
        <f>IFERROR(W666/VLOOKUP($G666,нормы!$A$14:$BI$57,45,0),"")</f>
        <v/>
      </c>
    </row>
    <row r="667" spans="1:57" s="1" customFormat="1" ht="21" customHeight="1" thickBot="1" x14ac:dyDescent="0.45">
      <c r="A667" s="37" t="str">
        <f t="shared" si="266"/>
        <v>11Н</v>
      </c>
      <c r="B667" s="12">
        <f t="shared" si="267"/>
        <v>46033</v>
      </c>
      <c r="C667" s="97">
        <f t="shared" si="267"/>
        <v>0</v>
      </c>
      <c r="D667" s="97">
        <f t="shared" si="267"/>
        <v>1</v>
      </c>
      <c r="E667" s="54"/>
      <c r="F667" s="151" t="str">
        <f>IFERROR(VLOOKUP($G667,нормы!$A$14:$BC$57,2,0),"")</f>
        <v/>
      </c>
      <c r="G667" s="93"/>
      <c r="H667" s="63">
        <f t="shared" si="268"/>
        <v>0</v>
      </c>
      <c r="I667" s="153">
        <f>I663+I665</f>
        <v>0</v>
      </c>
      <c r="J667" s="334"/>
      <c r="K667" s="30">
        <f>IFERROR(VLOOKUP($G667,[1]нормы!$A$21:$BC$151,15,0),"")</f>
        <v>0</v>
      </c>
      <c r="L667" s="31">
        <f>IFERROR(VLOOKUP($G667,[1]нормы!$A$21:$BC$151,17,0),"")</f>
        <v>0</v>
      </c>
      <c r="M667" s="308">
        <f>IFERROR(VLOOKUP($G667,[1]нормы!$A$21:$BC$151,27,0),"")</f>
        <v>0</v>
      </c>
      <c r="N667" s="309" t="str">
        <f>IFERROR(Y667/Y668*(1.1*J662*I672),"")</f>
        <v/>
      </c>
      <c r="O667" s="300">
        <f>IFERROR(VLOOKUP($G667,[1]нормы!$A$21:$BC$151,21,0),"")</f>
        <v>0</v>
      </c>
      <c r="P667" s="35">
        <f>IFERROR(VLOOKUP($G667,[1]нормы!$A$21:$BC$151,19,0),"")</f>
        <v>0</v>
      </c>
      <c r="Q667" s="35">
        <f>IFERROR(VLOOKUP($G667,[1]нормы!$A$21:$BC$151,23,0),"")</f>
        <v>0</v>
      </c>
      <c r="R667" s="231">
        <f>IFERROR(VLOOKUP($G667,[1]нормы!$A$21:$BC$151,29,0),"")</f>
        <v>0</v>
      </c>
      <c r="S667" s="35">
        <f>IFERROR(VLOOKUP($G667,[1]нормы!$A$21:$BC$151,31,0),"")</f>
        <v>0</v>
      </c>
      <c r="T667" s="32">
        <f>IFERROR(VLOOKUP($G667,[1]нормы!$A$21:$BC$151,25,0),"")</f>
        <v>0</v>
      </c>
      <c r="U667" s="235" t="str">
        <f>IFERROR(W667/(((100*Y667/Y668)*I667)/100),"")</f>
        <v/>
      </c>
      <c r="V667" s="234" t="str">
        <f>IFERROR(VLOOKUP($G667,нормы!$A$14:$BC$57,38,0),"")</f>
        <v/>
      </c>
      <c r="W667" s="154"/>
      <c r="X667" s="238"/>
      <c r="Y667" s="152" t="str">
        <f>IFERROR(VLOOKUP($G667,нормы!$A$14:$BC$57,42,0)*W667,"")</f>
        <v/>
      </c>
      <c r="Z667" s="163">
        <f>IFERROR(VLOOKUP($G667,нормы!$A$14:$BC$57,14,0)*W667/1000,0)</f>
        <v>0</v>
      </c>
      <c r="AA667" s="56"/>
      <c r="AB667" s="58"/>
      <c r="AC667" s="58"/>
      <c r="AD667" s="58"/>
      <c r="AE667" s="57"/>
      <c r="AF667" s="161"/>
      <c r="AG667" s="392"/>
      <c r="AH667" s="395"/>
      <c r="AI667" s="398"/>
      <c r="AJ667" s="409"/>
      <c r="AK667" s="361"/>
      <c r="AL667" s="361"/>
      <c r="AM667" s="361"/>
      <c r="AN667" s="291">
        <f>IFERROR(Y667*AJ662/Y668,)</f>
        <v>0</v>
      </c>
      <c r="AO667" s="197" t="str">
        <f>IFERROR(VLOOKUP($G667,нормы!$A$14:$BC$57,53,0)*$W667,"")</f>
        <v/>
      </c>
      <c r="AP667" s="292">
        <f>IFERROR(Y667*AI662/Y668,)</f>
        <v>0</v>
      </c>
      <c r="AQ667" s="197" t="str">
        <f>IFERROR(VLOOKUP($G667,нормы!$A$14:$BC$57,54,0)*$W667,"")</f>
        <v/>
      </c>
      <c r="AR667" s="290">
        <f>IFERROR(AS667/SUM(AS662:AS667)*AL662,0)</f>
        <v>0</v>
      </c>
      <c r="AS667" s="197" t="str">
        <f>IFERROR(VLOOKUP($G667,нормы!$A$14:$BC$57,55,0)*W667,"")</f>
        <v/>
      </c>
      <c r="AT667" s="292">
        <f>IFERROR(AU667/SUM(AU662:AU667)*AM662,0)</f>
        <v>0</v>
      </c>
      <c r="AU667" s="197" t="str">
        <f>IFERROR(VLOOKUP($G667,нормы!$A$14:$BI$57,56,0)*W667,"")</f>
        <v/>
      </c>
      <c r="AV667" s="292">
        <f>IFERROR(AW667/SUM(AW662:AW667)*AK662,0)</f>
        <v>0</v>
      </c>
      <c r="AW667" s="202" t="str">
        <f>IFERROR(VLOOKUP($G667,нормы!$A$14:$BI$57,57,0)*W667,"")</f>
        <v/>
      </c>
      <c r="AX667" s="56"/>
      <c r="AY667" s="203" t="str">
        <f>IFERROR(VLOOKUP($G667,нормы!$A$14:$BI$57,58,0)*W667,"")</f>
        <v/>
      </c>
      <c r="AZ667" s="206"/>
      <c r="BA667" s="200" t="str">
        <f>IFERROR(VLOOKUP($G667,нормы!$A$14:$BI$57,61,0)*$W667,"")</f>
        <v/>
      </c>
      <c r="BB667" s="56"/>
      <c r="BC667" s="203" t="str">
        <f>IFERROR(VLOOKUP($G667,нормы!$A$14:$BI$57,60,0)*W667,"")</f>
        <v/>
      </c>
      <c r="BD667" s="200" t="str">
        <f>IFERROR(VLOOKUP($G667,нормы!$A$14:$BG$57,44,0),"")</f>
        <v/>
      </c>
      <c r="BE667" s="199" t="str">
        <f>IFERROR(W667/VLOOKUP($G667,нормы!$A$14:$BI$57,45,0),"")</f>
        <v/>
      </c>
    </row>
    <row r="668" spans="1:57" s="1" customFormat="1" ht="29.4" customHeight="1" thickBot="1" x14ac:dyDescent="0.45">
      <c r="A668" s="37" t="str">
        <f t="shared" si="266"/>
        <v>11Н</v>
      </c>
      <c r="B668" s="59"/>
      <c r="C668" s="51"/>
      <c r="D668" s="51"/>
      <c r="E668" s="51"/>
      <c r="F668" s="295" t="s">
        <v>149</v>
      </c>
      <c r="G668" s="51"/>
      <c r="H668" s="51"/>
      <c r="I668" s="60"/>
      <c r="J668" s="60"/>
      <c r="K668" s="319" t="s">
        <v>213</v>
      </c>
      <c r="L668" s="316"/>
      <c r="M668" s="303" t="s">
        <v>213</v>
      </c>
      <c r="N668" s="317">
        <f>SUM(N662:N667)</f>
        <v>0</v>
      </c>
      <c r="O668" s="304" t="s">
        <v>216</v>
      </c>
      <c r="P668" s="318">
        <f>N668*8.937/1000</f>
        <v>0</v>
      </c>
      <c r="Q668" s="305" t="s">
        <v>215</v>
      </c>
      <c r="R668" s="61"/>
      <c r="S668" s="61"/>
      <c r="T668" s="61"/>
      <c r="U668" s="109"/>
      <c r="V668" s="109"/>
      <c r="W668" s="94"/>
      <c r="X668" s="155"/>
      <c r="Y668" s="96">
        <f>SUM(Y662:Y667)</f>
        <v>0</v>
      </c>
      <c r="Z668" s="164">
        <f>SUM(Z662:Z667)</f>
        <v>0</v>
      </c>
      <c r="AA668" s="62"/>
      <c r="AB668" s="62"/>
      <c r="AC668" s="62"/>
      <c r="AD668" s="62"/>
      <c r="AE668" s="62"/>
      <c r="AF668" s="62"/>
      <c r="AG668" s="162" t="s">
        <v>140</v>
      </c>
      <c r="AH668" s="162" t="s">
        <v>141</v>
      </c>
      <c r="AI668" s="162" t="s">
        <v>142</v>
      </c>
      <c r="AJ668" s="91" t="s">
        <v>126</v>
      </c>
      <c r="AK668" s="198" t="s">
        <v>136</v>
      </c>
      <c r="AL668" s="198" t="s">
        <v>137</v>
      </c>
      <c r="AM668" s="198" t="s">
        <v>138</v>
      </c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53" t="str">
        <f>IFERROR(W668/VLOOKUP($G668,нормы!$A$14:$BI$15,28,0),"")</f>
        <v/>
      </c>
    </row>
    <row r="669" spans="1:57" s="1" customFormat="1" ht="21.6" customHeight="1" x14ac:dyDescent="0.4">
      <c r="A669" s="37" t="str">
        <f t="shared" si="266"/>
        <v>11Н</v>
      </c>
      <c r="B669" s="12">
        <f>B667</f>
        <v>46033</v>
      </c>
      <c r="C669" s="97"/>
      <c r="D669" s="97">
        <v>2</v>
      </c>
      <c r="E669" s="29"/>
      <c r="F669" s="151" t="str">
        <f>IFERROR(VLOOKUP($G669,нормы!$A$14:$BC$57,2,0),"")</f>
        <v/>
      </c>
      <c r="G669" s="93"/>
      <c r="H669" s="54">
        <f>IF(C669=1,"Кульков С.А.", IF(C669=2,"Чудаков А.А.",IF(C669=3,"Королев В.Н.",IF(C669=4,"Николашин М.П.",IF(C669=5," Кульков С.А.",IF(C669=6,"А.А. Чудаков",IF(C669=7,"В.Н. Королев",IF(C669=8,"М.П. Николашин",0))))))))</f>
        <v>0</v>
      </c>
      <c r="I669" s="88" t="s">
        <v>211</v>
      </c>
      <c r="J669" s="332"/>
      <c r="K669" s="30">
        <f>IFERROR(VLOOKUP($G669,[1]нормы!$A$21:$BC$151,15,0),"")</f>
        <v>0</v>
      </c>
      <c r="L669" s="31">
        <f>IFERROR(VLOOKUP($G669,[1]нормы!$A$21:$BC$151,17,0),"")</f>
        <v>0</v>
      </c>
      <c r="M669" s="310">
        <f>IFERROR(VLOOKUP($G669,[1]нормы!$A$21:$BC$151,27,0),"")</f>
        <v>0</v>
      </c>
      <c r="N669" s="311" t="str">
        <f>IFERROR(Y669/Y675*(1.1*J669*I674),"")</f>
        <v/>
      </c>
      <c r="O669" s="300">
        <f>IFERROR(VLOOKUP($G669,[1]нормы!$A$21:$BC$151,21,0),"")</f>
        <v>0</v>
      </c>
      <c r="P669" s="35">
        <f>IFERROR(VLOOKUP($G669,[1]нормы!$A$21:$BC$151,19,0),"")</f>
        <v>0</v>
      </c>
      <c r="Q669" s="35">
        <f>IFERROR(VLOOKUP($G669,[1]нормы!$A$21:$BC$151,23,0),"")</f>
        <v>0</v>
      </c>
      <c r="R669" s="231">
        <f>IFERROR(VLOOKUP($G669,[1]нормы!$A$21:$BC$151,29,0),"")</f>
        <v>0</v>
      </c>
      <c r="S669" s="35">
        <f>IFERROR(VLOOKUP($G669,[1]нормы!$A$21:$BC$151,31,0),"")</f>
        <v>0</v>
      </c>
      <c r="T669" s="32">
        <f>IFERROR(VLOOKUP($G669,[1]нормы!$A$21:$BC$151,25,0),"")</f>
        <v>0</v>
      </c>
      <c r="U669" s="232" t="str">
        <f>IFERROR(W669/(((100*Y669/Y675)*I674)/100),"")</f>
        <v/>
      </c>
      <c r="V669" s="234" t="str">
        <f>IFERROR(VLOOKUP($G669,нормы!$A$14:$BC$57,38,0),"")</f>
        <v/>
      </c>
      <c r="W669" s="136"/>
      <c r="X669" s="236"/>
      <c r="Y669" s="152" t="str">
        <f>IFERROR(VLOOKUP($G669,нормы!$A$14:$BC$57,42,0)*W669,"")</f>
        <v/>
      </c>
      <c r="Z669" s="163">
        <f>IFERROR(VLOOKUP($G669,нормы!$A$14:$BC$57,14,0)*W669/1000,0)</f>
        <v>0</v>
      </c>
      <c r="AA669" s="33"/>
      <c r="AB669" s="36"/>
      <c r="AC669" s="36"/>
      <c r="AD669" s="36"/>
      <c r="AE669" s="34"/>
      <c r="AF669" s="159"/>
      <c r="AG669" s="390"/>
      <c r="AH669" s="393"/>
      <c r="AI669" s="396"/>
      <c r="AJ669" s="407">
        <f>AG669+AH669</f>
        <v>0</v>
      </c>
      <c r="AK669" s="359"/>
      <c r="AL669" s="359"/>
      <c r="AM669" s="359"/>
      <c r="AN669" s="287">
        <f>IFERROR(Y669*AJ669/Y675,)</f>
        <v>0</v>
      </c>
      <c r="AO669" s="197" t="str">
        <f>IFERROR(VLOOKUP($G669,нормы!$A$14:$BC$57,53,0)*$W669,"")</f>
        <v/>
      </c>
      <c r="AP669" s="288">
        <f>IFERROR(Y669*AI669/Y675,)</f>
        <v>0</v>
      </c>
      <c r="AQ669" s="197" t="str">
        <f>IFERROR(VLOOKUP($G669,нормы!$A$14:$BC$57,54,0)*$W669,"")</f>
        <v/>
      </c>
      <c r="AR669" s="288">
        <f>IFERROR(AS669/SUM(AS669:AS674)*AL669,0)</f>
        <v>0</v>
      </c>
      <c r="AS669" s="197" t="str">
        <f>IFERROR(VLOOKUP($G669,нормы!$A$14:$BC$57,55,0)*W669,"")</f>
        <v/>
      </c>
      <c r="AT669" s="288">
        <f>IFERROR(AU669/SUM(AU669:AU674)*AM669,0)</f>
        <v>0</v>
      </c>
      <c r="AU669" s="197" t="str">
        <f>IFERROR(VLOOKUP($G669,нормы!$A$14:$BI$57,56,0)*W669,"")</f>
        <v/>
      </c>
      <c r="AV669" s="288">
        <f>IFERROR(AW669/SUM(AW669:AW674)*AK669,0)</f>
        <v>0</v>
      </c>
      <c r="AW669" s="202" t="str">
        <f>IFERROR(VLOOKUP($G669,нормы!$A$14:$BI$57,57,0)*W669,"")</f>
        <v/>
      </c>
      <c r="AX669" s="33"/>
      <c r="AY669" s="203" t="str">
        <f>IFERROR(VLOOKUP($G669,нормы!$A$14:$BI$57,58,0)*W669,"")</f>
        <v/>
      </c>
      <c r="AZ669" s="204"/>
      <c r="BA669" s="200" t="str">
        <f>IFERROR(VLOOKUP($G669,нормы!$A$14:$BI$57,61,0)*$W669,"")</f>
        <v/>
      </c>
      <c r="BB669" s="33"/>
      <c r="BC669" s="203" t="str">
        <f>IFERROR(VLOOKUP($G669,нормы!$A$14:$BI$57,60,0)*W669,"")</f>
        <v/>
      </c>
      <c r="BD669" s="200" t="str">
        <f>IFERROR(VLOOKUP($G669,нормы!$A$14:$BG$57,44,0),"")</f>
        <v/>
      </c>
      <c r="BE669" s="199" t="str">
        <f>IFERROR(W669/VLOOKUP($G669,нормы!$A$14:$BI$57,45,0),"")</f>
        <v/>
      </c>
    </row>
    <row r="670" spans="1:57" s="1" customFormat="1" ht="21.6" customHeight="1" x14ac:dyDescent="0.4">
      <c r="A670" s="37" t="str">
        <f t="shared" si="266"/>
        <v>11Н</v>
      </c>
      <c r="B670" s="12">
        <f t="shared" ref="B670:D674" si="269">B669</f>
        <v>46033</v>
      </c>
      <c r="C670" s="97">
        <f t="shared" si="269"/>
        <v>0</v>
      </c>
      <c r="D670" s="97">
        <f t="shared" si="269"/>
        <v>2</v>
      </c>
      <c r="E670" s="54"/>
      <c r="F670" s="151" t="str">
        <f>IFERROR(VLOOKUP($G670,нормы!$A$14:$BC$57,2,0),"")</f>
        <v/>
      </c>
      <c r="G670" s="93"/>
      <c r="H670" s="54">
        <f t="shared" ref="H670:H674" si="270">IF(C670=1,"Кульков С.А.", IF(C670=2,"Чудаков А.А.",IF(C670=3,"Королев В.Н.",IF(C670=4,"Николашин М.П.",IF(C670=5," Кульков С.А.",IF(C670=6,"А.А. Чудаков",IF(C670=7,"В.Н. Королев",IF(C670=8,"М.П. Николашин",0))))))))</f>
        <v>0</v>
      </c>
      <c r="I670" s="55"/>
      <c r="J670" s="333"/>
      <c r="K670" s="30">
        <f>IFERROR(VLOOKUP($G670,[1]нормы!$A$21:$BC$151,15,0),"")</f>
        <v>0</v>
      </c>
      <c r="L670" s="31">
        <f>IFERROR(VLOOKUP($G670,[1]нормы!$A$21:$BC$151,17,0),"")</f>
        <v>0</v>
      </c>
      <c r="M670" s="306">
        <f>IFERROR(VLOOKUP($G670,[1]нормы!$A$21:$BC$151,27,0),"")</f>
        <v>0</v>
      </c>
      <c r="N670" s="307" t="str">
        <f>IFERROR(Y670/Y675*(1.1*J669*I674),"")</f>
        <v/>
      </c>
      <c r="O670" s="300">
        <f>IFERROR(VLOOKUP($G670,[1]нормы!$A$21:$BC$151,21,0),"")</f>
        <v>0</v>
      </c>
      <c r="P670" s="35">
        <f>IFERROR(VLOOKUP($G670,[1]нормы!$A$21:$BC$151,19,0),"")</f>
        <v>0</v>
      </c>
      <c r="Q670" s="35">
        <f>IFERROR(VLOOKUP($G670,[1]нормы!$A$21:$BC$151,23,0),"")</f>
        <v>0</v>
      </c>
      <c r="R670" s="231">
        <f>IFERROR(VLOOKUP($G670,[1]нормы!$A$21:$BC$151,29,0),"")</f>
        <v>0</v>
      </c>
      <c r="S670" s="35">
        <f>IFERROR(VLOOKUP($G670,[1]нормы!$A$21:$BC$151,31,0),"")</f>
        <v>0</v>
      </c>
      <c r="T670" s="32">
        <f>IFERROR(VLOOKUP($G670,[1]нормы!$A$21:$BC$151,25,0),"")</f>
        <v>0</v>
      </c>
      <c r="U670" s="233" t="str">
        <f>IFERROR(W670/(((100*Y670/Y675)*I674)/100),"")</f>
        <v/>
      </c>
      <c r="V670" s="234" t="str">
        <f>IFERROR(VLOOKUP($G670,нормы!$A$14:$BC$57,38,0),"")</f>
        <v/>
      </c>
      <c r="W670" s="136"/>
      <c r="X670" s="237"/>
      <c r="Y670" s="152" t="str">
        <f>IFERROR(VLOOKUP($G670,нормы!$A$14:$BC$57,42,0)*W670,"")</f>
        <v/>
      </c>
      <c r="Z670" s="163">
        <f>IFERROR(VLOOKUP($G670,нормы!$A$14:$BC$57,14,0)*W670/1000,0)</f>
        <v>0</v>
      </c>
      <c r="AA670" s="142"/>
      <c r="AB670" s="35"/>
      <c r="AC670" s="35"/>
      <c r="AD670" s="35"/>
      <c r="AE670" s="31"/>
      <c r="AF670" s="160"/>
      <c r="AG670" s="391"/>
      <c r="AH670" s="394"/>
      <c r="AI670" s="397"/>
      <c r="AJ670" s="408"/>
      <c r="AK670" s="360"/>
      <c r="AL670" s="360"/>
      <c r="AM670" s="360"/>
      <c r="AN670" s="289">
        <f>IFERROR(Y670*AJ669/Y675,)</f>
        <v>0</v>
      </c>
      <c r="AO670" s="197" t="str">
        <f>IFERROR(VLOOKUP($G670,нормы!$A$14:$BC$57,53,0)*$W670,"")</f>
        <v/>
      </c>
      <c r="AP670" s="290">
        <f>IFERROR(Y670*AI669/Y675,)</f>
        <v>0</v>
      </c>
      <c r="AQ670" s="197" t="str">
        <f>IFERROR(VLOOKUP($G670,нормы!$A$14:$BC$57,54,0)*$W670,"")</f>
        <v/>
      </c>
      <c r="AR670" s="290">
        <f>IFERROR(AS670/SUM(AS669:AS674)*AL669,0)</f>
        <v>0</v>
      </c>
      <c r="AS670" s="197" t="str">
        <f>IFERROR(VLOOKUP($G670,нормы!$A$14:$BC$57,55,0)*W670,"")</f>
        <v/>
      </c>
      <c r="AT670" s="290">
        <f>IFERROR(AU670/SUM(AU669:AU674)*AM669,0)</f>
        <v>0</v>
      </c>
      <c r="AU670" s="197" t="str">
        <f>IFERROR(VLOOKUP($G670,нормы!$A$14:$BI$57,56,0)*W670,"")</f>
        <v/>
      </c>
      <c r="AV670" s="290">
        <f>IFERROR(AW670/SUM(AW669:AW674)*AK669,0)</f>
        <v>0</v>
      </c>
      <c r="AW670" s="202" t="str">
        <f>IFERROR(VLOOKUP($G670,нормы!$A$14:$BI$57,57,0)*W670,"")</f>
        <v/>
      </c>
      <c r="AX670" s="30"/>
      <c r="AY670" s="203" t="str">
        <f>IFERROR(VLOOKUP($G670,нормы!$A$14:$BI$57,58,0)*W670,"")</f>
        <v/>
      </c>
      <c r="AZ670" s="205"/>
      <c r="BA670" s="200" t="str">
        <f>IFERROR(VLOOKUP($G670,нормы!$A$14:$BI$57,61,0)*$W670,"")</f>
        <v/>
      </c>
      <c r="BB670" s="30"/>
      <c r="BC670" s="203" t="str">
        <f>IFERROR(VLOOKUP($G670,нормы!$A$14:$BI$57,60,0)*W670,"")</f>
        <v/>
      </c>
      <c r="BD670" s="200" t="str">
        <f>IFERROR(VLOOKUP($G670,нормы!$A$14:$BG$57,44,0),"")</f>
        <v/>
      </c>
      <c r="BE670" s="199" t="str">
        <f>IFERROR(W670/VLOOKUP($G670,нормы!$A$14:$BI$57,45,0),"")</f>
        <v/>
      </c>
    </row>
    <row r="671" spans="1:57" s="1" customFormat="1" ht="20.25" customHeight="1" x14ac:dyDescent="0.4">
      <c r="A671" s="37" t="str">
        <f t="shared" si="266"/>
        <v>11Н</v>
      </c>
      <c r="B671" s="12">
        <f t="shared" si="269"/>
        <v>46033</v>
      </c>
      <c r="C671" s="97">
        <f t="shared" si="269"/>
        <v>0</v>
      </c>
      <c r="D671" s="97">
        <f t="shared" si="269"/>
        <v>2</v>
      </c>
      <c r="E671" s="54"/>
      <c r="F671" s="151" t="str">
        <f>IFERROR(VLOOKUP($G671,нормы!$A$14:$BC$57,2,0),"")</f>
        <v/>
      </c>
      <c r="G671" s="38"/>
      <c r="H671" s="54">
        <f t="shared" si="270"/>
        <v>0</v>
      </c>
      <c r="I671" s="89" t="s">
        <v>212</v>
      </c>
      <c r="J671" s="333"/>
      <c r="K671" s="30">
        <f>IFERROR(VLOOKUP($G671,[1]нормы!$A$21:$BC$151,15,0),"")</f>
        <v>0</v>
      </c>
      <c r="L671" s="31">
        <f>IFERROR(VLOOKUP($G671,[1]нормы!$A$21:$BC$151,17,0),"")</f>
        <v>0</v>
      </c>
      <c r="M671" s="306">
        <f>IFERROR(VLOOKUP($G671,[1]нормы!$A$21:$BC$151,27,0),"")</f>
        <v>0</v>
      </c>
      <c r="N671" s="307" t="str">
        <f>IFERROR(Y671/Y675*(1.1*J669*I674),"")</f>
        <v/>
      </c>
      <c r="O671" s="300">
        <f>IFERROR(VLOOKUP($G671,[1]нормы!$A$21:$BC$151,21,0),"")</f>
        <v>0</v>
      </c>
      <c r="P671" s="35">
        <f>IFERROR(VLOOKUP($G671,[1]нормы!$A$21:$BC$151,19,0),"")</f>
        <v>0</v>
      </c>
      <c r="Q671" s="35">
        <f>IFERROR(VLOOKUP($G671,[1]нормы!$A$21:$BC$151,23,0),"")</f>
        <v>0</v>
      </c>
      <c r="R671" s="231">
        <f>IFERROR(VLOOKUP($G671,[1]нормы!$A$21:$BC$151,29,0),"")</f>
        <v>0</v>
      </c>
      <c r="S671" s="35">
        <f>IFERROR(VLOOKUP($G671,[1]нормы!$A$21:$BC$151,31,0),"")</f>
        <v>0</v>
      </c>
      <c r="T671" s="32">
        <f>IFERROR(VLOOKUP($G671,[1]нормы!$A$21:$BC$151,25,0),"")</f>
        <v>0</v>
      </c>
      <c r="U671" s="233" t="str">
        <f>IFERROR(W671/(((100*Y671/Y675)*I674)/100),"")</f>
        <v/>
      </c>
      <c r="V671" s="234" t="str">
        <f>IFERROR(VLOOKUP($G671,нормы!$A$14:$BC$57,38,0),"")</f>
        <v/>
      </c>
      <c r="W671" s="136"/>
      <c r="X671" s="237"/>
      <c r="Y671" s="152" t="str">
        <f>IFERROR(VLOOKUP($G671,нормы!$A$14:$BC$57,42,0)*W671,"")</f>
        <v/>
      </c>
      <c r="Z671" s="163">
        <f>IFERROR(VLOOKUP($G671,нормы!$A$14:$BC$57,14,0)*W671/1000,0)</f>
        <v>0</v>
      </c>
      <c r="AA671" s="30"/>
      <c r="AB671" s="35"/>
      <c r="AC671" s="35"/>
      <c r="AD671" s="35"/>
      <c r="AE671" s="31"/>
      <c r="AF671" s="160"/>
      <c r="AG671" s="391"/>
      <c r="AH671" s="394"/>
      <c r="AI671" s="397"/>
      <c r="AJ671" s="408"/>
      <c r="AK671" s="360"/>
      <c r="AL671" s="360"/>
      <c r="AM671" s="360"/>
      <c r="AN671" s="289">
        <f>IFERROR(Y671*AJ669/Y675,)</f>
        <v>0</v>
      </c>
      <c r="AO671" s="197" t="str">
        <f>IFERROR(VLOOKUP($G671,нормы!$A$14:$BC$57,53,0)*$W671,"")</f>
        <v/>
      </c>
      <c r="AP671" s="290">
        <f>IFERROR(Y671*AI669/Y675,)</f>
        <v>0</v>
      </c>
      <c r="AQ671" s="197" t="str">
        <f>IFERROR(VLOOKUP($G671,нормы!$A$14:$BC$57,54,0)*$W671,"")</f>
        <v/>
      </c>
      <c r="AR671" s="290">
        <f>IFERROR(AS671/SUM(AS669:AS674)*AL669,0)</f>
        <v>0</v>
      </c>
      <c r="AS671" s="197" t="str">
        <f>IFERROR(VLOOKUP($G671,нормы!$A$14:$BC$57,55,0)*W671,"")</f>
        <v/>
      </c>
      <c r="AT671" s="290">
        <f>IFERROR(AU671/SUM(AU669:AU674)*AM669,0)</f>
        <v>0</v>
      </c>
      <c r="AU671" s="197" t="str">
        <f>IFERROR(VLOOKUP($G671,нормы!$A$14:$BI$57,56,0)*W671,"")</f>
        <v/>
      </c>
      <c r="AV671" s="290">
        <f>IFERROR(AW671/SUM(AW669:AW674)*AK669,0)</f>
        <v>0</v>
      </c>
      <c r="AW671" s="202" t="str">
        <f>IFERROR(VLOOKUP($G671,нормы!$A$14:$BI$57,57,0)*W671,"")</f>
        <v/>
      </c>
      <c r="AX671" s="30"/>
      <c r="AY671" s="203" t="str">
        <f>IFERROR(VLOOKUP($G671,нормы!$A$14:$BI$57,58,0)*W671,"")</f>
        <v/>
      </c>
      <c r="AZ671" s="205"/>
      <c r="BA671" s="200" t="str">
        <f>IFERROR(VLOOKUP($G671,нормы!$A$14:$BI$57,61,0)*$W671,"")</f>
        <v/>
      </c>
      <c r="BB671" s="30"/>
      <c r="BC671" s="203" t="str">
        <f>IFERROR(VLOOKUP($G671,нормы!$A$14:$BI$57,60,0)*W671,"")</f>
        <v/>
      </c>
      <c r="BD671" s="200" t="str">
        <f>IFERROR(VLOOKUP($G671,нормы!$A$14:$BG$57,44,0),"")</f>
        <v/>
      </c>
      <c r="BE671" s="199" t="str">
        <f>IFERROR(W671/VLOOKUP($G671,нормы!$A$14:$BI$57,45,0),"")</f>
        <v/>
      </c>
    </row>
    <row r="672" spans="1:57" s="1" customFormat="1" ht="20.25" customHeight="1" x14ac:dyDescent="0.4">
      <c r="A672" s="37" t="str">
        <f t="shared" si="266"/>
        <v>11Н</v>
      </c>
      <c r="B672" s="12">
        <f t="shared" si="269"/>
        <v>46033</v>
      </c>
      <c r="C672" s="97">
        <f t="shared" si="269"/>
        <v>0</v>
      </c>
      <c r="D672" s="97">
        <f t="shared" si="269"/>
        <v>2</v>
      </c>
      <c r="E672" s="54"/>
      <c r="F672" s="151" t="str">
        <f>IFERROR(VLOOKUP($G672,нормы!$A$14:$BC$57,2,0),"")</f>
        <v/>
      </c>
      <c r="G672" s="93"/>
      <c r="H672" s="54">
        <f t="shared" si="270"/>
        <v>0</v>
      </c>
      <c r="I672" s="55"/>
      <c r="J672" s="333"/>
      <c r="K672" s="30">
        <f>IFERROR(VLOOKUP($G672,[1]нормы!$A$21:$BC$151,15,0),"")</f>
        <v>0</v>
      </c>
      <c r="L672" s="31">
        <f>IFERROR(VLOOKUP($G672,[1]нормы!$A$21:$BC$151,17,0),"")</f>
        <v>0</v>
      </c>
      <c r="M672" s="306">
        <f>IFERROR(VLOOKUP($G672,[1]нормы!$A$21:$BC$151,27,0),"")</f>
        <v>0</v>
      </c>
      <c r="N672" s="307" t="str">
        <f>IFERROR(Y672/Y675*(1.1*J669*I677),"")</f>
        <v/>
      </c>
      <c r="O672" s="300">
        <f>IFERROR(VLOOKUP($G672,[1]нормы!$A$21:$BC$151,21,0),"")</f>
        <v>0</v>
      </c>
      <c r="P672" s="35">
        <f>IFERROR(VLOOKUP($G672,[1]нормы!$A$21:$BC$151,19,0),"")</f>
        <v>0</v>
      </c>
      <c r="Q672" s="35">
        <f>IFERROR(VLOOKUP($G672,[1]нормы!$A$21:$BC$151,23,0),"")</f>
        <v>0</v>
      </c>
      <c r="R672" s="231">
        <f>IFERROR(VLOOKUP($G672,[1]нормы!$A$21:$BC$151,29,0),"")</f>
        <v>0</v>
      </c>
      <c r="S672" s="35">
        <f>IFERROR(VLOOKUP($G672,[1]нормы!$A$21:$BC$151,31,0),"")</f>
        <v>0</v>
      </c>
      <c r="T672" s="32">
        <f>IFERROR(VLOOKUP($G672,[1]нормы!$A$21:$BC$151,25,0),"")</f>
        <v>0</v>
      </c>
      <c r="U672" s="233" t="str">
        <f>IFERROR(W672/(((100*Y672/Y675)*I674)/100),"")</f>
        <v/>
      </c>
      <c r="V672" s="234" t="str">
        <f>IFERROR(VLOOKUP($G672,нормы!$A$14:$BC$57,38,0),"")</f>
        <v/>
      </c>
      <c r="W672" s="136"/>
      <c r="X672" s="237"/>
      <c r="Y672" s="152" t="str">
        <f>IFERROR(VLOOKUP($G672,нормы!$A$14:$BC$57,42,0)*W672,"")</f>
        <v/>
      </c>
      <c r="Z672" s="163">
        <f>IFERROR(VLOOKUP($G672,нормы!$A$14:$BC$57,14,0)*W672/1000,0)</f>
        <v>0</v>
      </c>
      <c r="AA672" s="30"/>
      <c r="AB672" s="35"/>
      <c r="AC672" s="35"/>
      <c r="AD672" s="35"/>
      <c r="AE672" s="31"/>
      <c r="AF672" s="160"/>
      <c r="AG672" s="391"/>
      <c r="AH672" s="394"/>
      <c r="AI672" s="397"/>
      <c r="AJ672" s="408"/>
      <c r="AK672" s="360"/>
      <c r="AL672" s="360"/>
      <c r="AM672" s="360"/>
      <c r="AN672" s="289">
        <f>IFERROR(Y672*AJ669/Y675,)</f>
        <v>0</v>
      </c>
      <c r="AO672" s="197" t="str">
        <f>IFERROR(VLOOKUP($G672,нормы!$A$14:$BC$57,53,0)*$W672,"")</f>
        <v/>
      </c>
      <c r="AP672" s="290">
        <f>IFERROR(Y672*AI669/Y675,)</f>
        <v>0</v>
      </c>
      <c r="AQ672" s="197" t="str">
        <f>IFERROR(VLOOKUP($G672,нормы!$A$14:$BC$57,54,0)*$W672,"")</f>
        <v/>
      </c>
      <c r="AR672" s="290">
        <f>IFERROR(AS672/SUM(AS669:AS674)*AL669,0)</f>
        <v>0</v>
      </c>
      <c r="AS672" s="197" t="str">
        <f>IFERROR(VLOOKUP($G672,нормы!$A$14:$BC$57,55,0)*W672,"")</f>
        <v/>
      </c>
      <c r="AT672" s="290">
        <f>IFERROR(AU672/SUM(AU669:AU674)*AM669,0)</f>
        <v>0</v>
      </c>
      <c r="AU672" s="197" t="str">
        <f>IFERROR(VLOOKUP($G672,нормы!$A$14:$BI$57,56,0)*W672,"")</f>
        <v/>
      </c>
      <c r="AV672" s="290">
        <f>IFERROR(AW672/SUM(AW669:AW674)*AK669,0)</f>
        <v>0</v>
      </c>
      <c r="AW672" s="202" t="str">
        <f>IFERROR(VLOOKUP($G672,нормы!$A$14:$BI$57,57,0)*W672,"")</f>
        <v/>
      </c>
      <c r="AX672" s="30"/>
      <c r="AY672" s="203" t="str">
        <f>IFERROR(VLOOKUP($G672,нормы!$A$14:$BI$57,58,0)*W672,"")</f>
        <v/>
      </c>
      <c r="AZ672" s="205"/>
      <c r="BA672" s="200" t="str">
        <f>IFERROR(VLOOKUP($G672,нормы!$A$14:$BI$57,61,0)*$W672,"")</f>
        <v/>
      </c>
      <c r="BB672" s="30"/>
      <c r="BC672" s="203" t="str">
        <f>IFERROR(VLOOKUP($G672,нормы!$A$14:$BI$57,60,0)*W672,"")</f>
        <v/>
      </c>
      <c r="BD672" s="200" t="str">
        <f>IFERROR(VLOOKUP($G672,нормы!$A$14:$BG$57,44,0),"")</f>
        <v/>
      </c>
      <c r="BE672" s="199" t="str">
        <f>IFERROR(W672/VLOOKUP($G672,нормы!$A$14:$BI$57,45,0),"")</f>
        <v/>
      </c>
    </row>
    <row r="673" spans="1:57" s="1" customFormat="1" ht="20.25" customHeight="1" x14ac:dyDescent="0.4">
      <c r="A673" s="37" t="str">
        <f t="shared" si="266"/>
        <v>11Н</v>
      </c>
      <c r="B673" s="12">
        <f t="shared" si="269"/>
        <v>46033</v>
      </c>
      <c r="C673" s="97">
        <f t="shared" si="269"/>
        <v>0</v>
      </c>
      <c r="D673" s="97">
        <f t="shared" si="269"/>
        <v>2</v>
      </c>
      <c r="E673" s="54"/>
      <c r="F673" s="151" t="str">
        <f>IFERROR(VLOOKUP($G673,нормы!$A$14:$BC$57,2,0),"")</f>
        <v/>
      </c>
      <c r="G673" s="38"/>
      <c r="H673" s="54">
        <f t="shared" si="270"/>
        <v>0</v>
      </c>
      <c r="I673" s="89" t="s">
        <v>73</v>
      </c>
      <c r="J673" s="333"/>
      <c r="K673" s="30">
        <f>IFERROR(VLOOKUP($G673,[1]нормы!$A$21:$BC$151,15,0),"")</f>
        <v>0</v>
      </c>
      <c r="L673" s="31">
        <f>IFERROR(VLOOKUP($G673,[1]нормы!$A$21:$BC$151,17,0),"")</f>
        <v>0</v>
      </c>
      <c r="M673" s="306">
        <f>IFERROR(VLOOKUP($G673,[1]нормы!$A$21:$BC$151,27,0),"")</f>
        <v>0</v>
      </c>
      <c r="N673" s="307" t="str">
        <f>IFERROR(Y673/Y675*(1.1*J669*I678),"")</f>
        <v/>
      </c>
      <c r="O673" s="300">
        <f>IFERROR(VLOOKUP($G673,[1]нормы!$A$21:$BC$151,21,0),"")</f>
        <v>0</v>
      </c>
      <c r="P673" s="35">
        <f>IFERROR(VLOOKUP($G673,[1]нормы!$A$21:$BC$151,19,0),"")</f>
        <v>0</v>
      </c>
      <c r="Q673" s="35">
        <f>IFERROR(VLOOKUP($G673,[1]нормы!$A$21:$BC$151,23,0),"")</f>
        <v>0</v>
      </c>
      <c r="R673" s="231">
        <f>IFERROR(VLOOKUP($G673,[1]нормы!$A$21:$BC$151,29,0),"")</f>
        <v>0</v>
      </c>
      <c r="S673" s="35">
        <f>IFERROR(VLOOKUP($G673,[1]нормы!$A$21:$BC$151,31,0),"")</f>
        <v>0</v>
      </c>
      <c r="T673" s="32">
        <f>IFERROR(VLOOKUP($G673,[1]нормы!$A$21:$BC$151,25,0),"")</f>
        <v>0</v>
      </c>
      <c r="U673" s="233" t="str">
        <f>IFERROR(W673/(((100*Y673/Y675)*I674)/100),"")</f>
        <v/>
      </c>
      <c r="V673" s="234" t="str">
        <f>IFERROR(VLOOKUP($G673,нормы!$A$14:$BC$57,38,0),"")</f>
        <v/>
      </c>
      <c r="W673" s="136"/>
      <c r="X673" s="237"/>
      <c r="Y673" s="152" t="str">
        <f>IFERROR(VLOOKUP($G673,нормы!$A$14:$BC$57,42,0)*W673,"")</f>
        <v/>
      </c>
      <c r="Z673" s="163">
        <f>IFERROR(VLOOKUP($G673,нормы!$A$14:$BC$57,14,0)*W673/1000,0)</f>
        <v>0</v>
      </c>
      <c r="AA673" s="30"/>
      <c r="AB673" s="35"/>
      <c r="AC673" s="35"/>
      <c r="AD673" s="35"/>
      <c r="AE673" s="31"/>
      <c r="AF673" s="160"/>
      <c r="AG673" s="391"/>
      <c r="AH673" s="394"/>
      <c r="AI673" s="397"/>
      <c r="AJ673" s="408"/>
      <c r="AK673" s="360"/>
      <c r="AL673" s="360"/>
      <c r="AM673" s="360"/>
      <c r="AN673" s="289">
        <f>IFERROR(Y673*AJ669/Y675,)</f>
        <v>0</v>
      </c>
      <c r="AO673" s="197" t="str">
        <f>IFERROR(VLOOKUP($G673,нормы!$A$14:$BC$57,53,0)*$W673,"")</f>
        <v/>
      </c>
      <c r="AP673" s="290">
        <f>IFERROR(Y673*AI669/Y675,)</f>
        <v>0</v>
      </c>
      <c r="AQ673" s="197" t="str">
        <f>IFERROR(VLOOKUP($G673,нормы!$A$14:$BC$57,54,0)*$W673,"")</f>
        <v/>
      </c>
      <c r="AR673" s="290">
        <f>IFERROR(AS673/SUM(AS669:AS674)*AL669,0)</f>
        <v>0</v>
      </c>
      <c r="AS673" s="197" t="str">
        <f>IFERROR(VLOOKUP($G673,нормы!$A$14:$BC$57,55,0)*W673,"")</f>
        <v/>
      </c>
      <c r="AT673" s="290">
        <f>IFERROR(AU673/SUM(AU669:AU674)*AM669,0)</f>
        <v>0</v>
      </c>
      <c r="AU673" s="197" t="str">
        <f>IFERROR(VLOOKUP($G673,нормы!$A$14:$BI$57,56,0)*W673,"")</f>
        <v/>
      </c>
      <c r="AV673" s="290">
        <f>IFERROR(AW673/SUM(AW669:AW674)*AK669,0)</f>
        <v>0</v>
      </c>
      <c r="AW673" s="202" t="str">
        <f>IFERROR(VLOOKUP($G673,нормы!$A$14:$BI$57,57,0)*W673,"")</f>
        <v/>
      </c>
      <c r="AX673" s="30"/>
      <c r="AY673" s="203" t="str">
        <f>IFERROR(VLOOKUP($G673,нормы!$A$14:$BI$57,58,0)*W673,"")</f>
        <v/>
      </c>
      <c r="AZ673" s="205"/>
      <c r="BA673" s="200" t="str">
        <f>IFERROR(VLOOKUP($G673,нормы!$A$14:$BI$57,61,0)*$W673,"")</f>
        <v/>
      </c>
      <c r="BB673" s="30"/>
      <c r="BC673" s="203" t="str">
        <f>IFERROR(VLOOKUP($G673,нормы!$A$14:$BI$57,60,0)*W673,"")</f>
        <v/>
      </c>
      <c r="BD673" s="200" t="str">
        <f>IFERROR(VLOOKUP($G673,нормы!$A$14:$BG$57,44,0),"")</f>
        <v/>
      </c>
      <c r="BE673" s="199" t="str">
        <f>IFERROR(W673/VLOOKUP($G673,нормы!$A$14:$BI$57,45,0),"")</f>
        <v/>
      </c>
    </row>
    <row r="674" spans="1:57" s="1" customFormat="1" ht="21" customHeight="1" thickBot="1" x14ac:dyDescent="0.45">
      <c r="A674" s="37" t="str">
        <f t="shared" si="266"/>
        <v>11Н</v>
      </c>
      <c r="B674" s="12">
        <f t="shared" si="269"/>
        <v>46033</v>
      </c>
      <c r="C674" s="97">
        <f t="shared" si="269"/>
        <v>0</v>
      </c>
      <c r="D674" s="97">
        <f t="shared" si="269"/>
        <v>2</v>
      </c>
      <c r="E674" s="54"/>
      <c r="F674" s="151" t="str">
        <f>IFERROR(VLOOKUP($G674,нормы!$A$14:$BC$57,2,0),"")</f>
        <v/>
      </c>
      <c r="G674" s="93"/>
      <c r="H674" s="63">
        <f t="shared" si="270"/>
        <v>0</v>
      </c>
      <c r="I674" s="153">
        <f>I670+I672</f>
        <v>0</v>
      </c>
      <c r="J674" s="334"/>
      <c r="K674" s="30">
        <f>IFERROR(VLOOKUP($G674,[1]нормы!$A$21:$BC$151,15,0),"")</f>
        <v>0</v>
      </c>
      <c r="L674" s="31">
        <f>IFERROR(VLOOKUP($G674,[1]нормы!$A$21:$BC$151,17,0),"")</f>
        <v>0</v>
      </c>
      <c r="M674" s="308">
        <f>IFERROR(VLOOKUP($G674,[1]нормы!$A$21:$BC$151,27,0),"")</f>
        <v>0</v>
      </c>
      <c r="N674" s="309" t="str">
        <f>IFERROR(Y674/Y675*(1.1*J669*I679),"")</f>
        <v/>
      </c>
      <c r="O674" s="300">
        <f>IFERROR(VLOOKUP($G674,[1]нормы!$A$21:$BC$151,21,0),"")</f>
        <v>0</v>
      </c>
      <c r="P674" s="35">
        <f>IFERROR(VLOOKUP($G674,[1]нормы!$A$21:$BC$151,19,0),"")</f>
        <v>0</v>
      </c>
      <c r="Q674" s="35">
        <f>IFERROR(VLOOKUP($G674,[1]нормы!$A$21:$BC$151,23,0),"")</f>
        <v>0</v>
      </c>
      <c r="R674" s="231">
        <f>IFERROR(VLOOKUP($G674,[1]нормы!$A$21:$BC$151,29,0),"")</f>
        <v>0</v>
      </c>
      <c r="S674" s="35">
        <f>IFERROR(VLOOKUP($G674,[1]нормы!$A$21:$BC$151,31,0),"")</f>
        <v>0</v>
      </c>
      <c r="T674" s="32">
        <f>IFERROR(VLOOKUP($G674,[1]нормы!$A$21:$BC$151,25,0),"")</f>
        <v>0</v>
      </c>
      <c r="U674" s="235" t="str">
        <f>IFERROR(W674/(((100*Y674/Y675)*I674)/100),"")</f>
        <v/>
      </c>
      <c r="V674" s="234" t="str">
        <f>IFERROR(VLOOKUP($G674,нормы!$A$14:$BC$57,38,0),"")</f>
        <v/>
      </c>
      <c r="W674" s="154"/>
      <c r="X674" s="238"/>
      <c r="Y674" s="152" t="str">
        <f>IFERROR(VLOOKUP($G674,нормы!$A$14:$BC$57,42,0)*W674,"")</f>
        <v/>
      </c>
      <c r="Z674" s="163">
        <f>IFERROR(VLOOKUP($G674,нормы!$A$14:$BC$57,14,0)*W674/1000,0)</f>
        <v>0</v>
      </c>
      <c r="AA674" s="56"/>
      <c r="AB674" s="58"/>
      <c r="AC674" s="58"/>
      <c r="AD674" s="58"/>
      <c r="AE674" s="57"/>
      <c r="AF674" s="161"/>
      <c r="AG674" s="392"/>
      <c r="AH674" s="395"/>
      <c r="AI674" s="398"/>
      <c r="AJ674" s="409"/>
      <c r="AK674" s="361"/>
      <c r="AL674" s="361"/>
      <c r="AM674" s="361"/>
      <c r="AN674" s="291">
        <f>IFERROR(Y674*AJ669/Y675,)</f>
        <v>0</v>
      </c>
      <c r="AO674" s="197" t="str">
        <f>IFERROR(VLOOKUP($G674,нормы!$A$14:$BC$57,53,0)*$W674,"")</f>
        <v/>
      </c>
      <c r="AP674" s="292">
        <f>IFERROR(Y674*AI669/Y675,)</f>
        <v>0</v>
      </c>
      <c r="AQ674" s="197" t="str">
        <f>IFERROR(VLOOKUP($G674,нормы!$A$14:$BC$57,54,0)*$W674,"")</f>
        <v/>
      </c>
      <c r="AR674" s="290">
        <f>IFERROR(AS674/SUM(AS669:AS674)*AL669,0)</f>
        <v>0</v>
      </c>
      <c r="AS674" s="197" t="str">
        <f>IFERROR(VLOOKUP($G674,нормы!$A$14:$BC$57,55,0)*W674,"")</f>
        <v/>
      </c>
      <c r="AT674" s="292">
        <f>IFERROR(AU674/SUM(AU669:AU674)*AM669,0)</f>
        <v>0</v>
      </c>
      <c r="AU674" s="197" t="str">
        <f>IFERROR(VLOOKUP($G674,нормы!$A$14:$BI$57,56,0)*W674,"")</f>
        <v/>
      </c>
      <c r="AV674" s="292">
        <f>IFERROR(AW674/SUM(AW669:AW674)*AK669,0)</f>
        <v>0</v>
      </c>
      <c r="AW674" s="202" t="str">
        <f>IFERROR(VLOOKUP($G674,нормы!$A$14:$BI$57,57,0)*W674,"")</f>
        <v/>
      </c>
      <c r="AX674" s="56"/>
      <c r="AY674" s="203" t="str">
        <f>IFERROR(VLOOKUP($G674,нормы!$A$14:$BI$57,58,0)*W674,"")</f>
        <v/>
      </c>
      <c r="AZ674" s="206"/>
      <c r="BA674" s="200" t="str">
        <f>IFERROR(VLOOKUP($G674,нормы!$A$14:$BI$57,61,0)*$W674,"")</f>
        <v/>
      </c>
      <c r="BB674" s="56"/>
      <c r="BC674" s="203" t="str">
        <f>IFERROR(VLOOKUP($G674,нормы!$A$14:$BI$57,60,0)*W674,"")</f>
        <v/>
      </c>
      <c r="BD674" s="200" t="str">
        <f>IFERROR(VLOOKUP($G674,нормы!$A$14:$BG$57,44,0),"")</f>
        <v/>
      </c>
      <c r="BE674" s="199" t="str">
        <f>IFERROR(W674/VLOOKUP($G674,нормы!$A$14:$BI$57,45,0),"")</f>
        <v/>
      </c>
    </row>
    <row r="675" spans="1:57" s="1" customFormat="1" ht="29.4" customHeight="1" thickBot="1" x14ac:dyDescent="0.45">
      <c r="A675" s="37" t="str">
        <f t="shared" si="266"/>
        <v>11Н</v>
      </c>
      <c r="B675" s="59"/>
      <c r="C675" s="51"/>
      <c r="D675" s="51"/>
      <c r="E675" s="51"/>
      <c r="F675" s="51"/>
      <c r="G675" s="51"/>
      <c r="H675" s="51"/>
      <c r="I675" s="60"/>
      <c r="J675" s="60"/>
      <c r="K675" s="319" t="s">
        <v>213</v>
      </c>
      <c r="L675" s="316"/>
      <c r="M675" s="303" t="s">
        <v>213</v>
      </c>
      <c r="N675" s="317">
        <f>SUM(N669:N674)</f>
        <v>0</v>
      </c>
      <c r="O675" s="304" t="s">
        <v>217</v>
      </c>
      <c r="P675" s="318">
        <f>N675*8.937/1000</f>
        <v>0</v>
      </c>
      <c r="Q675" s="305" t="s">
        <v>215</v>
      </c>
      <c r="R675" s="61"/>
      <c r="S675" s="61"/>
      <c r="T675" s="61"/>
      <c r="U675" s="109"/>
      <c r="V675" s="109"/>
      <c r="W675" s="94"/>
      <c r="X675" s="155"/>
      <c r="Y675" s="96">
        <f>SUM(Y669:Y674)</f>
        <v>0</v>
      </c>
      <c r="Z675" s="164">
        <f>SUM(Z669:Z674)</f>
        <v>0</v>
      </c>
      <c r="AA675" s="207">
        <f>(AA661+AA662+AA663+AA664+AA665+AA666+AA667+AA669+AA670+AA671+AA672+AA673+AA674)-AG662</f>
        <v>1</v>
      </c>
      <c r="AB675" s="208">
        <f>(AB661+AB662+AB663+AB664+AB665+AB666+AB667+AB669+AB670+AB671+AB672+AB673+AB674)-AH662</f>
        <v>2</v>
      </c>
      <c r="AC675" s="208">
        <f>(AC661+AC662+AC663+AC664+AC665+AC666+AC667+AC669+AC670+AC671+AC672+AC673+AC674)-AG669</f>
        <v>3</v>
      </c>
      <c r="AD675" s="208">
        <f>(AD661+AD662+AD663+AD664+AD665+AD666+AD667+AD669+AD670+AD671+AD672+AD673+AD674)-AH669</f>
        <v>4</v>
      </c>
      <c r="AE675" s="208">
        <f>(AE661+AE662+AE663+AE664+AE665+AE666+AE667+AE669+AE670+AE671+AE672+AE673+AE674)-AI662</f>
        <v>5</v>
      </c>
      <c r="AF675" s="209">
        <f>(AF661+AF662+AF663+AF664+AF665+AF666+AF667+AF669+AF670+AF671+AF672+AF673+AF674)-AI669</f>
        <v>6</v>
      </c>
      <c r="AG675" s="62"/>
      <c r="AH675" s="62"/>
      <c r="AI675" s="62"/>
      <c r="AJ675" s="62"/>
      <c r="AK675" s="62"/>
      <c r="AL675" s="62"/>
      <c r="AM675" s="62"/>
      <c r="AN675" s="91">
        <f>SUM(AN669:AN674)</f>
        <v>0</v>
      </c>
      <c r="AO675" s="91">
        <f>SUM(AO669:AO674)</f>
        <v>0</v>
      </c>
      <c r="AP675" s="91"/>
      <c r="AQ675" s="91"/>
      <c r="AR675" s="91">
        <f>SUM(AR669:AR674)</f>
        <v>0</v>
      </c>
      <c r="AS675" s="91">
        <f t="shared" ref="AS675:AW675" si="271">SUM(AS669:AS674)</f>
        <v>0</v>
      </c>
      <c r="AT675" s="91">
        <f t="shared" si="271"/>
        <v>0</v>
      </c>
      <c r="AU675" s="91">
        <f t="shared" si="271"/>
        <v>0</v>
      </c>
      <c r="AV675" s="91">
        <f t="shared" si="271"/>
        <v>0</v>
      </c>
      <c r="AW675" s="91">
        <f t="shared" si="271"/>
        <v>0</v>
      </c>
      <c r="AX675" s="91">
        <f>SUM(AX669:AX674)</f>
        <v>0</v>
      </c>
      <c r="AY675" s="91">
        <f>SUM(AY669:AY674)</f>
        <v>0</v>
      </c>
      <c r="AZ675" s="91">
        <f>SUM(AZ669:AZ674)</f>
        <v>0</v>
      </c>
      <c r="BA675" s="91"/>
      <c r="BB675" s="91"/>
      <c r="BC675" s="91"/>
      <c r="BD675" s="91" t="str">
        <f>IFERROR(VLOOKUP($G675,нормы!$A$14:$BG$15,27,0),"")</f>
        <v/>
      </c>
      <c r="BE675" s="53" t="str">
        <f>IFERROR(W675/VLOOKUP($G675,нормы!$A$14:$BI$15,28,0),"")</f>
        <v/>
      </c>
    </row>
    <row r="676" spans="1:57" s="1" customFormat="1" ht="29.4" customHeight="1" thickBot="1" x14ac:dyDescent="0.5">
      <c r="A676" s="37" t="str">
        <f t="shared" si="266"/>
        <v>11Н</v>
      </c>
      <c r="B676" s="166" t="s">
        <v>130</v>
      </c>
      <c r="C676" s="167"/>
      <c r="D676" s="167"/>
      <c r="E676" s="167"/>
      <c r="F676" s="165"/>
      <c r="G676" s="167"/>
      <c r="H676" s="167"/>
      <c r="I676" s="168"/>
      <c r="J676" s="168"/>
      <c r="K676" s="168"/>
      <c r="L676" s="168"/>
      <c r="M676" s="168"/>
      <c r="N676" s="168"/>
      <c r="O676" s="167"/>
      <c r="P676" s="169"/>
      <c r="Q676" s="169"/>
      <c r="R676" s="169"/>
      <c r="S676" s="169"/>
      <c r="T676" s="169"/>
      <c r="U676" s="170"/>
      <c r="V676" s="170"/>
      <c r="W676" s="171"/>
      <c r="X676" s="171"/>
      <c r="Y676" s="172"/>
      <c r="Z676" s="172"/>
      <c r="AA676" s="201" t="s">
        <v>144</v>
      </c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64"/>
      <c r="AN676" s="167"/>
      <c r="AO676" s="167"/>
      <c r="AP676" s="167"/>
      <c r="AQ676" s="167"/>
      <c r="AR676" s="64"/>
      <c r="AS676" s="64"/>
      <c r="AT676" s="65"/>
      <c r="AU676" s="64"/>
      <c r="AV676" s="49"/>
      <c r="AW676" s="49"/>
      <c r="AX676" s="167"/>
      <c r="AY676" s="167"/>
      <c r="AZ676" s="167"/>
      <c r="BA676" s="167"/>
      <c r="BB676" s="167"/>
      <c r="BC676" s="167"/>
      <c r="BD676" s="66"/>
      <c r="BE676" s="66"/>
    </row>
    <row r="677" spans="1:57" s="1" customFormat="1" ht="23.25" customHeight="1" x14ac:dyDescent="0.4">
      <c r="A677" s="37" t="str">
        <f t="shared" si="266"/>
        <v>11Н</v>
      </c>
      <c r="B677" s="183"/>
      <c r="C677" s="100"/>
      <c r="D677" s="185"/>
      <c r="E677" s="186" t="s">
        <v>57</v>
      </c>
      <c r="F677" s="66" t="s">
        <v>87</v>
      </c>
      <c r="G677" s="66"/>
      <c r="H677" s="108" t="s">
        <v>131</v>
      </c>
      <c r="I677" s="101"/>
      <c r="J677" s="101"/>
      <c r="K677" s="101"/>
      <c r="L677" s="101"/>
      <c r="M677" s="101"/>
      <c r="N677" s="101"/>
      <c r="O677" s="67"/>
      <c r="P677" s="102"/>
      <c r="Q677" s="102"/>
      <c r="R677" s="102"/>
      <c r="S677" s="102"/>
      <c r="T677" s="102"/>
      <c r="U677" s="67"/>
      <c r="V677" s="67"/>
      <c r="W677" s="103"/>
      <c r="X677" s="187"/>
      <c r="Y677" s="68" t="s">
        <v>74</v>
      </c>
      <c r="Z677" s="69"/>
      <c r="AA677" s="90"/>
      <c r="AB677" s="100"/>
      <c r="AC677" s="100"/>
      <c r="AD677" s="186" t="s">
        <v>57</v>
      </c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190"/>
      <c r="AU677" s="66"/>
      <c r="AV677" s="165"/>
      <c r="AW677" s="293"/>
      <c r="AX677" s="66"/>
      <c r="AY677" s="66"/>
      <c r="AZ677" s="66"/>
      <c r="BA677" s="66"/>
      <c r="BB677" s="66"/>
      <c r="BC677" s="66"/>
      <c r="BD677" s="68" t="s">
        <v>74</v>
      </c>
      <c r="BE677" s="69"/>
    </row>
    <row r="678" spans="1:57" s="1" customFormat="1" ht="23.25" customHeight="1" thickBot="1" x14ac:dyDescent="0.45">
      <c r="A678" s="37" t="str">
        <f t="shared" si="266"/>
        <v>11Н</v>
      </c>
      <c r="B678" s="183"/>
      <c r="C678" s="41"/>
      <c r="D678" s="184"/>
      <c r="E678" s="50"/>
      <c r="F678" s="70"/>
      <c r="G678" s="70"/>
      <c r="H678" s="70"/>
      <c r="I678" s="104"/>
      <c r="J678" s="104"/>
      <c r="K678" s="104"/>
      <c r="L678" s="104"/>
      <c r="M678" s="104"/>
      <c r="N678" s="104"/>
      <c r="O678" s="71"/>
      <c r="P678" s="105"/>
      <c r="Q678" s="105"/>
      <c r="R678" s="105"/>
      <c r="S678" s="105"/>
      <c r="T678" s="105"/>
      <c r="U678" s="71"/>
      <c r="V678" s="71"/>
      <c r="W678" s="106"/>
      <c r="X678" s="188"/>
      <c r="Y678" s="72"/>
      <c r="Z678" s="73"/>
      <c r="AA678" s="90"/>
      <c r="AB678" s="41"/>
      <c r="AC678" s="41"/>
      <c r="AD678" s="50"/>
      <c r="AE678" s="47"/>
      <c r="AF678" s="47"/>
      <c r="AG678" s="47"/>
      <c r="AH678" s="47"/>
      <c r="AI678" s="47"/>
      <c r="AJ678" s="47"/>
      <c r="AK678" s="47"/>
      <c r="AL678" s="47"/>
      <c r="AM678" s="70"/>
      <c r="AN678" s="47"/>
      <c r="AO678" s="70"/>
      <c r="AP678" s="70"/>
      <c r="AQ678" s="70"/>
      <c r="AR678" s="70"/>
      <c r="AS678" s="70"/>
      <c r="AT678" s="191"/>
      <c r="AU678" s="70"/>
      <c r="AV678" s="192"/>
      <c r="AW678" s="294"/>
      <c r="AX678" s="70"/>
      <c r="AY678" s="70"/>
      <c r="AZ678" s="70"/>
      <c r="BA678" s="70"/>
      <c r="BB678" s="70"/>
      <c r="BC678" s="70"/>
      <c r="BD678" s="72"/>
      <c r="BE678" s="73"/>
    </row>
    <row r="679" spans="1:57" s="1" customFormat="1" ht="21.9" customHeight="1" x14ac:dyDescent="0.4">
      <c r="A679" s="37" t="str">
        <f t="shared" si="266"/>
        <v>11Н</v>
      </c>
      <c r="B679" s="183"/>
      <c r="C679" s="41"/>
      <c r="D679" s="184"/>
      <c r="E679" s="281">
        <f>B674</f>
        <v>46033</v>
      </c>
      <c r="F679" s="337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98">
        <v>1</v>
      </c>
      <c r="Y679" s="74">
        <v>1</v>
      </c>
      <c r="Z679" s="75">
        <f t="shared" ref="Z679:Z690" si="272">Y679-X679</f>
        <v>0</v>
      </c>
      <c r="AA679" s="189"/>
      <c r="AB679" s="41"/>
      <c r="AC679" s="184"/>
      <c r="AD679" s="210">
        <f>E679</f>
        <v>46033</v>
      </c>
      <c r="AE679" s="387"/>
      <c r="AF679" s="388"/>
      <c r="AG679" s="388"/>
      <c r="AH679" s="388"/>
      <c r="AI679" s="388"/>
      <c r="AJ679" s="388"/>
      <c r="AK679" s="388"/>
      <c r="AL679" s="388"/>
      <c r="AM679" s="388"/>
      <c r="AN679" s="388"/>
      <c r="AO679" s="388"/>
      <c r="AP679" s="388"/>
      <c r="AQ679" s="388"/>
      <c r="AR679" s="388"/>
      <c r="AS679" s="388"/>
      <c r="AT679" s="388"/>
      <c r="AU679" s="388"/>
      <c r="AV679" s="388"/>
      <c r="AW679" s="388"/>
      <c r="AX679" s="388"/>
      <c r="AY679" s="388"/>
      <c r="AZ679" s="388"/>
      <c r="BA679" s="388"/>
      <c r="BB679" s="389"/>
      <c r="BC679" s="98">
        <v>1</v>
      </c>
      <c r="BD679" s="74">
        <v>1</v>
      </c>
      <c r="BE679" s="75">
        <f t="shared" ref="BE679:BE690" si="273">BD679-BC679</f>
        <v>0</v>
      </c>
    </row>
    <row r="680" spans="1:57" s="1" customFormat="1" ht="21.9" customHeight="1" x14ac:dyDescent="0.4">
      <c r="A680" s="37" t="str">
        <f t="shared" si="266"/>
        <v>11Н</v>
      </c>
      <c r="B680" s="183"/>
      <c r="C680" s="41"/>
      <c r="D680" s="184"/>
      <c r="E680" s="282">
        <f>E679</f>
        <v>46033</v>
      </c>
      <c r="F680" s="335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  <c r="R680" s="336"/>
      <c r="S680" s="336"/>
      <c r="T680" s="336"/>
      <c r="U680" s="336"/>
      <c r="V680" s="336"/>
      <c r="W680" s="336"/>
      <c r="X680" s="98">
        <v>1</v>
      </c>
      <c r="Y680" s="74">
        <v>1</v>
      </c>
      <c r="Z680" s="75">
        <f t="shared" si="272"/>
        <v>0</v>
      </c>
      <c r="AA680" s="107">
        <f>AA679</f>
        <v>0</v>
      </c>
      <c r="AB680" s="41"/>
      <c r="AC680" s="184"/>
      <c r="AD680" s="212">
        <f>AD679</f>
        <v>46033</v>
      </c>
      <c r="AE680" s="387"/>
      <c r="AF680" s="388"/>
      <c r="AG680" s="388"/>
      <c r="AH680" s="388"/>
      <c r="AI680" s="388"/>
      <c r="AJ680" s="388"/>
      <c r="AK680" s="388"/>
      <c r="AL680" s="388"/>
      <c r="AM680" s="388"/>
      <c r="AN680" s="388"/>
      <c r="AO680" s="388"/>
      <c r="AP680" s="388"/>
      <c r="AQ680" s="388"/>
      <c r="AR680" s="388"/>
      <c r="AS680" s="388"/>
      <c r="AT680" s="388"/>
      <c r="AU680" s="388"/>
      <c r="AV680" s="388"/>
      <c r="AW680" s="388"/>
      <c r="AX680" s="388"/>
      <c r="AY680" s="388"/>
      <c r="AZ680" s="388"/>
      <c r="BA680" s="388"/>
      <c r="BB680" s="389"/>
      <c r="BC680" s="98">
        <v>1</v>
      </c>
      <c r="BD680" s="74">
        <v>1</v>
      </c>
      <c r="BE680" s="75">
        <f t="shared" si="273"/>
        <v>0</v>
      </c>
    </row>
    <row r="681" spans="1:57" s="1" customFormat="1" ht="21.9" customHeight="1" x14ac:dyDescent="0.4">
      <c r="A681" s="37" t="str">
        <f t="shared" si="266"/>
        <v>11Н</v>
      </c>
      <c r="B681" s="183"/>
      <c r="C681" s="41"/>
      <c r="D681" s="184"/>
      <c r="E681" s="282">
        <f t="shared" ref="E681:E690" si="274">E680</f>
        <v>46033</v>
      </c>
      <c r="F681" s="335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  <c r="R681" s="336"/>
      <c r="S681" s="336"/>
      <c r="T681" s="336"/>
      <c r="U681" s="336"/>
      <c r="V681" s="336"/>
      <c r="W681" s="336"/>
      <c r="X681" s="98">
        <v>1</v>
      </c>
      <c r="Y681" s="74">
        <v>1</v>
      </c>
      <c r="Z681" s="75">
        <f t="shared" si="272"/>
        <v>0</v>
      </c>
      <c r="AA681" s="107">
        <f>AA680</f>
        <v>0</v>
      </c>
      <c r="AB681" s="41"/>
      <c r="AC681" s="184"/>
      <c r="AD681" s="212">
        <f t="shared" ref="AD681:AD690" si="275">AD680</f>
        <v>46033</v>
      </c>
      <c r="AE681" s="387"/>
      <c r="AF681" s="388"/>
      <c r="AG681" s="388"/>
      <c r="AH681" s="388"/>
      <c r="AI681" s="388"/>
      <c r="AJ681" s="388"/>
      <c r="AK681" s="388"/>
      <c r="AL681" s="388"/>
      <c r="AM681" s="388"/>
      <c r="AN681" s="388"/>
      <c r="AO681" s="388"/>
      <c r="AP681" s="388"/>
      <c r="AQ681" s="388"/>
      <c r="AR681" s="388"/>
      <c r="AS681" s="388"/>
      <c r="AT681" s="388"/>
      <c r="AU681" s="388"/>
      <c r="AV681" s="388"/>
      <c r="AW681" s="388"/>
      <c r="AX681" s="388"/>
      <c r="AY681" s="388"/>
      <c r="AZ681" s="388"/>
      <c r="BA681" s="388"/>
      <c r="BB681" s="389"/>
      <c r="BC681" s="98">
        <v>1</v>
      </c>
      <c r="BD681" s="74">
        <v>1</v>
      </c>
      <c r="BE681" s="75">
        <f t="shared" si="273"/>
        <v>0</v>
      </c>
    </row>
    <row r="682" spans="1:57" s="1" customFormat="1" ht="18" customHeight="1" x14ac:dyDescent="0.4">
      <c r="A682" s="37" t="str">
        <f t="shared" si="266"/>
        <v>11Н</v>
      </c>
      <c r="B682" s="183"/>
      <c r="C682" s="41"/>
      <c r="D682" s="184"/>
      <c r="E682" s="282">
        <f t="shared" si="274"/>
        <v>46033</v>
      </c>
      <c r="F682" s="335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  <c r="R682" s="336"/>
      <c r="S682" s="336"/>
      <c r="T682" s="336"/>
      <c r="U682" s="336"/>
      <c r="V682" s="336"/>
      <c r="W682" s="336"/>
      <c r="X682" s="98">
        <v>1</v>
      </c>
      <c r="Y682" s="74">
        <v>1</v>
      </c>
      <c r="Z682" s="75">
        <f t="shared" si="272"/>
        <v>0</v>
      </c>
      <c r="AA682" s="107">
        <f t="shared" ref="AA682:AA690" si="276">AA681</f>
        <v>0</v>
      </c>
      <c r="AB682" s="41"/>
      <c r="AC682" s="184"/>
      <c r="AD682" s="212">
        <f t="shared" si="275"/>
        <v>46033</v>
      </c>
      <c r="AE682" s="387"/>
      <c r="AF682" s="388"/>
      <c r="AG682" s="388"/>
      <c r="AH682" s="388"/>
      <c r="AI682" s="388"/>
      <c r="AJ682" s="388"/>
      <c r="AK682" s="388"/>
      <c r="AL682" s="388"/>
      <c r="AM682" s="388"/>
      <c r="AN682" s="388"/>
      <c r="AO682" s="388"/>
      <c r="AP682" s="388"/>
      <c r="AQ682" s="388"/>
      <c r="AR682" s="388"/>
      <c r="AS682" s="388"/>
      <c r="AT682" s="388"/>
      <c r="AU682" s="388"/>
      <c r="AV682" s="388"/>
      <c r="AW682" s="388"/>
      <c r="AX682" s="388"/>
      <c r="AY682" s="388"/>
      <c r="AZ682" s="388"/>
      <c r="BA682" s="388"/>
      <c r="BB682" s="389"/>
      <c r="BC682" s="98">
        <v>1</v>
      </c>
      <c r="BD682" s="74">
        <v>1</v>
      </c>
      <c r="BE682" s="75">
        <f t="shared" si="273"/>
        <v>0</v>
      </c>
    </row>
    <row r="683" spans="1:57" s="1" customFormat="1" ht="18" customHeight="1" x14ac:dyDescent="0.4">
      <c r="A683" s="37" t="str">
        <f t="shared" si="266"/>
        <v>11Н</v>
      </c>
      <c r="B683" s="183"/>
      <c r="C683" s="41"/>
      <c r="D683" s="184"/>
      <c r="E683" s="282">
        <f t="shared" si="274"/>
        <v>46033</v>
      </c>
      <c r="F683" s="335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  <c r="R683" s="336"/>
      <c r="S683" s="336"/>
      <c r="T683" s="336"/>
      <c r="U683" s="336"/>
      <c r="V683" s="336"/>
      <c r="W683" s="336"/>
      <c r="X683" s="98">
        <v>1</v>
      </c>
      <c r="Y683" s="74">
        <v>1</v>
      </c>
      <c r="Z683" s="75">
        <f t="shared" si="272"/>
        <v>0</v>
      </c>
      <c r="AA683" s="107">
        <f t="shared" si="276"/>
        <v>0</v>
      </c>
      <c r="AB683" s="41"/>
      <c r="AC683" s="184"/>
      <c r="AD683" s="212">
        <f t="shared" si="275"/>
        <v>46033</v>
      </c>
      <c r="AE683" s="387"/>
      <c r="AF683" s="388"/>
      <c r="AG683" s="388"/>
      <c r="AH683" s="388"/>
      <c r="AI683" s="388"/>
      <c r="AJ683" s="388"/>
      <c r="AK683" s="388"/>
      <c r="AL683" s="388"/>
      <c r="AM683" s="388"/>
      <c r="AN683" s="388"/>
      <c r="AO683" s="388"/>
      <c r="AP683" s="388"/>
      <c r="AQ683" s="388"/>
      <c r="AR683" s="388"/>
      <c r="AS683" s="388"/>
      <c r="AT683" s="388"/>
      <c r="AU683" s="388"/>
      <c r="AV683" s="388"/>
      <c r="AW683" s="388"/>
      <c r="AX683" s="388"/>
      <c r="AY683" s="388"/>
      <c r="AZ683" s="388"/>
      <c r="BA683" s="388"/>
      <c r="BB683" s="389"/>
      <c r="BC683" s="98">
        <v>1</v>
      </c>
      <c r="BD683" s="74">
        <v>1</v>
      </c>
      <c r="BE683" s="75">
        <f t="shared" si="273"/>
        <v>0</v>
      </c>
    </row>
    <row r="684" spans="1:57" s="1" customFormat="1" ht="18" customHeight="1" x14ac:dyDescent="0.4">
      <c r="A684" s="37" t="str">
        <f t="shared" si="266"/>
        <v>11Н</v>
      </c>
      <c r="B684" s="183"/>
      <c r="C684" s="41"/>
      <c r="D684" s="184"/>
      <c r="E684" s="282">
        <f t="shared" si="274"/>
        <v>46033</v>
      </c>
      <c r="F684" s="335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  <c r="R684" s="336"/>
      <c r="S684" s="336"/>
      <c r="T684" s="336"/>
      <c r="U684" s="336"/>
      <c r="V684" s="336"/>
      <c r="W684" s="336"/>
      <c r="X684" s="98">
        <v>1</v>
      </c>
      <c r="Y684" s="74">
        <v>1</v>
      </c>
      <c r="Z684" s="75">
        <f t="shared" si="272"/>
        <v>0</v>
      </c>
      <c r="AA684" s="107">
        <f t="shared" si="276"/>
        <v>0</v>
      </c>
      <c r="AB684" s="41"/>
      <c r="AC684" s="184"/>
      <c r="AD684" s="212">
        <f t="shared" si="275"/>
        <v>46033</v>
      </c>
      <c r="AE684" s="387"/>
      <c r="AF684" s="388"/>
      <c r="AG684" s="388"/>
      <c r="AH684" s="388"/>
      <c r="AI684" s="388"/>
      <c r="AJ684" s="388"/>
      <c r="AK684" s="388"/>
      <c r="AL684" s="388"/>
      <c r="AM684" s="388"/>
      <c r="AN684" s="388"/>
      <c r="AO684" s="388"/>
      <c r="AP684" s="388"/>
      <c r="AQ684" s="388"/>
      <c r="AR684" s="388"/>
      <c r="AS684" s="388"/>
      <c r="AT684" s="388"/>
      <c r="AU684" s="388"/>
      <c r="AV684" s="388"/>
      <c r="AW684" s="388"/>
      <c r="AX684" s="388"/>
      <c r="AY684" s="388"/>
      <c r="AZ684" s="388"/>
      <c r="BA684" s="388"/>
      <c r="BB684" s="389"/>
      <c r="BC684" s="98">
        <v>1</v>
      </c>
      <c r="BD684" s="74">
        <v>1</v>
      </c>
      <c r="BE684" s="75">
        <f t="shared" si="273"/>
        <v>0</v>
      </c>
    </row>
    <row r="685" spans="1:57" s="1" customFormat="1" ht="18" customHeight="1" x14ac:dyDescent="0.4">
      <c r="A685" s="37" t="str">
        <f t="shared" si="266"/>
        <v>11Н</v>
      </c>
      <c r="B685" s="183"/>
      <c r="C685" s="41"/>
      <c r="D685" s="184"/>
      <c r="E685" s="282">
        <f t="shared" si="274"/>
        <v>46033</v>
      </c>
      <c r="F685" s="335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  <c r="R685" s="336"/>
      <c r="S685" s="336"/>
      <c r="T685" s="336"/>
      <c r="U685" s="336"/>
      <c r="V685" s="336"/>
      <c r="W685" s="336"/>
      <c r="X685" s="98">
        <v>1</v>
      </c>
      <c r="Y685" s="74">
        <v>1</v>
      </c>
      <c r="Z685" s="75">
        <f t="shared" si="272"/>
        <v>0</v>
      </c>
      <c r="AA685" s="107">
        <f t="shared" si="276"/>
        <v>0</v>
      </c>
      <c r="AB685" s="41"/>
      <c r="AC685" s="184"/>
      <c r="AD685" s="212">
        <f t="shared" si="275"/>
        <v>46033</v>
      </c>
      <c r="AE685" s="387"/>
      <c r="AF685" s="388"/>
      <c r="AG685" s="388"/>
      <c r="AH685" s="388"/>
      <c r="AI685" s="388"/>
      <c r="AJ685" s="388"/>
      <c r="AK685" s="388"/>
      <c r="AL685" s="388"/>
      <c r="AM685" s="388"/>
      <c r="AN685" s="388"/>
      <c r="AO685" s="388"/>
      <c r="AP685" s="388"/>
      <c r="AQ685" s="388"/>
      <c r="AR685" s="388"/>
      <c r="AS685" s="388"/>
      <c r="AT685" s="388"/>
      <c r="AU685" s="388"/>
      <c r="AV685" s="388"/>
      <c r="AW685" s="388"/>
      <c r="AX685" s="388"/>
      <c r="AY685" s="388"/>
      <c r="AZ685" s="388"/>
      <c r="BA685" s="388"/>
      <c r="BB685" s="389"/>
      <c r="BC685" s="98">
        <v>1</v>
      </c>
      <c r="BD685" s="74">
        <v>1</v>
      </c>
      <c r="BE685" s="75">
        <f t="shared" si="273"/>
        <v>0</v>
      </c>
    </row>
    <row r="686" spans="1:57" s="1" customFormat="1" ht="18" customHeight="1" x14ac:dyDescent="0.4">
      <c r="A686" s="37" t="str">
        <f t="shared" si="266"/>
        <v>11Н</v>
      </c>
      <c r="B686" s="183"/>
      <c r="C686" s="41"/>
      <c r="D686" s="184"/>
      <c r="E686" s="282">
        <f t="shared" si="274"/>
        <v>46033</v>
      </c>
      <c r="F686" s="335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  <c r="R686" s="336"/>
      <c r="S686" s="336"/>
      <c r="T686" s="336"/>
      <c r="U686" s="336"/>
      <c r="V686" s="336"/>
      <c r="W686" s="336"/>
      <c r="X686" s="98">
        <v>1</v>
      </c>
      <c r="Y686" s="74">
        <v>1</v>
      </c>
      <c r="Z686" s="75">
        <f t="shared" si="272"/>
        <v>0</v>
      </c>
      <c r="AA686" s="107">
        <f t="shared" si="276"/>
        <v>0</v>
      </c>
      <c r="AB686" s="41"/>
      <c r="AC686" s="184"/>
      <c r="AD686" s="212">
        <f t="shared" si="275"/>
        <v>46033</v>
      </c>
      <c r="AE686" s="387"/>
      <c r="AF686" s="388"/>
      <c r="AG686" s="388"/>
      <c r="AH686" s="388"/>
      <c r="AI686" s="388"/>
      <c r="AJ686" s="388"/>
      <c r="AK686" s="388"/>
      <c r="AL686" s="388"/>
      <c r="AM686" s="388"/>
      <c r="AN686" s="388"/>
      <c r="AO686" s="388"/>
      <c r="AP686" s="388"/>
      <c r="AQ686" s="388"/>
      <c r="AR686" s="388"/>
      <c r="AS686" s="388"/>
      <c r="AT686" s="388"/>
      <c r="AU686" s="388"/>
      <c r="AV686" s="388"/>
      <c r="AW686" s="388"/>
      <c r="AX686" s="388"/>
      <c r="AY686" s="388"/>
      <c r="AZ686" s="388"/>
      <c r="BA686" s="388"/>
      <c r="BB686" s="389"/>
      <c r="BC686" s="98">
        <v>1</v>
      </c>
      <c r="BD686" s="74">
        <v>1</v>
      </c>
      <c r="BE686" s="75">
        <f t="shared" si="273"/>
        <v>0</v>
      </c>
    </row>
    <row r="687" spans="1:57" s="1" customFormat="1" ht="18" customHeight="1" x14ac:dyDescent="0.4">
      <c r="A687" s="37" t="str">
        <f t="shared" si="266"/>
        <v>11Н</v>
      </c>
      <c r="B687" s="183"/>
      <c r="C687" s="41"/>
      <c r="D687" s="184"/>
      <c r="E687" s="282">
        <f t="shared" si="274"/>
        <v>46033</v>
      </c>
      <c r="F687" s="335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  <c r="R687" s="336"/>
      <c r="S687" s="336"/>
      <c r="T687" s="336"/>
      <c r="U687" s="336"/>
      <c r="V687" s="336"/>
      <c r="W687" s="336"/>
      <c r="X687" s="98">
        <v>1</v>
      </c>
      <c r="Y687" s="74">
        <v>1</v>
      </c>
      <c r="Z687" s="75">
        <f t="shared" si="272"/>
        <v>0</v>
      </c>
      <c r="AA687" s="107">
        <f t="shared" si="276"/>
        <v>0</v>
      </c>
      <c r="AB687" s="41"/>
      <c r="AC687" s="184"/>
      <c r="AD687" s="212">
        <f t="shared" si="275"/>
        <v>46033</v>
      </c>
      <c r="AE687" s="387"/>
      <c r="AF687" s="388"/>
      <c r="AG687" s="388"/>
      <c r="AH687" s="388"/>
      <c r="AI687" s="388"/>
      <c r="AJ687" s="388"/>
      <c r="AK687" s="388"/>
      <c r="AL687" s="388"/>
      <c r="AM687" s="388"/>
      <c r="AN687" s="388"/>
      <c r="AO687" s="388"/>
      <c r="AP687" s="388"/>
      <c r="AQ687" s="388"/>
      <c r="AR687" s="388"/>
      <c r="AS687" s="388"/>
      <c r="AT687" s="388"/>
      <c r="AU687" s="388"/>
      <c r="AV687" s="388"/>
      <c r="AW687" s="388"/>
      <c r="AX687" s="388"/>
      <c r="AY687" s="388"/>
      <c r="AZ687" s="388"/>
      <c r="BA687" s="388"/>
      <c r="BB687" s="389"/>
      <c r="BC687" s="98">
        <v>1</v>
      </c>
      <c r="BD687" s="74">
        <v>1</v>
      </c>
      <c r="BE687" s="75">
        <f t="shared" si="273"/>
        <v>0</v>
      </c>
    </row>
    <row r="688" spans="1:57" s="1" customFormat="1" ht="18" customHeight="1" x14ac:dyDescent="0.4">
      <c r="A688" s="37" t="str">
        <f t="shared" si="266"/>
        <v>11Н</v>
      </c>
      <c r="B688" s="183"/>
      <c r="C688" s="41"/>
      <c r="D688" s="184"/>
      <c r="E688" s="282">
        <f t="shared" si="274"/>
        <v>46033</v>
      </c>
      <c r="F688" s="335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  <c r="R688" s="336"/>
      <c r="S688" s="336"/>
      <c r="T688" s="336"/>
      <c r="U688" s="336"/>
      <c r="V688" s="336"/>
      <c r="W688" s="336"/>
      <c r="X688" s="98">
        <v>1</v>
      </c>
      <c r="Y688" s="74">
        <v>1</v>
      </c>
      <c r="Z688" s="75">
        <f t="shared" si="272"/>
        <v>0</v>
      </c>
      <c r="AA688" s="107">
        <f t="shared" si="276"/>
        <v>0</v>
      </c>
      <c r="AB688" s="41"/>
      <c r="AC688" s="184"/>
      <c r="AD688" s="212">
        <f t="shared" si="275"/>
        <v>46033</v>
      </c>
      <c r="AE688" s="387"/>
      <c r="AF688" s="388"/>
      <c r="AG688" s="388"/>
      <c r="AH688" s="388"/>
      <c r="AI688" s="388"/>
      <c r="AJ688" s="388"/>
      <c r="AK688" s="388"/>
      <c r="AL688" s="388"/>
      <c r="AM688" s="388"/>
      <c r="AN688" s="388"/>
      <c r="AO688" s="388"/>
      <c r="AP688" s="388"/>
      <c r="AQ688" s="388"/>
      <c r="AR688" s="388"/>
      <c r="AS688" s="388"/>
      <c r="AT688" s="388"/>
      <c r="AU688" s="388"/>
      <c r="AV688" s="388"/>
      <c r="AW688" s="388"/>
      <c r="AX688" s="388"/>
      <c r="AY688" s="388"/>
      <c r="AZ688" s="388"/>
      <c r="BA688" s="388"/>
      <c r="BB688" s="389"/>
      <c r="BC688" s="98">
        <v>1</v>
      </c>
      <c r="BD688" s="74">
        <v>1</v>
      </c>
      <c r="BE688" s="75">
        <f t="shared" si="273"/>
        <v>0</v>
      </c>
    </row>
    <row r="689" spans="1:57" s="1" customFormat="1" ht="18" customHeight="1" x14ac:dyDescent="0.4">
      <c r="A689" s="37" t="str">
        <f t="shared" si="266"/>
        <v>11Н</v>
      </c>
      <c r="B689" s="183"/>
      <c r="C689" s="41"/>
      <c r="D689" s="184"/>
      <c r="E689" s="282">
        <f t="shared" si="274"/>
        <v>46033</v>
      </c>
      <c r="F689" s="335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  <c r="R689" s="336"/>
      <c r="S689" s="336"/>
      <c r="T689" s="336"/>
      <c r="U689" s="336"/>
      <c r="V689" s="336"/>
      <c r="W689" s="336"/>
      <c r="X689" s="98">
        <v>1</v>
      </c>
      <c r="Y689" s="74">
        <v>1</v>
      </c>
      <c r="Z689" s="75">
        <f t="shared" si="272"/>
        <v>0</v>
      </c>
      <c r="AA689" s="107">
        <f t="shared" si="276"/>
        <v>0</v>
      </c>
      <c r="AB689" s="41"/>
      <c r="AC689" s="184"/>
      <c r="AD689" s="212">
        <f t="shared" si="275"/>
        <v>46033</v>
      </c>
      <c r="AE689" s="387"/>
      <c r="AF689" s="388"/>
      <c r="AG689" s="388"/>
      <c r="AH689" s="388"/>
      <c r="AI689" s="388"/>
      <c r="AJ689" s="388"/>
      <c r="AK689" s="388"/>
      <c r="AL689" s="388"/>
      <c r="AM689" s="388"/>
      <c r="AN689" s="388"/>
      <c r="AO689" s="388"/>
      <c r="AP689" s="388"/>
      <c r="AQ689" s="388"/>
      <c r="AR689" s="388"/>
      <c r="AS689" s="388"/>
      <c r="AT689" s="388"/>
      <c r="AU689" s="388"/>
      <c r="AV689" s="388"/>
      <c r="AW689" s="388"/>
      <c r="AX689" s="388"/>
      <c r="AY689" s="388"/>
      <c r="AZ689" s="388"/>
      <c r="BA689" s="388"/>
      <c r="BB689" s="389"/>
      <c r="BC689" s="98">
        <v>1</v>
      </c>
      <c r="BD689" s="74">
        <v>1</v>
      </c>
      <c r="BE689" s="75">
        <f t="shared" si="273"/>
        <v>0</v>
      </c>
    </row>
    <row r="690" spans="1:57" s="1" customFormat="1" ht="18" customHeight="1" thickBot="1" x14ac:dyDescent="0.45">
      <c r="A690" s="37" t="str">
        <f t="shared" si="266"/>
        <v>11Н</v>
      </c>
      <c r="B690" s="183"/>
      <c r="C690" s="41"/>
      <c r="D690" s="184"/>
      <c r="E690" s="283">
        <f t="shared" si="274"/>
        <v>46033</v>
      </c>
      <c r="F690" s="339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99">
        <v>1</v>
      </c>
      <c r="Y690" s="76">
        <v>1</v>
      </c>
      <c r="Z690" s="77">
        <f t="shared" si="272"/>
        <v>0</v>
      </c>
      <c r="AA690" s="107">
        <f t="shared" si="276"/>
        <v>0</v>
      </c>
      <c r="AB690" s="41"/>
      <c r="AC690" s="184"/>
      <c r="AD690" s="211">
        <f t="shared" si="275"/>
        <v>46033</v>
      </c>
      <c r="AE690" s="410"/>
      <c r="AF690" s="411"/>
      <c r="AG690" s="411"/>
      <c r="AH690" s="411"/>
      <c r="AI690" s="411"/>
      <c r="AJ690" s="411"/>
      <c r="AK690" s="411"/>
      <c r="AL690" s="411"/>
      <c r="AM690" s="411"/>
      <c r="AN690" s="411"/>
      <c r="AO690" s="411"/>
      <c r="AP690" s="411"/>
      <c r="AQ690" s="411"/>
      <c r="AR690" s="411"/>
      <c r="AS690" s="411"/>
      <c r="AT690" s="411"/>
      <c r="AU690" s="411"/>
      <c r="AV690" s="411"/>
      <c r="AW690" s="411"/>
      <c r="AX690" s="411"/>
      <c r="AY690" s="411"/>
      <c r="AZ690" s="411"/>
      <c r="BA690" s="411"/>
      <c r="BB690" s="412"/>
      <c r="BC690" s="99">
        <v>1</v>
      </c>
      <c r="BD690" s="76">
        <v>1</v>
      </c>
      <c r="BE690" s="75">
        <f t="shared" si="273"/>
        <v>0</v>
      </c>
    </row>
    <row r="691" spans="1:57" s="1" customFormat="1" ht="23.25" customHeight="1" thickBot="1" x14ac:dyDescent="0.45">
      <c r="A691" s="37" t="str">
        <f t="shared" si="266"/>
        <v>11Н</v>
      </c>
      <c r="B691" s="193"/>
      <c r="C691" s="47"/>
      <c r="D691" s="47"/>
      <c r="E691" s="47"/>
      <c r="F691" s="78"/>
      <c r="G691" s="78"/>
      <c r="H691" s="78"/>
      <c r="I691" s="80"/>
      <c r="J691" s="80"/>
      <c r="K691" s="80"/>
      <c r="L691" s="80"/>
      <c r="M691" s="80"/>
      <c r="N691" s="80"/>
      <c r="O691" s="78"/>
      <c r="P691" s="81"/>
      <c r="Q691" s="81"/>
      <c r="R691" s="81"/>
      <c r="S691" s="81"/>
      <c r="T691" s="81"/>
      <c r="U691" s="82"/>
      <c r="V691" s="82"/>
      <c r="W691" s="86"/>
      <c r="X691" s="194"/>
      <c r="Y691" s="83"/>
      <c r="Z691" s="83"/>
      <c r="AA691" s="78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84"/>
      <c r="AN691" s="47"/>
      <c r="AO691" s="78"/>
      <c r="AP691" s="78"/>
      <c r="AQ691" s="78"/>
      <c r="AR691" s="84"/>
      <c r="AS691" s="78"/>
      <c r="AT691" s="85"/>
      <c r="AU691" s="78"/>
      <c r="AV691" s="83"/>
      <c r="AW691" s="83"/>
      <c r="AX691" s="78"/>
      <c r="AY691" s="78"/>
      <c r="AZ691" s="78"/>
      <c r="BA691" s="78"/>
      <c r="BB691" s="78"/>
      <c r="BC691" s="78"/>
      <c r="BD691" s="79"/>
      <c r="BE691" s="79"/>
    </row>
    <row r="692" spans="1:57" s="1" customFormat="1" ht="21.6" customHeight="1" thickBot="1" x14ac:dyDescent="0.45">
      <c r="A692" s="37" t="s">
        <v>168</v>
      </c>
      <c r="B692" s="59"/>
      <c r="C692" s="51"/>
      <c r="D692" s="51"/>
      <c r="E692" s="51"/>
      <c r="F692" s="158" t="s">
        <v>147</v>
      </c>
      <c r="G692" s="51"/>
      <c r="H692" s="51"/>
      <c r="I692" s="156"/>
      <c r="J692" s="156"/>
      <c r="K692" s="156"/>
      <c r="L692" s="156"/>
      <c r="M692" s="156"/>
      <c r="N692" s="156"/>
      <c r="O692" s="91"/>
      <c r="P692" s="52"/>
      <c r="Q692" s="52"/>
      <c r="R692" s="52"/>
      <c r="S692" s="52"/>
      <c r="T692" s="52"/>
      <c r="U692" s="157"/>
      <c r="V692" s="157"/>
      <c r="W692" s="94"/>
      <c r="X692" s="94"/>
      <c r="Y692" s="51"/>
      <c r="Z692" s="51"/>
      <c r="AA692" s="157">
        <f>AA675</f>
        <v>1</v>
      </c>
      <c r="AB692" s="157">
        <f t="shared" ref="AB692:AF692" si="277">AB675</f>
        <v>2</v>
      </c>
      <c r="AC692" s="157">
        <f t="shared" si="277"/>
        <v>3</v>
      </c>
      <c r="AD692" s="157">
        <f t="shared" si="277"/>
        <v>4</v>
      </c>
      <c r="AE692" s="157">
        <f t="shared" si="277"/>
        <v>5</v>
      </c>
      <c r="AF692" s="157">
        <f t="shared" si="277"/>
        <v>6</v>
      </c>
      <c r="AG692" s="162" t="s">
        <v>123</v>
      </c>
      <c r="AH692" s="162" t="s">
        <v>124</v>
      </c>
      <c r="AI692" s="162" t="s">
        <v>125</v>
      </c>
      <c r="AJ692" s="91" t="s">
        <v>126</v>
      </c>
      <c r="AK692" s="198" t="s">
        <v>136</v>
      </c>
      <c r="AL692" s="198" t="s">
        <v>137</v>
      </c>
      <c r="AM692" s="198" t="s">
        <v>138</v>
      </c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</row>
    <row r="693" spans="1:57" s="1" customFormat="1" ht="21.6" customHeight="1" x14ac:dyDescent="0.4">
      <c r="A693" s="37" t="str">
        <f>A692</f>
        <v>12Д</v>
      </c>
      <c r="B693" s="12">
        <f>B674+1</f>
        <v>46034</v>
      </c>
      <c r="C693" s="97"/>
      <c r="D693" s="97">
        <v>1</v>
      </c>
      <c r="E693" s="29"/>
      <c r="F693" s="151" t="str">
        <f>IFERROR(VLOOKUP($G693,нормы!$A$14:$BC$57,2,0),"")</f>
        <v/>
      </c>
      <c r="G693" s="93"/>
      <c r="H693" s="54">
        <f>IF(C693=1,"Кульков С.А.", IF(C693=2,"Чудаков А.А.",IF(C693=3,"Королев В.Н.",IF(C693=4,"Николашин М.П.",IF(C693=5," Кульков С.А.",IF(C693=6,"А.А. Чудаков",IF(C693=7,"В.Н. Королев",IF(C693=8,"М.П. Николашин",0))))))))</f>
        <v>0</v>
      </c>
      <c r="I693" s="88" t="s">
        <v>84</v>
      </c>
      <c r="J693" s="332"/>
      <c r="K693" s="30">
        <f>IFERROR(VLOOKUP($G693,[1]нормы!$A$21:$BC$151,15,0),"")</f>
        <v>0</v>
      </c>
      <c r="L693" s="31">
        <f>IFERROR(VLOOKUP($G693,[1]нормы!$A$21:$BC$151,17,0),"")</f>
        <v>0</v>
      </c>
      <c r="M693" s="310">
        <f>IFERROR(VLOOKUP($G693,[1]нормы!$A$21:$BC$151,27,0),"")</f>
        <v>0</v>
      </c>
      <c r="N693" s="311" t="str">
        <f>IFERROR(Y693/Y699*(1.1*J693*I698),"")</f>
        <v/>
      </c>
      <c r="O693" s="300">
        <f>IFERROR(VLOOKUP($G693,[1]нормы!$A$21:$BC$151,21,0),"")</f>
        <v>0</v>
      </c>
      <c r="P693" s="35">
        <f>IFERROR(VLOOKUP($G693,[1]нормы!$A$21:$BC$151,19,0),"")</f>
        <v>0</v>
      </c>
      <c r="Q693" s="35">
        <f>IFERROR(VLOOKUP($G693,[1]нормы!$A$21:$BC$151,23,0),"")</f>
        <v>0</v>
      </c>
      <c r="R693" s="231">
        <f>IFERROR(VLOOKUP($G693,[1]нормы!$A$21:$BC$151,29,0),"")</f>
        <v>0</v>
      </c>
      <c r="S693" s="35">
        <f>IFERROR(VLOOKUP($G693,[1]нормы!$A$21:$BC$151,31,0),"")</f>
        <v>0</v>
      </c>
      <c r="T693" s="32">
        <f>IFERROR(VLOOKUP($G693,[1]нормы!$A$21:$BC$151,25,0),"")</f>
        <v>0</v>
      </c>
      <c r="U693" s="232" t="str">
        <f>IFERROR(W693/(((100*Y693/Y699)*I698)/100),"")</f>
        <v/>
      </c>
      <c r="V693" s="234" t="str">
        <f>IFERROR(VLOOKUP($G693,нормы!$A$14:$BC$57,38,0),"")</f>
        <v/>
      </c>
      <c r="W693" s="136"/>
      <c r="X693" s="236"/>
      <c r="Y693" s="152" t="str">
        <f>IFERROR(VLOOKUP($G693,нормы!$A$14:$BC$57,42,0)*W693,"")</f>
        <v/>
      </c>
      <c r="Z693" s="163">
        <f>IFERROR(VLOOKUP($G693,нормы!$A$14:$BC$57,14,0)*W693/1000,0)</f>
        <v>0</v>
      </c>
      <c r="AA693" s="33"/>
      <c r="AB693" s="36"/>
      <c r="AC693" s="36"/>
      <c r="AD693" s="36"/>
      <c r="AE693" s="34"/>
      <c r="AF693" s="159"/>
      <c r="AG693" s="390"/>
      <c r="AH693" s="393"/>
      <c r="AI693" s="396"/>
      <c r="AJ693" s="407">
        <f>AG693+AH693</f>
        <v>0</v>
      </c>
      <c r="AK693" s="359"/>
      <c r="AL693" s="359"/>
      <c r="AM693" s="359"/>
      <c r="AN693" s="287">
        <f>IFERROR(Y693*AJ693/Y699,)</f>
        <v>0</v>
      </c>
      <c r="AO693" s="197" t="str">
        <f>IFERROR(VLOOKUP($G693,нормы!$A$14:$BC$57,53,0)*$W693,"")</f>
        <v/>
      </c>
      <c r="AP693" s="288">
        <f>IFERROR(Y693*AI693/Y699,)</f>
        <v>0</v>
      </c>
      <c r="AQ693" s="197" t="str">
        <f>IFERROR(VLOOKUP($G693,нормы!$A$14:$BC$57,54,0)*$W693,"")</f>
        <v/>
      </c>
      <c r="AR693" s="288">
        <f>IFERROR(AS693/SUM(AS693:AS698)*AL693,0)</f>
        <v>0</v>
      </c>
      <c r="AS693" s="197" t="str">
        <f>IFERROR(VLOOKUP($G693,нормы!$A$14:$BC$57,55,0)*W693,"")</f>
        <v/>
      </c>
      <c r="AT693" s="288">
        <f>IFERROR(AU693/SUM(AU693:AU698)*AM693,0)</f>
        <v>0</v>
      </c>
      <c r="AU693" s="197" t="str">
        <f>IFERROR(VLOOKUP($G693,нормы!$A$14:$BI$57,56,0)*W693,"")</f>
        <v/>
      </c>
      <c r="AV693" s="288">
        <f>IFERROR(AW693/SUM(AW693:AW698)*AK693,0)</f>
        <v>0</v>
      </c>
      <c r="AW693" s="202" t="str">
        <f>IFERROR(VLOOKUP($G693,нормы!$A$14:$BI$57,57,0)*W693,"")</f>
        <v/>
      </c>
      <c r="AX693" s="33"/>
      <c r="AY693" s="203" t="str">
        <f>IFERROR(VLOOKUP($G693,нормы!$A$14:$BI$57,58,0)*W693,"")</f>
        <v/>
      </c>
      <c r="AZ693" s="204"/>
      <c r="BA693" s="200" t="str">
        <f>IFERROR(VLOOKUP($G693,нормы!$A$14:$BI$57,61,0)*$W693,"")</f>
        <v/>
      </c>
      <c r="BB693" s="33"/>
      <c r="BC693" s="203" t="str">
        <f>IFERROR(VLOOKUP($G693,нормы!$A$14:$BI$57,60,0)*W693,"")</f>
        <v/>
      </c>
      <c r="BD693" s="200" t="str">
        <f>IFERROR(VLOOKUP($G693,нормы!$A$14:$BG$57,44,0),"")</f>
        <v/>
      </c>
      <c r="BE693" s="199" t="str">
        <f>IFERROR(W693/VLOOKUP($G693,нормы!$A$14:$BI$57,45,0),"")</f>
        <v/>
      </c>
    </row>
    <row r="694" spans="1:57" s="1" customFormat="1" ht="21.6" customHeight="1" x14ac:dyDescent="0.4">
      <c r="A694" s="37" t="str">
        <f t="shared" ref="A694:A722" si="278">A693</f>
        <v>12Д</v>
      </c>
      <c r="B694" s="12">
        <f t="shared" ref="B694:D698" si="279">B693</f>
        <v>46034</v>
      </c>
      <c r="C694" s="97">
        <f t="shared" si="279"/>
        <v>0</v>
      </c>
      <c r="D694" s="97">
        <f t="shared" si="279"/>
        <v>1</v>
      </c>
      <c r="E694" s="54"/>
      <c r="F694" s="151" t="str">
        <f>IFERROR(VLOOKUP($G694,нормы!$A$14:$BC$57,2,0),"")</f>
        <v/>
      </c>
      <c r="G694" s="93"/>
      <c r="H694" s="54">
        <f t="shared" ref="H694:H698" si="280">IF(C694=1,"Кульков С.А.", IF(C694=2,"Чудаков А.А.",IF(C694=3,"Королев В.Н.",IF(C694=4,"Николашин М.П.",IF(C694=5," Кульков С.А.",IF(C694=6,"А.А. Чудаков",IF(C694=7,"В.Н. Королев",IF(C694=8,"М.П. Николашин",0))))))))</f>
        <v>0</v>
      </c>
      <c r="I694" s="55"/>
      <c r="J694" s="333"/>
      <c r="K694" s="30">
        <f>IFERROR(VLOOKUP($G694,[1]нормы!$A$21:$BC$151,15,0),"")</f>
        <v>0</v>
      </c>
      <c r="L694" s="31">
        <f>IFERROR(VLOOKUP($G694,[1]нормы!$A$21:$BC$151,17,0),"")</f>
        <v>0</v>
      </c>
      <c r="M694" s="306">
        <f>IFERROR(VLOOKUP($G694,[1]нормы!$A$21:$BC$151,27,0),"")</f>
        <v>0</v>
      </c>
      <c r="N694" s="307" t="str">
        <f>IFERROR(Y694/Y699*(1.1*J693*I698),"")</f>
        <v/>
      </c>
      <c r="O694" s="300">
        <f>IFERROR(VLOOKUP($G694,[1]нормы!$A$21:$BC$151,21,0),"")</f>
        <v>0</v>
      </c>
      <c r="P694" s="35">
        <f>IFERROR(VLOOKUP($G694,[1]нормы!$A$21:$BC$151,19,0),"")</f>
        <v>0</v>
      </c>
      <c r="Q694" s="35">
        <f>IFERROR(VLOOKUP($G694,[1]нормы!$A$21:$BC$151,23,0),"")</f>
        <v>0</v>
      </c>
      <c r="R694" s="231">
        <f>IFERROR(VLOOKUP($G694,[1]нормы!$A$21:$BC$151,29,0),"")</f>
        <v>0</v>
      </c>
      <c r="S694" s="35">
        <f>IFERROR(VLOOKUP($G694,[1]нормы!$A$21:$BC$151,31,0),"")</f>
        <v>0</v>
      </c>
      <c r="T694" s="32">
        <f>IFERROR(VLOOKUP($G694,[1]нормы!$A$21:$BC$151,25,0),"")</f>
        <v>0</v>
      </c>
      <c r="U694" s="233" t="str">
        <f>IFERROR(W694/(((100*Y694/Y699)*I698)/100),"")</f>
        <v/>
      </c>
      <c r="V694" s="234" t="str">
        <f>IFERROR(VLOOKUP($G694,нормы!$A$14:$BC$57,38,0),"")</f>
        <v/>
      </c>
      <c r="W694" s="136"/>
      <c r="X694" s="237"/>
      <c r="Y694" s="152" t="str">
        <f>IFERROR(VLOOKUP($G694,нормы!$A$14:$BC$57,42,0)*W694,"")</f>
        <v/>
      </c>
      <c r="Z694" s="163">
        <f>IFERROR(VLOOKUP($G694,нормы!$A$14:$BC$57,14,0)*W694/1000,0)</f>
        <v>0</v>
      </c>
      <c r="AA694" s="142"/>
      <c r="AB694" s="35"/>
      <c r="AC694" s="35"/>
      <c r="AD694" s="35"/>
      <c r="AE694" s="31"/>
      <c r="AF694" s="160"/>
      <c r="AG694" s="391"/>
      <c r="AH694" s="394"/>
      <c r="AI694" s="397"/>
      <c r="AJ694" s="408"/>
      <c r="AK694" s="360"/>
      <c r="AL694" s="360"/>
      <c r="AM694" s="360"/>
      <c r="AN694" s="289">
        <f>IFERROR(Y694*AJ693/Y699,)</f>
        <v>0</v>
      </c>
      <c r="AO694" s="197" t="str">
        <f>IFERROR(VLOOKUP($G694,нормы!$A$14:$BC$57,53,0)*$W694,"")</f>
        <v/>
      </c>
      <c r="AP694" s="290">
        <f>IFERROR(Y694*AI693/Y699,)</f>
        <v>0</v>
      </c>
      <c r="AQ694" s="197" t="str">
        <f>IFERROR(VLOOKUP($G694,нормы!$A$14:$BC$57,54,0)*$W694,"")</f>
        <v/>
      </c>
      <c r="AR694" s="290">
        <f>IFERROR(AS694/SUM(AS693:AS698)*AL693,0)</f>
        <v>0</v>
      </c>
      <c r="AS694" s="197" t="str">
        <f>IFERROR(VLOOKUP($G694,нормы!$A$14:$BC$57,55,0)*W694,"")</f>
        <v/>
      </c>
      <c r="AT694" s="290">
        <f>IFERROR(AU694/SUM(AU693:AU698)*AM693,0)</f>
        <v>0</v>
      </c>
      <c r="AU694" s="197" t="str">
        <f>IFERROR(VLOOKUP($G694,нормы!$A$14:$BI$57,56,0)*W694,"")</f>
        <v/>
      </c>
      <c r="AV694" s="290">
        <f>IFERROR(AW694/SUM(AW693:AW698)*AK693,0)</f>
        <v>0</v>
      </c>
      <c r="AW694" s="202" t="str">
        <f>IFERROR(VLOOKUP($G694,нормы!$A$14:$BI$57,57,0)*W694,"")</f>
        <v/>
      </c>
      <c r="AX694" s="30"/>
      <c r="AY694" s="203" t="str">
        <f>IFERROR(VLOOKUP($G694,нормы!$A$14:$BI$57,58,0)*W694,"")</f>
        <v/>
      </c>
      <c r="AZ694" s="205"/>
      <c r="BA694" s="200" t="str">
        <f>IFERROR(VLOOKUP($G694,нормы!$A$14:$BI$57,61,0)*$W694,"")</f>
        <v/>
      </c>
      <c r="BB694" s="30"/>
      <c r="BC694" s="203" t="str">
        <f>IFERROR(VLOOKUP($G694,нормы!$A$14:$BI$57,60,0)*W694,"")</f>
        <v/>
      </c>
      <c r="BD694" s="200" t="str">
        <f>IFERROR(VLOOKUP($G694,нормы!$A$14:$BG$57,44,0),"")</f>
        <v/>
      </c>
      <c r="BE694" s="199" t="str">
        <f>IFERROR(W694/VLOOKUP($G694,нормы!$A$14:$BI$57,45,0),"")</f>
        <v/>
      </c>
    </row>
    <row r="695" spans="1:57" s="1" customFormat="1" ht="20.25" customHeight="1" x14ac:dyDescent="0.4">
      <c r="A695" s="37" t="str">
        <f t="shared" si="278"/>
        <v>12Д</v>
      </c>
      <c r="B695" s="12">
        <f t="shared" si="279"/>
        <v>46034</v>
      </c>
      <c r="C695" s="97">
        <f t="shared" si="279"/>
        <v>0</v>
      </c>
      <c r="D695" s="97">
        <f t="shared" si="279"/>
        <v>1</v>
      </c>
      <c r="E695" s="54"/>
      <c r="F695" s="151" t="str">
        <f>IFERROR(VLOOKUP($G695,нормы!$A$14:$BC$57,2,0),"")</f>
        <v/>
      </c>
      <c r="G695" s="38"/>
      <c r="H695" s="54">
        <f t="shared" si="280"/>
        <v>0</v>
      </c>
      <c r="I695" s="89" t="s">
        <v>85</v>
      </c>
      <c r="J695" s="333"/>
      <c r="K695" s="30">
        <f>IFERROR(VLOOKUP($G695,[1]нормы!$A$21:$BC$151,15,0),"")</f>
        <v>0</v>
      </c>
      <c r="L695" s="31">
        <f>IFERROR(VLOOKUP($G695,[1]нормы!$A$21:$BC$151,17,0),"")</f>
        <v>0</v>
      </c>
      <c r="M695" s="306">
        <f>IFERROR(VLOOKUP($G695,[1]нормы!$A$21:$BC$151,27,0),"")</f>
        <v>0</v>
      </c>
      <c r="N695" s="307" t="str">
        <f>IFERROR(Y695/Y699*(1.1*J693*I698),"")</f>
        <v/>
      </c>
      <c r="O695" s="300">
        <f>IFERROR(VLOOKUP($G695,[1]нормы!$A$21:$BC$151,21,0),"")</f>
        <v>0</v>
      </c>
      <c r="P695" s="35">
        <f>IFERROR(VLOOKUP($G695,[1]нормы!$A$21:$BC$151,19,0),"")</f>
        <v>0</v>
      </c>
      <c r="Q695" s="35">
        <f>IFERROR(VLOOKUP($G695,[1]нормы!$A$21:$BC$151,23,0),"")</f>
        <v>0</v>
      </c>
      <c r="R695" s="231">
        <f>IFERROR(VLOOKUP($G695,[1]нормы!$A$21:$BC$151,29,0),"")</f>
        <v>0</v>
      </c>
      <c r="S695" s="35">
        <f>IFERROR(VLOOKUP($G695,[1]нормы!$A$21:$BC$151,31,0),"")</f>
        <v>0</v>
      </c>
      <c r="T695" s="32">
        <f>IFERROR(VLOOKUP($G695,[1]нормы!$A$21:$BC$151,25,0),"")</f>
        <v>0</v>
      </c>
      <c r="U695" s="233" t="str">
        <f>IFERROR(W695/(((100*Y695/Y699)*I698)/100),"")</f>
        <v/>
      </c>
      <c r="V695" s="234" t="str">
        <f>IFERROR(VLOOKUP($G695,нормы!$A$14:$BC$57,38,0),"")</f>
        <v/>
      </c>
      <c r="W695" s="136"/>
      <c r="X695" s="237"/>
      <c r="Y695" s="152" t="str">
        <f>IFERROR(VLOOKUP($G695,нормы!$A$14:$BC$57,42,0)*W695,"")</f>
        <v/>
      </c>
      <c r="Z695" s="163">
        <f>IFERROR(VLOOKUP($G695,нормы!$A$14:$BC$57,14,0)*W695/1000,0)</f>
        <v>0</v>
      </c>
      <c r="AA695" s="30"/>
      <c r="AB695" s="35"/>
      <c r="AC695" s="35"/>
      <c r="AD695" s="35"/>
      <c r="AE695" s="31"/>
      <c r="AF695" s="160"/>
      <c r="AG695" s="391"/>
      <c r="AH695" s="394"/>
      <c r="AI695" s="397"/>
      <c r="AJ695" s="408"/>
      <c r="AK695" s="360"/>
      <c r="AL695" s="360"/>
      <c r="AM695" s="360"/>
      <c r="AN695" s="289">
        <f>IFERROR(Y695*AJ693/Y699,)</f>
        <v>0</v>
      </c>
      <c r="AO695" s="197" t="str">
        <f>IFERROR(VLOOKUP($G695,нормы!$A$14:$BC$57,53,0)*$W695,"")</f>
        <v/>
      </c>
      <c r="AP695" s="290">
        <f>IFERROR(Y695*AI693/Y699,)</f>
        <v>0</v>
      </c>
      <c r="AQ695" s="197" t="str">
        <f>IFERROR(VLOOKUP($G695,нормы!$A$14:$BC$57,54,0)*$W695,"")</f>
        <v/>
      </c>
      <c r="AR695" s="290">
        <f>IFERROR(AS695/SUM(AS693:AS698)*AL693,0)</f>
        <v>0</v>
      </c>
      <c r="AS695" s="197" t="str">
        <f>IFERROR(VLOOKUP($G695,нормы!$A$14:$BC$57,55,0)*W695,"")</f>
        <v/>
      </c>
      <c r="AT695" s="290">
        <f>IFERROR(AU695/SUM(AU693:AU698)*AM693,0)</f>
        <v>0</v>
      </c>
      <c r="AU695" s="197" t="str">
        <f>IFERROR(VLOOKUP($G695,нормы!$A$14:$BI$57,56,0)*W695,"")</f>
        <v/>
      </c>
      <c r="AV695" s="290">
        <f>IFERROR(AW695/SUM(AW693:AW698)*AK693,0)</f>
        <v>0</v>
      </c>
      <c r="AW695" s="202" t="str">
        <f>IFERROR(VLOOKUP($G695,нормы!$A$14:$BI$57,57,0)*W695,"")</f>
        <v/>
      </c>
      <c r="AX695" s="30"/>
      <c r="AY695" s="203" t="str">
        <f>IFERROR(VLOOKUP($G695,нормы!$A$14:$BI$57,58,0)*W695,"")</f>
        <v/>
      </c>
      <c r="AZ695" s="205"/>
      <c r="BA695" s="200" t="str">
        <f>IFERROR(VLOOKUP($G695,нормы!$A$14:$BI$57,61,0)*$W695,"")</f>
        <v/>
      </c>
      <c r="BB695" s="30"/>
      <c r="BC695" s="203" t="str">
        <f>IFERROR(VLOOKUP($G695,нормы!$A$14:$BI$57,60,0)*W695,"")</f>
        <v/>
      </c>
      <c r="BD695" s="200" t="str">
        <f>IFERROR(VLOOKUP($G695,нормы!$A$14:$BG$57,44,0),"")</f>
        <v/>
      </c>
      <c r="BE695" s="199" t="str">
        <f>IFERROR(W695/VLOOKUP($G695,нормы!$A$14:$BI$57,45,0),"")</f>
        <v/>
      </c>
    </row>
    <row r="696" spans="1:57" s="1" customFormat="1" ht="20.25" customHeight="1" x14ac:dyDescent="0.4">
      <c r="A696" s="37" t="str">
        <f t="shared" si="278"/>
        <v>12Д</v>
      </c>
      <c r="B696" s="12">
        <f t="shared" si="279"/>
        <v>46034</v>
      </c>
      <c r="C696" s="97">
        <f t="shared" si="279"/>
        <v>0</v>
      </c>
      <c r="D696" s="97">
        <f t="shared" si="279"/>
        <v>1</v>
      </c>
      <c r="E696" s="54"/>
      <c r="F696" s="151" t="str">
        <f>IFERROR(VLOOKUP($G696,нормы!$A$14:$BC$57,2,0),"")</f>
        <v/>
      </c>
      <c r="G696" s="93"/>
      <c r="H696" s="54">
        <f t="shared" si="280"/>
        <v>0</v>
      </c>
      <c r="I696" s="55"/>
      <c r="J696" s="333"/>
      <c r="K696" s="30">
        <f>IFERROR(VLOOKUP($G696,[1]нормы!$A$21:$BC$151,15,0),"")</f>
        <v>0</v>
      </c>
      <c r="L696" s="31">
        <f>IFERROR(VLOOKUP($G696,[1]нормы!$A$21:$BC$151,17,0),"")</f>
        <v>0</v>
      </c>
      <c r="M696" s="306">
        <f>IFERROR(VLOOKUP($G696,[1]нормы!$A$21:$BC$151,27,0),"")</f>
        <v>0</v>
      </c>
      <c r="N696" s="307" t="str">
        <f>IFERROR(Y696/Y699*(1.1*J693*I701),"")</f>
        <v/>
      </c>
      <c r="O696" s="300">
        <f>IFERROR(VLOOKUP($G696,[1]нормы!$A$21:$BC$151,21,0),"")</f>
        <v>0</v>
      </c>
      <c r="P696" s="35">
        <f>IFERROR(VLOOKUP($G696,[1]нормы!$A$21:$BC$151,19,0),"")</f>
        <v>0</v>
      </c>
      <c r="Q696" s="35">
        <f>IFERROR(VLOOKUP($G696,[1]нормы!$A$21:$BC$151,23,0),"")</f>
        <v>0</v>
      </c>
      <c r="R696" s="231">
        <f>IFERROR(VLOOKUP($G696,[1]нормы!$A$21:$BC$151,29,0),"")</f>
        <v>0</v>
      </c>
      <c r="S696" s="35">
        <f>IFERROR(VLOOKUP($G696,[1]нормы!$A$21:$BC$151,31,0),"")</f>
        <v>0</v>
      </c>
      <c r="T696" s="32">
        <f>IFERROR(VLOOKUP($G696,[1]нормы!$A$21:$BC$151,25,0),"")</f>
        <v>0</v>
      </c>
      <c r="U696" s="233" t="str">
        <f>IFERROR(W696/(((100*Y696/Y699)*I698)/100),"")</f>
        <v/>
      </c>
      <c r="V696" s="234" t="str">
        <f>IFERROR(VLOOKUP($G696,нормы!$A$14:$BC$57,38,0),"")</f>
        <v/>
      </c>
      <c r="W696" s="136"/>
      <c r="X696" s="237"/>
      <c r="Y696" s="152" t="str">
        <f>IFERROR(VLOOKUP($G696,нормы!$A$14:$BC$57,42,0)*W696,"")</f>
        <v/>
      </c>
      <c r="Z696" s="163">
        <f>IFERROR(VLOOKUP($G696,нормы!$A$14:$BC$57,14,0)*W696/1000,0)</f>
        <v>0</v>
      </c>
      <c r="AA696" s="30"/>
      <c r="AB696" s="35"/>
      <c r="AC696" s="35"/>
      <c r="AD696" s="35"/>
      <c r="AE696" s="31"/>
      <c r="AF696" s="160"/>
      <c r="AG696" s="391"/>
      <c r="AH696" s="394"/>
      <c r="AI696" s="397"/>
      <c r="AJ696" s="408"/>
      <c r="AK696" s="360"/>
      <c r="AL696" s="360"/>
      <c r="AM696" s="360"/>
      <c r="AN696" s="289">
        <f>IFERROR(Y696*AJ693/Y699,)</f>
        <v>0</v>
      </c>
      <c r="AO696" s="197" t="str">
        <f>IFERROR(VLOOKUP($G696,нормы!$A$14:$BC$57,53,0)*$W696,"")</f>
        <v/>
      </c>
      <c r="AP696" s="290">
        <f>IFERROR(Y696*AI693/Y699,)</f>
        <v>0</v>
      </c>
      <c r="AQ696" s="197" t="str">
        <f>IFERROR(VLOOKUP($G696,нормы!$A$14:$BC$57,54,0)*$W696,"")</f>
        <v/>
      </c>
      <c r="AR696" s="290">
        <f>IFERROR(AS696/SUM(AS693:AS698)*AL693,0)</f>
        <v>0</v>
      </c>
      <c r="AS696" s="197" t="str">
        <f>IFERROR(VLOOKUP($G696,нормы!$A$14:$BC$57,55,0)*W696,"")</f>
        <v/>
      </c>
      <c r="AT696" s="290">
        <f>IFERROR(AU696/SUM(AU693:AU698)*AM693,0)</f>
        <v>0</v>
      </c>
      <c r="AU696" s="197" t="str">
        <f>IFERROR(VLOOKUP($G696,нормы!$A$14:$BI$57,56,0)*W696,"")</f>
        <v/>
      </c>
      <c r="AV696" s="290">
        <f>IFERROR(AW696/SUM(AW693:AW698)*AK693,0)</f>
        <v>0</v>
      </c>
      <c r="AW696" s="202" t="str">
        <f>IFERROR(VLOOKUP($G696,нормы!$A$14:$BI$57,57,0)*W696,"")</f>
        <v/>
      </c>
      <c r="AX696" s="30"/>
      <c r="AY696" s="203" t="str">
        <f>IFERROR(VLOOKUP($G696,нормы!$A$14:$BI$57,58,0)*W696,"")</f>
        <v/>
      </c>
      <c r="AZ696" s="205"/>
      <c r="BA696" s="200" t="str">
        <f>IFERROR(VLOOKUP($G696,нормы!$A$14:$BI$57,61,0)*$W696,"")</f>
        <v/>
      </c>
      <c r="BB696" s="30"/>
      <c r="BC696" s="203" t="str">
        <f>IFERROR(VLOOKUP($G696,нормы!$A$14:$BI$57,60,0)*W696,"")</f>
        <v/>
      </c>
      <c r="BD696" s="200" t="str">
        <f>IFERROR(VLOOKUP($G696,нормы!$A$14:$BG$57,44,0),"")</f>
        <v/>
      </c>
      <c r="BE696" s="199" t="str">
        <f>IFERROR(W696/VLOOKUP($G696,нормы!$A$14:$BI$57,45,0),"")</f>
        <v/>
      </c>
    </row>
    <row r="697" spans="1:57" s="1" customFormat="1" ht="20.25" customHeight="1" x14ac:dyDescent="0.4">
      <c r="A697" s="37" t="str">
        <f t="shared" si="278"/>
        <v>12Д</v>
      </c>
      <c r="B697" s="12">
        <f t="shared" si="279"/>
        <v>46034</v>
      </c>
      <c r="C697" s="97">
        <f t="shared" si="279"/>
        <v>0</v>
      </c>
      <c r="D697" s="97">
        <f t="shared" si="279"/>
        <v>1</v>
      </c>
      <c r="E697" s="54"/>
      <c r="F697" s="151" t="str">
        <f>IFERROR(VLOOKUP($G697,нормы!$A$14:$BC$57,2,0),"")</f>
        <v/>
      </c>
      <c r="G697" s="38"/>
      <c r="H697" s="54">
        <f t="shared" si="280"/>
        <v>0</v>
      </c>
      <c r="I697" s="89" t="s">
        <v>73</v>
      </c>
      <c r="J697" s="333"/>
      <c r="K697" s="30">
        <f>IFERROR(VLOOKUP($G697,[1]нормы!$A$21:$BC$151,15,0),"")</f>
        <v>0</v>
      </c>
      <c r="L697" s="31">
        <f>IFERROR(VLOOKUP($G697,[1]нормы!$A$21:$BC$151,17,0),"")</f>
        <v>0</v>
      </c>
      <c r="M697" s="306">
        <f>IFERROR(VLOOKUP($G697,[1]нормы!$A$21:$BC$151,27,0),"")</f>
        <v>0</v>
      </c>
      <c r="N697" s="307" t="str">
        <f>IFERROR(Y697/Y699*(1.1*J693*I702),"")</f>
        <v/>
      </c>
      <c r="O697" s="300">
        <f>IFERROR(VLOOKUP($G697,[1]нормы!$A$21:$BC$151,21,0),"")</f>
        <v>0</v>
      </c>
      <c r="P697" s="35">
        <f>IFERROR(VLOOKUP($G697,[1]нормы!$A$21:$BC$151,19,0),"")</f>
        <v>0</v>
      </c>
      <c r="Q697" s="35">
        <f>IFERROR(VLOOKUP($G697,[1]нормы!$A$21:$BC$151,23,0),"")</f>
        <v>0</v>
      </c>
      <c r="R697" s="231">
        <f>IFERROR(VLOOKUP($G697,[1]нормы!$A$21:$BC$151,29,0),"")</f>
        <v>0</v>
      </c>
      <c r="S697" s="35">
        <f>IFERROR(VLOOKUP($G697,[1]нормы!$A$21:$BC$151,31,0),"")</f>
        <v>0</v>
      </c>
      <c r="T697" s="32">
        <f>IFERROR(VLOOKUP($G697,[1]нормы!$A$21:$BC$151,25,0),"")</f>
        <v>0</v>
      </c>
      <c r="U697" s="233" t="str">
        <f>IFERROR(W697/(((100*Y697/Y699)*I698)/100),"")</f>
        <v/>
      </c>
      <c r="V697" s="234" t="str">
        <f>IFERROR(VLOOKUP($G697,нормы!$A$14:$BC$57,38,0),"")</f>
        <v/>
      </c>
      <c r="W697" s="136"/>
      <c r="X697" s="237"/>
      <c r="Y697" s="152" t="str">
        <f>IFERROR(VLOOKUP($G697,нормы!$A$14:$BC$57,42,0)*W697,"")</f>
        <v/>
      </c>
      <c r="Z697" s="163">
        <f>IFERROR(VLOOKUP($G697,нормы!$A$14:$BC$57,14,0)*W697/1000,0)</f>
        <v>0</v>
      </c>
      <c r="AA697" s="30"/>
      <c r="AB697" s="35"/>
      <c r="AC697" s="35"/>
      <c r="AD697" s="35"/>
      <c r="AE697" s="31"/>
      <c r="AF697" s="160"/>
      <c r="AG697" s="391"/>
      <c r="AH697" s="394"/>
      <c r="AI697" s="397"/>
      <c r="AJ697" s="408"/>
      <c r="AK697" s="360"/>
      <c r="AL697" s="360"/>
      <c r="AM697" s="360"/>
      <c r="AN697" s="289">
        <f>IFERROR(Y697*AJ693/Y699,)</f>
        <v>0</v>
      </c>
      <c r="AO697" s="197" t="str">
        <f>IFERROR(VLOOKUP($G697,нормы!$A$14:$BC$57,53,0)*$W697,"")</f>
        <v/>
      </c>
      <c r="AP697" s="290">
        <f>IFERROR(Y697*AI693/Y699,)</f>
        <v>0</v>
      </c>
      <c r="AQ697" s="197" t="str">
        <f>IFERROR(VLOOKUP($G697,нормы!$A$14:$BC$57,54,0)*$W697,"")</f>
        <v/>
      </c>
      <c r="AR697" s="290">
        <f>IFERROR(AS697/SUM(AS693:AS698)*AL693,0)</f>
        <v>0</v>
      </c>
      <c r="AS697" s="197" t="str">
        <f>IFERROR(VLOOKUP($G697,нормы!$A$14:$BC$57,55,0)*W697,"")</f>
        <v/>
      </c>
      <c r="AT697" s="290">
        <f>IFERROR(AU697/SUM(AU693:AU698)*AM693,0)</f>
        <v>0</v>
      </c>
      <c r="AU697" s="197" t="str">
        <f>IFERROR(VLOOKUP($G697,нормы!$A$14:$BI$57,56,0)*W697,"")</f>
        <v/>
      </c>
      <c r="AV697" s="290">
        <f>IFERROR(AW697/SUM(AW693:AW698)*AK693,0)</f>
        <v>0</v>
      </c>
      <c r="AW697" s="202" t="str">
        <f>IFERROR(VLOOKUP($G697,нормы!$A$14:$BI$57,57,0)*W697,"")</f>
        <v/>
      </c>
      <c r="AX697" s="30"/>
      <c r="AY697" s="203" t="str">
        <f>IFERROR(VLOOKUP($G697,нормы!$A$14:$BI$57,58,0)*W697,"")</f>
        <v/>
      </c>
      <c r="AZ697" s="205"/>
      <c r="BA697" s="200" t="str">
        <f>IFERROR(VLOOKUP($G697,нормы!$A$14:$BI$57,61,0)*$W697,"")</f>
        <v/>
      </c>
      <c r="BB697" s="30"/>
      <c r="BC697" s="203" t="str">
        <f>IFERROR(VLOOKUP($G697,нормы!$A$14:$BI$57,60,0)*W697,"")</f>
        <v/>
      </c>
      <c r="BD697" s="200" t="str">
        <f>IFERROR(VLOOKUP($G697,нормы!$A$14:$BG$57,44,0),"")</f>
        <v/>
      </c>
      <c r="BE697" s="199" t="str">
        <f>IFERROR(W697/VLOOKUP($G697,нормы!$A$14:$BI$57,45,0),"")</f>
        <v/>
      </c>
    </row>
    <row r="698" spans="1:57" s="1" customFormat="1" ht="21" customHeight="1" thickBot="1" x14ac:dyDescent="0.45">
      <c r="A698" s="37" t="str">
        <f t="shared" si="278"/>
        <v>12Д</v>
      </c>
      <c r="B698" s="12">
        <f t="shared" si="279"/>
        <v>46034</v>
      </c>
      <c r="C698" s="97">
        <f t="shared" si="279"/>
        <v>0</v>
      </c>
      <c r="D698" s="97">
        <f t="shared" si="279"/>
        <v>1</v>
      </c>
      <c r="E698" s="54"/>
      <c r="F698" s="151" t="str">
        <f>IFERROR(VLOOKUP($G698,нормы!$A$14:$BC$57,2,0),"")</f>
        <v/>
      </c>
      <c r="G698" s="93"/>
      <c r="H698" s="63">
        <f t="shared" si="280"/>
        <v>0</v>
      </c>
      <c r="I698" s="153">
        <f>I694+I696</f>
        <v>0</v>
      </c>
      <c r="J698" s="334"/>
      <c r="K698" s="30">
        <f>IFERROR(VLOOKUP($G698,[1]нормы!$A$21:$BC$151,15,0),"")</f>
        <v>0</v>
      </c>
      <c r="L698" s="31">
        <f>IFERROR(VLOOKUP($G698,[1]нормы!$A$21:$BC$151,17,0),"")</f>
        <v>0</v>
      </c>
      <c r="M698" s="308">
        <f>IFERROR(VLOOKUP($G698,[1]нормы!$A$21:$BC$151,27,0),"")</f>
        <v>0</v>
      </c>
      <c r="N698" s="309" t="str">
        <f>IFERROR(Y698/Y699*(1.1*J693*I703),"")</f>
        <v/>
      </c>
      <c r="O698" s="300">
        <f>IFERROR(VLOOKUP($G698,[1]нормы!$A$21:$BC$151,21,0),"")</f>
        <v>0</v>
      </c>
      <c r="P698" s="35">
        <f>IFERROR(VLOOKUP($G698,[1]нормы!$A$21:$BC$151,19,0),"")</f>
        <v>0</v>
      </c>
      <c r="Q698" s="35">
        <f>IFERROR(VLOOKUP($G698,[1]нормы!$A$21:$BC$151,23,0),"")</f>
        <v>0</v>
      </c>
      <c r="R698" s="231">
        <f>IFERROR(VLOOKUP($G698,[1]нормы!$A$21:$BC$151,29,0),"")</f>
        <v>0</v>
      </c>
      <c r="S698" s="35">
        <f>IFERROR(VLOOKUP($G698,[1]нормы!$A$21:$BC$151,31,0),"")</f>
        <v>0</v>
      </c>
      <c r="T698" s="32">
        <f>IFERROR(VLOOKUP($G698,[1]нормы!$A$21:$BC$151,25,0),"")</f>
        <v>0</v>
      </c>
      <c r="U698" s="235" t="str">
        <f>IFERROR(W698/(((100*Y698/Y699)*I698)/100),"")</f>
        <v/>
      </c>
      <c r="V698" s="234" t="str">
        <f>IFERROR(VLOOKUP($G698,нормы!$A$14:$BC$57,38,0),"")</f>
        <v/>
      </c>
      <c r="W698" s="154"/>
      <c r="X698" s="238"/>
      <c r="Y698" s="152" t="str">
        <f>IFERROR(VLOOKUP($G698,нормы!$A$14:$BC$57,42,0)*W698,"")</f>
        <v/>
      </c>
      <c r="Z698" s="163">
        <f>IFERROR(VLOOKUP($G698,нормы!$A$14:$BC$57,14,0)*W698/1000,0)</f>
        <v>0</v>
      </c>
      <c r="AA698" s="56"/>
      <c r="AB698" s="58"/>
      <c r="AC698" s="58"/>
      <c r="AD698" s="58"/>
      <c r="AE698" s="57"/>
      <c r="AF698" s="161"/>
      <c r="AG698" s="392"/>
      <c r="AH698" s="395"/>
      <c r="AI698" s="398"/>
      <c r="AJ698" s="409"/>
      <c r="AK698" s="361"/>
      <c r="AL698" s="361"/>
      <c r="AM698" s="361"/>
      <c r="AN698" s="291">
        <f>IFERROR(Y698*AJ693/Y699,)</f>
        <v>0</v>
      </c>
      <c r="AO698" s="197" t="str">
        <f>IFERROR(VLOOKUP($G698,нормы!$A$14:$BC$57,53,0)*$W698,"")</f>
        <v/>
      </c>
      <c r="AP698" s="292">
        <f>IFERROR(Y698*AI693/Y699,)</f>
        <v>0</v>
      </c>
      <c r="AQ698" s="197" t="str">
        <f>IFERROR(VLOOKUP($G698,нормы!$A$14:$BC$57,54,0)*$W698,"")</f>
        <v/>
      </c>
      <c r="AR698" s="290">
        <f>IFERROR(AS698/SUM(AS693:AS698)*AL693,0)</f>
        <v>0</v>
      </c>
      <c r="AS698" s="197" t="str">
        <f>IFERROR(VLOOKUP($G698,нормы!$A$14:$BC$57,55,0)*W698,"")</f>
        <v/>
      </c>
      <c r="AT698" s="292">
        <f>IFERROR(AU698/SUM(AU693:AU698)*AM693,0)</f>
        <v>0</v>
      </c>
      <c r="AU698" s="197" t="str">
        <f>IFERROR(VLOOKUP($G698,нормы!$A$14:$BI$57,56,0)*W698,"")</f>
        <v/>
      </c>
      <c r="AV698" s="292">
        <f>IFERROR(AW698/SUM(AW693:AW698)*AK693,0)</f>
        <v>0</v>
      </c>
      <c r="AW698" s="202" t="str">
        <f>IFERROR(VLOOKUP($G698,нормы!$A$14:$BI$57,57,0)*W698,"")</f>
        <v/>
      </c>
      <c r="AX698" s="56"/>
      <c r="AY698" s="203" t="str">
        <f>IFERROR(VLOOKUP($G698,нормы!$A$14:$BI$57,58,0)*W698,"")</f>
        <v/>
      </c>
      <c r="AZ698" s="206"/>
      <c r="BA698" s="200" t="str">
        <f>IFERROR(VLOOKUP($G698,нормы!$A$14:$BI$57,61,0)*$W698,"")</f>
        <v/>
      </c>
      <c r="BB698" s="56"/>
      <c r="BC698" s="203" t="str">
        <f>IFERROR(VLOOKUP($G698,нормы!$A$14:$BI$57,60,0)*W698,"")</f>
        <v/>
      </c>
      <c r="BD698" s="200" t="str">
        <f>IFERROR(VLOOKUP($G698,нормы!$A$14:$BG$57,44,0),"")</f>
        <v/>
      </c>
      <c r="BE698" s="199" t="str">
        <f>IFERROR(W698/VLOOKUP($G698,нормы!$A$14:$BI$57,45,0),"")</f>
        <v/>
      </c>
    </row>
    <row r="699" spans="1:57" s="1" customFormat="1" ht="29.4" customHeight="1" thickBot="1" x14ac:dyDescent="0.45">
      <c r="A699" s="37" t="str">
        <f t="shared" si="278"/>
        <v>12Д</v>
      </c>
      <c r="B699" s="59"/>
      <c r="C699" s="51"/>
      <c r="D699" s="51"/>
      <c r="E699" s="51"/>
      <c r="F699" s="295" t="s">
        <v>148</v>
      </c>
      <c r="G699" s="51"/>
      <c r="H699" s="51"/>
      <c r="I699" s="60"/>
      <c r="J699" s="60"/>
      <c r="K699" s="319" t="s">
        <v>213</v>
      </c>
      <c r="L699" s="316"/>
      <c r="M699" s="303" t="s">
        <v>213</v>
      </c>
      <c r="N699" s="317">
        <f>SUM(N693:N698)</f>
        <v>0</v>
      </c>
      <c r="O699" s="304" t="s">
        <v>216</v>
      </c>
      <c r="P699" s="318">
        <f>N699*8.937/1000</f>
        <v>0</v>
      </c>
      <c r="Q699" s="305" t="s">
        <v>215</v>
      </c>
      <c r="R699" s="61"/>
      <c r="S699" s="61"/>
      <c r="T699" s="61"/>
      <c r="U699" s="109"/>
      <c r="V699" s="109"/>
      <c r="W699" s="94"/>
      <c r="X699" s="155"/>
      <c r="Y699" s="96">
        <f>SUM(Y693:Y698)</f>
        <v>0</v>
      </c>
      <c r="Z699" s="164">
        <f>SUM(Z693:Z698)</f>
        <v>0</v>
      </c>
      <c r="AA699" s="62"/>
      <c r="AB699" s="62"/>
      <c r="AC699" s="62"/>
      <c r="AD699" s="62"/>
      <c r="AE699" s="62"/>
      <c r="AF699" s="62"/>
      <c r="AG699" s="162" t="s">
        <v>140</v>
      </c>
      <c r="AH699" s="162" t="s">
        <v>141</v>
      </c>
      <c r="AI699" s="162" t="s">
        <v>142</v>
      </c>
      <c r="AJ699" s="91" t="s">
        <v>126</v>
      </c>
      <c r="AK699" s="198" t="s">
        <v>136</v>
      </c>
      <c r="AL699" s="198" t="s">
        <v>137</v>
      </c>
      <c r="AM699" s="198" t="s">
        <v>138</v>
      </c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53" t="str">
        <f>IFERROR(W699/VLOOKUP($G699,нормы!$A$14:$BI$15,28,0),"")</f>
        <v/>
      </c>
    </row>
    <row r="700" spans="1:57" s="1" customFormat="1" ht="21.6" customHeight="1" x14ac:dyDescent="0.4">
      <c r="A700" s="37" t="str">
        <f t="shared" si="278"/>
        <v>12Д</v>
      </c>
      <c r="B700" s="12">
        <f>B698</f>
        <v>46034</v>
      </c>
      <c r="C700" s="97"/>
      <c r="D700" s="97">
        <v>2</v>
      </c>
      <c r="E700" s="29"/>
      <c r="F700" s="151" t="str">
        <f>IFERROR(VLOOKUP($G700,нормы!$A$14:$BC$57,2,0),"")</f>
        <v/>
      </c>
      <c r="G700" s="93"/>
      <c r="H700" s="54">
        <f>IF(C700=1,"Кульков С.А.", IF(C700=2,"Чудаков А.А.",IF(C700=3,"Королев В.Н.",IF(C700=4,"Николашин М.П.",IF(C700=5," Кульков С.А.",IF(C700=6,"А.А. Чудаков",IF(C700=7,"В.Н. Королев",IF(C700=8,"М.П. Николашин",0))))))))</f>
        <v>0</v>
      </c>
      <c r="I700" s="88" t="s">
        <v>211</v>
      </c>
      <c r="J700" s="332"/>
      <c r="K700" s="30">
        <f>IFERROR(VLOOKUP($G700,[1]нормы!$A$21:$BC$151,15,0),"")</f>
        <v>0</v>
      </c>
      <c r="L700" s="31">
        <f>IFERROR(VLOOKUP($G700,[1]нормы!$A$21:$BC$151,17,0),"")</f>
        <v>0</v>
      </c>
      <c r="M700" s="310">
        <f>IFERROR(VLOOKUP($G700,[1]нормы!$A$21:$BC$151,27,0),"")</f>
        <v>0</v>
      </c>
      <c r="N700" s="311" t="str">
        <f>IFERROR(Y700/Y706*(1.1*J700*I705),"")</f>
        <v/>
      </c>
      <c r="O700" s="300">
        <f>IFERROR(VLOOKUP($G700,[1]нормы!$A$21:$BC$151,21,0),"")</f>
        <v>0</v>
      </c>
      <c r="P700" s="35">
        <f>IFERROR(VLOOKUP($G700,[1]нормы!$A$21:$BC$151,19,0),"")</f>
        <v>0</v>
      </c>
      <c r="Q700" s="35">
        <f>IFERROR(VLOOKUP($G700,[1]нормы!$A$21:$BC$151,23,0),"")</f>
        <v>0</v>
      </c>
      <c r="R700" s="231">
        <f>IFERROR(VLOOKUP($G700,[1]нормы!$A$21:$BC$151,29,0),"")</f>
        <v>0</v>
      </c>
      <c r="S700" s="35">
        <f>IFERROR(VLOOKUP($G700,[1]нормы!$A$21:$BC$151,31,0),"")</f>
        <v>0</v>
      </c>
      <c r="T700" s="32">
        <f>IFERROR(VLOOKUP($G700,[1]нормы!$A$21:$BC$151,25,0),"")</f>
        <v>0</v>
      </c>
      <c r="U700" s="232" t="str">
        <f>IFERROR(W700/(((100*Y700/Y706)*I705)/100),"")</f>
        <v/>
      </c>
      <c r="V700" s="234" t="str">
        <f>IFERROR(VLOOKUP($G700,нормы!$A$14:$BC$57,38,0),"")</f>
        <v/>
      </c>
      <c r="W700" s="136"/>
      <c r="X700" s="236"/>
      <c r="Y700" s="152" t="str">
        <f>IFERROR(VLOOKUP($G700,нормы!$A$14:$BC$57,42,0)*W700,"")</f>
        <v/>
      </c>
      <c r="Z700" s="163">
        <f>IFERROR(VLOOKUP($G700,нормы!$A$14:$BC$57,14,0)*W700/1000,0)</f>
        <v>0</v>
      </c>
      <c r="AA700" s="33"/>
      <c r="AB700" s="36"/>
      <c r="AC700" s="36"/>
      <c r="AD700" s="36"/>
      <c r="AE700" s="34"/>
      <c r="AF700" s="159"/>
      <c r="AG700" s="390"/>
      <c r="AH700" s="393"/>
      <c r="AI700" s="396"/>
      <c r="AJ700" s="407">
        <f>AG700+AH700</f>
        <v>0</v>
      </c>
      <c r="AK700" s="359"/>
      <c r="AL700" s="359"/>
      <c r="AM700" s="359"/>
      <c r="AN700" s="287">
        <f>IFERROR(Y700*AJ700/Y706,)</f>
        <v>0</v>
      </c>
      <c r="AO700" s="197" t="str">
        <f>IFERROR(VLOOKUP($G700,нормы!$A$14:$BC$57,53,0)*$W700,"")</f>
        <v/>
      </c>
      <c r="AP700" s="288">
        <f>IFERROR(Y700*AI700/Y706,)</f>
        <v>0</v>
      </c>
      <c r="AQ700" s="197" t="str">
        <f>IFERROR(VLOOKUP($G700,нормы!$A$14:$BC$57,54,0)*$W700,"")</f>
        <v/>
      </c>
      <c r="AR700" s="288">
        <f>IFERROR(AS700/SUM(AS700:AS705)*AL700,0)</f>
        <v>0</v>
      </c>
      <c r="AS700" s="197" t="str">
        <f>IFERROR(VLOOKUP($G700,нормы!$A$14:$BC$57,55,0)*W700,"")</f>
        <v/>
      </c>
      <c r="AT700" s="288">
        <f>IFERROR(AU700/SUM(AU700:AU705)*AM700,0)</f>
        <v>0</v>
      </c>
      <c r="AU700" s="197" t="str">
        <f>IFERROR(VLOOKUP($G700,нормы!$A$14:$BI$57,56,0)*W700,"")</f>
        <v/>
      </c>
      <c r="AV700" s="288">
        <f>IFERROR(AW700/SUM(AW700:AW705)*AK700,0)</f>
        <v>0</v>
      </c>
      <c r="AW700" s="202" t="str">
        <f>IFERROR(VLOOKUP($G700,нормы!$A$14:$BI$57,57,0)*W700,"")</f>
        <v/>
      </c>
      <c r="AX700" s="33"/>
      <c r="AY700" s="203" t="str">
        <f>IFERROR(VLOOKUP($G700,нормы!$A$14:$BI$57,58,0)*W700,"")</f>
        <v/>
      </c>
      <c r="AZ700" s="204"/>
      <c r="BA700" s="200" t="str">
        <f>IFERROR(VLOOKUP($G700,нормы!$A$14:$BI$57,61,0)*$W700,"")</f>
        <v/>
      </c>
      <c r="BB700" s="33"/>
      <c r="BC700" s="203" t="str">
        <f>IFERROR(VLOOKUP($G700,нормы!$A$14:$BI$57,60,0)*W700,"")</f>
        <v/>
      </c>
      <c r="BD700" s="200" t="str">
        <f>IFERROR(VLOOKUP($G700,нормы!$A$14:$BG$57,44,0),"")</f>
        <v/>
      </c>
      <c r="BE700" s="199" t="str">
        <f>IFERROR(W700/VLOOKUP($G700,нормы!$A$14:$BI$57,45,0),"")</f>
        <v/>
      </c>
    </row>
    <row r="701" spans="1:57" s="1" customFormat="1" ht="21.6" customHeight="1" x14ac:dyDescent="0.4">
      <c r="A701" s="37" t="str">
        <f t="shared" si="278"/>
        <v>12Д</v>
      </c>
      <c r="B701" s="12">
        <f t="shared" ref="B701:D705" si="281">B700</f>
        <v>46034</v>
      </c>
      <c r="C701" s="97">
        <f t="shared" si="281"/>
        <v>0</v>
      </c>
      <c r="D701" s="97">
        <f t="shared" si="281"/>
        <v>2</v>
      </c>
      <c r="E701" s="54"/>
      <c r="F701" s="151" t="str">
        <f>IFERROR(VLOOKUP($G701,нормы!$A$14:$BC$57,2,0),"")</f>
        <v/>
      </c>
      <c r="G701" s="93"/>
      <c r="H701" s="54">
        <f t="shared" ref="H701:H705" si="282">IF(C701=1,"Кульков С.А.", IF(C701=2,"Чудаков А.А.",IF(C701=3,"Королев В.Н.",IF(C701=4,"Николашин М.П.",IF(C701=5," Кульков С.А.",IF(C701=6,"А.А. Чудаков",IF(C701=7,"В.Н. Королев",IF(C701=8,"М.П. Николашин",0))))))))</f>
        <v>0</v>
      </c>
      <c r="I701" s="55"/>
      <c r="J701" s="333"/>
      <c r="K701" s="30">
        <f>IFERROR(VLOOKUP($G701,[1]нормы!$A$21:$BC$151,15,0),"")</f>
        <v>0</v>
      </c>
      <c r="L701" s="31">
        <f>IFERROR(VLOOKUP($G701,[1]нормы!$A$21:$BC$151,17,0),"")</f>
        <v>0</v>
      </c>
      <c r="M701" s="306">
        <f>IFERROR(VLOOKUP($G701,[1]нормы!$A$21:$BC$151,27,0),"")</f>
        <v>0</v>
      </c>
      <c r="N701" s="307" t="str">
        <f>IFERROR(Y701/Y706*(1.1*J700*I705),"")</f>
        <v/>
      </c>
      <c r="O701" s="300">
        <f>IFERROR(VLOOKUP($G701,[1]нормы!$A$21:$BC$151,21,0),"")</f>
        <v>0</v>
      </c>
      <c r="P701" s="35">
        <f>IFERROR(VLOOKUP($G701,[1]нормы!$A$21:$BC$151,19,0),"")</f>
        <v>0</v>
      </c>
      <c r="Q701" s="35">
        <f>IFERROR(VLOOKUP($G701,[1]нормы!$A$21:$BC$151,23,0),"")</f>
        <v>0</v>
      </c>
      <c r="R701" s="231">
        <f>IFERROR(VLOOKUP($G701,[1]нормы!$A$21:$BC$151,29,0),"")</f>
        <v>0</v>
      </c>
      <c r="S701" s="35">
        <f>IFERROR(VLOOKUP($G701,[1]нормы!$A$21:$BC$151,31,0),"")</f>
        <v>0</v>
      </c>
      <c r="T701" s="32">
        <f>IFERROR(VLOOKUP($G701,[1]нормы!$A$21:$BC$151,25,0),"")</f>
        <v>0</v>
      </c>
      <c r="U701" s="233" t="str">
        <f>IFERROR(W701/(((100*Y701/Y706)*I705)/100),"")</f>
        <v/>
      </c>
      <c r="V701" s="234" t="str">
        <f>IFERROR(VLOOKUP($G701,нормы!$A$14:$BC$57,38,0),"")</f>
        <v/>
      </c>
      <c r="W701" s="136"/>
      <c r="X701" s="237"/>
      <c r="Y701" s="152" t="str">
        <f>IFERROR(VLOOKUP($G701,нормы!$A$14:$BC$57,42,0)*W701,"")</f>
        <v/>
      </c>
      <c r="Z701" s="163">
        <f>IFERROR(VLOOKUP($G701,нормы!$A$14:$BC$57,14,0)*W701/1000,0)</f>
        <v>0</v>
      </c>
      <c r="AA701" s="142"/>
      <c r="AB701" s="35"/>
      <c r="AC701" s="35"/>
      <c r="AD701" s="35"/>
      <c r="AE701" s="31"/>
      <c r="AF701" s="160"/>
      <c r="AG701" s="391"/>
      <c r="AH701" s="394"/>
      <c r="AI701" s="397"/>
      <c r="AJ701" s="408"/>
      <c r="AK701" s="360"/>
      <c r="AL701" s="360"/>
      <c r="AM701" s="360"/>
      <c r="AN701" s="289">
        <f>IFERROR(Y701*AJ700/Y706,)</f>
        <v>0</v>
      </c>
      <c r="AO701" s="197" t="str">
        <f>IFERROR(VLOOKUP($G701,нормы!$A$14:$BC$57,53,0)*$W701,"")</f>
        <v/>
      </c>
      <c r="AP701" s="290">
        <f>IFERROR(Y701*AI700/Y706,)</f>
        <v>0</v>
      </c>
      <c r="AQ701" s="197" t="str">
        <f>IFERROR(VLOOKUP($G701,нормы!$A$14:$BC$57,54,0)*$W701,"")</f>
        <v/>
      </c>
      <c r="AR701" s="290">
        <f>IFERROR(AS701/SUM(AS700:AS705)*AL700,0)</f>
        <v>0</v>
      </c>
      <c r="AS701" s="197" t="str">
        <f>IFERROR(VLOOKUP($G701,нормы!$A$14:$BC$57,55,0)*W701,"")</f>
        <v/>
      </c>
      <c r="AT701" s="290">
        <f>IFERROR(AU701/SUM(AU700:AU705)*AM700,0)</f>
        <v>0</v>
      </c>
      <c r="AU701" s="197" t="str">
        <f>IFERROR(VLOOKUP($G701,нормы!$A$14:$BI$57,56,0)*W701,"")</f>
        <v/>
      </c>
      <c r="AV701" s="290">
        <f>IFERROR(AW701/SUM(AW700:AW705)*AK700,0)</f>
        <v>0</v>
      </c>
      <c r="AW701" s="202" t="str">
        <f>IFERROR(VLOOKUP($G701,нормы!$A$14:$BI$57,57,0)*W701,"")</f>
        <v/>
      </c>
      <c r="AX701" s="30"/>
      <c r="AY701" s="203" t="str">
        <f>IFERROR(VLOOKUP($G701,нормы!$A$14:$BI$57,58,0)*W701,"")</f>
        <v/>
      </c>
      <c r="AZ701" s="205"/>
      <c r="BA701" s="200" t="str">
        <f>IFERROR(VLOOKUP($G701,нормы!$A$14:$BI$57,61,0)*$W701,"")</f>
        <v/>
      </c>
      <c r="BB701" s="30"/>
      <c r="BC701" s="203" t="str">
        <f>IFERROR(VLOOKUP($G701,нормы!$A$14:$BI$57,60,0)*W701,"")</f>
        <v/>
      </c>
      <c r="BD701" s="200" t="str">
        <f>IFERROR(VLOOKUP($G701,нормы!$A$14:$BG$57,44,0),"")</f>
        <v/>
      </c>
      <c r="BE701" s="199" t="str">
        <f>IFERROR(W701/VLOOKUP($G701,нормы!$A$14:$BI$57,45,0),"")</f>
        <v/>
      </c>
    </row>
    <row r="702" spans="1:57" s="1" customFormat="1" ht="20.25" customHeight="1" x14ac:dyDescent="0.4">
      <c r="A702" s="37" t="str">
        <f t="shared" si="278"/>
        <v>12Д</v>
      </c>
      <c r="B702" s="12">
        <f t="shared" si="281"/>
        <v>46034</v>
      </c>
      <c r="C702" s="97">
        <f t="shared" si="281"/>
        <v>0</v>
      </c>
      <c r="D702" s="97">
        <f t="shared" si="281"/>
        <v>2</v>
      </c>
      <c r="E702" s="54"/>
      <c r="F702" s="151" t="str">
        <f>IFERROR(VLOOKUP($G702,нормы!$A$14:$BC$57,2,0),"")</f>
        <v/>
      </c>
      <c r="G702" s="38"/>
      <c r="H702" s="54">
        <f t="shared" si="282"/>
        <v>0</v>
      </c>
      <c r="I702" s="89" t="s">
        <v>212</v>
      </c>
      <c r="J702" s="333"/>
      <c r="K702" s="30">
        <f>IFERROR(VLOOKUP($G702,[1]нормы!$A$21:$BC$151,15,0),"")</f>
        <v>0</v>
      </c>
      <c r="L702" s="31">
        <f>IFERROR(VLOOKUP($G702,[1]нормы!$A$21:$BC$151,17,0),"")</f>
        <v>0</v>
      </c>
      <c r="M702" s="306">
        <f>IFERROR(VLOOKUP($G702,[1]нормы!$A$21:$BC$151,27,0),"")</f>
        <v>0</v>
      </c>
      <c r="N702" s="307" t="str">
        <f>IFERROR(Y702/Y706*(1.1*J700*I705),"")</f>
        <v/>
      </c>
      <c r="O702" s="300">
        <f>IFERROR(VLOOKUP($G702,[1]нормы!$A$21:$BC$151,21,0),"")</f>
        <v>0</v>
      </c>
      <c r="P702" s="35">
        <f>IFERROR(VLOOKUP($G702,[1]нормы!$A$21:$BC$151,19,0),"")</f>
        <v>0</v>
      </c>
      <c r="Q702" s="35">
        <f>IFERROR(VLOOKUP($G702,[1]нормы!$A$21:$BC$151,23,0),"")</f>
        <v>0</v>
      </c>
      <c r="R702" s="231">
        <f>IFERROR(VLOOKUP($G702,[1]нормы!$A$21:$BC$151,29,0),"")</f>
        <v>0</v>
      </c>
      <c r="S702" s="35">
        <f>IFERROR(VLOOKUP($G702,[1]нормы!$A$21:$BC$151,31,0),"")</f>
        <v>0</v>
      </c>
      <c r="T702" s="32">
        <f>IFERROR(VLOOKUP($G702,[1]нормы!$A$21:$BC$151,25,0),"")</f>
        <v>0</v>
      </c>
      <c r="U702" s="233" t="str">
        <f>IFERROR(W702/(((100*Y702/Y706)*I705)/100),"")</f>
        <v/>
      </c>
      <c r="V702" s="234" t="str">
        <f>IFERROR(VLOOKUP($G702,нормы!$A$14:$BC$57,38,0),"")</f>
        <v/>
      </c>
      <c r="W702" s="136"/>
      <c r="X702" s="237"/>
      <c r="Y702" s="152" t="str">
        <f>IFERROR(VLOOKUP($G702,нормы!$A$14:$BC$57,42,0)*W702,"")</f>
        <v/>
      </c>
      <c r="Z702" s="163">
        <f>IFERROR(VLOOKUP($G702,нормы!$A$14:$BC$57,14,0)*W702/1000,0)</f>
        <v>0</v>
      </c>
      <c r="AA702" s="30"/>
      <c r="AB702" s="35"/>
      <c r="AC702" s="35"/>
      <c r="AD702" s="35"/>
      <c r="AE702" s="31"/>
      <c r="AF702" s="160"/>
      <c r="AG702" s="391"/>
      <c r="AH702" s="394"/>
      <c r="AI702" s="397"/>
      <c r="AJ702" s="408"/>
      <c r="AK702" s="360"/>
      <c r="AL702" s="360"/>
      <c r="AM702" s="360"/>
      <c r="AN702" s="289">
        <f>IFERROR(Y702*AJ700/Y706,)</f>
        <v>0</v>
      </c>
      <c r="AO702" s="197" t="str">
        <f>IFERROR(VLOOKUP($G702,нормы!$A$14:$BC$57,53,0)*$W702,"")</f>
        <v/>
      </c>
      <c r="AP702" s="290">
        <f>IFERROR(Y702*AI700/Y706,)</f>
        <v>0</v>
      </c>
      <c r="AQ702" s="197" t="str">
        <f>IFERROR(VLOOKUP($G702,нормы!$A$14:$BC$57,54,0)*$W702,"")</f>
        <v/>
      </c>
      <c r="AR702" s="290">
        <f>IFERROR(AS702/SUM(AS700:AS705)*AL700,0)</f>
        <v>0</v>
      </c>
      <c r="AS702" s="197" t="str">
        <f>IFERROR(VLOOKUP($G702,нормы!$A$14:$BC$57,55,0)*W702,"")</f>
        <v/>
      </c>
      <c r="AT702" s="290">
        <f>IFERROR(AU702/SUM(AU700:AU705)*AM700,0)</f>
        <v>0</v>
      </c>
      <c r="AU702" s="197" t="str">
        <f>IFERROR(VLOOKUP($G702,нормы!$A$14:$BI$57,56,0)*W702,"")</f>
        <v/>
      </c>
      <c r="AV702" s="290">
        <f>IFERROR(AW702/SUM(AW700:AW705)*AK700,0)</f>
        <v>0</v>
      </c>
      <c r="AW702" s="202" t="str">
        <f>IFERROR(VLOOKUP($G702,нормы!$A$14:$BI$57,57,0)*W702,"")</f>
        <v/>
      </c>
      <c r="AX702" s="30"/>
      <c r="AY702" s="203" t="str">
        <f>IFERROR(VLOOKUP($G702,нормы!$A$14:$BI$57,58,0)*W702,"")</f>
        <v/>
      </c>
      <c r="AZ702" s="205"/>
      <c r="BA702" s="200" t="str">
        <f>IFERROR(VLOOKUP($G702,нормы!$A$14:$BI$57,61,0)*$W702,"")</f>
        <v/>
      </c>
      <c r="BB702" s="30"/>
      <c r="BC702" s="203" t="str">
        <f>IFERROR(VLOOKUP($G702,нормы!$A$14:$BI$57,60,0)*W702,"")</f>
        <v/>
      </c>
      <c r="BD702" s="200" t="str">
        <f>IFERROR(VLOOKUP($G702,нормы!$A$14:$BG$57,44,0),"")</f>
        <v/>
      </c>
      <c r="BE702" s="199" t="str">
        <f>IFERROR(W702/VLOOKUP($G702,нормы!$A$14:$BI$57,45,0),"")</f>
        <v/>
      </c>
    </row>
    <row r="703" spans="1:57" s="1" customFormat="1" ht="20.25" customHeight="1" x14ac:dyDescent="0.4">
      <c r="A703" s="37" t="str">
        <f t="shared" si="278"/>
        <v>12Д</v>
      </c>
      <c r="B703" s="12">
        <f t="shared" si="281"/>
        <v>46034</v>
      </c>
      <c r="C703" s="97">
        <f t="shared" si="281"/>
        <v>0</v>
      </c>
      <c r="D703" s="97">
        <f t="shared" si="281"/>
        <v>2</v>
      </c>
      <c r="E703" s="54"/>
      <c r="F703" s="151" t="str">
        <f>IFERROR(VLOOKUP($G703,нормы!$A$14:$BC$57,2,0),"")</f>
        <v/>
      </c>
      <c r="G703" s="93"/>
      <c r="H703" s="54">
        <f t="shared" si="282"/>
        <v>0</v>
      </c>
      <c r="I703" s="55"/>
      <c r="J703" s="333"/>
      <c r="K703" s="30">
        <f>IFERROR(VLOOKUP($G703,[1]нормы!$A$21:$BC$151,15,0),"")</f>
        <v>0</v>
      </c>
      <c r="L703" s="31">
        <f>IFERROR(VLOOKUP($G703,[1]нормы!$A$21:$BC$151,17,0),"")</f>
        <v>0</v>
      </c>
      <c r="M703" s="306">
        <f>IFERROR(VLOOKUP($G703,[1]нормы!$A$21:$BC$151,27,0),"")</f>
        <v>0</v>
      </c>
      <c r="N703" s="307" t="str">
        <f>IFERROR(Y703/Y706*(1.1*J700*I708),"")</f>
        <v/>
      </c>
      <c r="O703" s="300">
        <f>IFERROR(VLOOKUP($G703,[1]нормы!$A$21:$BC$151,21,0),"")</f>
        <v>0</v>
      </c>
      <c r="P703" s="35">
        <f>IFERROR(VLOOKUP($G703,[1]нормы!$A$21:$BC$151,19,0),"")</f>
        <v>0</v>
      </c>
      <c r="Q703" s="35">
        <f>IFERROR(VLOOKUP($G703,[1]нормы!$A$21:$BC$151,23,0),"")</f>
        <v>0</v>
      </c>
      <c r="R703" s="231">
        <f>IFERROR(VLOOKUP($G703,[1]нормы!$A$21:$BC$151,29,0),"")</f>
        <v>0</v>
      </c>
      <c r="S703" s="35">
        <f>IFERROR(VLOOKUP($G703,[1]нормы!$A$21:$BC$151,31,0),"")</f>
        <v>0</v>
      </c>
      <c r="T703" s="32">
        <f>IFERROR(VLOOKUP($G703,[1]нормы!$A$21:$BC$151,25,0),"")</f>
        <v>0</v>
      </c>
      <c r="U703" s="233" t="str">
        <f>IFERROR(W703/(((100*Y703/Y706)*I705)/100),"")</f>
        <v/>
      </c>
      <c r="V703" s="234" t="str">
        <f>IFERROR(VLOOKUP($G703,нормы!$A$14:$BC$57,38,0),"")</f>
        <v/>
      </c>
      <c r="W703" s="136"/>
      <c r="X703" s="237"/>
      <c r="Y703" s="152" t="str">
        <f>IFERROR(VLOOKUP($G703,нормы!$A$14:$BC$57,42,0)*W703,"")</f>
        <v/>
      </c>
      <c r="Z703" s="163">
        <f>IFERROR(VLOOKUP($G703,нормы!$A$14:$BC$57,14,0)*W703/1000,0)</f>
        <v>0</v>
      </c>
      <c r="AA703" s="30"/>
      <c r="AB703" s="35"/>
      <c r="AC703" s="35"/>
      <c r="AD703" s="35"/>
      <c r="AE703" s="31"/>
      <c r="AF703" s="160"/>
      <c r="AG703" s="391"/>
      <c r="AH703" s="394"/>
      <c r="AI703" s="397"/>
      <c r="AJ703" s="408"/>
      <c r="AK703" s="360"/>
      <c r="AL703" s="360"/>
      <c r="AM703" s="360"/>
      <c r="AN703" s="289">
        <f>IFERROR(Y703*AJ700/Y706,)</f>
        <v>0</v>
      </c>
      <c r="AO703" s="197" t="str">
        <f>IFERROR(VLOOKUP($G703,нормы!$A$14:$BC$57,53,0)*$W703,"")</f>
        <v/>
      </c>
      <c r="AP703" s="290">
        <f>IFERROR(Y703*AI700/Y706,)</f>
        <v>0</v>
      </c>
      <c r="AQ703" s="197" t="str">
        <f>IFERROR(VLOOKUP($G703,нормы!$A$14:$BC$57,54,0)*$W703,"")</f>
        <v/>
      </c>
      <c r="AR703" s="290">
        <f>IFERROR(AS703/SUM(AS700:AS705)*AL700,0)</f>
        <v>0</v>
      </c>
      <c r="AS703" s="197" t="str">
        <f>IFERROR(VLOOKUP($G703,нормы!$A$14:$BC$57,55,0)*W703,"")</f>
        <v/>
      </c>
      <c r="AT703" s="290">
        <f>IFERROR(AU703/SUM(AU700:AU705)*AM700,0)</f>
        <v>0</v>
      </c>
      <c r="AU703" s="197" t="str">
        <f>IFERROR(VLOOKUP($G703,нормы!$A$14:$BI$57,56,0)*W703,"")</f>
        <v/>
      </c>
      <c r="AV703" s="290">
        <f>IFERROR(AW703/SUM(AW700:AW705)*AK700,0)</f>
        <v>0</v>
      </c>
      <c r="AW703" s="202" t="str">
        <f>IFERROR(VLOOKUP($G703,нормы!$A$14:$BI$57,57,0)*W703,"")</f>
        <v/>
      </c>
      <c r="AX703" s="30"/>
      <c r="AY703" s="203" t="str">
        <f>IFERROR(VLOOKUP($G703,нормы!$A$14:$BI$57,58,0)*W703,"")</f>
        <v/>
      </c>
      <c r="AZ703" s="205"/>
      <c r="BA703" s="200" t="str">
        <f>IFERROR(VLOOKUP($G703,нормы!$A$14:$BI$57,61,0)*$W703,"")</f>
        <v/>
      </c>
      <c r="BB703" s="30"/>
      <c r="BC703" s="203" t="str">
        <f>IFERROR(VLOOKUP($G703,нормы!$A$14:$BI$57,60,0)*W703,"")</f>
        <v/>
      </c>
      <c r="BD703" s="200" t="str">
        <f>IFERROR(VLOOKUP($G703,нормы!$A$14:$BG$57,44,0),"")</f>
        <v/>
      </c>
      <c r="BE703" s="199" t="str">
        <f>IFERROR(W703/VLOOKUP($G703,нормы!$A$14:$BI$57,45,0),"")</f>
        <v/>
      </c>
    </row>
    <row r="704" spans="1:57" s="1" customFormat="1" ht="20.25" customHeight="1" x14ac:dyDescent="0.4">
      <c r="A704" s="37" t="str">
        <f t="shared" si="278"/>
        <v>12Д</v>
      </c>
      <c r="B704" s="12">
        <f t="shared" si="281"/>
        <v>46034</v>
      </c>
      <c r="C704" s="97">
        <f t="shared" si="281"/>
        <v>0</v>
      </c>
      <c r="D704" s="97">
        <f t="shared" si="281"/>
        <v>2</v>
      </c>
      <c r="E704" s="54"/>
      <c r="F704" s="151" t="str">
        <f>IFERROR(VLOOKUP($G704,нормы!$A$14:$BC$57,2,0),"")</f>
        <v/>
      </c>
      <c r="G704" s="38"/>
      <c r="H704" s="54">
        <f t="shared" si="282"/>
        <v>0</v>
      </c>
      <c r="I704" s="89" t="s">
        <v>73</v>
      </c>
      <c r="J704" s="333"/>
      <c r="K704" s="30">
        <f>IFERROR(VLOOKUP($G704,[1]нормы!$A$21:$BC$151,15,0),"")</f>
        <v>0</v>
      </c>
      <c r="L704" s="31">
        <f>IFERROR(VLOOKUP($G704,[1]нормы!$A$21:$BC$151,17,0),"")</f>
        <v>0</v>
      </c>
      <c r="M704" s="306">
        <f>IFERROR(VLOOKUP($G704,[1]нормы!$A$21:$BC$151,27,0),"")</f>
        <v>0</v>
      </c>
      <c r="N704" s="307" t="str">
        <f>IFERROR(Y704/Y706*(1.1*J700*I709),"")</f>
        <v/>
      </c>
      <c r="O704" s="300">
        <f>IFERROR(VLOOKUP($G704,[1]нормы!$A$21:$BC$151,21,0),"")</f>
        <v>0</v>
      </c>
      <c r="P704" s="35">
        <f>IFERROR(VLOOKUP($G704,[1]нормы!$A$21:$BC$151,19,0),"")</f>
        <v>0</v>
      </c>
      <c r="Q704" s="35">
        <f>IFERROR(VLOOKUP($G704,[1]нормы!$A$21:$BC$151,23,0),"")</f>
        <v>0</v>
      </c>
      <c r="R704" s="231">
        <f>IFERROR(VLOOKUP($G704,[1]нормы!$A$21:$BC$151,29,0),"")</f>
        <v>0</v>
      </c>
      <c r="S704" s="35">
        <f>IFERROR(VLOOKUP($G704,[1]нормы!$A$21:$BC$151,31,0),"")</f>
        <v>0</v>
      </c>
      <c r="T704" s="32">
        <f>IFERROR(VLOOKUP($G704,[1]нормы!$A$21:$BC$151,25,0),"")</f>
        <v>0</v>
      </c>
      <c r="U704" s="233" t="str">
        <f>IFERROR(W704/(((100*Y704/Y706)*I705)/100),"")</f>
        <v/>
      </c>
      <c r="V704" s="234" t="str">
        <f>IFERROR(VLOOKUP($G704,нормы!$A$14:$BC$57,38,0),"")</f>
        <v/>
      </c>
      <c r="W704" s="136"/>
      <c r="X704" s="237"/>
      <c r="Y704" s="152" t="str">
        <f>IFERROR(VLOOKUP($G704,нормы!$A$14:$BC$57,42,0)*W704,"")</f>
        <v/>
      </c>
      <c r="Z704" s="163">
        <f>IFERROR(VLOOKUP($G704,нормы!$A$14:$BC$57,14,0)*W704/1000,0)</f>
        <v>0</v>
      </c>
      <c r="AA704" s="30"/>
      <c r="AB704" s="35"/>
      <c r="AC704" s="35"/>
      <c r="AD704" s="35"/>
      <c r="AE704" s="31"/>
      <c r="AF704" s="160"/>
      <c r="AG704" s="391"/>
      <c r="AH704" s="394"/>
      <c r="AI704" s="397"/>
      <c r="AJ704" s="408"/>
      <c r="AK704" s="360"/>
      <c r="AL704" s="360"/>
      <c r="AM704" s="360"/>
      <c r="AN704" s="289">
        <f>IFERROR(Y704*AJ700/Y706,)</f>
        <v>0</v>
      </c>
      <c r="AO704" s="197" t="str">
        <f>IFERROR(VLOOKUP($G704,нормы!$A$14:$BC$57,53,0)*$W704,"")</f>
        <v/>
      </c>
      <c r="AP704" s="290">
        <f>IFERROR(Y704*AI700/Y706,)</f>
        <v>0</v>
      </c>
      <c r="AQ704" s="197" t="str">
        <f>IFERROR(VLOOKUP($G704,нормы!$A$14:$BC$57,54,0)*$W704,"")</f>
        <v/>
      </c>
      <c r="AR704" s="290">
        <f>IFERROR(AS704/SUM(AS700:AS705)*AL700,0)</f>
        <v>0</v>
      </c>
      <c r="AS704" s="197" t="str">
        <f>IFERROR(VLOOKUP($G704,нормы!$A$14:$BC$57,55,0)*W704,"")</f>
        <v/>
      </c>
      <c r="AT704" s="290">
        <f>IFERROR(AU704/SUM(AU700:AU705)*AM700,0)</f>
        <v>0</v>
      </c>
      <c r="AU704" s="197" t="str">
        <f>IFERROR(VLOOKUP($G704,нормы!$A$14:$BI$57,56,0)*W704,"")</f>
        <v/>
      </c>
      <c r="AV704" s="290">
        <f>IFERROR(AW704/SUM(AW700:AW705)*AK700,0)</f>
        <v>0</v>
      </c>
      <c r="AW704" s="202" t="str">
        <f>IFERROR(VLOOKUP($G704,нормы!$A$14:$BI$57,57,0)*W704,"")</f>
        <v/>
      </c>
      <c r="AX704" s="30"/>
      <c r="AY704" s="203" t="str">
        <f>IFERROR(VLOOKUP($G704,нормы!$A$14:$BI$57,58,0)*W704,"")</f>
        <v/>
      </c>
      <c r="AZ704" s="205"/>
      <c r="BA704" s="200" t="str">
        <f>IFERROR(VLOOKUP($G704,нормы!$A$14:$BI$57,61,0)*$W704,"")</f>
        <v/>
      </c>
      <c r="BB704" s="30"/>
      <c r="BC704" s="203" t="str">
        <f>IFERROR(VLOOKUP($G704,нормы!$A$14:$BI$57,60,0)*W704,"")</f>
        <v/>
      </c>
      <c r="BD704" s="200" t="str">
        <f>IFERROR(VLOOKUP($G704,нормы!$A$14:$BG$57,44,0),"")</f>
        <v/>
      </c>
      <c r="BE704" s="199" t="str">
        <f>IFERROR(W704/VLOOKUP($G704,нормы!$A$14:$BI$57,45,0),"")</f>
        <v/>
      </c>
    </row>
    <row r="705" spans="1:57" s="1" customFormat="1" ht="21" customHeight="1" thickBot="1" x14ac:dyDescent="0.45">
      <c r="A705" s="37" t="str">
        <f t="shared" si="278"/>
        <v>12Д</v>
      </c>
      <c r="B705" s="12">
        <f t="shared" si="281"/>
        <v>46034</v>
      </c>
      <c r="C705" s="97">
        <f t="shared" si="281"/>
        <v>0</v>
      </c>
      <c r="D705" s="97">
        <f t="shared" si="281"/>
        <v>2</v>
      </c>
      <c r="E705" s="54"/>
      <c r="F705" s="151" t="str">
        <f>IFERROR(VLOOKUP($G705,нормы!$A$14:$BC$57,2,0),"")</f>
        <v/>
      </c>
      <c r="G705" s="93"/>
      <c r="H705" s="63">
        <f t="shared" si="282"/>
        <v>0</v>
      </c>
      <c r="I705" s="153">
        <f>I701+I703</f>
        <v>0</v>
      </c>
      <c r="J705" s="334"/>
      <c r="K705" s="30">
        <f>IFERROR(VLOOKUP($G705,[1]нормы!$A$21:$BC$151,15,0),"")</f>
        <v>0</v>
      </c>
      <c r="L705" s="31">
        <f>IFERROR(VLOOKUP($G705,[1]нормы!$A$21:$BC$151,17,0),"")</f>
        <v>0</v>
      </c>
      <c r="M705" s="308">
        <f>IFERROR(VLOOKUP($G705,[1]нормы!$A$21:$BC$151,27,0),"")</f>
        <v>0</v>
      </c>
      <c r="N705" s="309" t="str">
        <f>IFERROR(Y705/Y706*(1.1*J700*I710),"")</f>
        <v/>
      </c>
      <c r="O705" s="300">
        <f>IFERROR(VLOOKUP($G705,[1]нормы!$A$21:$BC$151,21,0),"")</f>
        <v>0</v>
      </c>
      <c r="P705" s="35">
        <f>IFERROR(VLOOKUP($G705,[1]нормы!$A$21:$BC$151,19,0),"")</f>
        <v>0</v>
      </c>
      <c r="Q705" s="35">
        <f>IFERROR(VLOOKUP($G705,[1]нормы!$A$21:$BC$151,23,0),"")</f>
        <v>0</v>
      </c>
      <c r="R705" s="231">
        <f>IFERROR(VLOOKUP($G705,[1]нормы!$A$21:$BC$151,29,0),"")</f>
        <v>0</v>
      </c>
      <c r="S705" s="35">
        <f>IFERROR(VLOOKUP($G705,[1]нормы!$A$21:$BC$151,31,0),"")</f>
        <v>0</v>
      </c>
      <c r="T705" s="32">
        <f>IFERROR(VLOOKUP($G705,[1]нормы!$A$21:$BC$151,25,0),"")</f>
        <v>0</v>
      </c>
      <c r="U705" s="235" t="str">
        <f>IFERROR(W705/(((100*Y705/Y706)*I705)/100),"")</f>
        <v/>
      </c>
      <c r="V705" s="234" t="str">
        <f>IFERROR(VLOOKUP($G705,нормы!$A$14:$BC$57,38,0),"")</f>
        <v/>
      </c>
      <c r="W705" s="154"/>
      <c r="X705" s="238"/>
      <c r="Y705" s="152" t="str">
        <f>IFERROR(VLOOKUP($G705,нормы!$A$14:$BC$57,42,0)*W705,"")</f>
        <v/>
      </c>
      <c r="Z705" s="163">
        <f>IFERROR(VLOOKUP($G705,нормы!$A$14:$BC$57,14,0)*W705/1000,0)</f>
        <v>0</v>
      </c>
      <c r="AA705" s="56"/>
      <c r="AB705" s="58"/>
      <c r="AC705" s="58"/>
      <c r="AD705" s="58"/>
      <c r="AE705" s="57"/>
      <c r="AF705" s="161"/>
      <c r="AG705" s="392"/>
      <c r="AH705" s="395"/>
      <c r="AI705" s="398"/>
      <c r="AJ705" s="409"/>
      <c r="AK705" s="361"/>
      <c r="AL705" s="361"/>
      <c r="AM705" s="361"/>
      <c r="AN705" s="291">
        <f>IFERROR(Y705*AJ700/Y706,)</f>
        <v>0</v>
      </c>
      <c r="AO705" s="197" t="str">
        <f>IFERROR(VLOOKUP($G705,нормы!$A$14:$BC$57,53,0)*$W705,"")</f>
        <v/>
      </c>
      <c r="AP705" s="292">
        <f>IFERROR(Y705*AI700/Y706,)</f>
        <v>0</v>
      </c>
      <c r="AQ705" s="197" t="str">
        <f>IFERROR(VLOOKUP($G705,нормы!$A$14:$BC$57,54,0)*$W705,"")</f>
        <v/>
      </c>
      <c r="AR705" s="290">
        <f>IFERROR(AS705/SUM(AS700:AS705)*AL700,0)</f>
        <v>0</v>
      </c>
      <c r="AS705" s="197" t="str">
        <f>IFERROR(VLOOKUP($G705,нормы!$A$14:$BC$57,55,0)*W705,"")</f>
        <v/>
      </c>
      <c r="AT705" s="292">
        <f>IFERROR(AU705/SUM(AU700:AU705)*AM700,0)</f>
        <v>0</v>
      </c>
      <c r="AU705" s="197" t="str">
        <f>IFERROR(VLOOKUP($G705,нормы!$A$14:$BI$57,56,0)*W705,"")</f>
        <v/>
      </c>
      <c r="AV705" s="292">
        <f>IFERROR(AW705/SUM(AW700:AW705)*AK700,0)</f>
        <v>0</v>
      </c>
      <c r="AW705" s="202" t="str">
        <f>IFERROR(VLOOKUP($G705,нормы!$A$14:$BI$57,57,0)*W705,"")</f>
        <v/>
      </c>
      <c r="AX705" s="56"/>
      <c r="AY705" s="203" t="str">
        <f>IFERROR(VLOOKUP($G705,нормы!$A$14:$BI$57,58,0)*W705,"")</f>
        <v/>
      </c>
      <c r="AZ705" s="206"/>
      <c r="BA705" s="200" t="str">
        <f>IFERROR(VLOOKUP($G705,нормы!$A$14:$BI$57,61,0)*$W705,"")</f>
        <v/>
      </c>
      <c r="BB705" s="56"/>
      <c r="BC705" s="203" t="str">
        <f>IFERROR(VLOOKUP($G705,нормы!$A$14:$BI$57,60,0)*W705,"")</f>
        <v/>
      </c>
      <c r="BD705" s="200" t="str">
        <f>IFERROR(VLOOKUP($G705,нормы!$A$14:$BG$57,44,0),"")</f>
        <v/>
      </c>
      <c r="BE705" s="199" t="str">
        <f>IFERROR(W705/VLOOKUP($G705,нормы!$A$14:$BI$57,45,0),"")</f>
        <v/>
      </c>
    </row>
    <row r="706" spans="1:57" s="1" customFormat="1" ht="29.4" customHeight="1" thickBot="1" x14ac:dyDescent="0.45">
      <c r="A706" s="37" t="str">
        <f t="shared" si="278"/>
        <v>12Д</v>
      </c>
      <c r="B706" s="59"/>
      <c r="C706" s="51"/>
      <c r="D706" s="51"/>
      <c r="E706" s="51"/>
      <c r="F706" s="51"/>
      <c r="G706" s="51"/>
      <c r="H706" s="51"/>
      <c r="I706" s="60"/>
      <c r="J706" s="60"/>
      <c r="K706" s="319" t="s">
        <v>213</v>
      </c>
      <c r="L706" s="316"/>
      <c r="M706" s="303" t="s">
        <v>213</v>
      </c>
      <c r="N706" s="317">
        <f>SUM(N700:N705)</f>
        <v>0</v>
      </c>
      <c r="O706" s="304" t="s">
        <v>217</v>
      </c>
      <c r="P706" s="318">
        <f>N706*8.937/1000</f>
        <v>0</v>
      </c>
      <c r="Q706" s="305" t="s">
        <v>215</v>
      </c>
      <c r="R706" s="61"/>
      <c r="S706" s="61"/>
      <c r="T706" s="61"/>
      <c r="U706" s="109"/>
      <c r="V706" s="109"/>
      <c r="W706" s="94"/>
      <c r="X706" s="155"/>
      <c r="Y706" s="96">
        <f>SUM(Y700:Y705)</f>
        <v>0</v>
      </c>
      <c r="Z706" s="164">
        <f>SUM(Z700:Z705)</f>
        <v>0</v>
      </c>
      <c r="AA706" s="207">
        <f>(AA692+AA693+AA694+AA695+AA696+AA697+AA698+AA700+AA701+AA702+AA703+AA704+AA705)-AG693</f>
        <v>1</v>
      </c>
      <c r="AB706" s="208">
        <f>(AB692+AB693+AB694+AB695+AB696+AB697+AB698+AB700+AB701+AB702+AB703+AB704+AB705)-AH693</f>
        <v>2</v>
      </c>
      <c r="AC706" s="208">
        <f>(AC692+AC693+AC694+AC695+AC696+AC697+AC698+AC700+AC701+AC702+AC703+AC704+AC705)-AG700</f>
        <v>3</v>
      </c>
      <c r="AD706" s="208">
        <f>(AD692+AD693+AD694+AD695+AD696+AD697+AD698+AD700+AD701+AD702+AD703+AD704+AD705)-AH700</f>
        <v>4</v>
      </c>
      <c r="AE706" s="208">
        <f>(AE692+AE693+AE694+AE695+AE696+AE697+AE698+AE700+AE701+AE702+AE703+AE704+AE705)-AI693</f>
        <v>5</v>
      </c>
      <c r="AF706" s="209">
        <f>(AF692+AF693+AF694+AF695+AF696+AF697+AF698+AF700+AF701+AF702+AF703+AF704+AF705)-AI700</f>
        <v>6</v>
      </c>
      <c r="AG706" s="62"/>
      <c r="AH706" s="62"/>
      <c r="AI706" s="62"/>
      <c r="AJ706" s="62"/>
      <c r="AK706" s="62"/>
      <c r="AL706" s="62"/>
      <c r="AM706" s="62"/>
      <c r="AN706" s="91">
        <f>SUM(AN700:AN705)</f>
        <v>0</v>
      </c>
      <c r="AO706" s="91">
        <f>SUM(AO700:AO705)</f>
        <v>0</v>
      </c>
      <c r="AP706" s="91"/>
      <c r="AQ706" s="91"/>
      <c r="AR706" s="91">
        <f>SUM(AR700:AR705)</f>
        <v>0</v>
      </c>
      <c r="AS706" s="91">
        <f t="shared" ref="AS706:AW706" si="283">SUM(AS700:AS705)</f>
        <v>0</v>
      </c>
      <c r="AT706" s="91">
        <f t="shared" si="283"/>
        <v>0</v>
      </c>
      <c r="AU706" s="91">
        <f t="shared" si="283"/>
        <v>0</v>
      </c>
      <c r="AV706" s="91">
        <f t="shared" si="283"/>
        <v>0</v>
      </c>
      <c r="AW706" s="91">
        <f t="shared" si="283"/>
        <v>0</v>
      </c>
      <c r="AX706" s="91">
        <f>SUM(AX700:AX705)</f>
        <v>0</v>
      </c>
      <c r="AY706" s="91">
        <f>SUM(AY700:AY705)</f>
        <v>0</v>
      </c>
      <c r="AZ706" s="91">
        <f>SUM(AZ700:AZ705)</f>
        <v>0</v>
      </c>
      <c r="BA706" s="91"/>
      <c r="BB706" s="91"/>
      <c r="BC706" s="91"/>
      <c r="BD706" s="91" t="str">
        <f>IFERROR(VLOOKUP($G706,нормы!$A$14:$BG$15,27,0),"")</f>
        <v/>
      </c>
      <c r="BE706" s="53" t="str">
        <f>IFERROR(W706/VLOOKUP($G706,нормы!$A$14:$BI$15,28,0),"")</f>
        <v/>
      </c>
    </row>
    <row r="707" spans="1:57" s="1" customFormat="1" ht="29.4" customHeight="1" thickBot="1" x14ac:dyDescent="0.5">
      <c r="A707" s="37" t="str">
        <f t="shared" si="278"/>
        <v>12Д</v>
      </c>
      <c r="B707" s="166" t="s">
        <v>130</v>
      </c>
      <c r="C707" s="167"/>
      <c r="D707" s="167"/>
      <c r="E707" s="167"/>
      <c r="F707" s="165"/>
      <c r="G707" s="167"/>
      <c r="H707" s="167"/>
      <c r="I707" s="168"/>
      <c r="J707" s="168"/>
      <c r="K707" s="168"/>
      <c r="L707" s="168"/>
      <c r="M707" s="168"/>
      <c r="N707" s="168"/>
      <c r="O707" s="167"/>
      <c r="P707" s="169"/>
      <c r="Q707" s="169"/>
      <c r="R707" s="169"/>
      <c r="S707" s="169"/>
      <c r="T707" s="169"/>
      <c r="U707" s="170"/>
      <c r="V707" s="170"/>
      <c r="W707" s="171"/>
      <c r="X707" s="171"/>
      <c r="Y707" s="172"/>
      <c r="Z707" s="172"/>
      <c r="AA707" s="201" t="s">
        <v>144</v>
      </c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64"/>
      <c r="AN707" s="167"/>
      <c r="AO707" s="167"/>
      <c r="AP707" s="167"/>
      <c r="AQ707" s="167"/>
      <c r="AR707" s="64"/>
      <c r="AS707" s="64"/>
      <c r="AT707" s="65"/>
      <c r="AU707" s="64"/>
      <c r="AV707" s="49"/>
      <c r="AW707" s="49"/>
      <c r="AX707" s="167"/>
      <c r="AY707" s="167"/>
      <c r="AZ707" s="167"/>
      <c r="BA707" s="167"/>
      <c r="BB707" s="167"/>
      <c r="BC707" s="167"/>
      <c r="BD707" s="66"/>
      <c r="BE707" s="66"/>
    </row>
    <row r="708" spans="1:57" s="1" customFormat="1" ht="23.25" customHeight="1" x14ac:dyDescent="0.4">
      <c r="A708" s="37" t="str">
        <f t="shared" si="278"/>
        <v>12Д</v>
      </c>
      <c r="B708" s="183"/>
      <c r="C708" s="100"/>
      <c r="D708" s="185"/>
      <c r="E708" s="186" t="s">
        <v>57</v>
      </c>
      <c r="F708" s="66" t="s">
        <v>87</v>
      </c>
      <c r="G708" s="66"/>
      <c r="H708" s="108" t="s">
        <v>131</v>
      </c>
      <c r="I708" s="101"/>
      <c r="J708" s="101"/>
      <c r="K708" s="101"/>
      <c r="L708" s="101"/>
      <c r="M708" s="101"/>
      <c r="N708" s="101"/>
      <c r="O708" s="67"/>
      <c r="P708" s="102"/>
      <c r="Q708" s="102"/>
      <c r="R708" s="102"/>
      <c r="S708" s="102"/>
      <c r="T708" s="102"/>
      <c r="U708" s="67"/>
      <c r="V708" s="67"/>
      <c r="W708" s="103"/>
      <c r="X708" s="187"/>
      <c r="Y708" s="68" t="s">
        <v>74</v>
      </c>
      <c r="Z708" s="69"/>
      <c r="AA708" s="90"/>
      <c r="AB708" s="100"/>
      <c r="AC708" s="100"/>
      <c r="AD708" s="186" t="s">
        <v>57</v>
      </c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190"/>
      <c r="AU708" s="66"/>
      <c r="AV708" s="165"/>
      <c r="AW708" s="293"/>
      <c r="AX708" s="66"/>
      <c r="AY708" s="66"/>
      <c r="AZ708" s="66"/>
      <c r="BA708" s="66"/>
      <c r="BB708" s="66"/>
      <c r="BC708" s="66"/>
      <c r="BD708" s="68" t="s">
        <v>74</v>
      </c>
      <c r="BE708" s="69"/>
    </row>
    <row r="709" spans="1:57" s="1" customFormat="1" ht="23.25" customHeight="1" thickBot="1" x14ac:dyDescent="0.45">
      <c r="A709" s="37" t="str">
        <f t="shared" si="278"/>
        <v>12Д</v>
      </c>
      <c r="B709" s="183"/>
      <c r="C709" s="41"/>
      <c r="D709" s="184"/>
      <c r="E709" s="50"/>
      <c r="F709" s="70"/>
      <c r="G709" s="70"/>
      <c r="H709" s="70"/>
      <c r="I709" s="104"/>
      <c r="J709" s="104"/>
      <c r="K709" s="104"/>
      <c r="L709" s="104"/>
      <c r="M709" s="104"/>
      <c r="N709" s="104"/>
      <c r="O709" s="71"/>
      <c r="P709" s="105"/>
      <c r="Q709" s="105"/>
      <c r="R709" s="105"/>
      <c r="S709" s="105"/>
      <c r="T709" s="105"/>
      <c r="U709" s="71"/>
      <c r="V709" s="71"/>
      <c r="W709" s="106"/>
      <c r="X709" s="188"/>
      <c r="Y709" s="72"/>
      <c r="Z709" s="73"/>
      <c r="AA709" s="90"/>
      <c r="AB709" s="41"/>
      <c r="AC709" s="41"/>
      <c r="AD709" s="50"/>
      <c r="AE709" s="47"/>
      <c r="AF709" s="47"/>
      <c r="AG709" s="47"/>
      <c r="AH709" s="47"/>
      <c r="AI709" s="47"/>
      <c r="AJ709" s="47"/>
      <c r="AK709" s="47"/>
      <c r="AL709" s="47"/>
      <c r="AM709" s="70"/>
      <c r="AN709" s="47"/>
      <c r="AO709" s="70"/>
      <c r="AP709" s="70"/>
      <c r="AQ709" s="70"/>
      <c r="AR709" s="70"/>
      <c r="AS709" s="70"/>
      <c r="AT709" s="191"/>
      <c r="AU709" s="70"/>
      <c r="AV709" s="192"/>
      <c r="AW709" s="294"/>
      <c r="AX709" s="70"/>
      <c r="AY709" s="70"/>
      <c r="AZ709" s="70"/>
      <c r="BA709" s="70"/>
      <c r="BB709" s="70"/>
      <c r="BC709" s="70"/>
      <c r="BD709" s="72"/>
      <c r="BE709" s="73"/>
    </row>
    <row r="710" spans="1:57" s="1" customFormat="1" ht="27" customHeight="1" x14ac:dyDescent="0.4">
      <c r="A710" s="37" t="str">
        <f t="shared" si="278"/>
        <v>12Д</v>
      </c>
      <c r="B710" s="183"/>
      <c r="C710" s="41"/>
      <c r="D710" s="184"/>
      <c r="E710" s="281">
        <f>B705</f>
        <v>46034</v>
      </c>
      <c r="F710" s="337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98">
        <v>1</v>
      </c>
      <c r="Y710" s="74">
        <v>1</v>
      </c>
      <c r="Z710" s="75">
        <f t="shared" ref="Z710:Z721" si="284">Y710-X710</f>
        <v>0</v>
      </c>
      <c r="AA710" s="189"/>
      <c r="AB710" s="41"/>
      <c r="AC710" s="184"/>
      <c r="AD710" s="210">
        <f>E710</f>
        <v>46034</v>
      </c>
      <c r="AE710" s="387"/>
      <c r="AF710" s="388"/>
      <c r="AG710" s="388"/>
      <c r="AH710" s="388"/>
      <c r="AI710" s="388"/>
      <c r="AJ710" s="388"/>
      <c r="AK710" s="388"/>
      <c r="AL710" s="388"/>
      <c r="AM710" s="388"/>
      <c r="AN710" s="388"/>
      <c r="AO710" s="388"/>
      <c r="AP710" s="388"/>
      <c r="AQ710" s="388"/>
      <c r="AR710" s="388"/>
      <c r="AS710" s="388"/>
      <c r="AT710" s="388"/>
      <c r="AU710" s="388"/>
      <c r="AV710" s="388"/>
      <c r="AW710" s="388"/>
      <c r="AX710" s="388"/>
      <c r="AY710" s="388"/>
      <c r="AZ710" s="388"/>
      <c r="BA710" s="388"/>
      <c r="BB710" s="389"/>
      <c r="BC710" s="98">
        <v>1</v>
      </c>
      <c r="BD710" s="74">
        <v>1</v>
      </c>
      <c r="BE710" s="75">
        <f t="shared" ref="BE710:BE721" si="285">BD710-BC710</f>
        <v>0</v>
      </c>
    </row>
    <row r="711" spans="1:57" s="1" customFormat="1" ht="27" customHeight="1" x14ac:dyDescent="0.4">
      <c r="A711" s="37" t="str">
        <f t="shared" si="278"/>
        <v>12Д</v>
      </c>
      <c r="B711" s="183"/>
      <c r="C711" s="41"/>
      <c r="D711" s="184"/>
      <c r="E711" s="282">
        <f>E710</f>
        <v>46034</v>
      </c>
      <c r="F711" s="335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  <c r="R711" s="336"/>
      <c r="S711" s="336"/>
      <c r="T711" s="336"/>
      <c r="U711" s="336"/>
      <c r="V711" s="336"/>
      <c r="W711" s="336"/>
      <c r="X711" s="98">
        <v>1</v>
      </c>
      <c r="Y711" s="74">
        <v>1</v>
      </c>
      <c r="Z711" s="75">
        <f t="shared" si="284"/>
        <v>0</v>
      </c>
      <c r="AA711" s="107">
        <f>AA710</f>
        <v>0</v>
      </c>
      <c r="AB711" s="41"/>
      <c r="AC711" s="184"/>
      <c r="AD711" s="212">
        <f>AD710</f>
        <v>46034</v>
      </c>
      <c r="AE711" s="387"/>
      <c r="AF711" s="388"/>
      <c r="AG711" s="388"/>
      <c r="AH711" s="388"/>
      <c r="AI711" s="388"/>
      <c r="AJ711" s="388"/>
      <c r="AK711" s="388"/>
      <c r="AL711" s="388"/>
      <c r="AM711" s="388"/>
      <c r="AN711" s="388"/>
      <c r="AO711" s="388"/>
      <c r="AP711" s="388"/>
      <c r="AQ711" s="388"/>
      <c r="AR711" s="388"/>
      <c r="AS711" s="388"/>
      <c r="AT711" s="388"/>
      <c r="AU711" s="388"/>
      <c r="AV711" s="388"/>
      <c r="AW711" s="388"/>
      <c r="AX711" s="388"/>
      <c r="AY711" s="388"/>
      <c r="AZ711" s="388"/>
      <c r="BA711" s="388"/>
      <c r="BB711" s="389"/>
      <c r="BC711" s="98">
        <v>1</v>
      </c>
      <c r="BD711" s="74">
        <v>1</v>
      </c>
      <c r="BE711" s="75">
        <f t="shared" si="285"/>
        <v>0</v>
      </c>
    </row>
    <row r="712" spans="1:57" s="1" customFormat="1" ht="27" customHeight="1" x14ac:dyDescent="0.4">
      <c r="A712" s="37" t="str">
        <f t="shared" si="278"/>
        <v>12Д</v>
      </c>
      <c r="B712" s="183"/>
      <c r="C712" s="41"/>
      <c r="D712" s="184"/>
      <c r="E712" s="282">
        <f t="shared" ref="E712:E721" si="286">E711</f>
        <v>46034</v>
      </c>
      <c r="F712" s="335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  <c r="R712" s="336"/>
      <c r="S712" s="336"/>
      <c r="T712" s="336"/>
      <c r="U712" s="336"/>
      <c r="V712" s="336"/>
      <c r="W712" s="336"/>
      <c r="X712" s="98">
        <v>1</v>
      </c>
      <c r="Y712" s="74">
        <v>1</v>
      </c>
      <c r="Z712" s="75">
        <f t="shared" si="284"/>
        <v>0</v>
      </c>
      <c r="AA712" s="107">
        <f>AA711</f>
        <v>0</v>
      </c>
      <c r="AB712" s="41"/>
      <c r="AC712" s="184"/>
      <c r="AD712" s="212">
        <f t="shared" ref="AD712:AD721" si="287">AD711</f>
        <v>46034</v>
      </c>
      <c r="AE712" s="387"/>
      <c r="AF712" s="388"/>
      <c r="AG712" s="388"/>
      <c r="AH712" s="388"/>
      <c r="AI712" s="388"/>
      <c r="AJ712" s="388"/>
      <c r="AK712" s="388"/>
      <c r="AL712" s="388"/>
      <c r="AM712" s="388"/>
      <c r="AN712" s="388"/>
      <c r="AO712" s="388"/>
      <c r="AP712" s="388"/>
      <c r="AQ712" s="388"/>
      <c r="AR712" s="388"/>
      <c r="AS712" s="388"/>
      <c r="AT712" s="388"/>
      <c r="AU712" s="388"/>
      <c r="AV712" s="388"/>
      <c r="AW712" s="388"/>
      <c r="AX712" s="388"/>
      <c r="AY712" s="388"/>
      <c r="AZ712" s="388"/>
      <c r="BA712" s="388"/>
      <c r="BB712" s="389"/>
      <c r="BC712" s="98">
        <v>1</v>
      </c>
      <c r="BD712" s="74">
        <v>1</v>
      </c>
      <c r="BE712" s="75">
        <f t="shared" si="285"/>
        <v>0</v>
      </c>
    </row>
    <row r="713" spans="1:57" s="1" customFormat="1" ht="18" customHeight="1" x14ac:dyDescent="0.4">
      <c r="A713" s="37" t="str">
        <f t="shared" si="278"/>
        <v>12Д</v>
      </c>
      <c r="B713" s="183"/>
      <c r="C713" s="41"/>
      <c r="D713" s="184"/>
      <c r="E713" s="282">
        <f t="shared" si="286"/>
        <v>46034</v>
      </c>
      <c r="F713" s="335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  <c r="R713" s="336"/>
      <c r="S713" s="336"/>
      <c r="T713" s="336"/>
      <c r="U713" s="336"/>
      <c r="V713" s="336"/>
      <c r="W713" s="336"/>
      <c r="X713" s="98">
        <v>1</v>
      </c>
      <c r="Y713" s="74">
        <v>1</v>
      </c>
      <c r="Z713" s="75">
        <f t="shared" si="284"/>
        <v>0</v>
      </c>
      <c r="AA713" s="107">
        <f t="shared" ref="AA713:AA721" si="288">AA712</f>
        <v>0</v>
      </c>
      <c r="AB713" s="41"/>
      <c r="AC713" s="184"/>
      <c r="AD713" s="212">
        <f t="shared" si="287"/>
        <v>46034</v>
      </c>
      <c r="AE713" s="387"/>
      <c r="AF713" s="388"/>
      <c r="AG713" s="388"/>
      <c r="AH713" s="388"/>
      <c r="AI713" s="388"/>
      <c r="AJ713" s="388"/>
      <c r="AK713" s="388"/>
      <c r="AL713" s="388"/>
      <c r="AM713" s="388"/>
      <c r="AN713" s="388"/>
      <c r="AO713" s="388"/>
      <c r="AP713" s="388"/>
      <c r="AQ713" s="388"/>
      <c r="AR713" s="388"/>
      <c r="AS713" s="388"/>
      <c r="AT713" s="388"/>
      <c r="AU713" s="388"/>
      <c r="AV713" s="388"/>
      <c r="AW713" s="388"/>
      <c r="AX713" s="388"/>
      <c r="AY713" s="388"/>
      <c r="AZ713" s="388"/>
      <c r="BA713" s="388"/>
      <c r="BB713" s="389"/>
      <c r="BC713" s="98">
        <v>1</v>
      </c>
      <c r="BD713" s="74">
        <v>1</v>
      </c>
      <c r="BE713" s="75">
        <f t="shared" si="285"/>
        <v>0</v>
      </c>
    </row>
    <row r="714" spans="1:57" s="1" customFormat="1" ht="18" customHeight="1" x14ac:dyDescent="0.4">
      <c r="A714" s="37" t="str">
        <f t="shared" si="278"/>
        <v>12Д</v>
      </c>
      <c r="B714" s="183"/>
      <c r="C714" s="41"/>
      <c r="D714" s="184"/>
      <c r="E714" s="282">
        <f t="shared" si="286"/>
        <v>46034</v>
      </c>
      <c r="F714" s="335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  <c r="R714" s="336"/>
      <c r="S714" s="336"/>
      <c r="T714" s="336"/>
      <c r="U714" s="336"/>
      <c r="V714" s="336"/>
      <c r="W714" s="336"/>
      <c r="X714" s="98">
        <v>1</v>
      </c>
      <c r="Y714" s="74">
        <v>1</v>
      </c>
      <c r="Z714" s="75">
        <f t="shared" si="284"/>
        <v>0</v>
      </c>
      <c r="AA714" s="107">
        <f t="shared" si="288"/>
        <v>0</v>
      </c>
      <c r="AB714" s="41"/>
      <c r="AC714" s="184"/>
      <c r="AD714" s="212">
        <f t="shared" si="287"/>
        <v>46034</v>
      </c>
      <c r="AE714" s="387"/>
      <c r="AF714" s="388"/>
      <c r="AG714" s="388"/>
      <c r="AH714" s="388"/>
      <c r="AI714" s="388"/>
      <c r="AJ714" s="388"/>
      <c r="AK714" s="388"/>
      <c r="AL714" s="388"/>
      <c r="AM714" s="388"/>
      <c r="AN714" s="388"/>
      <c r="AO714" s="388"/>
      <c r="AP714" s="388"/>
      <c r="AQ714" s="388"/>
      <c r="AR714" s="388"/>
      <c r="AS714" s="388"/>
      <c r="AT714" s="388"/>
      <c r="AU714" s="388"/>
      <c r="AV714" s="388"/>
      <c r="AW714" s="388"/>
      <c r="AX714" s="388"/>
      <c r="AY714" s="388"/>
      <c r="AZ714" s="388"/>
      <c r="BA714" s="388"/>
      <c r="BB714" s="389"/>
      <c r="BC714" s="98">
        <v>1</v>
      </c>
      <c r="BD714" s="74">
        <v>1</v>
      </c>
      <c r="BE714" s="75">
        <f t="shared" si="285"/>
        <v>0</v>
      </c>
    </row>
    <row r="715" spans="1:57" s="1" customFormat="1" ht="18" customHeight="1" x14ac:dyDescent="0.4">
      <c r="A715" s="37" t="str">
        <f t="shared" si="278"/>
        <v>12Д</v>
      </c>
      <c r="B715" s="183"/>
      <c r="C715" s="41"/>
      <c r="D715" s="184"/>
      <c r="E715" s="282">
        <f t="shared" si="286"/>
        <v>46034</v>
      </c>
      <c r="F715" s="335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  <c r="R715" s="336"/>
      <c r="S715" s="336"/>
      <c r="T715" s="336"/>
      <c r="U715" s="336"/>
      <c r="V715" s="336"/>
      <c r="W715" s="336"/>
      <c r="X715" s="98">
        <v>1</v>
      </c>
      <c r="Y715" s="74">
        <v>1</v>
      </c>
      <c r="Z715" s="75">
        <f t="shared" si="284"/>
        <v>0</v>
      </c>
      <c r="AA715" s="107">
        <f t="shared" si="288"/>
        <v>0</v>
      </c>
      <c r="AB715" s="41"/>
      <c r="AC715" s="184"/>
      <c r="AD715" s="212">
        <f t="shared" si="287"/>
        <v>46034</v>
      </c>
      <c r="AE715" s="387"/>
      <c r="AF715" s="388"/>
      <c r="AG715" s="388"/>
      <c r="AH715" s="388"/>
      <c r="AI715" s="388"/>
      <c r="AJ715" s="388"/>
      <c r="AK715" s="388"/>
      <c r="AL715" s="388"/>
      <c r="AM715" s="388"/>
      <c r="AN715" s="388"/>
      <c r="AO715" s="388"/>
      <c r="AP715" s="388"/>
      <c r="AQ715" s="388"/>
      <c r="AR715" s="388"/>
      <c r="AS715" s="388"/>
      <c r="AT715" s="388"/>
      <c r="AU715" s="388"/>
      <c r="AV715" s="388"/>
      <c r="AW715" s="388"/>
      <c r="AX715" s="388"/>
      <c r="AY715" s="388"/>
      <c r="AZ715" s="388"/>
      <c r="BA715" s="388"/>
      <c r="BB715" s="389"/>
      <c r="BC715" s="98">
        <v>1</v>
      </c>
      <c r="BD715" s="74">
        <v>1</v>
      </c>
      <c r="BE715" s="75">
        <f t="shared" si="285"/>
        <v>0</v>
      </c>
    </row>
    <row r="716" spans="1:57" s="1" customFormat="1" ht="18" customHeight="1" x14ac:dyDescent="0.4">
      <c r="A716" s="37" t="str">
        <f t="shared" si="278"/>
        <v>12Д</v>
      </c>
      <c r="B716" s="183"/>
      <c r="C716" s="41"/>
      <c r="D716" s="184"/>
      <c r="E716" s="282">
        <f t="shared" si="286"/>
        <v>46034</v>
      </c>
      <c r="F716" s="335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  <c r="R716" s="336"/>
      <c r="S716" s="336"/>
      <c r="T716" s="336"/>
      <c r="U716" s="336"/>
      <c r="V716" s="336"/>
      <c r="W716" s="336"/>
      <c r="X716" s="98">
        <v>1</v>
      </c>
      <c r="Y716" s="74">
        <v>1</v>
      </c>
      <c r="Z716" s="75">
        <f t="shared" si="284"/>
        <v>0</v>
      </c>
      <c r="AA716" s="107">
        <f t="shared" si="288"/>
        <v>0</v>
      </c>
      <c r="AB716" s="41"/>
      <c r="AC716" s="184"/>
      <c r="AD716" s="212">
        <f t="shared" si="287"/>
        <v>46034</v>
      </c>
      <c r="AE716" s="387"/>
      <c r="AF716" s="388"/>
      <c r="AG716" s="388"/>
      <c r="AH716" s="388"/>
      <c r="AI716" s="388"/>
      <c r="AJ716" s="388"/>
      <c r="AK716" s="388"/>
      <c r="AL716" s="388"/>
      <c r="AM716" s="388"/>
      <c r="AN716" s="388"/>
      <c r="AO716" s="388"/>
      <c r="AP716" s="388"/>
      <c r="AQ716" s="388"/>
      <c r="AR716" s="388"/>
      <c r="AS716" s="388"/>
      <c r="AT716" s="388"/>
      <c r="AU716" s="388"/>
      <c r="AV716" s="388"/>
      <c r="AW716" s="388"/>
      <c r="AX716" s="388"/>
      <c r="AY716" s="388"/>
      <c r="AZ716" s="388"/>
      <c r="BA716" s="388"/>
      <c r="BB716" s="389"/>
      <c r="BC716" s="98">
        <v>1</v>
      </c>
      <c r="BD716" s="74">
        <v>1</v>
      </c>
      <c r="BE716" s="75">
        <f t="shared" si="285"/>
        <v>0</v>
      </c>
    </row>
    <row r="717" spans="1:57" s="1" customFormat="1" ht="18" customHeight="1" x14ac:dyDescent="0.4">
      <c r="A717" s="37" t="str">
        <f t="shared" si="278"/>
        <v>12Д</v>
      </c>
      <c r="B717" s="183"/>
      <c r="C717" s="41"/>
      <c r="D717" s="184"/>
      <c r="E717" s="282">
        <f t="shared" si="286"/>
        <v>46034</v>
      </c>
      <c r="F717" s="335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  <c r="R717" s="336"/>
      <c r="S717" s="336"/>
      <c r="T717" s="336"/>
      <c r="U717" s="336"/>
      <c r="V717" s="336"/>
      <c r="W717" s="336"/>
      <c r="X717" s="98">
        <v>1</v>
      </c>
      <c r="Y717" s="74">
        <v>1</v>
      </c>
      <c r="Z717" s="75">
        <f t="shared" si="284"/>
        <v>0</v>
      </c>
      <c r="AA717" s="107">
        <f t="shared" si="288"/>
        <v>0</v>
      </c>
      <c r="AB717" s="41"/>
      <c r="AC717" s="184"/>
      <c r="AD717" s="212">
        <f t="shared" si="287"/>
        <v>46034</v>
      </c>
      <c r="AE717" s="387"/>
      <c r="AF717" s="388"/>
      <c r="AG717" s="388"/>
      <c r="AH717" s="388"/>
      <c r="AI717" s="388"/>
      <c r="AJ717" s="388"/>
      <c r="AK717" s="388"/>
      <c r="AL717" s="388"/>
      <c r="AM717" s="388"/>
      <c r="AN717" s="388"/>
      <c r="AO717" s="388"/>
      <c r="AP717" s="388"/>
      <c r="AQ717" s="388"/>
      <c r="AR717" s="388"/>
      <c r="AS717" s="388"/>
      <c r="AT717" s="388"/>
      <c r="AU717" s="388"/>
      <c r="AV717" s="388"/>
      <c r="AW717" s="388"/>
      <c r="AX717" s="388"/>
      <c r="AY717" s="388"/>
      <c r="AZ717" s="388"/>
      <c r="BA717" s="388"/>
      <c r="BB717" s="389"/>
      <c r="BC717" s="98">
        <v>1</v>
      </c>
      <c r="BD717" s="74">
        <v>1</v>
      </c>
      <c r="BE717" s="75">
        <f t="shared" si="285"/>
        <v>0</v>
      </c>
    </row>
    <row r="718" spans="1:57" s="1" customFormat="1" ht="18" customHeight="1" x14ac:dyDescent="0.4">
      <c r="A718" s="37" t="str">
        <f t="shared" si="278"/>
        <v>12Д</v>
      </c>
      <c r="B718" s="183"/>
      <c r="C718" s="41"/>
      <c r="D718" s="184"/>
      <c r="E718" s="282">
        <f t="shared" si="286"/>
        <v>46034</v>
      </c>
      <c r="F718" s="335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  <c r="R718" s="336"/>
      <c r="S718" s="336"/>
      <c r="T718" s="336"/>
      <c r="U718" s="336"/>
      <c r="V718" s="336"/>
      <c r="W718" s="336"/>
      <c r="X718" s="98">
        <v>1</v>
      </c>
      <c r="Y718" s="74">
        <v>1</v>
      </c>
      <c r="Z718" s="75">
        <f t="shared" si="284"/>
        <v>0</v>
      </c>
      <c r="AA718" s="107">
        <f t="shared" si="288"/>
        <v>0</v>
      </c>
      <c r="AB718" s="41"/>
      <c r="AC718" s="184"/>
      <c r="AD718" s="212">
        <f t="shared" si="287"/>
        <v>46034</v>
      </c>
      <c r="AE718" s="387"/>
      <c r="AF718" s="388"/>
      <c r="AG718" s="388"/>
      <c r="AH718" s="388"/>
      <c r="AI718" s="388"/>
      <c r="AJ718" s="388"/>
      <c r="AK718" s="388"/>
      <c r="AL718" s="388"/>
      <c r="AM718" s="388"/>
      <c r="AN718" s="388"/>
      <c r="AO718" s="388"/>
      <c r="AP718" s="388"/>
      <c r="AQ718" s="388"/>
      <c r="AR718" s="388"/>
      <c r="AS718" s="388"/>
      <c r="AT718" s="388"/>
      <c r="AU718" s="388"/>
      <c r="AV718" s="388"/>
      <c r="AW718" s="388"/>
      <c r="AX718" s="388"/>
      <c r="AY718" s="388"/>
      <c r="AZ718" s="388"/>
      <c r="BA718" s="388"/>
      <c r="BB718" s="389"/>
      <c r="BC718" s="98">
        <v>1</v>
      </c>
      <c r="BD718" s="74">
        <v>1</v>
      </c>
      <c r="BE718" s="75">
        <f t="shared" si="285"/>
        <v>0</v>
      </c>
    </row>
    <row r="719" spans="1:57" s="1" customFormat="1" ht="18" customHeight="1" x14ac:dyDescent="0.4">
      <c r="A719" s="37" t="str">
        <f t="shared" si="278"/>
        <v>12Д</v>
      </c>
      <c r="B719" s="183"/>
      <c r="C719" s="41"/>
      <c r="D719" s="184"/>
      <c r="E719" s="282">
        <f t="shared" si="286"/>
        <v>46034</v>
      </c>
      <c r="F719" s="335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  <c r="R719" s="336"/>
      <c r="S719" s="336"/>
      <c r="T719" s="336"/>
      <c r="U719" s="336"/>
      <c r="V719" s="336"/>
      <c r="W719" s="336"/>
      <c r="X719" s="98">
        <v>1</v>
      </c>
      <c r="Y719" s="74">
        <v>1</v>
      </c>
      <c r="Z719" s="75">
        <f t="shared" si="284"/>
        <v>0</v>
      </c>
      <c r="AA719" s="107">
        <f t="shared" si="288"/>
        <v>0</v>
      </c>
      <c r="AB719" s="41"/>
      <c r="AC719" s="184"/>
      <c r="AD719" s="212">
        <f t="shared" si="287"/>
        <v>46034</v>
      </c>
      <c r="AE719" s="387"/>
      <c r="AF719" s="388"/>
      <c r="AG719" s="388"/>
      <c r="AH719" s="388"/>
      <c r="AI719" s="388"/>
      <c r="AJ719" s="388"/>
      <c r="AK719" s="388"/>
      <c r="AL719" s="388"/>
      <c r="AM719" s="388"/>
      <c r="AN719" s="388"/>
      <c r="AO719" s="388"/>
      <c r="AP719" s="388"/>
      <c r="AQ719" s="388"/>
      <c r="AR719" s="388"/>
      <c r="AS719" s="388"/>
      <c r="AT719" s="388"/>
      <c r="AU719" s="388"/>
      <c r="AV719" s="388"/>
      <c r="AW719" s="388"/>
      <c r="AX719" s="388"/>
      <c r="AY719" s="388"/>
      <c r="AZ719" s="388"/>
      <c r="BA719" s="388"/>
      <c r="BB719" s="389"/>
      <c r="BC719" s="98">
        <v>1</v>
      </c>
      <c r="BD719" s="74">
        <v>1</v>
      </c>
      <c r="BE719" s="75">
        <f t="shared" si="285"/>
        <v>0</v>
      </c>
    </row>
    <row r="720" spans="1:57" s="1" customFormat="1" ht="18" customHeight="1" x14ac:dyDescent="0.4">
      <c r="A720" s="37" t="str">
        <f t="shared" si="278"/>
        <v>12Д</v>
      </c>
      <c r="B720" s="183"/>
      <c r="C720" s="41"/>
      <c r="D720" s="184"/>
      <c r="E720" s="282">
        <f t="shared" si="286"/>
        <v>46034</v>
      </c>
      <c r="F720" s="335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  <c r="R720" s="336"/>
      <c r="S720" s="336"/>
      <c r="T720" s="336"/>
      <c r="U720" s="336"/>
      <c r="V720" s="336"/>
      <c r="W720" s="336"/>
      <c r="X720" s="98">
        <v>1</v>
      </c>
      <c r="Y720" s="74">
        <v>1</v>
      </c>
      <c r="Z720" s="75">
        <f t="shared" si="284"/>
        <v>0</v>
      </c>
      <c r="AA720" s="107">
        <f t="shared" si="288"/>
        <v>0</v>
      </c>
      <c r="AB720" s="41"/>
      <c r="AC720" s="184"/>
      <c r="AD720" s="212">
        <f t="shared" si="287"/>
        <v>46034</v>
      </c>
      <c r="AE720" s="387"/>
      <c r="AF720" s="388"/>
      <c r="AG720" s="388"/>
      <c r="AH720" s="388"/>
      <c r="AI720" s="388"/>
      <c r="AJ720" s="388"/>
      <c r="AK720" s="388"/>
      <c r="AL720" s="388"/>
      <c r="AM720" s="388"/>
      <c r="AN720" s="388"/>
      <c r="AO720" s="388"/>
      <c r="AP720" s="388"/>
      <c r="AQ720" s="388"/>
      <c r="AR720" s="388"/>
      <c r="AS720" s="388"/>
      <c r="AT720" s="388"/>
      <c r="AU720" s="388"/>
      <c r="AV720" s="388"/>
      <c r="AW720" s="388"/>
      <c r="AX720" s="388"/>
      <c r="AY720" s="388"/>
      <c r="AZ720" s="388"/>
      <c r="BA720" s="388"/>
      <c r="BB720" s="389"/>
      <c r="BC720" s="98">
        <v>1</v>
      </c>
      <c r="BD720" s="74">
        <v>1</v>
      </c>
      <c r="BE720" s="75">
        <f t="shared" si="285"/>
        <v>0</v>
      </c>
    </row>
    <row r="721" spans="1:57" s="1" customFormat="1" ht="18" customHeight="1" thickBot="1" x14ac:dyDescent="0.45">
      <c r="A721" s="37" t="str">
        <f t="shared" si="278"/>
        <v>12Д</v>
      </c>
      <c r="B721" s="183"/>
      <c r="C721" s="41"/>
      <c r="D721" s="184"/>
      <c r="E721" s="283">
        <f t="shared" si="286"/>
        <v>46034</v>
      </c>
      <c r="F721" s="339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99">
        <v>1</v>
      </c>
      <c r="Y721" s="76">
        <v>1</v>
      </c>
      <c r="Z721" s="77">
        <f t="shared" si="284"/>
        <v>0</v>
      </c>
      <c r="AA721" s="107">
        <f t="shared" si="288"/>
        <v>0</v>
      </c>
      <c r="AB721" s="41"/>
      <c r="AC721" s="184"/>
      <c r="AD721" s="211">
        <f t="shared" si="287"/>
        <v>46034</v>
      </c>
      <c r="AE721" s="410"/>
      <c r="AF721" s="411"/>
      <c r="AG721" s="411"/>
      <c r="AH721" s="411"/>
      <c r="AI721" s="411"/>
      <c r="AJ721" s="411"/>
      <c r="AK721" s="411"/>
      <c r="AL721" s="411"/>
      <c r="AM721" s="411"/>
      <c r="AN721" s="411"/>
      <c r="AO721" s="411"/>
      <c r="AP721" s="411"/>
      <c r="AQ721" s="411"/>
      <c r="AR721" s="411"/>
      <c r="AS721" s="411"/>
      <c r="AT721" s="411"/>
      <c r="AU721" s="411"/>
      <c r="AV721" s="411"/>
      <c r="AW721" s="411"/>
      <c r="AX721" s="411"/>
      <c r="AY721" s="411"/>
      <c r="AZ721" s="411"/>
      <c r="BA721" s="411"/>
      <c r="BB721" s="412"/>
      <c r="BC721" s="99">
        <v>1</v>
      </c>
      <c r="BD721" s="76">
        <v>1</v>
      </c>
      <c r="BE721" s="75">
        <f t="shared" si="285"/>
        <v>0</v>
      </c>
    </row>
    <row r="722" spans="1:57" s="1" customFormat="1" ht="23.25" customHeight="1" thickBot="1" x14ac:dyDescent="0.45">
      <c r="A722" s="37" t="str">
        <f t="shared" si="278"/>
        <v>12Д</v>
      </c>
      <c r="B722" s="193"/>
      <c r="C722" s="47"/>
      <c r="D722" s="47"/>
      <c r="E722" s="47"/>
      <c r="F722" s="78"/>
      <c r="G722" s="78"/>
      <c r="H722" s="78"/>
      <c r="I722" s="80"/>
      <c r="J722" s="80"/>
      <c r="K722" s="80"/>
      <c r="L722" s="80"/>
      <c r="M722" s="80"/>
      <c r="N722" s="80"/>
      <c r="O722" s="78"/>
      <c r="P722" s="81"/>
      <c r="Q722" s="81"/>
      <c r="R722" s="81"/>
      <c r="S722" s="81"/>
      <c r="T722" s="81"/>
      <c r="U722" s="82"/>
      <c r="V722" s="82"/>
      <c r="W722" s="86"/>
      <c r="X722" s="194"/>
      <c r="Y722" s="83"/>
      <c r="Z722" s="83"/>
      <c r="AA722" s="78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84"/>
      <c r="AN722" s="47"/>
      <c r="AO722" s="78"/>
      <c r="AP722" s="78"/>
      <c r="AQ722" s="78"/>
      <c r="AR722" s="84"/>
      <c r="AS722" s="78"/>
      <c r="AT722" s="85"/>
      <c r="AU722" s="78"/>
      <c r="AV722" s="83"/>
      <c r="AW722" s="83"/>
      <c r="AX722" s="78"/>
      <c r="AY722" s="78"/>
      <c r="AZ722" s="78"/>
      <c r="BA722" s="78"/>
      <c r="BB722" s="78"/>
      <c r="BC722" s="78"/>
      <c r="BD722" s="79"/>
      <c r="BE722" s="79"/>
    </row>
    <row r="723" spans="1:57" s="1" customFormat="1" ht="21.6" customHeight="1" thickBot="1" x14ac:dyDescent="0.45">
      <c r="A723" s="37" t="s">
        <v>169</v>
      </c>
      <c r="B723" s="59"/>
      <c r="C723" s="51"/>
      <c r="D723" s="51"/>
      <c r="E723" s="51"/>
      <c r="F723" s="158" t="s">
        <v>220</v>
      </c>
      <c r="G723" s="51"/>
      <c r="H723" s="51"/>
      <c r="I723" s="156"/>
      <c r="J723" s="156"/>
      <c r="K723" s="156"/>
      <c r="L723" s="156"/>
      <c r="M723" s="156"/>
      <c r="N723" s="156"/>
      <c r="O723" s="91"/>
      <c r="P723" s="52"/>
      <c r="Q723" s="52"/>
      <c r="R723" s="52"/>
      <c r="S723" s="52"/>
      <c r="T723" s="52"/>
      <c r="U723" s="157"/>
      <c r="V723" s="157"/>
      <c r="W723" s="94"/>
      <c r="X723" s="94"/>
      <c r="Y723" s="51"/>
      <c r="Z723" s="51"/>
      <c r="AA723" s="157">
        <f>AA706</f>
        <v>1</v>
      </c>
      <c r="AB723" s="157">
        <f t="shared" ref="AB723:AF723" si="289">AB706</f>
        <v>2</v>
      </c>
      <c r="AC723" s="157">
        <f t="shared" si="289"/>
        <v>3</v>
      </c>
      <c r="AD723" s="157">
        <f t="shared" si="289"/>
        <v>4</v>
      </c>
      <c r="AE723" s="157">
        <f t="shared" si="289"/>
        <v>5</v>
      </c>
      <c r="AF723" s="157">
        <f t="shared" si="289"/>
        <v>6</v>
      </c>
      <c r="AG723" s="162" t="s">
        <v>123</v>
      </c>
      <c r="AH723" s="162" t="s">
        <v>124</v>
      </c>
      <c r="AI723" s="162" t="s">
        <v>125</v>
      </c>
      <c r="AJ723" s="91" t="s">
        <v>126</v>
      </c>
      <c r="AK723" s="198" t="s">
        <v>136</v>
      </c>
      <c r="AL723" s="198" t="s">
        <v>137</v>
      </c>
      <c r="AM723" s="198" t="s">
        <v>138</v>
      </c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</row>
    <row r="724" spans="1:57" s="1" customFormat="1" ht="21.6" customHeight="1" x14ac:dyDescent="0.4">
      <c r="A724" s="37" t="str">
        <f>A723</f>
        <v>12Н</v>
      </c>
      <c r="B724" s="12">
        <f>B705</f>
        <v>46034</v>
      </c>
      <c r="C724" s="97"/>
      <c r="D724" s="97">
        <v>1</v>
      </c>
      <c r="E724" s="29"/>
      <c r="F724" s="151" t="str">
        <f>IFERROR(VLOOKUP($G724,нормы!$A$14:$BC$57,2,0),"")</f>
        <v/>
      </c>
      <c r="G724" s="93"/>
      <c r="H724" s="54">
        <f>IF(C724=1,"Кульков С.А.", IF(C724=2,"Чудаков А.А.",IF(C724=3,"Королев В.Н.",IF(C724=4,"Николашин М.П.",IF(C724=5," Кульков С.А.",IF(C724=6,"А.А. Чудаков",IF(C724=7,"В.Н. Королев",IF(C724=8,"М.П. Николашин",0))))))))</f>
        <v>0</v>
      </c>
      <c r="I724" s="88" t="s">
        <v>84</v>
      </c>
      <c r="J724" s="332"/>
      <c r="K724" s="30">
        <f>IFERROR(VLOOKUP($G724,[1]нормы!$A$21:$BC$151,15,0),"")</f>
        <v>0</v>
      </c>
      <c r="L724" s="31">
        <f>IFERROR(VLOOKUP($G724,[1]нормы!$A$21:$BC$151,17,0),"")</f>
        <v>0</v>
      </c>
      <c r="M724" s="310">
        <f>IFERROR(VLOOKUP($G724,[1]нормы!$A$21:$BC$151,27,0),"")</f>
        <v>0</v>
      </c>
      <c r="N724" s="311" t="str">
        <f>IFERROR(Y724/Y730*(1.1*J724*I729),"")</f>
        <v/>
      </c>
      <c r="O724" s="300">
        <f>IFERROR(VLOOKUP($G724,[1]нормы!$A$21:$BC$151,21,0),"")</f>
        <v>0</v>
      </c>
      <c r="P724" s="35">
        <f>IFERROR(VLOOKUP($G724,[1]нормы!$A$21:$BC$151,19,0),"")</f>
        <v>0</v>
      </c>
      <c r="Q724" s="35">
        <f>IFERROR(VLOOKUP($G724,[1]нормы!$A$21:$BC$151,23,0),"")</f>
        <v>0</v>
      </c>
      <c r="R724" s="231">
        <f>IFERROR(VLOOKUP($G724,[1]нормы!$A$21:$BC$151,29,0),"")</f>
        <v>0</v>
      </c>
      <c r="S724" s="35">
        <f>IFERROR(VLOOKUP($G724,[1]нормы!$A$21:$BC$151,31,0),"")</f>
        <v>0</v>
      </c>
      <c r="T724" s="32">
        <f>IFERROR(VLOOKUP($G724,[1]нормы!$A$21:$BC$151,25,0),"")</f>
        <v>0</v>
      </c>
      <c r="U724" s="232" t="str">
        <f>IFERROR(W724/(((100*Y724/Y730)*I729)/100),"")</f>
        <v/>
      </c>
      <c r="V724" s="234" t="str">
        <f>IFERROR(VLOOKUP($G724,нормы!$A$14:$BC$57,38,0),"")</f>
        <v/>
      </c>
      <c r="W724" s="136"/>
      <c r="X724" s="236"/>
      <c r="Y724" s="152" t="str">
        <f>IFERROR(VLOOKUP($G724,нормы!$A$14:$BC$57,42,0)*W724,"")</f>
        <v/>
      </c>
      <c r="Z724" s="163">
        <f>IFERROR(VLOOKUP($G724,нормы!$A$14:$BC$57,14,0)*W724/1000,0)</f>
        <v>0</v>
      </c>
      <c r="AA724" s="33"/>
      <c r="AB724" s="36"/>
      <c r="AC724" s="36"/>
      <c r="AD724" s="36"/>
      <c r="AE724" s="34"/>
      <c r="AF724" s="159"/>
      <c r="AG724" s="390"/>
      <c r="AH724" s="393"/>
      <c r="AI724" s="396"/>
      <c r="AJ724" s="407">
        <f>AG724+AH724</f>
        <v>0</v>
      </c>
      <c r="AK724" s="359"/>
      <c r="AL724" s="359"/>
      <c r="AM724" s="359"/>
      <c r="AN724" s="287">
        <f>IFERROR(Y724*AJ724/Y730,)</f>
        <v>0</v>
      </c>
      <c r="AO724" s="197" t="str">
        <f>IFERROR(VLOOKUP($G724,нормы!$A$14:$BC$57,53,0)*$W724,"")</f>
        <v/>
      </c>
      <c r="AP724" s="288">
        <f>IFERROR(Y724*AI724/Y730,)</f>
        <v>0</v>
      </c>
      <c r="AQ724" s="197" t="str">
        <f>IFERROR(VLOOKUP($G724,нормы!$A$14:$BC$57,54,0)*$W724,"")</f>
        <v/>
      </c>
      <c r="AR724" s="288">
        <f>IFERROR(AS724/SUM(AS724:AS729)*AL724,0)</f>
        <v>0</v>
      </c>
      <c r="AS724" s="197" t="str">
        <f>IFERROR(VLOOKUP($G724,нормы!$A$14:$BC$57,55,0)*W724,"")</f>
        <v/>
      </c>
      <c r="AT724" s="288">
        <f>IFERROR(AU724/SUM(AU724:AU729)*AM724,0)</f>
        <v>0</v>
      </c>
      <c r="AU724" s="197" t="str">
        <f>IFERROR(VLOOKUP($G724,нормы!$A$14:$BI$57,56,0)*W724,"")</f>
        <v/>
      </c>
      <c r="AV724" s="288">
        <f>IFERROR(AW724/SUM(AW724:AW729)*AK724,0)</f>
        <v>0</v>
      </c>
      <c r="AW724" s="202" t="str">
        <f>IFERROR(VLOOKUP($G724,нормы!$A$14:$BI$57,57,0)*W724,"")</f>
        <v/>
      </c>
      <c r="AX724" s="33"/>
      <c r="AY724" s="203" t="str">
        <f>IFERROR(VLOOKUP($G724,нормы!$A$14:$BI$57,58,0)*W724,"")</f>
        <v/>
      </c>
      <c r="AZ724" s="204"/>
      <c r="BA724" s="200" t="str">
        <f>IFERROR(VLOOKUP($G724,нормы!$A$14:$BI$57,61,0)*$W724,"")</f>
        <v/>
      </c>
      <c r="BB724" s="33"/>
      <c r="BC724" s="203" t="str">
        <f>IFERROR(VLOOKUP($G724,нормы!$A$14:$BI$57,60,0)*W724,"")</f>
        <v/>
      </c>
      <c r="BD724" s="200" t="str">
        <f>IFERROR(VLOOKUP($G724,нормы!$A$14:$BG$57,44,0),"")</f>
        <v/>
      </c>
      <c r="BE724" s="199" t="str">
        <f>IFERROR(W724/VLOOKUP($G724,нормы!$A$14:$BI$57,45,0),"")</f>
        <v/>
      </c>
    </row>
    <row r="725" spans="1:57" s="1" customFormat="1" ht="21.6" customHeight="1" x14ac:dyDescent="0.4">
      <c r="A725" s="37" t="str">
        <f t="shared" ref="A725:A753" si="290">A724</f>
        <v>12Н</v>
      </c>
      <c r="B725" s="12">
        <f t="shared" ref="B725:D729" si="291">B724</f>
        <v>46034</v>
      </c>
      <c r="C725" s="97">
        <f t="shared" si="291"/>
        <v>0</v>
      </c>
      <c r="D725" s="97">
        <f t="shared" si="291"/>
        <v>1</v>
      </c>
      <c r="E725" s="54"/>
      <c r="F725" s="151" t="str">
        <f>IFERROR(VLOOKUP($G725,нормы!$A$14:$BC$57,2,0),"")</f>
        <v/>
      </c>
      <c r="G725" s="93"/>
      <c r="H725" s="54">
        <f t="shared" ref="H725:H729" si="292">IF(C725=1,"Кульков С.А.", IF(C725=2,"Чудаков А.А.",IF(C725=3,"Королев В.Н.",IF(C725=4,"Николашин М.П.",IF(C725=5," Кульков С.А.",IF(C725=6,"А.А. Чудаков",IF(C725=7,"В.Н. Королев",IF(C725=8,"М.П. Николашин",0))))))))</f>
        <v>0</v>
      </c>
      <c r="I725" s="55"/>
      <c r="J725" s="333"/>
      <c r="K725" s="30">
        <f>IFERROR(VLOOKUP($G725,[1]нормы!$A$21:$BC$151,15,0),"")</f>
        <v>0</v>
      </c>
      <c r="L725" s="31">
        <f>IFERROR(VLOOKUP($G725,[1]нормы!$A$21:$BC$151,17,0),"")</f>
        <v>0</v>
      </c>
      <c r="M725" s="306">
        <f>IFERROR(VLOOKUP($G725,[1]нормы!$A$21:$BC$151,27,0),"")</f>
        <v>0</v>
      </c>
      <c r="N725" s="307" t="str">
        <f>IFERROR(Y725/Y730*(1.1*J724*I729),"")</f>
        <v/>
      </c>
      <c r="O725" s="300">
        <f>IFERROR(VLOOKUP($G725,[1]нормы!$A$21:$BC$151,21,0),"")</f>
        <v>0</v>
      </c>
      <c r="P725" s="35">
        <f>IFERROR(VLOOKUP($G725,[1]нормы!$A$21:$BC$151,19,0),"")</f>
        <v>0</v>
      </c>
      <c r="Q725" s="35">
        <f>IFERROR(VLOOKUP($G725,[1]нормы!$A$21:$BC$151,23,0),"")</f>
        <v>0</v>
      </c>
      <c r="R725" s="231">
        <f>IFERROR(VLOOKUP($G725,[1]нормы!$A$21:$BC$151,29,0),"")</f>
        <v>0</v>
      </c>
      <c r="S725" s="35">
        <f>IFERROR(VLOOKUP($G725,[1]нормы!$A$21:$BC$151,31,0),"")</f>
        <v>0</v>
      </c>
      <c r="T725" s="32">
        <f>IFERROR(VLOOKUP($G725,[1]нормы!$A$21:$BC$151,25,0),"")</f>
        <v>0</v>
      </c>
      <c r="U725" s="233" t="str">
        <f>IFERROR(W725/(((100*Y725/Y730)*I729)/100),"")</f>
        <v/>
      </c>
      <c r="V725" s="234" t="str">
        <f>IFERROR(VLOOKUP($G725,нормы!$A$14:$BC$57,38,0),"")</f>
        <v/>
      </c>
      <c r="W725" s="136"/>
      <c r="X725" s="237"/>
      <c r="Y725" s="152" t="str">
        <f>IFERROR(VLOOKUP($G725,нормы!$A$14:$BC$57,42,0)*W725,"")</f>
        <v/>
      </c>
      <c r="Z725" s="163">
        <f>IFERROR(VLOOKUP($G725,нормы!$A$14:$BC$57,14,0)*W725/1000,0)</f>
        <v>0</v>
      </c>
      <c r="AA725" s="142"/>
      <c r="AB725" s="35"/>
      <c r="AC725" s="35"/>
      <c r="AD725" s="35"/>
      <c r="AE725" s="31"/>
      <c r="AF725" s="160"/>
      <c r="AG725" s="391"/>
      <c r="AH725" s="394"/>
      <c r="AI725" s="397"/>
      <c r="AJ725" s="408"/>
      <c r="AK725" s="360"/>
      <c r="AL725" s="360"/>
      <c r="AM725" s="360"/>
      <c r="AN725" s="289">
        <f>IFERROR(Y725*AJ724/Y730,)</f>
        <v>0</v>
      </c>
      <c r="AO725" s="197" t="str">
        <f>IFERROR(VLOOKUP($G725,нормы!$A$14:$BC$57,53,0)*$W725,"")</f>
        <v/>
      </c>
      <c r="AP725" s="290">
        <f>IFERROR(Y725*AI724/Y730,)</f>
        <v>0</v>
      </c>
      <c r="AQ725" s="197" t="str">
        <f>IFERROR(VLOOKUP($G725,нормы!$A$14:$BC$57,54,0)*$W725,"")</f>
        <v/>
      </c>
      <c r="AR725" s="290">
        <f>IFERROR(AS725/SUM(AS724:AS729)*AL724,0)</f>
        <v>0</v>
      </c>
      <c r="AS725" s="197" t="str">
        <f>IFERROR(VLOOKUP($G725,нормы!$A$14:$BC$57,55,0)*W725,"")</f>
        <v/>
      </c>
      <c r="AT725" s="290">
        <f>IFERROR(AU725/SUM(AU724:AU729)*AM724,0)</f>
        <v>0</v>
      </c>
      <c r="AU725" s="197" t="str">
        <f>IFERROR(VLOOKUP($G725,нормы!$A$14:$BI$57,56,0)*W725,"")</f>
        <v/>
      </c>
      <c r="AV725" s="290">
        <f>IFERROR(AW725/SUM(AW724:AW729)*AK724,0)</f>
        <v>0</v>
      </c>
      <c r="AW725" s="202" t="str">
        <f>IFERROR(VLOOKUP($G725,нормы!$A$14:$BI$57,57,0)*W725,"")</f>
        <v/>
      </c>
      <c r="AX725" s="30"/>
      <c r="AY725" s="203" t="str">
        <f>IFERROR(VLOOKUP($G725,нормы!$A$14:$BI$57,58,0)*W725,"")</f>
        <v/>
      </c>
      <c r="AZ725" s="205"/>
      <c r="BA725" s="200" t="str">
        <f>IFERROR(VLOOKUP($G725,нормы!$A$14:$BI$57,61,0)*$W725,"")</f>
        <v/>
      </c>
      <c r="BB725" s="30"/>
      <c r="BC725" s="203" t="str">
        <f>IFERROR(VLOOKUP($G725,нормы!$A$14:$BI$57,60,0)*W725,"")</f>
        <v/>
      </c>
      <c r="BD725" s="200" t="str">
        <f>IFERROR(VLOOKUP($G725,нормы!$A$14:$BG$57,44,0),"")</f>
        <v/>
      </c>
      <c r="BE725" s="199" t="str">
        <f>IFERROR(W725/VLOOKUP($G725,нормы!$A$14:$BI$57,45,0),"")</f>
        <v/>
      </c>
    </row>
    <row r="726" spans="1:57" s="1" customFormat="1" ht="20.25" customHeight="1" x14ac:dyDescent="0.4">
      <c r="A726" s="37" t="str">
        <f t="shared" si="290"/>
        <v>12Н</v>
      </c>
      <c r="B726" s="12">
        <f t="shared" si="291"/>
        <v>46034</v>
      </c>
      <c r="C726" s="97">
        <f t="shared" si="291"/>
        <v>0</v>
      </c>
      <c r="D726" s="97">
        <f t="shared" si="291"/>
        <v>1</v>
      </c>
      <c r="E726" s="54"/>
      <c r="F726" s="151" t="str">
        <f>IFERROR(VLOOKUP($G726,нормы!$A$14:$BC$57,2,0),"")</f>
        <v/>
      </c>
      <c r="G726" s="38"/>
      <c r="H726" s="54">
        <f t="shared" si="292"/>
        <v>0</v>
      </c>
      <c r="I726" s="89" t="s">
        <v>85</v>
      </c>
      <c r="J726" s="333"/>
      <c r="K726" s="30">
        <f>IFERROR(VLOOKUP($G726,[1]нормы!$A$21:$BC$151,15,0),"")</f>
        <v>0</v>
      </c>
      <c r="L726" s="31">
        <f>IFERROR(VLOOKUP($G726,[1]нормы!$A$21:$BC$151,17,0),"")</f>
        <v>0</v>
      </c>
      <c r="M726" s="306">
        <f>IFERROR(VLOOKUP($G726,[1]нормы!$A$21:$BC$151,27,0),"")</f>
        <v>0</v>
      </c>
      <c r="N726" s="307" t="str">
        <f>IFERROR(Y726/Y730*(1.1*J724*I729),"")</f>
        <v/>
      </c>
      <c r="O726" s="300">
        <f>IFERROR(VLOOKUP($G726,[1]нормы!$A$21:$BC$151,21,0),"")</f>
        <v>0</v>
      </c>
      <c r="P726" s="35">
        <f>IFERROR(VLOOKUP($G726,[1]нормы!$A$21:$BC$151,19,0),"")</f>
        <v>0</v>
      </c>
      <c r="Q726" s="35">
        <f>IFERROR(VLOOKUP($G726,[1]нормы!$A$21:$BC$151,23,0),"")</f>
        <v>0</v>
      </c>
      <c r="R726" s="231">
        <f>IFERROR(VLOOKUP($G726,[1]нормы!$A$21:$BC$151,29,0),"")</f>
        <v>0</v>
      </c>
      <c r="S726" s="35">
        <f>IFERROR(VLOOKUP($G726,[1]нормы!$A$21:$BC$151,31,0),"")</f>
        <v>0</v>
      </c>
      <c r="T726" s="32">
        <f>IFERROR(VLOOKUP($G726,[1]нормы!$A$21:$BC$151,25,0),"")</f>
        <v>0</v>
      </c>
      <c r="U726" s="233" t="str">
        <f>IFERROR(W726/(((100*Y726/Y730)*I729)/100),"")</f>
        <v/>
      </c>
      <c r="V726" s="234" t="str">
        <f>IFERROR(VLOOKUP($G726,нормы!$A$14:$BC$57,38,0),"")</f>
        <v/>
      </c>
      <c r="W726" s="136"/>
      <c r="X726" s="237"/>
      <c r="Y726" s="152" t="str">
        <f>IFERROR(VLOOKUP($G726,нормы!$A$14:$BC$57,42,0)*W726,"")</f>
        <v/>
      </c>
      <c r="Z726" s="163">
        <f>IFERROR(VLOOKUP($G726,нормы!$A$14:$BC$57,14,0)*W726/1000,0)</f>
        <v>0</v>
      </c>
      <c r="AA726" s="30"/>
      <c r="AB726" s="35"/>
      <c r="AC726" s="35"/>
      <c r="AD726" s="35"/>
      <c r="AE726" s="31"/>
      <c r="AF726" s="160"/>
      <c r="AG726" s="391"/>
      <c r="AH726" s="394"/>
      <c r="AI726" s="397"/>
      <c r="AJ726" s="408"/>
      <c r="AK726" s="360"/>
      <c r="AL726" s="360"/>
      <c r="AM726" s="360"/>
      <c r="AN726" s="289">
        <f>IFERROR(Y726*AJ724/Y730,)</f>
        <v>0</v>
      </c>
      <c r="AO726" s="197" t="str">
        <f>IFERROR(VLOOKUP($G726,нормы!$A$14:$BC$57,53,0)*$W726,"")</f>
        <v/>
      </c>
      <c r="AP726" s="290">
        <f>IFERROR(Y726*AI724/Y730,)</f>
        <v>0</v>
      </c>
      <c r="AQ726" s="197" t="str">
        <f>IFERROR(VLOOKUP($G726,нормы!$A$14:$BC$57,54,0)*$W726,"")</f>
        <v/>
      </c>
      <c r="AR726" s="290">
        <f>IFERROR(AS726/SUM(AS724:AS729)*AL724,0)</f>
        <v>0</v>
      </c>
      <c r="AS726" s="197" t="str">
        <f>IFERROR(VLOOKUP($G726,нормы!$A$14:$BC$57,55,0)*W726,"")</f>
        <v/>
      </c>
      <c r="AT726" s="290">
        <f>IFERROR(AU726/SUM(AU724:AU729)*AM724,0)</f>
        <v>0</v>
      </c>
      <c r="AU726" s="197" t="str">
        <f>IFERROR(VLOOKUP($G726,нормы!$A$14:$BI$57,56,0)*W726,"")</f>
        <v/>
      </c>
      <c r="AV726" s="290">
        <f>IFERROR(AW726/SUM(AW724:AW729)*AK724,0)</f>
        <v>0</v>
      </c>
      <c r="AW726" s="202" t="str">
        <f>IFERROR(VLOOKUP($G726,нормы!$A$14:$BI$57,57,0)*W726,"")</f>
        <v/>
      </c>
      <c r="AX726" s="30"/>
      <c r="AY726" s="203" t="str">
        <f>IFERROR(VLOOKUP($G726,нормы!$A$14:$BI$57,58,0)*W726,"")</f>
        <v/>
      </c>
      <c r="AZ726" s="205"/>
      <c r="BA726" s="200" t="str">
        <f>IFERROR(VLOOKUP($G726,нормы!$A$14:$BI$57,61,0)*$W726,"")</f>
        <v/>
      </c>
      <c r="BB726" s="30"/>
      <c r="BC726" s="203" t="str">
        <f>IFERROR(VLOOKUP($G726,нормы!$A$14:$BI$57,60,0)*W726,"")</f>
        <v/>
      </c>
      <c r="BD726" s="200" t="str">
        <f>IFERROR(VLOOKUP($G726,нормы!$A$14:$BG$57,44,0),"")</f>
        <v/>
      </c>
      <c r="BE726" s="199" t="str">
        <f>IFERROR(W726/VLOOKUP($G726,нормы!$A$14:$BI$57,45,0),"")</f>
        <v/>
      </c>
    </row>
    <row r="727" spans="1:57" s="1" customFormat="1" ht="20.25" customHeight="1" x14ac:dyDescent="0.4">
      <c r="A727" s="37" t="str">
        <f t="shared" si="290"/>
        <v>12Н</v>
      </c>
      <c r="B727" s="12">
        <f t="shared" si="291"/>
        <v>46034</v>
      </c>
      <c r="C727" s="97">
        <f t="shared" si="291"/>
        <v>0</v>
      </c>
      <c r="D727" s="97">
        <f t="shared" si="291"/>
        <v>1</v>
      </c>
      <c r="E727" s="54"/>
      <c r="F727" s="151" t="str">
        <f>IFERROR(VLOOKUP($G727,нормы!$A$14:$BC$57,2,0),"")</f>
        <v/>
      </c>
      <c r="G727" s="93"/>
      <c r="H727" s="54">
        <f t="shared" si="292"/>
        <v>0</v>
      </c>
      <c r="I727" s="55"/>
      <c r="J727" s="333"/>
      <c r="K727" s="30">
        <f>IFERROR(VLOOKUP($G727,[1]нормы!$A$21:$BC$151,15,0),"")</f>
        <v>0</v>
      </c>
      <c r="L727" s="31">
        <f>IFERROR(VLOOKUP($G727,[1]нормы!$A$21:$BC$151,17,0),"")</f>
        <v>0</v>
      </c>
      <c r="M727" s="306">
        <f>IFERROR(VLOOKUP($G727,[1]нормы!$A$21:$BC$151,27,0),"")</f>
        <v>0</v>
      </c>
      <c r="N727" s="307" t="str">
        <f>IFERROR(Y727/Y730*(1.1*J724*I732),"")</f>
        <v/>
      </c>
      <c r="O727" s="300">
        <f>IFERROR(VLOOKUP($G727,[1]нормы!$A$21:$BC$151,21,0),"")</f>
        <v>0</v>
      </c>
      <c r="P727" s="35">
        <f>IFERROR(VLOOKUP($G727,[1]нормы!$A$21:$BC$151,19,0),"")</f>
        <v>0</v>
      </c>
      <c r="Q727" s="35">
        <f>IFERROR(VLOOKUP($G727,[1]нормы!$A$21:$BC$151,23,0),"")</f>
        <v>0</v>
      </c>
      <c r="R727" s="231">
        <f>IFERROR(VLOOKUP($G727,[1]нормы!$A$21:$BC$151,29,0),"")</f>
        <v>0</v>
      </c>
      <c r="S727" s="35">
        <f>IFERROR(VLOOKUP($G727,[1]нормы!$A$21:$BC$151,31,0),"")</f>
        <v>0</v>
      </c>
      <c r="T727" s="32">
        <f>IFERROR(VLOOKUP($G727,[1]нормы!$A$21:$BC$151,25,0),"")</f>
        <v>0</v>
      </c>
      <c r="U727" s="233" t="str">
        <f>IFERROR(W727/(((100*Y727/Y730)*I729)/100),"")</f>
        <v/>
      </c>
      <c r="V727" s="234" t="str">
        <f>IFERROR(VLOOKUP($G727,нормы!$A$14:$BC$57,38,0),"")</f>
        <v/>
      </c>
      <c r="W727" s="136"/>
      <c r="X727" s="237"/>
      <c r="Y727" s="152" t="str">
        <f>IFERROR(VLOOKUP($G727,нормы!$A$14:$BC$57,42,0)*W727,"")</f>
        <v/>
      </c>
      <c r="Z727" s="163">
        <f>IFERROR(VLOOKUP($G727,нормы!$A$14:$BC$57,14,0)*W727/1000,0)</f>
        <v>0</v>
      </c>
      <c r="AA727" s="30"/>
      <c r="AB727" s="35"/>
      <c r="AC727" s="35"/>
      <c r="AD727" s="35"/>
      <c r="AE727" s="31"/>
      <c r="AF727" s="160"/>
      <c r="AG727" s="391"/>
      <c r="AH727" s="394"/>
      <c r="AI727" s="397"/>
      <c r="AJ727" s="408"/>
      <c r="AK727" s="360"/>
      <c r="AL727" s="360"/>
      <c r="AM727" s="360"/>
      <c r="AN727" s="289">
        <f>IFERROR(Y727*AJ724/Y730,)</f>
        <v>0</v>
      </c>
      <c r="AO727" s="197" t="str">
        <f>IFERROR(VLOOKUP($G727,нормы!$A$14:$BC$57,53,0)*$W727,"")</f>
        <v/>
      </c>
      <c r="AP727" s="290">
        <f>IFERROR(Y727*AI724/Y730,)</f>
        <v>0</v>
      </c>
      <c r="AQ727" s="197" t="str">
        <f>IFERROR(VLOOKUP($G727,нормы!$A$14:$BC$57,54,0)*$W727,"")</f>
        <v/>
      </c>
      <c r="AR727" s="290">
        <f>IFERROR(AS727/SUM(AS724:AS729)*AL724,0)</f>
        <v>0</v>
      </c>
      <c r="AS727" s="197" t="str">
        <f>IFERROR(VLOOKUP($G727,нормы!$A$14:$BC$57,55,0)*W727,"")</f>
        <v/>
      </c>
      <c r="AT727" s="290">
        <f>IFERROR(AU727/SUM(AU724:AU729)*AM724,0)</f>
        <v>0</v>
      </c>
      <c r="AU727" s="197" t="str">
        <f>IFERROR(VLOOKUP($G727,нормы!$A$14:$BI$57,56,0)*W727,"")</f>
        <v/>
      </c>
      <c r="AV727" s="290">
        <f>IFERROR(AW727/SUM(AW724:AW729)*AK724,0)</f>
        <v>0</v>
      </c>
      <c r="AW727" s="202" t="str">
        <f>IFERROR(VLOOKUP($G727,нормы!$A$14:$BI$57,57,0)*W727,"")</f>
        <v/>
      </c>
      <c r="AX727" s="30"/>
      <c r="AY727" s="203" t="str">
        <f>IFERROR(VLOOKUP($G727,нормы!$A$14:$BI$57,58,0)*W727,"")</f>
        <v/>
      </c>
      <c r="AZ727" s="205"/>
      <c r="BA727" s="200" t="str">
        <f>IFERROR(VLOOKUP($G727,нормы!$A$14:$BI$57,61,0)*$W727,"")</f>
        <v/>
      </c>
      <c r="BB727" s="30"/>
      <c r="BC727" s="203" t="str">
        <f>IFERROR(VLOOKUP($G727,нормы!$A$14:$BI$57,60,0)*W727,"")</f>
        <v/>
      </c>
      <c r="BD727" s="200" t="str">
        <f>IFERROR(VLOOKUP($G727,нормы!$A$14:$BG$57,44,0),"")</f>
        <v/>
      </c>
      <c r="BE727" s="199" t="str">
        <f>IFERROR(W727/VLOOKUP($G727,нормы!$A$14:$BI$57,45,0),"")</f>
        <v/>
      </c>
    </row>
    <row r="728" spans="1:57" s="1" customFormat="1" ht="20.25" customHeight="1" x14ac:dyDescent="0.4">
      <c r="A728" s="37" t="str">
        <f t="shared" si="290"/>
        <v>12Н</v>
      </c>
      <c r="B728" s="12">
        <f t="shared" si="291"/>
        <v>46034</v>
      </c>
      <c r="C728" s="97">
        <f t="shared" si="291"/>
        <v>0</v>
      </c>
      <c r="D728" s="97">
        <f t="shared" si="291"/>
        <v>1</v>
      </c>
      <c r="E728" s="54"/>
      <c r="F728" s="151" t="str">
        <f>IFERROR(VLOOKUP($G728,нормы!$A$14:$BC$57,2,0),"")</f>
        <v/>
      </c>
      <c r="G728" s="38"/>
      <c r="H728" s="54">
        <f t="shared" si="292"/>
        <v>0</v>
      </c>
      <c r="I728" s="89" t="s">
        <v>73</v>
      </c>
      <c r="J728" s="333"/>
      <c r="K728" s="30">
        <f>IFERROR(VLOOKUP($G728,[1]нормы!$A$21:$BC$151,15,0),"")</f>
        <v>0</v>
      </c>
      <c r="L728" s="31">
        <f>IFERROR(VLOOKUP($G728,[1]нормы!$A$21:$BC$151,17,0),"")</f>
        <v>0</v>
      </c>
      <c r="M728" s="306">
        <f>IFERROR(VLOOKUP($G728,[1]нормы!$A$21:$BC$151,27,0),"")</f>
        <v>0</v>
      </c>
      <c r="N728" s="307" t="str">
        <f>IFERROR(Y728/Y730*(1.1*J724*I733),"")</f>
        <v/>
      </c>
      <c r="O728" s="300">
        <f>IFERROR(VLOOKUP($G728,[1]нормы!$A$21:$BC$151,21,0),"")</f>
        <v>0</v>
      </c>
      <c r="P728" s="35">
        <f>IFERROR(VLOOKUP($G728,[1]нормы!$A$21:$BC$151,19,0),"")</f>
        <v>0</v>
      </c>
      <c r="Q728" s="35">
        <f>IFERROR(VLOOKUP($G728,[1]нормы!$A$21:$BC$151,23,0),"")</f>
        <v>0</v>
      </c>
      <c r="R728" s="231">
        <f>IFERROR(VLOOKUP($G728,[1]нормы!$A$21:$BC$151,29,0),"")</f>
        <v>0</v>
      </c>
      <c r="S728" s="35">
        <f>IFERROR(VLOOKUP($G728,[1]нормы!$A$21:$BC$151,31,0),"")</f>
        <v>0</v>
      </c>
      <c r="T728" s="32">
        <f>IFERROR(VLOOKUP($G728,[1]нормы!$A$21:$BC$151,25,0),"")</f>
        <v>0</v>
      </c>
      <c r="U728" s="233" t="str">
        <f>IFERROR(W728/(((100*Y728/Y730)*I729)/100),"")</f>
        <v/>
      </c>
      <c r="V728" s="234" t="str">
        <f>IFERROR(VLOOKUP($G728,нормы!$A$14:$BC$57,38,0),"")</f>
        <v/>
      </c>
      <c r="W728" s="136"/>
      <c r="X728" s="237"/>
      <c r="Y728" s="152" t="str">
        <f>IFERROR(VLOOKUP($G728,нормы!$A$14:$BC$57,42,0)*W728,"")</f>
        <v/>
      </c>
      <c r="Z728" s="163">
        <f>IFERROR(VLOOKUP($G728,нормы!$A$14:$BC$57,14,0)*W728/1000,0)</f>
        <v>0</v>
      </c>
      <c r="AA728" s="30"/>
      <c r="AB728" s="35"/>
      <c r="AC728" s="35"/>
      <c r="AD728" s="35"/>
      <c r="AE728" s="31"/>
      <c r="AF728" s="160"/>
      <c r="AG728" s="391"/>
      <c r="AH728" s="394"/>
      <c r="AI728" s="397"/>
      <c r="AJ728" s="408"/>
      <c r="AK728" s="360"/>
      <c r="AL728" s="360"/>
      <c r="AM728" s="360"/>
      <c r="AN728" s="289">
        <f>IFERROR(Y728*AJ724/Y730,)</f>
        <v>0</v>
      </c>
      <c r="AO728" s="197" t="str">
        <f>IFERROR(VLOOKUP($G728,нормы!$A$14:$BC$57,53,0)*$W728,"")</f>
        <v/>
      </c>
      <c r="AP728" s="290">
        <f>IFERROR(Y728*AI724/Y730,)</f>
        <v>0</v>
      </c>
      <c r="AQ728" s="197" t="str">
        <f>IFERROR(VLOOKUP($G728,нормы!$A$14:$BC$57,54,0)*$W728,"")</f>
        <v/>
      </c>
      <c r="AR728" s="290">
        <f>IFERROR(AS728/SUM(AS724:AS729)*AL724,0)</f>
        <v>0</v>
      </c>
      <c r="AS728" s="197" t="str">
        <f>IFERROR(VLOOKUP($G728,нормы!$A$14:$BC$57,55,0)*W728,"")</f>
        <v/>
      </c>
      <c r="AT728" s="290">
        <f>IFERROR(AU728/SUM(AU724:AU729)*AM724,0)</f>
        <v>0</v>
      </c>
      <c r="AU728" s="197" t="str">
        <f>IFERROR(VLOOKUP($G728,нормы!$A$14:$BI$57,56,0)*W728,"")</f>
        <v/>
      </c>
      <c r="AV728" s="290">
        <f>IFERROR(AW728/SUM(AW724:AW729)*AK724,0)</f>
        <v>0</v>
      </c>
      <c r="AW728" s="202" t="str">
        <f>IFERROR(VLOOKUP($G728,нормы!$A$14:$BI$57,57,0)*W728,"")</f>
        <v/>
      </c>
      <c r="AX728" s="30"/>
      <c r="AY728" s="203" t="str">
        <f>IFERROR(VLOOKUP($G728,нормы!$A$14:$BI$57,58,0)*W728,"")</f>
        <v/>
      </c>
      <c r="AZ728" s="205"/>
      <c r="BA728" s="200" t="str">
        <f>IFERROR(VLOOKUP($G728,нормы!$A$14:$BI$57,61,0)*$W728,"")</f>
        <v/>
      </c>
      <c r="BB728" s="30"/>
      <c r="BC728" s="203" t="str">
        <f>IFERROR(VLOOKUP($G728,нормы!$A$14:$BI$57,60,0)*W728,"")</f>
        <v/>
      </c>
      <c r="BD728" s="200" t="str">
        <f>IFERROR(VLOOKUP($G728,нормы!$A$14:$BG$57,44,0),"")</f>
        <v/>
      </c>
      <c r="BE728" s="199" t="str">
        <f>IFERROR(W728/VLOOKUP($G728,нормы!$A$14:$BI$57,45,0),"")</f>
        <v/>
      </c>
    </row>
    <row r="729" spans="1:57" s="1" customFormat="1" ht="21" customHeight="1" thickBot="1" x14ac:dyDescent="0.45">
      <c r="A729" s="37" t="str">
        <f t="shared" si="290"/>
        <v>12Н</v>
      </c>
      <c r="B729" s="12">
        <f t="shared" si="291"/>
        <v>46034</v>
      </c>
      <c r="C729" s="97">
        <f t="shared" si="291"/>
        <v>0</v>
      </c>
      <c r="D729" s="97">
        <f t="shared" si="291"/>
        <v>1</v>
      </c>
      <c r="E729" s="54"/>
      <c r="F729" s="151" t="str">
        <f>IFERROR(VLOOKUP($G729,нормы!$A$14:$BC$57,2,0),"")</f>
        <v/>
      </c>
      <c r="G729" s="93"/>
      <c r="H729" s="63">
        <f t="shared" si="292"/>
        <v>0</v>
      </c>
      <c r="I729" s="153">
        <f>I725+I727</f>
        <v>0</v>
      </c>
      <c r="J729" s="334"/>
      <c r="K729" s="30">
        <f>IFERROR(VLOOKUP($G729,[1]нормы!$A$21:$BC$151,15,0),"")</f>
        <v>0</v>
      </c>
      <c r="L729" s="31">
        <f>IFERROR(VLOOKUP($G729,[1]нормы!$A$21:$BC$151,17,0),"")</f>
        <v>0</v>
      </c>
      <c r="M729" s="308">
        <f>IFERROR(VLOOKUP($G729,[1]нормы!$A$21:$BC$151,27,0),"")</f>
        <v>0</v>
      </c>
      <c r="N729" s="309" t="str">
        <f>IFERROR(Y729/Y730*(1.1*J724*I734),"")</f>
        <v/>
      </c>
      <c r="O729" s="300">
        <f>IFERROR(VLOOKUP($G729,[1]нормы!$A$21:$BC$151,21,0),"")</f>
        <v>0</v>
      </c>
      <c r="P729" s="35">
        <f>IFERROR(VLOOKUP($G729,[1]нормы!$A$21:$BC$151,19,0),"")</f>
        <v>0</v>
      </c>
      <c r="Q729" s="35">
        <f>IFERROR(VLOOKUP($G729,[1]нормы!$A$21:$BC$151,23,0),"")</f>
        <v>0</v>
      </c>
      <c r="R729" s="231">
        <f>IFERROR(VLOOKUP($G729,[1]нормы!$A$21:$BC$151,29,0),"")</f>
        <v>0</v>
      </c>
      <c r="S729" s="35">
        <f>IFERROR(VLOOKUP($G729,[1]нормы!$A$21:$BC$151,31,0),"")</f>
        <v>0</v>
      </c>
      <c r="T729" s="32">
        <f>IFERROR(VLOOKUP($G729,[1]нормы!$A$21:$BC$151,25,0),"")</f>
        <v>0</v>
      </c>
      <c r="U729" s="235" t="str">
        <f>IFERROR(W729/(((100*Y729/Y730)*I729)/100),"")</f>
        <v/>
      </c>
      <c r="V729" s="234" t="str">
        <f>IFERROR(VLOOKUP($G729,нормы!$A$14:$BC$57,38,0),"")</f>
        <v/>
      </c>
      <c r="W729" s="154"/>
      <c r="X729" s="238"/>
      <c r="Y729" s="152" t="str">
        <f>IFERROR(VLOOKUP($G729,нормы!$A$14:$BC$57,42,0)*W729,"")</f>
        <v/>
      </c>
      <c r="Z729" s="163">
        <f>IFERROR(VLOOKUP($G729,нормы!$A$14:$BC$57,14,0)*W729/1000,0)</f>
        <v>0</v>
      </c>
      <c r="AA729" s="56"/>
      <c r="AB729" s="58"/>
      <c r="AC729" s="58"/>
      <c r="AD729" s="58"/>
      <c r="AE729" s="57"/>
      <c r="AF729" s="161"/>
      <c r="AG729" s="392"/>
      <c r="AH729" s="395"/>
      <c r="AI729" s="398"/>
      <c r="AJ729" s="409"/>
      <c r="AK729" s="361"/>
      <c r="AL729" s="361"/>
      <c r="AM729" s="361"/>
      <c r="AN729" s="291">
        <f>IFERROR(Y729*AJ724/Y730,)</f>
        <v>0</v>
      </c>
      <c r="AO729" s="197" t="str">
        <f>IFERROR(VLOOKUP($G729,нормы!$A$14:$BC$57,53,0)*$W729,"")</f>
        <v/>
      </c>
      <c r="AP729" s="292">
        <f>IFERROR(Y729*AI724/Y730,)</f>
        <v>0</v>
      </c>
      <c r="AQ729" s="197" t="str">
        <f>IFERROR(VLOOKUP($G729,нормы!$A$14:$BC$57,54,0)*$W729,"")</f>
        <v/>
      </c>
      <c r="AR729" s="290">
        <f>IFERROR(AS729/SUM(AS724:AS729)*AL724,0)</f>
        <v>0</v>
      </c>
      <c r="AS729" s="197" t="str">
        <f>IFERROR(VLOOKUP($G729,нормы!$A$14:$BC$57,55,0)*W729,"")</f>
        <v/>
      </c>
      <c r="AT729" s="292">
        <f>IFERROR(AU729/SUM(AU724:AU729)*AM724,0)</f>
        <v>0</v>
      </c>
      <c r="AU729" s="197" t="str">
        <f>IFERROR(VLOOKUP($G729,нормы!$A$14:$BI$57,56,0)*W729,"")</f>
        <v/>
      </c>
      <c r="AV729" s="292">
        <f>IFERROR(AW729/SUM(AW724:AW729)*AK724,0)</f>
        <v>0</v>
      </c>
      <c r="AW729" s="202" t="str">
        <f>IFERROR(VLOOKUP($G729,нормы!$A$14:$BI$57,57,0)*W729,"")</f>
        <v/>
      </c>
      <c r="AX729" s="56"/>
      <c r="AY729" s="203" t="str">
        <f>IFERROR(VLOOKUP($G729,нормы!$A$14:$BI$57,58,0)*W729,"")</f>
        <v/>
      </c>
      <c r="AZ729" s="206"/>
      <c r="BA729" s="200" t="str">
        <f>IFERROR(VLOOKUP($G729,нормы!$A$14:$BI$57,61,0)*$W729,"")</f>
        <v/>
      </c>
      <c r="BB729" s="56"/>
      <c r="BC729" s="203" t="str">
        <f>IFERROR(VLOOKUP($G729,нормы!$A$14:$BI$57,60,0)*W729,"")</f>
        <v/>
      </c>
      <c r="BD729" s="200" t="str">
        <f>IFERROR(VLOOKUP($G729,нормы!$A$14:$BG$57,44,0),"")</f>
        <v/>
      </c>
      <c r="BE729" s="199" t="str">
        <f>IFERROR(W729/VLOOKUP($G729,нормы!$A$14:$BI$57,45,0),"")</f>
        <v/>
      </c>
    </row>
    <row r="730" spans="1:57" s="1" customFormat="1" ht="29.4" customHeight="1" thickBot="1" x14ac:dyDescent="0.45">
      <c r="A730" s="37" t="str">
        <f t="shared" si="290"/>
        <v>12Н</v>
      </c>
      <c r="B730" s="59"/>
      <c r="C730" s="51"/>
      <c r="D730" s="51"/>
      <c r="E730" s="51"/>
      <c r="F730" s="295" t="s">
        <v>149</v>
      </c>
      <c r="G730" s="51"/>
      <c r="H730" s="51"/>
      <c r="I730" s="60"/>
      <c r="J730" s="60"/>
      <c r="K730" s="319" t="s">
        <v>213</v>
      </c>
      <c r="L730" s="316"/>
      <c r="M730" s="303" t="s">
        <v>213</v>
      </c>
      <c r="N730" s="317">
        <f>SUM(N724:N729)</f>
        <v>0</v>
      </c>
      <c r="O730" s="304" t="s">
        <v>216</v>
      </c>
      <c r="P730" s="318">
        <f>N730*8.937/1000</f>
        <v>0</v>
      </c>
      <c r="Q730" s="305" t="s">
        <v>215</v>
      </c>
      <c r="R730" s="61"/>
      <c r="S730" s="61"/>
      <c r="T730" s="61"/>
      <c r="U730" s="109"/>
      <c r="V730" s="109"/>
      <c r="W730" s="94"/>
      <c r="X730" s="155"/>
      <c r="Y730" s="96">
        <f>SUM(Y724:Y729)</f>
        <v>0</v>
      </c>
      <c r="Z730" s="164">
        <f>SUM(Z724:Z729)</f>
        <v>0</v>
      </c>
      <c r="AA730" s="62"/>
      <c r="AB730" s="62"/>
      <c r="AC730" s="62"/>
      <c r="AD730" s="62"/>
      <c r="AE730" s="62"/>
      <c r="AF730" s="62"/>
      <c r="AG730" s="162" t="s">
        <v>140</v>
      </c>
      <c r="AH730" s="162" t="s">
        <v>141</v>
      </c>
      <c r="AI730" s="162" t="s">
        <v>142</v>
      </c>
      <c r="AJ730" s="91" t="s">
        <v>126</v>
      </c>
      <c r="AK730" s="198" t="s">
        <v>136</v>
      </c>
      <c r="AL730" s="198" t="s">
        <v>137</v>
      </c>
      <c r="AM730" s="198" t="s">
        <v>138</v>
      </c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53" t="str">
        <f>IFERROR(W730/VLOOKUP($G730,нормы!$A$14:$BI$15,28,0),"")</f>
        <v/>
      </c>
    </row>
    <row r="731" spans="1:57" s="1" customFormat="1" ht="21.6" customHeight="1" x14ac:dyDescent="0.4">
      <c r="A731" s="37" t="str">
        <f t="shared" si="290"/>
        <v>12Н</v>
      </c>
      <c r="B731" s="12">
        <f>B729</f>
        <v>46034</v>
      </c>
      <c r="C731" s="97"/>
      <c r="D731" s="97">
        <v>2</v>
      </c>
      <c r="E731" s="29"/>
      <c r="F731" s="151" t="str">
        <f>IFERROR(VLOOKUP($G731,нормы!$A$14:$BC$57,2,0),"")</f>
        <v/>
      </c>
      <c r="G731" s="93"/>
      <c r="H731" s="54">
        <f>IF(C731=1,"Кульков С.А.", IF(C731=2,"Чудаков А.А.",IF(C731=3,"Королев В.Н.",IF(C731=4,"Николашин М.П.",IF(C731=5," Кульков С.А.",IF(C731=6,"А.А. Чудаков",IF(C731=7,"В.Н. Королев",IF(C731=8,"М.П. Николашин",0))))))))</f>
        <v>0</v>
      </c>
      <c r="I731" s="88" t="s">
        <v>211</v>
      </c>
      <c r="J731" s="332"/>
      <c r="K731" s="30">
        <f>IFERROR(VLOOKUP($G731,[1]нормы!$A$21:$BC$151,15,0),"")</f>
        <v>0</v>
      </c>
      <c r="L731" s="31">
        <f>IFERROR(VLOOKUP($G731,[1]нормы!$A$21:$BC$151,17,0),"")</f>
        <v>0</v>
      </c>
      <c r="M731" s="310">
        <f>IFERROR(VLOOKUP($G731,[1]нормы!$A$21:$BC$151,27,0),"")</f>
        <v>0</v>
      </c>
      <c r="N731" s="311" t="str">
        <f>IFERROR(Y731/Y737*(1.1*J731*I736),"")</f>
        <v/>
      </c>
      <c r="O731" s="300">
        <f>IFERROR(VLOOKUP($G731,[1]нормы!$A$21:$BC$151,21,0),"")</f>
        <v>0</v>
      </c>
      <c r="P731" s="35">
        <f>IFERROR(VLOOKUP($G731,[1]нормы!$A$21:$BC$151,19,0),"")</f>
        <v>0</v>
      </c>
      <c r="Q731" s="35">
        <f>IFERROR(VLOOKUP($G731,[1]нормы!$A$21:$BC$151,23,0),"")</f>
        <v>0</v>
      </c>
      <c r="R731" s="231">
        <f>IFERROR(VLOOKUP($G731,[1]нормы!$A$21:$BC$151,29,0),"")</f>
        <v>0</v>
      </c>
      <c r="S731" s="35">
        <f>IFERROR(VLOOKUP($G731,[1]нормы!$A$21:$BC$151,31,0),"")</f>
        <v>0</v>
      </c>
      <c r="T731" s="32">
        <f>IFERROR(VLOOKUP($G731,[1]нормы!$A$21:$BC$151,25,0),"")</f>
        <v>0</v>
      </c>
      <c r="U731" s="232" t="str">
        <f>IFERROR(W731/(((100*Y731/Y737)*I736)/100),"")</f>
        <v/>
      </c>
      <c r="V731" s="234" t="str">
        <f>IFERROR(VLOOKUP($G731,нормы!$A$14:$BC$57,38,0),"")</f>
        <v/>
      </c>
      <c r="W731" s="136"/>
      <c r="X731" s="236"/>
      <c r="Y731" s="152" t="str">
        <f>IFERROR(VLOOKUP($G731,нормы!$A$14:$BC$57,42,0)*W731,"")</f>
        <v/>
      </c>
      <c r="Z731" s="163">
        <f>IFERROR(VLOOKUP($G731,нормы!$A$14:$BC$57,14,0)*W731/1000,0)</f>
        <v>0</v>
      </c>
      <c r="AA731" s="33"/>
      <c r="AB731" s="36"/>
      <c r="AC731" s="36"/>
      <c r="AD731" s="36"/>
      <c r="AE731" s="34"/>
      <c r="AF731" s="159"/>
      <c r="AG731" s="390"/>
      <c r="AH731" s="393"/>
      <c r="AI731" s="396"/>
      <c r="AJ731" s="407">
        <f>AG731+AH731</f>
        <v>0</v>
      </c>
      <c r="AK731" s="359"/>
      <c r="AL731" s="359"/>
      <c r="AM731" s="359"/>
      <c r="AN731" s="287">
        <f>IFERROR(Y731*AJ731/Y737,)</f>
        <v>0</v>
      </c>
      <c r="AO731" s="197" t="str">
        <f>IFERROR(VLOOKUP($G731,нормы!$A$14:$BC$57,53,0)*$W731,"")</f>
        <v/>
      </c>
      <c r="AP731" s="288">
        <f>IFERROR(Y731*AI731/Y737,)</f>
        <v>0</v>
      </c>
      <c r="AQ731" s="197" t="str">
        <f>IFERROR(VLOOKUP($G731,нормы!$A$14:$BC$57,54,0)*$W731,"")</f>
        <v/>
      </c>
      <c r="AR731" s="288">
        <f>IFERROR(AS731/SUM(AS731:AS736)*AL731,0)</f>
        <v>0</v>
      </c>
      <c r="AS731" s="197" t="str">
        <f>IFERROR(VLOOKUP($G731,нормы!$A$14:$BC$57,55,0)*W731,"")</f>
        <v/>
      </c>
      <c r="AT731" s="288">
        <f>IFERROR(AU731/SUM(AU731:AU736)*AM731,0)</f>
        <v>0</v>
      </c>
      <c r="AU731" s="197" t="str">
        <f>IFERROR(VLOOKUP($G731,нормы!$A$14:$BI$57,56,0)*W731,"")</f>
        <v/>
      </c>
      <c r="AV731" s="288">
        <f>IFERROR(AW731/SUM(AW731:AW736)*AK731,0)</f>
        <v>0</v>
      </c>
      <c r="AW731" s="202" t="str">
        <f>IFERROR(VLOOKUP($G731,нормы!$A$14:$BI$57,57,0)*W731,"")</f>
        <v/>
      </c>
      <c r="AX731" s="33"/>
      <c r="AY731" s="203" t="str">
        <f>IFERROR(VLOOKUP($G731,нормы!$A$14:$BI$57,58,0)*W731,"")</f>
        <v/>
      </c>
      <c r="AZ731" s="204"/>
      <c r="BA731" s="200" t="str">
        <f>IFERROR(VLOOKUP($G731,нормы!$A$14:$BI$57,61,0)*$W731,"")</f>
        <v/>
      </c>
      <c r="BB731" s="33"/>
      <c r="BC731" s="203" t="str">
        <f>IFERROR(VLOOKUP($G731,нормы!$A$14:$BI$57,60,0)*W731,"")</f>
        <v/>
      </c>
      <c r="BD731" s="200" t="str">
        <f>IFERROR(VLOOKUP($G731,нормы!$A$14:$BG$57,44,0),"")</f>
        <v/>
      </c>
      <c r="BE731" s="199" t="str">
        <f>IFERROR(W731/VLOOKUP($G731,нормы!$A$14:$BI$57,45,0),"")</f>
        <v/>
      </c>
    </row>
    <row r="732" spans="1:57" s="1" customFormat="1" ht="21.6" customHeight="1" x14ac:dyDescent="0.4">
      <c r="A732" s="37" t="str">
        <f t="shared" si="290"/>
        <v>12Н</v>
      </c>
      <c r="B732" s="12">
        <f t="shared" ref="B732:D736" si="293">B731</f>
        <v>46034</v>
      </c>
      <c r="C732" s="97">
        <f t="shared" si="293"/>
        <v>0</v>
      </c>
      <c r="D732" s="97">
        <f t="shared" si="293"/>
        <v>2</v>
      </c>
      <c r="E732" s="54"/>
      <c r="F732" s="151" t="str">
        <f>IFERROR(VLOOKUP($G732,нормы!$A$14:$BC$57,2,0),"")</f>
        <v/>
      </c>
      <c r="G732" s="93"/>
      <c r="H732" s="54">
        <f t="shared" ref="H732:H736" si="294">IF(C732=1,"Кульков С.А.", IF(C732=2,"Чудаков А.А.",IF(C732=3,"Королев В.Н.",IF(C732=4,"Николашин М.П.",IF(C732=5," Кульков С.А.",IF(C732=6,"А.А. Чудаков",IF(C732=7,"В.Н. Королев",IF(C732=8,"М.П. Николашин",0))))))))</f>
        <v>0</v>
      </c>
      <c r="I732" s="55"/>
      <c r="J732" s="333"/>
      <c r="K732" s="30">
        <f>IFERROR(VLOOKUP($G732,[1]нормы!$A$21:$BC$151,15,0),"")</f>
        <v>0</v>
      </c>
      <c r="L732" s="31">
        <f>IFERROR(VLOOKUP($G732,[1]нормы!$A$21:$BC$151,17,0),"")</f>
        <v>0</v>
      </c>
      <c r="M732" s="306">
        <f>IFERROR(VLOOKUP($G732,[1]нормы!$A$21:$BC$151,27,0),"")</f>
        <v>0</v>
      </c>
      <c r="N732" s="307" t="str">
        <f>IFERROR(Y732/Y737*(1.1*J731*I736),"")</f>
        <v/>
      </c>
      <c r="O732" s="300">
        <f>IFERROR(VLOOKUP($G732,[1]нормы!$A$21:$BC$151,21,0),"")</f>
        <v>0</v>
      </c>
      <c r="P732" s="35">
        <f>IFERROR(VLOOKUP($G732,[1]нормы!$A$21:$BC$151,19,0),"")</f>
        <v>0</v>
      </c>
      <c r="Q732" s="35">
        <f>IFERROR(VLOOKUP($G732,[1]нормы!$A$21:$BC$151,23,0),"")</f>
        <v>0</v>
      </c>
      <c r="R732" s="231">
        <f>IFERROR(VLOOKUP($G732,[1]нормы!$A$21:$BC$151,29,0),"")</f>
        <v>0</v>
      </c>
      <c r="S732" s="35">
        <f>IFERROR(VLOOKUP($G732,[1]нормы!$A$21:$BC$151,31,0),"")</f>
        <v>0</v>
      </c>
      <c r="T732" s="32">
        <f>IFERROR(VLOOKUP($G732,[1]нормы!$A$21:$BC$151,25,0),"")</f>
        <v>0</v>
      </c>
      <c r="U732" s="233" t="str">
        <f>IFERROR(W732/(((100*Y732/Y737)*I736)/100),"")</f>
        <v/>
      </c>
      <c r="V732" s="234" t="str">
        <f>IFERROR(VLOOKUP($G732,нормы!$A$14:$BC$57,38,0),"")</f>
        <v/>
      </c>
      <c r="W732" s="136"/>
      <c r="X732" s="237"/>
      <c r="Y732" s="152" t="str">
        <f>IFERROR(VLOOKUP($G732,нормы!$A$14:$BC$57,42,0)*W732,"")</f>
        <v/>
      </c>
      <c r="Z732" s="163">
        <f>IFERROR(VLOOKUP($G732,нормы!$A$14:$BC$57,14,0)*W732/1000,0)</f>
        <v>0</v>
      </c>
      <c r="AA732" s="142"/>
      <c r="AB732" s="35"/>
      <c r="AC732" s="35"/>
      <c r="AD732" s="35"/>
      <c r="AE732" s="31"/>
      <c r="AF732" s="160"/>
      <c r="AG732" s="391"/>
      <c r="AH732" s="394"/>
      <c r="AI732" s="397"/>
      <c r="AJ732" s="408"/>
      <c r="AK732" s="360"/>
      <c r="AL732" s="360"/>
      <c r="AM732" s="360"/>
      <c r="AN732" s="289">
        <f>IFERROR(Y732*AJ731/Y737,)</f>
        <v>0</v>
      </c>
      <c r="AO732" s="197" t="str">
        <f>IFERROR(VLOOKUP($G732,нормы!$A$14:$BC$57,53,0)*$W732,"")</f>
        <v/>
      </c>
      <c r="AP732" s="290">
        <f>IFERROR(Y732*AI731/Y737,)</f>
        <v>0</v>
      </c>
      <c r="AQ732" s="197" t="str">
        <f>IFERROR(VLOOKUP($G732,нормы!$A$14:$BC$57,54,0)*$W732,"")</f>
        <v/>
      </c>
      <c r="AR732" s="290">
        <f>IFERROR(AS732/SUM(AS731:AS736)*AL731,0)</f>
        <v>0</v>
      </c>
      <c r="AS732" s="197" t="str">
        <f>IFERROR(VLOOKUP($G732,нормы!$A$14:$BC$57,55,0)*W732,"")</f>
        <v/>
      </c>
      <c r="AT732" s="290">
        <f>IFERROR(AU732/SUM(AU731:AU736)*AM731,0)</f>
        <v>0</v>
      </c>
      <c r="AU732" s="197" t="str">
        <f>IFERROR(VLOOKUP($G732,нормы!$A$14:$BI$57,56,0)*W732,"")</f>
        <v/>
      </c>
      <c r="AV732" s="290">
        <f>IFERROR(AW732/SUM(AW731:AW736)*AK731,0)</f>
        <v>0</v>
      </c>
      <c r="AW732" s="202" t="str">
        <f>IFERROR(VLOOKUP($G732,нормы!$A$14:$BI$57,57,0)*W732,"")</f>
        <v/>
      </c>
      <c r="AX732" s="30"/>
      <c r="AY732" s="203" t="str">
        <f>IFERROR(VLOOKUP($G732,нормы!$A$14:$BI$57,58,0)*W732,"")</f>
        <v/>
      </c>
      <c r="AZ732" s="205"/>
      <c r="BA732" s="200" t="str">
        <f>IFERROR(VLOOKUP($G732,нормы!$A$14:$BI$57,61,0)*$W732,"")</f>
        <v/>
      </c>
      <c r="BB732" s="30"/>
      <c r="BC732" s="203" t="str">
        <f>IFERROR(VLOOKUP($G732,нормы!$A$14:$BI$57,60,0)*W732,"")</f>
        <v/>
      </c>
      <c r="BD732" s="200" t="str">
        <f>IFERROR(VLOOKUP($G732,нормы!$A$14:$BG$57,44,0),"")</f>
        <v/>
      </c>
      <c r="BE732" s="199" t="str">
        <f>IFERROR(W732/VLOOKUP($G732,нормы!$A$14:$BI$57,45,0),"")</f>
        <v/>
      </c>
    </row>
    <row r="733" spans="1:57" s="1" customFormat="1" ht="20.25" customHeight="1" x14ac:dyDescent="0.4">
      <c r="A733" s="37" t="str">
        <f t="shared" si="290"/>
        <v>12Н</v>
      </c>
      <c r="B733" s="12">
        <f t="shared" si="293"/>
        <v>46034</v>
      </c>
      <c r="C733" s="97">
        <f t="shared" si="293"/>
        <v>0</v>
      </c>
      <c r="D733" s="97">
        <f t="shared" si="293"/>
        <v>2</v>
      </c>
      <c r="E733" s="54"/>
      <c r="F733" s="151" t="str">
        <f>IFERROR(VLOOKUP($G733,нормы!$A$14:$BC$57,2,0),"")</f>
        <v/>
      </c>
      <c r="G733" s="38"/>
      <c r="H733" s="54">
        <f t="shared" si="294"/>
        <v>0</v>
      </c>
      <c r="I733" s="89" t="s">
        <v>212</v>
      </c>
      <c r="J733" s="333"/>
      <c r="K733" s="30">
        <f>IFERROR(VLOOKUP($G733,[1]нормы!$A$21:$BC$151,15,0),"")</f>
        <v>0</v>
      </c>
      <c r="L733" s="31">
        <f>IFERROR(VLOOKUP($G733,[1]нормы!$A$21:$BC$151,17,0),"")</f>
        <v>0</v>
      </c>
      <c r="M733" s="306">
        <f>IFERROR(VLOOKUP($G733,[1]нормы!$A$21:$BC$151,27,0),"")</f>
        <v>0</v>
      </c>
      <c r="N733" s="307" t="str">
        <f>IFERROR(Y733/Y737*(1.1*J731*I736),"")</f>
        <v/>
      </c>
      <c r="O733" s="300">
        <f>IFERROR(VLOOKUP($G733,[1]нормы!$A$21:$BC$151,21,0),"")</f>
        <v>0</v>
      </c>
      <c r="P733" s="35">
        <f>IFERROR(VLOOKUP($G733,[1]нормы!$A$21:$BC$151,19,0),"")</f>
        <v>0</v>
      </c>
      <c r="Q733" s="35">
        <f>IFERROR(VLOOKUP($G733,[1]нормы!$A$21:$BC$151,23,0),"")</f>
        <v>0</v>
      </c>
      <c r="R733" s="231">
        <f>IFERROR(VLOOKUP($G733,[1]нормы!$A$21:$BC$151,29,0),"")</f>
        <v>0</v>
      </c>
      <c r="S733" s="35">
        <f>IFERROR(VLOOKUP($G733,[1]нормы!$A$21:$BC$151,31,0),"")</f>
        <v>0</v>
      </c>
      <c r="T733" s="32">
        <f>IFERROR(VLOOKUP($G733,[1]нормы!$A$21:$BC$151,25,0),"")</f>
        <v>0</v>
      </c>
      <c r="U733" s="233" t="str">
        <f>IFERROR(W733/(((100*Y733/Y737)*I736)/100),"")</f>
        <v/>
      </c>
      <c r="V733" s="234" t="str">
        <f>IFERROR(VLOOKUP($G733,нормы!$A$14:$BC$57,38,0),"")</f>
        <v/>
      </c>
      <c r="W733" s="136"/>
      <c r="X733" s="237"/>
      <c r="Y733" s="152" t="str">
        <f>IFERROR(VLOOKUP($G733,нормы!$A$14:$BC$57,42,0)*W733,"")</f>
        <v/>
      </c>
      <c r="Z733" s="163">
        <f>IFERROR(VLOOKUP($G733,нормы!$A$14:$BC$57,14,0)*W733/1000,0)</f>
        <v>0</v>
      </c>
      <c r="AA733" s="30"/>
      <c r="AB733" s="35"/>
      <c r="AC733" s="35"/>
      <c r="AD733" s="35"/>
      <c r="AE733" s="31"/>
      <c r="AF733" s="160"/>
      <c r="AG733" s="391"/>
      <c r="AH733" s="394"/>
      <c r="AI733" s="397"/>
      <c r="AJ733" s="408"/>
      <c r="AK733" s="360"/>
      <c r="AL733" s="360"/>
      <c r="AM733" s="360"/>
      <c r="AN733" s="289">
        <f>IFERROR(Y733*AJ731/Y737,)</f>
        <v>0</v>
      </c>
      <c r="AO733" s="197" t="str">
        <f>IFERROR(VLOOKUP($G733,нормы!$A$14:$BC$57,53,0)*$W733,"")</f>
        <v/>
      </c>
      <c r="AP733" s="290">
        <f>IFERROR(Y733*AI731/Y737,)</f>
        <v>0</v>
      </c>
      <c r="AQ733" s="197" t="str">
        <f>IFERROR(VLOOKUP($G733,нормы!$A$14:$BC$57,54,0)*$W733,"")</f>
        <v/>
      </c>
      <c r="AR733" s="290">
        <f>IFERROR(AS733/SUM(AS731:AS736)*AL731,0)</f>
        <v>0</v>
      </c>
      <c r="AS733" s="197" t="str">
        <f>IFERROR(VLOOKUP($G733,нормы!$A$14:$BC$57,55,0)*W733,"")</f>
        <v/>
      </c>
      <c r="AT733" s="290">
        <f>IFERROR(AU733/SUM(AU731:AU736)*AM731,0)</f>
        <v>0</v>
      </c>
      <c r="AU733" s="197" t="str">
        <f>IFERROR(VLOOKUP($G733,нормы!$A$14:$BI$57,56,0)*W733,"")</f>
        <v/>
      </c>
      <c r="AV733" s="290">
        <f>IFERROR(AW733/SUM(AW731:AW736)*AK731,0)</f>
        <v>0</v>
      </c>
      <c r="AW733" s="202" t="str">
        <f>IFERROR(VLOOKUP($G733,нормы!$A$14:$BI$57,57,0)*W733,"")</f>
        <v/>
      </c>
      <c r="AX733" s="30"/>
      <c r="AY733" s="203" t="str">
        <f>IFERROR(VLOOKUP($G733,нормы!$A$14:$BI$57,58,0)*W733,"")</f>
        <v/>
      </c>
      <c r="AZ733" s="205"/>
      <c r="BA733" s="200" t="str">
        <f>IFERROR(VLOOKUP($G733,нормы!$A$14:$BI$57,61,0)*$W733,"")</f>
        <v/>
      </c>
      <c r="BB733" s="30"/>
      <c r="BC733" s="203" t="str">
        <f>IFERROR(VLOOKUP($G733,нормы!$A$14:$BI$57,60,0)*W733,"")</f>
        <v/>
      </c>
      <c r="BD733" s="200" t="str">
        <f>IFERROR(VLOOKUP($G733,нормы!$A$14:$BG$57,44,0),"")</f>
        <v/>
      </c>
      <c r="BE733" s="199" t="str">
        <f>IFERROR(W733/VLOOKUP($G733,нормы!$A$14:$BI$57,45,0),"")</f>
        <v/>
      </c>
    </row>
    <row r="734" spans="1:57" s="1" customFormat="1" ht="20.25" customHeight="1" x14ac:dyDescent="0.4">
      <c r="A734" s="37" t="str">
        <f t="shared" si="290"/>
        <v>12Н</v>
      </c>
      <c r="B734" s="12">
        <f t="shared" si="293"/>
        <v>46034</v>
      </c>
      <c r="C734" s="97">
        <f t="shared" si="293"/>
        <v>0</v>
      </c>
      <c r="D734" s="97">
        <f t="shared" si="293"/>
        <v>2</v>
      </c>
      <c r="E734" s="54"/>
      <c r="F734" s="151" t="str">
        <f>IFERROR(VLOOKUP($G734,нормы!$A$14:$BC$57,2,0),"")</f>
        <v/>
      </c>
      <c r="G734" s="93"/>
      <c r="H734" s="54">
        <f t="shared" si="294"/>
        <v>0</v>
      </c>
      <c r="I734" s="55"/>
      <c r="J734" s="333"/>
      <c r="K734" s="30">
        <f>IFERROR(VLOOKUP($G734,[1]нормы!$A$21:$BC$151,15,0),"")</f>
        <v>0</v>
      </c>
      <c r="L734" s="31">
        <f>IFERROR(VLOOKUP($G734,[1]нормы!$A$21:$BC$151,17,0),"")</f>
        <v>0</v>
      </c>
      <c r="M734" s="306">
        <f>IFERROR(VLOOKUP($G734,[1]нормы!$A$21:$BC$151,27,0),"")</f>
        <v>0</v>
      </c>
      <c r="N734" s="307" t="str">
        <f>IFERROR(Y734/Y737*(1.1*J731*I739),"")</f>
        <v/>
      </c>
      <c r="O734" s="300">
        <f>IFERROR(VLOOKUP($G734,[1]нормы!$A$21:$BC$151,21,0),"")</f>
        <v>0</v>
      </c>
      <c r="P734" s="35">
        <f>IFERROR(VLOOKUP($G734,[1]нормы!$A$21:$BC$151,19,0),"")</f>
        <v>0</v>
      </c>
      <c r="Q734" s="35">
        <f>IFERROR(VLOOKUP($G734,[1]нормы!$A$21:$BC$151,23,0),"")</f>
        <v>0</v>
      </c>
      <c r="R734" s="231">
        <f>IFERROR(VLOOKUP($G734,[1]нормы!$A$21:$BC$151,29,0),"")</f>
        <v>0</v>
      </c>
      <c r="S734" s="35">
        <f>IFERROR(VLOOKUP($G734,[1]нормы!$A$21:$BC$151,31,0),"")</f>
        <v>0</v>
      </c>
      <c r="T734" s="32">
        <f>IFERROR(VLOOKUP($G734,[1]нормы!$A$21:$BC$151,25,0),"")</f>
        <v>0</v>
      </c>
      <c r="U734" s="233" t="str">
        <f>IFERROR(W734/(((100*Y734/Y737)*I736)/100),"")</f>
        <v/>
      </c>
      <c r="V734" s="234" t="str">
        <f>IFERROR(VLOOKUP($G734,нормы!$A$14:$BC$57,38,0),"")</f>
        <v/>
      </c>
      <c r="W734" s="136"/>
      <c r="X734" s="237"/>
      <c r="Y734" s="152" t="str">
        <f>IFERROR(VLOOKUP($G734,нормы!$A$14:$BC$57,42,0)*W734,"")</f>
        <v/>
      </c>
      <c r="Z734" s="163">
        <f>IFERROR(VLOOKUP($G734,нормы!$A$14:$BC$57,14,0)*W734/1000,0)</f>
        <v>0</v>
      </c>
      <c r="AA734" s="30"/>
      <c r="AB734" s="35"/>
      <c r="AC734" s="35"/>
      <c r="AD734" s="35"/>
      <c r="AE734" s="31"/>
      <c r="AF734" s="160"/>
      <c r="AG734" s="391"/>
      <c r="AH734" s="394"/>
      <c r="AI734" s="397"/>
      <c r="AJ734" s="408"/>
      <c r="AK734" s="360"/>
      <c r="AL734" s="360"/>
      <c r="AM734" s="360"/>
      <c r="AN734" s="289">
        <f>IFERROR(Y734*AJ731/Y737,)</f>
        <v>0</v>
      </c>
      <c r="AO734" s="197" t="str">
        <f>IFERROR(VLOOKUP($G734,нормы!$A$14:$BC$57,53,0)*$W734,"")</f>
        <v/>
      </c>
      <c r="AP734" s="290">
        <f>IFERROR(Y734*AI731/Y737,)</f>
        <v>0</v>
      </c>
      <c r="AQ734" s="197" t="str">
        <f>IFERROR(VLOOKUP($G734,нормы!$A$14:$BC$57,54,0)*$W734,"")</f>
        <v/>
      </c>
      <c r="AR734" s="290">
        <f>IFERROR(AS734/SUM(AS731:AS736)*AL731,0)</f>
        <v>0</v>
      </c>
      <c r="AS734" s="197" t="str">
        <f>IFERROR(VLOOKUP($G734,нормы!$A$14:$BC$57,55,0)*W734,"")</f>
        <v/>
      </c>
      <c r="AT734" s="290">
        <f>IFERROR(AU734/SUM(AU731:AU736)*AM731,0)</f>
        <v>0</v>
      </c>
      <c r="AU734" s="197" t="str">
        <f>IFERROR(VLOOKUP($G734,нормы!$A$14:$BI$57,56,0)*W734,"")</f>
        <v/>
      </c>
      <c r="AV734" s="290">
        <f>IFERROR(AW734/SUM(AW731:AW736)*AK731,0)</f>
        <v>0</v>
      </c>
      <c r="AW734" s="202" t="str">
        <f>IFERROR(VLOOKUP($G734,нормы!$A$14:$BI$57,57,0)*W734,"")</f>
        <v/>
      </c>
      <c r="AX734" s="30"/>
      <c r="AY734" s="203" t="str">
        <f>IFERROR(VLOOKUP($G734,нормы!$A$14:$BI$57,58,0)*W734,"")</f>
        <v/>
      </c>
      <c r="AZ734" s="205"/>
      <c r="BA734" s="200" t="str">
        <f>IFERROR(VLOOKUP($G734,нормы!$A$14:$BI$57,61,0)*$W734,"")</f>
        <v/>
      </c>
      <c r="BB734" s="30"/>
      <c r="BC734" s="203" t="str">
        <f>IFERROR(VLOOKUP($G734,нормы!$A$14:$BI$57,60,0)*W734,"")</f>
        <v/>
      </c>
      <c r="BD734" s="200" t="str">
        <f>IFERROR(VLOOKUP($G734,нормы!$A$14:$BG$57,44,0),"")</f>
        <v/>
      </c>
      <c r="BE734" s="199" t="str">
        <f>IFERROR(W734/VLOOKUP($G734,нормы!$A$14:$BI$57,45,0),"")</f>
        <v/>
      </c>
    </row>
    <row r="735" spans="1:57" s="1" customFormat="1" ht="20.25" customHeight="1" x14ac:dyDescent="0.4">
      <c r="A735" s="37" t="str">
        <f t="shared" si="290"/>
        <v>12Н</v>
      </c>
      <c r="B735" s="12">
        <f t="shared" si="293"/>
        <v>46034</v>
      </c>
      <c r="C735" s="97">
        <f t="shared" si="293"/>
        <v>0</v>
      </c>
      <c r="D735" s="97">
        <f t="shared" si="293"/>
        <v>2</v>
      </c>
      <c r="E735" s="54"/>
      <c r="F735" s="151" t="str">
        <f>IFERROR(VLOOKUP($G735,нормы!$A$14:$BC$57,2,0),"")</f>
        <v/>
      </c>
      <c r="G735" s="38"/>
      <c r="H735" s="54">
        <f t="shared" si="294"/>
        <v>0</v>
      </c>
      <c r="I735" s="89" t="s">
        <v>73</v>
      </c>
      <c r="J735" s="333"/>
      <c r="K735" s="30">
        <f>IFERROR(VLOOKUP($G735,[1]нормы!$A$21:$BC$151,15,0),"")</f>
        <v>0</v>
      </c>
      <c r="L735" s="31">
        <f>IFERROR(VLOOKUP($G735,[1]нормы!$A$21:$BC$151,17,0),"")</f>
        <v>0</v>
      </c>
      <c r="M735" s="306">
        <f>IFERROR(VLOOKUP($G735,[1]нормы!$A$21:$BC$151,27,0),"")</f>
        <v>0</v>
      </c>
      <c r="N735" s="307" t="str">
        <f>IFERROR(Y735/Y737*(1.1*J731*I740),"")</f>
        <v/>
      </c>
      <c r="O735" s="300">
        <f>IFERROR(VLOOKUP($G735,[1]нормы!$A$21:$BC$151,21,0),"")</f>
        <v>0</v>
      </c>
      <c r="P735" s="35">
        <f>IFERROR(VLOOKUP($G735,[1]нормы!$A$21:$BC$151,19,0),"")</f>
        <v>0</v>
      </c>
      <c r="Q735" s="35">
        <f>IFERROR(VLOOKUP($G735,[1]нормы!$A$21:$BC$151,23,0),"")</f>
        <v>0</v>
      </c>
      <c r="R735" s="231">
        <f>IFERROR(VLOOKUP($G735,[1]нормы!$A$21:$BC$151,29,0),"")</f>
        <v>0</v>
      </c>
      <c r="S735" s="35">
        <f>IFERROR(VLOOKUP($G735,[1]нормы!$A$21:$BC$151,31,0),"")</f>
        <v>0</v>
      </c>
      <c r="T735" s="32">
        <f>IFERROR(VLOOKUP($G735,[1]нормы!$A$21:$BC$151,25,0),"")</f>
        <v>0</v>
      </c>
      <c r="U735" s="233" t="str">
        <f>IFERROR(W735/(((100*Y735/Y737)*I736)/100),"")</f>
        <v/>
      </c>
      <c r="V735" s="234" t="str">
        <f>IFERROR(VLOOKUP($G735,нормы!$A$14:$BC$57,38,0),"")</f>
        <v/>
      </c>
      <c r="W735" s="136"/>
      <c r="X735" s="237"/>
      <c r="Y735" s="152" t="str">
        <f>IFERROR(VLOOKUP($G735,нормы!$A$14:$BC$57,42,0)*W735,"")</f>
        <v/>
      </c>
      <c r="Z735" s="163">
        <f>IFERROR(VLOOKUP($G735,нормы!$A$14:$BC$57,14,0)*W735/1000,0)</f>
        <v>0</v>
      </c>
      <c r="AA735" s="30"/>
      <c r="AB735" s="35"/>
      <c r="AC735" s="35"/>
      <c r="AD735" s="35"/>
      <c r="AE735" s="31"/>
      <c r="AF735" s="160"/>
      <c r="AG735" s="391"/>
      <c r="AH735" s="394"/>
      <c r="AI735" s="397"/>
      <c r="AJ735" s="408"/>
      <c r="AK735" s="360"/>
      <c r="AL735" s="360"/>
      <c r="AM735" s="360"/>
      <c r="AN735" s="289">
        <f>IFERROR(Y735*AJ731/Y737,)</f>
        <v>0</v>
      </c>
      <c r="AO735" s="197" t="str">
        <f>IFERROR(VLOOKUP($G735,нормы!$A$14:$BC$57,53,0)*$W735,"")</f>
        <v/>
      </c>
      <c r="AP735" s="290">
        <f>IFERROR(Y735*AI731/Y737,)</f>
        <v>0</v>
      </c>
      <c r="AQ735" s="197" t="str">
        <f>IFERROR(VLOOKUP($G735,нормы!$A$14:$BC$57,54,0)*$W735,"")</f>
        <v/>
      </c>
      <c r="AR735" s="290">
        <f>IFERROR(AS735/SUM(AS731:AS736)*AL731,0)</f>
        <v>0</v>
      </c>
      <c r="AS735" s="197" t="str">
        <f>IFERROR(VLOOKUP($G735,нормы!$A$14:$BC$57,55,0)*W735,"")</f>
        <v/>
      </c>
      <c r="AT735" s="290">
        <f>IFERROR(AU735/SUM(AU731:AU736)*AM731,0)</f>
        <v>0</v>
      </c>
      <c r="AU735" s="197" t="str">
        <f>IFERROR(VLOOKUP($G735,нормы!$A$14:$BI$57,56,0)*W735,"")</f>
        <v/>
      </c>
      <c r="AV735" s="290">
        <f>IFERROR(AW735/SUM(AW731:AW736)*AK731,0)</f>
        <v>0</v>
      </c>
      <c r="AW735" s="202" t="str">
        <f>IFERROR(VLOOKUP($G735,нормы!$A$14:$BI$57,57,0)*W735,"")</f>
        <v/>
      </c>
      <c r="AX735" s="30"/>
      <c r="AY735" s="203" t="str">
        <f>IFERROR(VLOOKUP($G735,нормы!$A$14:$BI$57,58,0)*W735,"")</f>
        <v/>
      </c>
      <c r="AZ735" s="205"/>
      <c r="BA735" s="200" t="str">
        <f>IFERROR(VLOOKUP($G735,нормы!$A$14:$BI$57,61,0)*$W735,"")</f>
        <v/>
      </c>
      <c r="BB735" s="30"/>
      <c r="BC735" s="203" t="str">
        <f>IFERROR(VLOOKUP($G735,нормы!$A$14:$BI$57,60,0)*W735,"")</f>
        <v/>
      </c>
      <c r="BD735" s="200" t="str">
        <f>IFERROR(VLOOKUP($G735,нормы!$A$14:$BG$57,44,0),"")</f>
        <v/>
      </c>
      <c r="BE735" s="199" t="str">
        <f>IFERROR(W735/VLOOKUP($G735,нормы!$A$14:$BI$57,45,0),"")</f>
        <v/>
      </c>
    </row>
    <row r="736" spans="1:57" s="1" customFormat="1" ht="21" customHeight="1" thickBot="1" x14ac:dyDescent="0.45">
      <c r="A736" s="37" t="str">
        <f t="shared" si="290"/>
        <v>12Н</v>
      </c>
      <c r="B736" s="12">
        <f t="shared" si="293"/>
        <v>46034</v>
      </c>
      <c r="C736" s="97">
        <f t="shared" si="293"/>
        <v>0</v>
      </c>
      <c r="D736" s="97">
        <f t="shared" si="293"/>
        <v>2</v>
      </c>
      <c r="E736" s="54"/>
      <c r="F736" s="151" t="str">
        <f>IFERROR(VLOOKUP($G736,нормы!$A$14:$BC$57,2,0),"")</f>
        <v/>
      </c>
      <c r="G736" s="93"/>
      <c r="H736" s="63">
        <f t="shared" si="294"/>
        <v>0</v>
      </c>
      <c r="I736" s="153">
        <f>I732+I734</f>
        <v>0</v>
      </c>
      <c r="J736" s="334"/>
      <c r="K736" s="30">
        <f>IFERROR(VLOOKUP($G736,[1]нормы!$A$21:$BC$151,15,0),"")</f>
        <v>0</v>
      </c>
      <c r="L736" s="31">
        <f>IFERROR(VLOOKUP($G736,[1]нормы!$A$21:$BC$151,17,0),"")</f>
        <v>0</v>
      </c>
      <c r="M736" s="308">
        <f>IFERROR(VLOOKUP($G736,[1]нормы!$A$21:$BC$151,27,0),"")</f>
        <v>0</v>
      </c>
      <c r="N736" s="309" t="str">
        <f>IFERROR(Y736/Y737*(1.1*J731*I741),"")</f>
        <v/>
      </c>
      <c r="O736" s="300">
        <f>IFERROR(VLOOKUP($G736,[1]нормы!$A$21:$BC$151,21,0),"")</f>
        <v>0</v>
      </c>
      <c r="P736" s="35">
        <f>IFERROR(VLOOKUP($G736,[1]нормы!$A$21:$BC$151,19,0),"")</f>
        <v>0</v>
      </c>
      <c r="Q736" s="35">
        <f>IFERROR(VLOOKUP($G736,[1]нормы!$A$21:$BC$151,23,0),"")</f>
        <v>0</v>
      </c>
      <c r="R736" s="231">
        <f>IFERROR(VLOOKUP($G736,[1]нормы!$A$21:$BC$151,29,0),"")</f>
        <v>0</v>
      </c>
      <c r="S736" s="35">
        <f>IFERROR(VLOOKUP($G736,[1]нормы!$A$21:$BC$151,31,0),"")</f>
        <v>0</v>
      </c>
      <c r="T736" s="32">
        <f>IFERROR(VLOOKUP($G736,[1]нормы!$A$21:$BC$151,25,0),"")</f>
        <v>0</v>
      </c>
      <c r="U736" s="235" t="str">
        <f>IFERROR(W736/(((100*Y736/Y737)*I736)/100),"")</f>
        <v/>
      </c>
      <c r="V736" s="234" t="str">
        <f>IFERROR(VLOOKUP($G736,нормы!$A$14:$BC$57,38,0),"")</f>
        <v/>
      </c>
      <c r="W736" s="154"/>
      <c r="X736" s="238"/>
      <c r="Y736" s="152" t="str">
        <f>IFERROR(VLOOKUP($G736,нормы!$A$14:$BC$57,42,0)*W736,"")</f>
        <v/>
      </c>
      <c r="Z736" s="163">
        <f>IFERROR(VLOOKUP($G736,нормы!$A$14:$BC$57,14,0)*W736/1000,0)</f>
        <v>0</v>
      </c>
      <c r="AA736" s="56"/>
      <c r="AB736" s="58"/>
      <c r="AC736" s="58"/>
      <c r="AD736" s="58"/>
      <c r="AE736" s="57"/>
      <c r="AF736" s="161"/>
      <c r="AG736" s="392"/>
      <c r="AH736" s="395"/>
      <c r="AI736" s="398"/>
      <c r="AJ736" s="409"/>
      <c r="AK736" s="361"/>
      <c r="AL736" s="361"/>
      <c r="AM736" s="361"/>
      <c r="AN736" s="291">
        <f>IFERROR(Y736*AJ731/Y737,)</f>
        <v>0</v>
      </c>
      <c r="AO736" s="197" t="str">
        <f>IFERROR(VLOOKUP($G736,нормы!$A$14:$BC$57,53,0)*$W736,"")</f>
        <v/>
      </c>
      <c r="AP736" s="292">
        <f>IFERROR(Y736*AI731/Y737,)</f>
        <v>0</v>
      </c>
      <c r="AQ736" s="197" t="str">
        <f>IFERROR(VLOOKUP($G736,нормы!$A$14:$BC$57,54,0)*$W736,"")</f>
        <v/>
      </c>
      <c r="AR736" s="290">
        <f>IFERROR(AS736/SUM(AS731:AS736)*AL731,0)</f>
        <v>0</v>
      </c>
      <c r="AS736" s="197" t="str">
        <f>IFERROR(VLOOKUP($G736,нормы!$A$14:$BC$57,55,0)*W736,"")</f>
        <v/>
      </c>
      <c r="AT736" s="292">
        <f>IFERROR(AU736/SUM(AU731:AU736)*AM731,0)</f>
        <v>0</v>
      </c>
      <c r="AU736" s="197" t="str">
        <f>IFERROR(VLOOKUP($G736,нормы!$A$14:$BI$57,56,0)*W736,"")</f>
        <v/>
      </c>
      <c r="AV736" s="292">
        <f>IFERROR(AW736/SUM(AW731:AW736)*AK731,0)</f>
        <v>0</v>
      </c>
      <c r="AW736" s="202" t="str">
        <f>IFERROR(VLOOKUP($G736,нормы!$A$14:$BI$57,57,0)*W736,"")</f>
        <v/>
      </c>
      <c r="AX736" s="56"/>
      <c r="AY736" s="203" t="str">
        <f>IFERROR(VLOOKUP($G736,нормы!$A$14:$BI$57,58,0)*W736,"")</f>
        <v/>
      </c>
      <c r="AZ736" s="206"/>
      <c r="BA736" s="200" t="str">
        <f>IFERROR(VLOOKUP($G736,нормы!$A$14:$BI$57,61,0)*$W736,"")</f>
        <v/>
      </c>
      <c r="BB736" s="56"/>
      <c r="BC736" s="203" t="str">
        <f>IFERROR(VLOOKUP($G736,нормы!$A$14:$BI$57,60,0)*W736,"")</f>
        <v/>
      </c>
      <c r="BD736" s="200" t="str">
        <f>IFERROR(VLOOKUP($G736,нормы!$A$14:$BG$57,44,0),"")</f>
        <v/>
      </c>
      <c r="BE736" s="199" t="str">
        <f>IFERROR(W736/VLOOKUP($G736,нормы!$A$14:$BI$57,45,0),"")</f>
        <v/>
      </c>
    </row>
    <row r="737" spans="1:57" s="1" customFormat="1" ht="29.4" customHeight="1" thickBot="1" x14ac:dyDescent="0.45">
      <c r="A737" s="37" t="str">
        <f t="shared" si="290"/>
        <v>12Н</v>
      </c>
      <c r="B737" s="59"/>
      <c r="C737" s="51"/>
      <c r="D737" s="51"/>
      <c r="E737" s="51"/>
      <c r="F737" s="51"/>
      <c r="G737" s="51"/>
      <c r="H737" s="51"/>
      <c r="I737" s="60"/>
      <c r="J737" s="60"/>
      <c r="K737" s="319" t="s">
        <v>213</v>
      </c>
      <c r="L737" s="316"/>
      <c r="M737" s="303" t="s">
        <v>213</v>
      </c>
      <c r="N737" s="317">
        <f>SUM(N731:N736)</f>
        <v>0</v>
      </c>
      <c r="O737" s="304" t="s">
        <v>217</v>
      </c>
      <c r="P737" s="318">
        <f>N737*8.937/1000</f>
        <v>0</v>
      </c>
      <c r="Q737" s="305" t="s">
        <v>215</v>
      </c>
      <c r="R737" s="61"/>
      <c r="S737" s="61"/>
      <c r="T737" s="61"/>
      <c r="U737" s="109"/>
      <c r="V737" s="109"/>
      <c r="W737" s="94"/>
      <c r="X737" s="155"/>
      <c r="Y737" s="96">
        <f>SUM(Y731:Y736)</f>
        <v>0</v>
      </c>
      <c r="Z737" s="164">
        <f>SUM(Z731:Z736)</f>
        <v>0</v>
      </c>
      <c r="AA737" s="207">
        <f>(AA723+AA724+AA725+AA726+AA727+AA728+AA729+AA731+AA732+AA733+AA734+AA735+AA736)-AG724</f>
        <v>1</v>
      </c>
      <c r="AB737" s="208">
        <f>(AB723+AB724+AB725+AB726+AB727+AB728+AB729+AB731+AB732+AB733+AB734+AB735+AB736)-AH724</f>
        <v>2</v>
      </c>
      <c r="AC737" s="208">
        <f>(AC723+AC724+AC725+AC726+AC727+AC728+AC729+AC731+AC732+AC733+AC734+AC735+AC736)-AG731</f>
        <v>3</v>
      </c>
      <c r="AD737" s="208">
        <f>(AD723+AD724+AD725+AD726+AD727+AD728+AD729+AD731+AD732+AD733+AD734+AD735+AD736)-AH731</f>
        <v>4</v>
      </c>
      <c r="AE737" s="208">
        <f>(AE723+AE724+AE725+AE726+AE727+AE728+AE729+AE731+AE732+AE733+AE734+AE735+AE736)-AI724</f>
        <v>5</v>
      </c>
      <c r="AF737" s="209">
        <f>(AF723+AF724+AF725+AF726+AF727+AF728+AF729+AF731+AF732+AF733+AF734+AF735+AF736)-AI731</f>
        <v>6</v>
      </c>
      <c r="AG737" s="62"/>
      <c r="AH737" s="62"/>
      <c r="AI737" s="62"/>
      <c r="AJ737" s="62"/>
      <c r="AK737" s="62"/>
      <c r="AL737" s="62"/>
      <c r="AM737" s="62"/>
      <c r="AN737" s="91">
        <f>SUM(AN731:AN736)</f>
        <v>0</v>
      </c>
      <c r="AO737" s="91">
        <f>SUM(AO731:AO736)</f>
        <v>0</v>
      </c>
      <c r="AP737" s="91"/>
      <c r="AQ737" s="91"/>
      <c r="AR737" s="91">
        <f>SUM(AR731:AR736)</f>
        <v>0</v>
      </c>
      <c r="AS737" s="91">
        <f t="shared" ref="AS737:AW737" si="295">SUM(AS731:AS736)</f>
        <v>0</v>
      </c>
      <c r="AT737" s="91">
        <f t="shared" si="295"/>
        <v>0</v>
      </c>
      <c r="AU737" s="91">
        <f t="shared" si="295"/>
        <v>0</v>
      </c>
      <c r="AV737" s="91">
        <f t="shared" si="295"/>
        <v>0</v>
      </c>
      <c r="AW737" s="91">
        <f t="shared" si="295"/>
        <v>0</v>
      </c>
      <c r="AX737" s="91">
        <f>SUM(AX731:AX736)</f>
        <v>0</v>
      </c>
      <c r="AY737" s="91">
        <f>SUM(AY731:AY736)</f>
        <v>0</v>
      </c>
      <c r="AZ737" s="91">
        <f>SUM(AZ731:AZ736)</f>
        <v>0</v>
      </c>
      <c r="BA737" s="91"/>
      <c r="BB737" s="91"/>
      <c r="BC737" s="91"/>
      <c r="BD737" s="91" t="str">
        <f>IFERROR(VLOOKUP($G737,нормы!$A$14:$BG$15,27,0),"")</f>
        <v/>
      </c>
      <c r="BE737" s="53" t="str">
        <f>IFERROR(W737/VLOOKUP($G737,нормы!$A$14:$BI$15,28,0),"")</f>
        <v/>
      </c>
    </row>
    <row r="738" spans="1:57" s="1" customFormat="1" ht="29.4" customHeight="1" thickBot="1" x14ac:dyDescent="0.5">
      <c r="A738" s="37" t="str">
        <f t="shared" si="290"/>
        <v>12Н</v>
      </c>
      <c r="B738" s="166" t="s">
        <v>130</v>
      </c>
      <c r="C738" s="167"/>
      <c r="D738" s="167"/>
      <c r="E738" s="167"/>
      <c r="F738" s="165"/>
      <c r="G738" s="167"/>
      <c r="H738" s="167"/>
      <c r="I738" s="168"/>
      <c r="J738" s="168"/>
      <c r="K738" s="168"/>
      <c r="L738" s="168"/>
      <c r="M738" s="168"/>
      <c r="N738" s="168"/>
      <c r="O738" s="167"/>
      <c r="P738" s="169"/>
      <c r="Q738" s="169"/>
      <c r="R738" s="169"/>
      <c r="S738" s="169"/>
      <c r="T738" s="169"/>
      <c r="U738" s="170"/>
      <c r="V738" s="170"/>
      <c r="W738" s="171"/>
      <c r="X738" s="171"/>
      <c r="Y738" s="172"/>
      <c r="Z738" s="172"/>
      <c r="AA738" s="201" t="s">
        <v>144</v>
      </c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64"/>
      <c r="AN738" s="167"/>
      <c r="AO738" s="167"/>
      <c r="AP738" s="167"/>
      <c r="AQ738" s="167"/>
      <c r="AR738" s="64"/>
      <c r="AS738" s="64"/>
      <c r="AT738" s="65"/>
      <c r="AU738" s="64"/>
      <c r="AV738" s="49"/>
      <c r="AW738" s="49"/>
      <c r="AX738" s="167"/>
      <c r="AY738" s="167"/>
      <c r="AZ738" s="167"/>
      <c r="BA738" s="167"/>
      <c r="BB738" s="167"/>
      <c r="BC738" s="167"/>
      <c r="BD738" s="66"/>
      <c r="BE738" s="66"/>
    </row>
    <row r="739" spans="1:57" s="1" customFormat="1" ht="23.25" customHeight="1" x14ac:dyDescent="0.4">
      <c r="A739" s="37" t="str">
        <f t="shared" si="290"/>
        <v>12Н</v>
      </c>
      <c r="B739" s="183"/>
      <c r="C739" s="100"/>
      <c r="D739" s="185"/>
      <c r="E739" s="186" t="s">
        <v>57</v>
      </c>
      <c r="F739" s="66" t="s">
        <v>87</v>
      </c>
      <c r="G739" s="66"/>
      <c r="H739" s="108" t="s">
        <v>131</v>
      </c>
      <c r="I739" s="101"/>
      <c r="J739" s="101"/>
      <c r="K739" s="101"/>
      <c r="L739" s="101"/>
      <c r="M739" s="101"/>
      <c r="N739" s="101"/>
      <c r="O739" s="67"/>
      <c r="P739" s="102"/>
      <c r="Q739" s="102"/>
      <c r="R739" s="102"/>
      <c r="S739" s="102"/>
      <c r="T739" s="102"/>
      <c r="U739" s="67"/>
      <c r="V739" s="67"/>
      <c r="W739" s="103"/>
      <c r="X739" s="187"/>
      <c r="Y739" s="68" t="s">
        <v>74</v>
      </c>
      <c r="Z739" s="69"/>
      <c r="AA739" s="90"/>
      <c r="AB739" s="100"/>
      <c r="AC739" s="100"/>
      <c r="AD739" s="186" t="s">
        <v>57</v>
      </c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190"/>
      <c r="AU739" s="66"/>
      <c r="AV739" s="165"/>
      <c r="AW739" s="293"/>
      <c r="AX739" s="66"/>
      <c r="AY739" s="66"/>
      <c r="AZ739" s="66"/>
      <c r="BA739" s="66"/>
      <c r="BB739" s="66"/>
      <c r="BC739" s="66"/>
      <c r="BD739" s="68" t="s">
        <v>74</v>
      </c>
      <c r="BE739" s="69"/>
    </row>
    <row r="740" spans="1:57" s="1" customFormat="1" ht="23.25" customHeight="1" thickBot="1" x14ac:dyDescent="0.45">
      <c r="A740" s="37" t="str">
        <f t="shared" si="290"/>
        <v>12Н</v>
      </c>
      <c r="B740" s="183"/>
      <c r="C740" s="41"/>
      <c r="D740" s="184"/>
      <c r="E740" s="50"/>
      <c r="F740" s="70"/>
      <c r="G740" s="70"/>
      <c r="H740" s="70"/>
      <c r="I740" s="104"/>
      <c r="J740" s="104"/>
      <c r="K740" s="104"/>
      <c r="L740" s="104"/>
      <c r="M740" s="104"/>
      <c r="N740" s="104"/>
      <c r="O740" s="71"/>
      <c r="P740" s="105"/>
      <c r="Q740" s="105"/>
      <c r="R740" s="105"/>
      <c r="S740" s="105"/>
      <c r="T740" s="105"/>
      <c r="U740" s="71"/>
      <c r="V740" s="71"/>
      <c r="W740" s="106"/>
      <c r="X740" s="188"/>
      <c r="Y740" s="72"/>
      <c r="Z740" s="73"/>
      <c r="AA740" s="90"/>
      <c r="AB740" s="41"/>
      <c r="AC740" s="41"/>
      <c r="AD740" s="50"/>
      <c r="AE740" s="47"/>
      <c r="AF740" s="47"/>
      <c r="AG740" s="47"/>
      <c r="AH740" s="47"/>
      <c r="AI740" s="47"/>
      <c r="AJ740" s="47"/>
      <c r="AK740" s="47"/>
      <c r="AL740" s="47"/>
      <c r="AM740" s="70"/>
      <c r="AN740" s="47"/>
      <c r="AO740" s="70"/>
      <c r="AP740" s="70"/>
      <c r="AQ740" s="70"/>
      <c r="AR740" s="70"/>
      <c r="AS740" s="70"/>
      <c r="AT740" s="191"/>
      <c r="AU740" s="70"/>
      <c r="AV740" s="192"/>
      <c r="AW740" s="294"/>
      <c r="AX740" s="70"/>
      <c r="AY740" s="70"/>
      <c r="AZ740" s="70"/>
      <c r="BA740" s="70"/>
      <c r="BB740" s="70"/>
      <c r="BC740" s="70"/>
      <c r="BD740" s="72"/>
      <c r="BE740" s="73"/>
    </row>
    <row r="741" spans="1:57" s="1" customFormat="1" ht="21.9" customHeight="1" x14ac:dyDescent="0.4">
      <c r="A741" s="37" t="str">
        <f t="shared" si="290"/>
        <v>12Н</v>
      </c>
      <c r="B741" s="183"/>
      <c r="C741" s="41"/>
      <c r="D741" s="184"/>
      <c r="E741" s="281">
        <f>B736</f>
        <v>46034</v>
      </c>
      <c r="F741" s="337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98">
        <v>1</v>
      </c>
      <c r="Y741" s="74">
        <v>1</v>
      </c>
      <c r="Z741" s="75">
        <f t="shared" ref="Z741:Z752" si="296">Y741-X741</f>
        <v>0</v>
      </c>
      <c r="AA741" s="189"/>
      <c r="AB741" s="41"/>
      <c r="AC741" s="184"/>
      <c r="AD741" s="210">
        <f>E741</f>
        <v>46034</v>
      </c>
      <c r="AE741" s="387"/>
      <c r="AF741" s="388"/>
      <c r="AG741" s="388"/>
      <c r="AH741" s="388"/>
      <c r="AI741" s="388"/>
      <c r="AJ741" s="388"/>
      <c r="AK741" s="388"/>
      <c r="AL741" s="388"/>
      <c r="AM741" s="388"/>
      <c r="AN741" s="388"/>
      <c r="AO741" s="388"/>
      <c r="AP741" s="388"/>
      <c r="AQ741" s="388"/>
      <c r="AR741" s="388"/>
      <c r="AS741" s="388"/>
      <c r="AT741" s="388"/>
      <c r="AU741" s="388"/>
      <c r="AV741" s="388"/>
      <c r="AW741" s="388"/>
      <c r="AX741" s="388"/>
      <c r="AY741" s="388"/>
      <c r="AZ741" s="388"/>
      <c r="BA741" s="388"/>
      <c r="BB741" s="389"/>
      <c r="BC741" s="98">
        <v>1</v>
      </c>
      <c r="BD741" s="74">
        <v>1</v>
      </c>
      <c r="BE741" s="75">
        <f t="shared" ref="BE741:BE752" si="297">BD741-BC741</f>
        <v>0</v>
      </c>
    </row>
    <row r="742" spans="1:57" s="1" customFormat="1" ht="21.9" customHeight="1" x14ac:dyDescent="0.4">
      <c r="A742" s="37" t="str">
        <f t="shared" si="290"/>
        <v>12Н</v>
      </c>
      <c r="B742" s="183"/>
      <c r="C742" s="41"/>
      <c r="D742" s="184"/>
      <c r="E742" s="282">
        <f>E741</f>
        <v>46034</v>
      </c>
      <c r="F742" s="335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  <c r="R742" s="336"/>
      <c r="S742" s="336"/>
      <c r="T742" s="336"/>
      <c r="U742" s="336"/>
      <c r="V742" s="336"/>
      <c r="W742" s="336"/>
      <c r="X742" s="98">
        <v>1</v>
      </c>
      <c r="Y742" s="74">
        <v>1</v>
      </c>
      <c r="Z742" s="75">
        <f t="shared" si="296"/>
        <v>0</v>
      </c>
      <c r="AA742" s="107">
        <f>AA741</f>
        <v>0</v>
      </c>
      <c r="AB742" s="41"/>
      <c r="AC742" s="184"/>
      <c r="AD742" s="212">
        <f>AD741</f>
        <v>46034</v>
      </c>
      <c r="AE742" s="387"/>
      <c r="AF742" s="388"/>
      <c r="AG742" s="388"/>
      <c r="AH742" s="388"/>
      <c r="AI742" s="388"/>
      <c r="AJ742" s="388"/>
      <c r="AK742" s="388"/>
      <c r="AL742" s="388"/>
      <c r="AM742" s="388"/>
      <c r="AN742" s="388"/>
      <c r="AO742" s="388"/>
      <c r="AP742" s="388"/>
      <c r="AQ742" s="388"/>
      <c r="AR742" s="388"/>
      <c r="AS742" s="388"/>
      <c r="AT742" s="388"/>
      <c r="AU742" s="388"/>
      <c r="AV742" s="388"/>
      <c r="AW742" s="388"/>
      <c r="AX742" s="388"/>
      <c r="AY742" s="388"/>
      <c r="AZ742" s="388"/>
      <c r="BA742" s="388"/>
      <c r="BB742" s="389"/>
      <c r="BC742" s="98">
        <v>1</v>
      </c>
      <c r="BD742" s="74">
        <v>1</v>
      </c>
      <c r="BE742" s="75">
        <f t="shared" si="297"/>
        <v>0</v>
      </c>
    </row>
    <row r="743" spans="1:57" s="1" customFormat="1" ht="18" customHeight="1" x14ac:dyDescent="0.4">
      <c r="A743" s="37" t="str">
        <f t="shared" si="290"/>
        <v>12Н</v>
      </c>
      <c r="B743" s="183"/>
      <c r="C743" s="41"/>
      <c r="D743" s="184"/>
      <c r="E743" s="282">
        <f t="shared" ref="E743:E752" si="298">E742</f>
        <v>46034</v>
      </c>
      <c r="F743" s="335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  <c r="R743" s="336"/>
      <c r="S743" s="336"/>
      <c r="T743" s="336"/>
      <c r="U743" s="336"/>
      <c r="V743" s="336"/>
      <c r="W743" s="336"/>
      <c r="X743" s="98">
        <v>1</v>
      </c>
      <c r="Y743" s="74">
        <v>1</v>
      </c>
      <c r="Z743" s="75">
        <f t="shared" si="296"/>
        <v>0</v>
      </c>
      <c r="AA743" s="107">
        <f>AA742</f>
        <v>0</v>
      </c>
      <c r="AB743" s="41"/>
      <c r="AC743" s="184"/>
      <c r="AD743" s="212">
        <f t="shared" ref="AD743:AD752" si="299">AD742</f>
        <v>46034</v>
      </c>
      <c r="AE743" s="387"/>
      <c r="AF743" s="388"/>
      <c r="AG743" s="388"/>
      <c r="AH743" s="388"/>
      <c r="AI743" s="388"/>
      <c r="AJ743" s="388"/>
      <c r="AK743" s="388"/>
      <c r="AL743" s="388"/>
      <c r="AM743" s="388"/>
      <c r="AN743" s="388"/>
      <c r="AO743" s="388"/>
      <c r="AP743" s="388"/>
      <c r="AQ743" s="388"/>
      <c r="AR743" s="388"/>
      <c r="AS743" s="388"/>
      <c r="AT743" s="388"/>
      <c r="AU743" s="388"/>
      <c r="AV743" s="388"/>
      <c r="AW743" s="388"/>
      <c r="AX743" s="388"/>
      <c r="AY743" s="388"/>
      <c r="AZ743" s="388"/>
      <c r="BA743" s="388"/>
      <c r="BB743" s="389"/>
      <c r="BC743" s="98">
        <v>1</v>
      </c>
      <c r="BD743" s="74">
        <v>1</v>
      </c>
      <c r="BE743" s="75">
        <f t="shared" si="297"/>
        <v>0</v>
      </c>
    </row>
    <row r="744" spans="1:57" s="1" customFormat="1" ht="18" customHeight="1" x14ac:dyDescent="0.4">
      <c r="A744" s="37" t="str">
        <f t="shared" si="290"/>
        <v>12Н</v>
      </c>
      <c r="B744" s="183"/>
      <c r="C744" s="41"/>
      <c r="D744" s="184"/>
      <c r="E744" s="282">
        <f t="shared" si="298"/>
        <v>46034</v>
      </c>
      <c r="F744" s="335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  <c r="R744" s="336"/>
      <c r="S744" s="336"/>
      <c r="T744" s="336"/>
      <c r="U744" s="336"/>
      <c r="V744" s="336"/>
      <c r="W744" s="336"/>
      <c r="X744" s="98">
        <v>1</v>
      </c>
      <c r="Y744" s="74">
        <v>1</v>
      </c>
      <c r="Z744" s="75">
        <f t="shared" si="296"/>
        <v>0</v>
      </c>
      <c r="AA744" s="107">
        <f t="shared" ref="AA744:AA752" si="300">AA743</f>
        <v>0</v>
      </c>
      <c r="AB744" s="41"/>
      <c r="AC744" s="184"/>
      <c r="AD744" s="212">
        <f t="shared" si="299"/>
        <v>46034</v>
      </c>
      <c r="AE744" s="387"/>
      <c r="AF744" s="388"/>
      <c r="AG744" s="388"/>
      <c r="AH744" s="388"/>
      <c r="AI744" s="388"/>
      <c r="AJ744" s="388"/>
      <c r="AK744" s="388"/>
      <c r="AL744" s="388"/>
      <c r="AM744" s="388"/>
      <c r="AN744" s="388"/>
      <c r="AO744" s="388"/>
      <c r="AP744" s="388"/>
      <c r="AQ744" s="388"/>
      <c r="AR744" s="388"/>
      <c r="AS744" s="388"/>
      <c r="AT744" s="388"/>
      <c r="AU744" s="388"/>
      <c r="AV744" s="388"/>
      <c r="AW744" s="388"/>
      <c r="AX744" s="388"/>
      <c r="AY744" s="388"/>
      <c r="AZ744" s="388"/>
      <c r="BA744" s="388"/>
      <c r="BB744" s="389"/>
      <c r="BC744" s="98">
        <v>1</v>
      </c>
      <c r="BD744" s="74">
        <v>1</v>
      </c>
      <c r="BE744" s="75">
        <f t="shared" si="297"/>
        <v>0</v>
      </c>
    </row>
    <row r="745" spans="1:57" s="1" customFormat="1" ht="18" customHeight="1" x14ac:dyDescent="0.4">
      <c r="A745" s="37" t="str">
        <f t="shared" si="290"/>
        <v>12Н</v>
      </c>
      <c r="B745" s="183"/>
      <c r="C745" s="41"/>
      <c r="D745" s="184"/>
      <c r="E745" s="282">
        <f t="shared" si="298"/>
        <v>46034</v>
      </c>
      <c r="F745" s="335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  <c r="R745" s="336"/>
      <c r="S745" s="336"/>
      <c r="T745" s="336"/>
      <c r="U745" s="336"/>
      <c r="V745" s="336"/>
      <c r="W745" s="336"/>
      <c r="X745" s="98">
        <v>1</v>
      </c>
      <c r="Y745" s="74">
        <v>1</v>
      </c>
      <c r="Z745" s="75">
        <f t="shared" si="296"/>
        <v>0</v>
      </c>
      <c r="AA745" s="107">
        <f t="shared" si="300"/>
        <v>0</v>
      </c>
      <c r="AB745" s="41"/>
      <c r="AC745" s="184"/>
      <c r="AD745" s="212">
        <f t="shared" si="299"/>
        <v>46034</v>
      </c>
      <c r="AE745" s="387"/>
      <c r="AF745" s="388"/>
      <c r="AG745" s="388"/>
      <c r="AH745" s="388"/>
      <c r="AI745" s="388"/>
      <c r="AJ745" s="388"/>
      <c r="AK745" s="388"/>
      <c r="AL745" s="388"/>
      <c r="AM745" s="388"/>
      <c r="AN745" s="388"/>
      <c r="AO745" s="388"/>
      <c r="AP745" s="388"/>
      <c r="AQ745" s="388"/>
      <c r="AR745" s="388"/>
      <c r="AS745" s="388"/>
      <c r="AT745" s="388"/>
      <c r="AU745" s="388"/>
      <c r="AV745" s="388"/>
      <c r="AW745" s="388"/>
      <c r="AX745" s="388"/>
      <c r="AY745" s="388"/>
      <c r="AZ745" s="388"/>
      <c r="BA745" s="388"/>
      <c r="BB745" s="389"/>
      <c r="BC745" s="98">
        <v>1</v>
      </c>
      <c r="BD745" s="74">
        <v>1</v>
      </c>
      <c r="BE745" s="75">
        <f t="shared" si="297"/>
        <v>0</v>
      </c>
    </row>
    <row r="746" spans="1:57" s="1" customFormat="1" ht="18" customHeight="1" x14ac:dyDescent="0.4">
      <c r="A746" s="37" t="str">
        <f t="shared" si="290"/>
        <v>12Н</v>
      </c>
      <c r="B746" s="183"/>
      <c r="C746" s="41"/>
      <c r="D746" s="184"/>
      <c r="E746" s="282">
        <f t="shared" si="298"/>
        <v>46034</v>
      </c>
      <c r="F746" s="335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  <c r="R746" s="336"/>
      <c r="S746" s="336"/>
      <c r="T746" s="336"/>
      <c r="U746" s="336"/>
      <c r="V746" s="336"/>
      <c r="W746" s="336"/>
      <c r="X746" s="98">
        <v>1</v>
      </c>
      <c r="Y746" s="74">
        <v>1</v>
      </c>
      <c r="Z746" s="75">
        <f t="shared" si="296"/>
        <v>0</v>
      </c>
      <c r="AA746" s="107">
        <f t="shared" si="300"/>
        <v>0</v>
      </c>
      <c r="AB746" s="41"/>
      <c r="AC746" s="184"/>
      <c r="AD746" s="212">
        <f t="shared" si="299"/>
        <v>46034</v>
      </c>
      <c r="AE746" s="387"/>
      <c r="AF746" s="388"/>
      <c r="AG746" s="388"/>
      <c r="AH746" s="388"/>
      <c r="AI746" s="388"/>
      <c r="AJ746" s="388"/>
      <c r="AK746" s="388"/>
      <c r="AL746" s="388"/>
      <c r="AM746" s="388"/>
      <c r="AN746" s="388"/>
      <c r="AO746" s="388"/>
      <c r="AP746" s="388"/>
      <c r="AQ746" s="388"/>
      <c r="AR746" s="388"/>
      <c r="AS746" s="388"/>
      <c r="AT746" s="388"/>
      <c r="AU746" s="388"/>
      <c r="AV746" s="388"/>
      <c r="AW746" s="388"/>
      <c r="AX746" s="388"/>
      <c r="AY746" s="388"/>
      <c r="AZ746" s="388"/>
      <c r="BA746" s="388"/>
      <c r="BB746" s="389"/>
      <c r="BC746" s="98">
        <v>1</v>
      </c>
      <c r="BD746" s="74">
        <v>1</v>
      </c>
      <c r="BE746" s="75">
        <f t="shared" si="297"/>
        <v>0</v>
      </c>
    </row>
    <row r="747" spans="1:57" s="1" customFormat="1" ht="18" customHeight="1" x14ac:dyDescent="0.4">
      <c r="A747" s="37" t="str">
        <f t="shared" si="290"/>
        <v>12Н</v>
      </c>
      <c r="B747" s="183"/>
      <c r="C747" s="41"/>
      <c r="D747" s="184"/>
      <c r="E747" s="282">
        <f t="shared" si="298"/>
        <v>46034</v>
      </c>
      <c r="F747" s="335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  <c r="R747" s="336"/>
      <c r="S747" s="336"/>
      <c r="T747" s="336"/>
      <c r="U747" s="336"/>
      <c r="V747" s="336"/>
      <c r="W747" s="336"/>
      <c r="X747" s="98">
        <v>1</v>
      </c>
      <c r="Y747" s="74">
        <v>1</v>
      </c>
      <c r="Z747" s="75">
        <f t="shared" si="296"/>
        <v>0</v>
      </c>
      <c r="AA747" s="107">
        <f t="shared" si="300"/>
        <v>0</v>
      </c>
      <c r="AB747" s="41"/>
      <c r="AC747" s="184"/>
      <c r="AD747" s="212">
        <f t="shared" si="299"/>
        <v>46034</v>
      </c>
      <c r="AE747" s="387"/>
      <c r="AF747" s="388"/>
      <c r="AG747" s="388"/>
      <c r="AH747" s="388"/>
      <c r="AI747" s="388"/>
      <c r="AJ747" s="388"/>
      <c r="AK747" s="388"/>
      <c r="AL747" s="388"/>
      <c r="AM747" s="388"/>
      <c r="AN747" s="388"/>
      <c r="AO747" s="388"/>
      <c r="AP747" s="388"/>
      <c r="AQ747" s="388"/>
      <c r="AR747" s="388"/>
      <c r="AS747" s="388"/>
      <c r="AT747" s="388"/>
      <c r="AU747" s="388"/>
      <c r="AV747" s="388"/>
      <c r="AW747" s="388"/>
      <c r="AX747" s="388"/>
      <c r="AY747" s="388"/>
      <c r="AZ747" s="388"/>
      <c r="BA747" s="388"/>
      <c r="BB747" s="389"/>
      <c r="BC747" s="98">
        <v>1</v>
      </c>
      <c r="BD747" s="74">
        <v>1</v>
      </c>
      <c r="BE747" s="75">
        <f t="shared" si="297"/>
        <v>0</v>
      </c>
    </row>
    <row r="748" spans="1:57" s="1" customFormat="1" ht="18" customHeight="1" x14ac:dyDescent="0.4">
      <c r="A748" s="37" t="str">
        <f t="shared" si="290"/>
        <v>12Н</v>
      </c>
      <c r="B748" s="183"/>
      <c r="C748" s="41"/>
      <c r="D748" s="184"/>
      <c r="E748" s="282">
        <f t="shared" si="298"/>
        <v>46034</v>
      </c>
      <c r="F748" s="335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  <c r="R748" s="336"/>
      <c r="S748" s="336"/>
      <c r="T748" s="336"/>
      <c r="U748" s="336"/>
      <c r="V748" s="336"/>
      <c r="W748" s="336"/>
      <c r="X748" s="98">
        <v>1</v>
      </c>
      <c r="Y748" s="74">
        <v>1</v>
      </c>
      <c r="Z748" s="75">
        <f t="shared" si="296"/>
        <v>0</v>
      </c>
      <c r="AA748" s="107">
        <f t="shared" si="300"/>
        <v>0</v>
      </c>
      <c r="AB748" s="41"/>
      <c r="AC748" s="184"/>
      <c r="AD748" s="212">
        <f t="shared" si="299"/>
        <v>46034</v>
      </c>
      <c r="AE748" s="387"/>
      <c r="AF748" s="388"/>
      <c r="AG748" s="388"/>
      <c r="AH748" s="388"/>
      <c r="AI748" s="388"/>
      <c r="AJ748" s="388"/>
      <c r="AK748" s="388"/>
      <c r="AL748" s="388"/>
      <c r="AM748" s="388"/>
      <c r="AN748" s="388"/>
      <c r="AO748" s="388"/>
      <c r="AP748" s="388"/>
      <c r="AQ748" s="388"/>
      <c r="AR748" s="388"/>
      <c r="AS748" s="388"/>
      <c r="AT748" s="388"/>
      <c r="AU748" s="388"/>
      <c r="AV748" s="388"/>
      <c r="AW748" s="388"/>
      <c r="AX748" s="388"/>
      <c r="AY748" s="388"/>
      <c r="AZ748" s="388"/>
      <c r="BA748" s="388"/>
      <c r="BB748" s="389"/>
      <c r="BC748" s="98">
        <v>1</v>
      </c>
      <c r="BD748" s="74">
        <v>1</v>
      </c>
      <c r="BE748" s="75">
        <f t="shared" si="297"/>
        <v>0</v>
      </c>
    </row>
    <row r="749" spans="1:57" s="1" customFormat="1" ht="18" customHeight="1" x14ac:dyDescent="0.4">
      <c r="A749" s="37" t="str">
        <f t="shared" si="290"/>
        <v>12Н</v>
      </c>
      <c r="B749" s="183"/>
      <c r="C749" s="41"/>
      <c r="D749" s="184"/>
      <c r="E749" s="282">
        <f t="shared" si="298"/>
        <v>46034</v>
      </c>
      <c r="F749" s="335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  <c r="R749" s="336"/>
      <c r="S749" s="336"/>
      <c r="T749" s="336"/>
      <c r="U749" s="336"/>
      <c r="V749" s="336"/>
      <c r="W749" s="336"/>
      <c r="X749" s="98">
        <v>1</v>
      </c>
      <c r="Y749" s="74">
        <v>1</v>
      </c>
      <c r="Z749" s="75">
        <f t="shared" si="296"/>
        <v>0</v>
      </c>
      <c r="AA749" s="107">
        <f t="shared" si="300"/>
        <v>0</v>
      </c>
      <c r="AB749" s="41"/>
      <c r="AC749" s="184"/>
      <c r="AD749" s="212">
        <f t="shared" si="299"/>
        <v>46034</v>
      </c>
      <c r="AE749" s="387"/>
      <c r="AF749" s="388"/>
      <c r="AG749" s="388"/>
      <c r="AH749" s="388"/>
      <c r="AI749" s="388"/>
      <c r="AJ749" s="388"/>
      <c r="AK749" s="388"/>
      <c r="AL749" s="388"/>
      <c r="AM749" s="388"/>
      <c r="AN749" s="388"/>
      <c r="AO749" s="388"/>
      <c r="AP749" s="388"/>
      <c r="AQ749" s="388"/>
      <c r="AR749" s="388"/>
      <c r="AS749" s="388"/>
      <c r="AT749" s="388"/>
      <c r="AU749" s="388"/>
      <c r="AV749" s="388"/>
      <c r="AW749" s="388"/>
      <c r="AX749" s="388"/>
      <c r="AY749" s="388"/>
      <c r="AZ749" s="388"/>
      <c r="BA749" s="388"/>
      <c r="BB749" s="389"/>
      <c r="BC749" s="98">
        <v>1</v>
      </c>
      <c r="BD749" s="74">
        <v>1</v>
      </c>
      <c r="BE749" s="75">
        <f t="shared" si="297"/>
        <v>0</v>
      </c>
    </row>
    <row r="750" spans="1:57" s="1" customFormat="1" ht="18" customHeight="1" x14ac:dyDescent="0.4">
      <c r="A750" s="37" t="str">
        <f t="shared" si="290"/>
        <v>12Н</v>
      </c>
      <c r="B750" s="183"/>
      <c r="C750" s="41"/>
      <c r="D750" s="184"/>
      <c r="E750" s="282">
        <f t="shared" si="298"/>
        <v>46034</v>
      </c>
      <c r="F750" s="335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  <c r="R750" s="336"/>
      <c r="S750" s="336"/>
      <c r="T750" s="336"/>
      <c r="U750" s="336"/>
      <c r="V750" s="336"/>
      <c r="W750" s="336"/>
      <c r="X750" s="98">
        <v>1</v>
      </c>
      <c r="Y750" s="74">
        <v>1</v>
      </c>
      <c r="Z750" s="75">
        <f t="shared" si="296"/>
        <v>0</v>
      </c>
      <c r="AA750" s="107">
        <f t="shared" si="300"/>
        <v>0</v>
      </c>
      <c r="AB750" s="41"/>
      <c r="AC750" s="184"/>
      <c r="AD750" s="212">
        <f t="shared" si="299"/>
        <v>46034</v>
      </c>
      <c r="AE750" s="387"/>
      <c r="AF750" s="388"/>
      <c r="AG750" s="388"/>
      <c r="AH750" s="388"/>
      <c r="AI750" s="388"/>
      <c r="AJ750" s="388"/>
      <c r="AK750" s="388"/>
      <c r="AL750" s="388"/>
      <c r="AM750" s="388"/>
      <c r="AN750" s="388"/>
      <c r="AO750" s="388"/>
      <c r="AP750" s="388"/>
      <c r="AQ750" s="388"/>
      <c r="AR750" s="388"/>
      <c r="AS750" s="388"/>
      <c r="AT750" s="388"/>
      <c r="AU750" s="388"/>
      <c r="AV750" s="388"/>
      <c r="AW750" s="388"/>
      <c r="AX750" s="388"/>
      <c r="AY750" s="388"/>
      <c r="AZ750" s="388"/>
      <c r="BA750" s="388"/>
      <c r="BB750" s="389"/>
      <c r="BC750" s="98">
        <v>1</v>
      </c>
      <c r="BD750" s="74">
        <v>1</v>
      </c>
      <c r="BE750" s="75">
        <f t="shared" si="297"/>
        <v>0</v>
      </c>
    </row>
    <row r="751" spans="1:57" s="1" customFormat="1" ht="18" customHeight="1" x14ac:dyDescent="0.4">
      <c r="A751" s="37" t="str">
        <f t="shared" si="290"/>
        <v>12Н</v>
      </c>
      <c r="B751" s="183"/>
      <c r="C751" s="41"/>
      <c r="D751" s="184"/>
      <c r="E751" s="282">
        <f t="shared" si="298"/>
        <v>46034</v>
      </c>
      <c r="F751" s="335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  <c r="R751" s="336"/>
      <c r="S751" s="336"/>
      <c r="T751" s="336"/>
      <c r="U751" s="336"/>
      <c r="V751" s="336"/>
      <c r="W751" s="336"/>
      <c r="X751" s="98">
        <v>1</v>
      </c>
      <c r="Y751" s="74">
        <v>1</v>
      </c>
      <c r="Z751" s="75">
        <f t="shared" si="296"/>
        <v>0</v>
      </c>
      <c r="AA751" s="107">
        <f t="shared" si="300"/>
        <v>0</v>
      </c>
      <c r="AB751" s="41"/>
      <c r="AC751" s="184"/>
      <c r="AD751" s="212">
        <f t="shared" si="299"/>
        <v>46034</v>
      </c>
      <c r="AE751" s="387"/>
      <c r="AF751" s="388"/>
      <c r="AG751" s="388"/>
      <c r="AH751" s="388"/>
      <c r="AI751" s="388"/>
      <c r="AJ751" s="388"/>
      <c r="AK751" s="388"/>
      <c r="AL751" s="388"/>
      <c r="AM751" s="388"/>
      <c r="AN751" s="388"/>
      <c r="AO751" s="388"/>
      <c r="AP751" s="388"/>
      <c r="AQ751" s="388"/>
      <c r="AR751" s="388"/>
      <c r="AS751" s="388"/>
      <c r="AT751" s="388"/>
      <c r="AU751" s="388"/>
      <c r="AV751" s="388"/>
      <c r="AW751" s="388"/>
      <c r="AX751" s="388"/>
      <c r="AY751" s="388"/>
      <c r="AZ751" s="388"/>
      <c r="BA751" s="388"/>
      <c r="BB751" s="389"/>
      <c r="BC751" s="98">
        <v>1</v>
      </c>
      <c r="BD751" s="74">
        <v>1</v>
      </c>
      <c r="BE751" s="75">
        <f t="shared" si="297"/>
        <v>0</v>
      </c>
    </row>
    <row r="752" spans="1:57" s="1" customFormat="1" ht="18" customHeight="1" thickBot="1" x14ac:dyDescent="0.45">
      <c r="A752" s="37" t="str">
        <f t="shared" si="290"/>
        <v>12Н</v>
      </c>
      <c r="B752" s="183"/>
      <c r="C752" s="41"/>
      <c r="D752" s="184"/>
      <c r="E752" s="283">
        <f t="shared" si="298"/>
        <v>46034</v>
      </c>
      <c r="F752" s="339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99">
        <v>1</v>
      </c>
      <c r="Y752" s="76">
        <v>1</v>
      </c>
      <c r="Z752" s="77">
        <f t="shared" si="296"/>
        <v>0</v>
      </c>
      <c r="AA752" s="107">
        <f t="shared" si="300"/>
        <v>0</v>
      </c>
      <c r="AB752" s="41"/>
      <c r="AC752" s="184"/>
      <c r="AD752" s="211">
        <f t="shared" si="299"/>
        <v>46034</v>
      </c>
      <c r="AE752" s="410"/>
      <c r="AF752" s="411"/>
      <c r="AG752" s="411"/>
      <c r="AH752" s="411"/>
      <c r="AI752" s="411"/>
      <c r="AJ752" s="411"/>
      <c r="AK752" s="411"/>
      <c r="AL752" s="411"/>
      <c r="AM752" s="411"/>
      <c r="AN752" s="411"/>
      <c r="AO752" s="411"/>
      <c r="AP752" s="411"/>
      <c r="AQ752" s="411"/>
      <c r="AR752" s="411"/>
      <c r="AS752" s="411"/>
      <c r="AT752" s="411"/>
      <c r="AU752" s="411"/>
      <c r="AV752" s="411"/>
      <c r="AW752" s="411"/>
      <c r="AX752" s="411"/>
      <c r="AY752" s="411"/>
      <c r="AZ752" s="411"/>
      <c r="BA752" s="411"/>
      <c r="BB752" s="412"/>
      <c r="BC752" s="99">
        <v>1</v>
      </c>
      <c r="BD752" s="76">
        <v>1</v>
      </c>
      <c r="BE752" s="75">
        <f t="shared" si="297"/>
        <v>0</v>
      </c>
    </row>
    <row r="753" spans="1:57" s="1" customFormat="1" ht="23.25" customHeight="1" thickBot="1" x14ac:dyDescent="0.45">
      <c r="A753" s="37" t="str">
        <f t="shared" si="290"/>
        <v>12Н</v>
      </c>
      <c r="B753" s="193"/>
      <c r="C753" s="47"/>
      <c r="D753" s="47"/>
      <c r="E753" s="47"/>
      <c r="F753" s="78"/>
      <c r="G753" s="78"/>
      <c r="H753" s="78"/>
      <c r="I753" s="80"/>
      <c r="J753" s="80"/>
      <c r="K753" s="80"/>
      <c r="L753" s="80"/>
      <c r="M753" s="80"/>
      <c r="N753" s="80"/>
      <c r="O753" s="78"/>
      <c r="P753" s="81"/>
      <c r="Q753" s="81"/>
      <c r="R753" s="81"/>
      <c r="S753" s="81"/>
      <c r="T753" s="81"/>
      <c r="U753" s="82"/>
      <c r="V753" s="82"/>
      <c r="W753" s="86"/>
      <c r="X753" s="194"/>
      <c r="Y753" s="83"/>
      <c r="Z753" s="83"/>
      <c r="AA753" s="78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84"/>
      <c r="AN753" s="47"/>
      <c r="AO753" s="78"/>
      <c r="AP753" s="78"/>
      <c r="AQ753" s="78"/>
      <c r="AR753" s="84"/>
      <c r="AS753" s="78"/>
      <c r="AT753" s="85"/>
      <c r="AU753" s="78"/>
      <c r="AV753" s="83"/>
      <c r="AW753" s="83"/>
      <c r="AX753" s="78"/>
      <c r="AY753" s="78"/>
      <c r="AZ753" s="78"/>
      <c r="BA753" s="78"/>
      <c r="BB753" s="78"/>
      <c r="BC753" s="78"/>
      <c r="BD753" s="79"/>
      <c r="BE753" s="79"/>
    </row>
    <row r="754" spans="1:57" s="1" customFormat="1" ht="21.6" customHeight="1" thickBot="1" x14ac:dyDescent="0.45">
      <c r="A754" s="37" t="s">
        <v>170</v>
      </c>
      <c r="B754" s="59"/>
      <c r="C754" s="51"/>
      <c r="D754" s="51"/>
      <c r="E754" s="51"/>
      <c r="F754" s="158" t="s">
        <v>147</v>
      </c>
      <c r="G754" s="51"/>
      <c r="H754" s="51"/>
      <c r="I754" s="156"/>
      <c r="J754" s="156"/>
      <c r="K754" s="156"/>
      <c r="L754" s="156"/>
      <c r="M754" s="156"/>
      <c r="N754" s="156"/>
      <c r="O754" s="91"/>
      <c r="P754" s="52"/>
      <c r="Q754" s="52"/>
      <c r="R754" s="52"/>
      <c r="S754" s="52"/>
      <c r="T754" s="52"/>
      <c r="U754" s="157"/>
      <c r="V754" s="157"/>
      <c r="W754" s="94"/>
      <c r="X754" s="94"/>
      <c r="Y754" s="51"/>
      <c r="Z754" s="51"/>
      <c r="AA754" s="157">
        <f>AA737</f>
        <v>1</v>
      </c>
      <c r="AB754" s="157">
        <f t="shared" ref="AB754:AF754" si="301">AB737</f>
        <v>2</v>
      </c>
      <c r="AC754" s="157">
        <f t="shared" si="301"/>
        <v>3</v>
      </c>
      <c r="AD754" s="157">
        <f t="shared" si="301"/>
        <v>4</v>
      </c>
      <c r="AE754" s="157">
        <f t="shared" si="301"/>
        <v>5</v>
      </c>
      <c r="AF754" s="157">
        <f t="shared" si="301"/>
        <v>6</v>
      </c>
      <c r="AG754" s="162" t="s">
        <v>123</v>
      </c>
      <c r="AH754" s="162" t="s">
        <v>124</v>
      </c>
      <c r="AI754" s="162" t="s">
        <v>125</v>
      </c>
      <c r="AJ754" s="91" t="s">
        <v>126</v>
      </c>
      <c r="AK754" s="198" t="s">
        <v>136</v>
      </c>
      <c r="AL754" s="198" t="s">
        <v>137</v>
      </c>
      <c r="AM754" s="198" t="s">
        <v>138</v>
      </c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</row>
    <row r="755" spans="1:57" s="1" customFormat="1" ht="21.6" customHeight="1" x14ac:dyDescent="0.4">
      <c r="A755" s="37" t="str">
        <f>A754</f>
        <v>13Д</v>
      </c>
      <c r="B755" s="12">
        <f>B736+1</f>
        <v>46035</v>
      </c>
      <c r="C755" s="97"/>
      <c r="D755" s="97">
        <v>1</v>
      </c>
      <c r="E755" s="29"/>
      <c r="F755" s="151" t="str">
        <f>IFERROR(VLOOKUP($G755,нормы!$A$14:$BC$57,2,0),"")</f>
        <v/>
      </c>
      <c r="G755" s="93"/>
      <c r="H755" s="54">
        <f>IF(C755=1,"Кульков С.А.", IF(C755=2,"Чудаков А.А.",IF(C755=3,"Королев В.Н.",IF(C755=4,"Николашин М.П.",IF(C755=5," Кульков С.А.",IF(C755=6,"А.А. Чудаков",IF(C755=7,"В.Н. Королев",IF(C755=8,"М.П. Николашин",0))))))))</f>
        <v>0</v>
      </c>
      <c r="I755" s="88" t="s">
        <v>84</v>
      </c>
      <c r="J755" s="332"/>
      <c r="K755" s="30">
        <f>IFERROR(VLOOKUP($G755,[1]нормы!$A$21:$BC$151,15,0),"")</f>
        <v>0</v>
      </c>
      <c r="L755" s="31">
        <f>IFERROR(VLOOKUP($G755,[1]нормы!$A$21:$BC$151,17,0),"")</f>
        <v>0</v>
      </c>
      <c r="M755" s="310">
        <f>IFERROR(VLOOKUP($G755,[1]нормы!$A$21:$BC$151,27,0),"")</f>
        <v>0</v>
      </c>
      <c r="N755" s="311" t="str">
        <f>IFERROR(Y755/Y761*(1.1*J755*I760),"")</f>
        <v/>
      </c>
      <c r="O755" s="300">
        <f>IFERROR(VLOOKUP($G755,[1]нормы!$A$21:$BC$151,21,0),"")</f>
        <v>0</v>
      </c>
      <c r="P755" s="35">
        <f>IFERROR(VLOOKUP($G755,[1]нормы!$A$21:$BC$151,19,0),"")</f>
        <v>0</v>
      </c>
      <c r="Q755" s="35">
        <f>IFERROR(VLOOKUP($G755,[1]нормы!$A$21:$BC$151,23,0),"")</f>
        <v>0</v>
      </c>
      <c r="R755" s="231">
        <f>IFERROR(VLOOKUP($G755,[1]нормы!$A$21:$BC$151,29,0),"")</f>
        <v>0</v>
      </c>
      <c r="S755" s="35">
        <f>IFERROR(VLOOKUP($G755,[1]нормы!$A$21:$BC$151,31,0),"")</f>
        <v>0</v>
      </c>
      <c r="T755" s="32">
        <f>IFERROR(VLOOKUP($G755,[1]нормы!$A$21:$BC$151,25,0),"")</f>
        <v>0</v>
      </c>
      <c r="U755" s="232" t="str">
        <f>IFERROR(W755/(((100*Y755/Y761)*I760)/100),"")</f>
        <v/>
      </c>
      <c r="V755" s="234" t="str">
        <f>IFERROR(VLOOKUP($G755,нормы!$A$14:$BC$57,38,0),"")</f>
        <v/>
      </c>
      <c r="W755" s="136"/>
      <c r="X755" s="236"/>
      <c r="Y755" s="152" t="str">
        <f>IFERROR(VLOOKUP($G755,нормы!$A$14:$BC$57,42,0)*W755,"")</f>
        <v/>
      </c>
      <c r="Z755" s="163">
        <f>IFERROR(VLOOKUP($G755,нормы!$A$14:$BC$57,14,0)*W755/1000,0)</f>
        <v>0</v>
      </c>
      <c r="AA755" s="33"/>
      <c r="AB755" s="36"/>
      <c r="AC755" s="36"/>
      <c r="AD755" s="36"/>
      <c r="AE755" s="34"/>
      <c r="AF755" s="159"/>
      <c r="AG755" s="390"/>
      <c r="AH755" s="393"/>
      <c r="AI755" s="396"/>
      <c r="AJ755" s="407">
        <f>AG755+AH755</f>
        <v>0</v>
      </c>
      <c r="AK755" s="359"/>
      <c r="AL755" s="359"/>
      <c r="AM755" s="359"/>
      <c r="AN755" s="287">
        <f>IFERROR(Y755*AJ755/Y761,)</f>
        <v>0</v>
      </c>
      <c r="AO755" s="197" t="str">
        <f>IFERROR(VLOOKUP($G755,нормы!$A$14:$BC$57,53,0)*$W755,"")</f>
        <v/>
      </c>
      <c r="AP755" s="288">
        <f>IFERROR(Y755*AI755/Y761,)</f>
        <v>0</v>
      </c>
      <c r="AQ755" s="197" t="str">
        <f>IFERROR(VLOOKUP($G755,нормы!$A$14:$BC$57,54,0)*$W755,"")</f>
        <v/>
      </c>
      <c r="AR755" s="288">
        <f>IFERROR(AS755/SUM(AS755:AS760)*AL755,0)</f>
        <v>0</v>
      </c>
      <c r="AS755" s="197" t="str">
        <f>IFERROR(VLOOKUP($G755,нормы!$A$14:$BC$57,55,0)*W755,"")</f>
        <v/>
      </c>
      <c r="AT755" s="288">
        <f>IFERROR(AU755/SUM(AU755:AU760)*AM755,0)</f>
        <v>0</v>
      </c>
      <c r="AU755" s="197" t="str">
        <f>IFERROR(VLOOKUP($G755,нормы!$A$14:$BI$57,56,0)*W755,"")</f>
        <v/>
      </c>
      <c r="AV755" s="288">
        <f>IFERROR(AW755/SUM(AW755:AW760)*AK755,0)</f>
        <v>0</v>
      </c>
      <c r="AW755" s="202" t="str">
        <f>IFERROR(VLOOKUP($G755,нормы!$A$14:$BI$57,57,0)*W755,"")</f>
        <v/>
      </c>
      <c r="AX755" s="33"/>
      <c r="AY755" s="203" t="str">
        <f>IFERROR(VLOOKUP($G755,нормы!$A$14:$BI$57,58,0)*W755,"")</f>
        <v/>
      </c>
      <c r="AZ755" s="204"/>
      <c r="BA755" s="200" t="str">
        <f>IFERROR(VLOOKUP($G755,нормы!$A$14:$BI$57,61,0)*$W755,"")</f>
        <v/>
      </c>
      <c r="BB755" s="33"/>
      <c r="BC755" s="203" t="str">
        <f>IFERROR(VLOOKUP($G755,нормы!$A$14:$BI$57,60,0)*W755,"")</f>
        <v/>
      </c>
      <c r="BD755" s="200" t="str">
        <f>IFERROR(VLOOKUP($G755,нормы!$A$14:$BG$57,44,0),"")</f>
        <v/>
      </c>
      <c r="BE755" s="199" t="str">
        <f>IFERROR(W755/VLOOKUP($G755,нормы!$A$14:$BI$57,45,0),"")</f>
        <v/>
      </c>
    </row>
    <row r="756" spans="1:57" s="1" customFormat="1" ht="21.6" customHeight="1" x14ac:dyDescent="0.4">
      <c r="A756" s="37" t="str">
        <f t="shared" ref="A756:A784" si="302">A755</f>
        <v>13Д</v>
      </c>
      <c r="B756" s="12">
        <f t="shared" ref="B756:D760" si="303">B755</f>
        <v>46035</v>
      </c>
      <c r="C756" s="97">
        <f t="shared" si="303"/>
        <v>0</v>
      </c>
      <c r="D756" s="97">
        <f t="shared" si="303"/>
        <v>1</v>
      </c>
      <c r="E756" s="54"/>
      <c r="F756" s="151" t="str">
        <f>IFERROR(VLOOKUP($G756,нормы!$A$14:$BC$57,2,0),"")</f>
        <v/>
      </c>
      <c r="G756" s="93"/>
      <c r="H756" s="54">
        <f t="shared" ref="H756:H760" si="304">IF(C756=1,"Кульков С.А.", IF(C756=2,"Чудаков А.А.",IF(C756=3,"Королев В.Н.",IF(C756=4,"Николашин М.П.",IF(C756=5," Кульков С.А.",IF(C756=6,"А.А. Чудаков",IF(C756=7,"В.Н. Королев",IF(C756=8,"М.П. Николашин",0))))))))</f>
        <v>0</v>
      </c>
      <c r="I756" s="55"/>
      <c r="J756" s="333"/>
      <c r="K756" s="30">
        <f>IFERROR(VLOOKUP($G756,[1]нормы!$A$21:$BC$151,15,0),"")</f>
        <v>0</v>
      </c>
      <c r="L756" s="31">
        <f>IFERROR(VLOOKUP($G756,[1]нормы!$A$21:$BC$151,17,0),"")</f>
        <v>0</v>
      </c>
      <c r="M756" s="306">
        <f>IFERROR(VLOOKUP($G756,[1]нормы!$A$21:$BC$151,27,0),"")</f>
        <v>0</v>
      </c>
      <c r="N756" s="307" t="str">
        <f>IFERROR(Y756/Y761*(1.1*J755*I760),"")</f>
        <v/>
      </c>
      <c r="O756" s="300">
        <f>IFERROR(VLOOKUP($G756,[1]нормы!$A$21:$BC$151,21,0),"")</f>
        <v>0</v>
      </c>
      <c r="P756" s="35">
        <f>IFERROR(VLOOKUP($G756,[1]нормы!$A$21:$BC$151,19,0),"")</f>
        <v>0</v>
      </c>
      <c r="Q756" s="35">
        <f>IFERROR(VLOOKUP($G756,[1]нормы!$A$21:$BC$151,23,0),"")</f>
        <v>0</v>
      </c>
      <c r="R756" s="231">
        <f>IFERROR(VLOOKUP($G756,[1]нормы!$A$21:$BC$151,29,0),"")</f>
        <v>0</v>
      </c>
      <c r="S756" s="35">
        <f>IFERROR(VLOOKUP($G756,[1]нормы!$A$21:$BC$151,31,0),"")</f>
        <v>0</v>
      </c>
      <c r="T756" s="32">
        <f>IFERROR(VLOOKUP($G756,[1]нормы!$A$21:$BC$151,25,0),"")</f>
        <v>0</v>
      </c>
      <c r="U756" s="233" t="str">
        <f>IFERROR(W756/(((100*Y756/Y761)*I760)/100),"")</f>
        <v/>
      </c>
      <c r="V756" s="234" t="str">
        <f>IFERROR(VLOOKUP($G756,нормы!$A$14:$BC$57,38,0),"")</f>
        <v/>
      </c>
      <c r="W756" s="136"/>
      <c r="X756" s="237"/>
      <c r="Y756" s="152" t="str">
        <f>IFERROR(VLOOKUP($G756,нормы!$A$14:$BC$57,42,0)*W756,"")</f>
        <v/>
      </c>
      <c r="Z756" s="163">
        <f>IFERROR(VLOOKUP($G756,нормы!$A$14:$BC$57,14,0)*W756/1000,0)</f>
        <v>0</v>
      </c>
      <c r="AA756" s="142"/>
      <c r="AB756" s="35"/>
      <c r="AC756" s="35"/>
      <c r="AD756" s="35"/>
      <c r="AE756" s="31"/>
      <c r="AF756" s="160"/>
      <c r="AG756" s="391"/>
      <c r="AH756" s="394"/>
      <c r="AI756" s="397"/>
      <c r="AJ756" s="408"/>
      <c r="AK756" s="360"/>
      <c r="AL756" s="360"/>
      <c r="AM756" s="360"/>
      <c r="AN756" s="289">
        <f>IFERROR(Y756*AJ755/Y761,)</f>
        <v>0</v>
      </c>
      <c r="AO756" s="197" t="str">
        <f>IFERROR(VLOOKUP($G756,нормы!$A$14:$BC$57,53,0)*$W756,"")</f>
        <v/>
      </c>
      <c r="AP756" s="290">
        <f>IFERROR(Y756*AI755/Y761,)</f>
        <v>0</v>
      </c>
      <c r="AQ756" s="197" t="str">
        <f>IFERROR(VLOOKUP($G756,нормы!$A$14:$BC$57,54,0)*$W756,"")</f>
        <v/>
      </c>
      <c r="AR756" s="290">
        <f>IFERROR(AS756/SUM(AS755:AS760)*AL755,0)</f>
        <v>0</v>
      </c>
      <c r="AS756" s="197" t="str">
        <f>IFERROR(VLOOKUP($G756,нормы!$A$14:$BC$57,55,0)*W756,"")</f>
        <v/>
      </c>
      <c r="AT756" s="290">
        <f>IFERROR(AU756/SUM(AU755:AU760)*AM755,0)</f>
        <v>0</v>
      </c>
      <c r="AU756" s="197" t="str">
        <f>IFERROR(VLOOKUP($G756,нормы!$A$14:$BI$57,56,0)*W756,"")</f>
        <v/>
      </c>
      <c r="AV756" s="290">
        <f>IFERROR(AW756/SUM(AW755:AW760)*AK755,0)</f>
        <v>0</v>
      </c>
      <c r="AW756" s="202" t="str">
        <f>IFERROR(VLOOKUP($G756,нормы!$A$14:$BI$57,57,0)*W756,"")</f>
        <v/>
      </c>
      <c r="AX756" s="30"/>
      <c r="AY756" s="203" t="str">
        <f>IFERROR(VLOOKUP($G756,нормы!$A$14:$BI$57,58,0)*W756,"")</f>
        <v/>
      </c>
      <c r="AZ756" s="205"/>
      <c r="BA756" s="200" t="str">
        <f>IFERROR(VLOOKUP($G756,нормы!$A$14:$BI$57,61,0)*$W756,"")</f>
        <v/>
      </c>
      <c r="BB756" s="30"/>
      <c r="BC756" s="203" t="str">
        <f>IFERROR(VLOOKUP($G756,нормы!$A$14:$BI$57,60,0)*W756,"")</f>
        <v/>
      </c>
      <c r="BD756" s="200" t="str">
        <f>IFERROR(VLOOKUP($G756,нормы!$A$14:$BG$57,44,0),"")</f>
        <v/>
      </c>
      <c r="BE756" s="199" t="str">
        <f>IFERROR(W756/VLOOKUP($G756,нормы!$A$14:$BI$57,45,0),"")</f>
        <v/>
      </c>
    </row>
    <row r="757" spans="1:57" s="1" customFormat="1" ht="20.25" customHeight="1" x14ac:dyDescent="0.4">
      <c r="A757" s="37" t="str">
        <f t="shared" si="302"/>
        <v>13Д</v>
      </c>
      <c r="B757" s="12">
        <f t="shared" si="303"/>
        <v>46035</v>
      </c>
      <c r="C757" s="97">
        <f t="shared" si="303"/>
        <v>0</v>
      </c>
      <c r="D757" s="97">
        <f t="shared" si="303"/>
        <v>1</v>
      </c>
      <c r="E757" s="54"/>
      <c r="F757" s="151" t="str">
        <f>IFERROR(VLOOKUP($G757,нормы!$A$14:$BC$57,2,0),"")</f>
        <v/>
      </c>
      <c r="G757" s="38"/>
      <c r="H757" s="54">
        <f t="shared" si="304"/>
        <v>0</v>
      </c>
      <c r="I757" s="89" t="s">
        <v>85</v>
      </c>
      <c r="J757" s="333"/>
      <c r="K757" s="30">
        <f>IFERROR(VLOOKUP($G757,[1]нормы!$A$21:$BC$151,15,0),"")</f>
        <v>0</v>
      </c>
      <c r="L757" s="31">
        <f>IFERROR(VLOOKUP($G757,[1]нормы!$A$21:$BC$151,17,0),"")</f>
        <v>0</v>
      </c>
      <c r="M757" s="306">
        <f>IFERROR(VLOOKUP($G757,[1]нормы!$A$21:$BC$151,27,0),"")</f>
        <v>0</v>
      </c>
      <c r="N757" s="307" t="str">
        <f>IFERROR(Y757/Y761*(1.1*J755*I760),"")</f>
        <v/>
      </c>
      <c r="O757" s="300">
        <f>IFERROR(VLOOKUP($G757,[1]нормы!$A$21:$BC$151,21,0),"")</f>
        <v>0</v>
      </c>
      <c r="P757" s="35">
        <f>IFERROR(VLOOKUP($G757,[1]нормы!$A$21:$BC$151,19,0),"")</f>
        <v>0</v>
      </c>
      <c r="Q757" s="35">
        <f>IFERROR(VLOOKUP($G757,[1]нормы!$A$21:$BC$151,23,0),"")</f>
        <v>0</v>
      </c>
      <c r="R757" s="231">
        <f>IFERROR(VLOOKUP($G757,[1]нормы!$A$21:$BC$151,29,0),"")</f>
        <v>0</v>
      </c>
      <c r="S757" s="35">
        <f>IFERROR(VLOOKUP($G757,[1]нормы!$A$21:$BC$151,31,0),"")</f>
        <v>0</v>
      </c>
      <c r="T757" s="32">
        <f>IFERROR(VLOOKUP($G757,[1]нормы!$A$21:$BC$151,25,0),"")</f>
        <v>0</v>
      </c>
      <c r="U757" s="233" t="str">
        <f>IFERROR(W757/(((100*Y757/Y761)*I760)/100),"")</f>
        <v/>
      </c>
      <c r="V757" s="234" t="str">
        <f>IFERROR(VLOOKUP($G757,нормы!$A$14:$BC$57,38,0),"")</f>
        <v/>
      </c>
      <c r="W757" s="136"/>
      <c r="X757" s="237"/>
      <c r="Y757" s="152" t="str">
        <f>IFERROR(VLOOKUP($G757,нормы!$A$14:$BC$57,42,0)*W757,"")</f>
        <v/>
      </c>
      <c r="Z757" s="163">
        <f>IFERROR(VLOOKUP($G757,нормы!$A$14:$BC$57,14,0)*W757/1000,0)</f>
        <v>0</v>
      </c>
      <c r="AA757" s="30"/>
      <c r="AB757" s="35"/>
      <c r="AC757" s="35"/>
      <c r="AD757" s="35"/>
      <c r="AE757" s="31"/>
      <c r="AF757" s="160"/>
      <c r="AG757" s="391"/>
      <c r="AH757" s="394"/>
      <c r="AI757" s="397"/>
      <c r="AJ757" s="408"/>
      <c r="AK757" s="360"/>
      <c r="AL757" s="360"/>
      <c r="AM757" s="360"/>
      <c r="AN757" s="289">
        <f>IFERROR(Y757*AJ755/Y761,)</f>
        <v>0</v>
      </c>
      <c r="AO757" s="197" t="str">
        <f>IFERROR(VLOOKUP($G757,нормы!$A$14:$BC$57,53,0)*$W757,"")</f>
        <v/>
      </c>
      <c r="AP757" s="290">
        <f>IFERROR(Y757*AI755/Y761,)</f>
        <v>0</v>
      </c>
      <c r="AQ757" s="197" t="str">
        <f>IFERROR(VLOOKUP($G757,нормы!$A$14:$BC$57,54,0)*$W757,"")</f>
        <v/>
      </c>
      <c r="AR757" s="290">
        <f>IFERROR(AS757/SUM(AS755:AS760)*AL755,0)</f>
        <v>0</v>
      </c>
      <c r="AS757" s="197" t="str">
        <f>IFERROR(VLOOKUP($G757,нормы!$A$14:$BC$57,55,0)*W757,"")</f>
        <v/>
      </c>
      <c r="AT757" s="290">
        <f>IFERROR(AU757/SUM(AU755:AU760)*AM755,0)</f>
        <v>0</v>
      </c>
      <c r="AU757" s="197" t="str">
        <f>IFERROR(VLOOKUP($G757,нормы!$A$14:$BI$57,56,0)*W757,"")</f>
        <v/>
      </c>
      <c r="AV757" s="290">
        <f>IFERROR(AW757/SUM(AW755:AW760)*AK755,0)</f>
        <v>0</v>
      </c>
      <c r="AW757" s="202" t="str">
        <f>IFERROR(VLOOKUP($G757,нормы!$A$14:$BI$57,57,0)*W757,"")</f>
        <v/>
      </c>
      <c r="AX757" s="30"/>
      <c r="AY757" s="203" t="str">
        <f>IFERROR(VLOOKUP($G757,нормы!$A$14:$BI$57,58,0)*W757,"")</f>
        <v/>
      </c>
      <c r="AZ757" s="205"/>
      <c r="BA757" s="200" t="str">
        <f>IFERROR(VLOOKUP($G757,нормы!$A$14:$BI$57,61,0)*$W757,"")</f>
        <v/>
      </c>
      <c r="BB757" s="30"/>
      <c r="BC757" s="203" t="str">
        <f>IFERROR(VLOOKUP($G757,нормы!$A$14:$BI$57,60,0)*W757,"")</f>
        <v/>
      </c>
      <c r="BD757" s="200" t="str">
        <f>IFERROR(VLOOKUP($G757,нормы!$A$14:$BG$57,44,0),"")</f>
        <v/>
      </c>
      <c r="BE757" s="199" t="str">
        <f>IFERROR(W757/VLOOKUP($G757,нормы!$A$14:$BI$57,45,0),"")</f>
        <v/>
      </c>
    </row>
    <row r="758" spans="1:57" s="1" customFormat="1" ht="20.25" customHeight="1" x14ac:dyDescent="0.4">
      <c r="A758" s="37" t="str">
        <f t="shared" si="302"/>
        <v>13Д</v>
      </c>
      <c r="B758" s="12">
        <f t="shared" si="303"/>
        <v>46035</v>
      </c>
      <c r="C758" s="97">
        <f t="shared" si="303"/>
        <v>0</v>
      </c>
      <c r="D758" s="97">
        <f t="shared" si="303"/>
        <v>1</v>
      </c>
      <c r="E758" s="54"/>
      <c r="F758" s="151" t="str">
        <f>IFERROR(VLOOKUP($G758,нормы!$A$14:$BC$57,2,0),"")</f>
        <v/>
      </c>
      <c r="G758" s="93"/>
      <c r="H758" s="54">
        <f t="shared" si="304"/>
        <v>0</v>
      </c>
      <c r="I758" s="55"/>
      <c r="J758" s="333"/>
      <c r="K758" s="30">
        <f>IFERROR(VLOOKUP($G758,[1]нормы!$A$21:$BC$151,15,0),"")</f>
        <v>0</v>
      </c>
      <c r="L758" s="31">
        <f>IFERROR(VLOOKUP($G758,[1]нормы!$A$21:$BC$151,17,0),"")</f>
        <v>0</v>
      </c>
      <c r="M758" s="306">
        <f>IFERROR(VLOOKUP($G758,[1]нормы!$A$21:$BC$151,27,0),"")</f>
        <v>0</v>
      </c>
      <c r="N758" s="307" t="str">
        <f>IFERROR(Y758/Y761*(1.1*J755*I763),"")</f>
        <v/>
      </c>
      <c r="O758" s="300">
        <f>IFERROR(VLOOKUP($G758,[1]нормы!$A$21:$BC$151,21,0),"")</f>
        <v>0</v>
      </c>
      <c r="P758" s="35">
        <f>IFERROR(VLOOKUP($G758,[1]нормы!$A$21:$BC$151,19,0),"")</f>
        <v>0</v>
      </c>
      <c r="Q758" s="35">
        <f>IFERROR(VLOOKUP($G758,[1]нормы!$A$21:$BC$151,23,0),"")</f>
        <v>0</v>
      </c>
      <c r="R758" s="231">
        <f>IFERROR(VLOOKUP($G758,[1]нормы!$A$21:$BC$151,29,0),"")</f>
        <v>0</v>
      </c>
      <c r="S758" s="35">
        <f>IFERROR(VLOOKUP($G758,[1]нормы!$A$21:$BC$151,31,0),"")</f>
        <v>0</v>
      </c>
      <c r="T758" s="32">
        <f>IFERROR(VLOOKUP($G758,[1]нормы!$A$21:$BC$151,25,0),"")</f>
        <v>0</v>
      </c>
      <c r="U758" s="233" t="str">
        <f>IFERROR(W758/(((100*Y758/Y761)*I760)/100),"")</f>
        <v/>
      </c>
      <c r="V758" s="234" t="str">
        <f>IFERROR(VLOOKUP($G758,нормы!$A$14:$BC$57,38,0),"")</f>
        <v/>
      </c>
      <c r="W758" s="136"/>
      <c r="X758" s="237"/>
      <c r="Y758" s="152" t="str">
        <f>IFERROR(VLOOKUP($G758,нормы!$A$14:$BC$57,42,0)*W758,"")</f>
        <v/>
      </c>
      <c r="Z758" s="163">
        <f>IFERROR(VLOOKUP($G758,нормы!$A$14:$BC$57,14,0)*W758/1000,0)</f>
        <v>0</v>
      </c>
      <c r="AA758" s="30"/>
      <c r="AB758" s="35"/>
      <c r="AC758" s="35"/>
      <c r="AD758" s="35"/>
      <c r="AE758" s="31"/>
      <c r="AF758" s="160"/>
      <c r="AG758" s="391"/>
      <c r="AH758" s="394"/>
      <c r="AI758" s="397"/>
      <c r="AJ758" s="408"/>
      <c r="AK758" s="360"/>
      <c r="AL758" s="360"/>
      <c r="AM758" s="360"/>
      <c r="AN758" s="289">
        <f>IFERROR(Y758*AJ755/Y761,)</f>
        <v>0</v>
      </c>
      <c r="AO758" s="197" t="str">
        <f>IFERROR(VLOOKUP($G758,нормы!$A$14:$BC$57,53,0)*$W758,"")</f>
        <v/>
      </c>
      <c r="AP758" s="290">
        <f>IFERROR(Y758*AI755/Y761,)</f>
        <v>0</v>
      </c>
      <c r="AQ758" s="197" t="str">
        <f>IFERROR(VLOOKUP($G758,нормы!$A$14:$BC$57,54,0)*$W758,"")</f>
        <v/>
      </c>
      <c r="AR758" s="290">
        <f>IFERROR(AS758/SUM(AS755:AS760)*AL755,0)</f>
        <v>0</v>
      </c>
      <c r="AS758" s="197" t="str">
        <f>IFERROR(VLOOKUP($G758,нормы!$A$14:$BC$57,55,0)*W758,"")</f>
        <v/>
      </c>
      <c r="AT758" s="290">
        <f>IFERROR(AU758/SUM(AU755:AU760)*AM755,0)</f>
        <v>0</v>
      </c>
      <c r="AU758" s="197" t="str">
        <f>IFERROR(VLOOKUP($G758,нормы!$A$14:$BI$57,56,0)*W758,"")</f>
        <v/>
      </c>
      <c r="AV758" s="290">
        <f>IFERROR(AW758/SUM(AW755:AW760)*AK755,0)</f>
        <v>0</v>
      </c>
      <c r="AW758" s="202" t="str">
        <f>IFERROR(VLOOKUP($G758,нормы!$A$14:$BI$57,57,0)*W758,"")</f>
        <v/>
      </c>
      <c r="AX758" s="30"/>
      <c r="AY758" s="203" t="str">
        <f>IFERROR(VLOOKUP($G758,нормы!$A$14:$BI$57,58,0)*W758,"")</f>
        <v/>
      </c>
      <c r="AZ758" s="205"/>
      <c r="BA758" s="200" t="str">
        <f>IFERROR(VLOOKUP($G758,нормы!$A$14:$BI$57,61,0)*$W758,"")</f>
        <v/>
      </c>
      <c r="BB758" s="30"/>
      <c r="BC758" s="203" t="str">
        <f>IFERROR(VLOOKUP($G758,нормы!$A$14:$BI$57,60,0)*W758,"")</f>
        <v/>
      </c>
      <c r="BD758" s="200" t="str">
        <f>IFERROR(VLOOKUP($G758,нормы!$A$14:$BG$57,44,0),"")</f>
        <v/>
      </c>
      <c r="BE758" s="199" t="str">
        <f>IFERROR(W758/VLOOKUP($G758,нормы!$A$14:$BI$57,45,0),"")</f>
        <v/>
      </c>
    </row>
    <row r="759" spans="1:57" s="1" customFormat="1" ht="20.25" customHeight="1" x14ac:dyDescent="0.4">
      <c r="A759" s="37" t="str">
        <f t="shared" si="302"/>
        <v>13Д</v>
      </c>
      <c r="B759" s="12">
        <f t="shared" si="303"/>
        <v>46035</v>
      </c>
      <c r="C759" s="97">
        <f t="shared" si="303"/>
        <v>0</v>
      </c>
      <c r="D759" s="97">
        <f t="shared" si="303"/>
        <v>1</v>
      </c>
      <c r="E759" s="54"/>
      <c r="F759" s="151" t="str">
        <f>IFERROR(VLOOKUP($G759,нормы!$A$14:$BC$57,2,0),"")</f>
        <v/>
      </c>
      <c r="G759" s="38"/>
      <c r="H759" s="54">
        <f t="shared" si="304"/>
        <v>0</v>
      </c>
      <c r="I759" s="89" t="s">
        <v>73</v>
      </c>
      <c r="J759" s="333"/>
      <c r="K759" s="30">
        <f>IFERROR(VLOOKUP($G759,[1]нормы!$A$21:$BC$151,15,0),"")</f>
        <v>0</v>
      </c>
      <c r="L759" s="31">
        <f>IFERROR(VLOOKUP($G759,[1]нормы!$A$21:$BC$151,17,0),"")</f>
        <v>0</v>
      </c>
      <c r="M759" s="306">
        <f>IFERROR(VLOOKUP($G759,[1]нормы!$A$21:$BC$151,27,0),"")</f>
        <v>0</v>
      </c>
      <c r="N759" s="307" t="str">
        <f>IFERROR(Y759/Y761*(1.1*J755*I764),"")</f>
        <v/>
      </c>
      <c r="O759" s="300">
        <f>IFERROR(VLOOKUP($G759,[1]нормы!$A$21:$BC$151,21,0),"")</f>
        <v>0</v>
      </c>
      <c r="P759" s="35">
        <f>IFERROR(VLOOKUP($G759,[1]нормы!$A$21:$BC$151,19,0),"")</f>
        <v>0</v>
      </c>
      <c r="Q759" s="35">
        <f>IFERROR(VLOOKUP($G759,[1]нормы!$A$21:$BC$151,23,0),"")</f>
        <v>0</v>
      </c>
      <c r="R759" s="231">
        <f>IFERROR(VLOOKUP($G759,[1]нормы!$A$21:$BC$151,29,0),"")</f>
        <v>0</v>
      </c>
      <c r="S759" s="35">
        <f>IFERROR(VLOOKUP($G759,[1]нормы!$A$21:$BC$151,31,0),"")</f>
        <v>0</v>
      </c>
      <c r="T759" s="32">
        <f>IFERROR(VLOOKUP($G759,[1]нормы!$A$21:$BC$151,25,0),"")</f>
        <v>0</v>
      </c>
      <c r="U759" s="233" t="str">
        <f>IFERROR(W759/(((100*Y759/Y761)*I760)/100),"")</f>
        <v/>
      </c>
      <c r="V759" s="234" t="str">
        <f>IFERROR(VLOOKUP($G759,нормы!$A$14:$BC$57,38,0),"")</f>
        <v/>
      </c>
      <c r="W759" s="136"/>
      <c r="X759" s="237"/>
      <c r="Y759" s="152" t="str">
        <f>IFERROR(VLOOKUP($G759,нормы!$A$14:$BC$57,42,0)*W759,"")</f>
        <v/>
      </c>
      <c r="Z759" s="163">
        <f>IFERROR(VLOOKUP($G759,нормы!$A$14:$BC$57,14,0)*W759/1000,0)</f>
        <v>0</v>
      </c>
      <c r="AA759" s="30"/>
      <c r="AB759" s="35"/>
      <c r="AC759" s="35"/>
      <c r="AD759" s="35"/>
      <c r="AE759" s="31"/>
      <c r="AF759" s="160"/>
      <c r="AG759" s="391"/>
      <c r="AH759" s="394"/>
      <c r="AI759" s="397"/>
      <c r="AJ759" s="408"/>
      <c r="AK759" s="360"/>
      <c r="AL759" s="360"/>
      <c r="AM759" s="360"/>
      <c r="AN759" s="289">
        <f>IFERROR(Y759*AJ755/Y761,)</f>
        <v>0</v>
      </c>
      <c r="AO759" s="197" t="str">
        <f>IFERROR(VLOOKUP($G759,нормы!$A$14:$BC$57,53,0)*$W759,"")</f>
        <v/>
      </c>
      <c r="AP759" s="290">
        <f>IFERROR(Y759*AI755/Y761,)</f>
        <v>0</v>
      </c>
      <c r="AQ759" s="197" t="str">
        <f>IFERROR(VLOOKUP($G759,нормы!$A$14:$BC$57,54,0)*$W759,"")</f>
        <v/>
      </c>
      <c r="AR759" s="290">
        <f>IFERROR(AS759/SUM(AS755:AS760)*AL755,0)</f>
        <v>0</v>
      </c>
      <c r="AS759" s="197" t="str">
        <f>IFERROR(VLOOKUP($G759,нормы!$A$14:$BC$57,55,0)*W759,"")</f>
        <v/>
      </c>
      <c r="AT759" s="290">
        <f>IFERROR(AU759/SUM(AU755:AU760)*AM755,0)</f>
        <v>0</v>
      </c>
      <c r="AU759" s="197" t="str">
        <f>IFERROR(VLOOKUP($G759,нормы!$A$14:$BI$57,56,0)*W759,"")</f>
        <v/>
      </c>
      <c r="AV759" s="290">
        <f>IFERROR(AW759/SUM(AW755:AW760)*AK755,0)</f>
        <v>0</v>
      </c>
      <c r="AW759" s="202" t="str">
        <f>IFERROR(VLOOKUP($G759,нормы!$A$14:$BI$57,57,0)*W759,"")</f>
        <v/>
      </c>
      <c r="AX759" s="30"/>
      <c r="AY759" s="203" t="str">
        <f>IFERROR(VLOOKUP($G759,нормы!$A$14:$BI$57,58,0)*W759,"")</f>
        <v/>
      </c>
      <c r="AZ759" s="205"/>
      <c r="BA759" s="200" t="str">
        <f>IFERROR(VLOOKUP($G759,нормы!$A$14:$BI$57,61,0)*$W759,"")</f>
        <v/>
      </c>
      <c r="BB759" s="30"/>
      <c r="BC759" s="203" t="str">
        <f>IFERROR(VLOOKUP($G759,нормы!$A$14:$BI$57,60,0)*W759,"")</f>
        <v/>
      </c>
      <c r="BD759" s="200" t="str">
        <f>IFERROR(VLOOKUP($G759,нормы!$A$14:$BG$57,44,0),"")</f>
        <v/>
      </c>
      <c r="BE759" s="199" t="str">
        <f>IFERROR(W759/VLOOKUP($G759,нормы!$A$14:$BI$57,45,0),"")</f>
        <v/>
      </c>
    </row>
    <row r="760" spans="1:57" s="1" customFormat="1" ht="21" customHeight="1" thickBot="1" x14ac:dyDescent="0.45">
      <c r="A760" s="37" t="str">
        <f t="shared" si="302"/>
        <v>13Д</v>
      </c>
      <c r="B760" s="12">
        <f t="shared" si="303"/>
        <v>46035</v>
      </c>
      <c r="C760" s="97">
        <f t="shared" si="303"/>
        <v>0</v>
      </c>
      <c r="D760" s="97">
        <f t="shared" si="303"/>
        <v>1</v>
      </c>
      <c r="E760" s="54"/>
      <c r="F760" s="151" t="str">
        <f>IFERROR(VLOOKUP($G760,нормы!$A$14:$BC$57,2,0),"")</f>
        <v/>
      </c>
      <c r="G760" s="93"/>
      <c r="H760" s="63">
        <f t="shared" si="304"/>
        <v>0</v>
      </c>
      <c r="I760" s="153">
        <f>I756+I758</f>
        <v>0</v>
      </c>
      <c r="J760" s="334"/>
      <c r="K760" s="30">
        <f>IFERROR(VLOOKUP($G760,[1]нормы!$A$21:$BC$151,15,0),"")</f>
        <v>0</v>
      </c>
      <c r="L760" s="31">
        <f>IFERROR(VLOOKUP($G760,[1]нормы!$A$21:$BC$151,17,0),"")</f>
        <v>0</v>
      </c>
      <c r="M760" s="308">
        <f>IFERROR(VLOOKUP($G760,[1]нормы!$A$21:$BC$151,27,0),"")</f>
        <v>0</v>
      </c>
      <c r="N760" s="309" t="str">
        <f>IFERROR(Y760/Y761*(1.1*J755*I765),"")</f>
        <v/>
      </c>
      <c r="O760" s="300">
        <f>IFERROR(VLOOKUP($G760,[1]нормы!$A$21:$BC$151,21,0),"")</f>
        <v>0</v>
      </c>
      <c r="P760" s="35">
        <f>IFERROR(VLOOKUP($G760,[1]нормы!$A$21:$BC$151,19,0),"")</f>
        <v>0</v>
      </c>
      <c r="Q760" s="35">
        <f>IFERROR(VLOOKUP($G760,[1]нормы!$A$21:$BC$151,23,0),"")</f>
        <v>0</v>
      </c>
      <c r="R760" s="231">
        <f>IFERROR(VLOOKUP($G760,[1]нормы!$A$21:$BC$151,29,0),"")</f>
        <v>0</v>
      </c>
      <c r="S760" s="35">
        <f>IFERROR(VLOOKUP($G760,[1]нормы!$A$21:$BC$151,31,0),"")</f>
        <v>0</v>
      </c>
      <c r="T760" s="32">
        <f>IFERROR(VLOOKUP($G760,[1]нормы!$A$21:$BC$151,25,0),"")</f>
        <v>0</v>
      </c>
      <c r="U760" s="235" t="str">
        <f>IFERROR(W760/(((100*Y760/Y761)*I760)/100),"")</f>
        <v/>
      </c>
      <c r="V760" s="234" t="str">
        <f>IFERROR(VLOOKUP($G760,нормы!$A$14:$BC$57,38,0),"")</f>
        <v/>
      </c>
      <c r="W760" s="154"/>
      <c r="X760" s="238"/>
      <c r="Y760" s="152" t="str">
        <f>IFERROR(VLOOKUP($G760,нормы!$A$14:$BC$57,42,0)*W760,"")</f>
        <v/>
      </c>
      <c r="Z760" s="163">
        <f>IFERROR(VLOOKUP($G760,нормы!$A$14:$BC$57,14,0)*W760/1000,0)</f>
        <v>0</v>
      </c>
      <c r="AA760" s="56"/>
      <c r="AB760" s="58"/>
      <c r="AC760" s="58"/>
      <c r="AD760" s="58"/>
      <c r="AE760" s="57"/>
      <c r="AF760" s="161"/>
      <c r="AG760" s="392"/>
      <c r="AH760" s="395"/>
      <c r="AI760" s="398"/>
      <c r="AJ760" s="409"/>
      <c r="AK760" s="361"/>
      <c r="AL760" s="361"/>
      <c r="AM760" s="361"/>
      <c r="AN760" s="291">
        <f>IFERROR(Y760*AJ755/Y761,)</f>
        <v>0</v>
      </c>
      <c r="AO760" s="197" t="str">
        <f>IFERROR(VLOOKUP($G760,нормы!$A$14:$BC$57,53,0)*$W760,"")</f>
        <v/>
      </c>
      <c r="AP760" s="292">
        <f>IFERROR(Y760*AI755/Y761,)</f>
        <v>0</v>
      </c>
      <c r="AQ760" s="197" t="str">
        <f>IFERROR(VLOOKUP($G760,нормы!$A$14:$BC$57,54,0)*$W760,"")</f>
        <v/>
      </c>
      <c r="AR760" s="290">
        <f>IFERROR(AS760/SUM(AS755:AS760)*AL755,0)</f>
        <v>0</v>
      </c>
      <c r="AS760" s="197" t="str">
        <f>IFERROR(VLOOKUP($G760,нормы!$A$14:$BC$57,55,0)*W760,"")</f>
        <v/>
      </c>
      <c r="AT760" s="292">
        <f>IFERROR(AU760/SUM(AU755:AU760)*AM755,0)</f>
        <v>0</v>
      </c>
      <c r="AU760" s="197" t="str">
        <f>IFERROR(VLOOKUP($G760,нормы!$A$14:$BI$57,56,0)*W760,"")</f>
        <v/>
      </c>
      <c r="AV760" s="292">
        <f>IFERROR(AW760/SUM(AW755:AW760)*AK755,0)</f>
        <v>0</v>
      </c>
      <c r="AW760" s="202" t="str">
        <f>IFERROR(VLOOKUP($G760,нормы!$A$14:$BI$57,57,0)*W760,"")</f>
        <v/>
      </c>
      <c r="AX760" s="56"/>
      <c r="AY760" s="203" t="str">
        <f>IFERROR(VLOOKUP($G760,нормы!$A$14:$BI$57,58,0)*W760,"")</f>
        <v/>
      </c>
      <c r="AZ760" s="206"/>
      <c r="BA760" s="200" t="str">
        <f>IFERROR(VLOOKUP($G760,нормы!$A$14:$BI$57,61,0)*$W760,"")</f>
        <v/>
      </c>
      <c r="BB760" s="56"/>
      <c r="BC760" s="203" t="str">
        <f>IFERROR(VLOOKUP($G760,нормы!$A$14:$BI$57,60,0)*W760,"")</f>
        <v/>
      </c>
      <c r="BD760" s="200" t="str">
        <f>IFERROR(VLOOKUP($G760,нормы!$A$14:$BG$57,44,0),"")</f>
        <v/>
      </c>
      <c r="BE760" s="199" t="str">
        <f>IFERROR(W760/VLOOKUP($G760,нормы!$A$14:$BI$57,45,0),"")</f>
        <v/>
      </c>
    </row>
    <row r="761" spans="1:57" s="1" customFormat="1" ht="29.4" customHeight="1" thickBot="1" x14ac:dyDescent="0.45">
      <c r="A761" s="37" t="str">
        <f t="shared" si="302"/>
        <v>13Д</v>
      </c>
      <c r="B761" s="59"/>
      <c r="C761" s="51"/>
      <c r="D761" s="51"/>
      <c r="E761" s="51"/>
      <c r="F761" s="295" t="s">
        <v>148</v>
      </c>
      <c r="G761" s="51"/>
      <c r="H761" s="51"/>
      <c r="I761" s="60"/>
      <c r="J761" s="60"/>
      <c r="K761" s="319" t="s">
        <v>213</v>
      </c>
      <c r="L761" s="316"/>
      <c r="M761" s="303" t="s">
        <v>213</v>
      </c>
      <c r="N761" s="317">
        <f>SUM(N755:N760)</f>
        <v>0</v>
      </c>
      <c r="O761" s="304" t="s">
        <v>216</v>
      </c>
      <c r="P761" s="318">
        <f>N761*8.937/1000</f>
        <v>0</v>
      </c>
      <c r="Q761" s="305" t="s">
        <v>215</v>
      </c>
      <c r="R761" s="61"/>
      <c r="S761" s="61"/>
      <c r="T761" s="61"/>
      <c r="U761" s="109"/>
      <c r="V761" s="109"/>
      <c r="W761" s="94"/>
      <c r="X761" s="155"/>
      <c r="Y761" s="96">
        <f>SUM(Y755:Y760)</f>
        <v>0</v>
      </c>
      <c r="Z761" s="164">
        <f>SUM(Z755:Z760)</f>
        <v>0</v>
      </c>
      <c r="AA761" s="62"/>
      <c r="AB761" s="62"/>
      <c r="AC761" s="62"/>
      <c r="AD761" s="62"/>
      <c r="AE761" s="62"/>
      <c r="AF761" s="62"/>
      <c r="AG761" s="162" t="s">
        <v>140</v>
      </c>
      <c r="AH761" s="162" t="s">
        <v>141</v>
      </c>
      <c r="AI761" s="162" t="s">
        <v>142</v>
      </c>
      <c r="AJ761" s="91" t="s">
        <v>126</v>
      </c>
      <c r="AK761" s="198" t="s">
        <v>136</v>
      </c>
      <c r="AL761" s="198" t="s">
        <v>137</v>
      </c>
      <c r="AM761" s="198" t="s">
        <v>138</v>
      </c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53" t="str">
        <f>IFERROR(W761/VLOOKUP($G761,нормы!$A$14:$BI$15,28,0),"")</f>
        <v/>
      </c>
    </row>
    <row r="762" spans="1:57" s="1" customFormat="1" ht="21.6" customHeight="1" x14ac:dyDescent="0.4">
      <c r="A762" s="37" t="str">
        <f t="shared" si="302"/>
        <v>13Д</v>
      </c>
      <c r="B762" s="12">
        <f>B760</f>
        <v>46035</v>
      </c>
      <c r="C762" s="97"/>
      <c r="D762" s="97">
        <v>2</v>
      </c>
      <c r="E762" s="29"/>
      <c r="F762" s="151" t="str">
        <f>IFERROR(VLOOKUP($G762,нормы!$A$14:$BC$57,2,0),"")</f>
        <v/>
      </c>
      <c r="G762" s="93"/>
      <c r="H762" s="54">
        <f>IF(C762=1,"Кульков С.А.", IF(C762=2,"Чудаков А.А.",IF(C762=3,"Королев В.Н.",IF(C762=4,"Николашин М.П.",IF(C762=5," Кульков С.А.",IF(C762=6,"А.А. Чудаков",IF(C762=7,"В.Н. Королев",IF(C762=8,"М.П. Николашин",0))))))))</f>
        <v>0</v>
      </c>
      <c r="I762" s="88" t="s">
        <v>211</v>
      </c>
      <c r="J762" s="332"/>
      <c r="K762" s="30">
        <f>IFERROR(VLOOKUP($G762,[1]нормы!$A$21:$BC$151,15,0),"")</f>
        <v>0</v>
      </c>
      <c r="L762" s="31">
        <f>IFERROR(VLOOKUP($G762,[1]нормы!$A$21:$BC$151,17,0),"")</f>
        <v>0</v>
      </c>
      <c r="M762" s="310">
        <f>IFERROR(VLOOKUP($G762,[1]нормы!$A$21:$BC$151,27,0),"")</f>
        <v>0</v>
      </c>
      <c r="N762" s="311" t="str">
        <f>IFERROR(Y762/Y768*(1.1*J762*I767),"")</f>
        <v/>
      </c>
      <c r="O762" s="300">
        <f>IFERROR(VLOOKUP($G762,[1]нормы!$A$21:$BC$151,21,0),"")</f>
        <v>0</v>
      </c>
      <c r="P762" s="35">
        <f>IFERROR(VLOOKUP($G762,[1]нормы!$A$21:$BC$151,19,0),"")</f>
        <v>0</v>
      </c>
      <c r="Q762" s="35">
        <f>IFERROR(VLOOKUP($G762,[1]нормы!$A$21:$BC$151,23,0),"")</f>
        <v>0</v>
      </c>
      <c r="R762" s="231">
        <f>IFERROR(VLOOKUP($G762,[1]нормы!$A$21:$BC$151,29,0),"")</f>
        <v>0</v>
      </c>
      <c r="S762" s="35">
        <f>IFERROR(VLOOKUP($G762,[1]нормы!$A$21:$BC$151,31,0),"")</f>
        <v>0</v>
      </c>
      <c r="T762" s="32">
        <f>IFERROR(VLOOKUP($G762,[1]нормы!$A$21:$BC$151,25,0),"")</f>
        <v>0</v>
      </c>
      <c r="U762" s="232" t="str">
        <f>IFERROR(W762/(((100*Y762/Y768)*I767)/100),"")</f>
        <v/>
      </c>
      <c r="V762" s="234" t="str">
        <f>IFERROR(VLOOKUP($G762,нормы!$A$14:$BC$57,38,0),"")</f>
        <v/>
      </c>
      <c r="W762" s="136"/>
      <c r="X762" s="236"/>
      <c r="Y762" s="152" t="str">
        <f>IFERROR(VLOOKUP($G762,нормы!$A$14:$BC$57,42,0)*W762,"")</f>
        <v/>
      </c>
      <c r="Z762" s="163">
        <f>IFERROR(VLOOKUP($G762,нормы!$A$14:$BC$57,14,0)*W762/1000,0)</f>
        <v>0</v>
      </c>
      <c r="AA762" s="33"/>
      <c r="AB762" s="36"/>
      <c r="AC762" s="36"/>
      <c r="AD762" s="36"/>
      <c r="AE762" s="34"/>
      <c r="AF762" s="159"/>
      <c r="AG762" s="390"/>
      <c r="AH762" s="393"/>
      <c r="AI762" s="396"/>
      <c r="AJ762" s="407">
        <f>AG762+AH762</f>
        <v>0</v>
      </c>
      <c r="AK762" s="359"/>
      <c r="AL762" s="359"/>
      <c r="AM762" s="359"/>
      <c r="AN762" s="287">
        <f>IFERROR(Y762*AJ762/Y768,)</f>
        <v>0</v>
      </c>
      <c r="AO762" s="197" t="str">
        <f>IFERROR(VLOOKUP($G762,нормы!$A$14:$BC$57,53,0)*$W762,"")</f>
        <v/>
      </c>
      <c r="AP762" s="288">
        <f>IFERROR(Y762*AI762/Y768,)</f>
        <v>0</v>
      </c>
      <c r="AQ762" s="197" t="str">
        <f>IFERROR(VLOOKUP($G762,нормы!$A$14:$BC$57,54,0)*$W762,"")</f>
        <v/>
      </c>
      <c r="AR762" s="288">
        <f>IFERROR(AS762/SUM(AS762:AS767)*AL762,0)</f>
        <v>0</v>
      </c>
      <c r="AS762" s="197" t="str">
        <f>IFERROR(VLOOKUP($G762,нормы!$A$14:$BC$57,55,0)*W762,"")</f>
        <v/>
      </c>
      <c r="AT762" s="288">
        <f>IFERROR(AU762/SUM(AU762:AU767)*AM762,0)</f>
        <v>0</v>
      </c>
      <c r="AU762" s="197" t="str">
        <f>IFERROR(VLOOKUP($G762,нормы!$A$14:$BI$57,56,0)*W762,"")</f>
        <v/>
      </c>
      <c r="AV762" s="288">
        <f>IFERROR(AW762/SUM(AW762:AW767)*AK762,0)</f>
        <v>0</v>
      </c>
      <c r="AW762" s="202" t="str">
        <f>IFERROR(VLOOKUP($G762,нормы!$A$14:$BI$57,57,0)*W762,"")</f>
        <v/>
      </c>
      <c r="AX762" s="33"/>
      <c r="AY762" s="203" t="str">
        <f>IFERROR(VLOOKUP($G762,нормы!$A$14:$BI$57,58,0)*W762,"")</f>
        <v/>
      </c>
      <c r="AZ762" s="204"/>
      <c r="BA762" s="200" t="str">
        <f>IFERROR(VLOOKUP($G762,нормы!$A$14:$BI$57,61,0)*$W762,"")</f>
        <v/>
      </c>
      <c r="BB762" s="33"/>
      <c r="BC762" s="203" t="str">
        <f>IFERROR(VLOOKUP($G762,нормы!$A$14:$BI$57,60,0)*W762,"")</f>
        <v/>
      </c>
      <c r="BD762" s="200" t="str">
        <f>IFERROR(VLOOKUP($G762,нормы!$A$14:$BG$57,44,0),"")</f>
        <v/>
      </c>
      <c r="BE762" s="199" t="str">
        <f>IFERROR(W762/VLOOKUP($G762,нормы!$A$14:$BI$57,45,0),"")</f>
        <v/>
      </c>
    </row>
    <row r="763" spans="1:57" s="1" customFormat="1" ht="21.6" customHeight="1" x14ac:dyDescent="0.4">
      <c r="A763" s="37" t="str">
        <f t="shared" si="302"/>
        <v>13Д</v>
      </c>
      <c r="B763" s="12">
        <f t="shared" ref="B763:D767" si="305">B762</f>
        <v>46035</v>
      </c>
      <c r="C763" s="97">
        <f t="shared" si="305"/>
        <v>0</v>
      </c>
      <c r="D763" s="97">
        <f t="shared" si="305"/>
        <v>2</v>
      </c>
      <c r="E763" s="54"/>
      <c r="F763" s="151" t="str">
        <f>IFERROR(VLOOKUP($G763,нормы!$A$14:$BC$57,2,0),"")</f>
        <v/>
      </c>
      <c r="G763" s="93"/>
      <c r="H763" s="54">
        <f t="shared" ref="H763:H767" si="306">IF(C763=1,"Кульков С.А.", IF(C763=2,"Чудаков А.А.",IF(C763=3,"Королев В.Н.",IF(C763=4,"Николашин М.П.",IF(C763=5," Кульков С.А.",IF(C763=6,"А.А. Чудаков",IF(C763=7,"В.Н. Королев",IF(C763=8,"М.П. Николашин",0))))))))</f>
        <v>0</v>
      </c>
      <c r="I763" s="55"/>
      <c r="J763" s="333"/>
      <c r="K763" s="30">
        <f>IFERROR(VLOOKUP($G763,[1]нормы!$A$21:$BC$151,15,0),"")</f>
        <v>0</v>
      </c>
      <c r="L763" s="31">
        <f>IFERROR(VLOOKUP($G763,[1]нормы!$A$21:$BC$151,17,0),"")</f>
        <v>0</v>
      </c>
      <c r="M763" s="306">
        <f>IFERROR(VLOOKUP($G763,[1]нормы!$A$21:$BC$151,27,0),"")</f>
        <v>0</v>
      </c>
      <c r="N763" s="307" t="str">
        <f>IFERROR(Y763/Y768*(1.1*J762*I767),"")</f>
        <v/>
      </c>
      <c r="O763" s="300">
        <f>IFERROR(VLOOKUP($G763,[1]нормы!$A$21:$BC$151,21,0),"")</f>
        <v>0</v>
      </c>
      <c r="P763" s="35">
        <f>IFERROR(VLOOKUP($G763,[1]нормы!$A$21:$BC$151,19,0),"")</f>
        <v>0</v>
      </c>
      <c r="Q763" s="35">
        <f>IFERROR(VLOOKUP($G763,[1]нормы!$A$21:$BC$151,23,0),"")</f>
        <v>0</v>
      </c>
      <c r="R763" s="231">
        <f>IFERROR(VLOOKUP($G763,[1]нормы!$A$21:$BC$151,29,0),"")</f>
        <v>0</v>
      </c>
      <c r="S763" s="35">
        <f>IFERROR(VLOOKUP($G763,[1]нормы!$A$21:$BC$151,31,0),"")</f>
        <v>0</v>
      </c>
      <c r="T763" s="32">
        <f>IFERROR(VLOOKUP($G763,[1]нормы!$A$21:$BC$151,25,0),"")</f>
        <v>0</v>
      </c>
      <c r="U763" s="233" t="str">
        <f>IFERROR(W763/(((100*Y763/Y768)*I767)/100),"")</f>
        <v/>
      </c>
      <c r="V763" s="234" t="str">
        <f>IFERROR(VLOOKUP($G763,нормы!$A$14:$BC$57,38,0),"")</f>
        <v/>
      </c>
      <c r="W763" s="136"/>
      <c r="X763" s="237"/>
      <c r="Y763" s="152" t="str">
        <f>IFERROR(VLOOKUP($G763,нормы!$A$14:$BC$57,42,0)*W763,"")</f>
        <v/>
      </c>
      <c r="Z763" s="163">
        <f>IFERROR(VLOOKUP($G763,нормы!$A$14:$BC$57,14,0)*W763/1000,0)</f>
        <v>0</v>
      </c>
      <c r="AA763" s="142"/>
      <c r="AB763" s="35"/>
      <c r="AC763" s="35"/>
      <c r="AD763" s="35"/>
      <c r="AE763" s="31"/>
      <c r="AF763" s="160"/>
      <c r="AG763" s="391"/>
      <c r="AH763" s="394"/>
      <c r="AI763" s="397"/>
      <c r="AJ763" s="408"/>
      <c r="AK763" s="360"/>
      <c r="AL763" s="360"/>
      <c r="AM763" s="360"/>
      <c r="AN763" s="289">
        <f>IFERROR(Y763*AJ762/Y768,)</f>
        <v>0</v>
      </c>
      <c r="AO763" s="197" t="str">
        <f>IFERROR(VLOOKUP($G763,нормы!$A$14:$BC$57,53,0)*$W763,"")</f>
        <v/>
      </c>
      <c r="AP763" s="290">
        <f>IFERROR(Y763*AI762/Y768,)</f>
        <v>0</v>
      </c>
      <c r="AQ763" s="197" t="str">
        <f>IFERROR(VLOOKUP($G763,нормы!$A$14:$BC$57,54,0)*$W763,"")</f>
        <v/>
      </c>
      <c r="AR763" s="290">
        <f>IFERROR(AS763/SUM(AS762:AS767)*AL762,0)</f>
        <v>0</v>
      </c>
      <c r="AS763" s="197" t="str">
        <f>IFERROR(VLOOKUP($G763,нормы!$A$14:$BC$57,55,0)*W763,"")</f>
        <v/>
      </c>
      <c r="AT763" s="290">
        <f>IFERROR(AU763/SUM(AU762:AU767)*AM762,0)</f>
        <v>0</v>
      </c>
      <c r="AU763" s="197" t="str">
        <f>IFERROR(VLOOKUP($G763,нормы!$A$14:$BI$57,56,0)*W763,"")</f>
        <v/>
      </c>
      <c r="AV763" s="290">
        <f>IFERROR(AW763/SUM(AW762:AW767)*AK762,0)</f>
        <v>0</v>
      </c>
      <c r="AW763" s="202" t="str">
        <f>IFERROR(VLOOKUP($G763,нормы!$A$14:$BI$57,57,0)*W763,"")</f>
        <v/>
      </c>
      <c r="AX763" s="30"/>
      <c r="AY763" s="203" t="str">
        <f>IFERROR(VLOOKUP($G763,нормы!$A$14:$BI$57,58,0)*W763,"")</f>
        <v/>
      </c>
      <c r="AZ763" s="205"/>
      <c r="BA763" s="200" t="str">
        <f>IFERROR(VLOOKUP($G763,нормы!$A$14:$BI$57,61,0)*$W763,"")</f>
        <v/>
      </c>
      <c r="BB763" s="30"/>
      <c r="BC763" s="203" t="str">
        <f>IFERROR(VLOOKUP($G763,нормы!$A$14:$BI$57,60,0)*W763,"")</f>
        <v/>
      </c>
      <c r="BD763" s="200" t="str">
        <f>IFERROR(VLOOKUP($G763,нормы!$A$14:$BG$57,44,0),"")</f>
        <v/>
      </c>
      <c r="BE763" s="199" t="str">
        <f>IFERROR(W763/VLOOKUP($G763,нормы!$A$14:$BI$57,45,0),"")</f>
        <v/>
      </c>
    </row>
    <row r="764" spans="1:57" s="1" customFormat="1" ht="20.25" customHeight="1" x14ac:dyDescent="0.4">
      <c r="A764" s="37" t="str">
        <f t="shared" si="302"/>
        <v>13Д</v>
      </c>
      <c r="B764" s="12">
        <f t="shared" si="305"/>
        <v>46035</v>
      </c>
      <c r="C764" s="97">
        <f t="shared" si="305"/>
        <v>0</v>
      </c>
      <c r="D764" s="97">
        <f t="shared" si="305"/>
        <v>2</v>
      </c>
      <c r="E764" s="54"/>
      <c r="F764" s="151" t="str">
        <f>IFERROR(VLOOKUP($G764,нормы!$A$14:$BC$57,2,0),"")</f>
        <v/>
      </c>
      <c r="G764" s="38"/>
      <c r="H764" s="54">
        <f t="shared" si="306"/>
        <v>0</v>
      </c>
      <c r="I764" s="89" t="s">
        <v>212</v>
      </c>
      <c r="J764" s="333"/>
      <c r="K764" s="30">
        <f>IFERROR(VLOOKUP($G764,[1]нормы!$A$21:$BC$151,15,0),"")</f>
        <v>0</v>
      </c>
      <c r="L764" s="31">
        <f>IFERROR(VLOOKUP($G764,[1]нормы!$A$21:$BC$151,17,0),"")</f>
        <v>0</v>
      </c>
      <c r="M764" s="306">
        <f>IFERROR(VLOOKUP($G764,[1]нормы!$A$21:$BC$151,27,0),"")</f>
        <v>0</v>
      </c>
      <c r="N764" s="307" t="str">
        <f>IFERROR(Y764/Y768*(1.1*J762*I767),"")</f>
        <v/>
      </c>
      <c r="O764" s="300">
        <f>IFERROR(VLOOKUP($G764,[1]нормы!$A$21:$BC$151,21,0),"")</f>
        <v>0</v>
      </c>
      <c r="P764" s="35">
        <f>IFERROR(VLOOKUP($G764,[1]нормы!$A$21:$BC$151,19,0),"")</f>
        <v>0</v>
      </c>
      <c r="Q764" s="35">
        <f>IFERROR(VLOOKUP($G764,[1]нормы!$A$21:$BC$151,23,0),"")</f>
        <v>0</v>
      </c>
      <c r="R764" s="231">
        <f>IFERROR(VLOOKUP($G764,[1]нормы!$A$21:$BC$151,29,0),"")</f>
        <v>0</v>
      </c>
      <c r="S764" s="35">
        <f>IFERROR(VLOOKUP($G764,[1]нормы!$A$21:$BC$151,31,0),"")</f>
        <v>0</v>
      </c>
      <c r="T764" s="32">
        <f>IFERROR(VLOOKUP($G764,[1]нормы!$A$21:$BC$151,25,0),"")</f>
        <v>0</v>
      </c>
      <c r="U764" s="233" t="str">
        <f>IFERROR(W764/(((100*Y764/Y768)*I767)/100),"")</f>
        <v/>
      </c>
      <c r="V764" s="234" t="str">
        <f>IFERROR(VLOOKUP($G764,нормы!$A$14:$BC$57,38,0),"")</f>
        <v/>
      </c>
      <c r="W764" s="136"/>
      <c r="X764" s="237"/>
      <c r="Y764" s="152" t="str">
        <f>IFERROR(VLOOKUP($G764,нормы!$A$14:$BC$57,42,0)*W764,"")</f>
        <v/>
      </c>
      <c r="Z764" s="163">
        <f>IFERROR(VLOOKUP($G764,нормы!$A$14:$BC$57,14,0)*W764/1000,0)</f>
        <v>0</v>
      </c>
      <c r="AA764" s="30"/>
      <c r="AB764" s="35"/>
      <c r="AC764" s="35"/>
      <c r="AD764" s="35"/>
      <c r="AE764" s="31"/>
      <c r="AF764" s="160"/>
      <c r="AG764" s="391"/>
      <c r="AH764" s="394"/>
      <c r="AI764" s="397"/>
      <c r="AJ764" s="408"/>
      <c r="AK764" s="360"/>
      <c r="AL764" s="360"/>
      <c r="AM764" s="360"/>
      <c r="AN764" s="289">
        <f>IFERROR(Y764*AJ762/Y768,)</f>
        <v>0</v>
      </c>
      <c r="AO764" s="197" t="str">
        <f>IFERROR(VLOOKUP($G764,нормы!$A$14:$BC$57,53,0)*$W764,"")</f>
        <v/>
      </c>
      <c r="AP764" s="290">
        <f>IFERROR(Y764*AI762/Y768,)</f>
        <v>0</v>
      </c>
      <c r="AQ764" s="197" t="str">
        <f>IFERROR(VLOOKUP($G764,нормы!$A$14:$BC$57,54,0)*$W764,"")</f>
        <v/>
      </c>
      <c r="AR764" s="290">
        <f>IFERROR(AS764/SUM(AS762:AS767)*AL762,0)</f>
        <v>0</v>
      </c>
      <c r="AS764" s="197" t="str">
        <f>IFERROR(VLOOKUP($G764,нормы!$A$14:$BC$57,55,0)*W764,"")</f>
        <v/>
      </c>
      <c r="AT764" s="290">
        <f>IFERROR(AU764/SUM(AU762:AU767)*AM762,0)</f>
        <v>0</v>
      </c>
      <c r="AU764" s="197" t="str">
        <f>IFERROR(VLOOKUP($G764,нормы!$A$14:$BI$57,56,0)*W764,"")</f>
        <v/>
      </c>
      <c r="AV764" s="290">
        <f>IFERROR(AW764/SUM(AW762:AW767)*AK762,0)</f>
        <v>0</v>
      </c>
      <c r="AW764" s="202" t="str">
        <f>IFERROR(VLOOKUP($G764,нормы!$A$14:$BI$57,57,0)*W764,"")</f>
        <v/>
      </c>
      <c r="AX764" s="30"/>
      <c r="AY764" s="203" t="str">
        <f>IFERROR(VLOOKUP($G764,нормы!$A$14:$BI$57,58,0)*W764,"")</f>
        <v/>
      </c>
      <c r="AZ764" s="205"/>
      <c r="BA764" s="200" t="str">
        <f>IFERROR(VLOOKUP($G764,нормы!$A$14:$BI$57,61,0)*$W764,"")</f>
        <v/>
      </c>
      <c r="BB764" s="30"/>
      <c r="BC764" s="203" t="str">
        <f>IFERROR(VLOOKUP($G764,нормы!$A$14:$BI$57,60,0)*W764,"")</f>
        <v/>
      </c>
      <c r="BD764" s="200" t="str">
        <f>IFERROR(VLOOKUP($G764,нормы!$A$14:$BG$57,44,0),"")</f>
        <v/>
      </c>
      <c r="BE764" s="199" t="str">
        <f>IFERROR(W764/VLOOKUP($G764,нормы!$A$14:$BI$57,45,0),"")</f>
        <v/>
      </c>
    </row>
    <row r="765" spans="1:57" s="1" customFormat="1" ht="20.25" customHeight="1" x14ac:dyDescent="0.4">
      <c r="A765" s="37" t="str">
        <f t="shared" si="302"/>
        <v>13Д</v>
      </c>
      <c r="B765" s="12">
        <f t="shared" si="305"/>
        <v>46035</v>
      </c>
      <c r="C765" s="97">
        <f t="shared" si="305"/>
        <v>0</v>
      </c>
      <c r="D765" s="97">
        <f t="shared" si="305"/>
        <v>2</v>
      </c>
      <c r="E765" s="54"/>
      <c r="F765" s="151" t="str">
        <f>IFERROR(VLOOKUP($G765,нормы!$A$14:$BC$57,2,0),"")</f>
        <v/>
      </c>
      <c r="G765" s="93"/>
      <c r="H765" s="54">
        <f t="shared" si="306"/>
        <v>0</v>
      </c>
      <c r="I765" s="55"/>
      <c r="J765" s="333"/>
      <c r="K765" s="30">
        <f>IFERROR(VLOOKUP($G765,[1]нормы!$A$21:$BC$151,15,0),"")</f>
        <v>0</v>
      </c>
      <c r="L765" s="31">
        <f>IFERROR(VLOOKUP($G765,[1]нормы!$A$21:$BC$151,17,0),"")</f>
        <v>0</v>
      </c>
      <c r="M765" s="306">
        <f>IFERROR(VLOOKUP($G765,[1]нормы!$A$21:$BC$151,27,0),"")</f>
        <v>0</v>
      </c>
      <c r="N765" s="307" t="str">
        <f>IFERROR(Y765/Y768*(1.1*J762*I770),"")</f>
        <v/>
      </c>
      <c r="O765" s="300">
        <f>IFERROR(VLOOKUP($G765,[1]нормы!$A$21:$BC$151,21,0),"")</f>
        <v>0</v>
      </c>
      <c r="P765" s="35">
        <f>IFERROR(VLOOKUP($G765,[1]нормы!$A$21:$BC$151,19,0),"")</f>
        <v>0</v>
      </c>
      <c r="Q765" s="35">
        <f>IFERROR(VLOOKUP($G765,[1]нормы!$A$21:$BC$151,23,0),"")</f>
        <v>0</v>
      </c>
      <c r="R765" s="231">
        <f>IFERROR(VLOOKUP($G765,[1]нормы!$A$21:$BC$151,29,0),"")</f>
        <v>0</v>
      </c>
      <c r="S765" s="35">
        <f>IFERROR(VLOOKUP($G765,[1]нормы!$A$21:$BC$151,31,0),"")</f>
        <v>0</v>
      </c>
      <c r="T765" s="32">
        <f>IFERROR(VLOOKUP($G765,[1]нормы!$A$21:$BC$151,25,0),"")</f>
        <v>0</v>
      </c>
      <c r="U765" s="233" t="str">
        <f>IFERROR(W765/(((100*Y765/Y768)*I767)/100),"")</f>
        <v/>
      </c>
      <c r="V765" s="234" t="str">
        <f>IFERROR(VLOOKUP($G765,нормы!$A$14:$BC$57,38,0),"")</f>
        <v/>
      </c>
      <c r="W765" s="136"/>
      <c r="X765" s="237"/>
      <c r="Y765" s="152" t="str">
        <f>IFERROR(VLOOKUP($G765,нормы!$A$14:$BC$57,42,0)*W765,"")</f>
        <v/>
      </c>
      <c r="Z765" s="163">
        <f>IFERROR(VLOOKUP($G765,нормы!$A$14:$BC$57,14,0)*W765/1000,0)</f>
        <v>0</v>
      </c>
      <c r="AA765" s="30"/>
      <c r="AB765" s="35"/>
      <c r="AC765" s="35"/>
      <c r="AD765" s="35"/>
      <c r="AE765" s="31"/>
      <c r="AF765" s="160"/>
      <c r="AG765" s="391"/>
      <c r="AH765" s="394"/>
      <c r="AI765" s="397"/>
      <c r="AJ765" s="408"/>
      <c r="AK765" s="360"/>
      <c r="AL765" s="360"/>
      <c r="AM765" s="360"/>
      <c r="AN765" s="289">
        <f>IFERROR(Y765*AJ762/Y768,)</f>
        <v>0</v>
      </c>
      <c r="AO765" s="197" t="str">
        <f>IFERROR(VLOOKUP($G765,нормы!$A$14:$BC$57,53,0)*$W765,"")</f>
        <v/>
      </c>
      <c r="AP765" s="290">
        <f>IFERROR(Y765*AI762/Y768,)</f>
        <v>0</v>
      </c>
      <c r="AQ765" s="197" t="str">
        <f>IFERROR(VLOOKUP($G765,нормы!$A$14:$BC$57,54,0)*$W765,"")</f>
        <v/>
      </c>
      <c r="AR765" s="290">
        <f>IFERROR(AS765/SUM(AS762:AS767)*AL762,0)</f>
        <v>0</v>
      </c>
      <c r="AS765" s="197" t="str">
        <f>IFERROR(VLOOKUP($G765,нормы!$A$14:$BC$57,55,0)*W765,"")</f>
        <v/>
      </c>
      <c r="AT765" s="290">
        <f>IFERROR(AU765/SUM(AU762:AU767)*AM762,0)</f>
        <v>0</v>
      </c>
      <c r="AU765" s="197" t="str">
        <f>IFERROR(VLOOKUP($G765,нормы!$A$14:$BI$57,56,0)*W765,"")</f>
        <v/>
      </c>
      <c r="AV765" s="290">
        <f>IFERROR(AW765/SUM(AW762:AW767)*AK762,0)</f>
        <v>0</v>
      </c>
      <c r="AW765" s="202" t="str">
        <f>IFERROR(VLOOKUP($G765,нормы!$A$14:$BI$57,57,0)*W765,"")</f>
        <v/>
      </c>
      <c r="AX765" s="30"/>
      <c r="AY765" s="203" t="str">
        <f>IFERROR(VLOOKUP($G765,нормы!$A$14:$BI$57,58,0)*W765,"")</f>
        <v/>
      </c>
      <c r="AZ765" s="205"/>
      <c r="BA765" s="200" t="str">
        <f>IFERROR(VLOOKUP($G765,нормы!$A$14:$BI$57,61,0)*$W765,"")</f>
        <v/>
      </c>
      <c r="BB765" s="30"/>
      <c r="BC765" s="203" t="str">
        <f>IFERROR(VLOOKUP($G765,нормы!$A$14:$BI$57,60,0)*W765,"")</f>
        <v/>
      </c>
      <c r="BD765" s="200" t="str">
        <f>IFERROR(VLOOKUP($G765,нормы!$A$14:$BG$57,44,0),"")</f>
        <v/>
      </c>
      <c r="BE765" s="199" t="str">
        <f>IFERROR(W765/VLOOKUP($G765,нормы!$A$14:$BI$57,45,0),"")</f>
        <v/>
      </c>
    </row>
    <row r="766" spans="1:57" s="1" customFormat="1" ht="20.25" customHeight="1" x14ac:dyDescent="0.4">
      <c r="A766" s="37" t="str">
        <f t="shared" si="302"/>
        <v>13Д</v>
      </c>
      <c r="B766" s="12">
        <f t="shared" si="305"/>
        <v>46035</v>
      </c>
      <c r="C766" s="97">
        <f t="shared" si="305"/>
        <v>0</v>
      </c>
      <c r="D766" s="97">
        <f t="shared" si="305"/>
        <v>2</v>
      </c>
      <c r="E766" s="54"/>
      <c r="F766" s="151" t="str">
        <f>IFERROR(VLOOKUP($G766,нормы!$A$14:$BC$57,2,0),"")</f>
        <v/>
      </c>
      <c r="G766" s="38"/>
      <c r="H766" s="54">
        <f t="shared" si="306"/>
        <v>0</v>
      </c>
      <c r="I766" s="89" t="s">
        <v>73</v>
      </c>
      <c r="J766" s="333"/>
      <c r="K766" s="30">
        <f>IFERROR(VLOOKUP($G766,[1]нормы!$A$21:$BC$151,15,0),"")</f>
        <v>0</v>
      </c>
      <c r="L766" s="31">
        <f>IFERROR(VLOOKUP($G766,[1]нормы!$A$21:$BC$151,17,0),"")</f>
        <v>0</v>
      </c>
      <c r="M766" s="306">
        <f>IFERROR(VLOOKUP($G766,[1]нормы!$A$21:$BC$151,27,0),"")</f>
        <v>0</v>
      </c>
      <c r="N766" s="307" t="str">
        <f>IFERROR(Y766/Y768*(1.1*J762*I771),"")</f>
        <v/>
      </c>
      <c r="O766" s="300">
        <f>IFERROR(VLOOKUP($G766,[1]нормы!$A$21:$BC$151,21,0),"")</f>
        <v>0</v>
      </c>
      <c r="P766" s="35">
        <f>IFERROR(VLOOKUP($G766,[1]нормы!$A$21:$BC$151,19,0),"")</f>
        <v>0</v>
      </c>
      <c r="Q766" s="35">
        <f>IFERROR(VLOOKUP($G766,[1]нормы!$A$21:$BC$151,23,0),"")</f>
        <v>0</v>
      </c>
      <c r="R766" s="231">
        <f>IFERROR(VLOOKUP($G766,[1]нормы!$A$21:$BC$151,29,0),"")</f>
        <v>0</v>
      </c>
      <c r="S766" s="35">
        <f>IFERROR(VLOOKUP($G766,[1]нормы!$A$21:$BC$151,31,0),"")</f>
        <v>0</v>
      </c>
      <c r="T766" s="32">
        <f>IFERROR(VLOOKUP($G766,[1]нормы!$A$21:$BC$151,25,0),"")</f>
        <v>0</v>
      </c>
      <c r="U766" s="233" t="str">
        <f>IFERROR(W766/(((100*Y766/Y768)*I767)/100),"")</f>
        <v/>
      </c>
      <c r="V766" s="234" t="str">
        <f>IFERROR(VLOOKUP($G766,нормы!$A$14:$BC$57,38,0),"")</f>
        <v/>
      </c>
      <c r="W766" s="136"/>
      <c r="X766" s="237"/>
      <c r="Y766" s="152" t="str">
        <f>IFERROR(VLOOKUP($G766,нормы!$A$14:$BC$57,42,0)*W766,"")</f>
        <v/>
      </c>
      <c r="Z766" s="163">
        <f>IFERROR(VLOOKUP($G766,нормы!$A$14:$BC$57,14,0)*W766/1000,0)</f>
        <v>0</v>
      </c>
      <c r="AA766" s="30"/>
      <c r="AB766" s="35"/>
      <c r="AC766" s="35"/>
      <c r="AD766" s="35"/>
      <c r="AE766" s="31"/>
      <c r="AF766" s="160"/>
      <c r="AG766" s="391"/>
      <c r="AH766" s="394"/>
      <c r="AI766" s="397"/>
      <c r="AJ766" s="408"/>
      <c r="AK766" s="360"/>
      <c r="AL766" s="360"/>
      <c r="AM766" s="360"/>
      <c r="AN766" s="289">
        <f>IFERROR(Y766*AJ762/Y768,)</f>
        <v>0</v>
      </c>
      <c r="AO766" s="197" t="str">
        <f>IFERROR(VLOOKUP($G766,нормы!$A$14:$BC$57,53,0)*$W766,"")</f>
        <v/>
      </c>
      <c r="AP766" s="290">
        <f>IFERROR(Y766*AI762/Y768,)</f>
        <v>0</v>
      </c>
      <c r="AQ766" s="197" t="str">
        <f>IFERROR(VLOOKUP($G766,нормы!$A$14:$BC$57,54,0)*$W766,"")</f>
        <v/>
      </c>
      <c r="AR766" s="290">
        <f>IFERROR(AS766/SUM(AS762:AS767)*AL762,0)</f>
        <v>0</v>
      </c>
      <c r="AS766" s="197" t="str">
        <f>IFERROR(VLOOKUP($G766,нормы!$A$14:$BC$57,55,0)*W766,"")</f>
        <v/>
      </c>
      <c r="AT766" s="290">
        <f>IFERROR(AU766/SUM(AU762:AU767)*AM762,0)</f>
        <v>0</v>
      </c>
      <c r="AU766" s="197" t="str">
        <f>IFERROR(VLOOKUP($G766,нормы!$A$14:$BI$57,56,0)*W766,"")</f>
        <v/>
      </c>
      <c r="AV766" s="290">
        <f>IFERROR(AW766/SUM(AW762:AW767)*AK762,0)</f>
        <v>0</v>
      </c>
      <c r="AW766" s="202" t="str">
        <f>IFERROR(VLOOKUP($G766,нормы!$A$14:$BI$57,57,0)*W766,"")</f>
        <v/>
      </c>
      <c r="AX766" s="30"/>
      <c r="AY766" s="203" t="str">
        <f>IFERROR(VLOOKUP($G766,нормы!$A$14:$BI$57,58,0)*W766,"")</f>
        <v/>
      </c>
      <c r="AZ766" s="205"/>
      <c r="BA766" s="200" t="str">
        <f>IFERROR(VLOOKUP($G766,нормы!$A$14:$BI$57,61,0)*$W766,"")</f>
        <v/>
      </c>
      <c r="BB766" s="30"/>
      <c r="BC766" s="203" t="str">
        <f>IFERROR(VLOOKUP($G766,нормы!$A$14:$BI$57,60,0)*W766,"")</f>
        <v/>
      </c>
      <c r="BD766" s="200" t="str">
        <f>IFERROR(VLOOKUP($G766,нормы!$A$14:$BG$57,44,0),"")</f>
        <v/>
      </c>
      <c r="BE766" s="199" t="str">
        <f>IFERROR(W766/VLOOKUP($G766,нормы!$A$14:$BI$57,45,0),"")</f>
        <v/>
      </c>
    </row>
    <row r="767" spans="1:57" s="1" customFormat="1" ht="21" customHeight="1" thickBot="1" x14ac:dyDescent="0.45">
      <c r="A767" s="37" t="str">
        <f t="shared" si="302"/>
        <v>13Д</v>
      </c>
      <c r="B767" s="12">
        <f t="shared" si="305"/>
        <v>46035</v>
      </c>
      <c r="C767" s="97">
        <f t="shared" si="305"/>
        <v>0</v>
      </c>
      <c r="D767" s="97">
        <f t="shared" si="305"/>
        <v>2</v>
      </c>
      <c r="E767" s="54"/>
      <c r="F767" s="151" t="str">
        <f>IFERROR(VLOOKUP($G767,нормы!$A$14:$BC$57,2,0),"")</f>
        <v/>
      </c>
      <c r="G767" s="93"/>
      <c r="H767" s="63">
        <f t="shared" si="306"/>
        <v>0</v>
      </c>
      <c r="I767" s="153">
        <f>I763+I765</f>
        <v>0</v>
      </c>
      <c r="J767" s="334"/>
      <c r="K767" s="30">
        <f>IFERROR(VLOOKUP($G767,[1]нормы!$A$21:$BC$151,15,0),"")</f>
        <v>0</v>
      </c>
      <c r="L767" s="31">
        <f>IFERROR(VLOOKUP($G767,[1]нормы!$A$21:$BC$151,17,0),"")</f>
        <v>0</v>
      </c>
      <c r="M767" s="308">
        <f>IFERROR(VLOOKUP($G767,[1]нормы!$A$21:$BC$151,27,0),"")</f>
        <v>0</v>
      </c>
      <c r="N767" s="309" t="str">
        <f>IFERROR(Y767/Y768*(1.1*J762*I772),"")</f>
        <v/>
      </c>
      <c r="O767" s="300">
        <f>IFERROR(VLOOKUP($G767,[1]нормы!$A$21:$BC$151,21,0),"")</f>
        <v>0</v>
      </c>
      <c r="P767" s="35">
        <f>IFERROR(VLOOKUP($G767,[1]нормы!$A$21:$BC$151,19,0),"")</f>
        <v>0</v>
      </c>
      <c r="Q767" s="35">
        <f>IFERROR(VLOOKUP($G767,[1]нормы!$A$21:$BC$151,23,0),"")</f>
        <v>0</v>
      </c>
      <c r="R767" s="231">
        <f>IFERROR(VLOOKUP($G767,[1]нормы!$A$21:$BC$151,29,0),"")</f>
        <v>0</v>
      </c>
      <c r="S767" s="35">
        <f>IFERROR(VLOOKUP($G767,[1]нормы!$A$21:$BC$151,31,0),"")</f>
        <v>0</v>
      </c>
      <c r="T767" s="32">
        <f>IFERROR(VLOOKUP($G767,[1]нормы!$A$21:$BC$151,25,0),"")</f>
        <v>0</v>
      </c>
      <c r="U767" s="235" t="str">
        <f>IFERROR(W767/(((100*Y767/Y768)*I767)/100),"")</f>
        <v/>
      </c>
      <c r="V767" s="234" t="str">
        <f>IFERROR(VLOOKUP($G767,нормы!$A$14:$BC$57,38,0),"")</f>
        <v/>
      </c>
      <c r="W767" s="154"/>
      <c r="X767" s="238"/>
      <c r="Y767" s="152" t="str">
        <f>IFERROR(VLOOKUP($G767,нормы!$A$14:$BC$57,42,0)*W767,"")</f>
        <v/>
      </c>
      <c r="Z767" s="163">
        <f>IFERROR(VLOOKUP($G767,нормы!$A$14:$BC$57,14,0)*W767/1000,0)</f>
        <v>0</v>
      </c>
      <c r="AA767" s="56"/>
      <c r="AB767" s="58"/>
      <c r="AC767" s="58"/>
      <c r="AD767" s="58"/>
      <c r="AE767" s="57"/>
      <c r="AF767" s="161"/>
      <c r="AG767" s="392"/>
      <c r="AH767" s="395"/>
      <c r="AI767" s="398"/>
      <c r="AJ767" s="409"/>
      <c r="AK767" s="361"/>
      <c r="AL767" s="361"/>
      <c r="AM767" s="361"/>
      <c r="AN767" s="291">
        <f>IFERROR(Y767*AJ762/Y768,)</f>
        <v>0</v>
      </c>
      <c r="AO767" s="197" t="str">
        <f>IFERROR(VLOOKUP($G767,нормы!$A$14:$BC$57,53,0)*$W767,"")</f>
        <v/>
      </c>
      <c r="AP767" s="292">
        <f>IFERROR(Y767*AI762/Y768,)</f>
        <v>0</v>
      </c>
      <c r="AQ767" s="197" t="str">
        <f>IFERROR(VLOOKUP($G767,нормы!$A$14:$BC$57,54,0)*$W767,"")</f>
        <v/>
      </c>
      <c r="AR767" s="290">
        <f>IFERROR(AS767/SUM(AS762:AS767)*AL762,0)</f>
        <v>0</v>
      </c>
      <c r="AS767" s="197" t="str">
        <f>IFERROR(VLOOKUP($G767,нормы!$A$14:$BC$57,55,0)*W767,"")</f>
        <v/>
      </c>
      <c r="AT767" s="292">
        <f>IFERROR(AU767/SUM(AU762:AU767)*AM762,0)</f>
        <v>0</v>
      </c>
      <c r="AU767" s="197" t="str">
        <f>IFERROR(VLOOKUP($G767,нормы!$A$14:$BI$57,56,0)*W767,"")</f>
        <v/>
      </c>
      <c r="AV767" s="292">
        <f>IFERROR(AW767/SUM(AW762:AW767)*AK762,0)</f>
        <v>0</v>
      </c>
      <c r="AW767" s="202" t="str">
        <f>IFERROR(VLOOKUP($G767,нормы!$A$14:$BI$57,57,0)*W767,"")</f>
        <v/>
      </c>
      <c r="AX767" s="56"/>
      <c r="AY767" s="203" t="str">
        <f>IFERROR(VLOOKUP($G767,нормы!$A$14:$BI$57,58,0)*W767,"")</f>
        <v/>
      </c>
      <c r="AZ767" s="206"/>
      <c r="BA767" s="200" t="str">
        <f>IFERROR(VLOOKUP($G767,нормы!$A$14:$BI$57,61,0)*$W767,"")</f>
        <v/>
      </c>
      <c r="BB767" s="56"/>
      <c r="BC767" s="203" t="str">
        <f>IFERROR(VLOOKUP($G767,нормы!$A$14:$BI$57,60,0)*W767,"")</f>
        <v/>
      </c>
      <c r="BD767" s="200" t="str">
        <f>IFERROR(VLOOKUP($G767,нормы!$A$14:$BG$57,44,0),"")</f>
        <v/>
      </c>
      <c r="BE767" s="199" t="str">
        <f>IFERROR(W767/VLOOKUP($G767,нормы!$A$14:$BI$57,45,0),"")</f>
        <v/>
      </c>
    </row>
    <row r="768" spans="1:57" s="1" customFormat="1" ht="29.4" customHeight="1" thickBot="1" x14ac:dyDescent="0.45">
      <c r="A768" s="37" t="str">
        <f t="shared" si="302"/>
        <v>13Д</v>
      </c>
      <c r="B768" s="59"/>
      <c r="C768" s="51"/>
      <c r="D768" s="51"/>
      <c r="E768" s="51"/>
      <c r="F768" s="51"/>
      <c r="G768" s="51"/>
      <c r="H768" s="51"/>
      <c r="I768" s="60"/>
      <c r="J768" s="60"/>
      <c r="K768" s="319" t="s">
        <v>213</v>
      </c>
      <c r="L768" s="316"/>
      <c r="M768" s="303" t="s">
        <v>213</v>
      </c>
      <c r="N768" s="317">
        <f>SUM(N762:N767)</f>
        <v>0</v>
      </c>
      <c r="O768" s="304" t="s">
        <v>217</v>
      </c>
      <c r="P768" s="318">
        <f>N768*8.937/1000</f>
        <v>0</v>
      </c>
      <c r="Q768" s="305" t="s">
        <v>215</v>
      </c>
      <c r="R768" s="61"/>
      <c r="S768" s="61"/>
      <c r="T768" s="61"/>
      <c r="U768" s="109"/>
      <c r="V768" s="109"/>
      <c r="W768" s="94"/>
      <c r="X768" s="155"/>
      <c r="Y768" s="96">
        <f>SUM(Y762:Y767)</f>
        <v>0</v>
      </c>
      <c r="Z768" s="164">
        <f>SUM(Z762:Z767)</f>
        <v>0</v>
      </c>
      <c r="AA768" s="207">
        <f>(AA754+AA755+AA756+AA757+AA758+AA759+AA760+AA762+AA763+AA764+AA765+AA766+AA767)-AG755</f>
        <v>1</v>
      </c>
      <c r="AB768" s="208">
        <f>(AB754+AB755+AB756+AB757+AB758+AB759+AB760+AB762+AB763+AB764+AB765+AB766+AB767)-AH755</f>
        <v>2</v>
      </c>
      <c r="AC768" s="208">
        <f>(AC754+AC755+AC756+AC757+AC758+AC759+AC760+AC762+AC763+AC764+AC765+AC766+AC767)-AG762</f>
        <v>3</v>
      </c>
      <c r="AD768" s="208">
        <f>(AD754+AD755+AD756+AD757+AD758+AD759+AD760+AD762+AD763+AD764+AD765+AD766+AD767)-AH762</f>
        <v>4</v>
      </c>
      <c r="AE768" s="208">
        <f>(AE754+AE755+AE756+AE757+AE758+AE759+AE760+AE762+AE763+AE764+AE765+AE766+AE767)-AI755</f>
        <v>5</v>
      </c>
      <c r="AF768" s="209">
        <f>(AF754+AF755+AF756+AF757+AF758+AF759+AF760+AF762+AF763+AF764+AF765+AF766+AF767)-AI762</f>
        <v>6</v>
      </c>
      <c r="AG768" s="62"/>
      <c r="AH768" s="62"/>
      <c r="AI768" s="62"/>
      <c r="AJ768" s="62"/>
      <c r="AK768" s="62"/>
      <c r="AL768" s="62"/>
      <c r="AM768" s="62"/>
      <c r="AN768" s="91">
        <f>SUM(AN762:AN767)</f>
        <v>0</v>
      </c>
      <c r="AO768" s="91">
        <f>SUM(AO762:AO767)</f>
        <v>0</v>
      </c>
      <c r="AP768" s="91"/>
      <c r="AQ768" s="91"/>
      <c r="AR768" s="91">
        <f>SUM(AR762:AR767)</f>
        <v>0</v>
      </c>
      <c r="AS768" s="91">
        <f t="shared" ref="AS768:AW768" si="307">SUM(AS762:AS767)</f>
        <v>0</v>
      </c>
      <c r="AT768" s="91">
        <f t="shared" si="307"/>
        <v>0</v>
      </c>
      <c r="AU768" s="91">
        <f t="shared" si="307"/>
        <v>0</v>
      </c>
      <c r="AV768" s="91">
        <f t="shared" si="307"/>
        <v>0</v>
      </c>
      <c r="AW768" s="91">
        <f t="shared" si="307"/>
        <v>0</v>
      </c>
      <c r="AX768" s="91">
        <f>SUM(AX762:AX767)</f>
        <v>0</v>
      </c>
      <c r="AY768" s="91">
        <f>SUM(AY762:AY767)</f>
        <v>0</v>
      </c>
      <c r="AZ768" s="91">
        <f>SUM(AZ762:AZ767)</f>
        <v>0</v>
      </c>
      <c r="BA768" s="91"/>
      <c r="BB768" s="91"/>
      <c r="BC768" s="91"/>
      <c r="BD768" s="91" t="str">
        <f>IFERROR(VLOOKUP($G768,нормы!$A$14:$BG$15,27,0),"")</f>
        <v/>
      </c>
      <c r="BE768" s="53" t="str">
        <f>IFERROR(W768/VLOOKUP($G768,нормы!$A$14:$BI$15,28,0),"")</f>
        <v/>
      </c>
    </row>
    <row r="769" spans="1:57" s="1" customFormat="1" ht="29.4" customHeight="1" thickBot="1" x14ac:dyDescent="0.5">
      <c r="A769" s="37" t="str">
        <f t="shared" si="302"/>
        <v>13Д</v>
      </c>
      <c r="B769" s="166" t="s">
        <v>130</v>
      </c>
      <c r="C769" s="167"/>
      <c r="D769" s="167"/>
      <c r="E769" s="167"/>
      <c r="F769" s="165"/>
      <c r="G769" s="167"/>
      <c r="H769" s="167"/>
      <c r="I769" s="168"/>
      <c r="J769" s="168"/>
      <c r="K769" s="168"/>
      <c r="L769" s="168"/>
      <c r="M769" s="168"/>
      <c r="N769" s="168"/>
      <c r="O769" s="167"/>
      <c r="P769" s="169"/>
      <c r="Q769" s="169"/>
      <c r="R769" s="169"/>
      <c r="S769" s="169"/>
      <c r="T769" s="169"/>
      <c r="U769" s="170"/>
      <c r="V769" s="170"/>
      <c r="W769" s="171"/>
      <c r="X769" s="171"/>
      <c r="Y769" s="172"/>
      <c r="Z769" s="172"/>
      <c r="AA769" s="201" t="s">
        <v>144</v>
      </c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64"/>
      <c r="AN769" s="167"/>
      <c r="AO769" s="167"/>
      <c r="AP769" s="167"/>
      <c r="AQ769" s="167"/>
      <c r="AR769" s="64"/>
      <c r="AS769" s="64"/>
      <c r="AT769" s="65"/>
      <c r="AU769" s="64"/>
      <c r="AV769" s="49"/>
      <c r="AW769" s="49"/>
      <c r="AX769" s="167"/>
      <c r="AY769" s="167"/>
      <c r="AZ769" s="167"/>
      <c r="BA769" s="167"/>
      <c r="BB769" s="167"/>
      <c r="BC769" s="167"/>
      <c r="BD769" s="66"/>
      <c r="BE769" s="66"/>
    </row>
    <row r="770" spans="1:57" s="1" customFormat="1" ht="23.25" customHeight="1" x14ac:dyDescent="0.4">
      <c r="A770" s="37" t="str">
        <f t="shared" si="302"/>
        <v>13Д</v>
      </c>
      <c r="B770" s="183"/>
      <c r="C770" s="100"/>
      <c r="D770" s="185"/>
      <c r="E770" s="186" t="s">
        <v>57</v>
      </c>
      <c r="F770" s="66" t="s">
        <v>87</v>
      </c>
      <c r="G770" s="66"/>
      <c r="H770" s="108" t="s">
        <v>131</v>
      </c>
      <c r="I770" s="101"/>
      <c r="J770" s="101"/>
      <c r="K770" s="101"/>
      <c r="L770" s="101"/>
      <c r="M770" s="101"/>
      <c r="N770" s="101"/>
      <c r="O770" s="67"/>
      <c r="P770" s="102"/>
      <c r="Q770" s="102"/>
      <c r="R770" s="102"/>
      <c r="S770" s="102"/>
      <c r="T770" s="102"/>
      <c r="U770" s="67"/>
      <c r="V770" s="67"/>
      <c r="W770" s="103"/>
      <c r="X770" s="187"/>
      <c r="Y770" s="68" t="s">
        <v>74</v>
      </c>
      <c r="Z770" s="69"/>
      <c r="AA770" s="90"/>
      <c r="AB770" s="100"/>
      <c r="AC770" s="100"/>
      <c r="AD770" s="186" t="s">
        <v>57</v>
      </c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190"/>
      <c r="AU770" s="66"/>
      <c r="AV770" s="165"/>
      <c r="AW770" s="293"/>
      <c r="AX770" s="66"/>
      <c r="AY770" s="66"/>
      <c r="AZ770" s="66"/>
      <c r="BA770" s="66"/>
      <c r="BB770" s="66"/>
      <c r="BC770" s="66"/>
      <c r="BD770" s="68" t="s">
        <v>74</v>
      </c>
      <c r="BE770" s="69"/>
    </row>
    <row r="771" spans="1:57" s="1" customFormat="1" ht="23.25" customHeight="1" thickBot="1" x14ac:dyDescent="0.45">
      <c r="A771" s="37" t="str">
        <f t="shared" si="302"/>
        <v>13Д</v>
      </c>
      <c r="B771" s="183"/>
      <c r="C771" s="41"/>
      <c r="D771" s="184"/>
      <c r="E771" s="50"/>
      <c r="F771" s="70"/>
      <c r="G771" s="70"/>
      <c r="H771" s="70"/>
      <c r="I771" s="104"/>
      <c r="J771" s="104"/>
      <c r="K771" s="104"/>
      <c r="L771" s="104"/>
      <c r="M771" s="104"/>
      <c r="N771" s="104"/>
      <c r="O771" s="71"/>
      <c r="P771" s="105"/>
      <c r="Q771" s="105"/>
      <c r="R771" s="105"/>
      <c r="S771" s="105"/>
      <c r="T771" s="105"/>
      <c r="U771" s="71"/>
      <c r="V771" s="71"/>
      <c r="W771" s="106"/>
      <c r="X771" s="188"/>
      <c r="Y771" s="72"/>
      <c r="Z771" s="73"/>
      <c r="AA771" s="90"/>
      <c r="AB771" s="41"/>
      <c r="AC771" s="41"/>
      <c r="AD771" s="50"/>
      <c r="AE771" s="47"/>
      <c r="AF771" s="47"/>
      <c r="AG771" s="47"/>
      <c r="AH771" s="47"/>
      <c r="AI771" s="47"/>
      <c r="AJ771" s="47"/>
      <c r="AK771" s="47"/>
      <c r="AL771" s="47"/>
      <c r="AM771" s="70"/>
      <c r="AN771" s="47"/>
      <c r="AO771" s="70"/>
      <c r="AP771" s="70"/>
      <c r="AQ771" s="70"/>
      <c r="AR771" s="70"/>
      <c r="AS771" s="70"/>
      <c r="AT771" s="191"/>
      <c r="AU771" s="70"/>
      <c r="AV771" s="192"/>
      <c r="AW771" s="294"/>
      <c r="AX771" s="70"/>
      <c r="AY771" s="70"/>
      <c r="AZ771" s="70"/>
      <c r="BA771" s="70"/>
      <c r="BB771" s="70"/>
      <c r="BC771" s="70"/>
      <c r="BD771" s="72"/>
      <c r="BE771" s="73"/>
    </row>
    <row r="772" spans="1:57" s="1" customFormat="1" ht="23.25" customHeight="1" x14ac:dyDescent="0.4">
      <c r="A772" s="37" t="str">
        <f t="shared" si="302"/>
        <v>13Д</v>
      </c>
      <c r="B772" s="183"/>
      <c r="C772" s="41"/>
      <c r="D772" s="184"/>
      <c r="E772" s="281">
        <f>B767</f>
        <v>46035</v>
      </c>
      <c r="F772" s="337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98">
        <v>1</v>
      </c>
      <c r="Y772" s="74">
        <v>1</v>
      </c>
      <c r="Z772" s="75">
        <f t="shared" ref="Z772:Z783" si="308">Y772-X772</f>
        <v>0</v>
      </c>
      <c r="AA772" s="189"/>
      <c r="AB772" s="41"/>
      <c r="AC772" s="184"/>
      <c r="AD772" s="210">
        <f>E772</f>
        <v>46035</v>
      </c>
      <c r="AE772" s="387"/>
      <c r="AF772" s="388"/>
      <c r="AG772" s="388"/>
      <c r="AH772" s="388"/>
      <c r="AI772" s="388"/>
      <c r="AJ772" s="388"/>
      <c r="AK772" s="388"/>
      <c r="AL772" s="388"/>
      <c r="AM772" s="388"/>
      <c r="AN772" s="388"/>
      <c r="AO772" s="388"/>
      <c r="AP772" s="388"/>
      <c r="AQ772" s="388"/>
      <c r="AR772" s="388"/>
      <c r="AS772" s="388"/>
      <c r="AT772" s="388"/>
      <c r="AU772" s="388"/>
      <c r="AV772" s="388"/>
      <c r="AW772" s="388"/>
      <c r="AX772" s="388"/>
      <c r="AY772" s="388"/>
      <c r="AZ772" s="388"/>
      <c r="BA772" s="388"/>
      <c r="BB772" s="389"/>
      <c r="BC772" s="98">
        <v>1</v>
      </c>
      <c r="BD772" s="74">
        <v>1</v>
      </c>
      <c r="BE772" s="75">
        <f t="shared" ref="BE772:BE783" si="309">BD772-BC772</f>
        <v>0</v>
      </c>
    </row>
    <row r="773" spans="1:57" s="1" customFormat="1" ht="27" customHeight="1" x14ac:dyDescent="0.4">
      <c r="A773" s="37" t="str">
        <f t="shared" si="302"/>
        <v>13Д</v>
      </c>
      <c r="B773" s="183"/>
      <c r="C773" s="41"/>
      <c r="D773" s="184"/>
      <c r="E773" s="282">
        <f>E772</f>
        <v>46035</v>
      </c>
      <c r="F773" s="335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  <c r="R773" s="336"/>
      <c r="S773" s="336"/>
      <c r="T773" s="336"/>
      <c r="U773" s="336"/>
      <c r="V773" s="336"/>
      <c r="W773" s="336"/>
      <c r="X773" s="98">
        <v>1</v>
      </c>
      <c r="Y773" s="74">
        <v>1</v>
      </c>
      <c r="Z773" s="75">
        <f t="shared" si="308"/>
        <v>0</v>
      </c>
      <c r="AA773" s="107">
        <f>AA772</f>
        <v>0</v>
      </c>
      <c r="AB773" s="41"/>
      <c r="AC773" s="184"/>
      <c r="AD773" s="212">
        <f>AD772</f>
        <v>46035</v>
      </c>
      <c r="AE773" s="387"/>
      <c r="AF773" s="388"/>
      <c r="AG773" s="388"/>
      <c r="AH773" s="388"/>
      <c r="AI773" s="388"/>
      <c r="AJ773" s="388"/>
      <c r="AK773" s="388"/>
      <c r="AL773" s="388"/>
      <c r="AM773" s="388"/>
      <c r="AN773" s="388"/>
      <c r="AO773" s="388"/>
      <c r="AP773" s="388"/>
      <c r="AQ773" s="388"/>
      <c r="AR773" s="388"/>
      <c r="AS773" s="388"/>
      <c r="AT773" s="388"/>
      <c r="AU773" s="388"/>
      <c r="AV773" s="388"/>
      <c r="AW773" s="388"/>
      <c r="AX773" s="388"/>
      <c r="AY773" s="388"/>
      <c r="AZ773" s="388"/>
      <c r="BA773" s="388"/>
      <c r="BB773" s="389"/>
      <c r="BC773" s="98">
        <v>1</v>
      </c>
      <c r="BD773" s="74">
        <v>1</v>
      </c>
      <c r="BE773" s="75">
        <f t="shared" si="309"/>
        <v>0</v>
      </c>
    </row>
    <row r="774" spans="1:57" s="1" customFormat="1" ht="25.5" customHeight="1" x14ac:dyDescent="0.4">
      <c r="A774" s="37" t="str">
        <f t="shared" si="302"/>
        <v>13Д</v>
      </c>
      <c r="B774" s="183"/>
      <c r="C774" s="41"/>
      <c r="D774" s="184"/>
      <c r="E774" s="282">
        <f t="shared" ref="E774:E783" si="310">E773</f>
        <v>46035</v>
      </c>
      <c r="F774" s="335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  <c r="R774" s="336"/>
      <c r="S774" s="336"/>
      <c r="T774" s="336"/>
      <c r="U774" s="336"/>
      <c r="V774" s="336"/>
      <c r="W774" s="336"/>
      <c r="X774" s="98">
        <v>1</v>
      </c>
      <c r="Y774" s="74">
        <v>1</v>
      </c>
      <c r="Z774" s="75">
        <f t="shared" si="308"/>
        <v>0</v>
      </c>
      <c r="AA774" s="107">
        <f>AA773</f>
        <v>0</v>
      </c>
      <c r="AB774" s="41"/>
      <c r="AC774" s="184"/>
      <c r="AD774" s="212">
        <f t="shared" ref="AD774:AD783" si="311">AD773</f>
        <v>46035</v>
      </c>
      <c r="AE774" s="387"/>
      <c r="AF774" s="388"/>
      <c r="AG774" s="388"/>
      <c r="AH774" s="388"/>
      <c r="AI774" s="388"/>
      <c r="AJ774" s="388"/>
      <c r="AK774" s="388"/>
      <c r="AL774" s="388"/>
      <c r="AM774" s="388"/>
      <c r="AN774" s="388"/>
      <c r="AO774" s="388"/>
      <c r="AP774" s="388"/>
      <c r="AQ774" s="388"/>
      <c r="AR774" s="388"/>
      <c r="AS774" s="388"/>
      <c r="AT774" s="388"/>
      <c r="AU774" s="388"/>
      <c r="AV774" s="388"/>
      <c r="AW774" s="388"/>
      <c r="AX774" s="388"/>
      <c r="AY774" s="388"/>
      <c r="AZ774" s="388"/>
      <c r="BA774" s="388"/>
      <c r="BB774" s="389"/>
      <c r="BC774" s="98">
        <v>1</v>
      </c>
      <c r="BD774" s="74">
        <v>1</v>
      </c>
      <c r="BE774" s="75">
        <f t="shared" si="309"/>
        <v>0</v>
      </c>
    </row>
    <row r="775" spans="1:57" s="1" customFormat="1" ht="18" customHeight="1" x14ac:dyDescent="0.4">
      <c r="A775" s="37" t="str">
        <f t="shared" si="302"/>
        <v>13Д</v>
      </c>
      <c r="B775" s="183"/>
      <c r="C775" s="41"/>
      <c r="D775" s="184"/>
      <c r="E775" s="282">
        <f t="shared" si="310"/>
        <v>46035</v>
      </c>
      <c r="F775" s="335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  <c r="R775" s="336"/>
      <c r="S775" s="336"/>
      <c r="T775" s="336"/>
      <c r="U775" s="336"/>
      <c r="V775" s="336"/>
      <c r="W775" s="336"/>
      <c r="X775" s="98">
        <v>1</v>
      </c>
      <c r="Y775" s="74">
        <v>1</v>
      </c>
      <c r="Z775" s="75">
        <f t="shared" si="308"/>
        <v>0</v>
      </c>
      <c r="AA775" s="107">
        <f t="shared" ref="AA775:AA783" si="312">AA774</f>
        <v>0</v>
      </c>
      <c r="AB775" s="41"/>
      <c r="AC775" s="184"/>
      <c r="AD775" s="212">
        <f t="shared" si="311"/>
        <v>46035</v>
      </c>
      <c r="AE775" s="387"/>
      <c r="AF775" s="388"/>
      <c r="AG775" s="388"/>
      <c r="AH775" s="388"/>
      <c r="AI775" s="388"/>
      <c r="AJ775" s="388"/>
      <c r="AK775" s="388"/>
      <c r="AL775" s="388"/>
      <c r="AM775" s="388"/>
      <c r="AN775" s="388"/>
      <c r="AO775" s="388"/>
      <c r="AP775" s="388"/>
      <c r="AQ775" s="388"/>
      <c r="AR775" s="388"/>
      <c r="AS775" s="388"/>
      <c r="AT775" s="388"/>
      <c r="AU775" s="388"/>
      <c r="AV775" s="388"/>
      <c r="AW775" s="388"/>
      <c r="AX775" s="388"/>
      <c r="AY775" s="388"/>
      <c r="AZ775" s="388"/>
      <c r="BA775" s="388"/>
      <c r="BB775" s="389"/>
      <c r="BC775" s="98">
        <v>1</v>
      </c>
      <c r="BD775" s="74">
        <v>1</v>
      </c>
      <c r="BE775" s="75">
        <f t="shared" si="309"/>
        <v>0</v>
      </c>
    </row>
    <row r="776" spans="1:57" s="1" customFormat="1" ht="18" customHeight="1" x14ac:dyDescent="0.4">
      <c r="A776" s="37" t="str">
        <f t="shared" si="302"/>
        <v>13Д</v>
      </c>
      <c r="B776" s="183"/>
      <c r="C776" s="41"/>
      <c r="D776" s="184"/>
      <c r="E776" s="282">
        <f t="shared" si="310"/>
        <v>46035</v>
      </c>
      <c r="F776" s="335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  <c r="R776" s="336"/>
      <c r="S776" s="336"/>
      <c r="T776" s="336"/>
      <c r="U776" s="336"/>
      <c r="V776" s="336"/>
      <c r="W776" s="336"/>
      <c r="X776" s="98">
        <v>1</v>
      </c>
      <c r="Y776" s="74">
        <v>1</v>
      </c>
      <c r="Z776" s="75">
        <f t="shared" si="308"/>
        <v>0</v>
      </c>
      <c r="AA776" s="107">
        <f t="shared" si="312"/>
        <v>0</v>
      </c>
      <c r="AB776" s="41"/>
      <c r="AC776" s="184"/>
      <c r="AD776" s="212">
        <f t="shared" si="311"/>
        <v>46035</v>
      </c>
      <c r="AE776" s="387"/>
      <c r="AF776" s="388"/>
      <c r="AG776" s="388"/>
      <c r="AH776" s="388"/>
      <c r="AI776" s="388"/>
      <c r="AJ776" s="388"/>
      <c r="AK776" s="388"/>
      <c r="AL776" s="388"/>
      <c r="AM776" s="388"/>
      <c r="AN776" s="388"/>
      <c r="AO776" s="388"/>
      <c r="AP776" s="388"/>
      <c r="AQ776" s="388"/>
      <c r="AR776" s="388"/>
      <c r="AS776" s="388"/>
      <c r="AT776" s="388"/>
      <c r="AU776" s="388"/>
      <c r="AV776" s="388"/>
      <c r="AW776" s="388"/>
      <c r="AX776" s="388"/>
      <c r="AY776" s="388"/>
      <c r="AZ776" s="388"/>
      <c r="BA776" s="388"/>
      <c r="BB776" s="389"/>
      <c r="BC776" s="98">
        <v>1</v>
      </c>
      <c r="BD776" s="74">
        <v>1</v>
      </c>
      <c r="BE776" s="75">
        <f t="shared" si="309"/>
        <v>0</v>
      </c>
    </row>
    <row r="777" spans="1:57" s="1" customFormat="1" ht="18" customHeight="1" x14ac:dyDescent="0.4">
      <c r="A777" s="37" t="str">
        <f t="shared" si="302"/>
        <v>13Д</v>
      </c>
      <c r="B777" s="183"/>
      <c r="C777" s="41"/>
      <c r="D777" s="184"/>
      <c r="E777" s="282">
        <f t="shared" si="310"/>
        <v>46035</v>
      </c>
      <c r="F777" s="335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  <c r="R777" s="336"/>
      <c r="S777" s="336"/>
      <c r="T777" s="336"/>
      <c r="U777" s="336"/>
      <c r="V777" s="336"/>
      <c r="W777" s="336"/>
      <c r="X777" s="98">
        <v>1</v>
      </c>
      <c r="Y777" s="74">
        <v>1</v>
      </c>
      <c r="Z777" s="75">
        <f t="shared" si="308"/>
        <v>0</v>
      </c>
      <c r="AA777" s="107">
        <f t="shared" si="312"/>
        <v>0</v>
      </c>
      <c r="AB777" s="41"/>
      <c r="AC777" s="184"/>
      <c r="AD777" s="212">
        <f t="shared" si="311"/>
        <v>46035</v>
      </c>
      <c r="AE777" s="387"/>
      <c r="AF777" s="388"/>
      <c r="AG777" s="388"/>
      <c r="AH777" s="388"/>
      <c r="AI777" s="388"/>
      <c r="AJ777" s="388"/>
      <c r="AK777" s="388"/>
      <c r="AL777" s="388"/>
      <c r="AM777" s="388"/>
      <c r="AN777" s="388"/>
      <c r="AO777" s="388"/>
      <c r="AP777" s="388"/>
      <c r="AQ777" s="388"/>
      <c r="AR777" s="388"/>
      <c r="AS777" s="388"/>
      <c r="AT777" s="388"/>
      <c r="AU777" s="388"/>
      <c r="AV777" s="388"/>
      <c r="AW777" s="388"/>
      <c r="AX777" s="388"/>
      <c r="AY777" s="388"/>
      <c r="AZ777" s="388"/>
      <c r="BA777" s="388"/>
      <c r="BB777" s="389"/>
      <c r="BC777" s="98">
        <v>1</v>
      </c>
      <c r="BD777" s="74">
        <v>1</v>
      </c>
      <c r="BE777" s="75">
        <f t="shared" si="309"/>
        <v>0</v>
      </c>
    </row>
    <row r="778" spans="1:57" s="1" customFormat="1" ht="18" customHeight="1" x14ac:dyDescent="0.4">
      <c r="A778" s="37" t="str">
        <f t="shared" si="302"/>
        <v>13Д</v>
      </c>
      <c r="B778" s="183"/>
      <c r="C778" s="41"/>
      <c r="D778" s="184"/>
      <c r="E778" s="282">
        <f t="shared" si="310"/>
        <v>46035</v>
      </c>
      <c r="F778" s="335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  <c r="R778" s="336"/>
      <c r="S778" s="336"/>
      <c r="T778" s="336"/>
      <c r="U778" s="336"/>
      <c r="V778" s="336"/>
      <c r="W778" s="336"/>
      <c r="X778" s="98">
        <v>1</v>
      </c>
      <c r="Y778" s="74">
        <v>1</v>
      </c>
      <c r="Z778" s="75">
        <f t="shared" si="308"/>
        <v>0</v>
      </c>
      <c r="AA778" s="107">
        <f t="shared" si="312"/>
        <v>0</v>
      </c>
      <c r="AB778" s="41"/>
      <c r="AC778" s="184"/>
      <c r="AD778" s="212">
        <f t="shared" si="311"/>
        <v>46035</v>
      </c>
      <c r="AE778" s="387"/>
      <c r="AF778" s="388"/>
      <c r="AG778" s="388"/>
      <c r="AH778" s="388"/>
      <c r="AI778" s="388"/>
      <c r="AJ778" s="388"/>
      <c r="AK778" s="388"/>
      <c r="AL778" s="388"/>
      <c r="AM778" s="388"/>
      <c r="AN778" s="388"/>
      <c r="AO778" s="388"/>
      <c r="AP778" s="388"/>
      <c r="AQ778" s="388"/>
      <c r="AR778" s="388"/>
      <c r="AS778" s="388"/>
      <c r="AT778" s="388"/>
      <c r="AU778" s="388"/>
      <c r="AV778" s="388"/>
      <c r="AW778" s="388"/>
      <c r="AX778" s="388"/>
      <c r="AY778" s="388"/>
      <c r="AZ778" s="388"/>
      <c r="BA778" s="388"/>
      <c r="BB778" s="389"/>
      <c r="BC778" s="98">
        <v>1</v>
      </c>
      <c r="BD778" s="74">
        <v>1</v>
      </c>
      <c r="BE778" s="75">
        <f t="shared" si="309"/>
        <v>0</v>
      </c>
    </row>
    <row r="779" spans="1:57" s="1" customFormat="1" ht="21.9" customHeight="1" x14ac:dyDescent="0.4">
      <c r="A779" s="37" t="str">
        <f t="shared" si="302"/>
        <v>13Д</v>
      </c>
      <c r="B779" s="183"/>
      <c r="C779" s="41"/>
      <c r="D779" s="184"/>
      <c r="E779" s="282">
        <f t="shared" si="310"/>
        <v>46035</v>
      </c>
      <c r="F779" s="335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  <c r="R779" s="336"/>
      <c r="S779" s="336"/>
      <c r="T779" s="336"/>
      <c r="U779" s="336"/>
      <c r="V779" s="336"/>
      <c r="W779" s="336"/>
      <c r="X779" s="98">
        <v>1</v>
      </c>
      <c r="Y779" s="74">
        <v>1</v>
      </c>
      <c r="Z779" s="75">
        <f t="shared" si="308"/>
        <v>0</v>
      </c>
      <c r="AA779" s="107">
        <f t="shared" si="312"/>
        <v>0</v>
      </c>
      <c r="AB779" s="41"/>
      <c r="AC779" s="184"/>
      <c r="AD779" s="212">
        <f t="shared" si="311"/>
        <v>46035</v>
      </c>
      <c r="AE779" s="387"/>
      <c r="AF779" s="388"/>
      <c r="AG779" s="388"/>
      <c r="AH779" s="388"/>
      <c r="AI779" s="388"/>
      <c r="AJ779" s="388"/>
      <c r="AK779" s="388"/>
      <c r="AL779" s="388"/>
      <c r="AM779" s="388"/>
      <c r="AN779" s="388"/>
      <c r="AO779" s="388"/>
      <c r="AP779" s="388"/>
      <c r="AQ779" s="388"/>
      <c r="AR779" s="388"/>
      <c r="AS779" s="388"/>
      <c r="AT779" s="388"/>
      <c r="AU779" s="388"/>
      <c r="AV779" s="388"/>
      <c r="AW779" s="388"/>
      <c r="AX779" s="388"/>
      <c r="AY779" s="388"/>
      <c r="AZ779" s="388"/>
      <c r="BA779" s="388"/>
      <c r="BB779" s="389"/>
      <c r="BC779" s="98">
        <v>1</v>
      </c>
      <c r="BD779" s="74">
        <v>1</v>
      </c>
      <c r="BE779" s="75">
        <f t="shared" si="309"/>
        <v>0</v>
      </c>
    </row>
    <row r="780" spans="1:57" s="1" customFormat="1" ht="18" customHeight="1" x14ac:dyDescent="0.4">
      <c r="A780" s="37" t="str">
        <f t="shared" si="302"/>
        <v>13Д</v>
      </c>
      <c r="B780" s="183"/>
      <c r="C780" s="41"/>
      <c r="D780" s="184"/>
      <c r="E780" s="282">
        <f t="shared" si="310"/>
        <v>46035</v>
      </c>
      <c r="F780" s="335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  <c r="R780" s="336"/>
      <c r="S780" s="336"/>
      <c r="T780" s="336"/>
      <c r="U780" s="336"/>
      <c r="V780" s="336"/>
      <c r="W780" s="336"/>
      <c r="X780" s="98">
        <v>1</v>
      </c>
      <c r="Y780" s="74">
        <v>1</v>
      </c>
      <c r="Z780" s="75">
        <f t="shared" si="308"/>
        <v>0</v>
      </c>
      <c r="AA780" s="107">
        <f t="shared" si="312"/>
        <v>0</v>
      </c>
      <c r="AB780" s="41"/>
      <c r="AC780" s="184"/>
      <c r="AD780" s="212">
        <f t="shared" si="311"/>
        <v>46035</v>
      </c>
      <c r="AE780" s="387"/>
      <c r="AF780" s="388"/>
      <c r="AG780" s="388"/>
      <c r="AH780" s="388"/>
      <c r="AI780" s="388"/>
      <c r="AJ780" s="388"/>
      <c r="AK780" s="388"/>
      <c r="AL780" s="388"/>
      <c r="AM780" s="388"/>
      <c r="AN780" s="388"/>
      <c r="AO780" s="388"/>
      <c r="AP780" s="388"/>
      <c r="AQ780" s="388"/>
      <c r="AR780" s="388"/>
      <c r="AS780" s="388"/>
      <c r="AT780" s="388"/>
      <c r="AU780" s="388"/>
      <c r="AV780" s="388"/>
      <c r="AW780" s="388"/>
      <c r="AX780" s="388"/>
      <c r="AY780" s="388"/>
      <c r="AZ780" s="388"/>
      <c r="BA780" s="388"/>
      <c r="BB780" s="389"/>
      <c r="BC780" s="98">
        <v>1</v>
      </c>
      <c r="BD780" s="74">
        <v>1</v>
      </c>
      <c r="BE780" s="75">
        <f t="shared" si="309"/>
        <v>0</v>
      </c>
    </row>
    <row r="781" spans="1:57" s="1" customFormat="1" ht="18" customHeight="1" x14ac:dyDescent="0.4">
      <c r="A781" s="37" t="str">
        <f t="shared" si="302"/>
        <v>13Д</v>
      </c>
      <c r="B781" s="183"/>
      <c r="C781" s="41"/>
      <c r="D781" s="184"/>
      <c r="E781" s="282">
        <f t="shared" si="310"/>
        <v>46035</v>
      </c>
      <c r="F781" s="335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  <c r="R781" s="336"/>
      <c r="S781" s="336"/>
      <c r="T781" s="336"/>
      <c r="U781" s="336"/>
      <c r="V781" s="336"/>
      <c r="W781" s="336"/>
      <c r="X781" s="98">
        <v>1</v>
      </c>
      <c r="Y781" s="74">
        <v>1</v>
      </c>
      <c r="Z781" s="75">
        <f t="shared" si="308"/>
        <v>0</v>
      </c>
      <c r="AA781" s="107">
        <f t="shared" si="312"/>
        <v>0</v>
      </c>
      <c r="AB781" s="41"/>
      <c r="AC781" s="184"/>
      <c r="AD781" s="212">
        <f t="shared" si="311"/>
        <v>46035</v>
      </c>
      <c r="AE781" s="387"/>
      <c r="AF781" s="388"/>
      <c r="AG781" s="388"/>
      <c r="AH781" s="388"/>
      <c r="AI781" s="388"/>
      <c r="AJ781" s="388"/>
      <c r="AK781" s="388"/>
      <c r="AL781" s="388"/>
      <c r="AM781" s="388"/>
      <c r="AN781" s="388"/>
      <c r="AO781" s="388"/>
      <c r="AP781" s="388"/>
      <c r="AQ781" s="388"/>
      <c r="AR781" s="388"/>
      <c r="AS781" s="388"/>
      <c r="AT781" s="388"/>
      <c r="AU781" s="388"/>
      <c r="AV781" s="388"/>
      <c r="AW781" s="388"/>
      <c r="AX781" s="388"/>
      <c r="AY781" s="388"/>
      <c r="AZ781" s="388"/>
      <c r="BA781" s="388"/>
      <c r="BB781" s="389"/>
      <c r="BC781" s="98">
        <v>1</v>
      </c>
      <c r="BD781" s="74">
        <v>1</v>
      </c>
      <c r="BE781" s="75">
        <f t="shared" si="309"/>
        <v>0</v>
      </c>
    </row>
    <row r="782" spans="1:57" s="1" customFormat="1" ht="18" customHeight="1" x14ac:dyDescent="0.4">
      <c r="A782" s="37" t="str">
        <f t="shared" si="302"/>
        <v>13Д</v>
      </c>
      <c r="B782" s="183"/>
      <c r="C782" s="41"/>
      <c r="D782" s="184"/>
      <c r="E782" s="282">
        <f t="shared" si="310"/>
        <v>46035</v>
      </c>
      <c r="F782" s="335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  <c r="R782" s="336"/>
      <c r="S782" s="336"/>
      <c r="T782" s="336"/>
      <c r="U782" s="336"/>
      <c r="V782" s="336"/>
      <c r="W782" s="336"/>
      <c r="X782" s="98">
        <v>1</v>
      </c>
      <c r="Y782" s="74">
        <v>1</v>
      </c>
      <c r="Z782" s="75">
        <f t="shared" si="308"/>
        <v>0</v>
      </c>
      <c r="AA782" s="107">
        <f t="shared" si="312"/>
        <v>0</v>
      </c>
      <c r="AB782" s="41"/>
      <c r="AC782" s="184"/>
      <c r="AD782" s="212">
        <f t="shared" si="311"/>
        <v>46035</v>
      </c>
      <c r="AE782" s="387"/>
      <c r="AF782" s="388"/>
      <c r="AG782" s="388"/>
      <c r="AH782" s="388"/>
      <c r="AI782" s="388"/>
      <c r="AJ782" s="388"/>
      <c r="AK782" s="388"/>
      <c r="AL782" s="388"/>
      <c r="AM782" s="388"/>
      <c r="AN782" s="388"/>
      <c r="AO782" s="388"/>
      <c r="AP782" s="388"/>
      <c r="AQ782" s="388"/>
      <c r="AR782" s="388"/>
      <c r="AS782" s="388"/>
      <c r="AT782" s="388"/>
      <c r="AU782" s="388"/>
      <c r="AV782" s="388"/>
      <c r="AW782" s="388"/>
      <c r="AX782" s="388"/>
      <c r="AY782" s="388"/>
      <c r="AZ782" s="388"/>
      <c r="BA782" s="388"/>
      <c r="BB782" s="389"/>
      <c r="BC782" s="98">
        <v>1</v>
      </c>
      <c r="BD782" s="74">
        <v>1</v>
      </c>
      <c r="BE782" s="75">
        <f t="shared" si="309"/>
        <v>0</v>
      </c>
    </row>
    <row r="783" spans="1:57" s="1" customFormat="1" ht="18" customHeight="1" thickBot="1" x14ac:dyDescent="0.45">
      <c r="A783" s="37" t="str">
        <f t="shared" si="302"/>
        <v>13Д</v>
      </c>
      <c r="B783" s="183"/>
      <c r="C783" s="41"/>
      <c r="D783" s="184"/>
      <c r="E783" s="283">
        <f t="shared" si="310"/>
        <v>46035</v>
      </c>
      <c r="F783" s="339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99">
        <v>1</v>
      </c>
      <c r="Y783" s="76">
        <v>1</v>
      </c>
      <c r="Z783" s="77">
        <f t="shared" si="308"/>
        <v>0</v>
      </c>
      <c r="AA783" s="107">
        <f t="shared" si="312"/>
        <v>0</v>
      </c>
      <c r="AB783" s="41"/>
      <c r="AC783" s="184"/>
      <c r="AD783" s="211">
        <f t="shared" si="311"/>
        <v>46035</v>
      </c>
      <c r="AE783" s="410"/>
      <c r="AF783" s="411"/>
      <c r="AG783" s="411"/>
      <c r="AH783" s="411"/>
      <c r="AI783" s="411"/>
      <c r="AJ783" s="411"/>
      <c r="AK783" s="411"/>
      <c r="AL783" s="411"/>
      <c r="AM783" s="411"/>
      <c r="AN783" s="411"/>
      <c r="AO783" s="411"/>
      <c r="AP783" s="411"/>
      <c r="AQ783" s="411"/>
      <c r="AR783" s="411"/>
      <c r="AS783" s="411"/>
      <c r="AT783" s="411"/>
      <c r="AU783" s="411"/>
      <c r="AV783" s="411"/>
      <c r="AW783" s="411"/>
      <c r="AX783" s="411"/>
      <c r="AY783" s="411"/>
      <c r="AZ783" s="411"/>
      <c r="BA783" s="411"/>
      <c r="BB783" s="412"/>
      <c r="BC783" s="99">
        <v>1</v>
      </c>
      <c r="BD783" s="76">
        <v>1</v>
      </c>
      <c r="BE783" s="75">
        <f t="shared" si="309"/>
        <v>0</v>
      </c>
    </row>
    <row r="784" spans="1:57" s="1" customFormat="1" ht="23.25" customHeight="1" thickBot="1" x14ac:dyDescent="0.45">
      <c r="A784" s="37" t="str">
        <f t="shared" si="302"/>
        <v>13Д</v>
      </c>
      <c r="B784" s="193"/>
      <c r="C784" s="47"/>
      <c r="D784" s="47"/>
      <c r="E784" s="47"/>
      <c r="F784" s="78"/>
      <c r="G784" s="78"/>
      <c r="H784" s="78"/>
      <c r="I784" s="80"/>
      <c r="J784" s="80"/>
      <c r="K784" s="80"/>
      <c r="L784" s="80"/>
      <c r="M784" s="80"/>
      <c r="N784" s="80"/>
      <c r="O784" s="78"/>
      <c r="P784" s="81"/>
      <c r="Q784" s="81"/>
      <c r="R784" s="81"/>
      <c r="S784" s="81"/>
      <c r="T784" s="81"/>
      <c r="U784" s="82"/>
      <c r="V784" s="82"/>
      <c r="W784" s="86"/>
      <c r="X784" s="194"/>
      <c r="Y784" s="83"/>
      <c r="Z784" s="83"/>
      <c r="AA784" s="78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84"/>
      <c r="AN784" s="47"/>
      <c r="AO784" s="78"/>
      <c r="AP784" s="78"/>
      <c r="AQ784" s="78"/>
      <c r="AR784" s="84"/>
      <c r="AS784" s="78"/>
      <c r="AT784" s="85"/>
      <c r="AU784" s="78"/>
      <c r="AV784" s="83"/>
      <c r="AW784" s="83"/>
      <c r="AX784" s="78"/>
      <c r="AY784" s="78"/>
      <c r="AZ784" s="78"/>
      <c r="BA784" s="78"/>
      <c r="BB784" s="78"/>
      <c r="BC784" s="78"/>
      <c r="BD784" s="79"/>
      <c r="BE784" s="79"/>
    </row>
    <row r="785" spans="1:57" s="1" customFormat="1" ht="21.6" customHeight="1" thickBot="1" x14ac:dyDescent="0.45">
      <c r="A785" s="37" t="s">
        <v>171</v>
      </c>
      <c r="B785" s="59"/>
      <c r="C785" s="51"/>
      <c r="D785" s="51"/>
      <c r="E785" s="51"/>
      <c r="F785" s="158" t="s">
        <v>220</v>
      </c>
      <c r="G785" s="51"/>
      <c r="H785" s="51"/>
      <c r="I785" s="156"/>
      <c r="J785" s="156"/>
      <c r="K785" s="156"/>
      <c r="L785" s="156"/>
      <c r="M785" s="156"/>
      <c r="N785" s="156"/>
      <c r="O785" s="91"/>
      <c r="P785" s="52"/>
      <c r="Q785" s="52"/>
      <c r="R785" s="52"/>
      <c r="S785" s="52"/>
      <c r="T785" s="52"/>
      <c r="U785" s="157"/>
      <c r="V785" s="157"/>
      <c r="W785" s="94"/>
      <c r="X785" s="94"/>
      <c r="Y785" s="51"/>
      <c r="Z785" s="51"/>
      <c r="AA785" s="157">
        <f>AA768</f>
        <v>1</v>
      </c>
      <c r="AB785" s="157">
        <f t="shared" ref="AB785:AF785" si="313">AB768</f>
        <v>2</v>
      </c>
      <c r="AC785" s="157">
        <f t="shared" si="313"/>
        <v>3</v>
      </c>
      <c r="AD785" s="157">
        <f t="shared" si="313"/>
        <v>4</v>
      </c>
      <c r="AE785" s="157">
        <f t="shared" si="313"/>
        <v>5</v>
      </c>
      <c r="AF785" s="157">
        <f t="shared" si="313"/>
        <v>6</v>
      </c>
      <c r="AG785" s="162" t="s">
        <v>123</v>
      </c>
      <c r="AH785" s="162" t="s">
        <v>124</v>
      </c>
      <c r="AI785" s="162" t="s">
        <v>125</v>
      </c>
      <c r="AJ785" s="91" t="s">
        <v>126</v>
      </c>
      <c r="AK785" s="198" t="s">
        <v>136</v>
      </c>
      <c r="AL785" s="198" t="s">
        <v>137</v>
      </c>
      <c r="AM785" s="198" t="s">
        <v>138</v>
      </c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</row>
    <row r="786" spans="1:57" s="1" customFormat="1" ht="21.6" customHeight="1" x14ac:dyDescent="0.4">
      <c r="A786" s="37" t="str">
        <f>A785</f>
        <v>13Н</v>
      </c>
      <c r="B786" s="12">
        <f>B767</f>
        <v>46035</v>
      </c>
      <c r="C786" s="97"/>
      <c r="D786" s="97">
        <v>1</v>
      </c>
      <c r="E786" s="29"/>
      <c r="F786" s="151" t="str">
        <f>IFERROR(VLOOKUP($G786,нормы!$A$14:$BC$57,2,0),"")</f>
        <v/>
      </c>
      <c r="G786" s="93"/>
      <c r="H786" s="54">
        <f>IF(C786=1,"Кульков С.А.", IF(C786=2,"Чудаков А.А.",IF(C786=3,"Королев В.Н.",IF(C786=4,"Николашин М.П.",IF(C786=5," Кульков С.А.",IF(C786=6,"А.А. Чудаков",IF(C786=7,"В.Н. Королев",IF(C786=8,"М.П. Николашин",0))))))))</f>
        <v>0</v>
      </c>
      <c r="I786" s="88" t="s">
        <v>84</v>
      </c>
      <c r="J786" s="332"/>
      <c r="K786" s="30">
        <f>IFERROR(VLOOKUP($G786,[1]нормы!$A$21:$BC$151,15,0),"")</f>
        <v>0</v>
      </c>
      <c r="L786" s="31">
        <f>IFERROR(VLOOKUP($G786,[1]нормы!$A$21:$BC$151,17,0),"")</f>
        <v>0</v>
      </c>
      <c r="M786" s="310">
        <f>IFERROR(VLOOKUP($G786,[1]нормы!$A$21:$BC$151,27,0),"")</f>
        <v>0</v>
      </c>
      <c r="N786" s="311" t="str">
        <f>IFERROR(Y786/Y792*(1.1*J786*I791),"")</f>
        <v/>
      </c>
      <c r="O786" s="300">
        <f>IFERROR(VLOOKUP($G786,[1]нормы!$A$21:$BC$151,21,0),"")</f>
        <v>0</v>
      </c>
      <c r="P786" s="35">
        <f>IFERROR(VLOOKUP($G786,[1]нормы!$A$21:$BC$151,19,0),"")</f>
        <v>0</v>
      </c>
      <c r="Q786" s="35">
        <f>IFERROR(VLOOKUP($G786,[1]нормы!$A$21:$BC$151,23,0),"")</f>
        <v>0</v>
      </c>
      <c r="R786" s="231">
        <f>IFERROR(VLOOKUP($G786,[1]нормы!$A$21:$BC$151,29,0),"")</f>
        <v>0</v>
      </c>
      <c r="S786" s="35">
        <f>IFERROR(VLOOKUP($G786,[1]нормы!$A$21:$BC$151,31,0),"")</f>
        <v>0</v>
      </c>
      <c r="T786" s="32">
        <f>IFERROR(VLOOKUP($G786,[1]нормы!$A$21:$BC$151,25,0),"")</f>
        <v>0</v>
      </c>
      <c r="U786" s="232" t="str">
        <f>IFERROR(W786/(((100*Y786/Y792)*I791)/100),"")</f>
        <v/>
      </c>
      <c r="V786" s="234" t="str">
        <f>IFERROR(VLOOKUP($G786,нормы!$A$14:$BC$57,38,0),"")</f>
        <v/>
      </c>
      <c r="W786" s="136"/>
      <c r="X786" s="236"/>
      <c r="Y786" s="152" t="str">
        <f>IFERROR(VLOOKUP($G786,нормы!$A$14:$BC$57,42,0)*W786,"")</f>
        <v/>
      </c>
      <c r="Z786" s="163">
        <f>IFERROR(VLOOKUP($G786,нормы!$A$14:$BC$57,14,0)*W786/1000,0)</f>
        <v>0</v>
      </c>
      <c r="AA786" s="33"/>
      <c r="AB786" s="36"/>
      <c r="AC786" s="36"/>
      <c r="AD786" s="36"/>
      <c r="AE786" s="34"/>
      <c r="AF786" s="159"/>
      <c r="AG786" s="390"/>
      <c r="AH786" s="393"/>
      <c r="AI786" s="396"/>
      <c r="AJ786" s="407">
        <f>AG786+AH786</f>
        <v>0</v>
      </c>
      <c r="AK786" s="359"/>
      <c r="AL786" s="359"/>
      <c r="AM786" s="359"/>
      <c r="AN786" s="287">
        <f>IFERROR(Y786*AJ786/Y792,)</f>
        <v>0</v>
      </c>
      <c r="AO786" s="197" t="str">
        <f>IFERROR(VLOOKUP($G786,нормы!$A$14:$BC$57,53,0)*$W786,"")</f>
        <v/>
      </c>
      <c r="AP786" s="288">
        <f>IFERROR(Y786*AI786/Y792,)</f>
        <v>0</v>
      </c>
      <c r="AQ786" s="197" t="str">
        <f>IFERROR(VLOOKUP($G786,нормы!$A$14:$BC$57,54,0)*$W786,"")</f>
        <v/>
      </c>
      <c r="AR786" s="288">
        <f>IFERROR(AS786/SUM(AS786:AS791)*AL786,0)</f>
        <v>0</v>
      </c>
      <c r="AS786" s="197" t="str">
        <f>IFERROR(VLOOKUP($G786,нормы!$A$14:$BC$57,55,0)*W786,"")</f>
        <v/>
      </c>
      <c r="AT786" s="288">
        <f>IFERROR(AU786/SUM(AU786:AU791)*AM786,0)</f>
        <v>0</v>
      </c>
      <c r="AU786" s="197" t="str">
        <f>IFERROR(VLOOKUP($G786,нормы!$A$14:$BI$57,56,0)*W786,"")</f>
        <v/>
      </c>
      <c r="AV786" s="288">
        <f>IFERROR(AW786/SUM(AW786:AW791)*AK786,0)</f>
        <v>0</v>
      </c>
      <c r="AW786" s="202" t="str">
        <f>IFERROR(VLOOKUP($G786,нормы!$A$14:$BI$57,57,0)*W786,"")</f>
        <v/>
      </c>
      <c r="AX786" s="33"/>
      <c r="AY786" s="203" t="str">
        <f>IFERROR(VLOOKUP($G786,нормы!$A$14:$BI$57,58,0)*W786,"")</f>
        <v/>
      </c>
      <c r="AZ786" s="204"/>
      <c r="BA786" s="200" t="str">
        <f>IFERROR(VLOOKUP($G786,нормы!$A$14:$BI$57,61,0)*$W786,"")</f>
        <v/>
      </c>
      <c r="BB786" s="33"/>
      <c r="BC786" s="203" t="str">
        <f>IFERROR(VLOOKUP($G786,нормы!$A$14:$BI$57,60,0)*W786,"")</f>
        <v/>
      </c>
      <c r="BD786" s="200" t="str">
        <f>IFERROR(VLOOKUP($G786,нормы!$A$14:$BG$57,44,0),"")</f>
        <v/>
      </c>
      <c r="BE786" s="199" t="str">
        <f>IFERROR(W786/VLOOKUP($G786,нормы!$A$14:$BI$57,45,0),"")</f>
        <v/>
      </c>
    </row>
    <row r="787" spans="1:57" s="1" customFormat="1" ht="21.6" customHeight="1" x14ac:dyDescent="0.4">
      <c r="A787" s="37" t="str">
        <f t="shared" ref="A787:A815" si="314">A786</f>
        <v>13Н</v>
      </c>
      <c r="B787" s="12">
        <f t="shared" ref="B787:D791" si="315">B786</f>
        <v>46035</v>
      </c>
      <c r="C787" s="97">
        <f t="shared" si="315"/>
        <v>0</v>
      </c>
      <c r="D787" s="97">
        <f t="shared" si="315"/>
        <v>1</v>
      </c>
      <c r="E787" s="54"/>
      <c r="F787" s="151" t="str">
        <f>IFERROR(VLOOKUP($G787,нормы!$A$14:$BC$57,2,0),"")</f>
        <v/>
      </c>
      <c r="G787" s="93"/>
      <c r="H787" s="54">
        <f t="shared" ref="H787:H791" si="316">IF(C787=1,"Кульков С.А.", IF(C787=2,"Чудаков А.А.",IF(C787=3,"Королев В.Н.",IF(C787=4,"Николашин М.П.",IF(C787=5," Кульков С.А.",IF(C787=6,"А.А. Чудаков",IF(C787=7,"В.Н. Королев",IF(C787=8,"М.П. Николашин",0))))))))</f>
        <v>0</v>
      </c>
      <c r="I787" s="55"/>
      <c r="J787" s="333"/>
      <c r="K787" s="30">
        <f>IFERROR(VLOOKUP($G787,[1]нормы!$A$21:$BC$151,15,0),"")</f>
        <v>0</v>
      </c>
      <c r="L787" s="31">
        <f>IFERROR(VLOOKUP($G787,[1]нормы!$A$21:$BC$151,17,0),"")</f>
        <v>0</v>
      </c>
      <c r="M787" s="306">
        <f>IFERROR(VLOOKUP($G787,[1]нормы!$A$21:$BC$151,27,0),"")</f>
        <v>0</v>
      </c>
      <c r="N787" s="307" t="str">
        <f>IFERROR(Y787/Y792*(1.1*J786*I791),"")</f>
        <v/>
      </c>
      <c r="O787" s="300">
        <f>IFERROR(VLOOKUP($G787,[1]нормы!$A$21:$BC$151,21,0),"")</f>
        <v>0</v>
      </c>
      <c r="P787" s="35">
        <f>IFERROR(VLOOKUP($G787,[1]нормы!$A$21:$BC$151,19,0),"")</f>
        <v>0</v>
      </c>
      <c r="Q787" s="35">
        <f>IFERROR(VLOOKUP($G787,[1]нормы!$A$21:$BC$151,23,0),"")</f>
        <v>0</v>
      </c>
      <c r="R787" s="231">
        <f>IFERROR(VLOOKUP($G787,[1]нормы!$A$21:$BC$151,29,0),"")</f>
        <v>0</v>
      </c>
      <c r="S787" s="35">
        <f>IFERROR(VLOOKUP($G787,[1]нормы!$A$21:$BC$151,31,0),"")</f>
        <v>0</v>
      </c>
      <c r="T787" s="32">
        <f>IFERROR(VLOOKUP($G787,[1]нормы!$A$21:$BC$151,25,0),"")</f>
        <v>0</v>
      </c>
      <c r="U787" s="233" t="str">
        <f>IFERROR(W787/(((100*Y787/Y792)*I791)/100),"")</f>
        <v/>
      </c>
      <c r="V787" s="234" t="str">
        <f>IFERROR(VLOOKUP($G787,нормы!$A$14:$BC$57,38,0),"")</f>
        <v/>
      </c>
      <c r="W787" s="136"/>
      <c r="X787" s="237"/>
      <c r="Y787" s="152" t="str">
        <f>IFERROR(VLOOKUP($G787,нормы!$A$14:$BC$57,42,0)*W787,"")</f>
        <v/>
      </c>
      <c r="Z787" s="163">
        <f>IFERROR(VLOOKUP($G787,нормы!$A$14:$BC$57,14,0)*W787/1000,0)</f>
        <v>0</v>
      </c>
      <c r="AA787" s="142"/>
      <c r="AB787" s="35"/>
      <c r="AC787" s="35"/>
      <c r="AD787" s="35"/>
      <c r="AE787" s="31"/>
      <c r="AF787" s="160"/>
      <c r="AG787" s="391"/>
      <c r="AH787" s="394"/>
      <c r="AI787" s="397"/>
      <c r="AJ787" s="408"/>
      <c r="AK787" s="360"/>
      <c r="AL787" s="360"/>
      <c r="AM787" s="360"/>
      <c r="AN787" s="289">
        <f>IFERROR(Y787*AJ786/Y792,)</f>
        <v>0</v>
      </c>
      <c r="AO787" s="197" t="str">
        <f>IFERROR(VLOOKUP($G787,нормы!$A$14:$BC$57,53,0)*$W787,"")</f>
        <v/>
      </c>
      <c r="AP787" s="290">
        <f>IFERROR(Y787*AI786/Y792,)</f>
        <v>0</v>
      </c>
      <c r="AQ787" s="197" t="str">
        <f>IFERROR(VLOOKUP($G787,нормы!$A$14:$BC$57,54,0)*$W787,"")</f>
        <v/>
      </c>
      <c r="AR787" s="290">
        <f>IFERROR(AS787/SUM(AS786:AS791)*AL786,0)</f>
        <v>0</v>
      </c>
      <c r="AS787" s="197" t="str">
        <f>IFERROR(VLOOKUP($G787,нормы!$A$14:$BC$57,55,0)*W787,"")</f>
        <v/>
      </c>
      <c r="AT787" s="290">
        <f>IFERROR(AU787/SUM(AU786:AU791)*AM786,0)</f>
        <v>0</v>
      </c>
      <c r="AU787" s="197" t="str">
        <f>IFERROR(VLOOKUP($G787,нормы!$A$14:$BI$57,56,0)*W787,"")</f>
        <v/>
      </c>
      <c r="AV787" s="290">
        <f>IFERROR(AW787/SUM(AW786:AW791)*AK786,0)</f>
        <v>0</v>
      </c>
      <c r="AW787" s="202" t="str">
        <f>IFERROR(VLOOKUP($G787,нормы!$A$14:$BI$57,57,0)*W787,"")</f>
        <v/>
      </c>
      <c r="AX787" s="30"/>
      <c r="AY787" s="203" t="str">
        <f>IFERROR(VLOOKUP($G787,нормы!$A$14:$BI$57,58,0)*W787,"")</f>
        <v/>
      </c>
      <c r="AZ787" s="205"/>
      <c r="BA787" s="200" t="str">
        <f>IFERROR(VLOOKUP($G787,нормы!$A$14:$BI$57,61,0)*$W787,"")</f>
        <v/>
      </c>
      <c r="BB787" s="30"/>
      <c r="BC787" s="203" t="str">
        <f>IFERROR(VLOOKUP($G787,нормы!$A$14:$BI$57,60,0)*W787,"")</f>
        <v/>
      </c>
      <c r="BD787" s="200" t="str">
        <f>IFERROR(VLOOKUP($G787,нормы!$A$14:$BG$57,44,0),"")</f>
        <v/>
      </c>
      <c r="BE787" s="199" t="str">
        <f>IFERROR(W787/VLOOKUP($G787,нормы!$A$14:$BI$57,45,0),"")</f>
        <v/>
      </c>
    </row>
    <row r="788" spans="1:57" s="1" customFormat="1" ht="20.25" customHeight="1" x14ac:dyDescent="0.4">
      <c r="A788" s="37" t="str">
        <f t="shared" si="314"/>
        <v>13Н</v>
      </c>
      <c r="B788" s="12">
        <f t="shared" si="315"/>
        <v>46035</v>
      </c>
      <c r="C788" s="97">
        <f t="shared" si="315"/>
        <v>0</v>
      </c>
      <c r="D788" s="97">
        <f t="shared" si="315"/>
        <v>1</v>
      </c>
      <c r="E788" s="54"/>
      <c r="F788" s="151" t="str">
        <f>IFERROR(VLOOKUP($G788,нормы!$A$14:$BC$57,2,0),"")</f>
        <v/>
      </c>
      <c r="G788" s="38"/>
      <c r="H788" s="54">
        <f t="shared" si="316"/>
        <v>0</v>
      </c>
      <c r="I788" s="89" t="s">
        <v>85</v>
      </c>
      <c r="J788" s="333"/>
      <c r="K788" s="30">
        <f>IFERROR(VLOOKUP($G788,[1]нормы!$A$21:$BC$151,15,0),"")</f>
        <v>0</v>
      </c>
      <c r="L788" s="31">
        <f>IFERROR(VLOOKUP($G788,[1]нормы!$A$21:$BC$151,17,0),"")</f>
        <v>0</v>
      </c>
      <c r="M788" s="306">
        <f>IFERROR(VLOOKUP($G788,[1]нормы!$A$21:$BC$151,27,0),"")</f>
        <v>0</v>
      </c>
      <c r="N788" s="307" t="str">
        <f>IFERROR(Y788/Y792*(1.1*J786*I791),"")</f>
        <v/>
      </c>
      <c r="O788" s="300">
        <f>IFERROR(VLOOKUP($G788,[1]нормы!$A$21:$BC$151,21,0),"")</f>
        <v>0</v>
      </c>
      <c r="P788" s="35">
        <f>IFERROR(VLOOKUP($G788,[1]нормы!$A$21:$BC$151,19,0),"")</f>
        <v>0</v>
      </c>
      <c r="Q788" s="35">
        <f>IFERROR(VLOOKUP($G788,[1]нормы!$A$21:$BC$151,23,0),"")</f>
        <v>0</v>
      </c>
      <c r="R788" s="231">
        <f>IFERROR(VLOOKUP($G788,[1]нормы!$A$21:$BC$151,29,0),"")</f>
        <v>0</v>
      </c>
      <c r="S788" s="35">
        <f>IFERROR(VLOOKUP($G788,[1]нормы!$A$21:$BC$151,31,0),"")</f>
        <v>0</v>
      </c>
      <c r="T788" s="32">
        <f>IFERROR(VLOOKUP($G788,[1]нормы!$A$21:$BC$151,25,0),"")</f>
        <v>0</v>
      </c>
      <c r="U788" s="233" t="str">
        <f>IFERROR(W788/(((100*Y788/Y792)*I791)/100),"")</f>
        <v/>
      </c>
      <c r="V788" s="234" t="str">
        <f>IFERROR(VLOOKUP($G788,нормы!$A$14:$BC$57,38,0),"")</f>
        <v/>
      </c>
      <c r="W788" s="136"/>
      <c r="X788" s="237"/>
      <c r="Y788" s="152" t="str">
        <f>IFERROR(VLOOKUP($G788,нормы!$A$14:$BC$57,42,0)*W788,"")</f>
        <v/>
      </c>
      <c r="Z788" s="163">
        <f>IFERROR(VLOOKUP($G788,нормы!$A$14:$BC$57,14,0)*W788/1000,0)</f>
        <v>0</v>
      </c>
      <c r="AA788" s="30"/>
      <c r="AB788" s="35"/>
      <c r="AC788" s="35"/>
      <c r="AD788" s="35"/>
      <c r="AE788" s="31"/>
      <c r="AF788" s="160"/>
      <c r="AG788" s="391"/>
      <c r="AH788" s="394"/>
      <c r="AI788" s="397"/>
      <c r="AJ788" s="408"/>
      <c r="AK788" s="360"/>
      <c r="AL788" s="360"/>
      <c r="AM788" s="360"/>
      <c r="AN788" s="289">
        <f>IFERROR(Y788*AJ786/Y792,)</f>
        <v>0</v>
      </c>
      <c r="AO788" s="197" t="str">
        <f>IFERROR(VLOOKUP($G788,нормы!$A$14:$BC$57,53,0)*$W788,"")</f>
        <v/>
      </c>
      <c r="AP788" s="290">
        <f>IFERROR(Y788*AI786/Y792,)</f>
        <v>0</v>
      </c>
      <c r="AQ788" s="197" t="str">
        <f>IFERROR(VLOOKUP($G788,нормы!$A$14:$BC$57,54,0)*$W788,"")</f>
        <v/>
      </c>
      <c r="AR788" s="290">
        <f>IFERROR(AS788/SUM(AS786:AS791)*AL786,0)</f>
        <v>0</v>
      </c>
      <c r="AS788" s="197" t="str">
        <f>IFERROR(VLOOKUP($G788,нормы!$A$14:$BC$57,55,0)*W788,"")</f>
        <v/>
      </c>
      <c r="AT788" s="290">
        <f>IFERROR(AU788/SUM(AU786:AU791)*AM786,0)</f>
        <v>0</v>
      </c>
      <c r="AU788" s="197" t="str">
        <f>IFERROR(VLOOKUP($G788,нормы!$A$14:$BI$57,56,0)*W788,"")</f>
        <v/>
      </c>
      <c r="AV788" s="290">
        <f>IFERROR(AW788/SUM(AW786:AW791)*AK786,0)</f>
        <v>0</v>
      </c>
      <c r="AW788" s="202" t="str">
        <f>IFERROR(VLOOKUP($G788,нормы!$A$14:$BI$57,57,0)*W788,"")</f>
        <v/>
      </c>
      <c r="AX788" s="30"/>
      <c r="AY788" s="203" t="str">
        <f>IFERROR(VLOOKUP($G788,нормы!$A$14:$BI$57,58,0)*W788,"")</f>
        <v/>
      </c>
      <c r="AZ788" s="205"/>
      <c r="BA788" s="200" t="str">
        <f>IFERROR(VLOOKUP($G788,нормы!$A$14:$BI$57,61,0)*$W788,"")</f>
        <v/>
      </c>
      <c r="BB788" s="30"/>
      <c r="BC788" s="203" t="str">
        <f>IFERROR(VLOOKUP($G788,нормы!$A$14:$BI$57,60,0)*W788,"")</f>
        <v/>
      </c>
      <c r="BD788" s="200" t="str">
        <f>IFERROR(VLOOKUP($G788,нормы!$A$14:$BG$57,44,0),"")</f>
        <v/>
      </c>
      <c r="BE788" s="199" t="str">
        <f>IFERROR(W788/VLOOKUP($G788,нормы!$A$14:$BI$57,45,0),"")</f>
        <v/>
      </c>
    </row>
    <row r="789" spans="1:57" s="1" customFormat="1" ht="20.25" customHeight="1" x14ac:dyDescent="0.4">
      <c r="A789" s="37" t="str">
        <f t="shared" si="314"/>
        <v>13Н</v>
      </c>
      <c r="B789" s="12">
        <f t="shared" si="315"/>
        <v>46035</v>
      </c>
      <c r="C789" s="97">
        <f t="shared" si="315"/>
        <v>0</v>
      </c>
      <c r="D789" s="97">
        <f t="shared" si="315"/>
        <v>1</v>
      </c>
      <c r="E789" s="54"/>
      <c r="F789" s="151" t="str">
        <f>IFERROR(VLOOKUP($G789,нормы!$A$14:$BC$57,2,0),"")</f>
        <v/>
      </c>
      <c r="G789" s="93"/>
      <c r="H789" s="54">
        <f t="shared" si="316"/>
        <v>0</v>
      </c>
      <c r="I789" s="55"/>
      <c r="J789" s="333"/>
      <c r="K789" s="30">
        <f>IFERROR(VLOOKUP($G789,[1]нормы!$A$21:$BC$151,15,0),"")</f>
        <v>0</v>
      </c>
      <c r="L789" s="31">
        <f>IFERROR(VLOOKUP($G789,[1]нормы!$A$21:$BC$151,17,0),"")</f>
        <v>0</v>
      </c>
      <c r="M789" s="306">
        <f>IFERROR(VLOOKUP($G789,[1]нормы!$A$21:$BC$151,27,0),"")</f>
        <v>0</v>
      </c>
      <c r="N789" s="307" t="str">
        <f>IFERROR(Y789/Y792*(1.1*J786*I794),"")</f>
        <v/>
      </c>
      <c r="O789" s="300">
        <f>IFERROR(VLOOKUP($G789,[1]нормы!$A$21:$BC$151,21,0),"")</f>
        <v>0</v>
      </c>
      <c r="P789" s="35">
        <f>IFERROR(VLOOKUP($G789,[1]нормы!$A$21:$BC$151,19,0),"")</f>
        <v>0</v>
      </c>
      <c r="Q789" s="35">
        <f>IFERROR(VLOOKUP($G789,[1]нормы!$A$21:$BC$151,23,0),"")</f>
        <v>0</v>
      </c>
      <c r="R789" s="231">
        <f>IFERROR(VLOOKUP($G789,[1]нормы!$A$21:$BC$151,29,0),"")</f>
        <v>0</v>
      </c>
      <c r="S789" s="35">
        <f>IFERROR(VLOOKUP($G789,[1]нормы!$A$21:$BC$151,31,0),"")</f>
        <v>0</v>
      </c>
      <c r="T789" s="32">
        <f>IFERROR(VLOOKUP($G789,[1]нормы!$A$21:$BC$151,25,0),"")</f>
        <v>0</v>
      </c>
      <c r="U789" s="233" t="str">
        <f>IFERROR(W789/(((100*Y789/Y792)*I791)/100),"")</f>
        <v/>
      </c>
      <c r="V789" s="234" t="str">
        <f>IFERROR(VLOOKUP($G789,нормы!$A$14:$BC$57,38,0),"")</f>
        <v/>
      </c>
      <c r="W789" s="136"/>
      <c r="X789" s="237"/>
      <c r="Y789" s="152" t="str">
        <f>IFERROR(VLOOKUP($G789,нормы!$A$14:$BC$57,42,0)*W789,"")</f>
        <v/>
      </c>
      <c r="Z789" s="163">
        <f>IFERROR(VLOOKUP($G789,нормы!$A$14:$BC$57,14,0)*W789/1000,0)</f>
        <v>0</v>
      </c>
      <c r="AA789" s="30"/>
      <c r="AB789" s="35"/>
      <c r="AC789" s="35"/>
      <c r="AD789" s="35"/>
      <c r="AE789" s="31"/>
      <c r="AF789" s="160"/>
      <c r="AG789" s="391"/>
      <c r="AH789" s="394"/>
      <c r="AI789" s="397"/>
      <c r="AJ789" s="408"/>
      <c r="AK789" s="360"/>
      <c r="AL789" s="360"/>
      <c r="AM789" s="360"/>
      <c r="AN789" s="289">
        <f>IFERROR(Y789*AJ786/Y792,)</f>
        <v>0</v>
      </c>
      <c r="AO789" s="197" t="str">
        <f>IFERROR(VLOOKUP($G789,нормы!$A$14:$BC$57,53,0)*$W789,"")</f>
        <v/>
      </c>
      <c r="AP789" s="290">
        <f>IFERROR(Y789*AI786/Y792,)</f>
        <v>0</v>
      </c>
      <c r="AQ789" s="197" t="str">
        <f>IFERROR(VLOOKUP($G789,нормы!$A$14:$BC$57,54,0)*$W789,"")</f>
        <v/>
      </c>
      <c r="AR789" s="290">
        <f>IFERROR(AS789/SUM(AS786:AS791)*AL786,0)</f>
        <v>0</v>
      </c>
      <c r="AS789" s="197" t="str">
        <f>IFERROR(VLOOKUP($G789,нормы!$A$14:$BC$57,55,0)*W789,"")</f>
        <v/>
      </c>
      <c r="AT789" s="290">
        <f>IFERROR(AU789/SUM(AU786:AU791)*AM786,0)</f>
        <v>0</v>
      </c>
      <c r="AU789" s="197" t="str">
        <f>IFERROR(VLOOKUP($G789,нормы!$A$14:$BI$57,56,0)*W789,"")</f>
        <v/>
      </c>
      <c r="AV789" s="290">
        <f>IFERROR(AW789/SUM(AW786:AW791)*AK786,0)</f>
        <v>0</v>
      </c>
      <c r="AW789" s="202" t="str">
        <f>IFERROR(VLOOKUP($G789,нормы!$A$14:$BI$57,57,0)*W789,"")</f>
        <v/>
      </c>
      <c r="AX789" s="30"/>
      <c r="AY789" s="203" t="str">
        <f>IFERROR(VLOOKUP($G789,нормы!$A$14:$BI$57,58,0)*W789,"")</f>
        <v/>
      </c>
      <c r="AZ789" s="205"/>
      <c r="BA789" s="200" t="str">
        <f>IFERROR(VLOOKUP($G789,нормы!$A$14:$BI$57,61,0)*$W789,"")</f>
        <v/>
      </c>
      <c r="BB789" s="30"/>
      <c r="BC789" s="203" t="str">
        <f>IFERROR(VLOOKUP($G789,нормы!$A$14:$BI$57,60,0)*W789,"")</f>
        <v/>
      </c>
      <c r="BD789" s="200" t="str">
        <f>IFERROR(VLOOKUP($G789,нормы!$A$14:$BG$57,44,0),"")</f>
        <v/>
      </c>
      <c r="BE789" s="199" t="str">
        <f>IFERROR(W789/VLOOKUP($G789,нормы!$A$14:$BI$57,45,0),"")</f>
        <v/>
      </c>
    </row>
    <row r="790" spans="1:57" s="1" customFormat="1" ht="20.25" customHeight="1" x14ac:dyDescent="0.4">
      <c r="A790" s="37" t="str">
        <f t="shared" si="314"/>
        <v>13Н</v>
      </c>
      <c r="B790" s="12">
        <f t="shared" si="315"/>
        <v>46035</v>
      </c>
      <c r="C790" s="97">
        <f t="shared" si="315"/>
        <v>0</v>
      </c>
      <c r="D790" s="97">
        <f t="shared" si="315"/>
        <v>1</v>
      </c>
      <c r="E790" s="54"/>
      <c r="F790" s="151" t="str">
        <f>IFERROR(VLOOKUP($G790,нормы!$A$14:$BC$57,2,0),"")</f>
        <v/>
      </c>
      <c r="G790" s="38"/>
      <c r="H790" s="54">
        <f t="shared" si="316"/>
        <v>0</v>
      </c>
      <c r="I790" s="89" t="s">
        <v>73</v>
      </c>
      <c r="J790" s="333"/>
      <c r="K790" s="30">
        <f>IFERROR(VLOOKUP($G790,[1]нормы!$A$21:$BC$151,15,0),"")</f>
        <v>0</v>
      </c>
      <c r="L790" s="31">
        <f>IFERROR(VLOOKUP($G790,[1]нормы!$A$21:$BC$151,17,0),"")</f>
        <v>0</v>
      </c>
      <c r="M790" s="306">
        <f>IFERROR(VLOOKUP($G790,[1]нормы!$A$21:$BC$151,27,0),"")</f>
        <v>0</v>
      </c>
      <c r="N790" s="307" t="str">
        <f>IFERROR(Y790/Y792*(1.1*J786*I795),"")</f>
        <v/>
      </c>
      <c r="O790" s="300">
        <f>IFERROR(VLOOKUP($G790,[1]нормы!$A$21:$BC$151,21,0),"")</f>
        <v>0</v>
      </c>
      <c r="P790" s="35">
        <f>IFERROR(VLOOKUP($G790,[1]нормы!$A$21:$BC$151,19,0),"")</f>
        <v>0</v>
      </c>
      <c r="Q790" s="35">
        <f>IFERROR(VLOOKUP($G790,[1]нормы!$A$21:$BC$151,23,0),"")</f>
        <v>0</v>
      </c>
      <c r="R790" s="231">
        <f>IFERROR(VLOOKUP($G790,[1]нормы!$A$21:$BC$151,29,0),"")</f>
        <v>0</v>
      </c>
      <c r="S790" s="35">
        <f>IFERROR(VLOOKUP($G790,[1]нормы!$A$21:$BC$151,31,0),"")</f>
        <v>0</v>
      </c>
      <c r="T790" s="32">
        <f>IFERROR(VLOOKUP($G790,[1]нормы!$A$21:$BC$151,25,0),"")</f>
        <v>0</v>
      </c>
      <c r="U790" s="233" t="str">
        <f>IFERROR(W790/(((100*Y790/Y792)*I791)/100),"")</f>
        <v/>
      </c>
      <c r="V790" s="234" t="str">
        <f>IFERROR(VLOOKUP($G790,нормы!$A$14:$BC$57,38,0),"")</f>
        <v/>
      </c>
      <c r="W790" s="136"/>
      <c r="X790" s="237"/>
      <c r="Y790" s="152" t="str">
        <f>IFERROR(VLOOKUP($G790,нормы!$A$14:$BC$57,42,0)*W790,"")</f>
        <v/>
      </c>
      <c r="Z790" s="163">
        <f>IFERROR(VLOOKUP($G790,нормы!$A$14:$BC$57,14,0)*W790/1000,0)</f>
        <v>0</v>
      </c>
      <c r="AA790" s="30"/>
      <c r="AB790" s="35"/>
      <c r="AC790" s="35"/>
      <c r="AD790" s="35"/>
      <c r="AE790" s="31"/>
      <c r="AF790" s="160"/>
      <c r="AG790" s="391"/>
      <c r="AH790" s="394"/>
      <c r="AI790" s="397"/>
      <c r="AJ790" s="408"/>
      <c r="AK790" s="360"/>
      <c r="AL790" s="360"/>
      <c r="AM790" s="360"/>
      <c r="AN790" s="289">
        <f>IFERROR(Y790*AJ786/Y792,)</f>
        <v>0</v>
      </c>
      <c r="AO790" s="197" t="str">
        <f>IFERROR(VLOOKUP($G790,нормы!$A$14:$BC$57,53,0)*$W790,"")</f>
        <v/>
      </c>
      <c r="AP790" s="290">
        <f>IFERROR(Y790*AI786/Y792,)</f>
        <v>0</v>
      </c>
      <c r="AQ790" s="197" t="str">
        <f>IFERROR(VLOOKUP($G790,нормы!$A$14:$BC$57,54,0)*$W790,"")</f>
        <v/>
      </c>
      <c r="AR790" s="290">
        <f>IFERROR(AS790/SUM(AS786:AS791)*AL786,0)</f>
        <v>0</v>
      </c>
      <c r="AS790" s="197" t="str">
        <f>IFERROR(VLOOKUP($G790,нормы!$A$14:$BC$57,55,0)*W790,"")</f>
        <v/>
      </c>
      <c r="AT790" s="290">
        <f>IFERROR(AU790/SUM(AU786:AU791)*AM786,0)</f>
        <v>0</v>
      </c>
      <c r="AU790" s="197" t="str">
        <f>IFERROR(VLOOKUP($G790,нормы!$A$14:$BI$57,56,0)*W790,"")</f>
        <v/>
      </c>
      <c r="AV790" s="290">
        <f>IFERROR(AW790/SUM(AW786:AW791)*AK786,0)</f>
        <v>0</v>
      </c>
      <c r="AW790" s="202" t="str">
        <f>IFERROR(VLOOKUP($G790,нормы!$A$14:$BI$57,57,0)*W790,"")</f>
        <v/>
      </c>
      <c r="AX790" s="30"/>
      <c r="AY790" s="203" t="str">
        <f>IFERROR(VLOOKUP($G790,нормы!$A$14:$BI$57,58,0)*W790,"")</f>
        <v/>
      </c>
      <c r="AZ790" s="205"/>
      <c r="BA790" s="200" t="str">
        <f>IFERROR(VLOOKUP($G790,нормы!$A$14:$BI$57,61,0)*$W790,"")</f>
        <v/>
      </c>
      <c r="BB790" s="30"/>
      <c r="BC790" s="203" t="str">
        <f>IFERROR(VLOOKUP($G790,нормы!$A$14:$BI$57,60,0)*W790,"")</f>
        <v/>
      </c>
      <c r="BD790" s="200" t="str">
        <f>IFERROR(VLOOKUP($G790,нормы!$A$14:$BG$57,44,0),"")</f>
        <v/>
      </c>
      <c r="BE790" s="199" t="str">
        <f>IFERROR(W790/VLOOKUP($G790,нормы!$A$14:$BI$57,45,0),"")</f>
        <v/>
      </c>
    </row>
    <row r="791" spans="1:57" s="1" customFormat="1" ht="21" customHeight="1" thickBot="1" x14ac:dyDescent="0.45">
      <c r="A791" s="37" t="str">
        <f t="shared" si="314"/>
        <v>13Н</v>
      </c>
      <c r="B791" s="12">
        <f t="shared" si="315"/>
        <v>46035</v>
      </c>
      <c r="C791" s="97">
        <f t="shared" si="315"/>
        <v>0</v>
      </c>
      <c r="D791" s="97">
        <f t="shared" si="315"/>
        <v>1</v>
      </c>
      <c r="E791" s="54"/>
      <c r="F791" s="151" t="str">
        <f>IFERROR(VLOOKUP($G791,нормы!$A$14:$BC$57,2,0),"")</f>
        <v/>
      </c>
      <c r="G791" s="93"/>
      <c r="H791" s="63">
        <f t="shared" si="316"/>
        <v>0</v>
      </c>
      <c r="I791" s="153">
        <f>I787+I789</f>
        <v>0</v>
      </c>
      <c r="J791" s="334"/>
      <c r="K791" s="30">
        <f>IFERROR(VLOOKUP($G791,[1]нормы!$A$21:$BC$151,15,0),"")</f>
        <v>0</v>
      </c>
      <c r="L791" s="31">
        <f>IFERROR(VLOOKUP($G791,[1]нормы!$A$21:$BC$151,17,0),"")</f>
        <v>0</v>
      </c>
      <c r="M791" s="308">
        <f>IFERROR(VLOOKUP($G791,[1]нормы!$A$21:$BC$151,27,0),"")</f>
        <v>0</v>
      </c>
      <c r="N791" s="309" t="str">
        <f>IFERROR(Y791/Y792*(1.1*J786*I796),"")</f>
        <v/>
      </c>
      <c r="O791" s="300">
        <f>IFERROR(VLOOKUP($G791,[1]нормы!$A$21:$BC$151,21,0),"")</f>
        <v>0</v>
      </c>
      <c r="P791" s="35">
        <f>IFERROR(VLOOKUP($G791,[1]нормы!$A$21:$BC$151,19,0),"")</f>
        <v>0</v>
      </c>
      <c r="Q791" s="35">
        <f>IFERROR(VLOOKUP($G791,[1]нормы!$A$21:$BC$151,23,0),"")</f>
        <v>0</v>
      </c>
      <c r="R791" s="231">
        <f>IFERROR(VLOOKUP($G791,[1]нормы!$A$21:$BC$151,29,0),"")</f>
        <v>0</v>
      </c>
      <c r="S791" s="35">
        <f>IFERROR(VLOOKUP($G791,[1]нормы!$A$21:$BC$151,31,0),"")</f>
        <v>0</v>
      </c>
      <c r="T791" s="32">
        <f>IFERROR(VLOOKUP($G791,[1]нормы!$A$21:$BC$151,25,0),"")</f>
        <v>0</v>
      </c>
      <c r="U791" s="235" t="str">
        <f>IFERROR(W791/(((100*Y791/Y792)*I791)/100),"")</f>
        <v/>
      </c>
      <c r="V791" s="234" t="str">
        <f>IFERROR(VLOOKUP($G791,нормы!$A$14:$BC$57,38,0),"")</f>
        <v/>
      </c>
      <c r="W791" s="154"/>
      <c r="X791" s="238"/>
      <c r="Y791" s="152" t="str">
        <f>IFERROR(VLOOKUP($G791,нормы!$A$14:$BC$57,42,0)*W791,"")</f>
        <v/>
      </c>
      <c r="Z791" s="163">
        <f>IFERROR(VLOOKUP($G791,нормы!$A$14:$BC$57,14,0)*W791/1000,0)</f>
        <v>0</v>
      </c>
      <c r="AA791" s="56"/>
      <c r="AB791" s="58"/>
      <c r="AC791" s="58"/>
      <c r="AD791" s="58"/>
      <c r="AE791" s="57"/>
      <c r="AF791" s="161"/>
      <c r="AG791" s="392"/>
      <c r="AH791" s="395"/>
      <c r="AI791" s="398"/>
      <c r="AJ791" s="409"/>
      <c r="AK791" s="361"/>
      <c r="AL791" s="361"/>
      <c r="AM791" s="361"/>
      <c r="AN791" s="291">
        <f>IFERROR(Y791*AJ786/Y792,)</f>
        <v>0</v>
      </c>
      <c r="AO791" s="197" t="str">
        <f>IFERROR(VLOOKUP($G791,нормы!$A$14:$BC$57,53,0)*$W791,"")</f>
        <v/>
      </c>
      <c r="AP791" s="292">
        <f>IFERROR(Y791*AI786/Y792,)</f>
        <v>0</v>
      </c>
      <c r="AQ791" s="197" t="str">
        <f>IFERROR(VLOOKUP($G791,нормы!$A$14:$BC$57,54,0)*$W791,"")</f>
        <v/>
      </c>
      <c r="AR791" s="290">
        <f>IFERROR(AS791/SUM(AS786:AS791)*AL786,0)</f>
        <v>0</v>
      </c>
      <c r="AS791" s="197" t="str">
        <f>IFERROR(VLOOKUP($G791,нормы!$A$14:$BC$57,55,0)*W791,"")</f>
        <v/>
      </c>
      <c r="AT791" s="292">
        <f>IFERROR(AU791/SUM(AU786:AU791)*AM786,0)</f>
        <v>0</v>
      </c>
      <c r="AU791" s="197" t="str">
        <f>IFERROR(VLOOKUP($G791,нормы!$A$14:$BI$57,56,0)*W791,"")</f>
        <v/>
      </c>
      <c r="AV791" s="292">
        <f>IFERROR(AW791/SUM(AW786:AW791)*AK786,0)</f>
        <v>0</v>
      </c>
      <c r="AW791" s="202" t="str">
        <f>IFERROR(VLOOKUP($G791,нормы!$A$14:$BI$57,57,0)*W791,"")</f>
        <v/>
      </c>
      <c r="AX791" s="56"/>
      <c r="AY791" s="203" t="str">
        <f>IFERROR(VLOOKUP($G791,нормы!$A$14:$BI$57,58,0)*W791,"")</f>
        <v/>
      </c>
      <c r="AZ791" s="206"/>
      <c r="BA791" s="200" t="str">
        <f>IFERROR(VLOOKUP($G791,нормы!$A$14:$BI$57,61,0)*$W791,"")</f>
        <v/>
      </c>
      <c r="BB791" s="56"/>
      <c r="BC791" s="203" t="str">
        <f>IFERROR(VLOOKUP($G791,нормы!$A$14:$BI$57,60,0)*W791,"")</f>
        <v/>
      </c>
      <c r="BD791" s="200" t="str">
        <f>IFERROR(VLOOKUP($G791,нормы!$A$14:$BG$57,44,0),"")</f>
        <v/>
      </c>
      <c r="BE791" s="199" t="str">
        <f>IFERROR(W791/VLOOKUP($G791,нормы!$A$14:$BI$57,45,0),"")</f>
        <v/>
      </c>
    </row>
    <row r="792" spans="1:57" s="1" customFormat="1" ht="29.4" customHeight="1" thickBot="1" x14ac:dyDescent="0.45">
      <c r="A792" s="37" t="str">
        <f t="shared" si="314"/>
        <v>13Н</v>
      </c>
      <c r="B792" s="59"/>
      <c r="C792" s="51"/>
      <c r="D792" s="51"/>
      <c r="E792" s="51"/>
      <c r="F792" s="295" t="s">
        <v>149</v>
      </c>
      <c r="G792" s="51"/>
      <c r="H792" s="51"/>
      <c r="I792" s="60"/>
      <c r="J792" s="60"/>
      <c r="K792" s="319" t="s">
        <v>213</v>
      </c>
      <c r="L792" s="316"/>
      <c r="M792" s="303" t="s">
        <v>213</v>
      </c>
      <c r="N792" s="317">
        <f>SUM(N786:N791)</f>
        <v>0</v>
      </c>
      <c r="O792" s="304" t="s">
        <v>216</v>
      </c>
      <c r="P792" s="318">
        <f>N792*8.937/1000</f>
        <v>0</v>
      </c>
      <c r="Q792" s="305" t="s">
        <v>215</v>
      </c>
      <c r="R792" s="61"/>
      <c r="S792" s="61"/>
      <c r="T792" s="61"/>
      <c r="U792" s="109"/>
      <c r="V792" s="109"/>
      <c r="W792" s="94"/>
      <c r="X792" s="155"/>
      <c r="Y792" s="96">
        <f>SUM(Y786:Y791)</f>
        <v>0</v>
      </c>
      <c r="Z792" s="164">
        <f>SUM(Z786:Z791)</f>
        <v>0</v>
      </c>
      <c r="AA792" s="62"/>
      <c r="AB792" s="62"/>
      <c r="AC792" s="62"/>
      <c r="AD792" s="62"/>
      <c r="AE792" s="62"/>
      <c r="AF792" s="62"/>
      <c r="AG792" s="162" t="s">
        <v>140</v>
      </c>
      <c r="AH792" s="162" t="s">
        <v>141</v>
      </c>
      <c r="AI792" s="162" t="s">
        <v>142</v>
      </c>
      <c r="AJ792" s="91" t="s">
        <v>126</v>
      </c>
      <c r="AK792" s="198" t="s">
        <v>136</v>
      </c>
      <c r="AL792" s="198" t="s">
        <v>137</v>
      </c>
      <c r="AM792" s="198" t="s">
        <v>138</v>
      </c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53" t="str">
        <f>IFERROR(W792/VLOOKUP($G792,нормы!$A$14:$BI$15,28,0),"")</f>
        <v/>
      </c>
    </row>
    <row r="793" spans="1:57" s="1" customFormat="1" ht="21.6" customHeight="1" x14ac:dyDescent="0.4">
      <c r="A793" s="37" t="str">
        <f t="shared" si="314"/>
        <v>13Н</v>
      </c>
      <c r="B793" s="12">
        <f>B791</f>
        <v>46035</v>
      </c>
      <c r="C793" s="97"/>
      <c r="D793" s="97">
        <v>2</v>
      </c>
      <c r="E793" s="29"/>
      <c r="F793" s="151" t="str">
        <f>IFERROR(VLOOKUP($G793,нормы!$A$14:$BC$57,2,0),"")</f>
        <v/>
      </c>
      <c r="G793" s="93"/>
      <c r="H793" s="54">
        <f>IF(C793=1,"Кульков С.А.", IF(C793=2,"Чудаков А.А.",IF(C793=3,"Королев В.Н.",IF(C793=4,"Николашин М.П.",IF(C793=5," Кульков С.А.",IF(C793=6,"А.А. Чудаков",IF(C793=7,"В.Н. Королев",IF(C793=8,"М.П. Николашин",0))))))))</f>
        <v>0</v>
      </c>
      <c r="I793" s="88" t="s">
        <v>211</v>
      </c>
      <c r="J793" s="332"/>
      <c r="K793" s="30">
        <f>IFERROR(VLOOKUP($G793,[1]нормы!$A$21:$BC$151,15,0),"")</f>
        <v>0</v>
      </c>
      <c r="L793" s="31">
        <f>IFERROR(VLOOKUP($G793,[1]нормы!$A$21:$BC$151,17,0),"")</f>
        <v>0</v>
      </c>
      <c r="M793" s="310">
        <f>IFERROR(VLOOKUP($G793,[1]нормы!$A$21:$BC$151,27,0),"")</f>
        <v>0</v>
      </c>
      <c r="N793" s="311" t="str">
        <f>IFERROR(Y793/Y799*(1.1*J793*I798),"")</f>
        <v/>
      </c>
      <c r="O793" s="300">
        <f>IFERROR(VLOOKUP($G793,[1]нормы!$A$21:$BC$151,21,0),"")</f>
        <v>0</v>
      </c>
      <c r="P793" s="35">
        <f>IFERROR(VLOOKUP($G793,[1]нормы!$A$21:$BC$151,19,0),"")</f>
        <v>0</v>
      </c>
      <c r="Q793" s="35">
        <f>IFERROR(VLOOKUP($G793,[1]нормы!$A$21:$BC$151,23,0),"")</f>
        <v>0</v>
      </c>
      <c r="R793" s="231">
        <f>IFERROR(VLOOKUP($G793,[1]нормы!$A$21:$BC$151,29,0),"")</f>
        <v>0</v>
      </c>
      <c r="S793" s="35">
        <f>IFERROR(VLOOKUP($G793,[1]нормы!$A$21:$BC$151,31,0),"")</f>
        <v>0</v>
      </c>
      <c r="T793" s="32">
        <f>IFERROR(VLOOKUP($G793,[1]нормы!$A$21:$BC$151,25,0),"")</f>
        <v>0</v>
      </c>
      <c r="U793" s="232" t="str">
        <f>IFERROR(W793/(((100*Y793/Y799)*I798)/100),"")</f>
        <v/>
      </c>
      <c r="V793" s="234" t="str">
        <f>IFERROR(VLOOKUP($G793,нормы!$A$14:$BC$57,38,0),"")</f>
        <v/>
      </c>
      <c r="W793" s="136"/>
      <c r="X793" s="236"/>
      <c r="Y793" s="152" t="str">
        <f>IFERROR(VLOOKUP($G793,нормы!$A$14:$BC$57,42,0)*W793,"")</f>
        <v/>
      </c>
      <c r="Z793" s="163">
        <f>IFERROR(VLOOKUP($G793,нормы!$A$14:$BC$57,14,0)*W793/1000,0)</f>
        <v>0</v>
      </c>
      <c r="AA793" s="33"/>
      <c r="AB793" s="36"/>
      <c r="AC793" s="36"/>
      <c r="AD793" s="36"/>
      <c r="AE793" s="34"/>
      <c r="AF793" s="159"/>
      <c r="AG793" s="390"/>
      <c r="AH793" s="393"/>
      <c r="AI793" s="396"/>
      <c r="AJ793" s="407">
        <f>AG793+AH793</f>
        <v>0</v>
      </c>
      <c r="AK793" s="359"/>
      <c r="AL793" s="359"/>
      <c r="AM793" s="359"/>
      <c r="AN793" s="287">
        <f>IFERROR(Y793*AJ793/Y799,)</f>
        <v>0</v>
      </c>
      <c r="AO793" s="197" t="str">
        <f>IFERROR(VLOOKUP($G793,нормы!$A$14:$BC$57,53,0)*$W793,"")</f>
        <v/>
      </c>
      <c r="AP793" s="288">
        <f>IFERROR(Y793*AI793/Y799,)</f>
        <v>0</v>
      </c>
      <c r="AQ793" s="197" t="str">
        <f>IFERROR(VLOOKUP($G793,нормы!$A$14:$BC$57,54,0)*$W793,"")</f>
        <v/>
      </c>
      <c r="AR793" s="288">
        <f>IFERROR(AS793/SUM(AS793:AS798)*AL793,0)</f>
        <v>0</v>
      </c>
      <c r="AS793" s="197" t="str">
        <f>IFERROR(VLOOKUP($G793,нормы!$A$14:$BC$57,55,0)*W793,"")</f>
        <v/>
      </c>
      <c r="AT793" s="288">
        <f>IFERROR(AU793/SUM(AU793:AU798)*AM793,0)</f>
        <v>0</v>
      </c>
      <c r="AU793" s="197" t="str">
        <f>IFERROR(VLOOKUP($G793,нормы!$A$14:$BI$57,56,0)*W793,"")</f>
        <v/>
      </c>
      <c r="AV793" s="288">
        <f>IFERROR(AW793/SUM(AW793:AW798)*AK793,0)</f>
        <v>0</v>
      </c>
      <c r="AW793" s="202" t="str">
        <f>IFERROR(VLOOKUP($G793,нормы!$A$14:$BI$57,57,0)*W793,"")</f>
        <v/>
      </c>
      <c r="AX793" s="33"/>
      <c r="AY793" s="203" t="str">
        <f>IFERROR(VLOOKUP($G793,нормы!$A$14:$BI$57,58,0)*W793,"")</f>
        <v/>
      </c>
      <c r="AZ793" s="204"/>
      <c r="BA793" s="200" t="str">
        <f>IFERROR(VLOOKUP($G793,нормы!$A$14:$BI$57,61,0)*$W793,"")</f>
        <v/>
      </c>
      <c r="BB793" s="33"/>
      <c r="BC793" s="203" t="str">
        <f>IFERROR(VLOOKUP($G793,нормы!$A$14:$BI$57,60,0)*W793,"")</f>
        <v/>
      </c>
      <c r="BD793" s="200" t="str">
        <f>IFERROR(VLOOKUP($G793,нормы!$A$14:$BG$57,44,0),"")</f>
        <v/>
      </c>
      <c r="BE793" s="199" t="str">
        <f>IFERROR(W793/VLOOKUP($G793,нормы!$A$14:$BI$57,45,0),"")</f>
        <v/>
      </c>
    </row>
    <row r="794" spans="1:57" s="1" customFormat="1" ht="21.6" customHeight="1" x14ac:dyDescent="0.4">
      <c r="A794" s="37" t="str">
        <f t="shared" si="314"/>
        <v>13Н</v>
      </c>
      <c r="B794" s="12">
        <f t="shared" ref="B794:D798" si="317">B793</f>
        <v>46035</v>
      </c>
      <c r="C794" s="97">
        <f t="shared" si="317"/>
        <v>0</v>
      </c>
      <c r="D794" s="97">
        <f t="shared" si="317"/>
        <v>2</v>
      </c>
      <c r="E794" s="54"/>
      <c r="F794" s="151" t="str">
        <f>IFERROR(VLOOKUP($G794,нормы!$A$14:$BC$57,2,0),"")</f>
        <v/>
      </c>
      <c r="G794" s="93"/>
      <c r="H794" s="54">
        <f t="shared" ref="H794:H798" si="318">IF(C794=1,"Кульков С.А.", IF(C794=2,"Чудаков А.А.",IF(C794=3,"Королев В.Н.",IF(C794=4,"Николашин М.П.",IF(C794=5," Кульков С.А.",IF(C794=6,"А.А. Чудаков",IF(C794=7,"В.Н. Королев",IF(C794=8,"М.П. Николашин",0))))))))</f>
        <v>0</v>
      </c>
      <c r="I794" s="55"/>
      <c r="J794" s="333"/>
      <c r="K794" s="30">
        <f>IFERROR(VLOOKUP($G794,[1]нормы!$A$21:$BC$151,15,0),"")</f>
        <v>0</v>
      </c>
      <c r="L794" s="31">
        <f>IFERROR(VLOOKUP($G794,[1]нормы!$A$21:$BC$151,17,0),"")</f>
        <v>0</v>
      </c>
      <c r="M794" s="306">
        <f>IFERROR(VLOOKUP($G794,[1]нормы!$A$21:$BC$151,27,0),"")</f>
        <v>0</v>
      </c>
      <c r="N794" s="307" t="str">
        <f>IFERROR(Y794/Y799*(1.1*J793*I798),"")</f>
        <v/>
      </c>
      <c r="O794" s="300">
        <f>IFERROR(VLOOKUP($G794,[1]нормы!$A$21:$BC$151,21,0),"")</f>
        <v>0</v>
      </c>
      <c r="P794" s="35">
        <f>IFERROR(VLOOKUP($G794,[1]нормы!$A$21:$BC$151,19,0),"")</f>
        <v>0</v>
      </c>
      <c r="Q794" s="35">
        <f>IFERROR(VLOOKUP($G794,[1]нормы!$A$21:$BC$151,23,0),"")</f>
        <v>0</v>
      </c>
      <c r="R794" s="231">
        <f>IFERROR(VLOOKUP($G794,[1]нормы!$A$21:$BC$151,29,0),"")</f>
        <v>0</v>
      </c>
      <c r="S794" s="35">
        <f>IFERROR(VLOOKUP($G794,[1]нормы!$A$21:$BC$151,31,0),"")</f>
        <v>0</v>
      </c>
      <c r="T794" s="32">
        <f>IFERROR(VLOOKUP($G794,[1]нормы!$A$21:$BC$151,25,0),"")</f>
        <v>0</v>
      </c>
      <c r="U794" s="233" t="str">
        <f>IFERROR(W794/(((100*Y794/Y799)*I798)/100),"")</f>
        <v/>
      </c>
      <c r="V794" s="234" t="str">
        <f>IFERROR(VLOOKUP($G794,нормы!$A$14:$BC$57,38,0),"")</f>
        <v/>
      </c>
      <c r="W794" s="136"/>
      <c r="X794" s="237"/>
      <c r="Y794" s="152" t="str">
        <f>IFERROR(VLOOKUP($G794,нормы!$A$14:$BC$57,42,0)*W794,"")</f>
        <v/>
      </c>
      <c r="Z794" s="163">
        <f>IFERROR(VLOOKUP($G794,нормы!$A$14:$BC$57,14,0)*W794/1000,0)</f>
        <v>0</v>
      </c>
      <c r="AA794" s="142"/>
      <c r="AB794" s="35"/>
      <c r="AC794" s="35"/>
      <c r="AD794" s="35"/>
      <c r="AE794" s="31"/>
      <c r="AF794" s="160"/>
      <c r="AG794" s="391"/>
      <c r="AH794" s="394"/>
      <c r="AI794" s="397"/>
      <c r="AJ794" s="408"/>
      <c r="AK794" s="360"/>
      <c r="AL794" s="360"/>
      <c r="AM794" s="360"/>
      <c r="AN794" s="289">
        <f>IFERROR(Y794*AJ793/Y799,)</f>
        <v>0</v>
      </c>
      <c r="AO794" s="197" t="str">
        <f>IFERROR(VLOOKUP($G794,нормы!$A$14:$BC$57,53,0)*$W794,"")</f>
        <v/>
      </c>
      <c r="AP794" s="290">
        <f>IFERROR(Y794*AI793/Y799,)</f>
        <v>0</v>
      </c>
      <c r="AQ794" s="197" t="str">
        <f>IFERROR(VLOOKUP($G794,нормы!$A$14:$BC$57,54,0)*$W794,"")</f>
        <v/>
      </c>
      <c r="AR794" s="290">
        <f>IFERROR(AS794/SUM(AS793:AS798)*AL793,0)</f>
        <v>0</v>
      </c>
      <c r="AS794" s="197" t="str">
        <f>IFERROR(VLOOKUP($G794,нормы!$A$14:$BC$57,55,0)*W794,"")</f>
        <v/>
      </c>
      <c r="AT794" s="290">
        <f>IFERROR(AU794/SUM(AU793:AU798)*AM793,0)</f>
        <v>0</v>
      </c>
      <c r="AU794" s="197" t="str">
        <f>IFERROR(VLOOKUP($G794,нормы!$A$14:$BI$57,56,0)*W794,"")</f>
        <v/>
      </c>
      <c r="AV794" s="290">
        <f>IFERROR(AW794/SUM(AW793:AW798)*AK793,0)</f>
        <v>0</v>
      </c>
      <c r="AW794" s="202" t="str">
        <f>IFERROR(VLOOKUP($G794,нормы!$A$14:$BI$57,57,0)*W794,"")</f>
        <v/>
      </c>
      <c r="AX794" s="30"/>
      <c r="AY794" s="203" t="str">
        <f>IFERROR(VLOOKUP($G794,нормы!$A$14:$BI$57,58,0)*W794,"")</f>
        <v/>
      </c>
      <c r="AZ794" s="205"/>
      <c r="BA794" s="200" t="str">
        <f>IFERROR(VLOOKUP($G794,нормы!$A$14:$BI$57,61,0)*$W794,"")</f>
        <v/>
      </c>
      <c r="BB794" s="30"/>
      <c r="BC794" s="203" t="str">
        <f>IFERROR(VLOOKUP($G794,нормы!$A$14:$BI$57,60,0)*W794,"")</f>
        <v/>
      </c>
      <c r="BD794" s="200" t="str">
        <f>IFERROR(VLOOKUP($G794,нормы!$A$14:$BG$57,44,0),"")</f>
        <v/>
      </c>
      <c r="BE794" s="199" t="str">
        <f>IFERROR(W794/VLOOKUP($G794,нормы!$A$14:$BI$57,45,0),"")</f>
        <v/>
      </c>
    </row>
    <row r="795" spans="1:57" s="1" customFormat="1" ht="20.25" customHeight="1" x14ac:dyDescent="0.4">
      <c r="A795" s="37" t="str">
        <f t="shared" si="314"/>
        <v>13Н</v>
      </c>
      <c r="B795" s="12">
        <f t="shared" si="317"/>
        <v>46035</v>
      </c>
      <c r="C795" s="97">
        <f t="shared" si="317"/>
        <v>0</v>
      </c>
      <c r="D795" s="97">
        <f t="shared" si="317"/>
        <v>2</v>
      </c>
      <c r="E795" s="54"/>
      <c r="F795" s="151" t="str">
        <f>IFERROR(VLOOKUP($G795,нормы!$A$14:$BC$57,2,0),"")</f>
        <v/>
      </c>
      <c r="G795" s="38"/>
      <c r="H795" s="54">
        <f t="shared" si="318"/>
        <v>0</v>
      </c>
      <c r="I795" s="89" t="s">
        <v>212</v>
      </c>
      <c r="J795" s="333"/>
      <c r="K795" s="30">
        <f>IFERROR(VLOOKUP($G795,[1]нормы!$A$21:$BC$151,15,0),"")</f>
        <v>0</v>
      </c>
      <c r="L795" s="31">
        <f>IFERROR(VLOOKUP($G795,[1]нормы!$A$21:$BC$151,17,0),"")</f>
        <v>0</v>
      </c>
      <c r="M795" s="306">
        <f>IFERROR(VLOOKUP($G795,[1]нормы!$A$21:$BC$151,27,0),"")</f>
        <v>0</v>
      </c>
      <c r="N795" s="307" t="str">
        <f>IFERROR(Y795/Y799*(1.1*J793*I798),"")</f>
        <v/>
      </c>
      <c r="O795" s="300">
        <f>IFERROR(VLOOKUP($G795,[1]нормы!$A$21:$BC$151,21,0),"")</f>
        <v>0</v>
      </c>
      <c r="P795" s="35">
        <f>IFERROR(VLOOKUP($G795,[1]нормы!$A$21:$BC$151,19,0),"")</f>
        <v>0</v>
      </c>
      <c r="Q795" s="35">
        <f>IFERROR(VLOOKUP($G795,[1]нормы!$A$21:$BC$151,23,0),"")</f>
        <v>0</v>
      </c>
      <c r="R795" s="231">
        <f>IFERROR(VLOOKUP($G795,[1]нормы!$A$21:$BC$151,29,0),"")</f>
        <v>0</v>
      </c>
      <c r="S795" s="35">
        <f>IFERROR(VLOOKUP($G795,[1]нормы!$A$21:$BC$151,31,0),"")</f>
        <v>0</v>
      </c>
      <c r="T795" s="32">
        <f>IFERROR(VLOOKUP($G795,[1]нормы!$A$21:$BC$151,25,0),"")</f>
        <v>0</v>
      </c>
      <c r="U795" s="233" t="str">
        <f>IFERROR(W795/(((100*Y795/Y799)*I798)/100),"")</f>
        <v/>
      </c>
      <c r="V795" s="234" t="str">
        <f>IFERROR(VLOOKUP($G795,нормы!$A$14:$BC$57,38,0),"")</f>
        <v/>
      </c>
      <c r="W795" s="136"/>
      <c r="X795" s="237"/>
      <c r="Y795" s="152" t="str">
        <f>IFERROR(VLOOKUP($G795,нормы!$A$14:$BC$57,42,0)*W795,"")</f>
        <v/>
      </c>
      <c r="Z795" s="163">
        <f>IFERROR(VLOOKUP($G795,нормы!$A$14:$BC$57,14,0)*W795/1000,0)</f>
        <v>0</v>
      </c>
      <c r="AA795" s="30"/>
      <c r="AB795" s="35"/>
      <c r="AC795" s="35"/>
      <c r="AD795" s="35"/>
      <c r="AE795" s="31"/>
      <c r="AF795" s="160"/>
      <c r="AG795" s="391"/>
      <c r="AH795" s="394"/>
      <c r="AI795" s="397"/>
      <c r="AJ795" s="408"/>
      <c r="AK795" s="360"/>
      <c r="AL795" s="360"/>
      <c r="AM795" s="360"/>
      <c r="AN795" s="289">
        <f>IFERROR(Y795*AJ793/Y799,)</f>
        <v>0</v>
      </c>
      <c r="AO795" s="197" t="str">
        <f>IFERROR(VLOOKUP($G795,нормы!$A$14:$BC$57,53,0)*$W795,"")</f>
        <v/>
      </c>
      <c r="AP795" s="290">
        <f>IFERROR(Y795*AI793/Y799,)</f>
        <v>0</v>
      </c>
      <c r="AQ795" s="197" t="str">
        <f>IFERROR(VLOOKUP($G795,нормы!$A$14:$BC$57,54,0)*$W795,"")</f>
        <v/>
      </c>
      <c r="AR795" s="290">
        <f>IFERROR(AS795/SUM(AS793:AS798)*AL793,0)</f>
        <v>0</v>
      </c>
      <c r="AS795" s="197" t="str">
        <f>IFERROR(VLOOKUP($G795,нормы!$A$14:$BC$57,55,0)*W795,"")</f>
        <v/>
      </c>
      <c r="AT795" s="290">
        <f>IFERROR(AU795/SUM(AU793:AU798)*AM793,0)</f>
        <v>0</v>
      </c>
      <c r="AU795" s="197" t="str">
        <f>IFERROR(VLOOKUP($G795,нормы!$A$14:$BI$57,56,0)*W795,"")</f>
        <v/>
      </c>
      <c r="AV795" s="290">
        <f>IFERROR(AW795/SUM(AW793:AW798)*AK793,0)</f>
        <v>0</v>
      </c>
      <c r="AW795" s="202" t="str">
        <f>IFERROR(VLOOKUP($G795,нормы!$A$14:$BI$57,57,0)*W795,"")</f>
        <v/>
      </c>
      <c r="AX795" s="30"/>
      <c r="AY795" s="203" t="str">
        <f>IFERROR(VLOOKUP($G795,нормы!$A$14:$BI$57,58,0)*W795,"")</f>
        <v/>
      </c>
      <c r="AZ795" s="205"/>
      <c r="BA795" s="200" t="str">
        <f>IFERROR(VLOOKUP($G795,нормы!$A$14:$BI$57,61,0)*$W795,"")</f>
        <v/>
      </c>
      <c r="BB795" s="30"/>
      <c r="BC795" s="203" t="str">
        <f>IFERROR(VLOOKUP($G795,нормы!$A$14:$BI$57,60,0)*W795,"")</f>
        <v/>
      </c>
      <c r="BD795" s="200" t="str">
        <f>IFERROR(VLOOKUP($G795,нормы!$A$14:$BG$57,44,0),"")</f>
        <v/>
      </c>
      <c r="BE795" s="199" t="str">
        <f>IFERROR(W795/VLOOKUP($G795,нормы!$A$14:$BI$57,45,0),"")</f>
        <v/>
      </c>
    </row>
    <row r="796" spans="1:57" s="1" customFormat="1" ht="20.25" customHeight="1" x14ac:dyDescent="0.4">
      <c r="A796" s="37" t="str">
        <f t="shared" si="314"/>
        <v>13Н</v>
      </c>
      <c r="B796" s="12">
        <f t="shared" si="317"/>
        <v>46035</v>
      </c>
      <c r="C796" s="97">
        <f t="shared" si="317"/>
        <v>0</v>
      </c>
      <c r="D796" s="97">
        <f t="shared" si="317"/>
        <v>2</v>
      </c>
      <c r="E796" s="54"/>
      <c r="F796" s="151" t="str">
        <f>IFERROR(VLOOKUP($G796,нормы!$A$14:$BC$57,2,0),"")</f>
        <v/>
      </c>
      <c r="G796" s="93"/>
      <c r="H796" s="54">
        <f t="shared" si="318"/>
        <v>0</v>
      </c>
      <c r="I796" s="55"/>
      <c r="J796" s="333"/>
      <c r="K796" s="30">
        <f>IFERROR(VLOOKUP($G796,[1]нормы!$A$21:$BC$151,15,0),"")</f>
        <v>0</v>
      </c>
      <c r="L796" s="31">
        <f>IFERROR(VLOOKUP($G796,[1]нормы!$A$21:$BC$151,17,0),"")</f>
        <v>0</v>
      </c>
      <c r="M796" s="306">
        <f>IFERROR(VLOOKUP($G796,[1]нормы!$A$21:$BC$151,27,0),"")</f>
        <v>0</v>
      </c>
      <c r="N796" s="307" t="str">
        <f>IFERROR(Y796/Y799*(1.1*J793*I801),"")</f>
        <v/>
      </c>
      <c r="O796" s="300">
        <f>IFERROR(VLOOKUP($G796,[1]нормы!$A$21:$BC$151,21,0),"")</f>
        <v>0</v>
      </c>
      <c r="P796" s="35">
        <f>IFERROR(VLOOKUP($G796,[1]нормы!$A$21:$BC$151,19,0),"")</f>
        <v>0</v>
      </c>
      <c r="Q796" s="35">
        <f>IFERROR(VLOOKUP($G796,[1]нормы!$A$21:$BC$151,23,0),"")</f>
        <v>0</v>
      </c>
      <c r="R796" s="231">
        <f>IFERROR(VLOOKUP($G796,[1]нормы!$A$21:$BC$151,29,0),"")</f>
        <v>0</v>
      </c>
      <c r="S796" s="35">
        <f>IFERROR(VLOOKUP($G796,[1]нормы!$A$21:$BC$151,31,0),"")</f>
        <v>0</v>
      </c>
      <c r="T796" s="32">
        <f>IFERROR(VLOOKUP($G796,[1]нормы!$A$21:$BC$151,25,0),"")</f>
        <v>0</v>
      </c>
      <c r="U796" s="233" t="str">
        <f>IFERROR(W796/(((100*Y796/Y799)*I798)/100),"")</f>
        <v/>
      </c>
      <c r="V796" s="234" t="str">
        <f>IFERROR(VLOOKUP($G796,нормы!$A$14:$BC$57,38,0),"")</f>
        <v/>
      </c>
      <c r="W796" s="136"/>
      <c r="X796" s="237"/>
      <c r="Y796" s="152" t="str">
        <f>IFERROR(VLOOKUP($G796,нормы!$A$14:$BC$57,42,0)*W796,"")</f>
        <v/>
      </c>
      <c r="Z796" s="163">
        <f>IFERROR(VLOOKUP($G796,нормы!$A$14:$BC$57,14,0)*W796/1000,0)</f>
        <v>0</v>
      </c>
      <c r="AA796" s="30"/>
      <c r="AB796" s="35"/>
      <c r="AC796" s="35"/>
      <c r="AD796" s="35"/>
      <c r="AE796" s="31"/>
      <c r="AF796" s="160"/>
      <c r="AG796" s="391"/>
      <c r="AH796" s="394"/>
      <c r="AI796" s="397"/>
      <c r="AJ796" s="408"/>
      <c r="AK796" s="360"/>
      <c r="AL796" s="360"/>
      <c r="AM796" s="360"/>
      <c r="AN796" s="289">
        <f>IFERROR(Y796*AJ793/Y799,)</f>
        <v>0</v>
      </c>
      <c r="AO796" s="197" t="str">
        <f>IFERROR(VLOOKUP($G796,нормы!$A$14:$BC$57,53,0)*$W796,"")</f>
        <v/>
      </c>
      <c r="AP796" s="290">
        <f>IFERROR(Y796*AI793/Y799,)</f>
        <v>0</v>
      </c>
      <c r="AQ796" s="197" t="str">
        <f>IFERROR(VLOOKUP($G796,нормы!$A$14:$BC$57,54,0)*$W796,"")</f>
        <v/>
      </c>
      <c r="AR796" s="290">
        <f>IFERROR(AS796/SUM(AS793:AS798)*AL793,0)</f>
        <v>0</v>
      </c>
      <c r="AS796" s="197" t="str">
        <f>IFERROR(VLOOKUP($G796,нормы!$A$14:$BC$57,55,0)*W796,"")</f>
        <v/>
      </c>
      <c r="AT796" s="290">
        <f>IFERROR(AU796/SUM(AU793:AU798)*AM793,0)</f>
        <v>0</v>
      </c>
      <c r="AU796" s="197" t="str">
        <f>IFERROR(VLOOKUP($G796,нормы!$A$14:$BI$57,56,0)*W796,"")</f>
        <v/>
      </c>
      <c r="AV796" s="290">
        <f>IFERROR(AW796/SUM(AW793:AW798)*AK793,0)</f>
        <v>0</v>
      </c>
      <c r="AW796" s="202" t="str">
        <f>IFERROR(VLOOKUP($G796,нормы!$A$14:$BI$57,57,0)*W796,"")</f>
        <v/>
      </c>
      <c r="AX796" s="30"/>
      <c r="AY796" s="203" t="str">
        <f>IFERROR(VLOOKUP($G796,нормы!$A$14:$BI$57,58,0)*W796,"")</f>
        <v/>
      </c>
      <c r="AZ796" s="205"/>
      <c r="BA796" s="200" t="str">
        <f>IFERROR(VLOOKUP($G796,нормы!$A$14:$BI$57,61,0)*$W796,"")</f>
        <v/>
      </c>
      <c r="BB796" s="30"/>
      <c r="BC796" s="203" t="str">
        <f>IFERROR(VLOOKUP($G796,нормы!$A$14:$BI$57,60,0)*W796,"")</f>
        <v/>
      </c>
      <c r="BD796" s="200" t="str">
        <f>IFERROR(VLOOKUP($G796,нормы!$A$14:$BG$57,44,0),"")</f>
        <v/>
      </c>
      <c r="BE796" s="199" t="str">
        <f>IFERROR(W796/VLOOKUP($G796,нормы!$A$14:$BI$57,45,0),"")</f>
        <v/>
      </c>
    </row>
    <row r="797" spans="1:57" s="1" customFormat="1" ht="20.25" customHeight="1" x14ac:dyDescent="0.4">
      <c r="A797" s="37" t="str">
        <f t="shared" si="314"/>
        <v>13Н</v>
      </c>
      <c r="B797" s="12">
        <f t="shared" si="317"/>
        <v>46035</v>
      </c>
      <c r="C797" s="97">
        <f t="shared" si="317"/>
        <v>0</v>
      </c>
      <c r="D797" s="97">
        <f t="shared" si="317"/>
        <v>2</v>
      </c>
      <c r="E797" s="54"/>
      <c r="F797" s="151" t="str">
        <f>IFERROR(VLOOKUP($G797,нормы!$A$14:$BC$57,2,0),"")</f>
        <v/>
      </c>
      <c r="G797" s="38"/>
      <c r="H797" s="54">
        <f t="shared" si="318"/>
        <v>0</v>
      </c>
      <c r="I797" s="89" t="s">
        <v>73</v>
      </c>
      <c r="J797" s="333"/>
      <c r="K797" s="30">
        <f>IFERROR(VLOOKUP($G797,[1]нормы!$A$21:$BC$151,15,0),"")</f>
        <v>0</v>
      </c>
      <c r="L797" s="31">
        <f>IFERROR(VLOOKUP($G797,[1]нормы!$A$21:$BC$151,17,0),"")</f>
        <v>0</v>
      </c>
      <c r="M797" s="306">
        <f>IFERROR(VLOOKUP($G797,[1]нормы!$A$21:$BC$151,27,0),"")</f>
        <v>0</v>
      </c>
      <c r="N797" s="307" t="str">
        <f>IFERROR(Y797/Y799*(1.1*J793*I802),"")</f>
        <v/>
      </c>
      <c r="O797" s="300">
        <f>IFERROR(VLOOKUP($G797,[1]нормы!$A$21:$BC$151,21,0),"")</f>
        <v>0</v>
      </c>
      <c r="P797" s="35">
        <f>IFERROR(VLOOKUP($G797,[1]нормы!$A$21:$BC$151,19,0),"")</f>
        <v>0</v>
      </c>
      <c r="Q797" s="35">
        <f>IFERROR(VLOOKUP($G797,[1]нормы!$A$21:$BC$151,23,0),"")</f>
        <v>0</v>
      </c>
      <c r="R797" s="231">
        <f>IFERROR(VLOOKUP($G797,[1]нормы!$A$21:$BC$151,29,0),"")</f>
        <v>0</v>
      </c>
      <c r="S797" s="35">
        <f>IFERROR(VLOOKUP($G797,[1]нормы!$A$21:$BC$151,31,0),"")</f>
        <v>0</v>
      </c>
      <c r="T797" s="32">
        <f>IFERROR(VLOOKUP($G797,[1]нормы!$A$21:$BC$151,25,0),"")</f>
        <v>0</v>
      </c>
      <c r="U797" s="233" t="str">
        <f>IFERROR(W797/(((100*Y797/Y799)*I798)/100),"")</f>
        <v/>
      </c>
      <c r="V797" s="234" t="str">
        <f>IFERROR(VLOOKUP($G797,нормы!$A$14:$BC$57,38,0),"")</f>
        <v/>
      </c>
      <c r="W797" s="136"/>
      <c r="X797" s="237"/>
      <c r="Y797" s="152" t="str">
        <f>IFERROR(VLOOKUP($G797,нормы!$A$14:$BC$57,42,0)*W797,"")</f>
        <v/>
      </c>
      <c r="Z797" s="163">
        <f>IFERROR(VLOOKUP($G797,нормы!$A$14:$BC$57,14,0)*W797/1000,0)</f>
        <v>0</v>
      </c>
      <c r="AA797" s="30"/>
      <c r="AB797" s="35"/>
      <c r="AC797" s="35"/>
      <c r="AD797" s="35"/>
      <c r="AE797" s="31"/>
      <c r="AF797" s="160"/>
      <c r="AG797" s="391"/>
      <c r="AH797" s="394"/>
      <c r="AI797" s="397"/>
      <c r="AJ797" s="408"/>
      <c r="AK797" s="360"/>
      <c r="AL797" s="360"/>
      <c r="AM797" s="360"/>
      <c r="AN797" s="289">
        <f>IFERROR(Y797*AJ793/Y799,)</f>
        <v>0</v>
      </c>
      <c r="AO797" s="197" t="str">
        <f>IFERROR(VLOOKUP($G797,нормы!$A$14:$BC$57,53,0)*$W797,"")</f>
        <v/>
      </c>
      <c r="AP797" s="290">
        <f>IFERROR(Y797*AI793/Y799,)</f>
        <v>0</v>
      </c>
      <c r="AQ797" s="197" t="str">
        <f>IFERROR(VLOOKUP($G797,нормы!$A$14:$BC$57,54,0)*$W797,"")</f>
        <v/>
      </c>
      <c r="AR797" s="290">
        <f>IFERROR(AS797/SUM(AS793:AS798)*AL793,0)</f>
        <v>0</v>
      </c>
      <c r="AS797" s="197" t="str">
        <f>IFERROR(VLOOKUP($G797,нормы!$A$14:$BC$57,55,0)*W797,"")</f>
        <v/>
      </c>
      <c r="AT797" s="290">
        <f>IFERROR(AU797/SUM(AU793:AU798)*AM793,0)</f>
        <v>0</v>
      </c>
      <c r="AU797" s="197" t="str">
        <f>IFERROR(VLOOKUP($G797,нормы!$A$14:$BI$57,56,0)*W797,"")</f>
        <v/>
      </c>
      <c r="AV797" s="290">
        <f>IFERROR(AW797/SUM(AW793:AW798)*AK793,0)</f>
        <v>0</v>
      </c>
      <c r="AW797" s="202" t="str">
        <f>IFERROR(VLOOKUP($G797,нормы!$A$14:$BI$57,57,0)*W797,"")</f>
        <v/>
      </c>
      <c r="AX797" s="30"/>
      <c r="AY797" s="203" t="str">
        <f>IFERROR(VLOOKUP($G797,нормы!$A$14:$BI$57,58,0)*W797,"")</f>
        <v/>
      </c>
      <c r="AZ797" s="205"/>
      <c r="BA797" s="200" t="str">
        <f>IFERROR(VLOOKUP($G797,нормы!$A$14:$BI$57,61,0)*$W797,"")</f>
        <v/>
      </c>
      <c r="BB797" s="30"/>
      <c r="BC797" s="203" t="str">
        <f>IFERROR(VLOOKUP($G797,нормы!$A$14:$BI$57,60,0)*W797,"")</f>
        <v/>
      </c>
      <c r="BD797" s="200" t="str">
        <f>IFERROR(VLOOKUP($G797,нормы!$A$14:$BG$57,44,0),"")</f>
        <v/>
      </c>
      <c r="BE797" s="199" t="str">
        <f>IFERROR(W797/VLOOKUP($G797,нормы!$A$14:$BI$57,45,0),"")</f>
        <v/>
      </c>
    </row>
    <row r="798" spans="1:57" s="1" customFormat="1" ht="21" customHeight="1" thickBot="1" x14ac:dyDescent="0.45">
      <c r="A798" s="37" t="str">
        <f t="shared" si="314"/>
        <v>13Н</v>
      </c>
      <c r="B798" s="12">
        <f t="shared" si="317"/>
        <v>46035</v>
      </c>
      <c r="C798" s="97">
        <f t="shared" si="317"/>
        <v>0</v>
      </c>
      <c r="D798" s="97">
        <f t="shared" si="317"/>
        <v>2</v>
      </c>
      <c r="E798" s="54"/>
      <c r="F798" s="151" t="str">
        <f>IFERROR(VLOOKUP($G798,нормы!$A$14:$BC$57,2,0),"")</f>
        <v/>
      </c>
      <c r="G798" s="93"/>
      <c r="H798" s="63">
        <f t="shared" si="318"/>
        <v>0</v>
      </c>
      <c r="I798" s="153">
        <f>I794+I796</f>
        <v>0</v>
      </c>
      <c r="J798" s="334"/>
      <c r="K798" s="30">
        <f>IFERROR(VLOOKUP($G798,[1]нормы!$A$21:$BC$151,15,0),"")</f>
        <v>0</v>
      </c>
      <c r="L798" s="31">
        <f>IFERROR(VLOOKUP($G798,[1]нормы!$A$21:$BC$151,17,0),"")</f>
        <v>0</v>
      </c>
      <c r="M798" s="308">
        <f>IFERROR(VLOOKUP($G798,[1]нормы!$A$21:$BC$151,27,0),"")</f>
        <v>0</v>
      </c>
      <c r="N798" s="309" t="str">
        <f>IFERROR(Y798/Y799*(1.1*J793*I803),"")</f>
        <v/>
      </c>
      <c r="O798" s="300">
        <f>IFERROR(VLOOKUP($G798,[1]нормы!$A$21:$BC$151,21,0),"")</f>
        <v>0</v>
      </c>
      <c r="P798" s="35">
        <f>IFERROR(VLOOKUP($G798,[1]нормы!$A$21:$BC$151,19,0),"")</f>
        <v>0</v>
      </c>
      <c r="Q798" s="35">
        <f>IFERROR(VLOOKUP($G798,[1]нормы!$A$21:$BC$151,23,0),"")</f>
        <v>0</v>
      </c>
      <c r="R798" s="231">
        <f>IFERROR(VLOOKUP($G798,[1]нормы!$A$21:$BC$151,29,0),"")</f>
        <v>0</v>
      </c>
      <c r="S798" s="35">
        <f>IFERROR(VLOOKUP($G798,[1]нормы!$A$21:$BC$151,31,0),"")</f>
        <v>0</v>
      </c>
      <c r="T798" s="32">
        <f>IFERROR(VLOOKUP($G798,[1]нормы!$A$21:$BC$151,25,0),"")</f>
        <v>0</v>
      </c>
      <c r="U798" s="235" t="str">
        <f>IFERROR(W798/(((100*Y798/Y799)*I798)/100),"")</f>
        <v/>
      </c>
      <c r="V798" s="234" t="str">
        <f>IFERROR(VLOOKUP($G798,нормы!$A$14:$BC$57,38,0),"")</f>
        <v/>
      </c>
      <c r="W798" s="154"/>
      <c r="X798" s="238"/>
      <c r="Y798" s="152" t="str">
        <f>IFERROR(VLOOKUP($G798,нормы!$A$14:$BC$57,42,0)*W798,"")</f>
        <v/>
      </c>
      <c r="Z798" s="163">
        <f>IFERROR(VLOOKUP($G798,нормы!$A$14:$BC$57,14,0)*W798/1000,0)</f>
        <v>0</v>
      </c>
      <c r="AA798" s="56"/>
      <c r="AB798" s="58"/>
      <c r="AC798" s="58"/>
      <c r="AD798" s="58"/>
      <c r="AE798" s="57"/>
      <c r="AF798" s="161"/>
      <c r="AG798" s="392"/>
      <c r="AH798" s="395"/>
      <c r="AI798" s="398"/>
      <c r="AJ798" s="409"/>
      <c r="AK798" s="361"/>
      <c r="AL798" s="361"/>
      <c r="AM798" s="361"/>
      <c r="AN798" s="291">
        <f>IFERROR(Y798*AJ793/Y799,)</f>
        <v>0</v>
      </c>
      <c r="AO798" s="197" t="str">
        <f>IFERROR(VLOOKUP($G798,нормы!$A$14:$BC$57,53,0)*$W798,"")</f>
        <v/>
      </c>
      <c r="AP798" s="292">
        <f>IFERROR(Y798*AI793/Y799,)</f>
        <v>0</v>
      </c>
      <c r="AQ798" s="197" t="str">
        <f>IFERROR(VLOOKUP($G798,нормы!$A$14:$BC$57,54,0)*$W798,"")</f>
        <v/>
      </c>
      <c r="AR798" s="290">
        <f>IFERROR(AS798/SUM(AS793:AS798)*AL793,0)</f>
        <v>0</v>
      </c>
      <c r="AS798" s="197" t="str">
        <f>IFERROR(VLOOKUP($G798,нормы!$A$14:$BC$57,55,0)*W798,"")</f>
        <v/>
      </c>
      <c r="AT798" s="292">
        <f>IFERROR(AU798/SUM(AU793:AU798)*AM793,0)</f>
        <v>0</v>
      </c>
      <c r="AU798" s="197" t="str">
        <f>IFERROR(VLOOKUP($G798,нормы!$A$14:$BI$57,56,0)*W798,"")</f>
        <v/>
      </c>
      <c r="AV798" s="292">
        <f>IFERROR(AW798/SUM(AW793:AW798)*AK793,0)</f>
        <v>0</v>
      </c>
      <c r="AW798" s="202" t="str">
        <f>IFERROR(VLOOKUP($G798,нормы!$A$14:$BI$57,57,0)*W798,"")</f>
        <v/>
      </c>
      <c r="AX798" s="56"/>
      <c r="AY798" s="203" t="str">
        <f>IFERROR(VLOOKUP($G798,нормы!$A$14:$BI$57,58,0)*W798,"")</f>
        <v/>
      </c>
      <c r="AZ798" s="206"/>
      <c r="BA798" s="200" t="str">
        <f>IFERROR(VLOOKUP($G798,нормы!$A$14:$BI$57,61,0)*$W798,"")</f>
        <v/>
      </c>
      <c r="BB798" s="56"/>
      <c r="BC798" s="203" t="str">
        <f>IFERROR(VLOOKUP($G798,нормы!$A$14:$BI$57,60,0)*W798,"")</f>
        <v/>
      </c>
      <c r="BD798" s="200" t="str">
        <f>IFERROR(VLOOKUP($G798,нормы!$A$14:$BG$57,44,0),"")</f>
        <v/>
      </c>
      <c r="BE798" s="199" t="str">
        <f>IFERROR(W798/VLOOKUP($G798,нормы!$A$14:$BI$57,45,0),"")</f>
        <v/>
      </c>
    </row>
    <row r="799" spans="1:57" s="1" customFormat="1" ht="29.4" customHeight="1" thickBot="1" x14ac:dyDescent="0.45">
      <c r="A799" s="37" t="str">
        <f t="shared" si="314"/>
        <v>13Н</v>
      </c>
      <c r="B799" s="59"/>
      <c r="C799" s="51"/>
      <c r="D799" s="51"/>
      <c r="E799" s="51"/>
      <c r="F799" s="51"/>
      <c r="G799" s="51"/>
      <c r="H799" s="51"/>
      <c r="I799" s="60"/>
      <c r="J799" s="60"/>
      <c r="K799" s="319" t="s">
        <v>213</v>
      </c>
      <c r="L799" s="316"/>
      <c r="M799" s="303" t="s">
        <v>213</v>
      </c>
      <c r="N799" s="317">
        <f>SUM(N793:N798)</f>
        <v>0</v>
      </c>
      <c r="O799" s="304" t="s">
        <v>217</v>
      </c>
      <c r="P799" s="318">
        <f>N799*8.937/1000</f>
        <v>0</v>
      </c>
      <c r="Q799" s="305" t="s">
        <v>215</v>
      </c>
      <c r="R799" s="61"/>
      <c r="S799" s="61"/>
      <c r="T799" s="61"/>
      <c r="U799" s="109"/>
      <c r="V799" s="109"/>
      <c r="W799" s="94"/>
      <c r="X799" s="155"/>
      <c r="Y799" s="96">
        <f>SUM(Y793:Y798)</f>
        <v>0</v>
      </c>
      <c r="Z799" s="164">
        <f>SUM(Z793:Z798)</f>
        <v>0</v>
      </c>
      <c r="AA799" s="207">
        <f>(AA785+AA786+AA787+AA788+AA789+AA790+AA791+AA793+AA794+AA795+AA796+AA797+AA798)-AG786</f>
        <v>1</v>
      </c>
      <c r="AB799" s="208">
        <f>(AB785+AB786+AB787+AB788+AB789+AB790+AB791+AB793+AB794+AB795+AB796+AB797+AB798)-AH786</f>
        <v>2</v>
      </c>
      <c r="AC799" s="208">
        <f>(AC785+AC786+AC787+AC788+AC789+AC790+AC791+AC793+AC794+AC795+AC796+AC797+AC798)-AG793</f>
        <v>3</v>
      </c>
      <c r="AD799" s="208">
        <f>(AD785+AD786+AD787+AD788+AD789+AD790+AD791+AD793+AD794+AD795+AD796+AD797+AD798)-AH793</f>
        <v>4</v>
      </c>
      <c r="AE799" s="208">
        <f>(AE785+AE786+AE787+AE788+AE789+AE790+AE791+AE793+AE794+AE795+AE796+AE797+AE798)-AI786</f>
        <v>5</v>
      </c>
      <c r="AF799" s="209">
        <f>(AF785+AF786+AF787+AF788+AF789+AF790+AF791+AF793+AF794+AF795+AF796+AF797+AF798)-AI793</f>
        <v>6</v>
      </c>
      <c r="AG799" s="62"/>
      <c r="AH799" s="62"/>
      <c r="AI799" s="62"/>
      <c r="AJ799" s="62"/>
      <c r="AK799" s="62"/>
      <c r="AL799" s="62"/>
      <c r="AM799" s="62"/>
      <c r="AN799" s="91">
        <f>SUM(AN793:AN798)</f>
        <v>0</v>
      </c>
      <c r="AO799" s="91">
        <f>SUM(AO793:AO798)</f>
        <v>0</v>
      </c>
      <c r="AP799" s="91"/>
      <c r="AQ799" s="91"/>
      <c r="AR799" s="91">
        <f>SUM(AR793:AR798)</f>
        <v>0</v>
      </c>
      <c r="AS799" s="91">
        <f t="shared" ref="AS799:AW799" si="319">SUM(AS793:AS798)</f>
        <v>0</v>
      </c>
      <c r="AT799" s="91">
        <f t="shared" si="319"/>
        <v>0</v>
      </c>
      <c r="AU799" s="91">
        <f t="shared" si="319"/>
        <v>0</v>
      </c>
      <c r="AV799" s="91">
        <f t="shared" si="319"/>
        <v>0</v>
      </c>
      <c r="AW799" s="91">
        <f t="shared" si="319"/>
        <v>0</v>
      </c>
      <c r="AX799" s="91">
        <f>SUM(AX793:AX798)</f>
        <v>0</v>
      </c>
      <c r="AY799" s="91">
        <f>SUM(AY793:AY798)</f>
        <v>0</v>
      </c>
      <c r="AZ799" s="91">
        <f>SUM(AZ793:AZ798)</f>
        <v>0</v>
      </c>
      <c r="BA799" s="91"/>
      <c r="BB799" s="91"/>
      <c r="BC799" s="91"/>
      <c r="BD799" s="91" t="str">
        <f>IFERROR(VLOOKUP($G799,нормы!$A$14:$BG$15,27,0),"")</f>
        <v/>
      </c>
      <c r="BE799" s="53" t="str">
        <f>IFERROR(W799/VLOOKUP($G799,нормы!$A$14:$BI$15,28,0),"")</f>
        <v/>
      </c>
    </row>
    <row r="800" spans="1:57" s="1" customFormat="1" ht="29.4" customHeight="1" thickBot="1" x14ac:dyDescent="0.5">
      <c r="A800" s="37" t="str">
        <f t="shared" si="314"/>
        <v>13Н</v>
      </c>
      <c r="B800" s="166" t="s">
        <v>130</v>
      </c>
      <c r="C800" s="167"/>
      <c r="D800" s="167"/>
      <c r="E800" s="167"/>
      <c r="F800" s="165"/>
      <c r="G800" s="167"/>
      <c r="H800" s="167"/>
      <c r="I800" s="168"/>
      <c r="J800" s="168"/>
      <c r="K800" s="168"/>
      <c r="L800" s="168"/>
      <c r="M800" s="168"/>
      <c r="N800" s="168"/>
      <c r="O800" s="167"/>
      <c r="P800" s="169"/>
      <c r="Q800" s="169"/>
      <c r="R800" s="169"/>
      <c r="S800" s="169"/>
      <c r="T800" s="169"/>
      <c r="U800" s="170"/>
      <c r="V800" s="170"/>
      <c r="W800" s="171"/>
      <c r="X800" s="171"/>
      <c r="Y800" s="172"/>
      <c r="Z800" s="172"/>
      <c r="AA800" s="201" t="s">
        <v>144</v>
      </c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64"/>
      <c r="AN800" s="167"/>
      <c r="AO800" s="167"/>
      <c r="AP800" s="167"/>
      <c r="AQ800" s="167"/>
      <c r="AR800" s="64"/>
      <c r="AS800" s="64"/>
      <c r="AT800" s="65"/>
      <c r="AU800" s="64"/>
      <c r="AV800" s="49"/>
      <c r="AW800" s="49"/>
      <c r="AX800" s="167"/>
      <c r="AY800" s="167"/>
      <c r="AZ800" s="167"/>
      <c r="BA800" s="167"/>
      <c r="BB800" s="167"/>
      <c r="BC800" s="167"/>
      <c r="BD800" s="66"/>
      <c r="BE800" s="66"/>
    </row>
    <row r="801" spans="1:57" s="1" customFormat="1" ht="23.25" customHeight="1" x14ac:dyDescent="0.4">
      <c r="A801" s="37" t="str">
        <f t="shared" si="314"/>
        <v>13Н</v>
      </c>
      <c r="B801" s="183"/>
      <c r="C801" s="100"/>
      <c r="D801" s="185"/>
      <c r="E801" s="186" t="s">
        <v>57</v>
      </c>
      <c r="F801" s="66" t="s">
        <v>87</v>
      </c>
      <c r="G801" s="66"/>
      <c r="H801" s="108" t="s">
        <v>131</v>
      </c>
      <c r="I801" s="101"/>
      <c r="J801" s="101"/>
      <c r="K801" s="101"/>
      <c r="L801" s="101"/>
      <c r="M801" s="101"/>
      <c r="N801" s="101"/>
      <c r="O801" s="67"/>
      <c r="P801" s="102"/>
      <c r="Q801" s="102"/>
      <c r="R801" s="102"/>
      <c r="S801" s="102"/>
      <c r="T801" s="102"/>
      <c r="U801" s="67"/>
      <c r="V801" s="67"/>
      <c r="W801" s="103"/>
      <c r="X801" s="187"/>
      <c r="Y801" s="68" t="s">
        <v>74</v>
      </c>
      <c r="Z801" s="69"/>
      <c r="AA801" s="90"/>
      <c r="AB801" s="100"/>
      <c r="AC801" s="100"/>
      <c r="AD801" s="186" t="s">
        <v>57</v>
      </c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190"/>
      <c r="AU801" s="66"/>
      <c r="AV801" s="165"/>
      <c r="AW801" s="293"/>
      <c r="AX801" s="66"/>
      <c r="AY801" s="66"/>
      <c r="AZ801" s="66"/>
      <c r="BA801" s="66"/>
      <c r="BB801" s="66"/>
      <c r="BC801" s="66"/>
      <c r="BD801" s="68" t="s">
        <v>74</v>
      </c>
      <c r="BE801" s="69"/>
    </row>
    <row r="802" spans="1:57" s="1" customFormat="1" ht="23.25" customHeight="1" thickBot="1" x14ac:dyDescent="0.45">
      <c r="A802" s="37" t="str">
        <f t="shared" si="314"/>
        <v>13Н</v>
      </c>
      <c r="B802" s="183"/>
      <c r="C802" s="41"/>
      <c r="D802" s="184"/>
      <c r="E802" s="50"/>
      <c r="F802" s="70"/>
      <c r="G802" s="70"/>
      <c r="H802" s="70"/>
      <c r="I802" s="104"/>
      <c r="J802" s="104"/>
      <c r="K802" s="104"/>
      <c r="L802" s="104"/>
      <c r="M802" s="104"/>
      <c r="N802" s="104"/>
      <c r="O802" s="71"/>
      <c r="P802" s="105"/>
      <c r="Q802" s="105"/>
      <c r="R802" s="105"/>
      <c r="S802" s="105"/>
      <c r="T802" s="105"/>
      <c r="U802" s="71"/>
      <c r="V802" s="71"/>
      <c r="W802" s="106"/>
      <c r="X802" s="188"/>
      <c r="Y802" s="72"/>
      <c r="Z802" s="73"/>
      <c r="AA802" s="90"/>
      <c r="AB802" s="41"/>
      <c r="AC802" s="41"/>
      <c r="AD802" s="50"/>
      <c r="AE802" s="47"/>
      <c r="AF802" s="47"/>
      <c r="AG802" s="47"/>
      <c r="AH802" s="47"/>
      <c r="AI802" s="47"/>
      <c r="AJ802" s="47"/>
      <c r="AK802" s="47"/>
      <c r="AL802" s="47"/>
      <c r="AM802" s="70"/>
      <c r="AN802" s="47"/>
      <c r="AO802" s="70"/>
      <c r="AP802" s="70"/>
      <c r="AQ802" s="70"/>
      <c r="AR802" s="70"/>
      <c r="AS802" s="70"/>
      <c r="AT802" s="191"/>
      <c r="AU802" s="70"/>
      <c r="AV802" s="192"/>
      <c r="AW802" s="294"/>
      <c r="AX802" s="70"/>
      <c r="AY802" s="70"/>
      <c r="AZ802" s="70"/>
      <c r="BA802" s="70"/>
      <c r="BB802" s="70"/>
      <c r="BC802" s="70"/>
      <c r="BD802" s="72"/>
      <c r="BE802" s="73"/>
    </row>
    <row r="803" spans="1:57" s="1" customFormat="1" ht="21.9" customHeight="1" x14ac:dyDescent="0.4">
      <c r="A803" s="37" t="str">
        <f t="shared" si="314"/>
        <v>13Н</v>
      </c>
      <c r="B803" s="183"/>
      <c r="C803" s="41"/>
      <c r="D803" s="184"/>
      <c r="E803" s="281">
        <f>B798</f>
        <v>46035</v>
      </c>
      <c r="F803" s="337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98">
        <v>1</v>
      </c>
      <c r="Y803" s="74">
        <v>1</v>
      </c>
      <c r="Z803" s="75">
        <f t="shared" ref="Z803:Z814" si="320">Y803-X803</f>
        <v>0</v>
      </c>
      <c r="AA803" s="189"/>
      <c r="AB803" s="41"/>
      <c r="AC803" s="184"/>
      <c r="AD803" s="210">
        <f>E803</f>
        <v>46035</v>
      </c>
      <c r="AE803" s="387"/>
      <c r="AF803" s="388"/>
      <c r="AG803" s="388"/>
      <c r="AH803" s="388"/>
      <c r="AI803" s="388"/>
      <c r="AJ803" s="388"/>
      <c r="AK803" s="388"/>
      <c r="AL803" s="388"/>
      <c r="AM803" s="388"/>
      <c r="AN803" s="388"/>
      <c r="AO803" s="388"/>
      <c r="AP803" s="388"/>
      <c r="AQ803" s="388"/>
      <c r="AR803" s="388"/>
      <c r="AS803" s="388"/>
      <c r="AT803" s="388"/>
      <c r="AU803" s="388"/>
      <c r="AV803" s="388"/>
      <c r="AW803" s="388"/>
      <c r="AX803" s="388"/>
      <c r="AY803" s="388"/>
      <c r="AZ803" s="388"/>
      <c r="BA803" s="388"/>
      <c r="BB803" s="389"/>
      <c r="BC803" s="98">
        <v>1</v>
      </c>
      <c r="BD803" s="74">
        <v>1</v>
      </c>
      <c r="BE803" s="75">
        <f t="shared" ref="BE803:BE814" si="321">BD803-BC803</f>
        <v>0</v>
      </c>
    </row>
    <row r="804" spans="1:57" s="1" customFormat="1" ht="21.9" customHeight="1" x14ac:dyDescent="0.4">
      <c r="A804" s="37" t="str">
        <f t="shared" si="314"/>
        <v>13Н</v>
      </c>
      <c r="B804" s="183"/>
      <c r="C804" s="41"/>
      <c r="D804" s="184"/>
      <c r="E804" s="282">
        <f>E803</f>
        <v>46035</v>
      </c>
      <c r="F804" s="335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  <c r="R804" s="336"/>
      <c r="S804" s="336"/>
      <c r="T804" s="336"/>
      <c r="U804" s="336"/>
      <c r="V804" s="336"/>
      <c r="W804" s="336"/>
      <c r="X804" s="98">
        <v>1</v>
      </c>
      <c r="Y804" s="74">
        <v>1</v>
      </c>
      <c r="Z804" s="75">
        <f t="shared" si="320"/>
        <v>0</v>
      </c>
      <c r="AA804" s="107">
        <f>AA803</f>
        <v>0</v>
      </c>
      <c r="AB804" s="41"/>
      <c r="AC804" s="184"/>
      <c r="AD804" s="212">
        <f>AD803</f>
        <v>46035</v>
      </c>
      <c r="AE804" s="387"/>
      <c r="AF804" s="388"/>
      <c r="AG804" s="388"/>
      <c r="AH804" s="388"/>
      <c r="AI804" s="388"/>
      <c r="AJ804" s="388"/>
      <c r="AK804" s="388"/>
      <c r="AL804" s="388"/>
      <c r="AM804" s="388"/>
      <c r="AN804" s="388"/>
      <c r="AO804" s="388"/>
      <c r="AP804" s="388"/>
      <c r="AQ804" s="388"/>
      <c r="AR804" s="388"/>
      <c r="AS804" s="388"/>
      <c r="AT804" s="388"/>
      <c r="AU804" s="388"/>
      <c r="AV804" s="388"/>
      <c r="AW804" s="388"/>
      <c r="AX804" s="388"/>
      <c r="AY804" s="388"/>
      <c r="AZ804" s="388"/>
      <c r="BA804" s="388"/>
      <c r="BB804" s="389"/>
      <c r="BC804" s="98">
        <v>1</v>
      </c>
      <c r="BD804" s="74">
        <v>1</v>
      </c>
      <c r="BE804" s="75">
        <f t="shared" si="321"/>
        <v>0</v>
      </c>
    </row>
    <row r="805" spans="1:57" s="1" customFormat="1" ht="21.9" customHeight="1" x14ac:dyDescent="0.4">
      <c r="A805" s="37" t="str">
        <f t="shared" si="314"/>
        <v>13Н</v>
      </c>
      <c r="B805" s="183"/>
      <c r="C805" s="41"/>
      <c r="D805" s="184"/>
      <c r="E805" s="282">
        <f t="shared" ref="E805:E814" si="322">E804</f>
        <v>46035</v>
      </c>
      <c r="F805" s="335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  <c r="R805" s="336"/>
      <c r="S805" s="336"/>
      <c r="T805" s="336"/>
      <c r="U805" s="336"/>
      <c r="V805" s="336"/>
      <c r="W805" s="336"/>
      <c r="X805" s="98">
        <v>1</v>
      </c>
      <c r="Y805" s="74">
        <v>1</v>
      </c>
      <c r="Z805" s="75">
        <f t="shared" si="320"/>
        <v>0</v>
      </c>
      <c r="AA805" s="107">
        <f>AA804</f>
        <v>0</v>
      </c>
      <c r="AB805" s="41"/>
      <c r="AC805" s="184"/>
      <c r="AD805" s="212">
        <f t="shared" ref="AD805:AD814" si="323">AD804</f>
        <v>46035</v>
      </c>
      <c r="AE805" s="387"/>
      <c r="AF805" s="388"/>
      <c r="AG805" s="388"/>
      <c r="AH805" s="388"/>
      <c r="AI805" s="388"/>
      <c r="AJ805" s="388"/>
      <c r="AK805" s="388"/>
      <c r="AL805" s="388"/>
      <c r="AM805" s="388"/>
      <c r="AN805" s="388"/>
      <c r="AO805" s="388"/>
      <c r="AP805" s="388"/>
      <c r="AQ805" s="388"/>
      <c r="AR805" s="388"/>
      <c r="AS805" s="388"/>
      <c r="AT805" s="388"/>
      <c r="AU805" s="388"/>
      <c r="AV805" s="388"/>
      <c r="AW805" s="388"/>
      <c r="AX805" s="388"/>
      <c r="AY805" s="388"/>
      <c r="AZ805" s="388"/>
      <c r="BA805" s="388"/>
      <c r="BB805" s="389"/>
      <c r="BC805" s="98">
        <v>1</v>
      </c>
      <c r="BD805" s="74">
        <v>1</v>
      </c>
      <c r="BE805" s="75">
        <f t="shared" si="321"/>
        <v>0</v>
      </c>
    </row>
    <row r="806" spans="1:57" s="1" customFormat="1" ht="21.9" customHeight="1" x14ac:dyDescent="0.4">
      <c r="A806" s="37" t="str">
        <f t="shared" si="314"/>
        <v>13Н</v>
      </c>
      <c r="B806" s="183"/>
      <c r="C806" s="41"/>
      <c r="D806" s="184"/>
      <c r="E806" s="282">
        <f t="shared" si="322"/>
        <v>46035</v>
      </c>
      <c r="F806" s="335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  <c r="R806" s="336"/>
      <c r="S806" s="336"/>
      <c r="T806" s="336"/>
      <c r="U806" s="336"/>
      <c r="V806" s="336"/>
      <c r="W806" s="336"/>
      <c r="X806" s="98">
        <v>1</v>
      </c>
      <c r="Y806" s="74">
        <v>1</v>
      </c>
      <c r="Z806" s="75">
        <f t="shared" si="320"/>
        <v>0</v>
      </c>
      <c r="AA806" s="107">
        <f t="shared" ref="AA806:AA814" si="324">AA805</f>
        <v>0</v>
      </c>
      <c r="AB806" s="41"/>
      <c r="AC806" s="184"/>
      <c r="AD806" s="212">
        <f t="shared" si="323"/>
        <v>46035</v>
      </c>
      <c r="AE806" s="387"/>
      <c r="AF806" s="388"/>
      <c r="AG806" s="388"/>
      <c r="AH806" s="388"/>
      <c r="AI806" s="388"/>
      <c r="AJ806" s="388"/>
      <c r="AK806" s="388"/>
      <c r="AL806" s="388"/>
      <c r="AM806" s="388"/>
      <c r="AN806" s="388"/>
      <c r="AO806" s="388"/>
      <c r="AP806" s="388"/>
      <c r="AQ806" s="388"/>
      <c r="AR806" s="388"/>
      <c r="AS806" s="388"/>
      <c r="AT806" s="388"/>
      <c r="AU806" s="388"/>
      <c r="AV806" s="388"/>
      <c r="AW806" s="388"/>
      <c r="AX806" s="388"/>
      <c r="AY806" s="388"/>
      <c r="AZ806" s="388"/>
      <c r="BA806" s="388"/>
      <c r="BB806" s="389"/>
      <c r="BC806" s="98">
        <v>1</v>
      </c>
      <c r="BD806" s="74">
        <v>1</v>
      </c>
      <c r="BE806" s="75">
        <f t="shared" si="321"/>
        <v>0</v>
      </c>
    </row>
    <row r="807" spans="1:57" s="1" customFormat="1" ht="18" customHeight="1" x14ac:dyDescent="0.4">
      <c r="A807" s="37" t="str">
        <f t="shared" si="314"/>
        <v>13Н</v>
      </c>
      <c r="B807" s="183"/>
      <c r="C807" s="41"/>
      <c r="D807" s="184"/>
      <c r="E807" s="282">
        <f t="shared" si="322"/>
        <v>46035</v>
      </c>
      <c r="F807" s="335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  <c r="R807" s="336"/>
      <c r="S807" s="336"/>
      <c r="T807" s="336"/>
      <c r="U807" s="336"/>
      <c r="V807" s="336"/>
      <c r="W807" s="336"/>
      <c r="X807" s="98">
        <v>1</v>
      </c>
      <c r="Y807" s="74">
        <v>1</v>
      </c>
      <c r="Z807" s="75">
        <f t="shared" si="320"/>
        <v>0</v>
      </c>
      <c r="AA807" s="107">
        <f t="shared" si="324"/>
        <v>0</v>
      </c>
      <c r="AB807" s="41"/>
      <c r="AC807" s="184"/>
      <c r="AD807" s="212">
        <f t="shared" si="323"/>
        <v>46035</v>
      </c>
      <c r="AE807" s="387"/>
      <c r="AF807" s="388"/>
      <c r="AG807" s="388"/>
      <c r="AH807" s="388"/>
      <c r="AI807" s="388"/>
      <c r="AJ807" s="388"/>
      <c r="AK807" s="388"/>
      <c r="AL807" s="388"/>
      <c r="AM807" s="388"/>
      <c r="AN807" s="388"/>
      <c r="AO807" s="388"/>
      <c r="AP807" s="388"/>
      <c r="AQ807" s="388"/>
      <c r="AR807" s="388"/>
      <c r="AS807" s="388"/>
      <c r="AT807" s="388"/>
      <c r="AU807" s="388"/>
      <c r="AV807" s="388"/>
      <c r="AW807" s="388"/>
      <c r="AX807" s="388"/>
      <c r="AY807" s="388"/>
      <c r="AZ807" s="388"/>
      <c r="BA807" s="388"/>
      <c r="BB807" s="389"/>
      <c r="BC807" s="98">
        <v>1</v>
      </c>
      <c r="BD807" s="74">
        <v>1</v>
      </c>
      <c r="BE807" s="75">
        <f t="shared" si="321"/>
        <v>0</v>
      </c>
    </row>
    <row r="808" spans="1:57" s="1" customFormat="1" ht="18" customHeight="1" x14ac:dyDescent="0.4">
      <c r="A808" s="37" t="str">
        <f t="shared" si="314"/>
        <v>13Н</v>
      </c>
      <c r="B808" s="183"/>
      <c r="C808" s="41"/>
      <c r="D808" s="184"/>
      <c r="E808" s="282">
        <f t="shared" si="322"/>
        <v>46035</v>
      </c>
      <c r="F808" s="335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  <c r="R808" s="336"/>
      <c r="S808" s="336"/>
      <c r="T808" s="336"/>
      <c r="U808" s="336"/>
      <c r="V808" s="336"/>
      <c r="W808" s="336"/>
      <c r="X808" s="98">
        <v>1</v>
      </c>
      <c r="Y808" s="74">
        <v>1</v>
      </c>
      <c r="Z808" s="75">
        <f t="shared" si="320"/>
        <v>0</v>
      </c>
      <c r="AA808" s="107">
        <f t="shared" si="324"/>
        <v>0</v>
      </c>
      <c r="AB808" s="41"/>
      <c r="AC808" s="184"/>
      <c r="AD808" s="212">
        <f t="shared" si="323"/>
        <v>46035</v>
      </c>
      <c r="AE808" s="387"/>
      <c r="AF808" s="388"/>
      <c r="AG808" s="388"/>
      <c r="AH808" s="388"/>
      <c r="AI808" s="388"/>
      <c r="AJ808" s="388"/>
      <c r="AK808" s="388"/>
      <c r="AL808" s="388"/>
      <c r="AM808" s="388"/>
      <c r="AN808" s="388"/>
      <c r="AO808" s="388"/>
      <c r="AP808" s="388"/>
      <c r="AQ808" s="388"/>
      <c r="AR808" s="388"/>
      <c r="AS808" s="388"/>
      <c r="AT808" s="388"/>
      <c r="AU808" s="388"/>
      <c r="AV808" s="388"/>
      <c r="AW808" s="388"/>
      <c r="AX808" s="388"/>
      <c r="AY808" s="388"/>
      <c r="AZ808" s="388"/>
      <c r="BA808" s="388"/>
      <c r="BB808" s="389"/>
      <c r="BC808" s="98">
        <v>1</v>
      </c>
      <c r="BD808" s="74">
        <v>1</v>
      </c>
      <c r="BE808" s="75">
        <f t="shared" si="321"/>
        <v>0</v>
      </c>
    </row>
    <row r="809" spans="1:57" s="1" customFormat="1" ht="18" customHeight="1" x14ac:dyDescent="0.4">
      <c r="A809" s="37" t="str">
        <f t="shared" si="314"/>
        <v>13Н</v>
      </c>
      <c r="B809" s="183"/>
      <c r="C809" s="41"/>
      <c r="D809" s="184"/>
      <c r="E809" s="282">
        <f t="shared" si="322"/>
        <v>46035</v>
      </c>
      <c r="F809" s="335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  <c r="R809" s="336"/>
      <c r="S809" s="336"/>
      <c r="T809" s="336"/>
      <c r="U809" s="336"/>
      <c r="V809" s="336"/>
      <c r="W809" s="336"/>
      <c r="X809" s="98">
        <v>1</v>
      </c>
      <c r="Y809" s="74">
        <v>1</v>
      </c>
      <c r="Z809" s="75">
        <f t="shared" si="320"/>
        <v>0</v>
      </c>
      <c r="AA809" s="107">
        <f t="shared" si="324"/>
        <v>0</v>
      </c>
      <c r="AB809" s="41"/>
      <c r="AC809" s="184"/>
      <c r="AD809" s="212">
        <f t="shared" si="323"/>
        <v>46035</v>
      </c>
      <c r="AE809" s="387"/>
      <c r="AF809" s="388"/>
      <c r="AG809" s="388"/>
      <c r="AH809" s="388"/>
      <c r="AI809" s="388"/>
      <c r="AJ809" s="388"/>
      <c r="AK809" s="388"/>
      <c r="AL809" s="388"/>
      <c r="AM809" s="388"/>
      <c r="AN809" s="388"/>
      <c r="AO809" s="388"/>
      <c r="AP809" s="388"/>
      <c r="AQ809" s="388"/>
      <c r="AR809" s="388"/>
      <c r="AS809" s="388"/>
      <c r="AT809" s="388"/>
      <c r="AU809" s="388"/>
      <c r="AV809" s="388"/>
      <c r="AW809" s="388"/>
      <c r="AX809" s="388"/>
      <c r="AY809" s="388"/>
      <c r="AZ809" s="388"/>
      <c r="BA809" s="388"/>
      <c r="BB809" s="389"/>
      <c r="BC809" s="98">
        <v>1</v>
      </c>
      <c r="BD809" s="74">
        <v>1</v>
      </c>
      <c r="BE809" s="75">
        <f t="shared" si="321"/>
        <v>0</v>
      </c>
    </row>
    <row r="810" spans="1:57" s="1" customFormat="1" ht="18" customHeight="1" x14ac:dyDescent="0.4">
      <c r="A810" s="37" t="str">
        <f t="shared" si="314"/>
        <v>13Н</v>
      </c>
      <c r="B810" s="183"/>
      <c r="C810" s="41"/>
      <c r="D810" s="184"/>
      <c r="E810" s="282">
        <f t="shared" si="322"/>
        <v>46035</v>
      </c>
      <c r="F810" s="335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  <c r="R810" s="336"/>
      <c r="S810" s="336"/>
      <c r="T810" s="336"/>
      <c r="U810" s="336"/>
      <c r="V810" s="336"/>
      <c r="W810" s="336"/>
      <c r="X810" s="98">
        <v>1</v>
      </c>
      <c r="Y810" s="74">
        <v>1</v>
      </c>
      <c r="Z810" s="75">
        <f t="shared" si="320"/>
        <v>0</v>
      </c>
      <c r="AA810" s="107">
        <f t="shared" si="324"/>
        <v>0</v>
      </c>
      <c r="AB810" s="41"/>
      <c r="AC810" s="184"/>
      <c r="AD810" s="212">
        <f t="shared" si="323"/>
        <v>46035</v>
      </c>
      <c r="AE810" s="387"/>
      <c r="AF810" s="388"/>
      <c r="AG810" s="388"/>
      <c r="AH810" s="388"/>
      <c r="AI810" s="388"/>
      <c r="AJ810" s="388"/>
      <c r="AK810" s="388"/>
      <c r="AL810" s="388"/>
      <c r="AM810" s="388"/>
      <c r="AN810" s="388"/>
      <c r="AO810" s="388"/>
      <c r="AP810" s="388"/>
      <c r="AQ810" s="388"/>
      <c r="AR810" s="388"/>
      <c r="AS810" s="388"/>
      <c r="AT810" s="388"/>
      <c r="AU810" s="388"/>
      <c r="AV810" s="388"/>
      <c r="AW810" s="388"/>
      <c r="AX810" s="388"/>
      <c r="AY810" s="388"/>
      <c r="AZ810" s="388"/>
      <c r="BA810" s="388"/>
      <c r="BB810" s="389"/>
      <c r="BC810" s="98">
        <v>1</v>
      </c>
      <c r="BD810" s="74">
        <v>1</v>
      </c>
      <c r="BE810" s="75">
        <f t="shared" si="321"/>
        <v>0</v>
      </c>
    </row>
    <row r="811" spans="1:57" s="1" customFormat="1" ht="18" customHeight="1" x14ac:dyDescent="0.4">
      <c r="A811" s="37" t="str">
        <f t="shared" si="314"/>
        <v>13Н</v>
      </c>
      <c r="B811" s="183"/>
      <c r="C811" s="41"/>
      <c r="D811" s="184"/>
      <c r="E811" s="282">
        <f t="shared" si="322"/>
        <v>46035</v>
      </c>
      <c r="F811" s="335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  <c r="R811" s="336"/>
      <c r="S811" s="336"/>
      <c r="T811" s="336"/>
      <c r="U811" s="336"/>
      <c r="V811" s="336"/>
      <c r="W811" s="336"/>
      <c r="X811" s="98">
        <v>1</v>
      </c>
      <c r="Y811" s="74">
        <v>1</v>
      </c>
      <c r="Z811" s="75">
        <f t="shared" si="320"/>
        <v>0</v>
      </c>
      <c r="AA811" s="107">
        <f t="shared" si="324"/>
        <v>0</v>
      </c>
      <c r="AB811" s="41"/>
      <c r="AC811" s="184"/>
      <c r="AD811" s="212">
        <f t="shared" si="323"/>
        <v>46035</v>
      </c>
      <c r="AE811" s="387"/>
      <c r="AF811" s="388"/>
      <c r="AG811" s="388"/>
      <c r="AH811" s="388"/>
      <c r="AI811" s="388"/>
      <c r="AJ811" s="388"/>
      <c r="AK811" s="388"/>
      <c r="AL811" s="388"/>
      <c r="AM811" s="388"/>
      <c r="AN811" s="388"/>
      <c r="AO811" s="388"/>
      <c r="AP811" s="388"/>
      <c r="AQ811" s="388"/>
      <c r="AR811" s="388"/>
      <c r="AS811" s="388"/>
      <c r="AT811" s="388"/>
      <c r="AU811" s="388"/>
      <c r="AV811" s="388"/>
      <c r="AW811" s="388"/>
      <c r="AX811" s="388"/>
      <c r="AY811" s="388"/>
      <c r="AZ811" s="388"/>
      <c r="BA811" s="388"/>
      <c r="BB811" s="389"/>
      <c r="BC811" s="98">
        <v>1</v>
      </c>
      <c r="BD811" s="74">
        <v>1</v>
      </c>
      <c r="BE811" s="75">
        <f t="shared" si="321"/>
        <v>0</v>
      </c>
    </row>
    <row r="812" spans="1:57" s="1" customFormat="1" ht="18" customHeight="1" x14ac:dyDescent="0.4">
      <c r="A812" s="37" t="str">
        <f t="shared" si="314"/>
        <v>13Н</v>
      </c>
      <c r="B812" s="183"/>
      <c r="C812" s="41"/>
      <c r="D812" s="184"/>
      <c r="E812" s="282">
        <f t="shared" si="322"/>
        <v>46035</v>
      </c>
      <c r="F812" s="335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  <c r="R812" s="336"/>
      <c r="S812" s="336"/>
      <c r="T812" s="336"/>
      <c r="U812" s="336"/>
      <c r="V812" s="336"/>
      <c r="W812" s="336"/>
      <c r="X812" s="98">
        <v>1</v>
      </c>
      <c r="Y812" s="74">
        <v>1</v>
      </c>
      <c r="Z812" s="75">
        <f t="shared" si="320"/>
        <v>0</v>
      </c>
      <c r="AA812" s="107">
        <f t="shared" si="324"/>
        <v>0</v>
      </c>
      <c r="AB812" s="41"/>
      <c r="AC812" s="184"/>
      <c r="AD812" s="212">
        <f t="shared" si="323"/>
        <v>46035</v>
      </c>
      <c r="AE812" s="387"/>
      <c r="AF812" s="388"/>
      <c r="AG812" s="388"/>
      <c r="AH812" s="388"/>
      <c r="AI812" s="388"/>
      <c r="AJ812" s="388"/>
      <c r="AK812" s="388"/>
      <c r="AL812" s="388"/>
      <c r="AM812" s="388"/>
      <c r="AN812" s="388"/>
      <c r="AO812" s="388"/>
      <c r="AP812" s="388"/>
      <c r="AQ812" s="388"/>
      <c r="AR812" s="388"/>
      <c r="AS812" s="388"/>
      <c r="AT812" s="388"/>
      <c r="AU812" s="388"/>
      <c r="AV812" s="388"/>
      <c r="AW812" s="388"/>
      <c r="AX812" s="388"/>
      <c r="AY812" s="388"/>
      <c r="AZ812" s="388"/>
      <c r="BA812" s="388"/>
      <c r="BB812" s="389"/>
      <c r="BC812" s="98">
        <v>1</v>
      </c>
      <c r="BD812" s="74">
        <v>1</v>
      </c>
      <c r="BE812" s="75">
        <f t="shared" si="321"/>
        <v>0</v>
      </c>
    </row>
    <row r="813" spans="1:57" s="1" customFormat="1" ht="18" customHeight="1" x14ac:dyDescent="0.4">
      <c r="A813" s="37" t="str">
        <f t="shared" si="314"/>
        <v>13Н</v>
      </c>
      <c r="B813" s="183"/>
      <c r="C813" s="41"/>
      <c r="D813" s="184"/>
      <c r="E813" s="282">
        <f t="shared" si="322"/>
        <v>46035</v>
      </c>
      <c r="F813" s="335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  <c r="R813" s="336"/>
      <c r="S813" s="336"/>
      <c r="T813" s="336"/>
      <c r="U813" s="336"/>
      <c r="V813" s="336"/>
      <c r="W813" s="336"/>
      <c r="X813" s="98">
        <v>1</v>
      </c>
      <c r="Y813" s="74">
        <v>1</v>
      </c>
      <c r="Z813" s="75">
        <f t="shared" si="320"/>
        <v>0</v>
      </c>
      <c r="AA813" s="107">
        <f t="shared" si="324"/>
        <v>0</v>
      </c>
      <c r="AB813" s="41"/>
      <c r="AC813" s="184"/>
      <c r="AD813" s="212">
        <f t="shared" si="323"/>
        <v>46035</v>
      </c>
      <c r="AE813" s="387"/>
      <c r="AF813" s="388"/>
      <c r="AG813" s="388"/>
      <c r="AH813" s="388"/>
      <c r="AI813" s="388"/>
      <c r="AJ813" s="388"/>
      <c r="AK813" s="388"/>
      <c r="AL813" s="388"/>
      <c r="AM813" s="388"/>
      <c r="AN813" s="388"/>
      <c r="AO813" s="388"/>
      <c r="AP813" s="388"/>
      <c r="AQ813" s="388"/>
      <c r="AR813" s="388"/>
      <c r="AS813" s="388"/>
      <c r="AT813" s="388"/>
      <c r="AU813" s="388"/>
      <c r="AV813" s="388"/>
      <c r="AW813" s="388"/>
      <c r="AX813" s="388"/>
      <c r="AY813" s="388"/>
      <c r="AZ813" s="388"/>
      <c r="BA813" s="388"/>
      <c r="BB813" s="389"/>
      <c r="BC813" s="98">
        <v>1</v>
      </c>
      <c r="BD813" s="74">
        <v>1</v>
      </c>
      <c r="BE813" s="75">
        <f t="shared" si="321"/>
        <v>0</v>
      </c>
    </row>
    <row r="814" spans="1:57" s="1" customFormat="1" ht="18" customHeight="1" thickBot="1" x14ac:dyDescent="0.45">
      <c r="A814" s="37" t="str">
        <f t="shared" si="314"/>
        <v>13Н</v>
      </c>
      <c r="B814" s="183"/>
      <c r="C814" s="41"/>
      <c r="D814" s="184"/>
      <c r="E814" s="283">
        <f t="shared" si="322"/>
        <v>46035</v>
      </c>
      <c r="F814" s="339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99">
        <v>1</v>
      </c>
      <c r="Y814" s="76">
        <v>1</v>
      </c>
      <c r="Z814" s="77">
        <f t="shared" si="320"/>
        <v>0</v>
      </c>
      <c r="AA814" s="107">
        <f t="shared" si="324"/>
        <v>0</v>
      </c>
      <c r="AB814" s="41"/>
      <c r="AC814" s="184"/>
      <c r="AD814" s="211">
        <f t="shared" si="323"/>
        <v>46035</v>
      </c>
      <c r="AE814" s="410"/>
      <c r="AF814" s="411"/>
      <c r="AG814" s="411"/>
      <c r="AH814" s="411"/>
      <c r="AI814" s="411"/>
      <c r="AJ814" s="411"/>
      <c r="AK814" s="411"/>
      <c r="AL814" s="411"/>
      <c r="AM814" s="411"/>
      <c r="AN814" s="411"/>
      <c r="AO814" s="411"/>
      <c r="AP814" s="411"/>
      <c r="AQ814" s="411"/>
      <c r="AR814" s="411"/>
      <c r="AS814" s="411"/>
      <c r="AT814" s="411"/>
      <c r="AU814" s="411"/>
      <c r="AV814" s="411"/>
      <c r="AW814" s="411"/>
      <c r="AX814" s="411"/>
      <c r="AY814" s="411"/>
      <c r="AZ814" s="411"/>
      <c r="BA814" s="411"/>
      <c r="BB814" s="412"/>
      <c r="BC814" s="99">
        <v>1</v>
      </c>
      <c r="BD814" s="76">
        <v>1</v>
      </c>
      <c r="BE814" s="75">
        <f t="shared" si="321"/>
        <v>0</v>
      </c>
    </row>
    <row r="815" spans="1:57" s="1" customFormat="1" ht="23.25" customHeight="1" thickBot="1" x14ac:dyDescent="0.45">
      <c r="A815" s="37" t="str">
        <f t="shared" si="314"/>
        <v>13Н</v>
      </c>
      <c r="B815" s="193"/>
      <c r="C815" s="47"/>
      <c r="D815" s="47"/>
      <c r="E815" s="47"/>
      <c r="F815" s="78"/>
      <c r="G815" s="78"/>
      <c r="H815" s="78"/>
      <c r="I815" s="80"/>
      <c r="J815" s="80"/>
      <c r="K815" s="80"/>
      <c r="L815" s="80"/>
      <c r="M815" s="80"/>
      <c r="N815" s="80"/>
      <c r="O815" s="78"/>
      <c r="P815" s="81"/>
      <c r="Q815" s="81"/>
      <c r="R815" s="81"/>
      <c r="S815" s="81"/>
      <c r="T815" s="81"/>
      <c r="U815" s="82"/>
      <c r="V815" s="82"/>
      <c r="W815" s="86"/>
      <c r="X815" s="194"/>
      <c r="Y815" s="83"/>
      <c r="Z815" s="83"/>
      <c r="AA815" s="78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84"/>
      <c r="AN815" s="47"/>
      <c r="AO815" s="78"/>
      <c r="AP815" s="78"/>
      <c r="AQ815" s="78"/>
      <c r="AR815" s="84"/>
      <c r="AS815" s="78"/>
      <c r="AT815" s="85"/>
      <c r="AU815" s="78"/>
      <c r="AV815" s="83"/>
      <c r="AW815" s="83"/>
      <c r="AX815" s="78"/>
      <c r="AY815" s="78"/>
      <c r="AZ815" s="78"/>
      <c r="BA815" s="78"/>
      <c r="BB815" s="78"/>
      <c r="BC815" s="78"/>
      <c r="BD815" s="79"/>
      <c r="BE815" s="79"/>
    </row>
    <row r="816" spans="1:57" s="1" customFormat="1" ht="21.6" customHeight="1" thickBot="1" x14ac:dyDescent="0.45">
      <c r="A816" s="37" t="s">
        <v>172</v>
      </c>
      <c r="B816" s="59"/>
      <c r="C816" s="51"/>
      <c r="D816" s="51"/>
      <c r="E816" s="51"/>
      <c r="F816" s="158" t="s">
        <v>147</v>
      </c>
      <c r="G816" s="51"/>
      <c r="H816" s="51"/>
      <c r="I816" s="156"/>
      <c r="J816" s="156"/>
      <c r="K816" s="156"/>
      <c r="L816" s="156"/>
      <c r="M816" s="156"/>
      <c r="N816" s="156"/>
      <c r="O816" s="91"/>
      <c r="P816" s="52"/>
      <c r="Q816" s="52"/>
      <c r="R816" s="52"/>
      <c r="S816" s="52"/>
      <c r="T816" s="52"/>
      <c r="U816" s="157"/>
      <c r="V816" s="157"/>
      <c r="W816" s="94"/>
      <c r="X816" s="94"/>
      <c r="Y816" s="51"/>
      <c r="Z816" s="51"/>
      <c r="AA816" s="157">
        <f>AA799</f>
        <v>1</v>
      </c>
      <c r="AB816" s="157">
        <f t="shared" ref="AB816:AF816" si="325">AB799</f>
        <v>2</v>
      </c>
      <c r="AC816" s="157">
        <f t="shared" si="325"/>
        <v>3</v>
      </c>
      <c r="AD816" s="157">
        <f t="shared" si="325"/>
        <v>4</v>
      </c>
      <c r="AE816" s="157">
        <f t="shared" si="325"/>
        <v>5</v>
      </c>
      <c r="AF816" s="157">
        <f t="shared" si="325"/>
        <v>6</v>
      </c>
      <c r="AG816" s="162" t="s">
        <v>123</v>
      </c>
      <c r="AH816" s="162" t="s">
        <v>124</v>
      </c>
      <c r="AI816" s="162" t="s">
        <v>125</v>
      </c>
      <c r="AJ816" s="91" t="s">
        <v>126</v>
      </c>
      <c r="AK816" s="198" t="s">
        <v>136</v>
      </c>
      <c r="AL816" s="198" t="s">
        <v>137</v>
      </c>
      <c r="AM816" s="198" t="s">
        <v>138</v>
      </c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</row>
    <row r="817" spans="1:57" s="1" customFormat="1" ht="21.6" customHeight="1" x14ac:dyDescent="0.4">
      <c r="A817" s="37" t="str">
        <f>A816</f>
        <v>14Д</v>
      </c>
      <c r="B817" s="12">
        <f>B798+1</f>
        <v>46036</v>
      </c>
      <c r="C817" s="97"/>
      <c r="D817" s="97">
        <v>1</v>
      </c>
      <c r="E817" s="29"/>
      <c r="F817" s="151" t="str">
        <f>IFERROR(VLOOKUP($G817,нормы!$A$14:$BC$57,2,0),"")</f>
        <v/>
      </c>
      <c r="G817" s="93"/>
      <c r="H817" s="54">
        <f>IF(C817=1,"Кульков С.А.", IF(C817=2,"Чудаков А.А.",IF(C817=3,"Королев В.Н.",IF(C817=4,"Николашин М.П.",IF(C817=5," Кульков С.А.",IF(C817=6,"А.А. Чудаков",IF(C817=7,"В.Н. Королев",IF(C817=8,"М.П. Николашин",0))))))))</f>
        <v>0</v>
      </c>
      <c r="I817" s="88" t="s">
        <v>84</v>
      </c>
      <c r="J817" s="332"/>
      <c r="K817" s="30">
        <f>IFERROR(VLOOKUP($G817,[1]нормы!$A$21:$BC$151,15,0),"")</f>
        <v>0</v>
      </c>
      <c r="L817" s="31">
        <f>IFERROR(VLOOKUP($G817,[1]нормы!$A$21:$BC$151,17,0),"")</f>
        <v>0</v>
      </c>
      <c r="M817" s="310">
        <f>IFERROR(VLOOKUP($G817,[1]нормы!$A$21:$BC$151,27,0),"")</f>
        <v>0</v>
      </c>
      <c r="N817" s="311" t="str">
        <f>IFERROR(Y817/Y823*(1.1*J817*I822),"")</f>
        <v/>
      </c>
      <c r="O817" s="300">
        <f>IFERROR(VLOOKUP($G817,[1]нормы!$A$21:$BC$151,21,0),"")</f>
        <v>0</v>
      </c>
      <c r="P817" s="35">
        <f>IFERROR(VLOOKUP($G817,[1]нормы!$A$21:$BC$151,19,0),"")</f>
        <v>0</v>
      </c>
      <c r="Q817" s="35">
        <f>IFERROR(VLOOKUP($G817,[1]нормы!$A$21:$BC$151,23,0),"")</f>
        <v>0</v>
      </c>
      <c r="R817" s="231">
        <f>IFERROR(VLOOKUP($G817,[1]нормы!$A$21:$BC$151,29,0),"")</f>
        <v>0</v>
      </c>
      <c r="S817" s="35">
        <f>IFERROR(VLOOKUP($G817,[1]нормы!$A$21:$BC$151,31,0),"")</f>
        <v>0</v>
      </c>
      <c r="T817" s="32">
        <f>IFERROR(VLOOKUP($G817,[1]нормы!$A$21:$BC$151,25,0),"")</f>
        <v>0</v>
      </c>
      <c r="U817" s="232" t="str">
        <f>IFERROR(W817/(((100*Y817/Y823)*I822)/100),"")</f>
        <v/>
      </c>
      <c r="V817" s="234" t="str">
        <f>IFERROR(VLOOKUP($G817,нормы!$A$14:$BC$57,38,0),"")</f>
        <v/>
      </c>
      <c r="W817" s="136"/>
      <c r="X817" s="236"/>
      <c r="Y817" s="152" t="str">
        <f>IFERROR(VLOOKUP($G817,нормы!$A$14:$BC$57,42,0)*W817,"")</f>
        <v/>
      </c>
      <c r="Z817" s="163">
        <f>IFERROR(VLOOKUP($G817,нормы!$A$14:$BC$57,14,0)*W817/1000,0)</f>
        <v>0</v>
      </c>
      <c r="AA817" s="33"/>
      <c r="AB817" s="36"/>
      <c r="AC817" s="36"/>
      <c r="AD817" s="36"/>
      <c r="AE817" s="34"/>
      <c r="AF817" s="159"/>
      <c r="AG817" s="390"/>
      <c r="AH817" s="393"/>
      <c r="AI817" s="396"/>
      <c r="AJ817" s="407">
        <f>AG817+AH817</f>
        <v>0</v>
      </c>
      <c r="AK817" s="359"/>
      <c r="AL817" s="359"/>
      <c r="AM817" s="359"/>
      <c r="AN817" s="287">
        <f>IFERROR(Y817*AJ817/Y823,)</f>
        <v>0</v>
      </c>
      <c r="AO817" s="197" t="str">
        <f>IFERROR(VLOOKUP($G817,нормы!$A$14:$BC$57,53,0)*$W817,"")</f>
        <v/>
      </c>
      <c r="AP817" s="288">
        <f>IFERROR(Y817*AI817/Y823,)</f>
        <v>0</v>
      </c>
      <c r="AQ817" s="197" t="str">
        <f>IFERROR(VLOOKUP($G817,нормы!$A$14:$BC$57,54,0)*$W817,"")</f>
        <v/>
      </c>
      <c r="AR817" s="288">
        <f>IFERROR(AS817/SUM(AS817:AS822)*AL817,0)</f>
        <v>0</v>
      </c>
      <c r="AS817" s="197" t="str">
        <f>IFERROR(VLOOKUP($G817,нормы!$A$14:$BC$57,55,0)*W817,"")</f>
        <v/>
      </c>
      <c r="AT817" s="288">
        <f>IFERROR(AU817/SUM(AU817:AU822)*AM817,0)</f>
        <v>0</v>
      </c>
      <c r="AU817" s="197" t="str">
        <f>IFERROR(VLOOKUP($G817,нормы!$A$14:$BI$57,56,0)*W817,"")</f>
        <v/>
      </c>
      <c r="AV817" s="288">
        <f>IFERROR(AW817/SUM(AW817:AW822)*AK817,0)</f>
        <v>0</v>
      </c>
      <c r="AW817" s="202" t="str">
        <f>IFERROR(VLOOKUP($G817,нормы!$A$14:$BI$57,57,0)*W817,"")</f>
        <v/>
      </c>
      <c r="AX817" s="33"/>
      <c r="AY817" s="203" t="str">
        <f>IFERROR(VLOOKUP($G817,нормы!$A$14:$BI$57,58,0)*W817,"")</f>
        <v/>
      </c>
      <c r="AZ817" s="204"/>
      <c r="BA817" s="200" t="str">
        <f>IFERROR(VLOOKUP($G817,нормы!$A$14:$BI$57,61,0)*$W817,"")</f>
        <v/>
      </c>
      <c r="BB817" s="33"/>
      <c r="BC817" s="203" t="str">
        <f>IFERROR(VLOOKUP($G817,нормы!$A$14:$BI$57,60,0)*W817,"")</f>
        <v/>
      </c>
      <c r="BD817" s="200" t="str">
        <f>IFERROR(VLOOKUP($G817,нормы!$A$14:$BG$57,44,0),"")</f>
        <v/>
      </c>
      <c r="BE817" s="199" t="str">
        <f>IFERROR(W817/VLOOKUP($G817,нормы!$A$14:$BI$57,45,0),"")</f>
        <v/>
      </c>
    </row>
    <row r="818" spans="1:57" s="1" customFormat="1" ht="21.6" customHeight="1" x14ac:dyDescent="0.4">
      <c r="A818" s="37" t="str">
        <f t="shared" ref="A818:A846" si="326">A817</f>
        <v>14Д</v>
      </c>
      <c r="B818" s="12">
        <f t="shared" ref="B818:D822" si="327">B817</f>
        <v>46036</v>
      </c>
      <c r="C818" s="97">
        <f t="shared" si="327"/>
        <v>0</v>
      </c>
      <c r="D818" s="97">
        <f t="shared" si="327"/>
        <v>1</v>
      </c>
      <c r="E818" s="54"/>
      <c r="F818" s="151" t="str">
        <f>IFERROR(VLOOKUP($G818,нормы!$A$14:$BC$57,2,0),"")</f>
        <v/>
      </c>
      <c r="G818" s="93"/>
      <c r="H818" s="54">
        <f t="shared" ref="H818:H822" si="328">IF(C818=1,"Кульков С.А.", IF(C818=2,"Чудаков А.А.",IF(C818=3,"Королев В.Н.",IF(C818=4,"Николашин М.П.",IF(C818=5," Кульков С.А.",IF(C818=6,"А.А. Чудаков",IF(C818=7,"В.Н. Королев",IF(C818=8,"М.П. Николашин",0))))))))</f>
        <v>0</v>
      </c>
      <c r="I818" s="55"/>
      <c r="J818" s="333"/>
      <c r="K818" s="30">
        <f>IFERROR(VLOOKUP($G818,[1]нормы!$A$21:$BC$151,15,0),"")</f>
        <v>0</v>
      </c>
      <c r="L818" s="31">
        <f>IFERROR(VLOOKUP($G818,[1]нормы!$A$21:$BC$151,17,0),"")</f>
        <v>0</v>
      </c>
      <c r="M818" s="306">
        <f>IFERROR(VLOOKUP($G818,[1]нормы!$A$21:$BC$151,27,0),"")</f>
        <v>0</v>
      </c>
      <c r="N818" s="307" t="str">
        <f>IFERROR(Y818/Y823*(1.1*J817*I822),"")</f>
        <v/>
      </c>
      <c r="O818" s="300">
        <f>IFERROR(VLOOKUP($G818,[1]нормы!$A$21:$BC$151,21,0),"")</f>
        <v>0</v>
      </c>
      <c r="P818" s="35">
        <f>IFERROR(VLOOKUP($G818,[1]нормы!$A$21:$BC$151,19,0),"")</f>
        <v>0</v>
      </c>
      <c r="Q818" s="35">
        <f>IFERROR(VLOOKUP($G818,[1]нормы!$A$21:$BC$151,23,0),"")</f>
        <v>0</v>
      </c>
      <c r="R818" s="231">
        <f>IFERROR(VLOOKUP($G818,[1]нормы!$A$21:$BC$151,29,0),"")</f>
        <v>0</v>
      </c>
      <c r="S818" s="35">
        <f>IFERROR(VLOOKUP($G818,[1]нормы!$A$21:$BC$151,31,0),"")</f>
        <v>0</v>
      </c>
      <c r="T818" s="32">
        <f>IFERROR(VLOOKUP($G818,[1]нормы!$A$21:$BC$151,25,0),"")</f>
        <v>0</v>
      </c>
      <c r="U818" s="233" t="str">
        <f>IFERROR(W818/(((100*Y818/Y823)*I822)/100),"")</f>
        <v/>
      </c>
      <c r="V818" s="234" t="str">
        <f>IFERROR(VLOOKUP($G818,нормы!$A$14:$BC$57,38,0),"")</f>
        <v/>
      </c>
      <c r="W818" s="136"/>
      <c r="X818" s="237"/>
      <c r="Y818" s="152" t="str">
        <f>IFERROR(VLOOKUP($G818,нормы!$A$14:$BC$57,42,0)*W818,"")</f>
        <v/>
      </c>
      <c r="Z818" s="163">
        <f>IFERROR(VLOOKUP($G818,нормы!$A$14:$BC$57,14,0)*W818/1000,0)</f>
        <v>0</v>
      </c>
      <c r="AA818" s="142"/>
      <c r="AB818" s="35"/>
      <c r="AC818" s="35"/>
      <c r="AD818" s="35"/>
      <c r="AE818" s="31"/>
      <c r="AF818" s="160"/>
      <c r="AG818" s="391"/>
      <c r="AH818" s="394"/>
      <c r="AI818" s="397"/>
      <c r="AJ818" s="408"/>
      <c r="AK818" s="360"/>
      <c r="AL818" s="360"/>
      <c r="AM818" s="360"/>
      <c r="AN818" s="289">
        <f>IFERROR(Y818*AJ817/Y823,)</f>
        <v>0</v>
      </c>
      <c r="AO818" s="197" t="str">
        <f>IFERROR(VLOOKUP($G818,нормы!$A$14:$BC$57,53,0)*$W818,"")</f>
        <v/>
      </c>
      <c r="AP818" s="290">
        <f>IFERROR(Y818*AI817/Y823,)</f>
        <v>0</v>
      </c>
      <c r="AQ818" s="197" t="str">
        <f>IFERROR(VLOOKUP($G818,нормы!$A$14:$BC$57,54,0)*$W818,"")</f>
        <v/>
      </c>
      <c r="AR818" s="290">
        <f>IFERROR(AS818/SUM(AS817:AS822)*AL817,0)</f>
        <v>0</v>
      </c>
      <c r="AS818" s="197" t="str">
        <f>IFERROR(VLOOKUP($G818,нормы!$A$14:$BC$57,55,0)*W818,"")</f>
        <v/>
      </c>
      <c r="AT818" s="290">
        <f>IFERROR(AU818/SUM(AU817:AU822)*AM817,0)</f>
        <v>0</v>
      </c>
      <c r="AU818" s="197" t="str">
        <f>IFERROR(VLOOKUP($G818,нормы!$A$14:$BI$57,56,0)*W818,"")</f>
        <v/>
      </c>
      <c r="AV818" s="290">
        <f>IFERROR(AW818/SUM(AW817:AW822)*AK817,0)</f>
        <v>0</v>
      </c>
      <c r="AW818" s="202" t="str">
        <f>IFERROR(VLOOKUP($G818,нормы!$A$14:$BI$57,57,0)*W818,"")</f>
        <v/>
      </c>
      <c r="AX818" s="30"/>
      <c r="AY818" s="203" t="str">
        <f>IFERROR(VLOOKUP($G818,нормы!$A$14:$BI$57,58,0)*W818,"")</f>
        <v/>
      </c>
      <c r="AZ818" s="205"/>
      <c r="BA818" s="200" t="str">
        <f>IFERROR(VLOOKUP($G818,нормы!$A$14:$BI$57,61,0)*$W818,"")</f>
        <v/>
      </c>
      <c r="BB818" s="30"/>
      <c r="BC818" s="203" t="str">
        <f>IFERROR(VLOOKUP($G818,нормы!$A$14:$BI$57,60,0)*W818,"")</f>
        <v/>
      </c>
      <c r="BD818" s="200" t="str">
        <f>IFERROR(VLOOKUP($G818,нормы!$A$14:$BG$57,44,0),"")</f>
        <v/>
      </c>
      <c r="BE818" s="199" t="str">
        <f>IFERROR(W818/VLOOKUP($G818,нормы!$A$14:$BI$57,45,0),"")</f>
        <v/>
      </c>
    </row>
    <row r="819" spans="1:57" s="1" customFormat="1" ht="20.25" customHeight="1" x14ac:dyDescent="0.4">
      <c r="A819" s="37" t="str">
        <f t="shared" si="326"/>
        <v>14Д</v>
      </c>
      <c r="B819" s="12">
        <f t="shared" si="327"/>
        <v>46036</v>
      </c>
      <c r="C819" s="97">
        <f t="shared" si="327"/>
        <v>0</v>
      </c>
      <c r="D819" s="97">
        <f t="shared" si="327"/>
        <v>1</v>
      </c>
      <c r="E819" s="54"/>
      <c r="F819" s="151" t="str">
        <f>IFERROR(VLOOKUP($G819,нормы!$A$14:$BC$57,2,0),"")</f>
        <v/>
      </c>
      <c r="G819" s="38"/>
      <c r="H819" s="54">
        <f t="shared" si="328"/>
        <v>0</v>
      </c>
      <c r="I819" s="89" t="s">
        <v>85</v>
      </c>
      <c r="J819" s="333"/>
      <c r="K819" s="30">
        <f>IFERROR(VLOOKUP($G819,[1]нормы!$A$21:$BC$151,15,0),"")</f>
        <v>0</v>
      </c>
      <c r="L819" s="31">
        <f>IFERROR(VLOOKUP($G819,[1]нормы!$A$21:$BC$151,17,0),"")</f>
        <v>0</v>
      </c>
      <c r="M819" s="306">
        <f>IFERROR(VLOOKUP($G819,[1]нормы!$A$21:$BC$151,27,0),"")</f>
        <v>0</v>
      </c>
      <c r="N819" s="307" t="str">
        <f>IFERROR(Y819/Y823*(1.1*J817*I822),"")</f>
        <v/>
      </c>
      <c r="O819" s="300">
        <f>IFERROR(VLOOKUP($G819,[1]нормы!$A$21:$BC$151,21,0),"")</f>
        <v>0</v>
      </c>
      <c r="P819" s="35">
        <f>IFERROR(VLOOKUP($G819,[1]нормы!$A$21:$BC$151,19,0),"")</f>
        <v>0</v>
      </c>
      <c r="Q819" s="35">
        <f>IFERROR(VLOOKUP($G819,[1]нормы!$A$21:$BC$151,23,0),"")</f>
        <v>0</v>
      </c>
      <c r="R819" s="231">
        <f>IFERROR(VLOOKUP($G819,[1]нормы!$A$21:$BC$151,29,0),"")</f>
        <v>0</v>
      </c>
      <c r="S819" s="35">
        <f>IFERROR(VLOOKUP($G819,[1]нормы!$A$21:$BC$151,31,0),"")</f>
        <v>0</v>
      </c>
      <c r="T819" s="32">
        <f>IFERROR(VLOOKUP($G819,[1]нормы!$A$21:$BC$151,25,0),"")</f>
        <v>0</v>
      </c>
      <c r="U819" s="233" t="str">
        <f>IFERROR(W819/(((100*Y819/Y823)*I822)/100),"")</f>
        <v/>
      </c>
      <c r="V819" s="234" t="str">
        <f>IFERROR(VLOOKUP($G819,нормы!$A$14:$BC$57,38,0),"")</f>
        <v/>
      </c>
      <c r="W819" s="136"/>
      <c r="X819" s="237"/>
      <c r="Y819" s="152" t="str">
        <f>IFERROR(VLOOKUP($G819,нормы!$A$14:$BC$57,42,0)*W819,"")</f>
        <v/>
      </c>
      <c r="Z819" s="163">
        <f>IFERROR(VLOOKUP($G819,нормы!$A$14:$BC$57,14,0)*W819/1000,0)</f>
        <v>0</v>
      </c>
      <c r="AA819" s="30"/>
      <c r="AB819" s="35"/>
      <c r="AC819" s="35"/>
      <c r="AD819" s="35"/>
      <c r="AE819" s="31"/>
      <c r="AF819" s="160"/>
      <c r="AG819" s="391"/>
      <c r="AH819" s="394"/>
      <c r="AI819" s="397"/>
      <c r="AJ819" s="408"/>
      <c r="AK819" s="360"/>
      <c r="AL819" s="360"/>
      <c r="AM819" s="360"/>
      <c r="AN819" s="289">
        <f>IFERROR(Y819*AJ817/Y823,)</f>
        <v>0</v>
      </c>
      <c r="AO819" s="197" t="str">
        <f>IFERROR(VLOOKUP($G819,нормы!$A$14:$BC$57,53,0)*$W819,"")</f>
        <v/>
      </c>
      <c r="AP819" s="290">
        <f>IFERROR(Y819*AI817/Y823,)</f>
        <v>0</v>
      </c>
      <c r="AQ819" s="197" t="str">
        <f>IFERROR(VLOOKUP($G819,нормы!$A$14:$BC$57,54,0)*$W819,"")</f>
        <v/>
      </c>
      <c r="AR819" s="290">
        <f>IFERROR(AS819/SUM(AS817:AS822)*AL817,0)</f>
        <v>0</v>
      </c>
      <c r="AS819" s="197" t="str">
        <f>IFERROR(VLOOKUP($G819,нормы!$A$14:$BC$57,55,0)*W819,"")</f>
        <v/>
      </c>
      <c r="AT819" s="290">
        <f>IFERROR(AU819/SUM(AU817:AU822)*AM817,0)</f>
        <v>0</v>
      </c>
      <c r="AU819" s="197" t="str">
        <f>IFERROR(VLOOKUP($G819,нормы!$A$14:$BI$57,56,0)*W819,"")</f>
        <v/>
      </c>
      <c r="AV819" s="290">
        <f>IFERROR(AW819/SUM(AW817:AW822)*AK817,0)</f>
        <v>0</v>
      </c>
      <c r="AW819" s="202" t="str">
        <f>IFERROR(VLOOKUP($G819,нормы!$A$14:$BI$57,57,0)*W819,"")</f>
        <v/>
      </c>
      <c r="AX819" s="30"/>
      <c r="AY819" s="203" t="str">
        <f>IFERROR(VLOOKUP($G819,нормы!$A$14:$BI$57,58,0)*W819,"")</f>
        <v/>
      </c>
      <c r="AZ819" s="205"/>
      <c r="BA819" s="200" t="str">
        <f>IFERROR(VLOOKUP($G819,нормы!$A$14:$BI$57,61,0)*$W819,"")</f>
        <v/>
      </c>
      <c r="BB819" s="30"/>
      <c r="BC819" s="203" t="str">
        <f>IFERROR(VLOOKUP($G819,нормы!$A$14:$BI$57,60,0)*W819,"")</f>
        <v/>
      </c>
      <c r="BD819" s="200" t="str">
        <f>IFERROR(VLOOKUP($G819,нормы!$A$14:$BG$57,44,0),"")</f>
        <v/>
      </c>
      <c r="BE819" s="199" t="str">
        <f>IFERROR(W819/VLOOKUP($G819,нормы!$A$14:$BI$57,45,0),"")</f>
        <v/>
      </c>
    </row>
    <row r="820" spans="1:57" s="1" customFormat="1" ht="20.25" customHeight="1" x14ac:dyDescent="0.4">
      <c r="A820" s="37" t="str">
        <f t="shared" si="326"/>
        <v>14Д</v>
      </c>
      <c r="B820" s="12">
        <f t="shared" si="327"/>
        <v>46036</v>
      </c>
      <c r="C820" s="97">
        <f t="shared" si="327"/>
        <v>0</v>
      </c>
      <c r="D820" s="97">
        <f t="shared" si="327"/>
        <v>1</v>
      </c>
      <c r="E820" s="54"/>
      <c r="F820" s="151" t="str">
        <f>IFERROR(VLOOKUP($G820,нормы!$A$14:$BC$57,2,0),"")</f>
        <v/>
      </c>
      <c r="G820" s="93"/>
      <c r="H820" s="54">
        <f t="shared" si="328"/>
        <v>0</v>
      </c>
      <c r="I820" s="55"/>
      <c r="J820" s="333"/>
      <c r="K820" s="30">
        <f>IFERROR(VLOOKUP($G820,[1]нормы!$A$21:$BC$151,15,0),"")</f>
        <v>0</v>
      </c>
      <c r="L820" s="31">
        <f>IFERROR(VLOOKUP($G820,[1]нормы!$A$21:$BC$151,17,0),"")</f>
        <v>0</v>
      </c>
      <c r="M820" s="306">
        <f>IFERROR(VLOOKUP($G820,[1]нормы!$A$21:$BC$151,27,0),"")</f>
        <v>0</v>
      </c>
      <c r="N820" s="307" t="str">
        <f>IFERROR(Y820/Y823*(1.1*J817*I825),"")</f>
        <v/>
      </c>
      <c r="O820" s="300">
        <f>IFERROR(VLOOKUP($G820,[1]нормы!$A$21:$BC$151,21,0),"")</f>
        <v>0</v>
      </c>
      <c r="P820" s="35">
        <f>IFERROR(VLOOKUP($G820,[1]нормы!$A$21:$BC$151,19,0),"")</f>
        <v>0</v>
      </c>
      <c r="Q820" s="35">
        <f>IFERROR(VLOOKUP($G820,[1]нормы!$A$21:$BC$151,23,0),"")</f>
        <v>0</v>
      </c>
      <c r="R820" s="231">
        <f>IFERROR(VLOOKUP($G820,[1]нормы!$A$21:$BC$151,29,0),"")</f>
        <v>0</v>
      </c>
      <c r="S820" s="35">
        <f>IFERROR(VLOOKUP($G820,[1]нормы!$A$21:$BC$151,31,0),"")</f>
        <v>0</v>
      </c>
      <c r="T820" s="32">
        <f>IFERROR(VLOOKUP($G820,[1]нормы!$A$21:$BC$151,25,0),"")</f>
        <v>0</v>
      </c>
      <c r="U820" s="233" t="str">
        <f>IFERROR(W820/(((100*Y820/Y823)*I822)/100),"")</f>
        <v/>
      </c>
      <c r="V820" s="234" t="str">
        <f>IFERROR(VLOOKUP($G820,нормы!$A$14:$BC$57,38,0),"")</f>
        <v/>
      </c>
      <c r="W820" s="136"/>
      <c r="X820" s="237"/>
      <c r="Y820" s="152" t="str">
        <f>IFERROR(VLOOKUP($G820,нормы!$A$14:$BC$57,42,0)*W820,"")</f>
        <v/>
      </c>
      <c r="Z820" s="163">
        <f>IFERROR(VLOOKUP($G820,нормы!$A$14:$BC$57,14,0)*W820/1000,0)</f>
        <v>0</v>
      </c>
      <c r="AA820" s="30"/>
      <c r="AB820" s="35"/>
      <c r="AC820" s="35"/>
      <c r="AD820" s="35"/>
      <c r="AE820" s="31"/>
      <c r="AF820" s="160"/>
      <c r="AG820" s="391"/>
      <c r="AH820" s="394"/>
      <c r="AI820" s="397"/>
      <c r="AJ820" s="408"/>
      <c r="AK820" s="360"/>
      <c r="AL820" s="360"/>
      <c r="AM820" s="360"/>
      <c r="AN820" s="289">
        <f>IFERROR(Y820*AJ817/Y823,)</f>
        <v>0</v>
      </c>
      <c r="AO820" s="197" t="str">
        <f>IFERROR(VLOOKUP($G820,нормы!$A$14:$BC$57,53,0)*$W820,"")</f>
        <v/>
      </c>
      <c r="AP820" s="290">
        <f>IFERROR(Y820*AI817/Y823,)</f>
        <v>0</v>
      </c>
      <c r="AQ820" s="197" t="str">
        <f>IFERROR(VLOOKUP($G820,нормы!$A$14:$BC$57,54,0)*$W820,"")</f>
        <v/>
      </c>
      <c r="AR820" s="290">
        <f>IFERROR(AS820/SUM(AS817:AS822)*AL817,0)</f>
        <v>0</v>
      </c>
      <c r="AS820" s="197" t="str">
        <f>IFERROR(VLOOKUP($G820,нормы!$A$14:$BC$57,55,0)*W820,"")</f>
        <v/>
      </c>
      <c r="AT820" s="290">
        <f>IFERROR(AU820/SUM(AU817:AU822)*AM817,0)</f>
        <v>0</v>
      </c>
      <c r="AU820" s="197" t="str">
        <f>IFERROR(VLOOKUP($G820,нормы!$A$14:$BI$57,56,0)*W820,"")</f>
        <v/>
      </c>
      <c r="AV820" s="290">
        <f>IFERROR(AW820/SUM(AW817:AW822)*AK817,0)</f>
        <v>0</v>
      </c>
      <c r="AW820" s="202" t="str">
        <f>IFERROR(VLOOKUP($G820,нормы!$A$14:$BI$57,57,0)*W820,"")</f>
        <v/>
      </c>
      <c r="AX820" s="30"/>
      <c r="AY820" s="203" t="str">
        <f>IFERROR(VLOOKUP($G820,нормы!$A$14:$BI$57,58,0)*W820,"")</f>
        <v/>
      </c>
      <c r="AZ820" s="205"/>
      <c r="BA820" s="200" t="str">
        <f>IFERROR(VLOOKUP($G820,нормы!$A$14:$BI$57,61,0)*$W820,"")</f>
        <v/>
      </c>
      <c r="BB820" s="30"/>
      <c r="BC820" s="203" t="str">
        <f>IFERROR(VLOOKUP($G820,нормы!$A$14:$BI$57,60,0)*W820,"")</f>
        <v/>
      </c>
      <c r="BD820" s="200" t="str">
        <f>IFERROR(VLOOKUP($G820,нормы!$A$14:$BG$57,44,0),"")</f>
        <v/>
      </c>
      <c r="BE820" s="199" t="str">
        <f>IFERROR(W820/VLOOKUP($G820,нормы!$A$14:$BI$57,45,0),"")</f>
        <v/>
      </c>
    </row>
    <row r="821" spans="1:57" s="1" customFormat="1" ht="20.25" customHeight="1" x14ac:dyDescent="0.4">
      <c r="A821" s="37" t="str">
        <f t="shared" si="326"/>
        <v>14Д</v>
      </c>
      <c r="B821" s="12">
        <f t="shared" si="327"/>
        <v>46036</v>
      </c>
      <c r="C821" s="97">
        <f t="shared" si="327"/>
        <v>0</v>
      </c>
      <c r="D821" s="97">
        <f t="shared" si="327"/>
        <v>1</v>
      </c>
      <c r="E821" s="54"/>
      <c r="F821" s="151" t="str">
        <f>IFERROR(VLOOKUP($G821,нормы!$A$14:$BC$57,2,0),"")</f>
        <v/>
      </c>
      <c r="G821" s="38"/>
      <c r="H821" s="54">
        <f t="shared" si="328"/>
        <v>0</v>
      </c>
      <c r="I821" s="89" t="s">
        <v>73</v>
      </c>
      <c r="J821" s="333"/>
      <c r="K821" s="30">
        <f>IFERROR(VLOOKUP($G821,[1]нормы!$A$21:$BC$151,15,0),"")</f>
        <v>0</v>
      </c>
      <c r="L821" s="31">
        <f>IFERROR(VLOOKUP($G821,[1]нормы!$A$21:$BC$151,17,0),"")</f>
        <v>0</v>
      </c>
      <c r="M821" s="306">
        <f>IFERROR(VLOOKUP($G821,[1]нормы!$A$21:$BC$151,27,0),"")</f>
        <v>0</v>
      </c>
      <c r="N821" s="307" t="str">
        <f>IFERROR(Y821/Y823*(1.1*J817*I826),"")</f>
        <v/>
      </c>
      <c r="O821" s="300">
        <f>IFERROR(VLOOKUP($G821,[1]нормы!$A$21:$BC$151,21,0),"")</f>
        <v>0</v>
      </c>
      <c r="P821" s="35">
        <f>IFERROR(VLOOKUP($G821,[1]нормы!$A$21:$BC$151,19,0),"")</f>
        <v>0</v>
      </c>
      <c r="Q821" s="35">
        <f>IFERROR(VLOOKUP($G821,[1]нормы!$A$21:$BC$151,23,0),"")</f>
        <v>0</v>
      </c>
      <c r="R821" s="231">
        <f>IFERROR(VLOOKUP($G821,[1]нормы!$A$21:$BC$151,29,0),"")</f>
        <v>0</v>
      </c>
      <c r="S821" s="35">
        <f>IFERROR(VLOOKUP($G821,[1]нормы!$A$21:$BC$151,31,0),"")</f>
        <v>0</v>
      </c>
      <c r="T821" s="32">
        <f>IFERROR(VLOOKUP($G821,[1]нормы!$A$21:$BC$151,25,0),"")</f>
        <v>0</v>
      </c>
      <c r="U821" s="233" t="str">
        <f>IFERROR(W821/(((100*Y821/Y823)*I822)/100),"")</f>
        <v/>
      </c>
      <c r="V821" s="234" t="str">
        <f>IFERROR(VLOOKUP($G821,нормы!$A$14:$BC$57,38,0),"")</f>
        <v/>
      </c>
      <c r="W821" s="136"/>
      <c r="X821" s="237"/>
      <c r="Y821" s="152" t="str">
        <f>IFERROR(VLOOKUP($G821,нормы!$A$14:$BC$57,42,0)*W821,"")</f>
        <v/>
      </c>
      <c r="Z821" s="163">
        <f>IFERROR(VLOOKUP($G821,нормы!$A$14:$BC$57,14,0)*W821/1000,0)</f>
        <v>0</v>
      </c>
      <c r="AA821" s="30"/>
      <c r="AB821" s="35"/>
      <c r="AC821" s="35"/>
      <c r="AD821" s="35"/>
      <c r="AE821" s="31"/>
      <c r="AF821" s="160"/>
      <c r="AG821" s="391"/>
      <c r="AH821" s="394"/>
      <c r="AI821" s="397"/>
      <c r="AJ821" s="408"/>
      <c r="AK821" s="360"/>
      <c r="AL821" s="360"/>
      <c r="AM821" s="360"/>
      <c r="AN821" s="289">
        <f>IFERROR(Y821*AJ817/Y823,)</f>
        <v>0</v>
      </c>
      <c r="AO821" s="197" t="str">
        <f>IFERROR(VLOOKUP($G821,нормы!$A$14:$BC$57,53,0)*$W821,"")</f>
        <v/>
      </c>
      <c r="AP821" s="290">
        <f>IFERROR(Y821*AI817/Y823,)</f>
        <v>0</v>
      </c>
      <c r="AQ821" s="197" t="str">
        <f>IFERROR(VLOOKUP($G821,нормы!$A$14:$BC$57,54,0)*$W821,"")</f>
        <v/>
      </c>
      <c r="AR821" s="290">
        <f>IFERROR(AS821/SUM(AS817:AS822)*AL817,0)</f>
        <v>0</v>
      </c>
      <c r="AS821" s="197" t="str">
        <f>IFERROR(VLOOKUP($G821,нормы!$A$14:$BC$57,55,0)*W821,"")</f>
        <v/>
      </c>
      <c r="AT821" s="290">
        <f>IFERROR(AU821/SUM(AU817:AU822)*AM817,0)</f>
        <v>0</v>
      </c>
      <c r="AU821" s="197" t="str">
        <f>IFERROR(VLOOKUP($G821,нормы!$A$14:$BI$57,56,0)*W821,"")</f>
        <v/>
      </c>
      <c r="AV821" s="290">
        <f>IFERROR(AW821/SUM(AW817:AW822)*AK817,0)</f>
        <v>0</v>
      </c>
      <c r="AW821" s="202" t="str">
        <f>IFERROR(VLOOKUP($G821,нормы!$A$14:$BI$57,57,0)*W821,"")</f>
        <v/>
      </c>
      <c r="AX821" s="30"/>
      <c r="AY821" s="203" t="str">
        <f>IFERROR(VLOOKUP($G821,нормы!$A$14:$BI$57,58,0)*W821,"")</f>
        <v/>
      </c>
      <c r="AZ821" s="205"/>
      <c r="BA821" s="200" t="str">
        <f>IFERROR(VLOOKUP($G821,нормы!$A$14:$BI$57,61,0)*$W821,"")</f>
        <v/>
      </c>
      <c r="BB821" s="30"/>
      <c r="BC821" s="203" t="str">
        <f>IFERROR(VLOOKUP($G821,нормы!$A$14:$BI$57,60,0)*W821,"")</f>
        <v/>
      </c>
      <c r="BD821" s="200" t="str">
        <f>IFERROR(VLOOKUP($G821,нормы!$A$14:$BG$57,44,0),"")</f>
        <v/>
      </c>
      <c r="BE821" s="199" t="str">
        <f>IFERROR(W821/VLOOKUP($G821,нормы!$A$14:$BI$57,45,0),"")</f>
        <v/>
      </c>
    </row>
    <row r="822" spans="1:57" s="1" customFormat="1" ht="21" customHeight="1" thickBot="1" x14ac:dyDescent="0.45">
      <c r="A822" s="37" t="str">
        <f t="shared" si="326"/>
        <v>14Д</v>
      </c>
      <c r="B822" s="12">
        <f t="shared" si="327"/>
        <v>46036</v>
      </c>
      <c r="C822" s="97">
        <f t="shared" si="327"/>
        <v>0</v>
      </c>
      <c r="D822" s="97">
        <f t="shared" si="327"/>
        <v>1</v>
      </c>
      <c r="E822" s="54"/>
      <c r="F822" s="151" t="str">
        <f>IFERROR(VLOOKUP($G822,нормы!$A$14:$BC$57,2,0),"")</f>
        <v/>
      </c>
      <c r="G822" s="93"/>
      <c r="H822" s="63">
        <f t="shared" si="328"/>
        <v>0</v>
      </c>
      <c r="I822" s="153">
        <f>I818+I820</f>
        <v>0</v>
      </c>
      <c r="J822" s="334"/>
      <c r="K822" s="30">
        <f>IFERROR(VLOOKUP($G822,[1]нормы!$A$21:$BC$151,15,0),"")</f>
        <v>0</v>
      </c>
      <c r="L822" s="31">
        <f>IFERROR(VLOOKUP($G822,[1]нормы!$A$21:$BC$151,17,0),"")</f>
        <v>0</v>
      </c>
      <c r="M822" s="308">
        <f>IFERROR(VLOOKUP($G822,[1]нормы!$A$21:$BC$151,27,0),"")</f>
        <v>0</v>
      </c>
      <c r="N822" s="309" t="str">
        <f>IFERROR(Y822/Y823*(1.1*J817*I827),"")</f>
        <v/>
      </c>
      <c r="O822" s="300">
        <f>IFERROR(VLOOKUP($G822,[1]нормы!$A$21:$BC$151,21,0),"")</f>
        <v>0</v>
      </c>
      <c r="P822" s="35">
        <f>IFERROR(VLOOKUP($G822,[1]нормы!$A$21:$BC$151,19,0),"")</f>
        <v>0</v>
      </c>
      <c r="Q822" s="35">
        <f>IFERROR(VLOOKUP($G822,[1]нормы!$A$21:$BC$151,23,0),"")</f>
        <v>0</v>
      </c>
      <c r="R822" s="231">
        <f>IFERROR(VLOOKUP($G822,[1]нормы!$A$21:$BC$151,29,0),"")</f>
        <v>0</v>
      </c>
      <c r="S822" s="35">
        <f>IFERROR(VLOOKUP($G822,[1]нормы!$A$21:$BC$151,31,0),"")</f>
        <v>0</v>
      </c>
      <c r="T822" s="32">
        <f>IFERROR(VLOOKUP($G822,[1]нормы!$A$21:$BC$151,25,0),"")</f>
        <v>0</v>
      </c>
      <c r="U822" s="235" t="str">
        <f>IFERROR(W822/(((100*Y822/Y823)*I822)/100),"")</f>
        <v/>
      </c>
      <c r="V822" s="234" t="str">
        <f>IFERROR(VLOOKUP($G822,нормы!$A$14:$BC$57,38,0),"")</f>
        <v/>
      </c>
      <c r="W822" s="154"/>
      <c r="X822" s="238"/>
      <c r="Y822" s="152" t="str">
        <f>IFERROR(VLOOKUP($G822,нормы!$A$14:$BC$57,42,0)*W822,"")</f>
        <v/>
      </c>
      <c r="Z822" s="163">
        <f>IFERROR(VLOOKUP($G822,нормы!$A$14:$BC$57,14,0)*W822/1000,0)</f>
        <v>0</v>
      </c>
      <c r="AA822" s="56"/>
      <c r="AB822" s="58"/>
      <c r="AC822" s="58"/>
      <c r="AD822" s="58"/>
      <c r="AE822" s="57"/>
      <c r="AF822" s="161"/>
      <c r="AG822" s="392"/>
      <c r="AH822" s="395"/>
      <c r="AI822" s="398"/>
      <c r="AJ822" s="409"/>
      <c r="AK822" s="361"/>
      <c r="AL822" s="361"/>
      <c r="AM822" s="361"/>
      <c r="AN822" s="291">
        <f>IFERROR(Y822*AJ817/Y823,)</f>
        <v>0</v>
      </c>
      <c r="AO822" s="197" t="str">
        <f>IFERROR(VLOOKUP($G822,нормы!$A$14:$BC$57,53,0)*$W822,"")</f>
        <v/>
      </c>
      <c r="AP822" s="292">
        <f>IFERROR(Y822*AI817/Y823,)</f>
        <v>0</v>
      </c>
      <c r="AQ822" s="197" t="str">
        <f>IFERROR(VLOOKUP($G822,нормы!$A$14:$BC$57,54,0)*$W822,"")</f>
        <v/>
      </c>
      <c r="AR822" s="290">
        <f>IFERROR(AS822/SUM(AS817:AS822)*AL817,0)</f>
        <v>0</v>
      </c>
      <c r="AS822" s="197" t="str">
        <f>IFERROR(VLOOKUP($G822,нормы!$A$14:$BC$57,55,0)*W822,"")</f>
        <v/>
      </c>
      <c r="AT822" s="292">
        <f>IFERROR(AU822/SUM(AU817:AU822)*AM817,0)</f>
        <v>0</v>
      </c>
      <c r="AU822" s="197" t="str">
        <f>IFERROR(VLOOKUP($G822,нормы!$A$14:$BI$57,56,0)*W822,"")</f>
        <v/>
      </c>
      <c r="AV822" s="292">
        <f>IFERROR(AW822/SUM(AW817:AW822)*AK817,0)</f>
        <v>0</v>
      </c>
      <c r="AW822" s="202" t="str">
        <f>IFERROR(VLOOKUP($G822,нормы!$A$14:$BI$57,57,0)*W822,"")</f>
        <v/>
      </c>
      <c r="AX822" s="56"/>
      <c r="AY822" s="203" t="str">
        <f>IFERROR(VLOOKUP($G822,нормы!$A$14:$BI$57,58,0)*W822,"")</f>
        <v/>
      </c>
      <c r="AZ822" s="206"/>
      <c r="BA822" s="200" t="str">
        <f>IFERROR(VLOOKUP($G822,нормы!$A$14:$BI$57,61,0)*$W822,"")</f>
        <v/>
      </c>
      <c r="BB822" s="56"/>
      <c r="BC822" s="203" t="str">
        <f>IFERROR(VLOOKUP($G822,нормы!$A$14:$BI$57,60,0)*W822,"")</f>
        <v/>
      </c>
      <c r="BD822" s="200" t="str">
        <f>IFERROR(VLOOKUP($G822,нормы!$A$14:$BG$57,44,0),"")</f>
        <v/>
      </c>
      <c r="BE822" s="199" t="str">
        <f>IFERROR(W822/VLOOKUP($G822,нормы!$A$14:$BI$57,45,0),"")</f>
        <v/>
      </c>
    </row>
    <row r="823" spans="1:57" s="1" customFormat="1" ht="29.4" customHeight="1" thickBot="1" x14ac:dyDescent="0.45">
      <c r="A823" s="37" t="str">
        <f t="shared" si="326"/>
        <v>14Д</v>
      </c>
      <c r="B823" s="59"/>
      <c r="C823" s="51"/>
      <c r="D823" s="51"/>
      <c r="E823" s="51"/>
      <c r="F823" s="295" t="s">
        <v>148</v>
      </c>
      <c r="G823" s="51"/>
      <c r="H823" s="51"/>
      <c r="I823" s="60"/>
      <c r="J823" s="60"/>
      <c r="K823" s="319" t="s">
        <v>213</v>
      </c>
      <c r="L823" s="316"/>
      <c r="M823" s="303" t="s">
        <v>213</v>
      </c>
      <c r="N823" s="317">
        <f>SUM(N817:N822)</f>
        <v>0</v>
      </c>
      <c r="O823" s="304" t="s">
        <v>216</v>
      </c>
      <c r="P823" s="318">
        <f>N823*8.937/1000</f>
        <v>0</v>
      </c>
      <c r="Q823" s="305" t="s">
        <v>215</v>
      </c>
      <c r="R823" s="61"/>
      <c r="S823" s="61"/>
      <c r="T823" s="61"/>
      <c r="U823" s="109"/>
      <c r="V823" s="109"/>
      <c r="W823" s="94"/>
      <c r="X823" s="155"/>
      <c r="Y823" s="96">
        <f>SUM(Y817:Y822)</f>
        <v>0</v>
      </c>
      <c r="Z823" s="164">
        <f>SUM(Z817:Z822)</f>
        <v>0</v>
      </c>
      <c r="AA823" s="62"/>
      <c r="AB823" s="62"/>
      <c r="AC823" s="62"/>
      <c r="AD823" s="62"/>
      <c r="AE823" s="62"/>
      <c r="AF823" s="62"/>
      <c r="AG823" s="162" t="s">
        <v>140</v>
      </c>
      <c r="AH823" s="162" t="s">
        <v>141</v>
      </c>
      <c r="AI823" s="162" t="s">
        <v>142</v>
      </c>
      <c r="AJ823" s="91" t="s">
        <v>126</v>
      </c>
      <c r="AK823" s="198" t="s">
        <v>136</v>
      </c>
      <c r="AL823" s="198" t="s">
        <v>137</v>
      </c>
      <c r="AM823" s="198" t="s">
        <v>138</v>
      </c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53" t="str">
        <f>IFERROR(W823/VLOOKUP($G823,нормы!$A$14:$BI$15,28,0),"")</f>
        <v/>
      </c>
    </row>
    <row r="824" spans="1:57" s="1" customFormat="1" ht="21.6" customHeight="1" x14ac:dyDescent="0.4">
      <c r="A824" s="37" t="str">
        <f t="shared" si="326"/>
        <v>14Д</v>
      </c>
      <c r="B824" s="12">
        <f>B822</f>
        <v>46036</v>
      </c>
      <c r="C824" s="97"/>
      <c r="D824" s="97">
        <v>2</v>
      </c>
      <c r="E824" s="29"/>
      <c r="F824" s="151" t="str">
        <f>IFERROR(VLOOKUP($G824,нормы!$A$14:$BC$57,2,0),"")</f>
        <v/>
      </c>
      <c r="G824" s="93"/>
      <c r="H824" s="54">
        <f>IF(C824=1,"Кульков С.А.", IF(C824=2,"Чудаков А.А.",IF(C824=3,"Королев В.Н.",IF(C824=4,"Николашин М.П.",IF(C824=5," Кульков С.А.",IF(C824=6,"А.А. Чудаков",IF(C824=7,"В.Н. Королев",IF(C824=8,"М.П. Николашин",0))))))))</f>
        <v>0</v>
      </c>
      <c r="I824" s="88" t="s">
        <v>211</v>
      </c>
      <c r="J824" s="332"/>
      <c r="K824" s="30">
        <f>IFERROR(VLOOKUP($G824,[1]нормы!$A$21:$BC$151,15,0),"")</f>
        <v>0</v>
      </c>
      <c r="L824" s="31">
        <f>IFERROR(VLOOKUP($G824,[1]нормы!$A$21:$BC$151,17,0),"")</f>
        <v>0</v>
      </c>
      <c r="M824" s="310">
        <f>IFERROR(VLOOKUP($G824,[1]нормы!$A$21:$BC$151,27,0),"")</f>
        <v>0</v>
      </c>
      <c r="N824" s="311" t="str">
        <f>IFERROR(Y824/Y830*(1.1*J824*I829),"")</f>
        <v/>
      </c>
      <c r="O824" s="300">
        <f>IFERROR(VLOOKUP($G824,[1]нормы!$A$21:$BC$151,21,0),"")</f>
        <v>0</v>
      </c>
      <c r="P824" s="35">
        <f>IFERROR(VLOOKUP($G824,[1]нормы!$A$21:$BC$151,19,0),"")</f>
        <v>0</v>
      </c>
      <c r="Q824" s="35">
        <f>IFERROR(VLOOKUP($G824,[1]нормы!$A$21:$BC$151,23,0),"")</f>
        <v>0</v>
      </c>
      <c r="R824" s="231">
        <f>IFERROR(VLOOKUP($G824,[1]нормы!$A$21:$BC$151,29,0),"")</f>
        <v>0</v>
      </c>
      <c r="S824" s="35">
        <f>IFERROR(VLOOKUP($G824,[1]нормы!$A$21:$BC$151,31,0),"")</f>
        <v>0</v>
      </c>
      <c r="T824" s="32">
        <f>IFERROR(VLOOKUP($G824,[1]нормы!$A$21:$BC$151,25,0),"")</f>
        <v>0</v>
      </c>
      <c r="U824" s="232" t="str">
        <f>IFERROR(W824/(((100*Y824/Y830)*I829)/100),"")</f>
        <v/>
      </c>
      <c r="V824" s="234" t="str">
        <f>IFERROR(VLOOKUP($G824,нормы!$A$14:$BC$57,38,0),"")</f>
        <v/>
      </c>
      <c r="W824" s="136"/>
      <c r="X824" s="236"/>
      <c r="Y824" s="152" t="str">
        <f>IFERROR(VLOOKUP($G824,нормы!$A$14:$BC$57,42,0)*W824,"")</f>
        <v/>
      </c>
      <c r="Z824" s="163">
        <f>IFERROR(VLOOKUP($G824,нормы!$A$14:$BC$57,14,0)*W824/1000,0)</f>
        <v>0</v>
      </c>
      <c r="AA824" s="33"/>
      <c r="AB824" s="36"/>
      <c r="AC824" s="36"/>
      <c r="AD824" s="36"/>
      <c r="AE824" s="34"/>
      <c r="AF824" s="159"/>
      <c r="AG824" s="390"/>
      <c r="AH824" s="393"/>
      <c r="AI824" s="396"/>
      <c r="AJ824" s="407">
        <f>AG824+AH824</f>
        <v>0</v>
      </c>
      <c r="AK824" s="359"/>
      <c r="AL824" s="359"/>
      <c r="AM824" s="359"/>
      <c r="AN824" s="287">
        <f>IFERROR(Y824*AJ824/Y830,)</f>
        <v>0</v>
      </c>
      <c r="AO824" s="197" t="str">
        <f>IFERROR(VLOOKUP($G824,нормы!$A$14:$BC$57,53,0)*$W824,"")</f>
        <v/>
      </c>
      <c r="AP824" s="288">
        <f>IFERROR(Y824*AI824/Y830,)</f>
        <v>0</v>
      </c>
      <c r="AQ824" s="197" t="str">
        <f>IFERROR(VLOOKUP($G824,нормы!$A$14:$BC$57,54,0)*$W824,"")</f>
        <v/>
      </c>
      <c r="AR824" s="288">
        <f>IFERROR(AS824/SUM(AS824:AS829)*AL824,0)</f>
        <v>0</v>
      </c>
      <c r="AS824" s="197" t="str">
        <f>IFERROR(VLOOKUP($G824,нормы!$A$14:$BC$57,55,0)*W824,"")</f>
        <v/>
      </c>
      <c r="AT824" s="288">
        <f>IFERROR(AU824/SUM(AU824:AU829)*AM824,0)</f>
        <v>0</v>
      </c>
      <c r="AU824" s="197" t="str">
        <f>IFERROR(VLOOKUP($G824,нормы!$A$14:$BI$57,56,0)*W824,"")</f>
        <v/>
      </c>
      <c r="AV824" s="288">
        <f>IFERROR(AW824/SUM(AW824:AW829)*AK824,0)</f>
        <v>0</v>
      </c>
      <c r="AW824" s="202" t="str">
        <f>IFERROR(VLOOKUP($G824,нормы!$A$14:$BI$57,57,0)*W824,"")</f>
        <v/>
      </c>
      <c r="AX824" s="33"/>
      <c r="AY824" s="203" t="str">
        <f>IFERROR(VLOOKUP($G824,нормы!$A$14:$BI$57,58,0)*W824,"")</f>
        <v/>
      </c>
      <c r="AZ824" s="204"/>
      <c r="BA824" s="200" t="str">
        <f>IFERROR(VLOOKUP($G824,нормы!$A$14:$BI$57,61,0)*$W824,"")</f>
        <v/>
      </c>
      <c r="BB824" s="33"/>
      <c r="BC824" s="203" t="str">
        <f>IFERROR(VLOOKUP($G824,нормы!$A$14:$BI$57,60,0)*W824,"")</f>
        <v/>
      </c>
      <c r="BD824" s="200" t="str">
        <f>IFERROR(VLOOKUP($G824,нормы!$A$14:$BG$57,44,0),"")</f>
        <v/>
      </c>
      <c r="BE824" s="199" t="str">
        <f>IFERROR(W824/VLOOKUP($G824,нормы!$A$14:$BI$57,45,0),"")</f>
        <v/>
      </c>
    </row>
    <row r="825" spans="1:57" s="1" customFormat="1" ht="21.6" customHeight="1" x14ac:dyDescent="0.4">
      <c r="A825" s="37" t="str">
        <f t="shared" si="326"/>
        <v>14Д</v>
      </c>
      <c r="B825" s="12">
        <f t="shared" ref="B825:D829" si="329">B824</f>
        <v>46036</v>
      </c>
      <c r="C825" s="97">
        <f t="shared" si="329"/>
        <v>0</v>
      </c>
      <c r="D825" s="97">
        <f t="shared" si="329"/>
        <v>2</v>
      </c>
      <c r="E825" s="54"/>
      <c r="F825" s="151" t="str">
        <f>IFERROR(VLOOKUP($G825,нормы!$A$14:$BC$57,2,0),"")</f>
        <v/>
      </c>
      <c r="G825" s="93"/>
      <c r="H825" s="54">
        <f t="shared" ref="H825:H829" si="330">IF(C825=1,"Кульков С.А.", IF(C825=2,"Чудаков А.А.",IF(C825=3,"Королев В.Н.",IF(C825=4,"Николашин М.П.",IF(C825=5," Кульков С.А.",IF(C825=6,"А.А. Чудаков",IF(C825=7,"В.Н. Королев",IF(C825=8,"М.П. Николашин",0))))))))</f>
        <v>0</v>
      </c>
      <c r="I825" s="55"/>
      <c r="J825" s="333"/>
      <c r="K825" s="30">
        <f>IFERROR(VLOOKUP($G825,[1]нормы!$A$21:$BC$151,15,0),"")</f>
        <v>0</v>
      </c>
      <c r="L825" s="31">
        <f>IFERROR(VLOOKUP($G825,[1]нормы!$A$21:$BC$151,17,0),"")</f>
        <v>0</v>
      </c>
      <c r="M825" s="306">
        <f>IFERROR(VLOOKUP($G825,[1]нормы!$A$21:$BC$151,27,0),"")</f>
        <v>0</v>
      </c>
      <c r="N825" s="307" t="str">
        <f>IFERROR(Y825/Y830*(1.1*J824*I829),"")</f>
        <v/>
      </c>
      <c r="O825" s="300">
        <f>IFERROR(VLOOKUP($G825,[1]нормы!$A$21:$BC$151,21,0),"")</f>
        <v>0</v>
      </c>
      <c r="P825" s="35">
        <f>IFERROR(VLOOKUP($G825,[1]нормы!$A$21:$BC$151,19,0),"")</f>
        <v>0</v>
      </c>
      <c r="Q825" s="35">
        <f>IFERROR(VLOOKUP($G825,[1]нормы!$A$21:$BC$151,23,0),"")</f>
        <v>0</v>
      </c>
      <c r="R825" s="231">
        <f>IFERROR(VLOOKUP($G825,[1]нормы!$A$21:$BC$151,29,0),"")</f>
        <v>0</v>
      </c>
      <c r="S825" s="35">
        <f>IFERROR(VLOOKUP($G825,[1]нормы!$A$21:$BC$151,31,0),"")</f>
        <v>0</v>
      </c>
      <c r="T825" s="32">
        <f>IFERROR(VLOOKUP($G825,[1]нормы!$A$21:$BC$151,25,0),"")</f>
        <v>0</v>
      </c>
      <c r="U825" s="233" t="str">
        <f>IFERROR(W825/(((100*Y825/Y830)*I829)/100),"")</f>
        <v/>
      </c>
      <c r="V825" s="234" t="str">
        <f>IFERROR(VLOOKUP($G825,нормы!$A$14:$BC$57,38,0),"")</f>
        <v/>
      </c>
      <c r="W825" s="136"/>
      <c r="X825" s="237"/>
      <c r="Y825" s="152" t="str">
        <f>IFERROR(VLOOKUP($G825,нормы!$A$14:$BC$57,42,0)*W825,"")</f>
        <v/>
      </c>
      <c r="Z825" s="163">
        <f>IFERROR(VLOOKUP($G825,нормы!$A$14:$BC$57,14,0)*W825/1000,0)</f>
        <v>0</v>
      </c>
      <c r="AA825" s="142"/>
      <c r="AB825" s="35"/>
      <c r="AC825" s="35"/>
      <c r="AD825" s="35"/>
      <c r="AE825" s="31"/>
      <c r="AF825" s="160"/>
      <c r="AG825" s="391"/>
      <c r="AH825" s="394"/>
      <c r="AI825" s="397"/>
      <c r="AJ825" s="408"/>
      <c r="AK825" s="360"/>
      <c r="AL825" s="360"/>
      <c r="AM825" s="360"/>
      <c r="AN825" s="289">
        <f>IFERROR(Y825*AJ824/Y830,)</f>
        <v>0</v>
      </c>
      <c r="AO825" s="197" t="str">
        <f>IFERROR(VLOOKUP($G825,нормы!$A$14:$BC$57,53,0)*$W825,"")</f>
        <v/>
      </c>
      <c r="AP825" s="290">
        <f>IFERROR(Y825*AI824/Y830,)</f>
        <v>0</v>
      </c>
      <c r="AQ825" s="197" t="str">
        <f>IFERROR(VLOOKUP($G825,нормы!$A$14:$BC$57,54,0)*$W825,"")</f>
        <v/>
      </c>
      <c r="AR825" s="290">
        <f>IFERROR(AS825/SUM(AS824:AS829)*AL824,0)</f>
        <v>0</v>
      </c>
      <c r="AS825" s="197" t="str">
        <f>IFERROR(VLOOKUP($G825,нормы!$A$14:$BC$57,55,0)*W825,"")</f>
        <v/>
      </c>
      <c r="AT825" s="290">
        <f>IFERROR(AU825/SUM(AU824:AU829)*AM824,0)</f>
        <v>0</v>
      </c>
      <c r="AU825" s="197" t="str">
        <f>IFERROR(VLOOKUP($G825,нормы!$A$14:$BI$57,56,0)*W825,"")</f>
        <v/>
      </c>
      <c r="AV825" s="290">
        <f>IFERROR(AW825/SUM(AW824:AW829)*AK824,0)</f>
        <v>0</v>
      </c>
      <c r="AW825" s="202" t="str">
        <f>IFERROR(VLOOKUP($G825,нормы!$A$14:$BI$57,57,0)*W825,"")</f>
        <v/>
      </c>
      <c r="AX825" s="30"/>
      <c r="AY825" s="203" t="str">
        <f>IFERROR(VLOOKUP($G825,нормы!$A$14:$BI$57,58,0)*W825,"")</f>
        <v/>
      </c>
      <c r="AZ825" s="205"/>
      <c r="BA825" s="200" t="str">
        <f>IFERROR(VLOOKUP($G825,нормы!$A$14:$BI$57,61,0)*$W825,"")</f>
        <v/>
      </c>
      <c r="BB825" s="30"/>
      <c r="BC825" s="203" t="str">
        <f>IFERROR(VLOOKUP($G825,нормы!$A$14:$BI$57,60,0)*W825,"")</f>
        <v/>
      </c>
      <c r="BD825" s="200" t="str">
        <f>IFERROR(VLOOKUP($G825,нормы!$A$14:$BG$57,44,0),"")</f>
        <v/>
      </c>
      <c r="BE825" s="199" t="str">
        <f>IFERROR(W825/VLOOKUP($G825,нормы!$A$14:$BI$57,45,0),"")</f>
        <v/>
      </c>
    </row>
    <row r="826" spans="1:57" s="1" customFormat="1" ht="20.25" customHeight="1" x14ac:dyDescent="0.4">
      <c r="A826" s="37" t="str">
        <f t="shared" si="326"/>
        <v>14Д</v>
      </c>
      <c r="B826" s="12">
        <f t="shared" si="329"/>
        <v>46036</v>
      </c>
      <c r="C826" s="97">
        <f t="shared" si="329"/>
        <v>0</v>
      </c>
      <c r="D826" s="97">
        <f t="shared" si="329"/>
        <v>2</v>
      </c>
      <c r="E826" s="54"/>
      <c r="F826" s="151" t="str">
        <f>IFERROR(VLOOKUP($G826,нормы!$A$14:$BC$57,2,0),"")</f>
        <v/>
      </c>
      <c r="G826" s="38"/>
      <c r="H826" s="54">
        <f t="shared" si="330"/>
        <v>0</v>
      </c>
      <c r="I826" s="89" t="s">
        <v>212</v>
      </c>
      <c r="J826" s="333"/>
      <c r="K826" s="30">
        <f>IFERROR(VLOOKUP($G826,[1]нормы!$A$21:$BC$151,15,0),"")</f>
        <v>0</v>
      </c>
      <c r="L826" s="31">
        <f>IFERROR(VLOOKUP($G826,[1]нормы!$A$21:$BC$151,17,0),"")</f>
        <v>0</v>
      </c>
      <c r="M826" s="306">
        <f>IFERROR(VLOOKUP($G826,[1]нормы!$A$21:$BC$151,27,0),"")</f>
        <v>0</v>
      </c>
      <c r="N826" s="307" t="str">
        <f>IFERROR(Y826/Y830*(1.1*J824*I829),"")</f>
        <v/>
      </c>
      <c r="O826" s="300">
        <f>IFERROR(VLOOKUP($G826,[1]нормы!$A$21:$BC$151,21,0),"")</f>
        <v>0</v>
      </c>
      <c r="P826" s="35">
        <f>IFERROR(VLOOKUP($G826,[1]нормы!$A$21:$BC$151,19,0),"")</f>
        <v>0</v>
      </c>
      <c r="Q826" s="35">
        <f>IFERROR(VLOOKUP($G826,[1]нормы!$A$21:$BC$151,23,0),"")</f>
        <v>0</v>
      </c>
      <c r="R826" s="231">
        <f>IFERROR(VLOOKUP($G826,[1]нормы!$A$21:$BC$151,29,0),"")</f>
        <v>0</v>
      </c>
      <c r="S826" s="35">
        <f>IFERROR(VLOOKUP($G826,[1]нормы!$A$21:$BC$151,31,0),"")</f>
        <v>0</v>
      </c>
      <c r="T826" s="32">
        <f>IFERROR(VLOOKUP($G826,[1]нормы!$A$21:$BC$151,25,0),"")</f>
        <v>0</v>
      </c>
      <c r="U826" s="233" t="str">
        <f>IFERROR(W826/(((100*Y826/Y830)*I829)/100),"")</f>
        <v/>
      </c>
      <c r="V826" s="234" t="str">
        <f>IFERROR(VLOOKUP($G826,нормы!$A$14:$BC$57,38,0),"")</f>
        <v/>
      </c>
      <c r="W826" s="136"/>
      <c r="X826" s="237"/>
      <c r="Y826" s="152" t="str">
        <f>IFERROR(VLOOKUP($G826,нормы!$A$14:$BC$57,42,0)*W826,"")</f>
        <v/>
      </c>
      <c r="Z826" s="163">
        <f>IFERROR(VLOOKUP($G826,нормы!$A$14:$BC$57,14,0)*W826/1000,0)</f>
        <v>0</v>
      </c>
      <c r="AA826" s="30"/>
      <c r="AB826" s="35"/>
      <c r="AC826" s="35"/>
      <c r="AD826" s="35"/>
      <c r="AE826" s="31"/>
      <c r="AF826" s="160"/>
      <c r="AG826" s="391"/>
      <c r="AH826" s="394"/>
      <c r="AI826" s="397"/>
      <c r="AJ826" s="408"/>
      <c r="AK826" s="360"/>
      <c r="AL826" s="360"/>
      <c r="AM826" s="360"/>
      <c r="AN826" s="289">
        <f>IFERROR(Y826*AJ824/Y830,)</f>
        <v>0</v>
      </c>
      <c r="AO826" s="197" t="str">
        <f>IFERROR(VLOOKUP($G826,нормы!$A$14:$BC$57,53,0)*$W826,"")</f>
        <v/>
      </c>
      <c r="AP826" s="290">
        <f>IFERROR(Y826*AI824/Y830,)</f>
        <v>0</v>
      </c>
      <c r="AQ826" s="197" t="str">
        <f>IFERROR(VLOOKUP($G826,нормы!$A$14:$BC$57,54,0)*$W826,"")</f>
        <v/>
      </c>
      <c r="AR826" s="290">
        <f>IFERROR(AS826/SUM(AS824:AS829)*AL824,0)</f>
        <v>0</v>
      </c>
      <c r="AS826" s="197" t="str">
        <f>IFERROR(VLOOKUP($G826,нормы!$A$14:$BC$57,55,0)*W826,"")</f>
        <v/>
      </c>
      <c r="AT826" s="290">
        <f>IFERROR(AU826/SUM(AU824:AU829)*AM824,0)</f>
        <v>0</v>
      </c>
      <c r="AU826" s="197" t="str">
        <f>IFERROR(VLOOKUP($G826,нормы!$A$14:$BI$57,56,0)*W826,"")</f>
        <v/>
      </c>
      <c r="AV826" s="290">
        <f>IFERROR(AW826/SUM(AW824:AW829)*AK824,0)</f>
        <v>0</v>
      </c>
      <c r="AW826" s="202" t="str">
        <f>IFERROR(VLOOKUP($G826,нормы!$A$14:$BI$57,57,0)*W826,"")</f>
        <v/>
      </c>
      <c r="AX826" s="30"/>
      <c r="AY826" s="203" t="str">
        <f>IFERROR(VLOOKUP($G826,нормы!$A$14:$BI$57,58,0)*W826,"")</f>
        <v/>
      </c>
      <c r="AZ826" s="205"/>
      <c r="BA826" s="200" t="str">
        <f>IFERROR(VLOOKUP($G826,нормы!$A$14:$BI$57,61,0)*$W826,"")</f>
        <v/>
      </c>
      <c r="BB826" s="30"/>
      <c r="BC826" s="203" t="str">
        <f>IFERROR(VLOOKUP($G826,нормы!$A$14:$BI$57,60,0)*W826,"")</f>
        <v/>
      </c>
      <c r="BD826" s="200" t="str">
        <f>IFERROR(VLOOKUP($G826,нормы!$A$14:$BG$57,44,0),"")</f>
        <v/>
      </c>
      <c r="BE826" s="199" t="str">
        <f>IFERROR(W826/VLOOKUP($G826,нормы!$A$14:$BI$57,45,0),"")</f>
        <v/>
      </c>
    </row>
    <row r="827" spans="1:57" s="1" customFormat="1" ht="20.25" customHeight="1" x14ac:dyDescent="0.4">
      <c r="A827" s="37" t="str">
        <f t="shared" si="326"/>
        <v>14Д</v>
      </c>
      <c r="B827" s="12">
        <f t="shared" si="329"/>
        <v>46036</v>
      </c>
      <c r="C827" s="97">
        <f t="shared" si="329"/>
        <v>0</v>
      </c>
      <c r="D827" s="97">
        <f t="shared" si="329"/>
        <v>2</v>
      </c>
      <c r="E827" s="54"/>
      <c r="F827" s="151" t="str">
        <f>IFERROR(VLOOKUP($G827,нормы!$A$14:$BC$57,2,0),"")</f>
        <v/>
      </c>
      <c r="G827" s="93"/>
      <c r="H827" s="54">
        <f t="shared" si="330"/>
        <v>0</v>
      </c>
      <c r="I827" s="55"/>
      <c r="J827" s="333"/>
      <c r="K827" s="30">
        <f>IFERROR(VLOOKUP($G827,[1]нормы!$A$21:$BC$151,15,0),"")</f>
        <v>0</v>
      </c>
      <c r="L827" s="31">
        <f>IFERROR(VLOOKUP($G827,[1]нормы!$A$21:$BC$151,17,0),"")</f>
        <v>0</v>
      </c>
      <c r="M827" s="306">
        <f>IFERROR(VLOOKUP($G827,[1]нормы!$A$21:$BC$151,27,0),"")</f>
        <v>0</v>
      </c>
      <c r="N827" s="307" t="str">
        <f>IFERROR(Y827/Y830*(1.1*J824*I832),"")</f>
        <v/>
      </c>
      <c r="O827" s="300">
        <f>IFERROR(VLOOKUP($G827,[1]нормы!$A$21:$BC$151,21,0),"")</f>
        <v>0</v>
      </c>
      <c r="P827" s="35">
        <f>IFERROR(VLOOKUP($G827,[1]нормы!$A$21:$BC$151,19,0),"")</f>
        <v>0</v>
      </c>
      <c r="Q827" s="35">
        <f>IFERROR(VLOOKUP($G827,[1]нормы!$A$21:$BC$151,23,0),"")</f>
        <v>0</v>
      </c>
      <c r="R827" s="231">
        <f>IFERROR(VLOOKUP($G827,[1]нормы!$A$21:$BC$151,29,0),"")</f>
        <v>0</v>
      </c>
      <c r="S827" s="35">
        <f>IFERROR(VLOOKUP($G827,[1]нормы!$A$21:$BC$151,31,0),"")</f>
        <v>0</v>
      </c>
      <c r="T827" s="32">
        <f>IFERROR(VLOOKUP($G827,[1]нормы!$A$21:$BC$151,25,0),"")</f>
        <v>0</v>
      </c>
      <c r="U827" s="233" t="str">
        <f>IFERROR(W827/(((100*Y827/Y830)*I829)/100),"")</f>
        <v/>
      </c>
      <c r="V827" s="234" t="str">
        <f>IFERROR(VLOOKUP($G827,нормы!$A$14:$BC$57,38,0),"")</f>
        <v/>
      </c>
      <c r="W827" s="136"/>
      <c r="X827" s="237"/>
      <c r="Y827" s="152" t="str">
        <f>IFERROR(VLOOKUP($G827,нормы!$A$14:$BC$57,42,0)*W827,"")</f>
        <v/>
      </c>
      <c r="Z827" s="163">
        <f>IFERROR(VLOOKUP($G827,нормы!$A$14:$BC$57,14,0)*W827/1000,0)</f>
        <v>0</v>
      </c>
      <c r="AA827" s="30"/>
      <c r="AB827" s="35"/>
      <c r="AC827" s="35"/>
      <c r="AD827" s="35"/>
      <c r="AE827" s="31"/>
      <c r="AF827" s="160"/>
      <c r="AG827" s="391"/>
      <c r="AH827" s="394"/>
      <c r="AI827" s="397"/>
      <c r="AJ827" s="408"/>
      <c r="AK827" s="360"/>
      <c r="AL827" s="360"/>
      <c r="AM827" s="360"/>
      <c r="AN827" s="289">
        <f>IFERROR(Y827*AJ824/Y830,)</f>
        <v>0</v>
      </c>
      <c r="AO827" s="197" t="str">
        <f>IFERROR(VLOOKUP($G827,нормы!$A$14:$BC$57,53,0)*$W827,"")</f>
        <v/>
      </c>
      <c r="AP827" s="290">
        <f>IFERROR(Y827*AI824/Y830,)</f>
        <v>0</v>
      </c>
      <c r="AQ827" s="197" t="str">
        <f>IFERROR(VLOOKUP($G827,нормы!$A$14:$BC$57,54,0)*$W827,"")</f>
        <v/>
      </c>
      <c r="AR827" s="290">
        <f>IFERROR(AS827/SUM(AS824:AS829)*AL824,0)</f>
        <v>0</v>
      </c>
      <c r="AS827" s="197" t="str">
        <f>IFERROR(VLOOKUP($G827,нормы!$A$14:$BC$57,55,0)*W827,"")</f>
        <v/>
      </c>
      <c r="AT827" s="290">
        <f>IFERROR(AU827/SUM(AU824:AU829)*AM824,0)</f>
        <v>0</v>
      </c>
      <c r="AU827" s="197" t="str">
        <f>IFERROR(VLOOKUP($G827,нормы!$A$14:$BI$57,56,0)*W827,"")</f>
        <v/>
      </c>
      <c r="AV827" s="290">
        <f>IFERROR(AW827/SUM(AW824:AW829)*AK824,0)</f>
        <v>0</v>
      </c>
      <c r="AW827" s="202" t="str">
        <f>IFERROR(VLOOKUP($G827,нормы!$A$14:$BI$57,57,0)*W827,"")</f>
        <v/>
      </c>
      <c r="AX827" s="30"/>
      <c r="AY827" s="203" t="str">
        <f>IFERROR(VLOOKUP($G827,нормы!$A$14:$BI$57,58,0)*W827,"")</f>
        <v/>
      </c>
      <c r="AZ827" s="205"/>
      <c r="BA827" s="200" t="str">
        <f>IFERROR(VLOOKUP($G827,нормы!$A$14:$BI$57,61,0)*$W827,"")</f>
        <v/>
      </c>
      <c r="BB827" s="30"/>
      <c r="BC827" s="203" t="str">
        <f>IFERROR(VLOOKUP($G827,нормы!$A$14:$BI$57,60,0)*W827,"")</f>
        <v/>
      </c>
      <c r="BD827" s="200" t="str">
        <f>IFERROR(VLOOKUP($G827,нормы!$A$14:$BG$57,44,0),"")</f>
        <v/>
      </c>
      <c r="BE827" s="199" t="str">
        <f>IFERROR(W827/VLOOKUP($G827,нормы!$A$14:$BI$57,45,0),"")</f>
        <v/>
      </c>
    </row>
    <row r="828" spans="1:57" s="1" customFormat="1" ht="20.25" customHeight="1" x14ac:dyDescent="0.4">
      <c r="A828" s="37" t="str">
        <f t="shared" si="326"/>
        <v>14Д</v>
      </c>
      <c r="B828" s="12">
        <f t="shared" si="329"/>
        <v>46036</v>
      </c>
      <c r="C828" s="97">
        <f t="shared" si="329"/>
        <v>0</v>
      </c>
      <c r="D828" s="97">
        <f t="shared" si="329"/>
        <v>2</v>
      </c>
      <c r="E828" s="54"/>
      <c r="F828" s="151" t="str">
        <f>IFERROR(VLOOKUP($G828,нормы!$A$14:$BC$57,2,0),"")</f>
        <v/>
      </c>
      <c r="G828" s="38"/>
      <c r="H828" s="54">
        <f t="shared" si="330"/>
        <v>0</v>
      </c>
      <c r="I828" s="89" t="s">
        <v>73</v>
      </c>
      <c r="J828" s="333"/>
      <c r="K828" s="30">
        <f>IFERROR(VLOOKUP($G828,[1]нормы!$A$21:$BC$151,15,0),"")</f>
        <v>0</v>
      </c>
      <c r="L828" s="31">
        <f>IFERROR(VLOOKUP($G828,[1]нормы!$A$21:$BC$151,17,0),"")</f>
        <v>0</v>
      </c>
      <c r="M828" s="306">
        <f>IFERROR(VLOOKUP($G828,[1]нормы!$A$21:$BC$151,27,0),"")</f>
        <v>0</v>
      </c>
      <c r="N828" s="307" t="str">
        <f>IFERROR(Y828/Y830*(1.1*J824*I833),"")</f>
        <v/>
      </c>
      <c r="O828" s="300">
        <f>IFERROR(VLOOKUP($G828,[1]нормы!$A$21:$BC$151,21,0),"")</f>
        <v>0</v>
      </c>
      <c r="P828" s="35">
        <f>IFERROR(VLOOKUP($G828,[1]нормы!$A$21:$BC$151,19,0),"")</f>
        <v>0</v>
      </c>
      <c r="Q828" s="35">
        <f>IFERROR(VLOOKUP($G828,[1]нормы!$A$21:$BC$151,23,0),"")</f>
        <v>0</v>
      </c>
      <c r="R828" s="231">
        <f>IFERROR(VLOOKUP($G828,[1]нормы!$A$21:$BC$151,29,0),"")</f>
        <v>0</v>
      </c>
      <c r="S828" s="35">
        <f>IFERROR(VLOOKUP($G828,[1]нормы!$A$21:$BC$151,31,0),"")</f>
        <v>0</v>
      </c>
      <c r="T828" s="32">
        <f>IFERROR(VLOOKUP($G828,[1]нормы!$A$21:$BC$151,25,0),"")</f>
        <v>0</v>
      </c>
      <c r="U828" s="233" t="str">
        <f>IFERROR(W828/(((100*Y828/Y830)*I829)/100),"")</f>
        <v/>
      </c>
      <c r="V828" s="234" t="str">
        <f>IFERROR(VLOOKUP($G828,нормы!$A$14:$BC$57,38,0),"")</f>
        <v/>
      </c>
      <c r="W828" s="136"/>
      <c r="X828" s="237"/>
      <c r="Y828" s="152" t="str">
        <f>IFERROR(VLOOKUP($G828,нормы!$A$14:$BC$57,42,0)*W828,"")</f>
        <v/>
      </c>
      <c r="Z828" s="163">
        <f>IFERROR(VLOOKUP($G828,нормы!$A$14:$BC$57,14,0)*W828/1000,0)</f>
        <v>0</v>
      </c>
      <c r="AA828" s="30"/>
      <c r="AB828" s="35"/>
      <c r="AC828" s="35"/>
      <c r="AD828" s="35"/>
      <c r="AE828" s="31"/>
      <c r="AF828" s="160"/>
      <c r="AG828" s="391"/>
      <c r="AH828" s="394"/>
      <c r="AI828" s="397"/>
      <c r="AJ828" s="408"/>
      <c r="AK828" s="360"/>
      <c r="AL828" s="360"/>
      <c r="AM828" s="360"/>
      <c r="AN828" s="289">
        <f>IFERROR(Y828*AJ824/Y830,)</f>
        <v>0</v>
      </c>
      <c r="AO828" s="197" t="str">
        <f>IFERROR(VLOOKUP($G828,нормы!$A$14:$BC$57,53,0)*$W828,"")</f>
        <v/>
      </c>
      <c r="AP828" s="290">
        <f>IFERROR(Y828*AI824/Y830,)</f>
        <v>0</v>
      </c>
      <c r="AQ828" s="197" t="str">
        <f>IFERROR(VLOOKUP($G828,нормы!$A$14:$BC$57,54,0)*$W828,"")</f>
        <v/>
      </c>
      <c r="AR828" s="290">
        <f>IFERROR(AS828/SUM(AS824:AS829)*AL824,0)</f>
        <v>0</v>
      </c>
      <c r="AS828" s="197" t="str">
        <f>IFERROR(VLOOKUP($G828,нормы!$A$14:$BC$57,55,0)*W828,"")</f>
        <v/>
      </c>
      <c r="AT828" s="290">
        <f>IFERROR(AU828/SUM(AU824:AU829)*AM824,0)</f>
        <v>0</v>
      </c>
      <c r="AU828" s="197" t="str">
        <f>IFERROR(VLOOKUP($G828,нормы!$A$14:$BI$57,56,0)*W828,"")</f>
        <v/>
      </c>
      <c r="AV828" s="290">
        <f>IFERROR(AW828/SUM(AW824:AW829)*AK824,0)</f>
        <v>0</v>
      </c>
      <c r="AW828" s="202" t="str">
        <f>IFERROR(VLOOKUP($G828,нормы!$A$14:$BI$57,57,0)*W828,"")</f>
        <v/>
      </c>
      <c r="AX828" s="30"/>
      <c r="AY828" s="203" t="str">
        <f>IFERROR(VLOOKUP($G828,нормы!$A$14:$BI$57,58,0)*W828,"")</f>
        <v/>
      </c>
      <c r="AZ828" s="205"/>
      <c r="BA828" s="200" t="str">
        <f>IFERROR(VLOOKUP($G828,нормы!$A$14:$BI$57,61,0)*$W828,"")</f>
        <v/>
      </c>
      <c r="BB828" s="30"/>
      <c r="BC828" s="203" t="str">
        <f>IFERROR(VLOOKUP($G828,нормы!$A$14:$BI$57,60,0)*W828,"")</f>
        <v/>
      </c>
      <c r="BD828" s="200" t="str">
        <f>IFERROR(VLOOKUP($G828,нормы!$A$14:$BG$57,44,0),"")</f>
        <v/>
      </c>
      <c r="BE828" s="199" t="str">
        <f>IFERROR(W828/VLOOKUP($G828,нормы!$A$14:$BI$57,45,0),"")</f>
        <v/>
      </c>
    </row>
    <row r="829" spans="1:57" s="1" customFormat="1" ht="21" customHeight="1" thickBot="1" x14ac:dyDescent="0.45">
      <c r="A829" s="37" t="str">
        <f t="shared" si="326"/>
        <v>14Д</v>
      </c>
      <c r="B829" s="12">
        <f t="shared" si="329"/>
        <v>46036</v>
      </c>
      <c r="C829" s="97">
        <f t="shared" si="329"/>
        <v>0</v>
      </c>
      <c r="D829" s="97">
        <f t="shared" si="329"/>
        <v>2</v>
      </c>
      <c r="E829" s="54"/>
      <c r="F829" s="151" t="str">
        <f>IFERROR(VLOOKUP($G829,нормы!$A$14:$BC$57,2,0),"")</f>
        <v/>
      </c>
      <c r="G829" s="93"/>
      <c r="H829" s="63">
        <f t="shared" si="330"/>
        <v>0</v>
      </c>
      <c r="I829" s="153">
        <f>I825+I827</f>
        <v>0</v>
      </c>
      <c r="J829" s="334"/>
      <c r="K829" s="30">
        <f>IFERROR(VLOOKUP($G829,[1]нормы!$A$21:$BC$151,15,0),"")</f>
        <v>0</v>
      </c>
      <c r="L829" s="31">
        <f>IFERROR(VLOOKUP($G829,[1]нормы!$A$21:$BC$151,17,0),"")</f>
        <v>0</v>
      </c>
      <c r="M829" s="308">
        <f>IFERROR(VLOOKUP($G829,[1]нормы!$A$21:$BC$151,27,0),"")</f>
        <v>0</v>
      </c>
      <c r="N829" s="309" t="str">
        <f>IFERROR(Y829/Y830*(1.1*J824*I834),"")</f>
        <v/>
      </c>
      <c r="O829" s="300">
        <f>IFERROR(VLOOKUP($G829,[1]нормы!$A$21:$BC$151,21,0),"")</f>
        <v>0</v>
      </c>
      <c r="P829" s="35">
        <f>IFERROR(VLOOKUP($G829,[1]нормы!$A$21:$BC$151,19,0),"")</f>
        <v>0</v>
      </c>
      <c r="Q829" s="35">
        <f>IFERROR(VLOOKUP($G829,[1]нормы!$A$21:$BC$151,23,0),"")</f>
        <v>0</v>
      </c>
      <c r="R829" s="231">
        <f>IFERROR(VLOOKUP($G829,[1]нормы!$A$21:$BC$151,29,0),"")</f>
        <v>0</v>
      </c>
      <c r="S829" s="35">
        <f>IFERROR(VLOOKUP($G829,[1]нормы!$A$21:$BC$151,31,0),"")</f>
        <v>0</v>
      </c>
      <c r="T829" s="32">
        <f>IFERROR(VLOOKUP($G829,[1]нормы!$A$21:$BC$151,25,0),"")</f>
        <v>0</v>
      </c>
      <c r="U829" s="235" t="str">
        <f>IFERROR(W829/(((100*Y829/Y830)*I829)/100),"")</f>
        <v/>
      </c>
      <c r="V829" s="234" t="str">
        <f>IFERROR(VLOOKUP($G829,нормы!$A$14:$BC$57,38,0),"")</f>
        <v/>
      </c>
      <c r="W829" s="154"/>
      <c r="X829" s="238"/>
      <c r="Y829" s="152" t="str">
        <f>IFERROR(VLOOKUP($G829,нормы!$A$14:$BC$57,42,0)*W829,"")</f>
        <v/>
      </c>
      <c r="Z829" s="163">
        <f>IFERROR(VLOOKUP($G829,нормы!$A$14:$BC$57,14,0)*W829/1000,0)</f>
        <v>0</v>
      </c>
      <c r="AA829" s="56"/>
      <c r="AB829" s="58"/>
      <c r="AC829" s="58"/>
      <c r="AD829" s="58"/>
      <c r="AE829" s="57"/>
      <c r="AF829" s="161"/>
      <c r="AG829" s="392"/>
      <c r="AH829" s="395"/>
      <c r="AI829" s="398"/>
      <c r="AJ829" s="409"/>
      <c r="AK829" s="361"/>
      <c r="AL829" s="361"/>
      <c r="AM829" s="361"/>
      <c r="AN829" s="291">
        <f>IFERROR(Y829*AJ824/Y830,)</f>
        <v>0</v>
      </c>
      <c r="AO829" s="197" t="str">
        <f>IFERROR(VLOOKUP($G829,нормы!$A$14:$BC$57,53,0)*$W829,"")</f>
        <v/>
      </c>
      <c r="AP829" s="292">
        <f>IFERROR(Y829*AI824/Y830,)</f>
        <v>0</v>
      </c>
      <c r="AQ829" s="197" t="str">
        <f>IFERROR(VLOOKUP($G829,нормы!$A$14:$BC$57,54,0)*$W829,"")</f>
        <v/>
      </c>
      <c r="AR829" s="290">
        <f>IFERROR(AS829/SUM(AS824:AS829)*AL824,0)</f>
        <v>0</v>
      </c>
      <c r="AS829" s="197" t="str">
        <f>IFERROR(VLOOKUP($G829,нормы!$A$14:$BC$57,55,0)*W829,"")</f>
        <v/>
      </c>
      <c r="AT829" s="292">
        <f>IFERROR(AU829/SUM(AU824:AU829)*AM824,0)</f>
        <v>0</v>
      </c>
      <c r="AU829" s="197" t="str">
        <f>IFERROR(VLOOKUP($G829,нормы!$A$14:$BI$57,56,0)*W829,"")</f>
        <v/>
      </c>
      <c r="AV829" s="292">
        <f>IFERROR(AW829/SUM(AW824:AW829)*AK824,0)</f>
        <v>0</v>
      </c>
      <c r="AW829" s="202" t="str">
        <f>IFERROR(VLOOKUP($G829,нормы!$A$14:$BI$57,57,0)*W829,"")</f>
        <v/>
      </c>
      <c r="AX829" s="56"/>
      <c r="AY829" s="203" t="str">
        <f>IFERROR(VLOOKUP($G829,нормы!$A$14:$BI$57,58,0)*W829,"")</f>
        <v/>
      </c>
      <c r="AZ829" s="206"/>
      <c r="BA829" s="200" t="str">
        <f>IFERROR(VLOOKUP($G829,нормы!$A$14:$BI$57,61,0)*$W829,"")</f>
        <v/>
      </c>
      <c r="BB829" s="56"/>
      <c r="BC829" s="203" t="str">
        <f>IFERROR(VLOOKUP($G829,нормы!$A$14:$BI$57,60,0)*W829,"")</f>
        <v/>
      </c>
      <c r="BD829" s="200" t="str">
        <f>IFERROR(VLOOKUP($G829,нормы!$A$14:$BG$57,44,0),"")</f>
        <v/>
      </c>
      <c r="BE829" s="199" t="str">
        <f>IFERROR(W829/VLOOKUP($G829,нормы!$A$14:$BI$57,45,0),"")</f>
        <v/>
      </c>
    </row>
    <row r="830" spans="1:57" s="1" customFormat="1" ht="29.4" customHeight="1" thickBot="1" x14ac:dyDescent="0.45">
      <c r="A830" s="37" t="str">
        <f t="shared" si="326"/>
        <v>14Д</v>
      </c>
      <c r="B830" s="59"/>
      <c r="C830" s="51"/>
      <c r="D830" s="51"/>
      <c r="E830" s="51"/>
      <c r="F830" s="51"/>
      <c r="G830" s="51"/>
      <c r="H830" s="51"/>
      <c r="I830" s="60"/>
      <c r="J830" s="60"/>
      <c r="K830" s="319" t="s">
        <v>213</v>
      </c>
      <c r="L830" s="316"/>
      <c r="M830" s="303" t="s">
        <v>213</v>
      </c>
      <c r="N830" s="317">
        <f>SUM(N824:N829)</f>
        <v>0</v>
      </c>
      <c r="O830" s="304" t="s">
        <v>217</v>
      </c>
      <c r="P830" s="318">
        <f>N830*8.937/1000</f>
        <v>0</v>
      </c>
      <c r="Q830" s="305" t="s">
        <v>215</v>
      </c>
      <c r="R830" s="61"/>
      <c r="S830" s="61"/>
      <c r="T830" s="61"/>
      <c r="U830" s="109"/>
      <c r="V830" s="109"/>
      <c r="W830" s="94"/>
      <c r="X830" s="155"/>
      <c r="Y830" s="96">
        <f>SUM(Y824:Y829)</f>
        <v>0</v>
      </c>
      <c r="Z830" s="164">
        <f>SUM(Z824:Z829)</f>
        <v>0</v>
      </c>
      <c r="AA830" s="207">
        <f>(AA816+AA817+AA818+AA819+AA820+AA821+AA822+AA824+AA825+AA826+AA827+AA828+AA829)-AG817</f>
        <v>1</v>
      </c>
      <c r="AB830" s="208">
        <f>(AB816+AB817+AB818+AB819+AB820+AB821+AB822+AB824+AB825+AB826+AB827+AB828+AB829)-AH817</f>
        <v>2</v>
      </c>
      <c r="AC830" s="208">
        <f>(AC816+AC817+AC818+AC819+AC820+AC821+AC822+AC824+AC825+AC826+AC827+AC828+AC829)-AG824</f>
        <v>3</v>
      </c>
      <c r="AD830" s="208">
        <f>(AD816+AD817+AD818+AD819+AD820+AD821+AD822+AD824+AD825+AD826+AD827+AD828+AD829)-AH824</f>
        <v>4</v>
      </c>
      <c r="AE830" s="208">
        <f>(AE816+AE817+AE818+AE819+AE820+AE821+AE822+AE824+AE825+AE826+AE827+AE828+AE829)-AI817</f>
        <v>5</v>
      </c>
      <c r="AF830" s="209">
        <f>(AF816+AF817+AF818+AF819+AF820+AF821+AF822+AF824+AF825+AF826+AF827+AF828+AF829)-AI824</f>
        <v>6</v>
      </c>
      <c r="AG830" s="62"/>
      <c r="AH830" s="62"/>
      <c r="AI830" s="62"/>
      <c r="AJ830" s="62"/>
      <c r="AK830" s="62"/>
      <c r="AL830" s="62"/>
      <c r="AM830" s="62"/>
      <c r="AN830" s="91">
        <f>SUM(AN824:AN829)</f>
        <v>0</v>
      </c>
      <c r="AO830" s="91">
        <f>SUM(AO824:AO829)</f>
        <v>0</v>
      </c>
      <c r="AP830" s="91"/>
      <c r="AQ830" s="91"/>
      <c r="AR830" s="91">
        <f>SUM(AR824:AR829)</f>
        <v>0</v>
      </c>
      <c r="AS830" s="91">
        <f t="shared" ref="AS830:AW830" si="331">SUM(AS824:AS829)</f>
        <v>0</v>
      </c>
      <c r="AT830" s="91">
        <f t="shared" si="331"/>
        <v>0</v>
      </c>
      <c r="AU830" s="91">
        <f t="shared" si="331"/>
        <v>0</v>
      </c>
      <c r="AV830" s="91">
        <f t="shared" si="331"/>
        <v>0</v>
      </c>
      <c r="AW830" s="91">
        <f t="shared" si="331"/>
        <v>0</v>
      </c>
      <c r="AX830" s="91">
        <f>SUM(AX824:AX829)</f>
        <v>0</v>
      </c>
      <c r="AY830" s="91">
        <f>SUM(AY824:AY829)</f>
        <v>0</v>
      </c>
      <c r="AZ830" s="91">
        <f>SUM(AZ824:AZ829)</f>
        <v>0</v>
      </c>
      <c r="BA830" s="91"/>
      <c r="BB830" s="91"/>
      <c r="BC830" s="91"/>
      <c r="BD830" s="91" t="str">
        <f>IFERROR(VLOOKUP($G830,нормы!$A$14:$BG$15,27,0),"")</f>
        <v/>
      </c>
      <c r="BE830" s="53" t="str">
        <f>IFERROR(W830/VLOOKUP($G830,нормы!$A$14:$BI$15,28,0),"")</f>
        <v/>
      </c>
    </row>
    <row r="831" spans="1:57" s="1" customFormat="1" ht="29.4" customHeight="1" thickBot="1" x14ac:dyDescent="0.5">
      <c r="A831" s="37" t="str">
        <f t="shared" si="326"/>
        <v>14Д</v>
      </c>
      <c r="B831" s="166" t="s">
        <v>130</v>
      </c>
      <c r="C831" s="167"/>
      <c r="D831" s="167"/>
      <c r="E831" s="167"/>
      <c r="F831" s="165"/>
      <c r="G831" s="167"/>
      <c r="H831" s="167"/>
      <c r="I831" s="168"/>
      <c r="J831" s="168"/>
      <c r="K831" s="168"/>
      <c r="L831" s="168"/>
      <c r="M831" s="168"/>
      <c r="N831" s="168"/>
      <c r="O831" s="167"/>
      <c r="P831" s="169"/>
      <c r="Q831" s="169"/>
      <c r="R831" s="169"/>
      <c r="S831" s="169"/>
      <c r="T831" s="169"/>
      <c r="U831" s="170"/>
      <c r="V831" s="170"/>
      <c r="W831" s="171"/>
      <c r="X831" s="171"/>
      <c r="Y831" s="172"/>
      <c r="Z831" s="172"/>
      <c r="AA831" s="201" t="s">
        <v>144</v>
      </c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64"/>
      <c r="AN831" s="167"/>
      <c r="AO831" s="167"/>
      <c r="AP831" s="167"/>
      <c r="AQ831" s="167"/>
      <c r="AR831" s="64"/>
      <c r="AS831" s="64"/>
      <c r="AT831" s="65"/>
      <c r="AU831" s="64"/>
      <c r="AV831" s="49"/>
      <c r="AW831" s="49"/>
      <c r="AX831" s="167"/>
      <c r="AY831" s="167"/>
      <c r="AZ831" s="167"/>
      <c r="BA831" s="167"/>
      <c r="BB831" s="167"/>
      <c r="BC831" s="167"/>
      <c r="BD831" s="66"/>
      <c r="BE831" s="66"/>
    </row>
    <row r="832" spans="1:57" s="1" customFormat="1" ht="23.25" customHeight="1" x14ac:dyDescent="0.4">
      <c r="A832" s="37" t="str">
        <f t="shared" si="326"/>
        <v>14Д</v>
      </c>
      <c r="B832" s="183"/>
      <c r="C832" s="100"/>
      <c r="D832" s="185"/>
      <c r="E832" s="186" t="s">
        <v>57</v>
      </c>
      <c r="F832" s="66" t="s">
        <v>87</v>
      </c>
      <c r="G832" s="66"/>
      <c r="H832" s="108" t="s">
        <v>131</v>
      </c>
      <c r="I832" s="101"/>
      <c r="J832" s="101"/>
      <c r="K832" s="101"/>
      <c r="L832" s="101"/>
      <c r="M832" s="101"/>
      <c r="N832" s="101"/>
      <c r="O832" s="67"/>
      <c r="P832" s="102"/>
      <c r="Q832" s="102"/>
      <c r="R832" s="102"/>
      <c r="S832" s="102"/>
      <c r="T832" s="102"/>
      <c r="U832" s="67"/>
      <c r="V832" s="67"/>
      <c r="W832" s="103"/>
      <c r="X832" s="187"/>
      <c r="Y832" s="68" t="s">
        <v>74</v>
      </c>
      <c r="Z832" s="69"/>
      <c r="AA832" s="90"/>
      <c r="AB832" s="100"/>
      <c r="AC832" s="100"/>
      <c r="AD832" s="186" t="s">
        <v>57</v>
      </c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190"/>
      <c r="AU832" s="66"/>
      <c r="AV832" s="165"/>
      <c r="AW832" s="293"/>
      <c r="AX832" s="66"/>
      <c r="AY832" s="66"/>
      <c r="AZ832" s="66"/>
      <c r="BA832" s="66"/>
      <c r="BB832" s="66"/>
      <c r="BC832" s="66"/>
      <c r="BD832" s="68" t="s">
        <v>74</v>
      </c>
      <c r="BE832" s="69"/>
    </row>
    <row r="833" spans="1:57" s="1" customFormat="1" ht="23.25" customHeight="1" thickBot="1" x14ac:dyDescent="0.45">
      <c r="A833" s="37" t="str">
        <f t="shared" si="326"/>
        <v>14Д</v>
      </c>
      <c r="B833" s="183"/>
      <c r="C833" s="41"/>
      <c r="D833" s="184"/>
      <c r="E833" s="50"/>
      <c r="F833" s="70"/>
      <c r="G833" s="70"/>
      <c r="H833" s="70"/>
      <c r="I833" s="104"/>
      <c r="J833" s="104"/>
      <c r="K833" s="104"/>
      <c r="L833" s="104"/>
      <c r="M833" s="104"/>
      <c r="N833" s="104"/>
      <c r="O833" s="71"/>
      <c r="P833" s="105"/>
      <c r="Q833" s="105"/>
      <c r="R833" s="105"/>
      <c r="S833" s="105"/>
      <c r="T833" s="105"/>
      <c r="U833" s="71"/>
      <c r="V833" s="71"/>
      <c r="W833" s="106"/>
      <c r="X833" s="188"/>
      <c r="Y833" s="72"/>
      <c r="Z833" s="73"/>
      <c r="AA833" s="90"/>
      <c r="AB833" s="41"/>
      <c r="AC833" s="41"/>
      <c r="AD833" s="50"/>
      <c r="AE833" s="47"/>
      <c r="AF833" s="47"/>
      <c r="AG833" s="47"/>
      <c r="AH833" s="47"/>
      <c r="AI833" s="47"/>
      <c r="AJ833" s="47"/>
      <c r="AK833" s="47"/>
      <c r="AL833" s="47"/>
      <c r="AM833" s="70"/>
      <c r="AN833" s="47"/>
      <c r="AO833" s="70"/>
      <c r="AP833" s="70"/>
      <c r="AQ833" s="70"/>
      <c r="AR833" s="70"/>
      <c r="AS833" s="70"/>
      <c r="AT833" s="191"/>
      <c r="AU833" s="70"/>
      <c r="AV833" s="192"/>
      <c r="AW833" s="294"/>
      <c r="AX833" s="70"/>
      <c r="AY833" s="70"/>
      <c r="AZ833" s="70"/>
      <c r="BA833" s="70"/>
      <c r="BB833" s="70"/>
      <c r="BC833" s="70"/>
      <c r="BD833" s="72"/>
      <c r="BE833" s="73"/>
    </row>
    <row r="834" spans="1:57" s="1" customFormat="1" ht="45.75" customHeight="1" x14ac:dyDescent="0.4">
      <c r="A834" s="37" t="str">
        <f t="shared" si="326"/>
        <v>14Д</v>
      </c>
      <c r="B834" s="183"/>
      <c r="C834" s="41"/>
      <c r="D834" s="184"/>
      <c r="E834" s="281">
        <f>B829</f>
        <v>46036</v>
      </c>
      <c r="F834" s="337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98">
        <v>1</v>
      </c>
      <c r="Y834" s="74">
        <v>1</v>
      </c>
      <c r="Z834" s="75">
        <f t="shared" ref="Z834:Z845" si="332">Y834-X834</f>
        <v>0</v>
      </c>
      <c r="AA834" s="189"/>
      <c r="AB834" s="41"/>
      <c r="AC834" s="184"/>
      <c r="AD834" s="210">
        <f>E834</f>
        <v>46036</v>
      </c>
      <c r="AE834" s="387"/>
      <c r="AF834" s="388"/>
      <c r="AG834" s="388"/>
      <c r="AH834" s="388"/>
      <c r="AI834" s="388"/>
      <c r="AJ834" s="388"/>
      <c r="AK834" s="388"/>
      <c r="AL834" s="388"/>
      <c r="AM834" s="388"/>
      <c r="AN834" s="388"/>
      <c r="AO834" s="388"/>
      <c r="AP834" s="388"/>
      <c r="AQ834" s="388"/>
      <c r="AR834" s="388"/>
      <c r="AS834" s="388"/>
      <c r="AT834" s="388"/>
      <c r="AU834" s="388"/>
      <c r="AV834" s="388"/>
      <c r="AW834" s="388"/>
      <c r="AX834" s="388"/>
      <c r="AY834" s="388"/>
      <c r="AZ834" s="388"/>
      <c r="BA834" s="388"/>
      <c r="BB834" s="389"/>
      <c r="BC834" s="98">
        <v>1</v>
      </c>
      <c r="BD834" s="74">
        <v>1</v>
      </c>
      <c r="BE834" s="75">
        <f t="shared" ref="BE834:BE845" si="333">BD834-BC834</f>
        <v>0</v>
      </c>
    </row>
    <row r="835" spans="1:57" s="1" customFormat="1" ht="25.5" customHeight="1" x14ac:dyDescent="0.4">
      <c r="A835" s="37" t="str">
        <f t="shared" si="326"/>
        <v>14Д</v>
      </c>
      <c r="B835" s="183"/>
      <c r="C835" s="41"/>
      <c r="D835" s="184"/>
      <c r="E835" s="282">
        <f>E834</f>
        <v>46036</v>
      </c>
      <c r="F835" s="335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  <c r="R835" s="336"/>
      <c r="S835" s="336"/>
      <c r="T835" s="336"/>
      <c r="U835" s="336"/>
      <c r="V835" s="336"/>
      <c r="W835" s="336"/>
      <c r="X835" s="98">
        <v>1</v>
      </c>
      <c r="Y835" s="74">
        <v>1</v>
      </c>
      <c r="Z835" s="75">
        <f t="shared" si="332"/>
        <v>0</v>
      </c>
      <c r="AA835" s="107">
        <f>AA834</f>
        <v>0</v>
      </c>
      <c r="AB835" s="41"/>
      <c r="AC835" s="184"/>
      <c r="AD835" s="212">
        <f>AD834</f>
        <v>46036</v>
      </c>
      <c r="AE835" s="387"/>
      <c r="AF835" s="388"/>
      <c r="AG835" s="388"/>
      <c r="AH835" s="388"/>
      <c r="AI835" s="388"/>
      <c r="AJ835" s="388"/>
      <c r="AK835" s="388"/>
      <c r="AL835" s="388"/>
      <c r="AM835" s="388"/>
      <c r="AN835" s="388"/>
      <c r="AO835" s="388"/>
      <c r="AP835" s="388"/>
      <c r="AQ835" s="388"/>
      <c r="AR835" s="388"/>
      <c r="AS835" s="388"/>
      <c r="AT835" s="388"/>
      <c r="AU835" s="388"/>
      <c r="AV835" s="388"/>
      <c r="AW835" s="388"/>
      <c r="AX835" s="388"/>
      <c r="AY835" s="388"/>
      <c r="AZ835" s="388"/>
      <c r="BA835" s="388"/>
      <c r="BB835" s="389"/>
      <c r="BC835" s="98">
        <v>1</v>
      </c>
      <c r="BD835" s="74">
        <v>1</v>
      </c>
      <c r="BE835" s="75">
        <f t="shared" si="333"/>
        <v>0</v>
      </c>
    </row>
    <row r="836" spans="1:57" s="1" customFormat="1" ht="28.5" customHeight="1" x14ac:dyDescent="0.4">
      <c r="A836" s="37" t="str">
        <f t="shared" si="326"/>
        <v>14Д</v>
      </c>
      <c r="B836" s="183"/>
      <c r="C836" s="41"/>
      <c r="D836" s="184"/>
      <c r="E836" s="282">
        <f t="shared" ref="E836:E845" si="334">E835</f>
        <v>46036</v>
      </c>
      <c r="F836" s="335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  <c r="R836" s="336"/>
      <c r="S836" s="336"/>
      <c r="T836" s="336"/>
      <c r="U836" s="336"/>
      <c r="V836" s="336"/>
      <c r="W836" s="336"/>
      <c r="X836" s="98">
        <v>1</v>
      </c>
      <c r="Y836" s="74">
        <v>1</v>
      </c>
      <c r="Z836" s="75">
        <f t="shared" si="332"/>
        <v>0</v>
      </c>
      <c r="AA836" s="107">
        <f>AA835</f>
        <v>0</v>
      </c>
      <c r="AB836" s="41"/>
      <c r="AC836" s="184"/>
      <c r="AD836" s="212">
        <f t="shared" ref="AD836:AD845" si="335">AD835</f>
        <v>46036</v>
      </c>
      <c r="AE836" s="387"/>
      <c r="AF836" s="388"/>
      <c r="AG836" s="388"/>
      <c r="AH836" s="388"/>
      <c r="AI836" s="388"/>
      <c r="AJ836" s="388"/>
      <c r="AK836" s="388"/>
      <c r="AL836" s="388"/>
      <c r="AM836" s="388"/>
      <c r="AN836" s="388"/>
      <c r="AO836" s="388"/>
      <c r="AP836" s="388"/>
      <c r="AQ836" s="388"/>
      <c r="AR836" s="388"/>
      <c r="AS836" s="388"/>
      <c r="AT836" s="388"/>
      <c r="AU836" s="388"/>
      <c r="AV836" s="388"/>
      <c r="AW836" s="388"/>
      <c r="AX836" s="388"/>
      <c r="AY836" s="388"/>
      <c r="AZ836" s="388"/>
      <c r="BA836" s="388"/>
      <c r="BB836" s="389"/>
      <c r="BC836" s="98">
        <v>1</v>
      </c>
      <c r="BD836" s="74">
        <v>1</v>
      </c>
      <c r="BE836" s="75">
        <f t="shared" si="333"/>
        <v>0</v>
      </c>
    </row>
    <row r="837" spans="1:57" s="1" customFormat="1" ht="30.75" customHeight="1" x14ac:dyDescent="0.4">
      <c r="A837" s="37" t="str">
        <f t="shared" si="326"/>
        <v>14Д</v>
      </c>
      <c r="B837" s="183"/>
      <c r="C837" s="41"/>
      <c r="D837" s="184"/>
      <c r="E837" s="282">
        <f t="shared" si="334"/>
        <v>46036</v>
      </c>
      <c r="F837" s="335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  <c r="R837" s="336"/>
      <c r="S837" s="336"/>
      <c r="T837" s="336"/>
      <c r="U837" s="336"/>
      <c r="V837" s="336"/>
      <c r="W837" s="336"/>
      <c r="X837" s="98">
        <v>1</v>
      </c>
      <c r="Y837" s="74">
        <v>1</v>
      </c>
      <c r="Z837" s="75">
        <f t="shared" si="332"/>
        <v>0</v>
      </c>
      <c r="AA837" s="107">
        <f t="shared" ref="AA837:AA845" si="336">AA836</f>
        <v>0</v>
      </c>
      <c r="AB837" s="41"/>
      <c r="AC837" s="184"/>
      <c r="AD837" s="212">
        <f t="shared" si="335"/>
        <v>46036</v>
      </c>
      <c r="AE837" s="387"/>
      <c r="AF837" s="388"/>
      <c r="AG837" s="388"/>
      <c r="AH837" s="388"/>
      <c r="AI837" s="388"/>
      <c r="AJ837" s="388"/>
      <c r="AK837" s="388"/>
      <c r="AL837" s="388"/>
      <c r="AM837" s="388"/>
      <c r="AN837" s="388"/>
      <c r="AO837" s="388"/>
      <c r="AP837" s="388"/>
      <c r="AQ837" s="388"/>
      <c r="AR837" s="388"/>
      <c r="AS837" s="388"/>
      <c r="AT837" s="388"/>
      <c r="AU837" s="388"/>
      <c r="AV837" s="388"/>
      <c r="AW837" s="388"/>
      <c r="AX837" s="388"/>
      <c r="AY837" s="388"/>
      <c r="AZ837" s="388"/>
      <c r="BA837" s="388"/>
      <c r="BB837" s="389"/>
      <c r="BC837" s="98">
        <v>1</v>
      </c>
      <c r="BD837" s="74">
        <v>1</v>
      </c>
      <c r="BE837" s="75">
        <f t="shared" si="333"/>
        <v>0</v>
      </c>
    </row>
    <row r="838" spans="1:57" s="1" customFormat="1" ht="27" customHeight="1" x14ac:dyDescent="0.4">
      <c r="A838" s="37" t="str">
        <f t="shared" si="326"/>
        <v>14Д</v>
      </c>
      <c r="B838" s="183"/>
      <c r="C838" s="41"/>
      <c r="D838" s="184"/>
      <c r="E838" s="282">
        <f t="shared" si="334"/>
        <v>46036</v>
      </c>
      <c r="F838" s="335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  <c r="R838" s="336"/>
      <c r="S838" s="336"/>
      <c r="T838" s="336"/>
      <c r="U838" s="336"/>
      <c r="V838" s="336"/>
      <c r="W838" s="336"/>
      <c r="X838" s="98">
        <v>1</v>
      </c>
      <c r="Y838" s="74">
        <v>1</v>
      </c>
      <c r="Z838" s="75">
        <f t="shared" si="332"/>
        <v>0</v>
      </c>
      <c r="AA838" s="107">
        <f t="shared" si="336"/>
        <v>0</v>
      </c>
      <c r="AB838" s="41"/>
      <c r="AC838" s="184"/>
      <c r="AD838" s="212">
        <f t="shared" si="335"/>
        <v>46036</v>
      </c>
      <c r="AE838" s="387"/>
      <c r="AF838" s="388"/>
      <c r="AG838" s="388"/>
      <c r="AH838" s="388"/>
      <c r="AI838" s="388"/>
      <c r="AJ838" s="388"/>
      <c r="AK838" s="388"/>
      <c r="AL838" s="388"/>
      <c r="AM838" s="388"/>
      <c r="AN838" s="388"/>
      <c r="AO838" s="388"/>
      <c r="AP838" s="388"/>
      <c r="AQ838" s="388"/>
      <c r="AR838" s="388"/>
      <c r="AS838" s="388"/>
      <c r="AT838" s="388"/>
      <c r="AU838" s="388"/>
      <c r="AV838" s="388"/>
      <c r="AW838" s="388"/>
      <c r="AX838" s="388"/>
      <c r="AY838" s="388"/>
      <c r="AZ838" s="388"/>
      <c r="BA838" s="388"/>
      <c r="BB838" s="389"/>
      <c r="BC838" s="98">
        <v>1</v>
      </c>
      <c r="BD838" s="74">
        <v>1</v>
      </c>
      <c r="BE838" s="75">
        <f t="shared" si="333"/>
        <v>0</v>
      </c>
    </row>
    <row r="839" spans="1:57" s="1" customFormat="1" ht="18" customHeight="1" x14ac:dyDescent="0.4">
      <c r="A839" s="37" t="str">
        <f t="shared" si="326"/>
        <v>14Д</v>
      </c>
      <c r="B839" s="183"/>
      <c r="C839" s="41"/>
      <c r="D839" s="184"/>
      <c r="E839" s="282">
        <f t="shared" si="334"/>
        <v>46036</v>
      </c>
      <c r="F839" s="335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  <c r="R839" s="336"/>
      <c r="S839" s="336"/>
      <c r="T839" s="336"/>
      <c r="U839" s="336"/>
      <c r="V839" s="336"/>
      <c r="W839" s="336"/>
      <c r="X839" s="98">
        <v>1</v>
      </c>
      <c r="Y839" s="74">
        <v>1</v>
      </c>
      <c r="Z839" s="75">
        <f t="shared" si="332"/>
        <v>0</v>
      </c>
      <c r="AA839" s="107">
        <f t="shared" si="336"/>
        <v>0</v>
      </c>
      <c r="AB839" s="41"/>
      <c r="AC839" s="184"/>
      <c r="AD839" s="212">
        <f t="shared" si="335"/>
        <v>46036</v>
      </c>
      <c r="AE839" s="387"/>
      <c r="AF839" s="388"/>
      <c r="AG839" s="388"/>
      <c r="AH839" s="388"/>
      <c r="AI839" s="388"/>
      <c r="AJ839" s="388"/>
      <c r="AK839" s="388"/>
      <c r="AL839" s="388"/>
      <c r="AM839" s="388"/>
      <c r="AN839" s="388"/>
      <c r="AO839" s="388"/>
      <c r="AP839" s="388"/>
      <c r="AQ839" s="388"/>
      <c r="AR839" s="388"/>
      <c r="AS839" s="388"/>
      <c r="AT839" s="388"/>
      <c r="AU839" s="388"/>
      <c r="AV839" s="388"/>
      <c r="AW839" s="388"/>
      <c r="AX839" s="388"/>
      <c r="AY839" s="388"/>
      <c r="AZ839" s="388"/>
      <c r="BA839" s="388"/>
      <c r="BB839" s="389"/>
      <c r="BC839" s="98">
        <v>1</v>
      </c>
      <c r="BD839" s="74">
        <v>1</v>
      </c>
      <c r="BE839" s="75">
        <f t="shared" si="333"/>
        <v>0</v>
      </c>
    </row>
    <row r="840" spans="1:57" s="1" customFormat="1" ht="18" customHeight="1" x14ac:dyDescent="0.4">
      <c r="A840" s="37" t="str">
        <f t="shared" si="326"/>
        <v>14Д</v>
      </c>
      <c r="B840" s="183"/>
      <c r="C840" s="41"/>
      <c r="D840" s="184"/>
      <c r="E840" s="282">
        <f t="shared" si="334"/>
        <v>46036</v>
      </c>
      <c r="F840" s="335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  <c r="R840" s="336"/>
      <c r="S840" s="336"/>
      <c r="T840" s="336"/>
      <c r="U840" s="336"/>
      <c r="V840" s="336"/>
      <c r="W840" s="336"/>
      <c r="X840" s="98">
        <v>1</v>
      </c>
      <c r="Y840" s="74">
        <v>1</v>
      </c>
      <c r="Z840" s="75">
        <f t="shared" si="332"/>
        <v>0</v>
      </c>
      <c r="AA840" s="107">
        <f t="shared" si="336"/>
        <v>0</v>
      </c>
      <c r="AB840" s="41"/>
      <c r="AC840" s="184"/>
      <c r="AD840" s="212">
        <f t="shared" si="335"/>
        <v>46036</v>
      </c>
      <c r="AE840" s="387"/>
      <c r="AF840" s="388"/>
      <c r="AG840" s="388"/>
      <c r="AH840" s="388"/>
      <c r="AI840" s="388"/>
      <c r="AJ840" s="388"/>
      <c r="AK840" s="388"/>
      <c r="AL840" s="388"/>
      <c r="AM840" s="388"/>
      <c r="AN840" s="388"/>
      <c r="AO840" s="388"/>
      <c r="AP840" s="388"/>
      <c r="AQ840" s="388"/>
      <c r="AR840" s="388"/>
      <c r="AS840" s="388"/>
      <c r="AT840" s="388"/>
      <c r="AU840" s="388"/>
      <c r="AV840" s="388"/>
      <c r="AW840" s="388"/>
      <c r="AX840" s="388"/>
      <c r="AY840" s="388"/>
      <c r="AZ840" s="388"/>
      <c r="BA840" s="388"/>
      <c r="BB840" s="389"/>
      <c r="BC840" s="98">
        <v>1</v>
      </c>
      <c r="BD840" s="74">
        <v>1</v>
      </c>
      <c r="BE840" s="75">
        <f t="shared" si="333"/>
        <v>0</v>
      </c>
    </row>
    <row r="841" spans="1:57" s="1" customFormat="1" ht="18" customHeight="1" x14ac:dyDescent="0.4">
      <c r="A841" s="37" t="str">
        <f t="shared" si="326"/>
        <v>14Д</v>
      </c>
      <c r="B841" s="183"/>
      <c r="C841" s="41"/>
      <c r="D841" s="184"/>
      <c r="E841" s="282">
        <f t="shared" si="334"/>
        <v>46036</v>
      </c>
      <c r="F841" s="335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  <c r="R841" s="336"/>
      <c r="S841" s="336"/>
      <c r="T841" s="336"/>
      <c r="U841" s="336"/>
      <c r="V841" s="336"/>
      <c r="W841" s="336"/>
      <c r="X841" s="98">
        <v>1</v>
      </c>
      <c r="Y841" s="74">
        <v>1</v>
      </c>
      <c r="Z841" s="75">
        <f t="shared" si="332"/>
        <v>0</v>
      </c>
      <c r="AA841" s="107">
        <f t="shared" si="336"/>
        <v>0</v>
      </c>
      <c r="AB841" s="41"/>
      <c r="AC841" s="184"/>
      <c r="AD841" s="212">
        <f t="shared" si="335"/>
        <v>46036</v>
      </c>
      <c r="AE841" s="387"/>
      <c r="AF841" s="388"/>
      <c r="AG841" s="388"/>
      <c r="AH841" s="388"/>
      <c r="AI841" s="388"/>
      <c r="AJ841" s="388"/>
      <c r="AK841" s="388"/>
      <c r="AL841" s="388"/>
      <c r="AM841" s="388"/>
      <c r="AN841" s="388"/>
      <c r="AO841" s="388"/>
      <c r="AP841" s="388"/>
      <c r="AQ841" s="388"/>
      <c r="AR841" s="388"/>
      <c r="AS841" s="388"/>
      <c r="AT841" s="388"/>
      <c r="AU841" s="388"/>
      <c r="AV841" s="388"/>
      <c r="AW841" s="388"/>
      <c r="AX841" s="388"/>
      <c r="AY841" s="388"/>
      <c r="AZ841" s="388"/>
      <c r="BA841" s="388"/>
      <c r="BB841" s="389"/>
      <c r="BC841" s="98">
        <v>1</v>
      </c>
      <c r="BD841" s="74">
        <v>1</v>
      </c>
      <c r="BE841" s="75">
        <f t="shared" si="333"/>
        <v>0</v>
      </c>
    </row>
    <row r="842" spans="1:57" s="1" customFormat="1" ht="18" customHeight="1" x14ac:dyDescent="0.4">
      <c r="A842" s="37" t="str">
        <f t="shared" si="326"/>
        <v>14Д</v>
      </c>
      <c r="B842" s="183"/>
      <c r="C842" s="41"/>
      <c r="D842" s="184"/>
      <c r="E842" s="282">
        <f t="shared" si="334"/>
        <v>46036</v>
      </c>
      <c r="F842" s="335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  <c r="R842" s="336"/>
      <c r="S842" s="336"/>
      <c r="T842" s="336"/>
      <c r="U842" s="336"/>
      <c r="V842" s="336"/>
      <c r="W842" s="336"/>
      <c r="X842" s="98">
        <v>1</v>
      </c>
      <c r="Y842" s="74">
        <v>1</v>
      </c>
      <c r="Z842" s="75">
        <f t="shared" si="332"/>
        <v>0</v>
      </c>
      <c r="AA842" s="107">
        <f t="shared" si="336"/>
        <v>0</v>
      </c>
      <c r="AB842" s="41"/>
      <c r="AC842" s="184"/>
      <c r="AD842" s="212">
        <f t="shared" si="335"/>
        <v>46036</v>
      </c>
      <c r="AE842" s="387"/>
      <c r="AF842" s="388"/>
      <c r="AG842" s="388"/>
      <c r="AH842" s="388"/>
      <c r="AI842" s="388"/>
      <c r="AJ842" s="388"/>
      <c r="AK842" s="388"/>
      <c r="AL842" s="388"/>
      <c r="AM842" s="388"/>
      <c r="AN842" s="388"/>
      <c r="AO842" s="388"/>
      <c r="AP842" s="388"/>
      <c r="AQ842" s="388"/>
      <c r="AR842" s="388"/>
      <c r="AS842" s="388"/>
      <c r="AT842" s="388"/>
      <c r="AU842" s="388"/>
      <c r="AV842" s="388"/>
      <c r="AW842" s="388"/>
      <c r="AX842" s="388"/>
      <c r="AY842" s="388"/>
      <c r="AZ842" s="388"/>
      <c r="BA842" s="388"/>
      <c r="BB842" s="389"/>
      <c r="BC842" s="98">
        <v>1</v>
      </c>
      <c r="BD842" s="74">
        <v>1</v>
      </c>
      <c r="BE842" s="75">
        <f t="shared" si="333"/>
        <v>0</v>
      </c>
    </row>
    <row r="843" spans="1:57" s="1" customFormat="1" ht="18" customHeight="1" x14ac:dyDescent="0.4">
      <c r="A843" s="37" t="str">
        <f t="shared" si="326"/>
        <v>14Д</v>
      </c>
      <c r="B843" s="183"/>
      <c r="C843" s="41"/>
      <c r="D843" s="184"/>
      <c r="E843" s="282">
        <f t="shared" si="334"/>
        <v>46036</v>
      </c>
      <c r="F843" s="335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  <c r="R843" s="336"/>
      <c r="S843" s="336"/>
      <c r="T843" s="336"/>
      <c r="U843" s="336"/>
      <c r="V843" s="336"/>
      <c r="W843" s="336"/>
      <c r="X843" s="98">
        <v>1</v>
      </c>
      <c r="Y843" s="74">
        <v>1</v>
      </c>
      <c r="Z843" s="75">
        <f t="shared" si="332"/>
        <v>0</v>
      </c>
      <c r="AA843" s="107">
        <f t="shared" si="336"/>
        <v>0</v>
      </c>
      <c r="AB843" s="41"/>
      <c r="AC843" s="184"/>
      <c r="AD843" s="212">
        <f t="shared" si="335"/>
        <v>46036</v>
      </c>
      <c r="AE843" s="387"/>
      <c r="AF843" s="388"/>
      <c r="AG843" s="388"/>
      <c r="AH843" s="388"/>
      <c r="AI843" s="388"/>
      <c r="AJ843" s="388"/>
      <c r="AK843" s="388"/>
      <c r="AL843" s="388"/>
      <c r="AM843" s="388"/>
      <c r="AN843" s="388"/>
      <c r="AO843" s="388"/>
      <c r="AP843" s="388"/>
      <c r="AQ843" s="388"/>
      <c r="AR843" s="388"/>
      <c r="AS843" s="388"/>
      <c r="AT843" s="388"/>
      <c r="AU843" s="388"/>
      <c r="AV843" s="388"/>
      <c r="AW843" s="388"/>
      <c r="AX843" s="388"/>
      <c r="AY843" s="388"/>
      <c r="AZ843" s="388"/>
      <c r="BA843" s="388"/>
      <c r="BB843" s="389"/>
      <c r="BC843" s="98">
        <v>1</v>
      </c>
      <c r="BD843" s="74">
        <v>1</v>
      </c>
      <c r="BE843" s="75">
        <f t="shared" si="333"/>
        <v>0</v>
      </c>
    </row>
    <row r="844" spans="1:57" s="1" customFormat="1" ht="18" customHeight="1" x14ac:dyDescent="0.4">
      <c r="A844" s="37" t="str">
        <f t="shared" si="326"/>
        <v>14Д</v>
      </c>
      <c r="B844" s="183"/>
      <c r="C844" s="41"/>
      <c r="D844" s="184"/>
      <c r="E844" s="282">
        <f t="shared" si="334"/>
        <v>46036</v>
      </c>
      <c r="F844" s="335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  <c r="R844" s="336"/>
      <c r="S844" s="336"/>
      <c r="T844" s="336"/>
      <c r="U844" s="336"/>
      <c r="V844" s="336"/>
      <c r="W844" s="336"/>
      <c r="X844" s="98">
        <v>1</v>
      </c>
      <c r="Y844" s="74">
        <v>1</v>
      </c>
      <c r="Z844" s="75">
        <f t="shared" si="332"/>
        <v>0</v>
      </c>
      <c r="AA844" s="107">
        <f t="shared" si="336"/>
        <v>0</v>
      </c>
      <c r="AB844" s="41"/>
      <c r="AC844" s="184"/>
      <c r="AD844" s="212">
        <f t="shared" si="335"/>
        <v>46036</v>
      </c>
      <c r="AE844" s="387"/>
      <c r="AF844" s="388"/>
      <c r="AG844" s="388"/>
      <c r="AH844" s="388"/>
      <c r="AI844" s="388"/>
      <c r="AJ844" s="388"/>
      <c r="AK844" s="388"/>
      <c r="AL844" s="388"/>
      <c r="AM844" s="388"/>
      <c r="AN844" s="388"/>
      <c r="AO844" s="388"/>
      <c r="AP844" s="388"/>
      <c r="AQ844" s="388"/>
      <c r="AR844" s="388"/>
      <c r="AS844" s="388"/>
      <c r="AT844" s="388"/>
      <c r="AU844" s="388"/>
      <c r="AV844" s="388"/>
      <c r="AW844" s="388"/>
      <c r="AX844" s="388"/>
      <c r="AY844" s="388"/>
      <c r="AZ844" s="388"/>
      <c r="BA844" s="388"/>
      <c r="BB844" s="389"/>
      <c r="BC844" s="98">
        <v>1</v>
      </c>
      <c r="BD844" s="74">
        <v>1</v>
      </c>
      <c r="BE844" s="75">
        <f t="shared" si="333"/>
        <v>0</v>
      </c>
    </row>
    <row r="845" spans="1:57" s="1" customFormat="1" ht="18" customHeight="1" thickBot="1" x14ac:dyDescent="0.45">
      <c r="A845" s="37" t="str">
        <f t="shared" si="326"/>
        <v>14Д</v>
      </c>
      <c r="B845" s="183"/>
      <c r="C845" s="41"/>
      <c r="D845" s="184"/>
      <c r="E845" s="283">
        <f t="shared" si="334"/>
        <v>46036</v>
      </c>
      <c r="F845" s="339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99">
        <v>1</v>
      </c>
      <c r="Y845" s="76">
        <v>1</v>
      </c>
      <c r="Z845" s="77">
        <f t="shared" si="332"/>
        <v>0</v>
      </c>
      <c r="AA845" s="107">
        <f t="shared" si="336"/>
        <v>0</v>
      </c>
      <c r="AB845" s="41"/>
      <c r="AC845" s="184"/>
      <c r="AD845" s="211">
        <f t="shared" si="335"/>
        <v>46036</v>
      </c>
      <c r="AE845" s="410"/>
      <c r="AF845" s="411"/>
      <c r="AG845" s="411"/>
      <c r="AH845" s="411"/>
      <c r="AI845" s="411"/>
      <c r="AJ845" s="411"/>
      <c r="AK845" s="411"/>
      <c r="AL845" s="411"/>
      <c r="AM845" s="411"/>
      <c r="AN845" s="411"/>
      <c r="AO845" s="411"/>
      <c r="AP845" s="411"/>
      <c r="AQ845" s="411"/>
      <c r="AR845" s="411"/>
      <c r="AS845" s="411"/>
      <c r="AT845" s="411"/>
      <c r="AU845" s="411"/>
      <c r="AV845" s="411"/>
      <c r="AW845" s="411"/>
      <c r="AX845" s="411"/>
      <c r="AY845" s="411"/>
      <c r="AZ845" s="411"/>
      <c r="BA845" s="411"/>
      <c r="BB845" s="412"/>
      <c r="BC845" s="99">
        <v>1</v>
      </c>
      <c r="BD845" s="76">
        <v>1</v>
      </c>
      <c r="BE845" s="75">
        <f t="shared" si="333"/>
        <v>0</v>
      </c>
    </row>
    <row r="846" spans="1:57" s="1" customFormat="1" ht="23.25" customHeight="1" thickBot="1" x14ac:dyDescent="0.45">
      <c r="A846" s="37" t="str">
        <f t="shared" si="326"/>
        <v>14Д</v>
      </c>
      <c r="B846" s="193"/>
      <c r="C846" s="47"/>
      <c r="D846" s="47"/>
      <c r="E846" s="47"/>
      <c r="F846" s="78"/>
      <c r="G846" s="78"/>
      <c r="H846" s="78"/>
      <c r="I846" s="80"/>
      <c r="J846" s="80"/>
      <c r="K846" s="80"/>
      <c r="L846" s="80"/>
      <c r="M846" s="80"/>
      <c r="N846" s="80"/>
      <c r="O846" s="78"/>
      <c r="P846" s="81"/>
      <c r="Q846" s="81"/>
      <c r="R846" s="81"/>
      <c r="S846" s="81"/>
      <c r="T846" s="81"/>
      <c r="U846" s="82"/>
      <c r="V846" s="82"/>
      <c r="W846" s="86"/>
      <c r="X846" s="194"/>
      <c r="Y846" s="83"/>
      <c r="Z846" s="83"/>
      <c r="AA846" s="78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84"/>
      <c r="AN846" s="47"/>
      <c r="AO846" s="78"/>
      <c r="AP846" s="78"/>
      <c r="AQ846" s="78"/>
      <c r="AR846" s="84"/>
      <c r="AS846" s="78"/>
      <c r="AT846" s="85"/>
      <c r="AU846" s="78"/>
      <c r="AV846" s="83"/>
      <c r="AW846" s="83"/>
      <c r="AX846" s="78"/>
      <c r="AY846" s="78"/>
      <c r="AZ846" s="78"/>
      <c r="BA846" s="78"/>
      <c r="BB846" s="78"/>
      <c r="BC846" s="78"/>
      <c r="BD846" s="79"/>
      <c r="BE846" s="79"/>
    </row>
    <row r="847" spans="1:57" s="1" customFormat="1" ht="21.6" customHeight="1" thickBot="1" x14ac:dyDescent="0.45">
      <c r="A847" s="37" t="s">
        <v>173</v>
      </c>
      <c r="B847" s="59"/>
      <c r="C847" s="51"/>
      <c r="D847" s="51"/>
      <c r="E847" s="51"/>
      <c r="F847" s="158" t="s">
        <v>220</v>
      </c>
      <c r="G847" s="51"/>
      <c r="H847" s="51"/>
      <c r="I847" s="156"/>
      <c r="J847" s="156"/>
      <c r="K847" s="156"/>
      <c r="L847" s="156"/>
      <c r="M847" s="156"/>
      <c r="N847" s="156"/>
      <c r="O847" s="91"/>
      <c r="P847" s="52"/>
      <c r="Q847" s="52"/>
      <c r="R847" s="52"/>
      <c r="S847" s="52"/>
      <c r="T847" s="52"/>
      <c r="U847" s="157"/>
      <c r="V847" s="157"/>
      <c r="W847" s="94"/>
      <c r="X847" s="94"/>
      <c r="Y847" s="51"/>
      <c r="Z847" s="51"/>
      <c r="AA847" s="157">
        <f>AA830</f>
        <v>1</v>
      </c>
      <c r="AB847" s="157">
        <f t="shared" ref="AB847:AF847" si="337">AB830</f>
        <v>2</v>
      </c>
      <c r="AC847" s="157">
        <f t="shared" si="337"/>
        <v>3</v>
      </c>
      <c r="AD847" s="157">
        <f t="shared" si="337"/>
        <v>4</v>
      </c>
      <c r="AE847" s="157">
        <f t="shared" si="337"/>
        <v>5</v>
      </c>
      <c r="AF847" s="157">
        <f t="shared" si="337"/>
        <v>6</v>
      </c>
      <c r="AG847" s="162" t="s">
        <v>123</v>
      </c>
      <c r="AH847" s="162" t="s">
        <v>124</v>
      </c>
      <c r="AI847" s="162" t="s">
        <v>125</v>
      </c>
      <c r="AJ847" s="91" t="s">
        <v>126</v>
      </c>
      <c r="AK847" s="198" t="s">
        <v>136</v>
      </c>
      <c r="AL847" s="198" t="s">
        <v>137</v>
      </c>
      <c r="AM847" s="198" t="s">
        <v>138</v>
      </c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</row>
    <row r="848" spans="1:57" s="1" customFormat="1" ht="21.6" customHeight="1" x14ac:dyDescent="0.4">
      <c r="A848" s="37" t="str">
        <f>A847</f>
        <v>14Н</v>
      </c>
      <c r="B848" s="12">
        <f>B829</f>
        <v>46036</v>
      </c>
      <c r="C848" s="97"/>
      <c r="D848" s="97">
        <v>1</v>
      </c>
      <c r="E848" s="29"/>
      <c r="F848" s="151" t="str">
        <f>IFERROR(VLOOKUP($G848,нормы!$A$14:$BC$57,2,0),"")</f>
        <v/>
      </c>
      <c r="G848" s="93"/>
      <c r="H848" s="54">
        <f>IF(C848=1,"Кульков С.А.", IF(C848=2,"Чудаков А.А.",IF(C848=3,"Королев В.Н.",IF(C848=4,"Николашин М.П.",IF(C848=5," Кульков С.А.",IF(C848=6,"А.А. Чудаков",IF(C848=7,"В.Н. Королев",IF(C848=8,"М.П. Николашин",0))))))))</f>
        <v>0</v>
      </c>
      <c r="I848" s="88" t="s">
        <v>84</v>
      </c>
      <c r="J848" s="332"/>
      <c r="K848" s="30">
        <f>IFERROR(VLOOKUP($G848,[1]нормы!$A$21:$BC$151,15,0),"")</f>
        <v>0</v>
      </c>
      <c r="L848" s="31">
        <f>IFERROR(VLOOKUP($G848,[1]нормы!$A$21:$BC$151,17,0),"")</f>
        <v>0</v>
      </c>
      <c r="M848" s="310">
        <f>IFERROR(VLOOKUP($G848,[1]нормы!$A$21:$BC$151,27,0),"")</f>
        <v>0</v>
      </c>
      <c r="N848" s="311" t="str">
        <f>IFERROR(Y848/Y854*(1.1*J848*I853),"")</f>
        <v/>
      </c>
      <c r="O848" s="300">
        <f>IFERROR(VLOOKUP($G848,[1]нормы!$A$21:$BC$151,21,0),"")</f>
        <v>0</v>
      </c>
      <c r="P848" s="35">
        <f>IFERROR(VLOOKUP($G848,[1]нормы!$A$21:$BC$151,19,0),"")</f>
        <v>0</v>
      </c>
      <c r="Q848" s="35">
        <f>IFERROR(VLOOKUP($G848,[1]нормы!$A$21:$BC$151,23,0),"")</f>
        <v>0</v>
      </c>
      <c r="R848" s="231">
        <f>IFERROR(VLOOKUP($G848,[1]нормы!$A$21:$BC$151,29,0),"")</f>
        <v>0</v>
      </c>
      <c r="S848" s="35">
        <f>IFERROR(VLOOKUP($G848,[1]нормы!$A$21:$BC$151,31,0),"")</f>
        <v>0</v>
      </c>
      <c r="T848" s="32">
        <f>IFERROR(VLOOKUP($G848,[1]нормы!$A$21:$BC$151,25,0),"")</f>
        <v>0</v>
      </c>
      <c r="U848" s="232" t="str">
        <f>IFERROR(W848/(((100*Y848/Y854)*I853)/100),"")</f>
        <v/>
      </c>
      <c r="V848" s="234" t="str">
        <f>IFERROR(VLOOKUP($G848,нормы!$A$14:$BC$57,38,0),"")</f>
        <v/>
      </c>
      <c r="W848" s="136"/>
      <c r="X848" s="236"/>
      <c r="Y848" s="152" t="str">
        <f>IFERROR(VLOOKUP($G848,нормы!$A$14:$BC$57,42,0)*W848,"")</f>
        <v/>
      </c>
      <c r="Z848" s="163">
        <f>IFERROR(VLOOKUP($G848,нормы!$A$14:$BC$57,14,0)*W848/1000,0)</f>
        <v>0</v>
      </c>
      <c r="AA848" s="33"/>
      <c r="AB848" s="36"/>
      <c r="AC848" s="36"/>
      <c r="AD848" s="36"/>
      <c r="AE848" s="34"/>
      <c r="AF848" s="159"/>
      <c r="AG848" s="390"/>
      <c r="AH848" s="393"/>
      <c r="AI848" s="396"/>
      <c r="AJ848" s="407">
        <f>AG848+AH848</f>
        <v>0</v>
      </c>
      <c r="AK848" s="359"/>
      <c r="AL848" s="359"/>
      <c r="AM848" s="359"/>
      <c r="AN848" s="287">
        <f>IFERROR(Y848*AJ848/Y854,)</f>
        <v>0</v>
      </c>
      <c r="AO848" s="197" t="str">
        <f>IFERROR(VLOOKUP($G848,нормы!$A$14:$BC$57,53,0)*$W848,"")</f>
        <v/>
      </c>
      <c r="AP848" s="288">
        <f>IFERROR(Y848*AI848/Y854,)</f>
        <v>0</v>
      </c>
      <c r="AQ848" s="197" t="str">
        <f>IFERROR(VLOOKUP($G848,нормы!$A$14:$BC$57,54,0)*$W848,"")</f>
        <v/>
      </c>
      <c r="AR848" s="288">
        <f>IFERROR(AS848/SUM(AS848:AS853)*AL848,0)</f>
        <v>0</v>
      </c>
      <c r="AS848" s="197" t="str">
        <f>IFERROR(VLOOKUP($G848,нормы!$A$14:$BC$57,55,0)*W848,"")</f>
        <v/>
      </c>
      <c r="AT848" s="288">
        <f>IFERROR(AU848/SUM(AU848:AU853)*AM848,0)</f>
        <v>0</v>
      </c>
      <c r="AU848" s="197" t="str">
        <f>IFERROR(VLOOKUP($G848,нормы!$A$14:$BI$57,56,0)*W848,"")</f>
        <v/>
      </c>
      <c r="AV848" s="288">
        <f>IFERROR(AW848/SUM(AW848:AW853)*AK848,0)</f>
        <v>0</v>
      </c>
      <c r="AW848" s="202" t="str">
        <f>IFERROR(VLOOKUP($G848,нормы!$A$14:$BI$57,57,0)*W848,"")</f>
        <v/>
      </c>
      <c r="AX848" s="33"/>
      <c r="AY848" s="203" t="str">
        <f>IFERROR(VLOOKUP($G848,нормы!$A$14:$BI$57,58,0)*W848,"")</f>
        <v/>
      </c>
      <c r="AZ848" s="204"/>
      <c r="BA848" s="200" t="str">
        <f>IFERROR(VLOOKUP($G848,нормы!$A$14:$BI$57,61,0)*$W848,"")</f>
        <v/>
      </c>
      <c r="BB848" s="33"/>
      <c r="BC848" s="203" t="str">
        <f>IFERROR(VLOOKUP($G848,нормы!$A$14:$BI$57,60,0)*W848,"")</f>
        <v/>
      </c>
      <c r="BD848" s="200" t="str">
        <f>IFERROR(VLOOKUP($G848,нормы!$A$14:$BG$57,44,0),"")</f>
        <v/>
      </c>
      <c r="BE848" s="199" t="str">
        <f>IFERROR(W848/VLOOKUP($G848,нормы!$A$14:$BI$57,45,0),"")</f>
        <v/>
      </c>
    </row>
    <row r="849" spans="1:57" s="1" customFormat="1" ht="21.6" customHeight="1" x14ac:dyDescent="0.4">
      <c r="A849" s="37" t="str">
        <f t="shared" ref="A849:A877" si="338">A848</f>
        <v>14Н</v>
      </c>
      <c r="B849" s="12">
        <f t="shared" ref="B849:D853" si="339">B848</f>
        <v>46036</v>
      </c>
      <c r="C849" s="97">
        <f t="shared" si="339"/>
        <v>0</v>
      </c>
      <c r="D849" s="97">
        <f t="shared" si="339"/>
        <v>1</v>
      </c>
      <c r="E849" s="54"/>
      <c r="F849" s="151" t="str">
        <f>IFERROR(VLOOKUP($G849,нормы!$A$14:$BC$57,2,0),"")</f>
        <v/>
      </c>
      <c r="G849" s="93"/>
      <c r="H849" s="54">
        <f t="shared" ref="H849:H853" si="340">IF(C849=1,"Кульков С.А.", IF(C849=2,"Чудаков А.А.",IF(C849=3,"Королев В.Н.",IF(C849=4,"Николашин М.П.",IF(C849=5," Кульков С.А.",IF(C849=6,"А.А. Чудаков",IF(C849=7,"В.Н. Королев",IF(C849=8,"М.П. Николашин",0))))))))</f>
        <v>0</v>
      </c>
      <c r="I849" s="55"/>
      <c r="J849" s="333"/>
      <c r="K849" s="30">
        <f>IFERROR(VLOOKUP($G849,[1]нормы!$A$21:$BC$151,15,0),"")</f>
        <v>0</v>
      </c>
      <c r="L849" s="31">
        <f>IFERROR(VLOOKUP($G849,[1]нормы!$A$21:$BC$151,17,0),"")</f>
        <v>0</v>
      </c>
      <c r="M849" s="306">
        <f>IFERROR(VLOOKUP($G849,[1]нормы!$A$21:$BC$151,27,0),"")</f>
        <v>0</v>
      </c>
      <c r="N849" s="307" t="str">
        <f>IFERROR(Y849/Y854*(1.1*J848*I853),"")</f>
        <v/>
      </c>
      <c r="O849" s="300">
        <f>IFERROR(VLOOKUP($G849,[1]нормы!$A$21:$BC$151,21,0),"")</f>
        <v>0</v>
      </c>
      <c r="P849" s="35">
        <f>IFERROR(VLOOKUP($G849,[1]нормы!$A$21:$BC$151,19,0),"")</f>
        <v>0</v>
      </c>
      <c r="Q849" s="35">
        <f>IFERROR(VLOOKUP($G849,[1]нормы!$A$21:$BC$151,23,0),"")</f>
        <v>0</v>
      </c>
      <c r="R849" s="231">
        <f>IFERROR(VLOOKUP($G849,[1]нормы!$A$21:$BC$151,29,0),"")</f>
        <v>0</v>
      </c>
      <c r="S849" s="35">
        <f>IFERROR(VLOOKUP($G849,[1]нормы!$A$21:$BC$151,31,0),"")</f>
        <v>0</v>
      </c>
      <c r="T849" s="32">
        <f>IFERROR(VLOOKUP($G849,[1]нормы!$A$21:$BC$151,25,0),"")</f>
        <v>0</v>
      </c>
      <c r="U849" s="233" t="str">
        <f>IFERROR(W849/(((100*Y849/Y854)*I853)/100),"")</f>
        <v/>
      </c>
      <c r="V849" s="234" t="str">
        <f>IFERROR(VLOOKUP($G849,нормы!$A$14:$BC$57,38,0),"")</f>
        <v/>
      </c>
      <c r="W849" s="136"/>
      <c r="X849" s="237"/>
      <c r="Y849" s="152" t="str">
        <f>IFERROR(VLOOKUP($G849,нормы!$A$14:$BC$57,42,0)*W849,"")</f>
        <v/>
      </c>
      <c r="Z849" s="163">
        <f>IFERROR(VLOOKUP($G849,нормы!$A$14:$BC$57,14,0)*W849/1000,0)</f>
        <v>0</v>
      </c>
      <c r="AA849" s="142"/>
      <c r="AB849" s="35"/>
      <c r="AC849" s="35"/>
      <c r="AD849" s="35"/>
      <c r="AE849" s="31"/>
      <c r="AF849" s="160"/>
      <c r="AG849" s="391"/>
      <c r="AH849" s="394"/>
      <c r="AI849" s="397"/>
      <c r="AJ849" s="408"/>
      <c r="AK849" s="360"/>
      <c r="AL849" s="360"/>
      <c r="AM849" s="360"/>
      <c r="AN849" s="289">
        <f>IFERROR(Y849*AJ848/Y854,)</f>
        <v>0</v>
      </c>
      <c r="AO849" s="197" t="str">
        <f>IFERROR(VLOOKUP($G849,нормы!$A$14:$BC$57,53,0)*$W849,"")</f>
        <v/>
      </c>
      <c r="AP849" s="290">
        <f>IFERROR(Y849*AI848/Y854,)</f>
        <v>0</v>
      </c>
      <c r="AQ849" s="197" t="str">
        <f>IFERROR(VLOOKUP($G849,нормы!$A$14:$BC$57,54,0)*$W849,"")</f>
        <v/>
      </c>
      <c r="AR849" s="290">
        <f>IFERROR(AS849/SUM(AS848:AS853)*AL848,0)</f>
        <v>0</v>
      </c>
      <c r="AS849" s="197" t="str">
        <f>IFERROR(VLOOKUP($G849,нормы!$A$14:$BC$57,55,0)*W849,"")</f>
        <v/>
      </c>
      <c r="AT849" s="290">
        <f>IFERROR(AU849/SUM(AU848:AU853)*AM848,0)</f>
        <v>0</v>
      </c>
      <c r="AU849" s="197" t="str">
        <f>IFERROR(VLOOKUP($G849,нормы!$A$14:$BI$57,56,0)*W849,"")</f>
        <v/>
      </c>
      <c r="AV849" s="290">
        <f>IFERROR(AW849/SUM(AW848:AW853)*AK848,0)</f>
        <v>0</v>
      </c>
      <c r="AW849" s="202" t="str">
        <f>IFERROR(VLOOKUP($G849,нормы!$A$14:$BI$57,57,0)*W849,"")</f>
        <v/>
      </c>
      <c r="AX849" s="30"/>
      <c r="AY849" s="203" t="str">
        <f>IFERROR(VLOOKUP($G849,нормы!$A$14:$BI$57,58,0)*W849,"")</f>
        <v/>
      </c>
      <c r="AZ849" s="205"/>
      <c r="BA849" s="200" t="str">
        <f>IFERROR(VLOOKUP($G849,нормы!$A$14:$BI$57,61,0)*$W849,"")</f>
        <v/>
      </c>
      <c r="BB849" s="30"/>
      <c r="BC849" s="203" t="str">
        <f>IFERROR(VLOOKUP($G849,нормы!$A$14:$BI$57,60,0)*W849,"")</f>
        <v/>
      </c>
      <c r="BD849" s="200" t="str">
        <f>IFERROR(VLOOKUP($G849,нормы!$A$14:$BG$57,44,0),"")</f>
        <v/>
      </c>
      <c r="BE849" s="199" t="str">
        <f>IFERROR(W849/VLOOKUP($G849,нормы!$A$14:$BI$57,45,0),"")</f>
        <v/>
      </c>
    </row>
    <row r="850" spans="1:57" s="1" customFormat="1" ht="20.25" customHeight="1" x14ac:dyDescent="0.4">
      <c r="A850" s="37" t="str">
        <f t="shared" si="338"/>
        <v>14Н</v>
      </c>
      <c r="B850" s="12">
        <f t="shared" si="339"/>
        <v>46036</v>
      </c>
      <c r="C850" s="97">
        <f t="shared" si="339"/>
        <v>0</v>
      </c>
      <c r="D850" s="97">
        <f t="shared" si="339"/>
        <v>1</v>
      </c>
      <c r="E850" s="54"/>
      <c r="F850" s="151" t="str">
        <f>IFERROR(VLOOKUP($G850,нормы!$A$14:$BC$57,2,0),"")</f>
        <v/>
      </c>
      <c r="G850" s="38"/>
      <c r="H850" s="54">
        <f t="shared" si="340"/>
        <v>0</v>
      </c>
      <c r="I850" s="89" t="s">
        <v>85</v>
      </c>
      <c r="J850" s="333"/>
      <c r="K850" s="30">
        <f>IFERROR(VLOOKUP($G850,[1]нормы!$A$21:$BC$151,15,0),"")</f>
        <v>0</v>
      </c>
      <c r="L850" s="31">
        <f>IFERROR(VLOOKUP($G850,[1]нормы!$A$21:$BC$151,17,0),"")</f>
        <v>0</v>
      </c>
      <c r="M850" s="306">
        <f>IFERROR(VLOOKUP($G850,[1]нормы!$A$21:$BC$151,27,0),"")</f>
        <v>0</v>
      </c>
      <c r="N850" s="307" t="str">
        <f>IFERROR(Y850/Y854*(1.1*J848*I853),"")</f>
        <v/>
      </c>
      <c r="O850" s="300">
        <f>IFERROR(VLOOKUP($G850,[1]нормы!$A$21:$BC$151,21,0),"")</f>
        <v>0</v>
      </c>
      <c r="P850" s="35">
        <f>IFERROR(VLOOKUP($G850,[1]нормы!$A$21:$BC$151,19,0),"")</f>
        <v>0</v>
      </c>
      <c r="Q850" s="35">
        <f>IFERROR(VLOOKUP($G850,[1]нормы!$A$21:$BC$151,23,0),"")</f>
        <v>0</v>
      </c>
      <c r="R850" s="231">
        <f>IFERROR(VLOOKUP($G850,[1]нормы!$A$21:$BC$151,29,0),"")</f>
        <v>0</v>
      </c>
      <c r="S850" s="35">
        <f>IFERROR(VLOOKUP($G850,[1]нормы!$A$21:$BC$151,31,0),"")</f>
        <v>0</v>
      </c>
      <c r="T850" s="32">
        <f>IFERROR(VLOOKUP($G850,[1]нормы!$A$21:$BC$151,25,0),"")</f>
        <v>0</v>
      </c>
      <c r="U850" s="233" t="str">
        <f>IFERROR(W850/(((100*Y850/Y854)*I853)/100),"")</f>
        <v/>
      </c>
      <c r="V850" s="234" t="str">
        <f>IFERROR(VLOOKUP($G850,нормы!$A$14:$BC$57,38,0),"")</f>
        <v/>
      </c>
      <c r="W850" s="136"/>
      <c r="X850" s="237"/>
      <c r="Y850" s="152" t="str">
        <f>IFERROR(VLOOKUP($G850,нормы!$A$14:$BC$57,42,0)*W850,"")</f>
        <v/>
      </c>
      <c r="Z850" s="163">
        <f>IFERROR(VLOOKUP($G850,нормы!$A$14:$BC$57,14,0)*W850/1000,0)</f>
        <v>0</v>
      </c>
      <c r="AA850" s="30"/>
      <c r="AB850" s="35"/>
      <c r="AC850" s="35"/>
      <c r="AD850" s="35"/>
      <c r="AE850" s="31"/>
      <c r="AF850" s="160"/>
      <c r="AG850" s="391"/>
      <c r="AH850" s="394"/>
      <c r="AI850" s="397"/>
      <c r="AJ850" s="408"/>
      <c r="AK850" s="360"/>
      <c r="AL850" s="360"/>
      <c r="AM850" s="360"/>
      <c r="AN850" s="289">
        <f>IFERROR(Y850*AJ848/Y854,)</f>
        <v>0</v>
      </c>
      <c r="AO850" s="197" t="str">
        <f>IFERROR(VLOOKUP($G850,нормы!$A$14:$BC$57,53,0)*$W850,"")</f>
        <v/>
      </c>
      <c r="AP850" s="290">
        <f>IFERROR(Y850*AI848/Y854,)</f>
        <v>0</v>
      </c>
      <c r="AQ850" s="197" t="str">
        <f>IFERROR(VLOOKUP($G850,нормы!$A$14:$BC$57,54,0)*$W850,"")</f>
        <v/>
      </c>
      <c r="AR850" s="290">
        <f>IFERROR(AS850/SUM(AS848:AS853)*AL848,0)</f>
        <v>0</v>
      </c>
      <c r="AS850" s="197" t="str">
        <f>IFERROR(VLOOKUP($G850,нормы!$A$14:$BC$57,55,0)*W850,"")</f>
        <v/>
      </c>
      <c r="AT850" s="290">
        <f>IFERROR(AU850/SUM(AU848:AU853)*AM848,0)</f>
        <v>0</v>
      </c>
      <c r="AU850" s="197" t="str">
        <f>IFERROR(VLOOKUP($G850,нормы!$A$14:$BI$57,56,0)*W850,"")</f>
        <v/>
      </c>
      <c r="AV850" s="290">
        <f>IFERROR(AW850/SUM(AW848:AW853)*AK848,0)</f>
        <v>0</v>
      </c>
      <c r="AW850" s="202" t="str">
        <f>IFERROR(VLOOKUP($G850,нормы!$A$14:$BI$57,57,0)*W850,"")</f>
        <v/>
      </c>
      <c r="AX850" s="30"/>
      <c r="AY850" s="203" t="str">
        <f>IFERROR(VLOOKUP($G850,нормы!$A$14:$BI$57,58,0)*W850,"")</f>
        <v/>
      </c>
      <c r="AZ850" s="205"/>
      <c r="BA850" s="200" t="str">
        <f>IFERROR(VLOOKUP($G850,нормы!$A$14:$BI$57,61,0)*$W850,"")</f>
        <v/>
      </c>
      <c r="BB850" s="30"/>
      <c r="BC850" s="203" t="str">
        <f>IFERROR(VLOOKUP($G850,нормы!$A$14:$BI$57,60,0)*W850,"")</f>
        <v/>
      </c>
      <c r="BD850" s="200" t="str">
        <f>IFERROR(VLOOKUP($G850,нормы!$A$14:$BG$57,44,0),"")</f>
        <v/>
      </c>
      <c r="BE850" s="199" t="str">
        <f>IFERROR(W850/VLOOKUP($G850,нормы!$A$14:$BI$57,45,0),"")</f>
        <v/>
      </c>
    </row>
    <row r="851" spans="1:57" s="1" customFormat="1" ht="20.25" customHeight="1" x14ac:dyDescent="0.4">
      <c r="A851" s="37" t="str">
        <f t="shared" si="338"/>
        <v>14Н</v>
      </c>
      <c r="B851" s="12">
        <f t="shared" si="339"/>
        <v>46036</v>
      </c>
      <c r="C851" s="97">
        <f t="shared" si="339"/>
        <v>0</v>
      </c>
      <c r="D851" s="97">
        <f t="shared" si="339"/>
        <v>1</v>
      </c>
      <c r="E851" s="54"/>
      <c r="F851" s="151" t="str">
        <f>IFERROR(VLOOKUP($G851,нормы!$A$14:$BC$57,2,0),"")</f>
        <v/>
      </c>
      <c r="G851" s="93"/>
      <c r="H851" s="54">
        <f t="shared" si="340"/>
        <v>0</v>
      </c>
      <c r="I851" s="55"/>
      <c r="J851" s="333"/>
      <c r="K851" s="30">
        <f>IFERROR(VLOOKUP($G851,[1]нормы!$A$21:$BC$151,15,0),"")</f>
        <v>0</v>
      </c>
      <c r="L851" s="31">
        <f>IFERROR(VLOOKUP($G851,[1]нормы!$A$21:$BC$151,17,0),"")</f>
        <v>0</v>
      </c>
      <c r="M851" s="306">
        <f>IFERROR(VLOOKUP($G851,[1]нормы!$A$21:$BC$151,27,0),"")</f>
        <v>0</v>
      </c>
      <c r="N851" s="307" t="str">
        <f>IFERROR(Y851/Y854*(1.1*J848*I856),"")</f>
        <v/>
      </c>
      <c r="O851" s="300">
        <f>IFERROR(VLOOKUP($G851,[1]нормы!$A$21:$BC$151,21,0),"")</f>
        <v>0</v>
      </c>
      <c r="P851" s="35">
        <f>IFERROR(VLOOKUP($G851,[1]нормы!$A$21:$BC$151,19,0),"")</f>
        <v>0</v>
      </c>
      <c r="Q851" s="35">
        <f>IFERROR(VLOOKUP($G851,[1]нормы!$A$21:$BC$151,23,0),"")</f>
        <v>0</v>
      </c>
      <c r="R851" s="231">
        <f>IFERROR(VLOOKUP($G851,[1]нормы!$A$21:$BC$151,29,0),"")</f>
        <v>0</v>
      </c>
      <c r="S851" s="35">
        <f>IFERROR(VLOOKUP($G851,[1]нормы!$A$21:$BC$151,31,0),"")</f>
        <v>0</v>
      </c>
      <c r="T851" s="32">
        <f>IFERROR(VLOOKUP($G851,[1]нормы!$A$21:$BC$151,25,0),"")</f>
        <v>0</v>
      </c>
      <c r="U851" s="233" t="str">
        <f>IFERROR(W851/(((100*Y851/Y854)*I853)/100),"")</f>
        <v/>
      </c>
      <c r="V851" s="234" t="str">
        <f>IFERROR(VLOOKUP($G851,нормы!$A$14:$BC$57,38,0),"")</f>
        <v/>
      </c>
      <c r="W851" s="136"/>
      <c r="X851" s="237"/>
      <c r="Y851" s="152" t="str">
        <f>IFERROR(VLOOKUP($G851,нормы!$A$14:$BC$57,42,0)*W851,"")</f>
        <v/>
      </c>
      <c r="Z851" s="163">
        <f>IFERROR(VLOOKUP($G851,нормы!$A$14:$BC$57,14,0)*W851/1000,0)</f>
        <v>0</v>
      </c>
      <c r="AA851" s="30"/>
      <c r="AB851" s="35"/>
      <c r="AC851" s="35"/>
      <c r="AD851" s="35"/>
      <c r="AE851" s="31"/>
      <c r="AF851" s="160"/>
      <c r="AG851" s="391"/>
      <c r="AH851" s="394"/>
      <c r="AI851" s="397"/>
      <c r="AJ851" s="408"/>
      <c r="AK851" s="360"/>
      <c r="AL851" s="360"/>
      <c r="AM851" s="360"/>
      <c r="AN851" s="289">
        <f>IFERROR(Y851*AJ848/Y854,)</f>
        <v>0</v>
      </c>
      <c r="AO851" s="197" t="str">
        <f>IFERROR(VLOOKUP($G851,нормы!$A$14:$BC$57,53,0)*$W851,"")</f>
        <v/>
      </c>
      <c r="AP851" s="290">
        <f>IFERROR(Y851*AI848/Y854,)</f>
        <v>0</v>
      </c>
      <c r="AQ851" s="197" t="str">
        <f>IFERROR(VLOOKUP($G851,нормы!$A$14:$BC$57,54,0)*$W851,"")</f>
        <v/>
      </c>
      <c r="AR851" s="290">
        <f>IFERROR(AS851/SUM(AS848:AS853)*AL848,0)</f>
        <v>0</v>
      </c>
      <c r="AS851" s="197" t="str">
        <f>IFERROR(VLOOKUP($G851,нормы!$A$14:$BC$57,55,0)*W851,"")</f>
        <v/>
      </c>
      <c r="AT851" s="290">
        <f>IFERROR(AU851/SUM(AU848:AU853)*AM848,0)</f>
        <v>0</v>
      </c>
      <c r="AU851" s="197" t="str">
        <f>IFERROR(VLOOKUP($G851,нормы!$A$14:$BI$57,56,0)*W851,"")</f>
        <v/>
      </c>
      <c r="AV851" s="290">
        <f>IFERROR(AW851/SUM(AW848:AW853)*AK848,0)</f>
        <v>0</v>
      </c>
      <c r="AW851" s="202" t="str">
        <f>IFERROR(VLOOKUP($G851,нормы!$A$14:$BI$57,57,0)*W851,"")</f>
        <v/>
      </c>
      <c r="AX851" s="30"/>
      <c r="AY851" s="203" t="str">
        <f>IFERROR(VLOOKUP($G851,нормы!$A$14:$BI$57,58,0)*W851,"")</f>
        <v/>
      </c>
      <c r="AZ851" s="205"/>
      <c r="BA851" s="200" t="str">
        <f>IFERROR(VLOOKUP($G851,нормы!$A$14:$BI$57,61,0)*$W851,"")</f>
        <v/>
      </c>
      <c r="BB851" s="30"/>
      <c r="BC851" s="203" t="str">
        <f>IFERROR(VLOOKUP($G851,нормы!$A$14:$BI$57,60,0)*W851,"")</f>
        <v/>
      </c>
      <c r="BD851" s="200" t="str">
        <f>IFERROR(VLOOKUP($G851,нормы!$A$14:$BG$57,44,0),"")</f>
        <v/>
      </c>
      <c r="BE851" s="199" t="str">
        <f>IFERROR(W851/VLOOKUP($G851,нормы!$A$14:$BI$57,45,0),"")</f>
        <v/>
      </c>
    </row>
    <row r="852" spans="1:57" s="1" customFormat="1" ht="20.25" customHeight="1" x14ac:dyDescent="0.4">
      <c r="A852" s="37" t="str">
        <f t="shared" si="338"/>
        <v>14Н</v>
      </c>
      <c r="B852" s="12">
        <f t="shared" si="339"/>
        <v>46036</v>
      </c>
      <c r="C852" s="97">
        <f t="shared" si="339"/>
        <v>0</v>
      </c>
      <c r="D852" s="97">
        <f t="shared" si="339"/>
        <v>1</v>
      </c>
      <c r="E852" s="54"/>
      <c r="F852" s="151" t="str">
        <f>IFERROR(VLOOKUP($G852,нормы!$A$14:$BC$57,2,0),"")</f>
        <v/>
      </c>
      <c r="G852" s="38"/>
      <c r="H852" s="54">
        <f t="shared" si="340"/>
        <v>0</v>
      </c>
      <c r="I852" s="89" t="s">
        <v>73</v>
      </c>
      <c r="J852" s="333"/>
      <c r="K852" s="30">
        <f>IFERROR(VLOOKUP($G852,[1]нормы!$A$21:$BC$151,15,0),"")</f>
        <v>0</v>
      </c>
      <c r="L852" s="31">
        <f>IFERROR(VLOOKUP($G852,[1]нормы!$A$21:$BC$151,17,0),"")</f>
        <v>0</v>
      </c>
      <c r="M852" s="306">
        <f>IFERROR(VLOOKUP($G852,[1]нормы!$A$21:$BC$151,27,0),"")</f>
        <v>0</v>
      </c>
      <c r="N852" s="307" t="str">
        <f>IFERROR(Y852/Y854*(1.1*J848*I857),"")</f>
        <v/>
      </c>
      <c r="O852" s="300">
        <f>IFERROR(VLOOKUP($G852,[1]нормы!$A$21:$BC$151,21,0),"")</f>
        <v>0</v>
      </c>
      <c r="P852" s="35">
        <f>IFERROR(VLOOKUP($G852,[1]нормы!$A$21:$BC$151,19,0),"")</f>
        <v>0</v>
      </c>
      <c r="Q852" s="35">
        <f>IFERROR(VLOOKUP($G852,[1]нормы!$A$21:$BC$151,23,0),"")</f>
        <v>0</v>
      </c>
      <c r="R852" s="231">
        <f>IFERROR(VLOOKUP($G852,[1]нормы!$A$21:$BC$151,29,0),"")</f>
        <v>0</v>
      </c>
      <c r="S852" s="35">
        <f>IFERROR(VLOOKUP($G852,[1]нормы!$A$21:$BC$151,31,0),"")</f>
        <v>0</v>
      </c>
      <c r="T852" s="32">
        <f>IFERROR(VLOOKUP($G852,[1]нормы!$A$21:$BC$151,25,0),"")</f>
        <v>0</v>
      </c>
      <c r="U852" s="233" t="str">
        <f>IFERROR(W852/(((100*Y852/Y854)*I853)/100),"")</f>
        <v/>
      </c>
      <c r="V852" s="234" t="str">
        <f>IFERROR(VLOOKUP($G852,нормы!$A$14:$BC$57,38,0),"")</f>
        <v/>
      </c>
      <c r="W852" s="136"/>
      <c r="X852" s="237"/>
      <c r="Y852" s="152" t="str">
        <f>IFERROR(VLOOKUP($G852,нормы!$A$14:$BC$57,42,0)*W852,"")</f>
        <v/>
      </c>
      <c r="Z852" s="163">
        <f>IFERROR(VLOOKUP($G852,нормы!$A$14:$BC$57,14,0)*W852/1000,0)</f>
        <v>0</v>
      </c>
      <c r="AA852" s="30"/>
      <c r="AB852" s="35"/>
      <c r="AC852" s="35"/>
      <c r="AD852" s="35"/>
      <c r="AE852" s="31"/>
      <c r="AF852" s="160"/>
      <c r="AG852" s="391"/>
      <c r="AH852" s="394"/>
      <c r="AI852" s="397"/>
      <c r="AJ852" s="408"/>
      <c r="AK852" s="360"/>
      <c r="AL852" s="360"/>
      <c r="AM852" s="360"/>
      <c r="AN852" s="289">
        <f>IFERROR(Y852*AJ848/Y854,)</f>
        <v>0</v>
      </c>
      <c r="AO852" s="197" t="str">
        <f>IFERROR(VLOOKUP($G852,нормы!$A$14:$BC$57,53,0)*$W852,"")</f>
        <v/>
      </c>
      <c r="AP852" s="290">
        <f>IFERROR(Y852*AI848/Y854,)</f>
        <v>0</v>
      </c>
      <c r="AQ852" s="197" t="str">
        <f>IFERROR(VLOOKUP($G852,нормы!$A$14:$BC$57,54,0)*$W852,"")</f>
        <v/>
      </c>
      <c r="AR852" s="290">
        <f>IFERROR(AS852/SUM(AS848:AS853)*AL848,0)</f>
        <v>0</v>
      </c>
      <c r="AS852" s="197" t="str">
        <f>IFERROR(VLOOKUP($G852,нормы!$A$14:$BC$57,55,0)*W852,"")</f>
        <v/>
      </c>
      <c r="AT852" s="290">
        <f>IFERROR(AU852/SUM(AU848:AU853)*AM848,0)</f>
        <v>0</v>
      </c>
      <c r="AU852" s="197" t="str">
        <f>IFERROR(VLOOKUP($G852,нормы!$A$14:$BI$57,56,0)*W852,"")</f>
        <v/>
      </c>
      <c r="AV852" s="290">
        <f>IFERROR(AW852/SUM(AW848:AW853)*AK848,0)</f>
        <v>0</v>
      </c>
      <c r="AW852" s="202" t="str">
        <f>IFERROR(VLOOKUP($G852,нормы!$A$14:$BI$57,57,0)*W852,"")</f>
        <v/>
      </c>
      <c r="AX852" s="30"/>
      <c r="AY852" s="203" t="str">
        <f>IFERROR(VLOOKUP($G852,нормы!$A$14:$BI$57,58,0)*W852,"")</f>
        <v/>
      </c>
      <c r="AZ852" s="205"/>
      <c r="BA852" s="200" t="str">
        <f>IFERROR(VLOOKUP($G852,нормы!$A$14:$BI$57,61,0)*$W852,"")</f>
        <v/>
      </c>
      <c r="BB852" s="30"/>
      <c r="BC852" s="203" t="str">
        <f>IFERROR(VLOOKUP($G852,нормы!$A$14:$BI$57,60,0)*W852,"")</f>
        <v/>
      </c>
      <c r="BD852" s="200" t="str">
        <f>IFERROR(VLOOKUP($G852,нормы!$A$14:$BG$57,44,0),"")</f>
        <v/>
      </c>
      <c r="BE852" s="199" t="str">
        <f>IFERROR(W852/VLOOKUP($G852,нормы!$A$14:$BI$57,45,0),"")</f>
        <v/>
      </c>
    </row>
    <row r="853" spans="1:57" s="1" customFormat="1" ht="21" customHeight="1" thickBot="1" x14ac:dyDescent="0.45">
      <c r="A853" s="37" t="str">
        <f t="shared" si="338"/>
        <v>14Н</v>
      </c>
      <c r="B853" s="12">
        <f t="shared" si="339"/>
        <v>46036</v>
      </c>
      <c r="C853" s="97">
        <f t="shared" si="339"/>
        <v>0</v>
      </c>
      <c r="D853" s="97">
        <f t="shared" si="339"/>
        <v>1</v>
      </c>
      <c r="E853" s="54"/>
      <c r="F853" s="151" t="str">
        <f>IFERROR(VLOOKUP($G853,нормы!$A$14:$BC$57,2,0),"")</f>
        <v/>
      </c>
      <c r="G853" s="93"/>
      <c r="H853" s="63">
        <f t="shared" si="340"/>
        <v>0</v>
      </c>
      <c r="I853" s="153">
        <f>I849+I851</f>
        <v>0</v>
      </c>
      <c r="J853" s="334"/>
      <c r="K853" s="30">
        <f>IFERROR(VLOOKUP($G853,[1]нормы!$A$21:$BC$151,15,0),"")</f>
        <v>0</v>
      </c>
      <c r="L853" s="31">
        <f>IFERROR(VLOOKUP($G853,[1]нормы!$A$21:$BC$151,17,0),"")</f>
        <v>0</v>
      </c>
      <c r="M853" s="308">
        <f>IFERROR(VLOOKUP($G853,[1]нормы!$A$21:$BC$151,27,0),"")</f>
        <v>0</v>
      </c>
      <c r="N853" s="309" t="str">
        <f>IFERROR(Y853/Y854*(1.1*J848*I858),"")</f>
        <v/>
      </c>
      <c r="O853" s="300">
        <f>IFERROR(VLOOKUP($G853,[1]нормы!$A$21:$BC$151,21,0),"")</f>
        <v>0</v>
      </c>
      <c r="P853" s="35">
        <f>IFERROR(VLOOKUP($G853,[1]нормы!$A$21:$BC$151,19,0),"")</f>
        <v>0</v>
      </c>
      <c r="Q853" s="35">
        <f>IFERROR(VLOOKUP($G853,[1]нормы!$A$21:$BC$151,23,0),"")</f>
        <v>0</v>
      </c>
      <c r="R853" s="231">
        <f>IFERROR(VLOOKUP($G853,[1]нормы!$A$21:$BC$151,29,0),"")</f>
        <v>0</v>
      </c>
      <c r="S853" s="35">
        <f>IFERROR(VLOOKUP($G853,[1]нормы!$A$21:$BC$151,31,0),"")</f>
        <v>0</v>
      </c>
      <c r="T853" s="32">
        <f>IFERROR(VLOOKUP($G853,[1]нормы!$A$21:$BC$151,25,0),"")</f>
        <v>0</v>
      </c>
      <c r="U853" s="235" t="str">
        <f>IFERROR(W853/(((100*Y853/Y854)*I853)/100),"")</f>
        <v/>
      </c>
      <c r="V853" s="234" t="str">
        <f>IFERROR(VLOOKUP($G853,нормы!$A$14:$BC$57,38,0),"")</f>
        <v/>
      </c>
      <c r="W853" s="154"/>
      <c r="X853" s="238"/>
      <c r="Y853" s="152" t="str">
        <f>IFERROR(VLOOKUP($G853,нормы!$A$14:$BC$57,42,0)*W853,"")</f>
        <v/>
      </c>
      <c r="Z853" s="163">
        <f>IFERROR(VLOOKUP($G853,нормы!$A$14:$BC$57,14,0)*W853/1000,0)</f>
        <v>0</v>
      </c>
      <c r="AA853" s="56"/>
      <c r="AB853" s="58"/>
      <c r="AC853" s="58"/>
      <c r="AD853" s="58"/>
      <c r="AE853" s="57"/>
      <c r="AF853" s="161"/>
      <c r="AG853" s="392"/>
      <c r="AH853" s="395"/>
      <c r="AI853" s="398"/>
      <c r="AJ853" s="409"/>
      <c r="AK853" s="361"/>
      <c r="AL853" s="361"/>
      <c r="AM853" s="361"/>
      <c r="AN853" s="291">
        <f>IFERROR(Y853*AJ848/Y854,)</f>
        <v>0</v>
      </c>
      <c r="AO853" s="197" t="str">
        <f>IFERROR(VLOOKUP($G853,нормы!$A$14:$BC$57,53,0)*$W853,"")</f>
        <v/>
      </c>
      <c r="AP853" s="292">
        <f>IFERROR(Y853*AI848/Y854,)</f>
        <v>0</v>
      </c>
      <c r="AQ853" s="197" t="str">
        <f>IFERROR(VLOOKUP($G853,нормы!$A$14:$BC$57,54,0)*$W853,"")</f>
        <v/>
      </c>
      <c r="AR853" s="290">
        <f>IFERROR(AS853/SUM(AS848:AS853)*AL848,0)</f>
        <v>0</v>
      </c>
      <c r="AS853" s="197" t="str">
        <f>IFERROR(VLOOKUP($G853,нормы!$A$14:$BC$57,55,0)*W853,"")</f>
        <v/>
      </c>
      <c r="AT853" s="292">
        <f>IFERROR(AU853/SUM(AU848:AU853)*AM848,0)</f>
        <v>0</v>
      </c>
      <c r="AU853" s="197" t="str">
        <f>IFERROR(VLOOKUP($G853,нормы!$A$14:$BI$57,56,0)*W853,"")</f>
        <v/>
      </c>
      <c r="AV853" s="292">
        <f>IFERROR(AW853/SUM(AW848:AW853)*AK848,0)</f>
        <v>0</v>
      </c>
      <c r="AW853" s="202" t="str">
        <f>IFERROR(VLOOKUP($G853,нормы!$A$14:$BI$57,57,0)*W853,"")</f>
        <v/>
      </c>
      <c r="AX853" s="56"/>
      <c r="AY853" s="203" t="str">
        <f>IFERROR(VLOOKUP($G853,нормы!$A$14:$BI$57,58,0)*W853,"")</f>
        <v/>
      </c>
      <c r="AZ853" s="206"/>
      <c r="BA853" s="200" t="str">
        <f>IFERROR(VLOOKUP($G853,нормы!$A$14:$BI$57,61,0)*$W853,"")</f>
        <v/>
      </c>
      <c r="BB853" s="56"/>
      <c r="BC853" s="203" t="str">
        <f>IFERROR(VLOOKUP($G853,нормы!$A$14:$BI$57,60,0)*W853,"")</f>
        <v/>
      </c>
      <c r="BD853" s="200" t="str">
        <f>IFERROR(VLOOKUP($G853,нормы!$A$14:$BG$57,44,0),"")</f>
        <v/>
      </c>
      <c r="BE853" s="199" t="str">
        <f>IFERROR(W853/VLOOKUP($G853,нормы!$A$14:$BI$57,45,0),"")</f>
        <v/>
      </c>
    </row>
    <row r="854" spans="1:57" s="1" customFormat="1" ht="29.4" customHeight="1" thickBot="1" x14ac:dyDescent="0.45">
      <c r="A854" s="37" t="str">
        <f t="shared" si="338"/>
        <v>14Н</v>
      </c>
      <c r="B854" s="59"/>
      <c r="C854" s="51"/>
      <c r="D854" s="51"/>
      <c r="E854" s="51"/>
      <c r="F854" s="295" t="s">
        <v>149</v>
      </c>
      <c r="G854" s="51"/>
      <c r="H854" s="51"/>
      <c r="I854" s="60"/>
      <c r="J854" s="60"/>
      <c r="K854" s="319" t="s">
        <v>213</v>
      </c>
      <c r="L854" s="316"/>
      <c r="M854" s="303" t="s">
        <v>213</v>
      </c>
      <c r="N854" s="317">
        <f>SUM(N848:N853)</f>
        <v>0</v>
      </c>
      <c r="O854" s="304" t="s">
        <v>216</v>
      </c>
      <c r="P854" s="318">
        <f>N854*8.937/1000</f>
        <v>0</v>
      </c>
      <c r="Q854" s="305" t="s">
        <v>215</v>
      </c>
      <c r="R854" s="61"/>
      <c r="S854" s="61"/>
      <c r="T854" s="61"/>
      <c r="U854" s="109"/>
      <c r="V854" s="109"/>
      <c r="W854" s="94"/>
      <c r="X854" s="155"/>
      <c r="Y854" s="96">
        <f>SUM(Y848:Y853)</f>
        <v>0</v>
      </c>
      <c r="Z854" s="164">
        <f>SUM(Z848:Z853)</f>
        <v>0</v>
      </c>
      <c r="AA854" s="62"/>
      <c r="AB854" s="62"/>
      <c r="AC854" s="62"/>
      <c r="AD854" s="62"/>
      <c r="AE854" s="62"/>
      <c r="AF854" s="62"/>
      <c r="AG854" s="162" t="s">
        <v>140</v>
      </c>
      <c r="AH854" s="162" t="s">
        <v>141</v>
      </c>
      <c r="AI854" s="162" t="s">
        <v>142</v>
      </c>
      <c r="AJ854" s="91" t="s">
        <v>126</v>
      </c>
      <c r="AK854" s="198" t="s">
        <v>136</v>
      </c>
      <c r="AL854" s="198" t="s">
        <v>137</v>
      </c>
      <c r="AM854" s="198" t="s">
        <v>138</v>
      </c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53" t="str">
        <f>IFERROR(W854/VLOOKUP($G854,нормы!$A$14:$BI$15,28,0),"")</f>
        <v/>
      </c>
    </row>
    <row r="855" spans="1:57" s="1" customFormat="1" ht="21.6" customHeight="1" x14ac:dyDescent="0.4">
      <c r="A855" s="37" t="str">
        <f t="shared" si="338"/>
        <v>14Н</v>
      </c>
      <c r="B855" s="12">
        <f>B853</f>
        <v>46036</v>
      </c>
      <c r="C855" s="97"/>
      <c r="D855" s="97">
        <v>2</v>
      </c>
      <c r="E855" s="29"/>
      <c r="F855" s="151" t="str">
        <f>IFERROR(VLOOKUP($G855,нормы!$A$14:$BC$57,2,0),"")</f>
        <v/>
      </c>
      <c r="G855" s="93"/>
      <c r="H855" s="54">
        <f>IF(C855=1,"Кульков С.А.", IF(C855=2,"Чудаков А.А.",IF(C855=3,"Королев В.Н.",IF(C855=4,"Николашин М.П.",IF(C855=5," Кульков С.А.",IF(C855=6,"А.А. Чудаков",IF(C855=7,"В.Н. Королев",IF(C855=8,"М.П. Николашин",0))))))))</f>
        <v>0</v>
      </c>
      <c r="I855" s="88" t="s">
        <v>211</v>
      </c>
      <c r="J855" s="332"/>
      <c r="K855" s="30">
        <f>IFERROR(VLOOKUP($G855,[1]нормы!$A$21:$BC$151,15,0),"")</f>
        <v>0</v>
      </c>
      <c r="L855" s="31">
        <f>IFERROR(VLOOKUP($G855,[1]нормы!$A$21:$BC$151,17,0),"")</f>
        <v>0</v>
      </c>
      <c r="M855" s="310">
        <f>IFERROR(VLOOKUP($G855,[1]нормы!$A$21:$BC$151,27,0),"")</f>
        <v>0</v>
      </c>
      <c r="N855" s="311" t="str">
        <f>IFERROR(Y855/Y861*(1.1*J855*I860),"")</f>
        <v/>
      </c>
      <c r="O855" s="300">
        <f>IFERROR(VLOOKUP($G855,[1]нормы!$A$21:$BC$151,21,0),"")</f>
        <v>0</v>
      </c>
      <c r="P855" s="35">
        <f>IFERROR(VLOOKUP($G855,[1]нормы!$A$21:$BC$151,19,0),"")</f>
        <v>0</v>
      </c>
      <c r="Q855" s="35">
        <f>IFERROR(VLOOKUP($G855,[1]нормы!$A$21:$BC$151,23,0),"")</f>
        <v>0</v>
      </c>
      <c r="R855" s="231">
        <f>IFERROR(VLOOKUP($G855,[1]нормы!$A$21:$BC$151,29,0),"")</f>
        <v>0</v>
      </c>
      <c r="S855" s="35">
        <f>IFERROR(VLOOKUP($G855,[1]нормы!$A$21:$BC$151,31,0),"")</f>
        <v>0</v>
      </c>
      <c r="T855" s="32">
        <f>IFERROR(VLOOKUP($G855,[1]нормы!$A$21:$BC$151,25,0),"")</f>
        <v>0</v>
      </c>
      <c r="U855" s="232" t="str">
        <f>IFERROR(W855/(((100*Y855/Y861)*I860)/100),"")</f>
        <v/>
      </c>
      <c r="V855" s="234" t="str">
        <f>IFERROR(VLOOKUP($G855,нормы!$A$14:$BC$57,38,0),"")</f>
        <v/>
      </c>
      <c r="W855" s="136"/>
      <c r="X855" s="236"/>
      <c r="Y855" s="152" t="str">
        <f>IFERROR(VLOOKUP($G855,нормы!$A$14:$BC$57,42,0)*W855,"")</f>
        <v/>
      </c>
      <c r="Z855" s="163">
        <f>IFERROR(VLOOKUP($G855,нормы!$A$14:$BC$57,14,0)*W855/1000,0)</f>
        <v>0</v>
      </c>
      <c r="AA855" s="33"/>
      <c r="AB855" s="36"/>
      <c r="AC855" s="36"/>
      <c r="AD855" s="36"/>
      <c r="AE855" s="34"/>
      <c r="AF855" s="159"/>
      <c r="AG855" s="390"/>
      <c r="AH855" s="393"/>
      <c r="AI855" s="396"/>
      <c r="AJ855" s="407">
        <f>AG855+AH855</f>
        <v>0</v>
      </c>
      <c r="AK855" s="359"/>
      <c r="AL855" s="359"/>
      <c r="AM855" s="359"/>
      <c r="AN855" s="287">
        <f>IFERROR(Y855*AJ855/Y861,)</f>
        <v>0</v>
      </c>
      <c r="AO855" s="197" t="str">
        <f>IFERROR(VLOOKUP($G855,нормы!$A$14:$BC$57,53,0)*$W855,"")</f>
        <v/>
      </c>
      <c r="AP855" s="288">
        <f>IFERROR(Y855*AI855/Y861,)</f>
        <v>0</v>
      </c>
      <c r="AQ855" s="197" t="str">
        <f>IFERROR(VLOOKUP($G855,нормы!$A$14:$BC$57,54,0)*$W855,"")</f>
        <v/>
      </c>
      <c r="AR855" s="288">
        <f>IFERROR(AS855/SUM(AS855:AS860)*AL855,0)</f>
        <v>0</v>
      </c>
      <c r="AS855" s="197" t="str">
        <f>IFERROR(VLOOKUP($G855,нормы!$A$14:$BC$57,55,0)*W855,"")</f>
        <v/>
      </c>
      <c r="AT855" s="288">
        <f>IFERROR(AU855/SUM(AU855:AU860)*AM855,0)</f>
        <v>0</v>
      </c>
      <c r="AU855" s="197" t="str">
        <f>IFERROR(VLOOKUP($G855,нормы!$A$14:$BI$57,56,0)*W855,"")</f>
        <v/>
      </c>
      <c r="AV855" s="288">
        <f>IFERROR(AW855/SUM(AW855:AW860)*AK855,0)</f>
        <v>0</v>
      </c>
      <c r="AW855" s="202" t="str">
        <f>IFERROR(VLOOKUP($G855,нормы!$A$14:$BI$57,57,0)*W855,"")</f>
        <v/>
      </c>
      <c r="AX855" s="33"/>
      <c r="AY855" s="203" t="str">
        <f>IFERROR(VLOOKUP($G855,нормы!$A$14:$BI$57,58,0)*W855,"")</f>
        <v/>
      </c>
      <c r="AZ855" s="204"/>
      <c r="BA855" s="200" t="str">
        <f>IFERROR(VLOOKUP($G855,нормы!$A$14:$BI$57,61,0)*$W855,"")</f>
        <v/>
      </c>
      <c r="BB855" s="33"/>
      <c r="BC855" s="203" t="str">
        <f>IFERROR(VLOOKUP($G855,нормы!$A$14:$BI$57,60,0)*W855,"")</f>
        <v/>
      </c>
      <c r="BD855" s="200" t="str">
        <f>IFERROR(VLOOKUP($G855,нормы!$A$14:$BG$57,44,0),"")</f>
        <v/>
      </c>
      <c r="BE855" s="199" t="str">
        <f>IFERROR(W855/VLOOKUP($G855,нормы!$A$14:$BI$57,45,0),"")</f>
        <v/>
      </c>
    </row>
    <row r="856" spans="1:57" s="1" customFormat="1" ht="21.6" customHeight="1" x14ac:dyDescent="0.4">
      <c r="A856" s="37" t="str">
        <f t="shared" si="338"/>
        <v>14Н</v>
      </c>
      <c r="B856" s="12">
        <f t="shared" ref="B856:D860" si="341">B855</f>
        <v>46036</v>
      </c>
      <c r="C856" s="97">
        <f t="shared" si="341"/>
        <v>0</v>
      </c>
      <c r="D856" s="97">
        <f t="shared" si="341"/>
        <v>2</v>
      </c>
      <c r="E856" s="54"/>
      <c r="F856" s="151" t="str">
        <f>IFERROR(VLOOKUP($G856,нормы!$A$14:$BC$57,2,0),"")</f>
        <v/>
      </c>
      <c r="G856" s="93"/>
      <c r="H856" s="54">
        <f t="shared" ref="H856:H860" si="342">IF(C856=1,"Кульков С.А.", IF(C856=2,"Чудаков А.А.",IF(C856=3,"Королев В.Н.",IF(C856=4,"Николашин М.П.",IF(C856=5," Кульков С.А.",IF(C856=6,"А.А. Чудаков",IF(C856=7,"В.Н. Королев",IF(C856=8,"М.П. Николашин",0))))))))</f>
        <v>0</v>
      </c>
      <c r="I856" s="55"/>
      <c r="J856" s="333"/>
      <c r="K856" s="30">
        <f>IFERROR(VLOOKUP($G856,[1]нормы!$A$21:$BC$151,15,0),"")</f>
        <v>0</v>
      </c>
      <c r="L856" s="31">
        <f>IFERROR(VLOOKUP($G856,[1]нормы!$A$21:$BC$151,17,0),"")</f>
        <v>0</v>
      </c>
      <c r="M856" s="306">
        <f>IFERROR(VLOOKUP($G856,[1]нормы!$A$21:$BC$151,27,0),"")</f>
        <v>0</v>
      </c>
      <c r="N856" s="307" t="str">
        <f>IFERROR(Y856/Y861*(1.1*J855*I860),"")</f>
        <v/>
      </c>
      <c r="O856" s="300">
        <f>IFERROR(VLOOKUP($G856,[1]нормы!$A$21:$BC$151,21,0),"")</f>
        <v>0</v>
      </c>
      <c r="P856" s="35">
        <f>IFERROR(VLOOKUP($G856,[1]нормы!$A$21:$BC$151,19,0),"")</f>
        <v>0</v>
      </c>
      <c r="Q856" s="35">
        <f>IFERROR(VLOOKUP($G856,[1]нормы!$A$21:$BC$151,23,0),"")</f>
        <v>0</v>
      </c>
      <c r="R856" s="231">
        <f>IFERROR(VLOOKUP($G856,[1]нормы!$A$21:$BC$151,29,0),"")</f>
        <v>0</v>
      </c>
      <c r="S856" s="35">
        <f>IFERROR(VLOOKUP($G856,[1]нормы!$A$21:$BC$151,31,0),"")</f>
        <v>0</v>
      </c>
      <c r="T856" s="32">
        <f>IFERROR(VLOOKUP($G856,[1]нормы!$A$21:$BC$151,25,0),"")</f>
        <v>0</v>
      </c>
      <c r="U856" s="233" t="str">
        <f>IFERROR(W856/(((100*Y856/Y861)*I860)/100),"")</f>
        <v/>
      </c>
      <c r="V856" s="234" t="str">
        <f>IFERROR(VLOOKUP($G856,нормы!$A$14:$BC$57,38,0),"")</f>
        <v/>
      </c>
      <c r="W856" s="136"/>
      <c r="X856" s="237"/>
      <c r="Y856" s="152" t="str">
        <f>IFERROR(VLOOKUP($G856,нормы!$A$14:$BC$57,42,0)*W856,"")</f>
        <v/>
      </c>
      <c r="Z856" s="163">
        <f>IFERROR(VLOOKUP($G856,нормы!$A$14:$BC$57,14,0)*W856/1000,0)</f>
        <v>0</v>
      </c>
      <c r="AA856" s="142"/>
      <c r="AB856" s="35"/>
      <c r="AC856" s="35"/>
      <c r="AD856" s="35"/>
      <c r="AE856" s="31"/>
      <c r="AF856" s="160"/>
      <c r="AG856" s="391"/>
      <c r="AH856" s="394"/>
      <c r="AI856" s="397"/>
      <c r="AJ856" s="408"/>
      <c r="AK856" s="360"/>
      <c r="AL856" s="360"/>
      <c r="AM856" s="360"/>
      <c r="AN856" s="289">
        <f>IFERROR(Y856*AJ855/Y861,)</f>
        <v>0</v>
      </c>
      <c r="AO856" s="197" t="str">
        <f>IFERROR(VLOOKUP($G856,нормы!$A$14:$BC$57,53,0)*$W856,"")</f>
        <v/>
      </c>
      <c r="AP856" s="290">
        <f>IFERROR(Y856*AI855/Y861,)</f>
        <v>0</v>
      </c>
      <c r="AQ856" s="197" t="str">
        <f>IFERROR(VLOOKUP($G856,нормы!$A$14:$BC$57,54,0)*$W856,"")</f>
        <v/>
      </c>
      <c r="AR856" s="290">
        <f>IFERROR(AS856/SUM(AS855:AS860)*AL855,0)</f>
        <v>0</v>
      </c>
      <c r="AS856" s="197" t="str">
        <f>IFERROR(VLOOKUP($G856,нормы!$A$14:$BC$57,55,0)*W856,"")</f>
        <v/>
      </c>
      <c r="AT856" s="290">
        <f>IFERROR(AU856/SUM(AU855:AU860)*AM855,0)</f>
        <v>0</v>
      </c>
      <c r="AU856" s="197" t="str">
        <f>IFERROR(VLOOKUP($G856,нормы!$A$14:$BI$57,56,0)*W856,"")</f>
        <v/>
      </c>
      <c r="AV856" s="290">
        <f>IFERROR(AW856/SUM(AW855:AW860)*AK855,0)</f>
        <v>0</v>
      </c>
      <c r="AW856" s="202" t="str">
        <f>IFERROR(VLOOKUP($G856,нормы!$A$14:$BI$57,57,0)*W856,"")</f>
        <v/>
      </c>
      <c r="AX856" s="30"/>
      <c r="AY856" s="203" t="str">
        <f>IFERROR(VLOOKUP($G856,нормы!$A$14:$BI$57,58,0)*W856,"")</f>
        <v/>
      </c>
      <c r="AZ856" s="205"/>
      <c r="BA856" s="200" t="str">
        <f>IFERROR(VLOOKUP($G856,нормы!$A$14:$BI$57,61,0)*$W856,"")</f>
        <v/>
      </c>
      <c r="BB856" s="30"/>
      <c r="BC856" s="203" t="str">
        <f>IFERROR(VLOOKUP($G856,нормы!$A$14:$BI$57,60,0)*W856,"")</f>
        <v/>
      </c>
      <c r="BD856" s="200" t="str">
        <f>IFERROR(VLOOKUP($G856,нормы!$A$14:$BG$57,44,0),"")</f>
        <v/>
      </c>
      <c r="BE856" s="199" t="str">
        <f>IFERROR(W856/VLOOKUP($G856,нормы!$A$14:$BI$57,45,0),"")</f>
        <v/>
      </c>
    </row>
    <row r="857" spans="1:57" s="1" customFormat="1" ht="20.25" customHeight="1" x14ac:dyDescent="0.4">
      <c r="A857" s="37" t="str">
        <f t="shared" si="338"/>
        <v>14Н</v>
      </c>
      <c r="B857" s="12">
        <f t="shared" si="341"/>
        <v>46036</v>
      </c>
      <c r="C857" s="97">
        <f t="shared" si="341"/>
        <v>0</v>
      </c>
      <c r="D857" s="97">
        <f t="shared" si="341"/>
        <v>2</v>
      </c>
      <c r="E857" s="54"/>
      <c r="F857" s="151" t="str">
        <f>IFERROR(VLOOKUP($G857,нормы!$A$14:$BC$57,2,0),"")</f>
        <v/>
      </c>
      <c r="G857" s="38"/>
      <c r="H857" s="54">
        <f t="shared" si="342"/>
        <v>0</v>
      </c>
      <c r="I857" s="89" t="s">
        <v>212</v>
      </c>
      <c r="J857" s="333"/>
      <c r="K857" s="30">
        <f>IFERROR(VLOOKUP($G857,[1]нормы!$A$21:$BC$151,15,0),"")</f>
        <v>0</v>
      </c>
      <c r="L857" s="31">
        <f>IFERROR(VLOOKUP($G857,[1]нормы!$A$21:$BC$151,17,0),"")</f>
        <v>0</v>
      </c>
      <c r="M857" s="306">
        <f>IFERROR(VLOOKUP($G857,[1]нормы!$A$21:$BC$151,27,0),"")</f>
        <v>0</v>
      </c>
      <c r="N857" s="307" t="str">
        <f>IFERROR(Y857/Y861*(1.1*J855*I860),"")</f>
        <v/>
      </c>
      <c r="O857" s="300">
        <f>IFERROR(VLOOKUP($G857,[1]нормы!$A$21:$BC$151,21,0),"")</f>
        <v>0</v>
      </c>
      <c r="P857" s="35">
        <f>IFERROR(VLOOKUP($G857,[1]нормы!$A$21:$BC$151,19,0),"")</f>
        <v>0</v>
      </c>
      <c r="Q857" s="35">
        <f>IFERROR(VLOOKUP($G857,[1]нормы!$A$21:$BC$151,23,0),"")</f>
        <v>0</v>
      </c>
      <c r="R857" s="231">
        <f>IFERROR(VLOOKUP($G857,[1]нормы!$A$21:$BC$151,29,0),"")</f>
        <v>0</v>
      </c>
      <c r="S857" s="35">
        <f>IFERROR(VLOOKUP($G857,[1]нормы!$A$21:$BC$151,31,0),"")</f>
        <v>0</v>
      </c>
      <c r="T857" s="32">
        <f>IFERROR(VLOOKUP($G857,[1]нормы!$A$21:$BC$151,25,0),"")</f>
        <v>0</v>
      </c>
      <c r="U857" s="233" t="str">
        <f>IFERROR(W857/(((100*Y857/Y861)*I860)/100),"")</f>
        <v/>
      </c>
      <c r="V857" s="234" t="str">
        <f>IFERROR(VLOOKUP($G857,нормы!$A$14:$BC$57,38,0),"")</f>
        <v/>
      </c>
      <c r="W857" s="136"/>
      <c r="X857" s="237"/>
      <c r="Y857" s="152" t="str">
        <f>IFERROR(VLOOKUP($G857,нормы!$A$14:$BC$57,42,0)*W857,"")</f>
        <v/>
      </c>
      <c r="Z857" s="163">
        <f>IFERROR(VLOOKUP($G857,нормы!$A$14:$BC$57,14,0)*W857/1000,0)</f>
        <v>0</v>
      </c>
      <c r="AA857" s="30"/>
      <c r="AB857" s="35"/>
      <c r="AC857" s="35"/>
      <c r="AD857" s="35"/>
      <c r="AE857" s="31"/>
      <c r="AF857" s="160"/>
      <c r="AG857" s="391"/>
      <c r="AH857" s="394"/>
      <c r="AI857" s="397"/>
      <c r="AJ857" s="408"/>
      <c r="AK857" s="360"/>
      <c r="AL857" s="360"/>
      <c r="AM857" s="360"/>
      <c r="AN857" s="289">
        <f>IFERROR(Y857*AJ855/Y861,)</f>
        <v>0</v>
      </c>
      <c r="AO857" s="197" t="str">
        <f>IFERROR(VLOOKUP($G857,нормы!$A$14:$BC$57,53,0)*$W857,"")</f>
        <v/>
      </c>
      <c r="AP857" s="290">
        <f>IFERROR(Y857*AI855/Y861,)</f>
        <v>0</v>
      </c>
      <c r="AQ857" s="197" t="str">
        <f>IFERROR(VLOOKUP($G857,нормы!$A$14:$BC$57,54,0)*$W857,"")</f>
        <v/>
      </c>
      <c r="AR857" s="290">
        <f>IFERROR(AS857/SUM(AS855:AS860)*AL855,0)</f>
        <v>0</v>
      </c>
      <c r="AS857" s="197" t="str">
        <f>IFERROR(VLOOKUP($G857,нормы!$A$14:$BC$57,55,0)*W857,"")</f>
        <v/>
      </c>
      <c r="AT857" s="290">
        <f>IFERROR(AU857/SUM(AU855:AU860)*AM855,0)</f>
        <v>0</v>
      </c>
      <c r="AU857" s="197" t="str">
        <f>IFERROR(VLOOKUP($G857,нормы!$A$14:$BI$57,56,0)*W857,"")</f>
        <v/>
      </c>
      <c r="AV857" s="290">
        <f>IFERROR(AW857/SUM(AW855:AW860)*AK855,0)</f>
        <v>0</v>
      </c>
      <c r="AW857" s="202" t="str">
        <f>IFERROR(VLOOKUP($G857,нормы!$A$14:$BI$57,57,0)*W857,"")</f>
        <v/>
      </c>
      <c r="AX857" s="30"/>
      <c r="AY857" s="203" t="str">
        <f>IFERROR(VLOOKUP($G857,нормы!$A$14:$BI$57,58,0)*W857,"")</f>
        <v/>
      </c>
      <c r="AZ857" s="205"/>
      <c r="BA857" s="200" t="str">
        <f>IFERROR(VLOOKUP($G857,нормы!$A$14:$BI$57,61,0)*$W857,"")</f>
        <v/>
      </c>
      <c r="BB857" s="30"/>
      <c r="BC857" s="203" t="str">
        <f>IFERROR(VLOOKUP($G857,нормы!$A$14:$BI$57,60,0)*W857,"")</f>
        <v/>
      </c>
      <c r="BD857" s="200" t="str">
        <f>IFERROR(VLOOKUP($G857,нормы!$A$14:$BG$57,44,0),"")</f>
        <v/>
      </c>
      <c r="BE857" s="199" t="str">
        <f>IFERROR(W857/VLOOKUP($G857,нормы!$A$14:$BI$57,45,0),"")</f>
        <v/>
      </c>
    </row>
    <row r="858" spans="1:57" s="1" customFormat="1" ht="20.25" customHeight="1" x14ac:dyDescent="0.4">
      <c r="A858" s="37" t="str">
        <f t="shared" si="338"/>
        <v>14Н</v>
      </c>
      <c r="B858" s="12">
        <f t="shared" si="341"/>
        <v>46036</v>
      </c>
      <c r="C858" s="97">
        <f t="shared" si="341"/>
        <v>0</v>
      </c>
      <c r="D858" s="97">
        <f t="shared" si="341"/>
        <v>2</v>
      </c>
      <c r="E858" s="54"/>
      <c r="F858" s="151" t="str">
        <f>IFERROR(VLOOKUP($G858,нормы!$A$14:$BC$57,2,0),"")</f>
        <v/>
      </c>
      <c r="G858" s="93"/>
      <c r="H858" s="54">
        <f t="shared" si="342"/>
        <v>0</v>
      </c>
      <c r="I858" s="55"/>
      <c r="J858" s="333"/>
      <c r="K858" s="30">
        <f>IFERROR(VLOOKUP($G858,[1]нормы!$A$21:$BC$151,15,0),"")</f>
        <v>0</v>
      </c>
      <c r="L858" s="31">
        <f>IFERROR(VLOOKUP($G858,[1]нормы!$A$21:$BC$151,17,0),"")</f>
        <v>0</v>
      </c>
      <c r="M858" s="306">
        <f>IFERROR(VLOOKUP($G858,[1]нормы!$A$21:$BC$151,27,0),"")</f>
        <v>0</v>
      </c>
      <c r="N858" s="307" t="str">
        <f>IFERROR(Y858/Y861*(1.1*J855*I863),"")</f>
        <v/>
      </c>
      <c r="O858" s="300">
        <f>IFERROR(VLOOKUP($G858,[1]нормы!$A$21:$BC$151,21,0),"")</f>
        <v>0</v>
      </c>
      <c r="P858" s="35">
        <f>IFERROR(VLOOKUP($G858,[1]нормы!$A$21:$BC$151,19,0),"")</f>
        <v>0</v>
      </c>
      <c r="Q858" s="35">
        <f>IFERROR(VLOOKUP($G858,[1]нормы!$A$21:$BC$151,23,0),"")</f>
        <v>0</v>
      </c>
      <c r="R858" s="231">
        <f>IFERROR(VLOOKUP($G858,[1]нормы!$A$21:$BC$151,29,0),"")</f>
        <v>0</v>
      </c>
      <c r="S858" s="35">
        <f>IFERROR(VLOOKUP($G858,[1]нормы!$A$21:$BC$151,31,0),"")</f>
        <v>0</v>
      </c>
      <c r="T858" s="32">
        <f>IFERROR(VLOOKUP($G858,[1]нормы!$A$21:$BC$151,25,0),"")</f>
        <v>0</v>
      </c>
      <c r="U858" s="233" t="str">
        <f>IFERROR(W858/(((100*Y858/Y861)*I860)/100),"")</f>
        <v/>
      </c>
      <c r="V858" s="234" t="str">
        <f>IFERROR(VLOOKUP($G858,нормы!$A$14:$BC$57,38,0),"")</f>
        <v/>
      </c>
      <c r="W858" s="136"/>
      <c r="X858" s="237"/>
      <c r="Y858" s="152" t="str">
        <f>IFERROR(VLOOKUP($G858,нормы!$A$14:$BC$57,42,0)*W858,"")</f>
        <v/>
      </c>
      <c r="Z858" s="163">
        <f>IFERROR(VLOOKUP($G858,нормы!$A$14:$BC$57,14,0)*W858/1000,0)</f>
        <v>0</v>
      </c>
      <c r="AA858" s="30"/>
      <c r="AB858" s="35"/>
      <c r="AC858" s="35"/>
      <c r="AD858" s="35"/>
      <c r="AE858" s="31"/>
      <c r="AF858" s="160"/>
      <c r="AG858" s="391"/>
      <c r="AH858" s="394"/>
      <c r="AI858" s="397"/>
      <c r="AJ858" s="408"/>
      <c r="AK858" s="360"/>
      <c r="AL858" s="360"/>
      <c r="AM858" s="360"/>
      <c r="AN858" s="289">
        <f>IFERROR(Y858*AJ855/Y861,)</f>
        <v>0</v>
      </c>
      <c r="AO858" s="197" t="str">
        <f>IFERROR(VLOOKUP($G858,нормы!$A$14:$BC$57,53,0)*$W858,"")</f>
        <v/>
      </c>
      <c r="AP858" s="290">
        <f>IFERROR(Y858*AI855/Y861,)</f>
        <v>0</v>
      </c>
      <c r="AQ858" s="197" t="str">
        <f>IFERROR(VLOOKUP($G858,нормы!$A$14:$BC$57,54,0)*$W858,"")</f>
        <v/>
      </c>
      <c r="AR858" s="290">
        <f>IFERROR(AS858/SUM(AS855:AS860)*AL855,0)</f>
        <v>0</v>
      </c>
      <c r="AS858" s="197" t="str">
        <f>IFERROR(VLOOKUP($G858,нормы!$A$14:$BC$57,55,0)*W858,"")</f>
        <v/>
      </c>
      <c r="AT858" s="290">
        <f>IFERROR(AU858/SUM(AU855:AU860)*AM855,0)</f>
        <v>0</v>
      </c>
      <c r="AU858" s="197" t="str">
        <f>IFERROR(VLOOKUP($G858,нормы!$A$14:$BI$57,56,0)*W858,"")</f>
        <v/>
      </c>
      <c r="AV858" s="290">
        <f>IFERROR(AW858/SUM(AW855:AW860)*AK855,0)</f>
        <v>0</v>
      </c>
      <c r="AW858" s="202" t="str">
        <f>IFERROR(VLOOKUP($G858,нормы!$A$14:$BI$57,57,0)*W858,"")</f>
        <v/>
      </c>
      <c r="AX858" s="30"/>
      <c r="AY858" s="203" t="str">
        <f>IFERROR(VLOOKUP($G858,нормы!$A$14:$BI$57,58,0)*W858,"")</f>
        <v/>
      </c>
      <c r="AZ858" s="205"/>
      <c r="BA858" s="200" t="str">
        <f>IFERROR(VLOOKUP($G858,нормы!$A$14:$BI$57,61,0)*$W858,"")</f>
        <v/>
      </c>
      <c r="BB858" s="30"/>
      <c r="BC858" s="203" t="str">
        <f>IFERROR(VLOOKUP($G858,нормы!$A$14:$BI$57,60,0)*W858,"")</f>
        <v/>
      </c>
      <c r="BD858" s="200" t="str">
        <f>IFERROR(VLOOKUP($G858,нормы!$A$14:$BG$57,44,0),"")</f>
        <v/>
      </c>
      <c r="BE858" s="199" t="str">
        <f>IFERROR(W858/VLOOKUP($G858,нормы!$A$14:$BI$57,45,0),"")</f>
        <v/>
      </c>
    </row>
    <row r="859" spans="1:57" s="1" customFormat="1" ht="20.25" customHeight="1" x14ac:dyDescent="0.4">
      <c r="A859" s="37" t="str">
        <f t="shared" si="338"/>
        <v>14Н</v>
      </c>
      <c r="B859" s="12">
        <f t="shared" si="341"/>
        <v>46036</v>
      </c>
      <c r="C859" s="97">
        <f t="shared" si="341"/>
        <v>0</v>
      </c>
      <c r="D859" s="97">
        <f t="shared" si="341"/>
        <v>2</v>
      </c>
      <c r="E859" s="54"/>
      <c r="F859" s="151" t="str">
        <f>IFERROR(VLOOKUP($G859,нормы!$A$14:$BC$57,2,0),"")</f>
        <v/>
      </c>
      <c r="G859" s="38"/>
      <c r="H859" s="54">
        <f t="shared" si="342"/>
        <v>0</v>
      </c>
      <c r="I859" s="89" t="s">
        <v>73</v>
      </c>
      <c r="J859" s="333"/>
      <c r="K859" s="30">
        <f>IFERROR(VLOOKUP($G859,[1]нормы!$A$21:$BC$151,15,0),"")</f>
        <v>0</v>
      </c>
      <c r="L859" s="31">
        <f>IFERROR(VLOOKUP($G859,[1]нормы!$A$21:$BC$151,17,0),"")</f>
        <v>0</v>
      </c>
      <c r="M859" s="306">
        <f>IFERROR(VLOOKUP($G859,[1]нормы!$A$21:$BC$151,27,0),"")</f>
        <v>0</v>
      </c>
      <c r="N859" s="307" t="str">
        <f>IFERROR(Y859/Y861*(1.1*J855*I864),"")</f>
        <v/>
      </c>
      <c r="O859" s="300">
        <f>IFERROR(VLOOKUP($G859,[1]нормы!$A$21:$BC$151,21,0),"")</f>
        <v>0</v>
      </c>
      <c r="P859" s="35">
        <f>IFERROR(VLOOKUP($G859,[1]нормы!$A$21:$BC$151,19,0),"")</f>
        <v>0</v>
      </c>
      <c r="Q859" s="35">
        <f>IFERROR(VLOOKUP($G859,[1]нормы!$A$21:$BC$151,23,0),"")</f>
        <v>0</v>
      </c>
      <c r="R859" s="231">
        <f>IFERROR(VLOOKUP($G859,[1]нормы!$A$21:$BC$151,29,0),"")</f>
        <v>0</v>
      </c>
      <c r="S859" s="35">
        <f>IFERROR(VLOOKUP($G859,[1]нормы!$A$21:$BC$151,31,0),"")</f>
        <v>0</v>
      </c>
      <c r="T859" s="32">
        <f>IFERROR(VLOOKUP($G859,[1]нормы!$A$21:$BC$151,25,0),"")</f>
        <v>0</v>
      </c>
      <c r="U859" s="233" t="str">
        <f>IFERROR(W859/(((100*Y859/Y861)*I860)/100),"")</f>
        <v/>
      </c>
      <c r="V859" s="234" t="str">
        <f>IFERROR(VLOOKUP($G859,нормы!$A$14:$BC$57,38,0),"")</f>
        <v/>
      </c>
      <c r="W859" s="136"/>
      <c r="X859" s="237"/>
      <c r="Y859" s="152" t="str">
        <f>IFERROR(VLOOKUP($G859,нормы!$A$14:$BC$57,42,0)*W859,"")</f>
        <v/>
      </c>
      <c r="Z859" s="163">
        <f>IFERROR(VLOOKUP($G859,нормы!$A$14:$BC$57,14,0)*W859/1000,0)</f>
        <v>0</v>
      </c>
      <c r="AA859" s="30"/>
      <c r="AB859" s="35"/>
      <c r="AC859" s="35"/>
      <c r="AD859" s="35"/>
      <c r="AE859" s="31"/>
      <c r="AF859" s="160"/>
      <c r="AG859" s="391"/>
      <c r="AH859" s="394"/>
      <c r="AI859" s="397"/>
      <c r="AJ859" s="408"/>
      <c r="AK859" s="360"/>
      <c r="AL859" s="360"/>
      <c r="AM859" s="360"/>
      <c r="AN859" s="289">
        <f>IFERROR(Y859*AJ855/Y861,)</f>
        <v>0</v>
      </c>
      <c r="AO859" s="197" t="str">
        <f>IFERROR(VLOOKUP($G859,нормы!$A$14:$BC$57,53,0)*$W859,"")</f>
        <v/>
      </c>
      <c r="AP859" s="290">
        <f>IFERROR(Y859*AI855/Y861,)</f>
        <v>0</v>
      </c>
      <c r="AQ859" s="197" t="str">
        <f>IFERROR(VLOOKUP($G859,нормы!$A$14:$BC$57,54,0)*$W859,"")</f>
        <v/>
      </c>
      <c r="AR859" s="290">
        <f>IFERROR(AS859/SUM(AS855:AS860)*AL855,0)</f>
        <v>0</v>
      </c>
      <c r="AS859" s="197" t="str">
        <f>IFERROR(VLOOKUP($G859,нормы!$A$14:$BC$57,55,0)*W859,"")</f>
        <v/>
      </c>
      <c r="AT859" s="290">
        <f>IFERROR(AU859/SUM(AU855:AU860)*AM855,0)</f>
        <v>0</v>
      </c>
      <c r="AU859" s="197" t="str">
        <f>IFERROR(VLOOKUP($G859,нормы!$A$14:$BI$57,56,0)*W859,"")</f>
        <v/>
      </c>
      <c r="AV859" s="290">
        <f>IFERROR(AW859/SUM(AW855:AW860)*AK855,0)</f>
        <v>0</v>
      </c>
      <c r="AW859" s="202" t="str">
        <f>IFERROR(VLOOKUP($G859,нормы!$A$14:$BI$57,57,0)*W859,"")</f>
        <v/>
      </c>
      <c r="AX859" s="30"/>
      <c r="AY859" s="203" t="str">
        <f>IFERROR(VLOOKUP($G859,нормы!$A$14:$BI$57,58,0)*W859,"")</f>
        <v/>
      </c>
      <c r="AZ859" s="205"/>
      <c r="BA859" s="200" t="str">
        <f>IFERROR(VLOOKUP($G859,нормы!$A$14:$BI$57,61,0)*$W859,"")</f>
        <v/>
      </c>
      <c r="BB859" s="30"/>
      <c r="BC859" s="203" t="str">
        <f>IFERROR(VLOOKUP($G859,нормы!$A$14:$BI$57,60,0)*W859,"")</f>
        <v/>
      </c>
      <c r="BD859" s="200" t="str">
        <f>IFERROR(VLOOKUP($G859,нормы!$A$14:$BG$57,44,0),"")</f>
        <v/>
      </c>
      <c r="BE859" s="199" t="str">
        <f>IFERROR(W859/VLOOKUP($G859,нормы!$A$14:$BI$57,45,0),"")</f>
        <v/>
      </c>
    </row>
    <row r="860" spans="1:57" s="1" customFormat="1" ht="21" customHeight="1" thickBot="1" x14ac:dyDescent="0.45">
      <c r="A860" s="37" t="str">
        <f t="shared" si="338"/>
        <v>14Н</v>
      </c>
      <c r="B860" s="12">
        <f t="shared" si="341"/>
        <v>46036</v>
      </c>
      <c r="C860" s="97">
        <f t="shared" si="341"/>
        <v>0</v>
      </c>
      <c r="D860" s="97">
        <f t="shared" si="341"/>
        <v>2</v>
      </c>
      <c r="E860" s="54"/>
      <c r="F860" s="151" t="str">
        <f>IFERROR(VLOOKUP($G860,нормы!$A$14:$BC$57,2,0),"")</f>
        <v/>
      </c>
      <c r="G860" s="93"/>
      <c r="H860" s="63">
        <f t="shared" si="342"/>
        <v>0</v>
      </c>
      <c r="I860" s="153">
        <f>I856+I858</f>
        <v>0</v>
      </c>
      <c r="J860" s="334"/>
      <c r="K860" s="30">
        <f>IFERROR(VLOOKUP($G860,[1]нормы!$A$21:$BC$151,15,0),"")</f>
        <v>0</v>
      </c>
      <c r="L860" s="31">
        <f>IFERROR(VLOOKUP($G860,[1]нормы!$A$21:$BC$151,17,0),"")</f>
        <v>0</v>
      </c>
      <c r="M860" s="308">
        <f>IFERROR(VLOOKUP($G860,[1]нормы!$A$21:$BC$151,27,0),"")</f>
        <v>0</v>
      </c>
      <c r="N860" s="309" t="str">
        <f>IFERROR(Y860/Y861*(1.1*J855*I865),"")</f>
        <v/>
      </c>
      <c r="O860" s="300">
        <f>IFERROR(VLOOKUP($G860,[1]нормы!$A$21:$BC$151,21,0),"")</f>
        <v>0</v>
      </c>
      <c r="P860" s="35">
        <f>IFERROR(VLOOKUP($G860,[1]нормы!$A$21:$BC$151,19,0),"")</f>
        <v>0</v>
      </c>
      <c r="Q860" s="35">
        <f>IFERROR(VLOOKUP($G860,[1]нормы!$A$21:$BC$151,23,0),"")</f>
        <v>0</v>
      </c>
      <c r="R860" s="231">
        <f>IFERROR(VLOOKUP($G860,[1]нормы!$A$21:$BC$151,29,0),"")</f>
        <v>0</v>
      </c>
      <c r="S860" s="35">
        <f>IFERROR(VLOOKUP($G860,[1]нормы!$A$21:$BC$151,31,0),"")</f>
        <v>0</v>
      </c>
      <c r="T860" s="32">
        <f>IFERROR(VLOOKUP($G860,[1]нормы!$A$21:$BC$151,25,0),"")</f>
        <v>0</v>
      </c>
      <c r="U860" s="235" t="str">
        <f>IFERROR(W860/(((100*Y860/Y861)*I860)/100),"")</f>
        <v/>
      </c>
      <c r="V860" s="234" t="str">
        <f>IFERROR(VLOOKUP($G860,нормы!$A$14:$BC$57,38,0),"")</f>
        <v/>
      </c>
      <c r="W860" s="154"/>
      <c r="X860" s="238"/>
      <c r="Y860" s="152" t="str">
        <f>IFERROR(VLOOKUP($G860,нормы!$A$14:$BC$57,42,0)*W860,"")</f>
        <v/>
      </c>
      <c r="Z860" s="163">
        <f>IFERROR(VLOOKUP($G860,нормы!$A$14:$BC$57,14,0)*W860/1000,0)</f>
        <v>0</v>
      </c>
      <c r="AA860" s="56"/>
      <c r="AB860" s="58"/>
      <c r="AC860" s="58"/>
      <c r="AD860" s="58"/>
      <c r="AE860" s="57"/>
      <c r="AF860" s="161"/>
      <c r="AG860" s="392"/>
      <c r="AH860" s="395"/>
      <c r="AI860" s="398"/>
      <c r="AJ860" s="409"/>
      <c r="AK860" s="361"/>
      <c r="AL860" s="361"/>
      <c r="AM860" s="361"/>
      <c r="AN860" s="291">
        <f>IFERROR(Y860*AJ855/Y861,)</f>
        <v>0</v>
      </c>
      <c r="AO860" s="197" t="str">
        <f>IFERROR(VLOOKUP($G860,нормы!$A$14:$BC$57,53,0)*$W860,"")</f>
        <v/>
      </c>
      <c r="AP860" s="292">
        <f>IFERROR(Y860*AI855/Y861,)</f>
        <v>0</v>
      </c>
      <c r="AQ860" s="197" t="str">
        <f>IFERROR(VLOOKUP($G860,нормы!$A$14:$BC$57,54,0)*$W860,"")</f>
        <v/>
      </c>
      <c r="AR860" s="290">
        <f>IFERROR(AS860/SUM(AS855:AS860)*AL855,0)</f>
        <v>0</v>
      </c>
      <c r="AS860" s="197" t="str">
        <f>IFERROR(VLOOKUP($G860,нормы!$A$14:$BC$57,55,0)*W860,"")</f>
        <v/>
      </c>
      <c r="AT860" s="292">
        <f>IFERROR(AU860/SUM(AU855:AU860)*AM855,0)</f>
        <v>0</v>
      </c>
      <c r="AU860" s="197" t="str">
        <f>IFERROR(VLOOKUP($G860,нормы!$A$14:$BI$57,56,0)*W860,"")</f>
        <v/>
      </c>
      <c r="AV860" s="292">
        <f>IFERROR(AW860/SUM(AW855:AW860)*AK855,0)</f>
        <v>0</v>
      </c>
      <c r="AW860" s="202" t="str">
        <f>IFERROR(VLOOKUP($G860,нормы!$A$14:$BI$57,57,0)*W860,"")</f>
        <v/>
      </c>
      <c r="AX860" s="56"/>
      <c r="AY860" s="203" t="str">
        <f>IFERROR(VLOOKUP($G860,нормы!$A$14:$BI$57,58,0)*W860,"")</f>
        <v/>
      </c>
      <c r="AZ860" s="206"/>
      <c r="BA860" s="200" t="str">
        <f>IFERROR(VLOOKUP($G860,нормы!$A$14:$BI$57,61,0)*$W860,"")</f>
        <v/>
      </c>
      <c r="BB860" s="56"/>
      <c r="BC860" s="203" t="str">
        <f>IFERROR(VLOOKUP($G860,нормы!$A$14:$BI$57,60,0)*W860,"")</f>
        <v/>
      </c>
      <c r="BD860" s="200" t="str">
        <f>IFERROR(VLOOKUP($G860,нормы!$A$14:$BG$57,44,0),"")</f>
        <v/>
      </c>
      <c r="BE860" s="199" t="str">
        <f>IFERROR(W860/VLOOKUP($G860,нормы!$A$14:$BI$57,45,0),"")</f>
        <v/>
      </c>
    </row>
    <row r="861" spans="1:57" s="1" customFormat="1" ht="29.4" customHeight="1" thickBot="1" x14ac:dyDescent="0.45">
      <c r="A861" s="37" t="str">
        <f t="shared" si="338"/>
        <v>14Н</v>
      </c>
      <c r="B861" s="59"/>
      <c r="C861" s="51"/>
      <c r="D861" s="51"/>
      <c r="E861" s="51"/>
      <c r="F861" s="51"/>
      <c r="G861" s="51"/>
      <c r="H861" s="51"/>
      <c r="I861" s="60"/>
      <c r="J861" s="60"/>
      <c r="K861" s="319" t="s">
        <v>213</v>
      </c>
      <c r="L861" s="316"/>
      <c r="M861" s="303" t="s">
        <v>213</v>
      </c>
      <c r="N861" s="317">
        <f>SUM(N855:N860)</f>
        <v>0</v>
      </c>
      <c r="O861" s="304" t="s">
        <v>217</v>
      </c>
      <c r="P861" s="318">
        <f>N861*8.937/1000</f>
        <v>0</v>
      </c>
      <c r="Q861" s="305" t="s">
        <v>215</v>
      </c>
      <c r="R861" s="61"/>
      <c r="S861" s="61"/>
      <c r="T861" s="61"/>
      <c r="U861" s="109"/>
      <c r="V861" s="109"/>
      <c r="W861" s="94"/>
      <c r="X861" s="155"/>
      <c r="Y861" s="96">
        <f>SUM(Y855:Y860)</f>
        <v>0</v>
      </c>
      <c r="Z861" s="164">
        <f>SUM(Z855:Z860)</f>
        <v>0</v>
      </c>
      <c r="AA861" s="207">
        <f>(AA847+AA848+AA849+AA850+AA851+AA852+AA853+AA855+AA856+AA857+AA858+AA859+AA860)-AG848</f>
        <v>1</v>
      </c>
      <c r="AB861" s="208">
        <f>(AB847+AB848+AB849+AB850+AB851+AB852+AB853+AB855+AB856+AB857+AB858+AB859+AB860)-AH848</f>
        <v>2</v>
      </c>
      <c r="AC861" s="208">
        <f>(AC847+AC848+AC849+AC850+AC851+AC852+AC853+AC855+AC856+AC857+AC858+AC859+AC860)-AG855</f>
        <v>3</v>
      </c>
      <c r="AD861" s="208">
        <f>(AD847+AD848+AD849+AD850+AD851+AD852+AD853+AD855+AD856+AD857+AD858+AD859+AD860)-AH855</f>
        <v>4</v>
      </c>
      <c r="AE861" s="208">
        <f>(AE847+AE848+AE849+AE850+AE851+AE852+AE853+AE855+AE856+AE857+AE858+AE859+AE860)-AI848</f>
        <v>5</v>
      </c>
      <c r="AF861" s="209">
        <f>(AF847+AF848+AF849+AF850+AF851+AF852+AF853+AF855+AF856+AF857+AF858+AF859+AF860)-AI855</f>
        <v>6</v>
      </c>
      <c r="AG861" s="62"/>
      <c r="AH861" s="62"/>
      <c r="AI861" s="62"/>
      <c r="AJ861" s="62"/>
      <c r="AK861" s="62"/>
      <c r="AL861" s="62"/>
      <c r="AM861" s="62"/>
      <c r="AN861" s="91">
        <f>SUM(AN855:AN860)</f>
        <v>0</v>
      </c>
      <c r="AO861" s="91">
        <f>SUM(AO855:AO860)</f>
        <v>0</v>
      </c>
      <c r="AP861" s="91"/>
      <c r="AQ861" s="91"/>
      <c r="AR861" s="91">
        <f>SUM(AR855:AR860)</f>
        <v>0</v>
      </c>
      <c r="AS861" s="91">
        <f t="shared" ref="AS861:AW861" si="343">SUM(AS855:AS860)</f>
        <v>0</v>
      </c>
      <c r="AT861" s="91">
        <f t="shared" si="343"/>
        <v>0</v>
      </c>
      <c r="AU861" s="91">
        <f t="shared" si="343"/>
        <v>0</v>
      </c>
      <c r="AV861" s="91">
        <f t="shared" si="343"/>
        <v>0</v>
      </c>
      <c r="AW861" s="91">
        <f t="shared" si="343"/>
        <v>0</v>
      </c>
      <c r="AX861" s="91">
        <f>SUM(AX855:AX860)</f>
        <v>0</v>
      </c>
      <c r="AY861" s="91">
        <f>SUM(AY855:AY860)</f>
        <v>0</v>
      </c>
      <c r="AZ861" s="91">
        <f>SUM(AZ855:AZ860)</f>
        <v>0</v>
      </c>
      <c r="BA861" s="91"/>
      <c r="BB861" s="91"/>
      <c r="BC861" s="91"/>
      <c r="BD861" s="91" t="str">
        <f>IFERROR(VLOOKUP($G861,нормы!$A$14:$BG$15,27,0),"")</f>
        <v/>
      </c>
      <c r="BE861" s="53" t="str">
        <f>IFERROR(W861/VLOOKUP($G861,нормы!$A$14:$BI$15,28,0),"")</f>
        <v/>
      </c>
    </row>
    <row r="862" spans="1:57" s="1" customFormat="1" ht="29.4" customHeight="1" thickBot="1" x14ac:dyDescent="0.5">
      <c r="A862" s="37" t="str">
        <f t="shared" si="338"/>
        <v>14Н</v>
      </c>
      <c r="B862" s="166" t="s">
        <v>130</v>
      </c>
      <c r="C862" s="167"/>
      <c r="D862" s="167"/>
      <c r="E862" s="167"/>
      <c r="F862" s="165"/>
      <c r="G862" s="167"/>
      <c r="H862" s="167"/>
      <c r="I862" s="168"/>
      <c r="J862" s="168"/>
      <c r="K862" s="168"/>
      <c r="L862" s="168"/>
      <c r="M862" s="168"/>
      <c r="N862" s="168"/>
      <c r="O862" s="167"/>
      <c r="P862" s="169"/>
      <c r="Q862" s="169"/>
      <c r="R862" s="169"/>
      <c r="S862" s="169"/>
      <c r="T862" s="169"/>
      <c r="U862" s="170"/>
      <c r="V862" s="170"/>
      <c r="W862" s="171"/>
      <c r="X862" s="171"/>
      <c r="Y862" s="172"/>
      <c r="Z862" s="172"/>
      <c r="AA862" s="201" t="s">
        <v>144</v>
      </c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64"/>
      <c r="AN862" s="167"/>
      <c r="AO862" s="167"/>
      <c r="AP862" s="167"/>
      <c r="AQ862" s="167"/>
      <c r="AR862" s="64"/>
      <c r="AS862" s="64"/>
      <c r="AT862" s="65"/>
      <c r="AU862" s="64"/>
      <c r="AV862" s="49"/>
      <c r="AW862" s="49"/>
      <c r="AX862" s="167"/>
      <c r="AY862" s="167"/>
      <c r="AZ862" s="167"/>
      <c r="BA862" s="167"/>
      <c r="BB862" s="167"/>
      <c r="BC862" s="167"/>
      <c r="BD862" s="66"/>
      <c r="BE862" s="66"/>
    </row>
    <row r="863" spans="1:57" s="1" customFormat="1" ht="23.25" customHeight="1" x14ac:dyDescent="0.4">
      <c r="A863" s="37" t="str">
        <f t="shared" si="338"/>
        <v>14Н</v>
      </c>
      <c r="B863" s="183"/>
      <c r="C863" s="100"/>
      <c r="D863" s="185"/>
      <c r="E863" s="186" t="s">
        <v>57</v>
      </c>
      <c r="F863" s="66" t="s">
        <v>87</v>
      </c>
      <c r="G863" s="66"/>
      <c r="H863" s="108" t="s">
        <v>131</v>
      </c>
      <c r="I863" s="101"/>
      <c r="J863" s="101"/>
      <c r="K863" s="101"/>
      <c r="L863" s="101"/>
      <c r="M863" s="101"/>
      <c r="N863" s="101"/>
      <c r="O863" s="67"/>
      <c r="P863" s="102"/>
      <c r="Q863" s="102"/>
      <c r="R863" s="102"/>
      <c r="S863" s="102"/>
      <c r="T863" s="102"/>
      <c r="U863" s="67"/>
      <c r="V863" s="67"/>
      <c r="W863" s="103"/>
      <c r="X863" s="187"/>
      <c r="Y863" s="68" t="s">
        <v>74</v>
      </c>
      <c r="Z863" s="69"/>
      <c r="AA863" s="90"/>
      <c r="AB863" s="100"/>
      <c r="AC863" s="100"/>
      <c r="AD863" s="186" t="s">
        <v>57</v>
      </c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190"/>
      <c r="AU863" s="66"/>
      <c r="AV863" s="165"/>
      <c r="AW863" s="293"/>
      <c r="AX863" s="66"/>
      <c r="AY863" s="66"/>
      <c r="AZ863" s="66"/>
      <c r="BA863" s="66"/>
      <c r="BB863" s="66"/>
      <c r="BC863" s="66"/>
      <c r="BD863" s="68" t="s">
        <v>74</v>
      </c>
      <c r="BE863" s="69"/>
    </row>
    <row r="864" spans="1:57" s="1" customFormat="1" ht="23.25" customHeight="1" thickBot="1" x14ac:dyDescent="0.45">
      <c r="A864" s="37" t="str">
        <f t="shared" si="338"/>
        <v>14Н</v>
      </c>
      <c r="B864" s="183"/>
      <c r="C864" s="41"/>
      <c r="D864" s="184"/>
      <c r="E864" s="50"/>
      <c r="F864" s="70"/>
      <c r="G864" s="70"/>
      <c r="H864" s="70"/>
      <c r="I864" s="104"/>
      <c r="J864" s="104"/>
      <c r="K864" s="104"/>
      <c r="L864" s="104"/>
      <c r="M864" s="104"/>
      <c r="N864" s="104"/>
      <c r="O864" s="71"/>
      <c r="P864" s="105"/>
      <c r="Q864" s="105"/>
      <c r="R864" s="105"/>
      <c r="S864" s="105"/>
      <c r="T864" s="105"/>
      <c r="U864" s="71"/>
      <c r="V864" s="71"/>
      <c r="W864" s="106"/>
      <c r="X864" s="188"/>
      <c r="Y864" s="72"/>
      <c r="Z864" s="73"/>
      <c r="AA864" s="90"/>
      <c r="AB864" s="41"/>
      <c r="AC864" s="41"/>
      <c r="AD864" s="50"/>
      <c r="AE864" s="47"/>
      <c r="AF864" s="47"/>
      <c r="AG864" s="47"/>
      <c r="AH864" s="47"/>
      <c r="AI864" s="47"/>
      <c r="AJ864" s="47"/>
      <c r="AK864" s="47"/>
      <c r="AL864" s="47"/>
      <c r="AM864" s="70"/>
      <c r="AN864" s="47"/>
      <c r="AO864" s="70"/>
      <c r="AP864" s="70"/>
      <c r="AQ864" s="70"/>
      <c r="AR864" s="70"/>
      <c r="AS864" s="70"/>
      <c r="AT864" s="191"/>
      <c r="AU864" s="70"/>
      <c r="AV864" s="192"/>
      <c r="AW864" s="294"/>
      <c r="AX864" s="70"/>
      <c r="AY864" s="70"/>
      <c r="AZ864" s="70"/>
      <c r="BA864" s="70"/>
      <c r="BB864" s="70"/>
      <c r="BC864" s="70"/>
      <c r="BD864" s="72"/>
      <c r="BE864" s="73"/>
    </row>
    <row r="865" spans="1:57" s="1" customFormat="1" ht="21.9" customHeight="1" x14ac:dyDescent="0.4">
      <c r="A865" s="37" t="str">
        <f t="shared" si="338"/>
        <v>14Н</v>
      </c>
      <c r="B865" s="183"/>
      <c r="C865" s="41"/>
      <c r="D865" s="184"/>
      <c r="E865" s="281">
        <f>B860</f>
        <v>46036</v>
      </c>
      <c r="F865" s="337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98">
        <v>1</v>
      </c>
      <c r="Y865" s="74">
        <v>1</v>
      </c>
      <c r="Z865" s="75">
        <f t="shared" ref="Z865:Z876" si="344">Y865-X865</f>
        <v>0</v>
      </c>
      <c r="AA865" s="189"/>
      <c r="AB865" s="41"/>
      <c r="AC865" s="184"/>
      <c r="AD865" s="210">
        <f>E865</f>
        <v>46036</v>
      </c>
      <c r="AE865" s="387"/>
      <c r="AF865" s="388"/>
      <c r="AG865" s="388"/>
      <c r="AH865" s="388"/>
      <c r="AI865" s="388"/>
      <c r="AJ865" s="388"/>
      <c r="AK865" s="388"/>
      <c r="AL865" s="388"/>
      <c r="AM865" s="388"/>
      <c r="AN865" s="388"/>
      <c r="AO865" s="388"/>
      <c r="AP865" s="388"/>
      <c r="AQ865" s="388"/>
      <c r="AR865" s="388"/>
      <c r="AS865" s="388"/>
      <c r="AT865" s="388"/>
      <c r="AU865" s="388"/>
      <c r="AV865" s="388"/>
      <c r="AW865" s="388"/>
      <c r="AX865" s="388"/>
      <c r="AY865" s="388"/>
      <c r="AZ865" s="388"/>
      <c r="BA865" s="388"/>
      <c r="BB865" s="389"/>
      <c r="BC865" s="98">
        <v>1</v>
      </c>
      <c r="BD865" s="74">
        <v>1</v>
      </c>
      <c r="BE865" s="75">
        <f t="shared" ref="BE865:BE876" si="345">BD865-BC865</f>
        <v>0</v>
      </c>
    </row>
    <row r="866" spans="1:57" s="1" customFormat="1" ht="21.9" customHeight="1" x14ac:dyDescent="0.4">
      <c r="A866" s="37" t="str">
        <f t="shared" si="338"/>
        <v>14Н</v>
      </c>
      <c r="B866" s="183"/>
      <c r="C866" s="41"/>
      <c r="D866" s="184"/>
      <c r="E866" s="282">
        <f>E865</f>
        <v>46036</v>
      </c>
      <c r="F866" s="335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  <c r="R866" s="336"/>
      <c r="S866" s="336"/>
      <c r="T866" s="336"/>
      <c r="U866" s="336"/>
      <c r="V866" s="336"/>
      <c r="W866" s="336"/>
      <c r="X866" s="98">
        <v>1</v>
      </c>
      <c r="Y866" s="74">
        <v>1</v>
      </c>
      <c r="Z866" s="75">
        <f t="shared" si="344"/>
        <v>0</v>
      </c>
      <c r="AA866" s="107">
        <f>AA865</f>
        <v>0</v>
      </c>
      <c r="AB866" s="41"/>
      <c r="AC866" s="184"/>
      <c r="AD866" s="212">
        <f>AD865</f>
        <v>46036</v>
      </c>
      <c r="AE866" s="387"/>
      <c r="AF866" s="388"/>
      <c r="AG866" s="388"/>
      <c r="AH866" s="388"/>
      <c r="AI866" s="388"/>
      <c r="AJ866" s="388"/>
      <c r="AK866" s="388"/>
      <c r="AL866" s="388"/>
      <c r="AM866" s="388"/>
      <c r="AN866" s="388"/>
      <c r="AO866" s="388"/>
      <c r="AP866" s="388"/>
      <c r="AQ866" s="388"/>
      <c r="AR866" s="388"/>
      <c r="AS866" s="388"/>
      <c r="AT866" s="388"/>
      <c r="AU866" s="388"/>
      <c r="AV866" s="388"/>
      <c r="AW866" s="388"/>
      <c r="AX866" s="388"/>
      <c r="AY866" s="388"/>
      <c r="AZ866" s="388"/>
      <c r="BA866" s="388"/>
      <c r="BB866" s="389"/>
      <c r="BC866" s="98">
        <v>1</v>
      </c>
      <c r="BD866" s="74">
        <v>1</v>
      </c>
      <c r="BE866" s="75">
        <f t="shared" si="345"/>
        <v>0</v>
      </c>
    </row>
    <row r="867" spans="1:57" s="1" customFormat="1" ht="21.9" customHeight="1" x14ac:dyDescent="0.4">
      <c r="A867" s="37" t="str">
        <f t="shared" si="338"/>
        <v>14Н</v>
      </c>
      <c r="B867" s="183"/>
      <c r="C867" s="41"/>
      <c r="D867" s="184"/>
      <c r="E867" s="282">
        <f t="shared" ref="E867:E876" si="346">E866</f>
        <v>46036</v>
      </c>
      <c r="F867" s="335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  <c r="R867" s="336"/>
      <c r="S867" s="336"/>
      <c r="T867" s="336"/>
      <c r="U867" s="336"/>
      <c r="V867" s="336"/>
      <c r="W867" s="336"/>
      <c r="X867" s="98">
        <v>1</v>
      </c>
      <c r="Y867" s="74">
        <v>1</v>
      </c>
      <c r="Z867" s="75">
        <f t="shared" si="344"/>
        <v>0</v>
      </c>
      <c r="AA867" s="107">
        <f>AA866</f>
        <v>0</v>
      </c>
      <c r="AB867" s="41"/>
      <c r="AC867" s="184"/>
      <c r="AD867" s="212">
        <f t="shared" ref="AD867:AD876" si="347">AD866</f>
        <v>46036</v>
      </c>
      <c r="AE867" s="387"/>
      <c r="AF867" s="388"/>
      <c r="AG867" s="388"/>
      <c r="AH867" s="388"/>
      <c r="AI867" s="388"/>
      <c r="AJ867" s="388"/>
      <c r="AK867" s="388"/>
      <c r="AL867" s="388"/>
      <c r="AM867" s="388"/>
      <c r="AN867" s="388"/>
      <c r="AO867" s="388"/>
      <c r="AP867" s="388"/>
      <c r="AQ867" s="388"/>
      <c r="AR867" s="388"/>
      <c r="AS867" s="388"/>
      <c r="AT867" s="388"/>
      <c r="AU867" s="388"/>
      <c r="AV867" s="388"/>
      <c r="AW867" s="388"/>
      <c r="AX867" s="388"/>
      <c r="AY867" s="388"/>
      <c r="AZ867" s="388"/>
      <c r="BA867" s="388"/>
      <c r="BB867" s="389"/>
      <c r="BC867" s="98">
        <v>1</v>
      </c>
      <c r="BD867" s="74">
        <v>1</v>
      </c>
      <c r="BE867" s="75">
        <f t="shared" si="345"/>
        <v>0</v>
      </c>
    </row>
    <row r="868" spans="1:57" s="1" customFormat="1" ht="21.9" customHeight="1" x14ac:dyDescent="0.4">
      <c r="A868" s="37" t="str">
        <f t="shared" si="338"/>
        <v>14Н</v>
      </c>
      <c r="B868" s="183"/>
      <c r="C868" s="41"/>
      <c r="D868" s="184"/>
      <c r="E868" s="282">
        <f t="shared" si="346"/>
        <v>46036</v>
      </c>
      <c r="F868" s="335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  <c r="R868" s="336"/>
      <c r="S868" s="336"/>
      <c r="T868" s="336"/>
      <c r="U868" s="336"/>
      <c r="V868" s="336"/>
      <c r="W868" s="336"/>
      <c r="X868" s="98">
        <v>1</v>
      </c>
      <c r="Y868" s="74">
        <v>1</v>
      </c>
      <c r="Z868" s="75">
        <f t="shared" si="344"/>
        <v>0</v>
      </c>
      <c r="AA868" s="107">
        <f t="shared" ref="AA868:AA876" si="348">AA867</f>
        <v>0</v>
      </c>
      <c r="AB868" s="41"/>
      <c r="AC868" s="184"/>
      <c r="AD868" s="212">
        <f t="shared" si="347"/>
        <v>46036</v>
      </c>
      <c r="AE868" s="387"/>
      <c r="AF868" s="388"/>
      <c r="AG868" s="388"/>
      <c r="AH868" s="388"/>
      <c r="AI868" s="388"/>
      <c r="AJ868" s="388"/>
      <c r="AK868" s="388"/>
      <c r="AL868" s="388"/>
      <c r="AM868" s="388"/>
      <c r="AN868" s="388"/>
      <c r="AO868" s="388"/>
      <c r="AP868" s="388"/>
      <c r="AQ868" s="388"/>
      <c r="AR868" s="388"/>
      <c r="AS868" s="388"/>
      <c r="AT868" s="388"/>
      <c r="AU868" s="388"/>
      <c r="AV868" s="388"/>
      <c r="AW868" s="388"/>
      <c r="AX868" s="388"/>
      <c r="AY868" s="388"/>
      <c r="AZ868" s="388"/>
      <c r="BA868" s="388"/>
      <c r="BB868" s="389"/>
      <c r="BC868" s="98">
        <v>1</v>
      </c>
      <c r="BD868" s="74">
        <v>1</v>
      </c>
      <c r="BE868" s="75">
        <f t="shared" si="345"/>
        <v>0</v>
      </c>
    </row>
    <row r="869" spans="1:57" s="1" customFormat="1" ht="21.9" customHeight="1" x14ac:dyDescent="0.4">
      <c r="A869" s="37" t="str">
        <f t="shared" si="338"/>
        <v>14Н</v>
      </c>
      <c r="B869" s="183"/>
      <c r="C869" s="41"/>
      <c r="D869" s="184"/>
      <c r="E869" s="282">
        <f t="shared" si="346"/>
        <v>46036</v>
      </c>
      <c r="F869" s="335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  <c r="R869" s="336"/>
      <c r="S869" s="336"/>
      <c r="T869" s="336"/>
      <c r="U869" s="336"/>
      <c r="V869" s="336"/>
      <c r="W869" s="336"/>
      <c r="X869" s="98">
        <v>1</v>
      </c>
      <c r="Y869" s="74">
        <v>1</v>
      </c>
      <c r="Z869" s="75">
        <f t="shared" si="344"/>
        <v>0</v>
      </c>
      <c r="AA869" s="107">
        <f t="shared" si="348"/>
        <v>0</v>
      </c>
      <c r="AB869" s="41"/>
      <c r="AC869" s="184"/>
      <c r="AD869" s="212">
        <f t="shared" si="347"/>
        <v>46036</v>
      </c>
      <c r="AE869" s="387"/>
      <c r="AF869" s="388"/>
      <c r="AG869" s="388"/>
      <c r="AH869" s="388"/>
      <c r="AI869" s="388"/>
      <c r="AJ869" s="388"/>
      <c r="AK869" s="388"/>
      <c r="AL869" s="388"/>
      <c r="AM869" s="388"/>
      <c r="AN869" s="388"/>
      <c r="AO869" s="388"/>
      <c r="AP869" s="388"/>
      <c r="AQ869" s="388"/>
      <c r="AR869" s="388"/>
      <c r="AS869" s="388"/>
      <c r="AT869" s="388"/>
      <c r="AU869" s="388"/>
      <c r="AV869" s="388"/>
      <c r="AW869" s="388"/>
      <c r="AX869" s="388"/>
      <c r="AY869" s="388"/>
      <c r="AZ869" s="388"/>
      <c r="BA869" s="388"/>
      <c r="BB869" s="389"/>
      <c r="BC869" s="98">
        <v>1</v>
      </c>
      <c r="BD869" s="74">
        <v>1</v>
      </c>
      <c r="BE869" s="75">
        <f t="shared" si="345"/>
        <v>0</v>
      </c>
    </row>
    <row r="870" spans="1:57" s="1" customFormat="1" ht="18" customHeight="1" x14ac:dyDescent="0.4">
      <c r="A870" s="37" t="str">
        <f t="shared" si="338"/>
        <v>14Н</v>
      </c>
      <c r="B870" s="183"/>
      <c r="C870" s="41"/>
      <c r="D870" s="184"/>
      <c r="E870" s="282">
        <f t="shared" si="346"/>
        <v>46036</v>
      </c>
      <c r="F870" s="335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  <c r="R870" s="336"/>
      <c r="S870" s="336"/>
      <c r="T870" s="336"/>
      <c r="U870" s="336"/>
      <c r="V870" s="336"/>
      <c r="W870" s="336"/>
      <c r="X870" s="98">
        <v>1</v>
      </c>
      <c r="Y870" s="74">
        <v>1</v>
      </c>
      <c r="Z870" s="75">
        <f t="shared" si="344"/>
        <v>0</v>
      </c>
      <c r="AA870" s="107">
        <f t="shared" si="348"/>
        <v>0</v>
      </c>
      <c r="AB870" s="41"/>
      <c r="AC870" s="184"/>
      <c r="AD870" s="212">
        <f t="shared" si="347"/>
        <v>46036</v>
      </c>
      <c r="AE870" s="387"/>
      <c r="AF870" s="388"/>
      <c r="AG870" s="388"/>
      <c r="AH870" s="388"/>
      <c r="AI870" s="388"/>
      <c r="AJ870" s="388"/>
      <c r="AK870" s="388"/>
      <c r="AL870" s="388"/>
      <c r="AM870" s="388"/>
      <c r="AN870" s="388"/>
      <c r="AO870" s="388"/>
      <c r="AP870" s="388"/>
      <c r="AQ870" s="388"/>
      <c r="AR870" s="388"/>
      <c r="AS870" s="388"/>
      <c r="AT870" s="388"/>
      <c r="AU870" s="388"/>
      <c r="AV870" s="388"/>
      <c r="AW870" s="388"/>
      <c r="AX870" s="388"/>
      <c r="AY870" s="388"/>
      <c r="AZ870" s="388"/>
      <c r="BA870" s="388"/>
      <c r="BB870" s="389"/>
      <c r="BC870" s="98">
        <v>1</v>
      </c>
      <c r="BD870" s="74">
        <v>1</v>
      </c>
      <c r="BE870" s="75">
        <f t="shared" si="345"/>
        <v>0</v>
      </c>
    </row>
    <row r="871" spans="1:57" s="1" customFormat="1" ht="18" customHeight="1" x14ac:dyDescent="0.4">
      <c r="A871" s="37" t="str">
        <f t="shared" si="338"/>
        <v>14Н</v>
      </c>
      <c r="B871" s="183"/>
      <c r="C871" s="41"/>
      <c r="D871" s="184"/>
      <c r="E871" s="282">
        <f t="shared" si="346"/>
        <v>46036</v>
      </c>
      <c r="F871" s="335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  <c r="R871" s="336"/>
      <c r="S871" s="336"/>
      <c r="T871" s="336"/>
      <c r="U871" s="336"/>
      <c r="V871" s="336"/>
      <c r="W871" s="336"/>
      <c r="X871" s="98">
        <v>1</v>
      </c>
      <c r="Y871" s="74">
        <v>1</v>
      </c>
      <c r="Z871" s="75">
        <f t="shared" si="344"/>
        <v>0</v>
      </c>
      <c r="AA871" s="107">
        <f t="shared" si="348"/>
        <v>0</v>
      </c>
      <c r="AB871" s="41"/>
      <c r="AC871" s="184"/>
      <c r="AD871" s="212">
        <f t="shared" si="347"/>
        <v>46036</v>
      </c>
      <c r="AE871" s="387"/>
      <c r="AF871" s="388"/>
      <c r="AG871" s="388"/>
      <c r="AH871" s="388"/>
      <c r="AI871" s="388"/>
      <c r="AJ871" s="388"/>
      <c r="AK871" s="388"/>
      <c r="AL871" s="388"/>
      <c r="AM871" s="388"/>
      <c r="AN871" s="388"/>
      <c r="AO871" s="388"/>
      <c r="AP871" s="388"/>
      <c r="AQ871" s="388"/>
      <c r="AR871" s="388"/>
      <c r="AS871" s="388"/>
      <c r="AT871" s="388"/>
      <c r="AU871" s="388"/>
      <c r="AV871" s="388"/>
      <c r="AW871" s="388"/>
      <c r="AX871" s="388"/>
      <c r="AY871" s="388"/>
      <c r="AZ871" s="388"/>
      <c r="BA871" s="388"/>
      <c r="BB871" s="389"/>
      <c r="BC871" s="98">
        <v>1</v>
      </c>
      <c r="BD871" s="74">
        <v>1</v>
      </c>
      <c r="BE871" s="75">
        <f t="shared" si="345"/>
        <v>0</v>
      </c>
    </row>
    <row r="872" spans="1:57" s="1" customFormat="1" ht="18" customHeight="1" x14ac:dyDescent="0.4">
      <c r="A872" s="37" t="str">
        <f t="shared" si="338"/>
        <v>14Н</v>
      </c>
      <c r="B872" s="183"/>
      <c r="C872" s="41"/>
      <c r="D872" s="184"/>
      <c r="E872" s="282">
        <f t="shared" si="346"/>
        <v>46036</v>
      </c>
      <c r="F872" s="335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  <c r="R872" s="336"/>
      <c r="S872" s="336"/>
      <c r="T872" s="336"/>
      <c r="U872" s="336"/>
      <c r="V872" s="336"/>
      <c r="W872" s="336"/>
      <c r="X872" s="98">
        <v>1</v>
      </c>
      <c r="Y872" s="74">
        <v>1</v>
      </c>
      <c r="Z872" s="75">
        <f t="shared" si="344"/>
        <v>0</v>
      </c>
      <c r="AA872" s="107">
        <f t="shared" si="348"/>
        <v>0</v>
      </c>
      <c r="AB872" s="41"/>
      <c r="AC872" s="184"/>
      <c r="AD872" s="212">
        <f t="shared" si="347"/>
        <v>46036</v>
      </c>
      <c r="AE872" s="387"/>
      <c r="AF872" s="388"/>
      <c r="AG872" s="388"/>
      <c r="AH872" s="388"/>
      <c r="AI872" s="388"/>
      <c r="AJ872" s="388"/>
      <c r="AK872" s="388"/>
      <c r="AL872" s="388"/>
      <c r="AM872" s="388"/>
      <c r="AN872" s="388"/>
      <c r="AO872" s="388"/>
      <c r="AP872" s="388"/>
      <c r="AQ872" s="388"/>
      <c r="AR872" s="388"/>
      <c r="AS872" s="388"/>
      <c r="AT872" s="388"/>
      <c r="AU872" s="388"/>
      <c r="AV872" s="388"/>
      <c r="AW872" s="388"/>
      <c r="AX872" s="388"/>
      <c r="AY872" s="388"/>
      <c r="AZ872" s="388"/>
      <c r="BA872" s="388"/>
      <c r="BB872" s="389"/>
      <c r="BC872" s="98">
        <v>1</v>
      </c>
      <c r="BD872" s="74">
        <v>1</v>
      </c>
      <c r="BE872" s="75">
        <f t="shared" si="345"/>
        <v>0</v>
      </c>
    </row>
    <row r="873" spans="1:57" s="1" customFormat="1" ht="18" customHeight="1" x14ac:dyDescent="0.4">
      <c r="A873" s="37" t="str">
        <f t="shared" si="338"/>
        <v>14Н</v>
      </c>
      <c r="B873" s="183"/>
      <c r="C873" s="41"/>
      <c r="D873" s="184"/>
      <c r="E873" s="282">
        <f t="shared" si="346"/>
        <v>46036</v>
      </c>
      <c r="F873" s="335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  <c r="R873" s="336"/>
      <c r="S873" s="336"/>
      <c r="T873" s="336"/>
      <c r="U873" s="336"/>
      <c r="V873" s="336"/>
      <c r="W873" s="336"/>
      <c r="X873" s="98">
        <v>1</v>
      </c>
      <c r="Y873" s="74">
        <v>1</v>
      </c>
      <c r="Z873" s="75">
        <f t="shared" si="344"/>
        <v>0</v>
      </c>
      <c r="AA873" s="107">
        <f t="shared" si="348"/>
        <v>0</v>
      </c>
      <c r="AB873" s="41"/>
      <c r="AC873" s="184"/>
      <c r="AD873" s="212">
        <f t="shared" si="347"/>
        <v>46036</v>
      </c>
      <c r="AE873" s="387"/>
      <c r="AF873" s="388"/>
      <c r="AG873" s="388"/>
      <c r="AH873" s="388"/>
      <c r="AI873" s="388"/>
      <c r="AJ873" s="388"/>
      <c r="AK873" s="388"/>
      <c r="AL873" s="388"/>
      <c r="AM873" s="388"/>
      <c r="AN873" s="388"/>
      <c r="AO873" s="388"/>
      <c r="AP873" s="388"/>
      <c r="AQ873" s="388"/>
      <c r="AR873" s="388"/>
      <c r="AS873" s="388"/>
      <c r="AT873" s="388"/>
      <c r="AU873" s="388"/>
      <c r="AV873" s="388"/>
      <c r="AW873" s="388"/>
      <c r="AX873" s="388"/>
      <c r="AY873" s="388"/>
      <c r="AZ873" s="388"/>
      <c r="BA873" s="388"/>
      <c r="BB873" s="389"/>
      <c r="BC873" s="98">
        <v>1</v>
      </c>
      <c r="BD873" s="74">
        <v>1</v>
      </c>
      <c r="BE873" s="75">
        <f t="shared" si="345"/>
        <v>0</v>
      </c>
    </row>
    <row r="874" spans="1:57" s="1" customFormat="1" ht="18" customHeight="1" x14ac:dyDescent="0.4">
      <c r="A874" s="37" t="str">
        <f t="shared" si="338"/>
        <v>14Н</v>
      </c>
      <c r="B874" s="183"/>
      <c r="C874" s="41"/>
      <c r="D874" s="184"/>
      <c r="E874" s="282">
        <f t="shared" si="346"/>
        <v>46036</v>
      </c>
      <c r="F874" s="335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  <c r="R874" s="336"/>
      <c r="S874" s="336"/>
      <c r="T874" s="336"/>
      <c r="U874" s="336"/>
      <c r="V874" s="336"/>
      <c r="W874" s="336"/>
      <c r="X874" s="98">
        <v>1</v>
      </c>
      <c r="Y874" s="74">
        <v>1</v>
      </c>
      <c r="Z874" s="75">
        <f t="shared" si="344"/>
        <v>0</v>
      </c>
      <c r="AA874" s="107">
        <f t="shared" si="348"/>
        <v>0</v>
      </c>
      <c r="AB874" s="41"/>
      <c r="AC874" s="184"/>
      <c r="AD874" s="212">
        <f t="shared" si="347"/>
        <v>46036</v>
      </c>
      <c r="AE874" s="387"/>
      <c r="AF874" s="388"/>
      <c r="AG874" s="388"/>
      <c r="AH874" s="388"/>
      <c r="AI874" s="388"/>
      <c r="AJ874" s="388"/>
      <c r="AK874" s="388"/>
      <c r="AL874" s="388"/>
      <c r="AM874" s="388"/>
      <c r="AN874" s="388"/>
      <c r="AO874" s="388"/>
      <c r="AP874" s="388"/>
      <c r="AQ874" s="388"/>
      <c r="AR874" s="388"/>
      <c r="AS874" s="388"/>
      <c r="AT874" s="388"/>
      <c r="AU874" s="388"/>
      <c r="AV874" s="388"/>
      <c r="AW874" s="388"/>
      <c r="AX874" s="388"/>
      <c r="AY874" s="388"/>
      <c r="AZ874" s="388"/>
      <c r="BA874" s="388"/>
      <c r="BB874" s="389"/>
      <c r="BC874" s="98">
        <v>1</v>
      </c>
      <c r="BD874" s="74">
        <v>1</v>
      </c>
      <c r="BE874" s="75">
        <f t="shared" si="345"/>
        <v>0</v>
      </c>
    </row>
    <row r="875" spans="1:57" s="1" customFormat="1" ht="18" customHeight="1" x14ac:dyDescent="0.4">
      <c r="A875" s="37" t="str">
        <f t="shared" si="338"/>
        <v>14Н</v>
      </c>
      <c r="B875" s="183"/>
      <c r="C875" s="41"/>
      <c r="D875" s="184"/>
      <c r="E875" s="282">
        <f t="shared" si="346"/>
        <v>46036</v>
      </c>
      <c r="F875" s="335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  <c r="R875" s="336"/>
      <c r="S875" s="336"/>
      <c r="T875" s="336"/>
      <c r="U875" s="336"/>
      <c r="V875" s="336"/>
      <c r="W875" s="336"/>
      <c r="X875" s="98">
        <v>1</v>
      </c>
      <c r="Y875" s="74">
        <v>1</v>
      </c>
      <c r="Z875" s="75">
        <f t="shared" si="344"/>
        <v>0</v>
      </c>
      <c r="AA875" s="107">
        <f t="shared" si="348"/>
        <v>0</v>
      </c>
      <c r="AB875" s="41"/>
      <c r="AC875" s="184"/>
      <c r="AD875" s="212">
        <f t="shared" si="347"/>
        <v>46036</v>
      </c>
      <c r="AE875" s="387"/>
      <c r="AF875" s="388"/>
      <c r="AG875" s="388"/>
      <c r="AH875" s="388"/>
      <c r="AI875" s="388"/>
      <c r="AJ875" s="388"/>
      <c r="AK875" s="388"/>
      <c r="AL875" s="388"/>
      <c r="AM875" s="388"/>
      <c r="AN875" s="388"/>
      <c r="AO875" s="388"/>
      <c r="AP875" s="388"/>
      <c r="AQ875" s="388"/>
      <c r="AR875" s="388"/>
      <c r="AS875" s="388"/>
      <c r="AT875" s="388"/>
      <c r="AU875" s="388"/>
      <c r="AV875" s="388"/>
      <c r="AW875" s="388"/>
      <c r="AX875" s="388"/>
      <c r="AY875" s="388"/>
      <c r="AZ875" s="388"/>
      <c r="BA875" s="388"/>
      <c r="BB875" s="389"/>
      <c r="BC875" s="98">
        <v>1</v>
      </c>
      <c r="BD875" s="74">
        <v>1</v>
      </c>
      <c r="BE875" s="75">
        <f t="shared" si="345"/>
        <v>0</v>
      </c>
    </row>
    <row r="876" spans="1:57" s="1" customFormat="1" ht="18" customHeight="1" thickBot="1" x14ac:dyDescent="0.45">
      <c r="A876" s="37" t="str">
        <f t="shared" si="338"/>
        <v>14Н</v>
      </c>
      <c r="B876" s="183"/>
      <c r="C876" s="41"/>
      <c r="D876" s="184"/>
      <c r="E876" s="283">
        <f t="shared" si="346"/>
        <v>46036</v>
      </c>
      <c r="F876" s="339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99">
        <v>1</v>
      </c>
      <c r="Y876" s="76">
        <v>1</v>
      </c>
      <c r="Z876" s="77">
        <f t="shared" si="344"/>
        <v>0</v>
      </c>
      <c r="AA876" s="107">
        <f t="shared" si="348"/>
        <v>0</v>
      </c>
      <c r="AB876" s="41"/>
      <c r="AC876" s="184"/>
      <c r="AD876" s="211">
        <f t="shared" si="347"/>
        <v>46036</v>
      </c>
      <c r="AE876" s="410"/>
      <c r="AF876" s="411"/>
      <c r="AG876" s="411"/>
      <c r="AH876" s="411"/>
      <c r="AI876" s="411"/>
      <c r="AJ876" s="411"/>
      <c r="AK876" s="411"/>
      <c r="AL876" s="411"/>
      <c r="AM876" s="411"/>
      <c r="AN876" s="411"/>
      <c r="AO876" s="411"/>
      <c r="AP876" s="411"/>
      <c r="AQ876" s="411"/>
      <c r="AR876" s="411"/>
      <c r="AS876" s="411"/>
      <c r="AT876" s="411"/>
      <c r="AU876" s="411"/>
      <c r="AV876" s="411"/>
      <c r="AW876" s="411"/>
      <c r="AX876" s="411"/>
      <c r="AY876" s="411"/>
      <c r="AZ876" s="411"/>
      <c r="BA876" s="411"/>
      <c r="BB876" s="412"/>
      <c r="BC876" s="99">
        <v>1</v>
      </c>
      <c r="BD876" s="76">
        <v>1</v>
      </c>
      <c r="BE876" s="75">
        <f t="shared" si="345"/>
        <v>0</v>
      </c>
    </row>
    <row r="877" spans="1:57" s="1" customFormat="1" ht="23.25" customHeight="1" thickBot="1" x14ac:dyDescent="0.45">
      <c r="A877" s="37" t="str">
        <f t="shared" si="338"/>
        <v>14Н</v>
      </c>
      <c r="B877" s="193"/>
      <c r="C877" s="47"/>
      <c r="D877" s="47"/>
      <c r="E877" s="47"/>
      <c r="F877" s="78"/>
      <c r="G877" s="78"/>
      <c r="H877" s="78"/>
      <c r="I877" s="80"/>
      <c r="J877" s="80"/>
      <c r="K877" s="80"/>
      <c r="L877" s="80"/>
      <c r="M877" s="80"/>
      <c r="N877" s="80"/>
      <c r="O877" s="78"/>
      <c r="P877" s="81"/>
      <c r="Q877" s="81"/>
      <c r="R877" s="81"/>
      <c r="S877" s="81"/>
      <c r="T877" s="81"/>
      <c r="U877" s="82"/>
      <c r="V877" s="82"/>
      <c r="W877" s="86"/>
      <c r="X877" s="194"/>
      <c r="Y877" s="83"/>
      <c r="Z877" s="83"/>
      <c r="AA877" s="78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84"/>
      <c r="AN877" s="47"/>
      <c r="AO877" s="78"/>
      <c r="AP877" s="78"/>
      <c r="AQ877" s="78"/>
      <c r="AR877" s="84"/>
      <c r="AS877" s="78"/>
      <c r="AT877" s="85"/>
      <c r="AU877" s="78"/>
      <c r="AV877" s="83"/>
      <c r="AW877" s="83"/>
      <c r="AX877" s="78"/>
      <c r="AY877" s="78"/>
      <c r="AZ877" s="78"/>
      <c r="BA877" s="78"/>
      <c r="BB877" s="78"/>
      <c r="BC877" s="78"/>
      <c r="BD877" s="79"/>
      <c r="BE877" s="79"/>
    </row>
    <row r="878" spans="1:57" s="1" customFormat="1" ht="21.6" customHeight="1" thickBot="1" x14ac:dyDescent="0.45">
      <c r="A878" s="37" t="s">
        <v>174</v>
      </c>
      <c r="B878" s="59"/>
      <c r="C878" s="51"/>
      <c r="D878" s="51"/>
      <c r="E878" s="51"/>
      <c r="F878" s="158" t="s">
        <v>147</v>
      </c>
      <c r="G878" s="51"/>
      <c r="H878" s="51"/>
      <c r="I878" s="156"/>
      <c r="J878" s="156"/>
      <c r="K878" s="156"/>
      <c r="L878" s="156"/>
      <c r="M878" s="156"/>
      <c r="N878" s="156"/>
      <c r="O878" s="91"/>
      <c r="P878" s="52"/>
      <c r="Q878" s="52"/>
      <c r="R878" s="52"/>
      <c r="S878" s="52"/>
      <c r="T878" s="52"/>
      <c r="U878" s="157"/>
      <c r="V878" s="157"/>
      <c r="W878" s="94"/>
      <c r="X878" s="94"/>
      <c r="Y878" s="51"/>
      <c r="Z878" s="51"/>
      <c r="AA878" s="157">
        <f>AA861</f>
        <v>1</v>
      </c>
      <c r="AB878" s="157">
        <f t="shared" ref="AB878:AF878" si="349">AB861</f>
        <v>2</v>
      </c>
      <c r="AC878" s="157">
        <f t="shared" si="349"/>
        <v>3</v>
      </c>
      <c r="AD878" s="157">
        <f t="shared" si="349"/>
        <v>4</v>
      </c>
      <c r="AE878" s="157">
        <f t="shared" si="349"/>
        <v>5</v>
      </c>
      <c r="AF878" s="157">
        <f t="shared" si="349"/>
        <v>6</v>
      </c>
      <c r="AG878" s="162" t="s">
        <v>123</v>
      </c>
      <c r="AH878" s="162" t="s">
        <v>124</v>
      </c>
      <c r="AI878" s="162" t="s">
        <v>125</v>
      </c>
      <c r="AJ878" s="91" t="s">
        <v>126</v>
      </c>
      <c r="AK878" s="198" t="s">
        <v>136</v>
      </c>
      <c r="AL878" s="198" t="s">
        <v>137</v>
      </c>
      <c r="AM878" s="198" t="s">
        <v>138</v>
      </c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</row>
    <row r="879" spans="1:57" s="1" customFormat="1" ht="21.6" customHeight="1" x14ac:dyDescent="0.4">
      <c r="A879" s="37" t="str">
        <f>A878</f>
        <v>15Д</v>
      </c>
      <c r="B879" s="12">
        <f>B860+1</f>
        <v>46037</v>
      </c>
      <c r="C879" s="97"/>
      <c r="D879" s="97">
        <v>1</v>
      </c>
      <c r="E879" s="29"/>
      <c r="F879" s="151" t="str">
        <f>IFERROR(VLOOKUP($G879,нормы!$A$14:$BC$57,2,0),"")</f>
        <v/>
      </c>
      <c r="G879" s="93"/>
      <c r="H879" s="54">
        <f>IF(C879=1,"Кульков С.А.", IF(C879=2,"Чудаков А.А.",IF(C879=3,"Королев В.Н.",IF(C879=4,"Николашин М.П.",IF(C879=5," Кульков С.А.",IF(C879=6,"А.А. Чудаков",IF(C879=7,"В.Н. Королев",IF(C879=8,"М.П. Николашин",0))))))))</f>
        <v>0</v>
      </c>
      <c r="I879" s="88" t="s">
        <v>84</v>
      </c>
      <c r="J879" s="332"/>
      <c r="K879" s="30">
        <f>IFERROR(VLOOKUP($G879,[1]нормы!$A$21:$BC$151,15,0),"")</f>
        <v>0</v>
      </c>
      <c r="L879" s="31">
        <f>IFERROR(VLOOKUP($G879,[1]нормы!$A$21:$BC$151,17,0),"")</f>
        <v>0</v>
      </c>
      <c r="M879" s="310">
        <f>IFERROR(VLOOKUP($G879,[1]нормы!$A$21:$BC$151,27,0),"")</f>
        <v>0</v>
      </c>
      <c r="N879" s="311" t="str">
        <f>IFERROR(Y879/Y885*(1.1*J879*I884),"")</f>
        <v/>
      </c>
      <c r="O879" s="300">
        <f>IFERROR(VLOOKUP($G879,[1]нормы!$A$21:$BC$151,21,0),"")</f>
        <v>0</v>
      </c>
      <c r="P879" s="35">
        <f>IFERROR(VLOOKUP($G879,[1]нормы!$A$21:$BC$151,19,0),"")</f>
        <v>0</v>
      </c>
      <c r="Q879" s="35">
        <f>IFERROR(VLOOKUP($G879,[1]нормы!$A$21:$BC$151,23,0),"")</f>
        <v>0</v>
      </c>
      <c r="R879" s="231">
        <f>IFERROR(VLOOKUP($G879,[1]нормы!$A$21:$BC$151,29,0),"")</f>
        <v>0</v>
      </c>
      <c r="S879" s="35">
        <f>IFERROR(VLOOKUP($G879,[1]нормы!$A$21:$BC$151,31,0),"")</f>
        <v>0</v>
      </c>
      <c r="T879" s="32">
        <f>IFERROR(VLOOKUP($G879,[1]нормы!$A$21:$BC$151,25,0),"")</f>
        <v>0</v>
      </c>
      <c r="U879" s="232" t="str">
        <f>IFERROR(W879/(((100*Y879/Y885)*I884)/100),"")</f>
        <v/>
      </c>
      <c r="V879" s="234" t="str">
        <f>IFERROR(VLOOKUP($G879,нормы!$A$14:$BC$57,38,0),"")</f>
        <v/>
      </c>
      <c r="W879" s="136"/>
      <c r="X879" s="236"/>
      <c r="Y879" s="152" t="str">
        <f>IFERROR(VLOOKUP($G879,нормы!$A$14:$BC$57,42,0)*W879,"")</f>
        <v/>
      </c>
      <c r="Z879" s="163">
        <f>IFERROR(VLOOKUP($G879,нормы!$A$14:$BC$57,14,0)*W879/1000,0)</f>
        <v>0</v>
      </c>
      <c r="AA879" s="33"/>
      <c r="AB879" s="36"/>
      <c r="AC879" s="36"/>
      <c r="AD879" s="36"/>
      <c r="AE879" s="34"/>
      <c r="AF879" s="159"/>
      <c r="AG879" s="390"/>
      <c r="AH879" s="393"/>
      <c r="AI879" s="396"/>
      <c r="AJ879" s="407">
        <f>AG879+AH879</f>
        <v>0</v>
      </c>
      <c r="AK879" s="359"/>
      <c r="AL879" s="359"/>
      <c r="AM879" s="359"/>
      <c r="AN879" s="287">
        <f>IFERROR(Y879*AJ879/Y885,)</f>
        <v>0</v>
      </c>
      <c r="AO879" s="197" t="str">
        <f>IFERROR(VLOOKUP($G879,нормы!$A$14:$BC$57,53,0)*$W879,"")</f>
        <v/>
      </c>
      <c r="AP879" s="288">
        <f>IFERROR(Y879*AI879/Y885,)</f>
        <v>0</v>
      </c>
      <c r="AQ879" s="197" t="str">
        <f>IFERROR(VLOOKUP($G879,нормы!$A$14:$BC$57,54,0)*$W879,"")</f>
        <v/>
      </c>
      <c r="AR879" s="288">
        <f>IFERROR(AS879/SUM(AS879:AS884)*AL879,0)</f>
        <v>0</v>
      </c>
      <c r="AS879" s="197" t="str">
        <f>IFERROR(VLOOKUP($G879,нормы!$A$14:$BC$57,55,0)*W879,"")</f>
        <v/>
      </c>
      <c r="AT879" s="288">
        <f>IFERROR(AU879/SUM(AU879:AU884)*AM879,0)</f>
        <v>0</v>
      </c>
      <c r="AU879" s="197" t="str">
        <f>IFERROR(VLOOKUP($G879,нормы!$A$14:$BI$57,56,0)*W879,"")</f>
        <v/>
      </c>
      <c r="AV879" s="288">
        <f>IFERROR(AW879/SUM(AW879:AW884)*AK879,0)</f>
        <v>0</v>
      </c>
      <c r="AW879" s="202" t="str">
        <f>IFERROR(VLOOKUP($G879,нормы!$A$14:$BI$57,57,0)*W879,"")</f>
        <v/>
      </c>
      <c r="AX879" s="33"/>
      <c r="AY879" s="203" t="str">
        <f>IFERROR(VLOOKUP($G879,нормы!$A$14:$BI$57,58,0)*W879,"")</f>
        <v/>
      </c>
      <c r="AZ879" s="204"/>
      <c r="BA879" s="200" t="str">
        <f>IFERROR(VLOOKUP($G879,нормы!$A$14:$BI$57,61,0)*$W879,"")</f>
        <v/>
      </c>
      <c r="BB879" s="33"/>
      <c r="BC879" s="203" t="str">
        <f>IFERROR(VLOOKUP($G879,нормы!$A$14:$BI$57,60,0)*W879,"")</f>
        <v/>
      </c>
      <c r="BD879" s="200" t="str">
        <f>IFERROR(VLOOKUP($G879,нормы!$A$14:$BG$57,44,0),"")</f>
        <v/>
      </c>
      <c r="BE879" s="199" t="str">
        <f>IFERROR(W879/VLOOKUP($G879,нормы!$A$14:$BI$57,45,0),"")</f>
        <v/>
      </c>
    </row>
    <row r="880" spans="1:57" s="1" customFormat="1" ht="21.6" customHeight="1" x14ac:dyDescent="0.4">
      <c r="A880" s="37" t="str">
        <f t="shared" ref="A880:A908" si="350">A879</f>
        <v>15Д</v>
      </c>
      <c r="B880" s="12">
        <f t="shared" ref="B880:D884" si="351">B879</f>
        <v>46037</v>
      </c>
      <c r="C880" s="97">
        <f t="shared" si="351"/>
        <v>0</v>
      </c>
      <c r="D880" s="97">
        <f t="shared" si="351"/>
        <v>1</v>
      </c>
      <c r="E880" s="54"/>
      <c r="F880" s="151" t="str">
        <f>IFERROR(VLOOKUP($G880,нормы!$A$14:$BC$57,2,0),"")</f>
        <v/>
      </c>
      <c r="G880" s="93"/>
      <c r="H880" s="54">
        <f t="shared" ref="H880:H884" si="352">IF(C880=1,"Кульков С.А.", IF(C880=2,"Чудаков А.А.",IF(C880=3,"Королев В.Н.",IF(C880=4,"Николашин М.П.",IF(C880=5," Кульков С.А.",IF(C880=6,"А.А. Чудаков",IF(C880=7,"В.Н. Королев",IF(C880=8,"М.П. Николашин",0))))))))</f>
        <v>0</v>
      </c>
      <c r="I880" s="55"/>
      <c r="J880" s="333"/>
      <c r="K880" s="30">
        <f>IFERROR(VLOOKUP($G880,[1]нормы!$A$21:$BC$151,15,0),"")</f>
        <v>0</v>
      </c>
      <c r="L880" s="31">
        <f>IFERROR(VLOOKUP($G880,[1]нормы!$A$21:$BC$151,17,0),"")</f>
        <v>0</v>
      </c>
      <c r="M880" s="306">
        <f>IFERROR(VLOOKUP($G880,[1]нормы!$A$21:$BC$151,27,0),"")</f>
        <v>0</v>
      </c>
      <c r="N880" s="307" t="str">
        <f>IFERROR(Y880/Y885*(1.1*J879*I884),"")</f>
        <v/>
      </c>
      <c r="O880" s="300">
        <f>IFERROR(VLOOKUP($G880,[1]нормы!$A$21:$BC$151,21,0),"")</f>
        <v>0</v>
      </c>
      <c r="P880" s="35">
        <f>IFERROR(VLOOKUP($G880,[1]нормы!$A$21:$BC$151,19,0),"")</f>
        <v>0</v>
      </c>
      <c r="Q880" s="35">
        <f>IFERROR(VLOOKUP($G880,[1]нормы!$A$21:$BC$151,23,0),"")</f>
        <v>0</v>
      </c>
      <c r="R880" s="231">
        <f>IFERROR(VLOOKUP($G880,[1]нормы!$A$21:$BC$151,29,0),"")</f>
        <v>0</v>
      </c>
      <c r="S880" s="35">
        <f>IFERROR(VLOOKUP($G880,[1]нормы!$A$21:$BC$151,31,0),"")</f>
        <v>0</v>
      </c>
      <c r="T880" s="32">
        <f>IFERROR(VLOOKUP($G880,[1]нормы!$A$21:$BC$151,25,0),"")</f>
        <v>0</v>
      </c>
      <c r="U880" s="233" t="str">
        <f>IFERROR(W880/(((100*Y880/Y885)*I884)/100),"")</f>
        <v/>
      </c>
      <c r="V880" s="234" t="str">
        <f>IFERROR(VLOOKUP($G880,нормы!$A$14:$BC$57,38,0),"")</f>
        <v/>
      </c>
      <c r="W880" s="136"/>
      <c r="X880" s="237"/>
      <c r="Y880" s="152" t="str">
        <f>IFERROR(VLOOKUP($G880,нормы!$A$14:$BC$57,42,0)*W880,"")</f>
        <v/>
      </c>
      <c r="Z880" s="163">
        <f>IFERROR(VLOOKUP($G880,нормы!$A$14:$BC$57,14,0)*W880/1000,0)</f>
        <v>0</v>
      </c>
      <c r="AA880" s="142"/>
      <c r="AB880" s="35"/>
      <c r="AC880" s="35"/>
      <c r="AD880" s="35"/>
      <c r="AE880" s="31"/>
      <c r="AF880" s="160"/>
      <c r="AG880" s="391"/>
      <c r="AH880" s="394"/>
      <c r="AI880" s="397"/>
      <c r="AJ880" s="408"/>
      <c r="AK880" s="360"/>
      <c r="AL880" s="360"/>
      <c r="AM880" s="360"/>
      <c r="AN880" s="289">
        <f>IFERROR(Y880*AJ879/Y885,)</f>
        <v>0</v>
      </c>
      <c r="AO880" s="197" t="str">
        <f>IFERROR(VLOOKUP($G880,нормы!$A$14:$BC$57,53,0)*$W880,"")</f>
        <v/>
      </c>
      <c r="AP880" s="290">
        <f>IFERROR(Y880*AI879/Y885,)</f>
        <v>0</v>
      </c>
      <c r="AQ880" s="197" t="str">
        <f>IFERROR(VLOOKUP($G880,нормы!$A$14:$BC$57,54,0)*$W880,"")</f>
        <v/>
      </c>
      <c r="AR880" s="290">
        <f>IFERROR(AS880/SUM(AS879:AS884)*AL879,0)</f>
        <v>0</v>
      </c>
      <c r="AS880" s="197" t="str">
        <f>IFERROR(VLOOKUP($G880,нормы!$A$14:$BC$57,55,0)*W880,"")</f>
        <v/>
      </c>
      <c r="AT880" s="290">
        <f>IFERROR(AU880/SUM(AU879:AU884)*AM879,0)</f>
        <v>0</v>
      </c>
      <c r="AU880" s="197" t="str">
        <f>IFERROR(VLOOKUP($G880,нормы!$A$14:$BI$57,56,0)*W880,"")</f>
        <v/>
      </c>
      <c r="AV880" s="290">
        <f>IFERROR(AW880/SUM(AW879:AW884)*AK879,0)</f>
        <v>0</v>
      </c>
      <c r="AW880" s="202" t="str">
        <f>IFERROR(VLOOKUP($G880,нормы!$A$14:$BI$57,57,0)*W880,"")</f>
        <v/>
      </c>
      <c r="AX880" s="30"/>
      <c r="AY880" s="203" t="str">
        <f>IFERROR(VLOOKUP($G880,нормы!$A$14:$BI$57,58,0)*W880,"")</f>
        <v/>
      </c>
      <c r="AZ880" s="205"/>
      <c r="BA880" s="200" t="str">
        <f>IFERROR(VLOOKUP($G880,нормы!$A$14:$BI$57,61,0)*$W880,"")</f>
        <v/>
      </c>
      <c r="BB880" s="30"/>
      <c r="BC880" s="203" t="str">
        <f>IFERROR(VLOOKUP($G880,нормы!$A$14:$BI$57,60,0)*W880,"")</f>
        <v/>
      </c>
      <c r="BD880" s="200" t="str">
        <f>IFERROR(VLOOKUP($G880,нормы!$A$14:$BG$57,44,0),"")</f>
        <v/>
      </c>
      <c r="BE880" s="199" t="str">
        <f>IFERROR(W880/VLOOKUP($G880,нормы!$A$14:$BI$57,45,0),"")</f>
        <v/>
      </c>
    </row>
    <row r="881" spans="1:57" s="1" customFormat="1" ht="20.25" customHeight="1" x14ac:dyDescent="0.4">
      <c r="A881" s="37" t="str">
        <f t="shared" si="350"/>
        <v>15Д</v>
      </c>
      <c r="B881" s="12">
        <f t="shared" si="351"/>
        <v>46037</v>
      </c>
      <c r="C881" s="97">
        <f t="shared" si="351"/>
        <v>0</v>
      </c>
      <c r="D881" s="97">
        <f t="shared" si="351"/>
        <v>1</v>
      </c>
      <c r="E881" s="54"/>
      <c r="F881" s="151" t="str">
        <f>IFERROR(VLOOKUP($G881,нормы!$A$14:$BC$57,2,0),"")</f>
        <v/>
      </c>
      <c r="G881" s="38"/>
      <c r="H881" s="54">
        <f t="shared" si="352"/>
        <v>0</v>
      </c>
      <c r="I881" s="89" t="s">
        <v>85</v>
      </c>
      <c r="J881" s="333"/>
      <c r="K881" s="30">
        <f>IFERROR(VLOOKUP($G881,[1]нормы!$A$21:$BC$151,15,0),"")</f>
        <v>0</v>
      </c>
      <c r="L881" s="31">
        <f>IFERROR(VLOOKUP($G881,[1]нормы!$A$21:$BC$151,17,0),"")</f>
        <v>0</v>
      </c>
      <c r="M881" s="306">
        <f>IFERROR(VLOOKUP($G881,[1]нормы!$A$21:$BC$151,27,0),"")</f>
        <v>0</v>
      </c>
      <c r="N881" s="307" t="str">
        <f>IFERROR(Y881/Y885*(1.1*J879*I884),"")</f>
        <v/>
      </c>
      <c r="O881" s="300">
        <f>IFERROR(VLOOKUP($G881,[1]нормы!$A$21:$BC$151,21,0),"")</f>
        <v>0</v>
      </c>
      <c r="P881" s="35">
        <f>IFERROR(VLOOKUP($G881,[1]нормы!$A$21:$BC$151,19,0),"")</f>
        <v>0</v>
      </c>
      <c r="Q881" s="35">
        <f>IFERROR(VLOOKUP($G881,[1]нормы!$A$21:$BC$151,23,0),"")</f>
        <v>0</v>
      </c>
      <c r="R881" s="231">
        <f>IFERROR(VLOOKUP($G881,[1]нормы!$A$21:$BC$151,29,0),"")</f>
        <v>0</v>
      </c>
      <c r="S881" s="35">
        <f>IFERROR(VLOOKUP($G881,[1]нормы!$A$21:$BC$151,31,0),"")</f>
        <v>0</v>
      </c>
      <c r="T881" s="32">
        <f>IFERROR(VLOOKUP($G881,[1]нормы!$A$21:$BC$151,25,0),"")</f>
        <v>0</v>
      </c>
      <c r="U881" s="233" t="str">
        <f>IFERROR(W881/(((100*Y881/Y885)*I884)/100),"")</f>
        <v/>
      </c>
      <c r="V881" s="234" t="str">
        <f>IFERROR(VLOOKUP($G881,нормы!$A$14:$BC$57,38,0),"")</f>
        <v/>
      </c>
      <c r="W881" s="136"/>
      <c r="X881" s="237"/>
      <c r="Y881" s="152" t="str">
        <f>IFERROR(VLOOKUP($G881,нормы!$A$14:$BC$57,42,0)*W881,"")</f>
        <v/>
      </c>
      <c r="Z881" s="163">
        <f>IFERROR(VLOOKUP($G881,нормы!$A$14:$BC$57,14,0)*W881/1000,0)</f>
        <v>0</v>
      </c>
      <c r="AA881" s="30"/>
      <c r="AB881" s="35"/>
      <c r="AC881" s="35"/>
      <c r="AD881" s="35"/>
      <c r="AE881" s="31"/>
      <c r="AF881" s="160"/>
      <c r="AG881" s="391"/>
      <c r="AH881" s="394"/>
      <c r="AI881" s="397"/>
      <c r="AJ881" s="408"/>
      <c r="AK881" s="360"/>
      <c r="AL881" s="360"/>
      <c r="AM881" s="360"/>
      <c r="AN881" s="289">
        <f>IFERROR(Y881*AJ879/Y885,)</f>
        <v>0</v>
      </c>
      <c r="AO881" s="197" t="str">
        <f>IFERROR(VLOOKUP($G881,нормы!$A$14:$BC$57,53,0)*$W881,"")</f>
        <v/>
      </c>
      <c r="AP881" s="290">
        <f>IFERROR(Y881*AI879/Y885,)</f>
        <v>0</v>
      </c>
      <c r="AQ881" s="197" t="str">
        <f>IFERROR(VLOOKUP($G881,нормы!$A$14:$BC$57,54,0)*$W881,"")</f>
        <v/>
      </c>
      <c r="AR881" s="290">
        <f>IFERROR(AS881/SUM(AS879:AS884)*AL879,0)</f>
        <v>0</v>
      </c>
      <c r="AS881" s="197" t="str">
        <f>IFERROR(VLOOKUP($G881,нормы!$A$14:$BC$57,55,0)*W881,"")</f>
        <v/>
      </c>
      <c r="AT881" s="290">
        <f>IFERROR(AU881/SUM(AU879:AU884)*AM879,0)</f>
        <v>0</v>
      </c>
      <c r="AU881" s="197" t="str">
        <f>IFERROR(VLOOKUP($G881,нормы!$A$14:$BI$57,56,0)*W881,"")</f>
        <v/>
      </c>
      <c r="AV881" s="290">
        <f>IFERROR(AW881/SUM(AW879:AW884)*AK879,0)</f>
        <v>0</v>
      </c>
      <c r="AW881" s="202" t="str">
        <f>IFERROR(VLOOKUP($G881,нормы!$A$14:$BI$57,57,0)*W881,"")</f>
        <v/>
      </c>
      <c r="AX881" s="30"/>
      <c r="AY881" s="203" t="str">
        <f>IFERROR(VLOOKUP($G881,нормы!$A$14:$BI$57,58,0)*W881,"")</f>
        <v/>
      </c>
      <c r="AZ881" s="205"/>
      <c r="BA881" s="200" t="str">
        <f>IFERROR(VLOOKUP($G881,нормы!$A$14:$BI$57,61,0)*$W881,"")</f>
        <v/>
      </c>
      <c r="BB881" s="30"/>
      <c r="BC881" s="203" t="str">
        <f>IFERROR(VLOOKUP($G881,нормы!$A$14:$BI$57,60,0)*W881,"")</f>
        <v/>
      </c>
      <c r="BD881" s="200" t="str">
        <f>IFERROR(VLOOKUP($G881,нормы!$A$14:$BG$57,44,0),"")</f>
        <v/>
      </c>
      <c r="BE881" s="199" t="str">
        <f>IFERROR(W881/VLOOKUP($G881,нормы!$A$14:$BI$57,45,0),"")</f>
        <v/>
      </c>
    </row>
    <row r="882" spans="1:57" s="1" customFormat="1" ht="20.25" customHeight="1" x14ac:dyDescent="0.4">
      <c r="A882" s="37" t="str">
        <f t="shared" si="350"/>
        <v>15Д</v>
      </c>
      <c r="B882" s="12">
        <f t="shared" si="351"/>
        <v>46037</v>
      </c>
      <c r="C882" s="97">
        <f t="shared" si="351"/>
        <v>0</v>
      </c>
      <c r="D882" s="97">
        <f t="shared" si="351"/>
        <v>1</v>
      </c>
      <c r="E882" s="54"/>
      <c r="F882" s="151" t="str">
        <f>IFERROR(VLOOKUP($G882,нормы!$A$14:$BC$57,2,0),"")</f>
        <v/>
      </c>
      <c r="G882" s="93"/>
      <c r="H882" s="54">
        <f t="shared" si="352"/>
        <v>0</v>
      </c>
      <c r="I882" s="55"/>
      <c r="J882" s="333"/>
      <c r="K882" s="30">
        <f>IFERROR(VLOOKUP($G882,[1]нормы!$A$21:$BC$151,15,0),"")</f>
        <v>0</v>
      </c>
      <c r="L882" s="31">
        <f>IFERROR(VLOOKUP($G882,[1]нормы!$A$21:$BC$151,17,0),"")</f>
        <v>0</v>
      </c>
      <c r="M882" s="306">
        <f>IFERROR(VLOOKUP($G882,[1]нормы!$A$21:$BC$151,27,0),"")</f>
        <v>0</v>
      </c>
      <c r="N882" s="307" t="str">
        <f>IFERROR(Y882/Y885*(1.1*J879*I887),"")</f>
        <v/>
      </c>
      <c r="O882" s="300">
        <f>IFERROR(VLOOKUP($G882,[1]нормы!$A$21:$BC$151,21,0),"")</f>
        <v>0</v>
      </c>
      <c r="P882" s="35">
        <f>IFERROR(VLOOKUP($G882,[1]нормы!$A$21:$BC$151,19,0),"")</f>
        <v>0</v>
      </c>
      <c r="Q882" s="35">
        <f>IFERROR(VLOOKUP($G882,[1]нормы!$A$21:$BC$151,23,0),"")</f>
        <v>0</v>
      </c>
      <c r="R882" s="231">
        <f>IFERROR(VLOOKUP($G882,[1]нормы!$A$21:$BC$151,29,0),"")</f>
        <v>0</v>
      </c>
      <c r="S882" s="35">
        <f>IFERROR(VLOOKUP($G882,[1]нормы!$A$21:$BC$151,31,0),"")</f>
        <v>0</v>
      </c>
      <c r="T882" s="32">
        <f>IFERROR(VLOOKUP($G882,[1]нормы!$A$21:$BC$151,25,0),"")</f>
        <v>0</v>
      </c>
      <c r="U882" s="233" t="str">
        <f>IFERROR(W882/(((100*Y882/Y885)*I884)/100),"")</f>
        <v/>
      </c>
      <c r="V882" s="234" t="str">
        <f>IFERROR(VLOOKUP($G882,нормы!$A$14:$BC$57,38,0),"")</f>
        <v/>
      </c>
      <c r="W882" s="136"/>
      <c r="X882" s="237"/>
      <c r="Y882" s="152" t="str">
        <f>IFERROR(VLOOKUP($G882,нормы!$A$14:$BC$57,42,0)*W882,"")</f>
        <v/>
      </c>
      <c r="Z882" s="163">
        <f>IFERROR(VLOOKUP($G882,нормы!$A$14:$BC$57,14,0)*W882/1000,0)</f>
        <v>0</v>
      </c>
      <c r="AA882" s="30"/>
      <c r="AB882" s="35"/>
      <c r="AC882" s="35"/>
      <c r="AD882" s="35"/>
      <c r="AE882" s="31"/>
      <c r="AF882" s="160"/>
      <c r="AG882" s="391"/>
      <c r="AH882" s="394"/>
      <c r="AI882" s="397"/>
      <c r="AJ882" s="408"/>
      <c r="AK882" s="360"/>
      <c r="AL882" s="360"/>
      <c r="AM882" s="360"/>
      <c r="AN882" s="289">
        <f>IFERROR(Y882*AJ879/Y885,)</f>
        <v>0</v>
      </c>
      <c r="AO882" s="197" t="str">
        <f>IFERROR(VLOOKUP($G882,нормы!$A$14:$BC$57,53,0)*$W882,"")</f>
        <v/>
      </c>
      <c r="AP882" s="290">
        <f>IFERROR(Y882*AI879/Y885,)</f>
        <v>0</v>
      </c>
      <c r="AQ882" s="197" t="str">
        <f>IFERROR(VLOOKUP($G882,нормы!$A$14:$BC$57,54,0)*$W882,"")</f>
        <v/>
      </c>
      <c r="AR882" s="290">
        <f>IFERROR(AS882/SUM(AS879:AS884)*AL879,0)</f>
        <v>0</v>
      </c>
      <c r="AS882" s="197" t="str">
        <f>IFERROR(VLOOKUP($G882,нормы!$A$14:$BC$57,55,0)*W882,"")</f>
        <v/>
      </c>
      <c r="AT882" s="290">
        <f>IFERROR(AU882/SUM(AU879:AU884)*AM879,0)</f>
        <v>0</v>
      </c>
      <c r="AU882" s="197" t="str">
        <f>IFERROR(VLOOKUP($G882,нормы!$A$14:$BI$57,56,0)*W882,"")</f>
        <v/>
      </c>
      <c r="AV882" s="290">
        <f>IFERROR(AW882/SUM(AW879:AW884)*AK879,0)</f>
        <v>0</v>
      </c>
      <c r="AW882" s="202" t="str">
        <f>IFERROR(VLOOKUP($G882,нормы!$A$14:$BI$57,57,0)*W882,"")</f>
        <v/>
      </c>
      <c r="AX882" s="30"/>
      <c r="AY882" s="203" t="str">
        <f>IFERROR(VLOOKUP($G882,нормы!$A$14:$BI$57,58,0)*W882,"")</f>
        <v/>
      </c>
      <c r="AZ882" s="205"/>
      <c r="BA882" s="200" t="str">
        <f>IFERROR(VLOOKUP($G882,нормы!$A$14:$BI$57,61,0)*$W882,"")</f>
        <v/>
      </c>
      <c r="BB882" s="30"/>
      <c r="BC882" s="203" t="str">
        <f>IFERROR(VLOOKUP($G882,нормы!$A$14:$BI$57,60,0)*W882,"")</f>
        <v/>
      </c>
      <c r="BD882" s="200" t="str">
        <f>IFERROR(VLOOKUP($G882,нормы!$A$14:$BG$57,44,0),"")</f>
        <v/>
      </c>
      <c r="BE882" s="199" t="str">
        <f>IFERROR(W882/VLOOKUP($G882,нормы!$A$14:$BI$57,45,0),"")</f>
        <v/>
      </c>
    </row>
    <row r="883" spans="1:57" s="1" customFormat="1" ht="20.25" customHeight="1" x14ac:dyDescent="0.4">
      <c r="A883" s="37" t="str">
        <f t="shared" si="350"/>
        <v>15Д</v>
      </c>
      <c r="B883" s="12">
        <f t="shared" si="351"/>
        <v>46037</v>
      </c>
      <c r="C883" s="97">
        <f t="shared" si="351"/>
        <v>0</v>
      </c>
      <c r="D883" s="97">
        <f t="shared" si="351"/>
        <v>1</v>
      </c>
      <c r="E883" s="54"/>
      <c r="F883" s="151" t="str">
        <f>IFERROR(VLOOKUP($G883,нормы!$A$14:$BC$57,2,0),"")</f>
        <v/>
      </c>
      <c r="G883" s="38"/>
      <c r="H883" s="54">
        <f t="shared" si="352"/>
        <v>0</v>
      </c>
      <c r="I883" s="89" t="s">
        <v>73</v>
      </c>
      <c r="J883" s="333"/>
      <c r="K883" s="30">
        <f>IFERROR(VLOOKUP($G883,[1]нормы!$A$21:$BC$151,15,0),"")</f>
        <v>0</v>
      </c>
      <c r="L883" s="31">
        <f>IFERROR(VLOOKUP($G883,[1]нормы!$A$21:$BC$151,17,0),"")</f>
        <v>0</v>
      </c>
      <c r="M883" s="306">
        <f>IFERROR(VLOOKUP($G883,[1]нормы!$A$21:$BC$151,27,0),"")</f>
        <v>0</v>
      </c>
      <c r="N883" s="307" t="str">
        <f>IFERROR(Y883/Y885*(1.1*J879*I888),"")</f>
        <v/>
      </c>
      <c r="O883" s="300">
        <f>IFERROR(VLOOKUP($G883,[1]нормы!$A$21:$BC$151,21,0),"")</f>
        <v>0</v>
      </c>
      <c r="P883" s="35">
        <f>IFERROR(VLOOKUP($G883,[1]нормы!$A$21:$BC$151,19,0),"")</f>
        <v>0</v>
      </c>
      <c r="Q883" s="35">
        <f>IFERROR(VLOOKUP($G883,[1]нормы!$A$21:$BC$151,23,0),"")</f>
        <v>0</v>
      </c>
      <c r="R883" s="231">
        <f>IFERROR(VLOOKUP($G883,[1]нормы!$A$21:$BC$151,29,0),"")</f>
        <v>0</v>
      </c>
      <c r="S883" s="35">
        <f>IFERROR(VLOOKUP($G883,[1]нормы!$A$21:$BC$151,31,0),"")</f>
        <v>0</v>
      </c>
      <c r="T883" s="32">
        <f>IFERROR(VLOOKUP($G883,[1]нормы!$A$21:$BC$151,25,0),"")</f>
        <v>0</v>
      </c>
      <c r="U883" s="233" t="str">
        <f>IFERROR(W883/(((100*Y883/Y885)*I884)/100),"")</f>
        <v/>
      </c>
      <c r="V883" s="234" t="str">
        <f>IFERROR(VLOOKUP($G883,нормы!$A$14:$BC$57,38,0),"")</f>
        <v/>
      </c>
      <c r="W883" s="136"/>
      <c r="X883" s="237"/>
      <c r="Y883" s="152" t="str">
        <f>IFERROR(VLOOKUP($G883,нормы!$A$14:$BC$57,42,0)*W883,"")</f>
        <v/>
      </c>
      <c r="Z883" s="163">
        <f>IFERROR(VLOOKUP($G883,нормы!$A$14:$BC$57,14,0)*W883/1000,0)</f>
        <v>0</v>
      </c>
      <c r="AA883" s="30"/>
      <c r="AB883" s="35"/>
      <c r="AC883" s="35"/>
      <c r="AD883" s="35"/>
      <c r="AE883" s="31"/>
      <c r="AF883" s="160"/>
      <c r="AG883" s="391"/>
      <c r="AH883" s="394"/>
      <c r="AI883" s="397"/>
      <c r="AJ883" s="408"/>
      <c r="AK883" s="360"/>
      <c r="AL883" s="360"/>
      <c r="AM883" s="360"/>
      <c r="AN883" s="289">
        <f>IFERROR(Y883*AJ879/Y885,)</f>
        <v>0</v>
      </c>
      <c r="AO883" s="197" t="str">
        <f>IFERROR(VLOOKUP($G883,нормы!$A$14:$BC$57,53,0)*$W883,"")</f>
        <v/>
      </c>
      <c r="AP883" s="290">
        <f>IFERROR(Y883*AI879/Y885,)</f>
        <v>0</v>
      </c>
      <c r="AQ883" s="197" t="str">
        <f>IFERROR(VLOOKUP($G883,нормы!$A$14:$BC$57,54,0)*$W883,"")</f>
        <v/>
      </c>
      <c r="AR883" s="290">
        <f>IFERROR(AS883/SUM(AS879:AS884)*AL879,0)</f>
        <v>0</v>
      </c>
      <c r="AS883" s="197" t="str">
        <f>IFERROR(VLOOKUP($G883,нормы!$A$14:$BC$57,55,0)*W883,"")</f>
        <v/>
      </c>
      <c r="AT883" s="290">
        <f>IFERROR(AU883/SUM(AU879:AU884)*AM879,0)</f>
        <v>0</v>
      </c>
      <c r="AU883" s="197" t="str">
        <f>IFERROR(VLOOKUP($G883,нормы!$A$14:$BI$57,56,0)*W883,"")</f>
        <v/>
      </c>
      <c r="AV883" s="290">
        <f>IFERROR(AW883/SUM(AW879:AW884)*AK879,0)</f>
        <v>0</v>
      </c>
      <c r="AW883" s="202" t="str">
        <f>IFERROR(VLOOKUP($G883,нормы!$A$14:$BI$57,57,0)*W883,"")</f>
        <v/>
      </c>
      <c r="AX883" s="30"/>
      <c r="AY883" s="203" t="str">
        <f>IFERROR(VLOOKUP($G883,нормы!$A$14:$BI$57,58,0)*W883,"")</f>
        <v/>
      </c>
      <c r="AZ883" s="205"/>
      <c r="BA883" s="200" t="str">
        <f>IFERROR(VLOOKUP($G883,нормы!$A$14:$BI$57,61,0)*$W883,"")</f>
        <v/>
      </c>
      <c r="BB883" s="30"/>
      <c r="BC883" s="203" t="str">
        <f>IFERROR(VLOOKUP($G883,нормы!$A$14:$BI$57,60,0)*W883,"")</f>
        <v/>
      </c>
      <c r="BD883" s="200" t="str">
        <f>IFERROR(VLOOKUP($G883,нормы!$A$14:$BG$57,44,0),"")</f>
        <v/>
      </c>
      <c r="BE883" s="199" t="str">
        <f>IFERROR(W883/VLOOKUP($G883,нормы!$A$14:$BI$57,45,0),"")</f>
        <v/>
      </c>
    </row>
    <row r="884" spans="1:57" s="1" customFormat="1" ht="21" customHeight="1" thickBot="1" x14ac:dyDescent="0.45">
      <c r="A884" s="37" t="str">
        <f t="shared" si="350"/>
        <v>15Д</v>
      </c>
      <c r="B884" s="12">
        <f t="shared" si="351"/>
        <v>46037</v>
      </c>
      <c r="C884" s="97">
        <f t="shared" si="351"/>
        <v>0</v>
      </c>
      <c r="D884" s="97">
        <f t="shared" si="351"/>
        <v>1</v>
      </c>
      <c r="E884" s="54"/>
      <c r="F884" s="151" t="str">
        <f>IFERROR(VLOOKUP($G884,нормы!$A$14:$BC$57,2,0),"")</f>
        <v/>
      </c>
      <c r="G884" s="93"/>
      <c r="H884" s="63">
        <f t="shared" si="352"/>
        <v>0</v>
      </c>
      <c r="I884" s="153">
        <f>I880+I882</f>
        <v>0</v>
      </c>
      <c r="J884" s="334"/>
      <c r="K884" s="30">
        <f>IFERROR(VLOOKUP($G884,[1]нормы!$A$21:$BC$151,15,0),"")</f>
        <v>0</v>
      </c>
      <c r="L884" s="31">
        <f>IFERROR(VLOOKUP($G884,[1]нормы!$A$21:$BC$151,17,0),"")</f>
        <v>0</v>
      </c>
      <c r="M884" s="308">
        <f>IFERROR(VLOOKUP($G884,[1]нормы!$A$21:$BC$151,27,0),"")</f>
        <v>0</v>
      </c>
      <c r="N884" s="309" t="str">
        <f>IFERROR(Y884/Y885*(1.1*J879*I889),"")</f>
        <v/>
      </c>
      <c r="O884" s="300">
        <f>IFERROR(VLOOKUP($G884,[1]нормы!$A$21:$BC$151,21,0),"")</f>
        <v>0</v>
      </c>
      <c r="P884" s="35">
        <f>IFERROR(VLOOKUP($G884,[1]нормы!$A$21:$BC$151,19,0),"")</f>
        <v>0</v>
      </c>
      <c r="Q884" s="35">
        <f>IFERROR(VLOOKUP($G884,[1]нормы!$A$21:$BC$151,23,0),"")</f>
        <v>0</v>
      </c>
      <c r="R884" s="231">
        <f>IFERROR(VLOOKUP($G884,[1]нормы!$A$21:$BC$151,29,0),"")</f>
        <v>0</v>
      </c>
      <c r="S884" s="35">
        <f>IFERROR(VLOOKUP($G884,[1]нормы!$A$21:$BC$151,31,0),"")</f>
        <v>0</v>
      </c>
      <c r="T884" s="32">
        <f>IFERROR(VLOOKUP($G884,[1]нормы!$A$21:$BC$151,25,0),"")</f>
        <v>0</v>
      </c>
      <c r="U884" s="235" t="str">
        <f>IFERROR(W884/(((100*Y884/Y885)*I884)/100),"")</f>
        <v/>
      </c>
      <c r="V884" s="234" t="str">
        <f>IFERROR(VLOOKUP($G884,нормы!$A$14:$BC$57,38,0),"")</f>
        <v/>
      </c>
      <c r="W884" s="154"/>
      <c r="X884" s="238"/>
      <c r="Y884" s="152" t="str">
        <f>IFERROR(VLOOKUP($G884,нормы!$A$14:$BC$57,42,0)*W884,"")</f>
        <v/>
      </c>
      <c r="Z884" s="163">
        <f>IFERROR(VLOOKUP($G884,нормы!$A$14:$BC$57,14,0)*W884/1000,0)</f>
        <v>0</v>
      </c>
      <c r="AA884" s="56"/>
      <c r="AB884" s="58"/>
      <c r="AC884" s="58"/>
      <c r="AD884" s="58"/>
      <c r="AE884" s="57"/>
      <c r="AF884" s="161"/>
      <c r="AG884" s="392"/>
      <c r="AH884" s="395"/>
      <c r="AI884" s="398"/>
      <c r="AJ884" s="409"/>
      <c r="AK884" s="361"/>
      <c r="AL884" s="361"/>
      <c r="AM884" s="361"/>
      <c r="AN884" s="291">
        <f>IFERROR(Y884*AJ879/Y885,)</f>
        <v>0</v>
      </c>
      <c r="AO884" s="197" t="str">
        <f>IFERROR(VLOOKUP($G884,нормы!$A$14:$BC$57,53,0)*$W884,"")</f>
        <v/>
      </c>
      <c r="AP884" s="292">
        <f>IFERROR(Y884*AI879/Y885,)</f>
        <v>0</v>
      </c>
      <c r="AQ884" s="197" t="str">
        <f>IFERROR(VLOOKUP($G884,нормы!$A$14:$BC$57,54,0)*$W884,"")</f>
        <v/>
      </c>
      <c r="AR884" s="290">
        <f>IFERROR(AS884/SUM(AS879:AS884)*AL879,0)</f>
        <v>0</v>
      </c>
      <c r="AS884" s="197" t="str">
        <f>IFERROR(VLOOKUP($G884,нормы!$A$14:$BC$57,55,0)*W884,"")</f>
        <v/>
      </c>
      <c r="AT884" s="292">
        <f>IFERROR(AU884/SUM(AU879:AU884)*AM879,0)</f>
        <v>0</v>
      </c>
      <c r="AU884" s="197" t="str">
        <f>IFERROR(VLOOKUP($G884,нормы!$A$14:$BI$57,56,0)*W884,"")</f>
        <v/>
      </c>
      <c r="AV884" s="292">
        <f>IFERROR(AW884/SUM(AW879:AW884)*AK879,0)</f>
        <v>0</v>
      </c>
      <c r="AW884" s="202" t="str">
        <f>IFERROR(VLOOKUP($G884,нормы!$A$14:$BI$57,57,0)*W884,"")</f>
        <v/>
      </c>
      <c r="AX884" s="56"/>
      <c r="AY884" s="203" t="str">
        <f>IFERROR(VLOOKUP($G884,нормы!$A$14:$BI$57,58,0)*W884,"")</f>
        <v/>
      </c>
      <c r="AZ884" s="206"/>
      <c r="BA884" s="200" t="str">
        <f>IFERROR(VLOOKUP($G884,нормы!$A$14:$BI$57,61,0)*$W884,"")</f>
        <v/>
      </c>
      <c r="BB884" s="56"/>
      <c r="BC884" s="203" t="str">
        <f>IFERROR(VLOOKUP($G884,нормы!$A$14:$BI$57,60,0)*W884,"")</f>
        <v/>
      </c>
      <c r="BD884" s="200" t="str">
        <f>IFERROR(VLOOKUP($G884,нормы!$A$14:$BG$57,44,0),"")</f>
        <v/>
      </c>
      <c r="BE884" s="199" t="str">
        <f>IFERROR(W884/VLOOKUP($G884,нормы!$A$14:$BI$57,45,0),"")</f>
        <v/>
      </c>
    </row>
    <row r="885" spans="1:57" s="1" customFormat="1" ht="29.4" customHeight="1" thickBot="1" x14ac:dyDescent="0.45">
      <c r="A885" s="37" t="str">
        <f t="shared" si="350"/>
        <v>15Д</v>
      </c>
      <c r="B885" s="59"/>
      <c r="C885" s="51"/>
      <c r="D885" s="51"/>
      <c r="E885" s="51"/>
      <c r="F885" s="295" t="s">
        <v>148</v>
      </c>
      <c r="G885" s="51"/>
      <c r="H885" s="51"/>
      <c r="I885" s="60"/>
      <c r="J885" s="60"/>
      <c r="K885" s="319" t="s">
        <v>213</v>
      </c>
      <c r="L885" s="316"/>
      <c r="M885" s="303" t="s">
        <v>213</v>
      </c>
      <c r="N885" s="317">
        <f>SUM(N879:N884)</f>
        <v>0</v>
      </c>
      <c r="O885" s="304" t="s">
        <v>216</v>
      </c>
      <c r="P885" s="318">
        <f>N885*8.937/1000</f>
        <v>0</v>
      </c>
      <c r="Q885" s="305" t="s">
        <v>215</v>
      </c>
      <c r="R885" s="61"/>
      <c r="S885" s="61"/>
      <c r="T885" s="61"/>
      <c r="U885" s="109"/>
      <c r="V885" s="109"/>
      <c r="W885" s="94"/>
      <c r="X885" s="155"/>
      <c r="Y885" s="96">
        <f>SUM(Y879:Y884)</f>
        <v>0</v>
      </c>
      <c r="Z885" s="164">
        <f>SUM(Z879:Z884)</f>
        <v>0</v>
      </c>
      <c r="AA885" s="62"/>
      <c r="AB885" s="62"/>
      <c r="AC885" s="62"/>
      <c r="AD885" s="62"/>
      <c r="AE885" s="62"/>
      <c r="AF885" s="62"/>
      <c r="AG885" s="162" t="s">
        <v>140</v>
      </c>
      <c r="AH885" s="162" t="s">
        <v>141</v>
      </c>
      <c r="AI885" s="162" t="s">
        <v>142</v>
      </c>
      <c r="AJ885" s="91" t="s">
        <v>126</v>
      </c>
      <c r="AK885" s="198" t="s">
        <v>136</v>
      </c>
      <c r="AL885" s="198" t="s">
        <v>137</v>
      </c>
      <c r="AM885" s="198" t="s">
        <v>138</v>
      </c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53" t="str">
        <f>IFERROR(W885/VLOOKUP($G885,нормы!$A$14:$BI$15,28,0),"")</f>
        <v/>
      </c>
    </row>
    <row r="886" spans="1:57" s="1" customFormat="1" ht="21.6" customHeight="1" x14ac:dyDescent="0.4">
      <c r="A886" s="37" t="str">
        <f t="shared" si="350"/>
        <v>15Д</v>
      </c>
      <c r="B886" s="12">
        <f>B884</f>
        <v>46037</v>
      </c>
      <c r="C886" s="97"/>
      <c r="D886" s="97">
        <v>2</v>
      </c>
      <c r="E886" s="29"/>
      <c r="F886" s="151" t="str">
        <f>IFERROR(VLOOKUP($G886,нормы!$A$14:$BC$57,2,0),"")</f>
        <v/>
      </c>
      <c r="G886" s="93"/>
      <c r="H886" s="54">
        <f>IF(C886=1,"Кульков С.А.", IF(C886=2,"Чудаков А.А.",IF(C886=3,"Королев В.Н.",IF(C886=4,"Николашин М.П.",IF(C886=5," Кульков С.А.",IF(C886=6,"А.А. Чудаков",IF(C886=7,"В.Н. Королев",IF(C886=8,"М.П. Николашин",0))))))))</f>
        <v>0</v>
      </c>
      <c r="I886" s="88" t="s">
        <v>211</v>
      </c>
      <c r="J886" s="332"/>
      <c r="K886" s="30">
        <f>IFERROR(VLOOKUP($G886,[1]нормы!$A$21:$BC$151,15,0),"")</f>
        <v>0</v>
      </c>
      <c r="L886" s="31">
        <f>IFERROR(VLOOKUP($G886,[1]нормы!$A$21:$BC$151,17,0),"")</f>
        <v>0</v>
      </c>
      <c r="M886" s="310">
        <f>IFERROR(VLOOKUP($G886,[1]нормы!$A$21:$BC$151,27,0),"")</f>
        <v>0</v>
      </c>
      <c r="N886" s="311" t="str">
        <f>IFERROR(Y886/Y892*(1.1*J886*I891),"")</f>
        <v/>
      </c>
      <c r="O886" s="300">
        <f>IFERROR(VLOOKUP($G886,[1]нормы!$A$21:$BC$151,21,0),"")</f>
        <v>0</v>
      </c>
      <c r="P886" s="35">
        <f>IFERROR(VLOOKUP($G886,[1]нормы!$A$21:$BC$151,19,0),"")</f>
        <v>0</v>
      </c>
      <c r="Q886" s="35">
        <f>IFERROR(VLOOKUP($G886,[1]нормы!$A$21:$BC$151,23,0),"")</f>
        <v>0</v>
      </c>
      <c r="R886" s="231">
        <f>IFERROR(VLOOKUP($G886,[1]нормы!$A$21:$BC$151,29,0),"")</f>
        <v>0</v>
      </c>
      <c r="S886" s="35">
        <f>IFERROR(VLOOKUP($G886,[1]нормы!$A$21:$BC$151,31,0),"")</f>
        <v>0</v>
      </c>
      <c r="T886" s="32">
        <f>IFERROR(VLOOKUP($G886,[1]нормы!$A$21:$BC$151,25,0),"")</f>
        <v>0</v>
      </c>
      <c r="U886" s="232" t="str">
        <f>IFERROR(W886/(((100*Y886/Y892)*I891)/100),"")</f>
        <v/>
      </c>
      <c r="V886" s="234" t="str">
        <f>IFERROR(VLOOKUP($G886,нормы!$A$14:$BC$57,38,0),"")</f>
        <v/>
      </c>
      <c r="W886" s="136"/>
      <c r="X886" s="236"/>
      <c r="Y886" s="152" t="str">
        <f>IFERROR(VLOOKUP($G886,нормы!$A$14:$BC$57,42,0)*W886,"")</f>
        <v/>
      </c>
      <c r="Z886" s="163">
        <f>IFERROR(VLOOKUP($G886,нормы!$A$14:$BC$57,14,0)*W886/1000,0)</f>
        <v>0</v>
      </c>
      <c r="AA886" s="33"/>
      <c r="AB886" s="36"/>
      <c r="AC886" s="36"/>
      <c r="AD886" s="36"/>
      <c r="AE886" s="34"/>
      <c r="AF886" s="159"/>
      <c r="AG886" s="390"/>
      <c r="AH886" s="393"/>
      <c r="AI886" s="396"/>
      <c r="AJ886" s="407">
        <f>AG886+AH886</f>
        <v>0</v>
      </c>
      <c r="AK886" s="359"/>
      <c r="AL886" s="359"/>
      <c r="AM886" s="359"/>
      <c r="AN886" s="287">
        <f>IFERROR(Y886*AJ886/Y892,)</f>
        <v>0</v>
      </c>
      <c r="AO886" s="197" t="str">
        <f>IFERROR(VLOOKUP($G886,нормы!$A$14:$BC$57,53,0)*$W886,"")</f>
        <v/>
      </c>
      <c r="AP886" s="288">
        <f>IFERROR(Y886*AI886/Y892,)</f>
        <v>0</v>
      </c>
      <c r="AQ886" s="197" t="str">
        <f>IFERROR(VLOOKUP($G886,нормы!$A$14:$BC$57,54,0)*$W886,"")</f>
        <v/>
      </c>
      <c r="AR886" s="288">
        <f>IFERROR(AS886/SUM(AS886:AS891)*AL886,0)</f>
        <v>0</v>
      </c>
      <c r="AS886" s="197" t="str">
        <f>IFERROR(VLOOKUP($G886,нормы!$A$14:$BC$57,55,0)*W886,"")</f>
        <v/>
      </c>
      <c r="AT886" s="288">
        <f>IFERROR(AU886/SUM(AU886:AU891)*AM886,0)</f>
        <v>0</v>
      </c>
      <c r="AU886" s="197" t="str">
        <f>IFERROR(VLOOKUP($G886,нормы!$A$14:$BI$57,56,0)*W886,"")</f>
        <v/>
      </c>
      <c r="AV886" s="288">
        <f>IFERROR(AW886/SUM(AW886:AW891)*AK886,0)</f>
        <v>0</v>
      </c>
      <c r="AW886" s="202" t="str">
        <f>IFERROR(VLOOKUP($G886,нормы!$A$14:$BI$57,57,0)*W886,"")</f>
        <v/>
      </c>
      <c r="AX886" s="33"/>
      <c r="AY886" s="203" t="str">
        <f>IFERROR(VLOOKUP($G886,нормы!$A$14:$BI$57,58,0)*W886,"")</f>
        <v/>
      </c>
      <c r="AZ886" s="204"/>
      <c r="BA886" s="200" t="str">
        <f>IFERROR(VLOOKUP($G886,нормы!$A$14:$BI$57,61,0)*$W886,"")</f>
        <v/>
      </c>
      <c r="BB886" s="33"/>
      <c r="BC886" s="203" t="str">
        <f>IFERROR(VLOOKUP($G886,нормы!$A$14:$BI$57,60,0)*W886,"")</f>
        <v/>
      </c>
      <c r="BD886" s="200" t="str">
        <f>IFERROR(VLOOKUP($G886,нормы!$A$14:$BG$57,44,0),"")</f>
        <v/>
      </c>
      <c r="BE886" s="199" t="str">
        <f>IFERROR(W886/VLOOKUP($G886,нормы!$A$14:$BI$57,45,0),"")</f>
        <v/>
      </c>
    </row>
    <row r="887" spans="1:57" s="1" customFormat="1" ht="21.6" customHeight="1" x14ac:dyDescent="0.4">
      <c r="A887" s="37" t="str">
        <f t="shared" si="350"/>
        <v>15Д</v>
      </c>
      <c r="B887" s="12">
        <f t="shared" ref="B887:D891" si="353">B886</f>
        <v>46037</v>
      </c>
      <c r="C887" s="97">
        <f t="shared" si="353"/>
        <v>0</v>
      </c>
      <c r="D887" s="97">
        <f t="shared" si="353"/>
        <v>2</v>
      </c>
      <c r="E887" s="54"/>
      <c r="F887" s="151" t="str">
        <f>IFERROR(VLOOKUP($G887,нормы!$A$14:$BC$57,2,0),"")</f>
        <v/>
      </c>
      <c r="G887" s="93"/>
      <c r="H887" s="54">
        <f t="shared" ref="H887:H891" si="354">IF(C887=1,"Кульков С.А.", IF(C887=2,"Чудаков А.А.",IF(C887=3,"Королев В.Н.",IF(C887=4,"Николашин М.П.",IF(C887=5," Кульков С.А.",IF(C887=6,"А.А. Чудаков",IF(C887=7,"В.Н. Королев",IF(C887=8,"М.П. Николашин",0))))))))</f>
        <v>0</v>
      </c>
      <c r="I887" s="55"/>
      <c r="J887" s="333"/>
      <c r="K887" s="30">
        <f>IFERROR(VLOOKUP($G887,[1]нормы!$A$21:$BC$151,15,0),"")</f>
        <v>0</v>
      </c>
      <c r="L887" s="31">
        <f>IFERROR(VLOOKUP($G887,[1]нормы!$A$21:$BC$151,17,0),"")</f>
        <v>0</v>
      </c>
      <c r="M887" s="306">
        <f>IFERROR(VLOOKUP($G887,[1]нормы!$A$21:$BC$151,27,0),"")</f>
        <v>0</v>
      </c>
      <c r="N887" s="307" t="str">
        <f>IFERROR(Y887/Y892*(1.1*J886*I891),"")</f>
        <v/>
      </c>
      <c r="O887" s="300">
        <f>IFERROR(VLOOKUP($G887,[1]нормы!$A$21:$BC$151,21,0),"")</f>
        <v>0</v>
      </c>
      <c r="P887" s="35">
        <f>IFERROR(VLOOKUP($G887,[1]нормы!$A$21:$BC$151,19,0),"")</f>
        <v>0</v>
      </c>
      <c r="Q887" s="35">
        <f>IFERROR(VLOOKUP($G887,[1]нормы!$A$21:$BC$151,23,0),"")</f>
        <v>0</v>
      </c>
      <c r="R887" s="231">
        <f>IFERROR(VLOOKUP($G887,[1]нормы!$A$21:$BC$151,29,0),"")</f>
        <v>0</v>
      </c>
      <c r="S887" s="35">
        <f>IFERROR(VLOOKUP($G887,[1]нормы!$A$21:$BC$151,31,0),"")</f>
        <v>0</v>
      </c>
      <c r="T887" s="32">
        <f>IFERROR(VLOOKUP($G887,[1]нормы!$A$21:$BC$151,25,0),"")</f>
        <v>0</v>
      </c>
      <c r="U887" s="233" t="str">
        <f>IFERROR(W887/(((100*Y887/Y892)*I891)/100),"")</f>
        <v/>
      </c>
      <c r="V887" s="234" t="str">
        <f>IFERROR(VLOOKUP($G887,нормы!$A$14:$BC$57,38,0),"")</f>
        <v/>
      </c>
      <c r="W887" s="136"/>
      <c r="X887" s="237"/>
      <c r="Y887" s="152" t="str">
        <f>IFERROR(VLOOKUP($G887,нормы!$A$14:$BC$57,42,0)*W887,"")</f>
        <v/>
      </c>
      <c r="Z887" s="163">
        <f>IFERROR(VLOOKUP($G887,нормы!$A$14:$BC$57,14,0)*W887/1000,0)</f>
        <v>0</v>
      </c>
      <c r="AA887" s="142"/>
      <c r="AB887" s="35"/>
      <c r="AC887" s="35"/>
      <c r="AD887" s="35"/>
      <c r="AE887" s="31"/>
      <c r="AF887" s="160"/>
      <c r="AG887" s="391"/>
      <c r="AH887" s="394"/>
      <c r="AI887" s="397"/>
      <c r="AJ887" s="408"/>
      <c r="AK887" s="360"/>
      <c r="AL887" s="360"/>
      <c r="AM887" s="360"/>
      <c r="AN887" s="289">
        <f>IFERROR(Y887*AJ886/Y892,)</f>
        <v>0</v>
      </c>
      <c r="AO887" s="197" t="str">
        <f>IFERROR(VLOOKUP($G887,нормы!$A$14:$BC$57,53,0)*$W887,"")</f>
        <v/>
      </c>
      <c r="AP887" s="290">
        <f>IFERROR(Y887*AI886/Y892,)</f>
        <v>0</v>
      </c>
      <c r="AQ887" s="197" t="str">
        <f>IFERROR(VLOOKUP($G887,нормы!$A$14:$BC$57,54,0)*$W887,"")</f>
        <v/>
      </c>
      <c r="AR887" s="290">
        <f>IFERROR(AS887/SUM(AS886:AS891)*AL886,0)</f>
        <v>0</v>
      </c>
      <c r="AS887" s="197" t="str">
        <f>IFERROR(VLOOKUP($G887,нормы!$A$14:$BC$57,55,0)*W887,"")</f>
        <v/>
      </c>
      <c r="AT887" s="290">
        <f>IFERROR(AU887/SUM(AU886:AU891)*AM886,0)</f>
        <v>0</v>
      </c>
      <c r="AU887" s="197" t="str">
        <f>IFERROR(VLOOKUP($G887,нормы!$A$14:$BI$57,56,0)*W887,"")</f>
        <v/>
      </c>
      <c r="AV887" s="290">
        <f>IFERROR(AW887/SUM(AW886:AW891)*AK886,0)</f>
        <v>0</v>
      </c>
      <c r="AW887" s="202" t="str">
        <f>IFERROR(VLOOKUP($G887,нормы!$A$14:$BI$57,57,0)*W887,"")</f>
        <v/>
      </c>
      <c r="AX887" s="30"/>
      <c r="AY887" s="203" t="str">
        <f>IFERROR(VLOOKUP($G887,нормы!$A$14:$BI$57,58,0)*W887,"")</f>
        <v/>
      </c>
      <c r="AZ887" s="205"/>
      <c r="BA887" s="200" t="str">
        <f>IFERROR(VLOOKUP($G887,нормы!$A$14:$BI$57,61,0)*$W887,"")</f>
        <v/>
      </c>
      <c r="BB887" s="30"/>
      <c r="BC887" s="203" t="str">
        <f>IFERROR(VLOOKUP($G887,нормы!$A$14:$BI$57,60,0)*W887,"")</f>
        <v/>
      </c>
      <c r="BD887" s="200" t="str">
        <f>IFERROR(VLOOKUP($G887,нормы!$A$14:$BG$57,44,0),"")</f>
        <v/>
      </c>
      <c r="BE887" s="199" t="str">
        <f>IFERROR(W887/VLOOKUP($G887,нормы!$A$14:$BI$57,45,0),"")</f>
        <v/>
      </c>
    </row>
    <row r="888" spans="1:57" s="1" customFormat="1" ht="20.25" customHeight="1" x14ac:dyDescent="0.4">
      <c r="A888" s="37" t="str">
        <f t="shared" si="350"/>
        <v>15Д</v>
      </c>
      <c r="B888" s="12">
        <f t="shared" si="353"/>
        <v>46037</v>
      </c>
      <c r="C888" s="97">
        <f t="shared" si="353"/>
        <v>0</v>
      </c>
      <c r="D888" s="97">
        <f t="shared" si="353"/>
        <v>2</v>
      </c>
      <c r="E888" s="54"/>
      <c r="F888" s="151" t="str">
        <f>IFERROR(VLOOKUP($G888,нормы!$A$14:$BC$57,2,0),"")</f>
        <v/>
      </c>
      <c r="G888" s="38"/>
      <c r="H888" s="54">
        <f t="shared" si="354"/>
        <v>0</v>
      </c>
      <c r="I888" s="89" t="s">
        <v>212</v>
      </c>
      <c r="J888" s="333"/>
      <c r="K888" s="30">
        <f>IFERROR(VLOOKUP($G888,[1]нормы!$A$21:$BC$151,15,0),"")</f>
        <v>0</v>
      </c>
      <c r="L888" s="31">
        <f>IFERROR(VLOOKUP($G888,[1]нормы!$A$21:$BC$151,17,0),"")</f>
        <v>0</v>
      </c>
      <c r="M888" s="306">
        <f>IFERROR(VLOOKUP($G888,[1]нормы!$A$21:$BC$151,27,0),"")</f>
        <v>0</v>
      </c>
      <c r="N888" s="307" t="str">
        <f>IFERROR(Y888/Y892*(1.1*J886*I891),"")</f>
        <v/>
      </c>
      <c r="O888" s="300">
        <f>IFERROR(VLOOKUP($G888,[1]нормы!$A$21:$BC$151,21,0),"")</f>
        <v>0</v>
      </c>
      <c r="P888" s="35">
        <f>IFERROR(VLOOKUP($G888,[1]нормы!$A$21:$BC$151,19,0),"")</f>
        <v>0</v>
      </c>
      <c r="Q888" s="35">
        <f>IFERROR(VLOOKUP($G888,[1]нормы!$A$21:$BC$151,23,0),"")</f>
        <v>0</v>
      </c>
      <c r="R888" s="231">
        <f>IFERROR(VLOOKUP($G888,[1]нормы!$A$21:$BC$151,29,0),"")</f>
        <v>0</v>
      </c>
      <c r="S888" s="35">
        <f>IFERROR(VLOOKUP($G888,[1]нормы!$A$21:$BC$151,31,0),"")</f>
        <v>0</v>
      </c>
      <c r="T888" s="32">
        <f>IFERROR(VLOOKUP($G888,[1]нормы!$A$21:$BC$151,25,0),"")</f>
        <v>0</v>
      </c>
      <c r="U888" s="233" t="str">
        <f>IFERROR(W888/(((100*Y888/Y892)*I891)/100),"")</f>
        <v/>
      </c>
      <c r="V888" s="234" t="str">
        <f>IFERROR(VLOOKUP($G888,нормы!$A$14:$BC$57,38,0),"")</f>
        <v/>
      </c>
      <c r="W888" s="136"/>
      <c r="X888" s="237"/>
      <c r="Y888" s="152" t="str">
        <f>IFERROR(VLOOKUP($G888,нормы!$A$14:$BC$57,42,0)*W888,"")</f>
        <v/>
      </c>
      <c r="Z888" s="163">
        <f>IFERROR(VLOOKUP($G888,нормы!$A$14:$BC$57,14,0)*W888/1000,0)</f>
        <v>0</v>
      </c>
      <c r="AA888" s="30"/>
      <c r="AB888" s="35"/>
      <c r="AC888" s="35"/>
      <c r="AD888" s="35"/>
      <c r="AE888" s="31"/>
      <c r="AF888" s="160"/>
      <c r="AG888" s="391"/>
      <c r="AH888" s="394"/>
      <c r="AI888" s="397"/>
      <c r="AJ888" s="408"/>
      <c r="AK888" s="360"/>
      <c r="AL888" s="360"/>
      <c r="AM888" s="360"/>
      <c r="AN888" s="289">
        <f>IFERROR(Y888*AJ886/Y892,)</f>
        <v>0</v>
      </c>
      <c r="AO888" s="197" t="str">
        <f>IFERROR(VLOOKUP($G888,нормы!$A$14:$BC$57,53,0)*$W888,"")</f>
        <v/>
      </c>
      <c r="AP888" s="290">
        <f>IFERROR(Y888*AI886/Y892,)</f>
        <v>0</v>
      </c>
      <c r="AQ888" s="197" t="str">
        <f>IFERROR(VLOOKUP($G888,нормы!$A$14:$BC$57,54,0)*$W888,"")</f>
        <v/>
      </c>
      <c r="AR888" s="290">
        <f>IFERROR(AS888/SUM(AS886:AS891)*AL886,0)</f>
        <v>0</v>
      </c>
      <c r="AS888" s="197" t="str">
        <f>IFERROR(VLOOKUP($G888,нормы!$A$14:$BC$57,55,0)*W888,"")</f>
        <v/>
      </c>
      <c r="AT888" s="290">
        <f>IFERROR(AU888/SUM(AU886:AU891)*AM886,0)</f>
        <v>0</v>
      </c>
      <c r="AU888" s="197" t="str">
        <f>IFERROR(VLOOKUP($G888,нормы!$A$14:$BI$57,56,0)*W888,"")</f>
        <v/>
      </c>
      <c r="AV888" s="290">
        <f>IFERROR(AW888/SUM(AW886:AW891)*AK886,0)</f>
        <v>0</v>
      </c>
      <c r="AW888" s="202" t="str">
        <f>IFERROR(VLOOKUP($G888,нормы!$A$14:$BI$57,57,0)*W888,"")</f>
        <v/>
      </c>
      <c r="AX888" s="30"/>
      <c r="AY888" s="203" t="str">
        <f>IFERROR(VLOOKUP($G888,нормы!$A$14:$BI$57,58,0)*W888,"")</f>
        <v/>
      </c>
      <c r="AZ888" s="205"/>
      <c r="BA888" s="200" t="str">
        <f>IFERROR(VLOOKUP($G888,нормы!$A$14:$BI$57,61,0)*$W888,"")</f>
        <v/>
      </c>
      <c r="BB888" s="30"/>
      <c r="BC888" s="203" t="str">
        <f>IFERROR(VLOOKUP($G888,нормы!$A$14:$BI$57,60,0)*W888,"")</f>
        <v/>
      </c>
      <c r="BD888" s="200" t="str">
        <f>IFERROR(VLOOKUP($G888,нормы!$A$14:$BG$57,44,0),"")</f>
        <v/>
      </c>
      <c r="BE888" s="199" t="str">
        <f>IFERROR(W888/VLOOKUP($G888,нормы!$A$14:$BI$57,45,0),"")</f>
        <v/>
      </c>
    </row>
    <row r="889" spans="1:57" s="1" customFormat="1" ht="20.25" customHeight="1" x14ac:dyDescent="0.4">
      <c r="A889" s="37" t="str">
        <f t="shared" si="350"/>
        <v>15Д</v>
      </c>
      <c r="B889" s="12">
        <f t="shared" si="353"/>
        <v>46037</v>
      </c>
      <c r="C889" s="97">
        <f t="shared" si="353"/>
        <v>0</v>
      </c>
      <c r="D889" s="97">
        <f t="shared" si="353"/>
        <v>2</v>
      </c>
      <c r="E889" s="54"/>
      <c r="F889" s="151" t="str">
        <f>IFERROR(VLOOKUP($G889,нормы!$A$14:$BC$57,2,0),"")</f>
        <v/>
      </c>
      <c r="G889" s="93"/>
      <c r="H889" s="54">
        <f t="shared" si="354"/>
        <v>0</v>
      </c>
      <c r="I889" s="55"/>
      <c r="J889" s="333"/>
      <c r="K889" s="30">
        <f>IFERROR(VLOOKUP($G889,[1]нормы!$A$21:$BC$151,15,0),"")</f>
        <v>0</v>
      </c>
      <c r="L889" s="31">
        <f>IFERROR(VLOOKUP($G889,[1]нормы!$A$21:$BC$151,17,0),"")</f>
        <v>0</v>
      </c>
      <c r="M889" s="306">
        <f>IFERROR(VLOOKUP($G889,[1]нормы!$A$21:$BC$151,27,0),"")</f>
        <v>0</v>
      </c>
      <c r="N889" s="307" t="str">
        <f>IFERROR(Y889/Y892*(1.1*J886*I894),"")</f>
        <v/>
      </c>
      <c r="O889" s="300">
        <f>IFERROR(VLOOKUP($G889,[1]нормы!$A$21:$BC$151,21,0),"")</f>
        <v>0</v>
      </c>
      <c r="P889" s="35">
        <f>IFERROR(VLOOKUP($G889,[1]нормы!$A$21:$BC$151,19,0),"")</f>
        <v>0</v>
      </c>
      <c r="Q889" s="35">
        <f>IFERROR(VLOOKUP($G889,[1]нормы!$A$21:$BC$151,23,0),"")</f>
        <v>0</v>
      </c>
      <c r="R889" s="231">
        <f>IFERROR(VLOOKUP($G889,[1]нормы!$A$21:$BC$151,29,0),"")</f>
        <v>0</v>
      </c>
      <c r="S889" s="35">
        <f>IFERROR(VLOOKUP($G889,[1]нормы!$A$21:$BC$151,31,0),"")</f>
        <v>0</v>
      </c>
      <c r="T889" s="32">
        <f>IFERROR(VLOOKUP($G889,[1]нормы!$A$21:$BC$151,25,0),"")</f>
        <v>0</v>
      </c>
      <c r="U889" s="233" t="str">
        <f>IFERROR(W889/(((100*Y889/Y892)*I891)/100),"")</f>
        <v/>
      </c>
      <c r="V889" s="234" t="str">
        <f>IFERROR(VLOOKUP($G889,нормы!$A$14:$BC$57,38,0),"")</f>
        <v/>
      </c>
      <c r="W889" s="136"/>
      <c r="X889" s="237"/>
      <c r="Y889" s="152" t="str">
        <f>IFERROR(VLOOKUP($G889,нормы!$A$14:$BC$57,42,0)*W889,"")</f>
        <v/>
      </c>
      <c r="Z889" s="163">
        <f>IFERROR(VLOOKUP($G889,нормы!$A$14:$BC$57,14,0)*W889/1000,0)</f>
        <v>0</v>
      </c>
      <c r="AA889" s="30"/>
      <c r="AB889" s="35"/>
      <c r="AC889" s="35"/>
      <c r="AD889" s="35"/>
      <c r="AE889" s="31"/>
      <c r="AF889" s="160"/>
      <c r="AG889" s="391"/>
      <c r="AH889" s="394"/>
      <c r="AI889" s="397"/>
      <c r="AJ889" s="408"/>
      <c r="AK889" s="360"/>
      <c r="AL889" s="360"/>
      <c r="AM889" s="360"/>
      <c r="AN889" s="289">
        <f>IFERROR(Y889*AJ886/Y892,)</f>
        <v>0</v>
      </c>
      <c r="AO889" s="197" t="str">
        <f>IFERROR(VLOOKUP($G889,нормы!$A$14:$BC$57,53,0)*$W889,"")</f>
        <v/>
      </c>
      <c r="AP889" s="290">
        <f>IFERROR(Y889*AI886/Y892,)</f>
        <v>0</v>
      </c>
      <c r="AQ889" s="197" t="str">
        <f>IFERROR(VLOOKUP($G889,нормы!$A$14:$BC$57,54,0)*$W889,"")</f>
        <v/>
      </c>
      <c r="AR889" s="290">
        <f>IFERROR(AS889/SUM(AS886:AS891)*AL886,0)</f>
        <v>0</v>
      </c>
      <c r="AS889" s="197" t="str">
        <f>IFERROR(VLOOKUP($G889,нормы!$A$14:$BC$57,55,0)*W889,"")</f>
        <v/>
      </c>
      <c r="AT889" s="290">
        <f>IFERROR(AU889/SUM(AU886:AU891)*AM886,0)</f>
        <v>0</v>
      </c>
      <c r="AU889" s="197" t="str">
        <f>IFERROR(VLOOKUP($G889,нормы!$A$14:$BI$57,56,0)*W889,"")</f>
        <v/>
      </c>
      <c r="AV889" s="290">
        <f>IFERROR(AW889/SUM(AW886:AW891)*AK886,0)</f>
        <v>0</v>
      </c>
      <c r="AW889" s="202" t="str">
        <f>IFERROR(VLOOKUP($G889,нормы!$A$14:$BI$57,57,0)*W889,"")</f>
        <v/>
      </c>
      <c r="AX889" s="30"/>
      <c r="AY889" s="203" t="str">
        <f>IFERROR(VLOOKUP($G889,нормы!$A$14:$BI$57,58,0)*W889,"")</f>
        <v/>
      </c>
      <c r="AZ889" s="205"/>
      <c r="BA889" s="200" t="str">
        <f>IFERROR(VLOOKUP($G889,нормы!$A$14:$BI$57,61,0)*$W889,"")</f>
        <v/>
      </c>
      <c r="BB889" s="30"/>
      <c r="BC889" s="203" t="str">
        <f>IFERROR(VLOOKUP($G889,нормы!$A$14:$BI$57,60,0)*W889,"")</f>
        <v/>
      </c>
      <c r="BD889" s="200" t="str">
        <f>IFERROR(VLOOKUP($G889,нормы!$A$14:$BG$57,44,0),"")</f>
        <v/>
      </c>
      <c r="BE889" s="199" t="str">
        <f>IFERROR(W889/VLOOKUP($G889,нормы!$A$14:$BI$57,45,0),"")</f>
        <v/>
      </c>
    </row>
    <row r="890" spans="1:57" s="1" customFormat="1" ht="20.25" customHeight="1" x14ac:dyDescent="0.4">
      <c r="A890" s="37" t="str">
        <f t="shared" si="350"/>
        <v>15Д</v>
      </c>
      <c r="B890" s="12">
        <f t="shared" si="353"/>
        <v>46037</v>
      </c>
      <c r="C890" s="97">
        <f t="shared" si="353"/>
        <v>0</v>
      </c>
      <c r="D890" s="97">
        <f t="shared" si="353"/>
        <v>2</v>
      </c>
      <c r="E890" s="54"/>
      <c r="F890" s="151" t="str">
        <f>IFERROR(VLOOKUP($G890,нормы!$A$14:$BC$57,2,0),"")</f>
        <v/>
      </c>
      <c r="G890" s="38"/>
      <c r="H890" s="54">
        <f t="shared" si="354"/>
        <v>0</v>
      </c>
      <c r="I890" s="89" t="s">
        <v>73</v>
      </c>
      <c r="J890" s="333"/>
      <c r="K890" s="30">
        <f>IFERROR(VLOOKUP($G890,[1]нормы!$A$21:$BC$151,15,0),"")</f>
        <v>0</v>
      </c>
      <c r="L890" s="31">
        <f>IFERROR(VLOOKUP($G890,[1]нормы!$A$21:$BC$151,17,0),"")</f>
        <v>0</v>
      </c>
      <c r="M890" s="306">
        <f>IFERROR(VLOOKUP($G890,[1]нормы!$A$21:$BC$151,27,0),"")</f>
        <v>0</v>
      </c>
      <c r="N890" s="307" t="str">
        <f>IFERROR(Y890/Y892*(1.1*J886*I895),"")</f>
        <v/>
      </c>
      <c r="O890" s="300">
        <f>IFERROR(VLOOKUP($G890,[1]нормы!$A$21:$BC$151,21,0),"")</f>
        <v>0</v>
      </c>
      <c r="P890" s="35">
        <f>IFERROR(VLOOKUP($G890,[1]нормы!$A$21:$BC$151,19,0),"")</f>
        <v>0</v>
      </c>
      <c r="Q890" s="35">
        <f>IFERROR(VLOOKUP($G890,[1]нормы!$A$21:$BC$151,23,0),"")</f>
        <v>0</v>
      </c>
      <c r="R890" s="231">
        <f>IFERROR(VLOOKUP($G890,[1]нормы!$A$21:$BC$151,29,0),"")</f>
        <v>0</v>
      </c>
      <c r="S890" s="35">
        <f>IFERROR(VLOOKUP($G890,[1]нормы!$A$21:$BC$151,31,0),"")</f>
        <v>0</v>
      </c>
      <c r="T890" s="32">
        <f>IFERROR(VLOOKUP($G890,[1]нормы!$A$21:$BC$151,25,0),"")</f>
        <v>0</v>
      </c>
      <c r="U890" s="233" t="str">
        <f>IFERROR(W890/(((100*Y890/Y892)*I891)/100),"")</f>
        <v/>
      </c>
      <c r="V890" s="234" t="str">
        <f>IFERROR(VLOOKUP($G890,нормы!$A$14:$BC$57,38,0),"")</f>
        <v/>
      </c>
      <c r="W890" s="136"/>
      <c r="X890" s="237"/>
      <c r="Y890" s="152" t="str">
        <f>IFERROR(VLOOKUP($G890,нормы!$A$14:$BC$57,42,0)*W890,"")</f>
        <v/>
      </c>
      <c r="Z890" s="163">
        <f>IFERROR(VLOOKUP($G890,нормы!$A$14:$BC$57,14,0)*W890/1000,0)</f>
        <v>0</v>
      </c>
      <c r="AA890" s="30"/>
      <c r="AB890" s="35"/>
      <c r="AC890" s="35"/>
      <c r="AD890" s="35"/>
      <c r="AE890" s="31"/>
      <c r="AF890" s="160"/>
      <c r="AG890" s="391"/>
      <c r="AH890" s="394"/>
      <c r="AI890" s="397"/>
      <c r="AJ890" s="408"/>
      <c r="AK890" s="360"/>
      <c r="AL890" s="360"/>
      <c r="AM890" s="360"/>
      <c r="AN890" s="289">
        <f>IFERROR(Y890*AJ886/Y892,)</f>
        <v>0</v>
      </c>
      <c r="AO890" s="197" t="str">
        <f>IFERROR(VLOOKUP($G890,нормы!$A$14:$BC$57,53,0)*$W890,"")</f>
        <v/>
      </c>
      <c r="AP890" s="290">
        <f>IFERROR(Y890*AI886/Y892,)</f>
        <v>0</v>
      </c>
      <c r="AQ890" s="197" t="str">
        <f>IFERROR(VLOOKUP($G890,нормы!$A$14:$BC$57,54,0)*$W890,"")</f>
        <v/>
      </c>
      <c r="AR890" s="290">
        <f>IFERROR(AS890/SUM(AS886:AS891)*AL886,0)</f>
        <v>0</v>
      </c>
      <c r="AS890" s="197" t="str">
        <f>IFERROR(VLOOKUP($G890,нормы!$A$14:$BC$57,55,0)*W890,"")</f>
        <v/>
      </c>
      <c r="AT890" s="290">
        <f>IFERROR(AU890/SUM(AU886:AU891)*AM886,0)</f>
        <v>0</v>
      </c>
      <c r="AU890" s="197" t="str">
        <f>IFERROR(VLOOKUP($G890,нормы!$A$14:$BI$57,56,0)*W890,"")</f>
        <v/>
      </c>
      <c r="AV890" s="290">
        <f>IFERROR(AW890/SUM(AW886:AW891)*AK886,0)</f>
        <v>0</v>
      </c>
      <c r="AW890" s="202" t="str">
        <f>IFERROR(VLOOKUP($G890,нормы!$A$14:$BI$57,57,0)*W890,"")</f>
        <v/>
      </c>
      <c r="AX890" s="30"/>
      <c r="AY890" s="203" t="str">
        <f>IFERROR(VLOOKUP($G890,нормы!$A$14:$BI$57,58,0)*W890,"")</f>
        <v/>
      </c>
      <c r="AZ890" s="205"/>
      <c r="BA890" s="200" t="str">
        <f>IFERROR(VLOOKUP($G890,нормы!$A$14:$BI$57,61,0)*$W890,"")</f>
        <v/>
      </c>
      <c r="BB890" s="30"/>
      <c r="BC890" s="203" t="str">
        <f>IFERROR(VLOOKUP($G890,нормы!$A$14:$BI$57,60,0)*W890,"")</f>
        <v/>
      </c>
      <c r="BD890" s="200" t="str">
        <f>IFERROR(VLOOKUP($G890,нормы!$A$14:$BG$57,44,0),"")</f>
        <v/>
      </c>
      <c r="BE890" s="199" t="str">
        <f>IFERROR(W890/VLOOKUP($G890,нормы!$A$14:$BI$57,45,0),"")</f>
        <v/>
      </c>
    </row>
    <row r="891" spans="1:57" s="1" customFormat="1" ht="21" customHeight="1" thickBot="1" x14ac:dyDescent="0.45">
      <c r="A891" s="37" t="str">
        <f t="shared" si="350"/>
        <v>15Д</v>
      </c>
      <c r="B891" s="12">
        <f t="shared" si="353"/>
        <v>46037</v>
      </c>
      <c r="C891" s="97">
        <f t="shared" si="353"/>
        <v>0</v>
      </c>
      <c r="D891" s="97">
        <f t="shared" si="353"/>
        <v>2</v>
      </c>
      <c r="E891" s="54"/>
      <c r="F891" s="151" t="str">
        <f>IFERROR(VLOOKUP($G891,нормы!$A$14:$BC$57,2,0),"")</f>
        <v/>
      </c>
      <c r="G891" s="93"/>
      <c r="H891" s="63">
        <f t="shared" si="354"/>
        <v>0</v>
      </c>
      <c r="I891" s="153">
        <f>I887+I889</f>
        <v>0</v>
      </c>
      <c r="J891" s="334"/>
      <c r="K891" s="30">
        <f>IFERROR(VLOOKUP($G891,[1]нормы!$A$21:$BC$151,15,0),"")</f>
        <v>0</v>
      </c>
      <c r="L891" s="31">
        <f>IFERROR(VLOOKUP($G891,[1]нормы!$A$21:$BC$151,17,0),"")</f>
        <v>0</v>
      </c>
      <c r="M891" s="308">
        <f>IFERROR(VLOOKUP($G891,[1]нормы!$A$21:$BC$151,27,0),"")</f>
        <v>0</v>
      </c>
      <c r="N891" s="309" t="str">
        <f>IFERROR(Y891/Y892*(1.1*J886*I896),"")</f>
        <v/>
      </c>
      <c r="O891" s="300">
        <f>IFERROR(VLOOKUP($G891,[1]нормы!$A$21:$BC$151,21,0),"")</f>
        <v>0</v>
      </c>
      <c r="P891" s="35">
        <f>IFERROR(VLOOKUP($G891,[1]нормы!$A$21:$BC$151,19,0),"")</f>
        <v>0</v>
      </c>
      <c r="Q891" s="35">
        <f>IFERROR(VLOOKUP($G891,[1]нормы!$A$21:$BC$151,23,0),"")</f>
        <v>0</v>
      </c>
      <c r="R891" s="231">
        <f>IFERROR(VLOOKUP($G891,[1]нормы!$A$21:$BC$151,29,0),"")</f>
        <v>0</v>
      </c>
      <c r="S891" s="35">
        <f>IFERROR(VLOOKUP($G891,[1]нормы!$A$21:$BC$151,31,0),"")</f>
        <v>0</v>
      </c>
      <c r="T891" s="32">
        <f>IFERROR(VLOOKUP($G891,[1]нормы!$A$21:$BC$151,25,0),"")</f>
        <v>0</v>
      </c>
      <c r="U891" s="235" t="str">
        <f>IFERROR(W891/(((100*Y891/Y892)*I891)/100),"")</f>
        <v/>
      </c>
      <c r="V891" s="234" t="str">
        <f>IFERROR(VLOOKUP($G891,нормы!$A$14:$BC$57,38,0),"")</f>
        <v/>
      </c>
      <c r="W891" s="154"/>
      <c r="X891" s="238"/>
      <c r="Y891" s="152" t="str">
        <f>IFERROR(VLOOKUP($G891,нормы!$A$14:$BC$57,42,0)*W891,"")</f>
        <v/>
      </c>
      <c r="Z891" s="163">
        <f>IFERROR(VLOOKUP($G891,нормы!$A$14:$BC$57,14,0)*W891/1000,0)</f>
        <v>0</v>
      </c>
      <c r="AA891" s="56"/>
      <c r="AB891" s="58"/>
      <c r="AC891" s="58"/>
      <c r="AD891" s="58"/>
      <c r="AE891" s="57"/>
      <c r="AF891" s="161"/>
      <c r="AG891" s="392"/>
      <c r="AH891" s="395"/>
      <c r="AI891" s="398"/>
      <c r="AJ891" s="409"/>
      <c r="AK891" s="361"/>
      <c r="AL891" s="361"/>
      <c r="AM891" s="361"/>
      <c r="AN891" s="291">
        <f>IFERROR(Y891*AJ886/Y892,)</f>
        <v>0</v>
      </c>
      <c r="AO891" s="197" t="str">
        <f>IFERROR(VLOOKUP($G891,нормы!$A$14:$BC$57,53,0)*$W891,"")</f>
        <v/>
      </c>
      <c r="AP891" s="292">
        <f>IFERROR(Y891*AI886/Y892,)</f>
        <v>0</v>
      </c>
      <c r="AQ891" s="197" t="str">
        <f>IFERROR(VLOOKUP($G891,нормы!$A$14:$BC$57,54,0)*$W891,"")</f>
        <v/>
      </c>
      <c r="AR891" s="290">
        <f>IFERROR(AS891/SUM(AS886:AS891)*AL886,0)</f>
        <v>0</v>
      </c>
      <c r="AS891" s="197" t="str">
        <f>IFERROR(VLOOKUP($G891,нормы!$A$14:$BC$57,55,0)*W891,"")</f>
        <v/>
      </c>
      <c r="AT891" s="292">
        <f>IFERROR(AU891/SUM(AU886:AU891)*AM886,0)</f>
        <v>0</v>
      </c>
      <c r="AU891" s="197" t="str">
        <f>IFERROR(VLOOKUP($G891,нормы!$A$14:$BI$57,56,0)*W891,"")</f>
        <v/>
      </c>
      <c r="AV891" s="292">
        <f>IFERROR(AW891/SUM(AW886:AW891)*AK886,0)</f>
        <v>0</v>
      </c>
      <c r="AW891" s="202" t="str">
        <f>IFERROR(VLOOKUP($G891,нормы!$A$14:$BI$57,57,0)*W891,"")</f>
        <v/>
      </c>
      <c r="AX891" s="56"/>
      <c r="AY891" s="203" t="str">
        <f>IFERROR(VLOOKUP($G891,нормы!$A$14:$BI$57,58,0)*W891,"")</f>
        <v/>
      </c>
      <c r="AZ891" s="206"/>
      <c r="BA891" s="200" t="str">
        <f>IFERROR(VLOOKUP($G891,нормы!$A$14:$BI$57,61,0)*$W891,"")</f>
        <v/>
      </c>
      <c r="BB891" s="56"/>
      <c r="BC891" s="203" t="str">
        <f>IFERROR(VLOOKUP($G891,нормы!$A$14:$BI$57,60,0)*W891,"")</f>
        <v/>
      </c>
      <c r="BD891" s="200" t="str">
        <f>IFERROR(VLOOKUP($G891,нормы!$A$14:$BG$57,44,0),"")</f>
        <v/>
      </c>
      <c r="BE891" s="199" t="str">
        <f>IFERROR(W891/VLOOKUP($G891,нормы!$A$14:$BI$57,45,0),"")</f>
        <v/>
      </c>
    </row>
    <row r="892" spans="1:57" s="1" customFormat="1" ht="29.4" customHeight="1" thickBot="1" x14ac:dyDescent="0.45">
      <c r="A892" s="37" t="str">
        <f t="shared" si="350"/>
        <v>15Д</v>
      </c>
      <c r="B892" s="59"/>
      <c r="C892" s="51"/>
      <c r="D892" s="51"/>
      <c r="E892" s="51"/>
      <c r="F892" s="51"/>
      <c r="G892" s="51"/>
      <c r="H892" s="51"/>
      <c r="I892" s="60"/>
      <c r="J892" s="60"/>
      <c r="K892" s="319" t="s">
        <v>213</v>
      </c>
      <c r="L892" s="316"/>
      <c r="M892" s="303" t="s">
        <v>213</v>
      </c>
      <c r="N892" s="317">
        <f>SUM(N886:N891)</f>
        <v>0</v>
      </c>
      <c r="O892" s="304" t="s">
        <v>217</v>
      </c>
      <c r="P892" s="318">
        <f>N892*8.937/1000</f>
        <v>0</v>
      </c>
      <c r="Q892" s="305" t="s">
        <v>215</v>
      </c>
      <c r="R892" s="61"/>
      <c r="S892" s="61"/>
      <c r="T892" s="61"/>
      <c r="U892" s="109"/>
      <c r="V892" s="109"/>
      <c r="W892" s="94"/>
      <c r="X892" s="155"/>
      <c r="Y892" s="96">
        <f>SUM(Y886:Y891)</f>
        <v>0</v>
      </c>
      <c r="Z892" s="164">
        <f>SUM(Z886:Z891)</f>
        <v>0</v>
      </c>
      <c r="AA892" s="207">
        <f>(AA878+AA879+AA880+AA881+AA882+AA883+AA884+AA886+AA887+AA888+AA889+AA890+AA891)-AG879</f>
        <v>1</v>
      </c>
      <c r="AB892" s="208">
        <f>(AB878+AB879+AB880+AB881+AB882+AB883+AB884+AB886+AB887+AB888+AB889+AB890+AB891)-AH879</f>
        <v>2</v>
      </c>
      <c r="AC892" s="208">
        <f>(AC878+AC879+AC880+AC881+AC882+AC883+AC884+AC886+AC887+AC888+AC889+AC890+AC891)-AG886</f>
        <v>3</v>
      </c>
      <c r="AD892" s="208">
        <f>(AD878+AD879+AD880+AD881+AD882+AD883+AD884+AD886+AD887+AD888+AD889+AD890+AD891)-AH886</f>
        <v>4</v>
      </c>
      <c r="AE892" s="208">
        <f>(AE878+AE879+AE880+AE881+AE882+AE883+AE884+AE886+AE887+AE888+AE889+AE890+AE891)-AI879</f>
        <v>5</v>
      </c>
      <c r="AF892" s="209">
        <f>(AF878+AF879+AF880+AF881+AF882+AF883+AF884+AF886+AF887+AF888+AF889+AF890+AF891)-AI886</f>
        <v>6</v>
      </c>
      <c r="AG892" s="62"/>
      <c r="AH892" s="62"/>
      <c r="AI892" s="62"/>
      <c r="AJ892" s="62"/>
      <c r="AK892" s="62"/>
      <c r="AL892" s="62"/>
      <c r="AM892" s="62"/>
      <c r="AN892" s="91">
        <f>SUM(AN886:AN891)</f>
        <v>0</v>
      </c>
      <c r="AO892" s="91">
        <f>SUM(AO886:AO891)</f>
        <v>0</v>
      </c>
      <c r="AP892" s="91"/>
      <c r="AQ892" s="91"/>
      <c r="AR892" s="91">
        <f>SUM(AR886:AR891)</f>
        <v>0</v>
      </c>
      <c r="AS892" s="91">
        <f t="shared" ref="AS892:AW892" si="355">SUM(AS886:AS891)</f>
        <v>0</v>
      </c>
      <c r="AT892" s="91">
        <f t="shared" si="355"/>
        <v>0</v>
      </c>
      <c r="AU892" s="91">
        <f t="shared" si="355"/>
        <v>0</v>
      </c>
      <c r="AV892" s="91">
        <f t="shared" si="355"/>
        <v>0</v>
      </c>
      <c r="AW892" s="91">
        <f t="shared" si="355"/>
        <v>0</v>
      </c>
      <c r="AX892" s="91">
        <f>SUM(AX886:AX891)</f>
        <v>0</v>
      </c>
      <c r="AY892" s="91">
        <f>SUM(AY886:AY891)</f>
        <v>0</v>
      </c>
      <c r="AZ892" s="91">
        <f>SUM(AZ886:AZ891)</f>
        <v>0</v>
      </c>
      <c r="BA892" s="91"/>
      <c r="BB892" s="91"/>
      <c r="BC892" s="91"/>
      <c r="BD892" s="91" t="str">
        <f>IFERROR(VLOOKUP($G892,нормы!$A$14:$BG$15,27,0),"")</f>
        <v/>
      </c>
      <c r="BE892" s="53" t="str">
        <f>IFERROR(W892/VLOOKUP($G892,нормы!$A$14:$BI$15,28,0),"")</f>
        <v/>
      </c>
    </row>
    <row r="893" spans="1:57" s="1" customFormat="1" ht="29.4" customHeight="1" thickBot="1" x14ac:dyDescent="0.5">
      <c r="A893" s="37" t="str">
        <f t="shared" si="350"/>
        <v>15Д</v>
      </c>
      <c r="B893" s="166" t="s">
        <v>130</v>
      </c>
      <c r="C893" s="167"/>
      <c r="D893" s="167"/>
      <c r="E893" s="167"/>
      <c r="F893" s="165"/>
      <c r="G893" s="167"/>
      <c r="H893" s="167"/>
      <c r="I893" s="168"/>
      <c r="J893" s="168"/>
      <c r="K893" s="168"/>
      <c r="L893" s="168"/>
      <c r="M893" s="168"/>
      <c r="N893" s="168"/>
      <c r="O893" s="167"/>
      <c r="P893" s="169"/>
      <c r="Q893" s="169"/>
      <c r="R893" s="169"/>
      <c r="S893" s="169"/>
      <c r="T893" s="169"/>
      <c r="U893" s="170"/>
      <c r="V893" s="170"/>
      <c r="W893" s="171"/>
      <c r="X893" s="171"/>
      <c r="Y893" s="172"/>
      <c r="Z893" s="172"/>
      <c r="AA893" s="201" t="s">
        <v>144</v>
      </c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64"/>
      <c r="AN893" s="167"/>
      <c r="AO893" s="167"/>
      <c r="AP893" s="167"/>
      <c r="AQ893" s="167"/>
      <c r="AR893" s="64"/>
      <c r="AS893" s="64"/>
      <c r="AT893" s="65"/>
      <c r="AU893" s="64"/>
      <c r="AV893" s="49"/>
      <c r="AW893" s="49"/>
      <c r="AX893" s="167"/>
      <c r="AY893" s="167"/>
      <c r="AZ893" s="167"/>
      <c r="BA893" s="167"/>
      <c r="BB893" s="167"/>
      <c r="BC893" s="167"/>
      <c r="BD893" s="66"/>
      <c r="BE893" s="66"/>
    </row>
    <row r="894" spans="1:57" s="1" customFormat="1" ht="23.25" customHeight="1" x14ac:dyDescent="0.4">
      <c r="A894" s="37" t="str">
        <f t="shared" si="350"/>
        <v>15Д</v>
      </c>
      <c r="B894" s="183"/>
      <c r="C894" s="100"/>
      <c r="D894" s="185"/>
      <c r="E894" s="186" t="s">
        <v>57</v>
      </c>
      <c r="F894" s="66" t="s">
        <v>87</v>
      </c>
      <c r="G894" s="66"/>
      <c r="H894" s="108" t="s">
        <v>131</v>
      </c>
      <c r="I894" s="101"/>
      <c r="J894" s="101"/>
      <c r="K894" s="101"/>
      <c r="L894" s="101"/>
      <c r="M894" s="101"/>
      <c r="N894" s="101"/>
      <c r="O894" s="67"/>
      <c r="P894" s="102"/>
      <c r="Q894" s="102"/>
      <c r="R894" s="102"/>
      <c r="S894" s="102"/>
      <c r="T894" s="102"/>
      <c r="U894" s="67"/>
      <c r="V894" s="67"/>
      <c r="W894" s="103"/>
      <c r="X894" s="187"/>
      <c r="Y894" s="68" t="s">
        <v>74</v>
      </c>
      <c r="Z894" s="69"/>
      <c r="AA894" s="90"/>
      <c r="AB894" s="100"/>
      <c r="AC894" s="100"/>
      <c r="AD894" s="186" t="s">
        <v>57</v>
      </c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190"/>
      <c r="AU894" s="66"/>
      <c r="AV894" s="165"/>
      <c r="AW894" s="293"/>
      <c r="AX894" s="66"/>
      <c r="AY894" s="66"/>
      <c r="AZ894" s="66"/>
      <c r="BA894" s="66"/>
      <c r="BB894" s="66"/>
      <c r="BC894" s="66"/>
      <c r="BD894" s="68" t="s">
        <v>74</v>
      </c>
      <c r="BE894" s="69"/>
    </row>
    <row r="895" spans="1:57" s="1" customFormat="1" ht="23.25" customHeight="1" thickBot="1" x14ac:dyDescent="0.45">
      <c r="A895" s="37" t="str">
        <f t="shared" si="350"/>
        <v>15Д</v>
      </c>
      <c r="B895" s="183"/>
      <c r="C895" s="41"/>
      <c r="D895" s="184"/>
      <c r="E895" s="50"/>
      <c r="F895" s="70"/>
      <c r="G895" s="70"/>
      <c r="H895" s="70"/>
      <c r="I895" s="104"/>
      <c r="J895" s="104"/>
      <c r="K895" s="104"/>
      <c r="L895" s="104"/>
      <c r="M895" s="104"/>
      <c r="N895" s="104"/>
      <c r="O895" s="71"/>
      <c r="P895" s="105"/>
      <c r="Q895" s="105"/>
      <c r="R895" s="105"/>
      <c r="S895" s="105"/>
      <c r="T895" s="105"/>
      <c r="U895" s="71"/>
      <c r="V895" s="71"/>
      <c r="W895" s="106"/>
      <c r="X895" s="188"/>
      <c r="Y895" s="72"/>
      <c r="Z895" s="73"/>
      <c r="AA895" s="90"/>
      <c r="AB895" s="41"/>
      <c r="AC895" s="41"/>
      <c r="AD895" s="50"/>
      <c r="AE895" s="47"/>
      <c r="AF895" s="47"/>
      <c r="AG895" s="47"/>
      <c r="AH895" s="47"/>
      <c r="AI895" s="47"/>
      <c r="AJ895" s="47"/>
      <c r="AK895" s="47"/>
      <c r="AL895" s="47"/>
      <c r="AM895" s="70"/>
      <c r="AN895" s="47"/>
      <c r="AO895" s="70"/>
      <c r="AP895" s="70"/>
      <c r="AQ895" s="70"/>
      <c r="AR895" s="70"/>
      <c r="AS895" s="70"/>
      <c r="AT895" s="191"/>
      <c r="AU895" s="70"/>
      <c r="AV895" s="192"/>
      <c r="AW895" s="294"/>
      <c r="AX895" s="70"/>
      <c r="AY895" s="70"/>
      <c r="AZ895" s="70"/>
      <c r="BA895" s="70"/>
      <c r="BB895" s="70"/>
      <c r="BC895" s="70"/>
      <c r="BD895" s="72"/>
      <c r="BE895" s="73"/>
    </row>
    <row r="896" spans="1:57" s="1" customFormat="1" ht="32.25" customHeight="1" x14ac:dyDescent="0.4">
      <c r="A896" s="37" t="str">
        <f t="shared" si="350"/>
        <v>15Д</v>
      </c>
      <c r="B896" s="183"/>
      <c r="C896" s="41"/>
      <c r="D896" s="184"/>
      <c r="E896" s="281">
        <f>B891</f>
        <v>46037</v>
      </c>
      <c r="F896" s="337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98">
        <v>1</v>
      </c>
      <c r="Y896" s="74">
        <v>1</v>
      </c>
      <c r="Z896" s="75">
        <f t="shared" ref="Z896:Z907" si="356">Y896-X896</f>
        <v>0</v>
      </c>
      <c r="AA896" s="189"/>
      <c r="AB896" s="41"/>
      <c r="AC896" s="184"/>
      <c r="AD896" s="210">
        <f>E896</f>
        <v>46037</v>
      </c>
      <c r="AE896" s="387"/>
      <c r="AF896" s="388"/>
      <c r="AG896" s="388"/>
      <c r="AH896" s="388"/>
      <c r="AI896" s="388"/>
      <c r="AJ896" s="388"/>
      <c r="AK896" s="388"/>
      <c r="AL896" s="388"/>
      <c r="AM896" s="388"/>
      <c r="AN896" s="388"/>
      <c r="AO896" s="388"/>
      <c r="AP896" s="388"/>
      <c r="AQ896" s="388"/>
      <c r="AR896" s="388"/>
      <c r="AS896" s="388"/>
      <c r="AT896" s="388"/>
      <c r="AU896" s="388"/>
      <c r="AV896" s="388"/>
      <c r="AW896" s="388"/>
      <c r="AX896" s="388"/>
      <c r="AY896" s="388"/>
      <c r="AZ896" s="388"/>
      <c r="BA896" s="388"/>
      <c r="BB896" s="389"/>
      <c r="BC896" s="98">
        <v>1</v>
      </c>
      <c r="BD896" s="74">
        <v>1</v>
      </c>
      <c r="BE896" s="75">
        <f t="shared" ref="BE896:BE907" si="357">BD896-BC896</f>
        <v>0</v>
      </c>
    </row>
    <row r="897" spans="1:57" s="1" customFormat="1" ht="36" customHeight="1" x14ac:dyDescent="0.4">
      <c r="A897" s="37" t="str">
        <f t="shared" si="350"/>
        <v>15Д</v>
      </c>
      <c r="B897" s="183"/>
      <c r="C897" s="41"/>
      <c r="D897" s="184"/>
      <c r="E897" s="282">
        <f>E896</f>
        <v>46037</v>
      </c>
      <c r="F897" s="335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  <c r="R897" s="336"/>
      <c r="S897" s="336"/>
      <c r="T897" s="336"/>
      <c r="U897" s="336"/>
      <c r="V897" s="336"/>
      <c r="W897" s="336"/>
      <c r="X897" s="98">
        <v>1</v>
      </c>
      <c r="Y897" s="74">
        <v>1</v>
      </c>
      <c r="Z897" s="75">
        <f t="shared" si="356"/>
        <v>0</v>
      </c>
      <c r="AA897" s="107">
        <f>AA896</f>
        <v>0</v>
      </c>
      <c r="AB897" s="41"/>
      <c r="AC897" s="184"/>
      <c r="AD897" s="212">
        <f>AD896</f>
        <v>46037</v>
      </c>
      <c r="AE897" s="387"/>
      <c r="AF897" s="388"/>
      <c r="AG897" s="388"/>
      <c r="AH897" s="388"/>
      <c r="AI897" s="388"/>
      <c r="AJ897" s="388"/>
      <c r="AK897" s="388"/>
      <c r="AL897" s="388"/>
      <c r="AM897" s="388"/>
      <c r="AN897" s="388"/>
      <c r="AO897" s="388"/>
      <c r="AP897" s="388"/>
      <c r="AQ897" s="388"/>
      <c r="AR897" s="388"/>
      <c r="AS897" s="388"/>
      <c r="AT897" s="388"/>
      <c r="AU897" s="388"/>
      <c r="AV897" s="388"/>
      <c r="AW897" s="388"/>
      <c r="AX897" s="388"/>
      <c r="AY897" s="388"/>
      <c r="AZ897" s="388"/>
      <c r="BA897" s="388"/>
      <c r="BB897" s="389"/>
      <c r="BC897" s="98">
        <v>1</v>
      </c>
      <c r="BD897" s="74">
        <v>1</v>
      </c>
      <c r="BE897" s="75">
        <f t="shared" si="357"/>
        <v>0</v>
      </c>
    </row>
    <row r="898" spans="1:57" s="1" customFormat="1" ht="28.5" customHeight="1" x14ac:dyDescent="0.4">
      <c r="A898" s="37" t="str">
        <f t="shared" si="350"/>
        <v>15Д</v>
      </c>
      <c r="B898" s="183"/>
      <c r="C898" s="41"/>
      <c r="D898" s="184"/>
      <c r="E898" s="282">
        <f t="shared" ref="E898:E907" si="358">E897</f>
        <v>46037</v>
      </c>
      <c r="F898" s="335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  <c r="R898" s="336"/>
      <c r="S898" s="336"/>
      <c r="T898" s="336"/>
      <c r="U898" s="336"/>
      <c r="V898" s="336"/>
      <c r="W898" s="336"/>
      <c r="X898" s="98">
        <v>1</v>
      </c>
      <c r="Y898" s="74">
        <v>1</v>
      </c>
      <c r="Z898" s="75">
        <f t="shared" si="356"/>
        <v>0</v>
      </c>
      <c r="AA898" s="107">
        <f>AA897</f>
        <v>0</v>
      </c>
      <c r="AB898" s="41"/>
      <c r="AC898" s="184"/>
      <c r="AD898" s="212">
        <f t="shared" ref="AD898:AD907" si="359">AD897</f>
        <v>46037</v>
      </c>
      <c r="AE898" s="387"/>
      <c r="AF898" s="388"/>
      <c r="AG898" s="388"/>
      <c r="AH898" s="388"/>
      <c r="AI898" s="388"/>
      <c r="AJ898" s="388"/>
      <c r="AK898" s="388"/>
      <c r="AL898" s="388"/>
      <c r="AM898" s="388"/>
      <c r="AN898" s="388"/>
      <c r="AO898" s="388"/>
      <c r="AP898" s="388"/>
      <c r="AQ898" s="388"/>
      <c r="AR898" s="388"/>
      <c r="AS898" s="388"/>
      <c r="AT898" s="388"/>
      <c r="AU898" s="388"/>
      <c r="AV898" s="388"/>
      <c r="AW898" s="388"/>
      <c r="AX898" s="388"/>
      <c r="AY898" s="388"/>
      <c r="AZ898" s="388"/>
      <c r="BA898" s="388"/>
      <c r="BB898" s="389"/>
      <c r="BC898" s="98">
        <v>1</v>
      </c>
      <c r="BD898" s="74">
        <v>1</v>
      </c>
      <c r="BE898" s="75">
        <f t="shared" si="357"/>
        <v>0</v>
      </c>
    </row>
    <row r="899" spans="1:57" s="1" customFormat="1" ht="46.5" customHeight="1" x14ac:dyDescent="0.4">
      <c r="A899" s="37" t="str">
        <f t="shared" si="350"/>
        <v>15Д</v>
      </c>
      <c r="B899" s="183"/>
      <c r="C899" s="41"/>
      <c r="D899" s="184"/>
      <c r="E899" s="282">
        <f t="shared" si="358"/>
        <v>46037</v>
      </c>
      <c r="F899" s="335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  <c r="R899" s="336"/>
      <c r="S899" s="336"/>
      <c r="T899" s="336"/>
      <c r="U899" s="336"/>
      <c r="V899" s="336"/>
      <c r="W899" s="336"/>
      <c r="X899" s="98">
        <v>1</v>
      </c>
      <c r="Y899" s="74">
        <v>1</v>
      </c>
      <c r="Z899" s="75">
        <f t="shared" si="356"/>
        <v>0</v>
      </c>
      <c r="AA899" s="107">
        <f t="shared" ref="AA899:AA907" si="360">AA898</f>
        <v>0</v>
      </c>
      <c r="AB899" s="41"/>
      <c r="AC899" s="184"/>
      <c r="AD899" s="212">
        <f t="shared" si="359"/>
        <v>46037</v>
      </c>
      <c r="AE899" s="387"/>
      <c r="AF899" s="388"/>
      <c r="AG899" s="388"/>
      <c r="AH899" s="388"/>
      <c r="AI899" s="388"/>
      <c r="AJ899" s="388"/>
      <c r="AK899" s="388"/>
      <c r="AL899" s="388"/>
      <c r="AM899" s="388"/>
      <c r="AN899" s="388"/>
      <c r="AO899" s="388"/>
      <c r="AP899" s="388"/>
      <c r="AQ899" s="388"/>
      <c r="AR899" s="388"/>
      <c r="AS899" s="388"/>
      <c r="AT899" s="388"/>
      <c r="AU899" s="388"/>
      <c r="AV899" s="388"/>
      <c r="AW899" s="388"/>
      <c r="AX899" s="388"/>
      <c r="AY899" s="388"/>
      <c r="AZ899" s="388"/>
      <c r="BA899" s="388"/>
      <c r="BB899" s="389"/>
      <c r="BC899" s="98">
        <v>1</v>
      </c>
      <c r="BD899" s="74">
        <v>1</v>
      </c>
      <c r="BE899" s="75">
        <f t="shared" si="357"/>
        <v>0</v>
      </c>
    </row>
    <row r="900" spans="1:57" s="1" customFormat="1" ht="23.25" customHeight="1" x14ac:dyDescent="0.4">
      <c r="A900" s="37" t="str">
        <f t="shared" si="350"/>
        <v>15Д</v>
      </c>
      <c r="B900" s="183"/>
      <c r="C900" s="41"/>
      <c r="D900" s="184"/>
      <c r="E900" s="282">
        <f t="shared" si="358"/>
        <v>46037</v>
      </c>
      <c r="F900" s="335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  <c r="R900" s="336"/>
      <c r="S900" s="336"/>
      <c r="T900" s="336"/>
      <c r="U900" s="336"/>
      <c r="V900" s="336"/>
      <c r="W900" s="336"/>
      <c r="X900" s="98">
        <v>1</v>
      </c>
      <c r="Y900" s="74">
        <v>1</v>
      </c>
      <c r="Z900" s="75">
        <f t="shared" si="356"/>
        <v>0</v>
      </c>
      <c r="AA900" s="107">
        <f t="shared" si="360"/>
        <v>0</v>
      </c>
      <c r="AB900" s="41"/>
      <c r="AC900" s="184"/>
      <c r="AD900" s="212">
        <f t="shared" si="359"/>
        <v>46037</v>
      </c>
      <c r="AE900" s="387"/>
      <c r="AF900" s="388"/>
      <c r="AG900" s="388"/>
      <c r="AH900" s="388"/>
      <c r="AI900" s="388"/>
      <c r="AJ900" s="388"/>
      <c r="AK900" s="388"/>
      <c r="AL900" s="388"/>
      <c r="AM900" s="388"/>
      <c r="AN900" s="388"/>
      <c r="AO900" s="388"/>
      <c r="AP900" s="388"/>
      <c r="AQ900" s="388"/>
      <c r="AR900" s="388"/>
      <c r="AS900" s="388"/>
      <c r="AT900" s="388"/>
      <c r="AU900" s="388"/>
      <c r="AV900" s="388"/>
      <c r="AW900" s="388"/>
      <c r="AX900" s="388"/>
      <c r="AY900" s="388"/>
      <c r="AZ900" s="388"/>
      <c r="BA900" s="388"/>
      <c r="BB900" s="389"/>
      <c r="BC900" s="98">
        <v>1</v>
      </c>
      <c r="BD900" s="74">
        <v>1</v>
      </c>
      <c r="BE900" s="75">
        <f t="shared" si="357"/>
        <v>0</v>
      </c>
    </row>
    <row r="901" spans="1:57" s="1" customFormat="1" ht="18" customHeight="1" x14ac:dyDescent="0.4">
      <c r="A901" s="37" t="str">
        <f t="shared" si="350"/>
        <v>15Д</v>
      </c>
      <c r="B901" s="183"/>
      <c r="C901" s="41"/>
      <c r="D901" s="184"/>
      <c r="E901" s="282">
        <f t="shared" si="358"/>
        <v>46037</v>
      </c>
      <c r="F901" s="335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  <c r="R901" s="336"/>
      <c r="S901" s="336"/>
      <c r="T901" s="336"/>
      <c r="U901" s="336"/>
      <c r="V901" s="336"/>
      <c r="W901" s="336"/>
      <c r="X901" s="98">
        <v>1</v>
      </c>
      <c r="Y901" s="74">
        <v>1</v>
      </c>
      <c r="Z901" s="75">
        <f t="shared" si="356"/>
        <v>0</v>
      </c>
      <c r="AA901" s="107">
        <f t="shared" si="360"/>
        <v>0</v>
      </c>
      <c r="AB901" s="41"/>
      <c r="AC901" s="184"/>
      <c r="AD901" s="212">
        <f t="shared" si="359"/>
        <v>46037</v>
      </c>
      <c r="AE901" s="387"/>
      <c r="AF901" s="388"/>
      <c r="AG901" s="388"/>
      <c r="AH901" s="388"/>
      <c r="AI901" s="388"/>
      <c r="AJ901" s="388"/>
      <c r="AK901" s="388"/>
      <c r="AL901" s="388"/>
      <c r="AM901" s="388"/>
      <c r="AN901" s="388"/>
      <c r="AO901" s="388"/>
      <c r="AP901" s="388"/>
      <c r="AQ901" s="388"/>
      <c r="AR901" s="388"/>
      <c r="AS901" s="388"/>
      <c r="AT901" s="388"/>
      <c r="AU901" s="388"/>
      <c r="AV901" s="388"/>
      <c r="AW901" s="388"/>
      <c r="AX901" s="388"/>
      <c r="AY901" s="388"/>
      <c r="AZ901" s="388"/>
      <c r="BA901" s="388"/>
      <c r="BB901" s="389"/>
      <c r="BC901" s="98">
        <v>1</v>
      </c>
      <c r="BD901" s="74">
        <v>1</v>
      </c>
      <c r="BE901" s="75">
        <f t="shared" si="357"/>
        <v>0</v>
      </c>
    </row>
    <row r="902" spans="1:57" s="1" customFormat="1" ht="18" customHeight="1" x14ac:dyDescent="0.4">
      <c r="A902" s="37" t="str">
        <f t="shared" si="350"/>
        <v>15Д</v>
      </c>
      <c r="B902" s="183"/>
      <c r="C902" s="41"/>
      <c r="D902" s="184"/>
      <c r="E902" s="282">
        <f t="shared" si="358"/>
        <v>46037</v>
      </c>
      <c r="F902" s="335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  <c r="R902" s="336"/>
      <c r="S902" s="336"/>
      <c r="T902" s="336"/>
      <c r="U902" s="336"/>
      <c r="V902" s="336"/>
      <c r="W902" s="336"/>
      <c r="X902" s="98">
        <v>1</v>
      </c>
      <c r="Y902" s="74">
        <v>1</v>
      </c>
      <c r="Z902" s="75">
        <f t="shared" si="356"/>
        <v>0</v>
      </c>
      <c r="AA902" s="107">
        <f t="shared" si="360"/>
        <v>0</v>
      </c>
      <c r="AB902" s="41"/>
      <c r="AC902" s="184"/>
      <c r="AD902" s="212">
        <f t="shared" si="359"/>
        <v>46037</v>
      </c>
      <c r="AE902" s="387"/>
      <c r="AF902" s="388"/>
      <c r="AG902" s="388"/>
      <c r="AH902" s="388"/>
      <c r="AI902" s="388"/>
      <c r="AJ902" s="388"/>
      <c r="AK902" s="388"/>
      <c r="AL902" s="388"/>
      <c r="AM902" s="388"/>
      <c r="AN902" s="388"/>
      <c r="AO902" s="388"/>
      <c r="AP902" s="388"/>
      <c r="AQ902" s="388"/>
      <c r="AR902" s="388"/>
      <c r="AS902" s="388"/>
      <c r="AT902" s="388"/>
      <c r="AU902" s="388"/>
      <c r="AV902" s="388"/>
      <c r="AW902" s="388"/>
      <c r="AX902" s="388"/>
      <c r="AY902" s="388"/>
      <c r="AZ902" s="388"/>
      <c r="BA902" s="388"/>
      <c r="BB902" s="389"/>
      <c r="BC902" s="98">
        <v>1</v>
      </c>
      <c r="BD902" s="74">
        <v>1</v>
      </c>
      <c r="BE902" s="75">
        <f t="shared" si="357"/>
        <v>0</v>
      </c>
    </row>
    <row r="903" spans="1:57" s="1" customFormat="1" ht="18" customHeight="1" x14ac:dyDescent="0.4">
      <c r="A903" s="37" t="str">
        <f t="shared" si="350"/>
        <v>15Д</v>
      </c>
      <c r="B903" s="183"/>
      <c r="C903" s="41"/>
      <c r="D903" s="184"/>
      <c r="E903" s="282">
        <f t="shared" si="358"/>
        <v>46037</v>
      </c>
      <c r="F903" s="335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  <c r="R903" s="336"/>
      <c r="S903" s="336"/>
      <c r="T903" s="336"/>
      <c r="U903" s="336"/>
      <c r="V903" s="336"/>
      <c r="W903" s="336"/>
      <c r="X903" s="98">
        <v>1</v>
      </c>
      <c r="Y903" s="74">
        <v>1</v>
      </c>
      <c r="Z903" s="75">
        <f t="shared" si="356"/>
        <v>0</v>
      </c>
      <c r="AA903" s="107">
        <f t="shared" si="360"/>
        <v>0</v>
      </c>
      <c r="AB903" s="41"/>
      <c r="AC903" s="184"/>
      <c r="AD903" s="212">
        <f t="shared" si="359"/>
        <v>46037</v>
      </c>
      <c r="AE903" s="387"/>
      <c r="AF903" s="388"/>
      <c r="AG903" s="388"/>
      <c r="AH903" s="388"/>
      <c r="AI903" s="388"/>
      <c r="AJ903" s="388"/>
      <c r="AK903" s="388"/>
      <c r="AL903" s="388"/>
      <c r="AM903" s="388"/>
      <c r="AN903" s="388"/>
      <c r="AO903" s="388"/>
      <c r="AP903" s="388"/>
      <c r="AQ903" s="388"/>
      <c r="AR903" s="388"/>
      <c r="AS903" s="388"/>
      <c r="AT903" s="388"/>
      <c r="AU903" s="388"/>
      <c r="AV903" s="388"/>
      <c r="AW903" s="388"/>
      <c r="AX903" s="388"/>
      <c r="AY903" s="388"/>
      <c r="AZ903" s="388"/>
      <c r="BA903" s="388"/>
      <c r="BB903" s="389"/>
      <c r="BC903" s="98">
        <v>1</v>
      </c>
      <c r="BD903" s="74">
        <v>1</v>
      </c>
      <c r="BE903" s="75">
        <f t="shared" si="357"/>
        <v>0</v>
      </c>
    </row>
    <row r="904" spans="1:57" s="1" customFormat="1" ht="18" customHeight="1" x14ac:dyDescent="0.4">
      <c r="A904" s="37" t="str">
        <f t="shared" si="350"/>
        <v>15Д</v>
      </c>
      <c r="B904" s="183"/>
      <c r="C904" s="41"/>
      <c r="D904" s="184"/>
      <c r="E904" s="282">
        <f t="shared" si="358"/>
        <v>46037</v>
      </c>
      <c r="F904" s="335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  <c r="R904" s="336"/>
      <c r="S904" s="336"/>
      <c r="T904" s="336"/>
      <c r="U904" s="336"/>
      <c r="V904" s="336"/>
      <c r="W904" s="336"/>
      <c r="X904" s="98">
        <v>1</v>
      </c>
      <c r="Y904" s="74">
        <v>1</v>
      </c>
      <c r="Z904" s="75">
        <f t="shared" si="356"/>
        <v>0</v>
      </c>
      <c r="AA904" s="107">
        <f t="shared" si="360"/>
        <v>0</v>
      </c>
      <c r="AB904" s="41"/>
      <c r="AC904" s="184"/>
      <c r="AD904" s="212">
        <f t="shared" si="359"/>
        <v>46037</v>
      </c>
      <c r="AE904" s="387"/>
      <c r="AF904" s="388"/>
      <c r="AG904" s="388"/>
      <c r="AH904" s="388"/>
      <c r="AI904" s="388"/>
      <c r="AJ904" s="388"/>
      <c r="AK904" s="388"/>
      <c r="AL904" s="388"/>
      <c r="AM904" s="388"/>
      <c r="AN904" s="388"/>
      <c r="AO904" s="388"/>
      <c r="AP904" s="388"/>
      <c r="AQ904" s="388"/>
      <c r="AR904" s="388"/>
      <c r="AS904" s="388"/>
      <c r="AT904" s="388"/>
      <c r="AU904" s="388"/>
      <c r="AV904" s="388"/>
      <c r="AW904" s="388"/>
      <c r="AX904" s="388"/>
      <c r="AY904" s="388"/>
      <c r="AZ904" s="388"/>
      <c r="BA904" s="388"/>
      <c r="BB904" s="389"/>
      <c r="BC904" s="98">
        <v>1</v>
      </c>
      <c r="BD904" s="74">
        <v>1</v>
      </c>
      <c r="BE904" s="75">
        <f t="shared" si="357"/>
        <v>0</v>
      </c>
    </row>
    <row r="905" spans="1:57" s="1" customFormat="1" ht="18" customHeight="1" x14ac:dyDescent="0.4">
      <c r="A905" s="37" t="str">
        <f t="shared" si="350"/>
        <v>15Д</v>
      </c>
      <c r="B905" s="183"/>
      <c r="C905" s="41"/>
      <c r="D905" s="184"/>
      <c r="E905" s="282">
        <f t="shared" si="358"/>
        <v>46037</v>
      </c>
      <c r="F905" s="335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  <c r="R905" s="336"/>
      <c r="S905" s="336"/>
      <c r="T905" s="336"/>
      <c r="U905" s="336"/>
      <c r="V905" s="336"/>
      <c r="W905" s="336"/>
      <c r="X905" s="98">
        <v>1</v>
      </c>
      <c r="Y905" s="74">
        <v>1</v>
      </c>
      <c r="Z905" s="75">
        <f t="shared" si="356"/>
        <v>0</v>
      </c>
      <c r="AA905" s="107">
        <f t="shared" si="360"/>
        <v>0</v>
      </c>
      <c r="AB905" s="41"/>
      <c r="AC905" s="184"/>
      <c r="AD905" s="212">
        <f t="shared" si="359"/>
        <v>46037</v>
      </c>
      <c r="AE905" s="387"/>
      <c r="AF905" s="388"/>
      <c r="AG905" s="388"/>
      <c r="AH905" s="388"/>
      <c r="AI905" s="388"/>
      <c r="AJ905" s="388"/>
      <c r="AK905" s="388"/>
      <c r="AL905" s="388"/>
      <c r="AM905" s="388"/>
      <c r="AN905" s="388"/>
      <c r="AO905" s="388"/>
      <c r="AP905" s="388"/>
      <c r="AQ905" s="388"/>
      <c r="AR905" s="388"/>
      <c r="AS905" s="388"/>
      <c r="AT905" s="388"/>
      <c r="AU905" s="388"/>
      <c r="AV905" s="388"/>
      <c r="AW905" s="388"/>
      <c r="AX905" s="388"/>
      <c r="AY905" s="388"/>
      <c r="AZ905" s="388"/>
      <c r="BA905" s="388"/>
      <c r="BB905" s="389"/>
      <c r="BC905" s="98">
        <v>1</v>
      </c>
      <c r="BD905" s="74">
        <v>1</v>
      </c>
      <c r="BE905" s="75">
        <f t="shared" si="357"/>
        <v>0</v>
      </c>
    </row>
    <row r="906" spans="1:57" s="1" customFormat="1" ht="18" customHeight="1" x14ac:dyDescent="0.4">
      <c r="A906" s="37" t="str">
        <f t="shared" si="350"/>
        <v>15Д</v>
      </c>
      <c r="B906" s="183"/>
      <c r="C906" s="41"/>
      <c r="D906" s="184"/>
      <c r="E906" s="282">
        <f t="shared" si="358"/>
        <v>46037</v>
      </c>
      <c r="F906" s="335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  <c r="R906" s="336"/>
      <c r="S906" s="336"/>
      <c r="T906" s="336"/>
      <c r="U906" s="336"/>
      <c r="V906" s="336"/>
      <c r="W906" s="336"/>
      <c r="X906" s="98">
        <v>1</v>
      </c>
      <c r="Y906" s="74">
        <v>1</v>
      </c>
      <c r="Z906" s="75">
        <f t="shared" si="356"/>
        <v>0</v>
      </c>
      <c r="AA906" s="107">
        <f t="shared" si="360"/>
        <v>0</v>
      </c>
      <c r="AB906" s="41"/>
      <c r="AC906" s="184"/>
      <c r="AD906" s="212">
        <f t="shared" si="359"/>
        <v>46037</v>
      </c>
      <c r="AE906" s="387"/>
      <c r="AF906" s="388"/>
      <c r="AG906" s="388"/>
      <c r="AH906" s="388"/>
      <c r="AI906" s="388"/>
      <c r="AJ906" s="388"/>
      <c r="AK906" s="388"/>
      <c r="AL906" s="388"/>
      <c r="AM906" s="388"/>
      <c r="AN906" s="388"/>
      <c r="AO906" s="388"/>
      <c r="AP906" s="388"/>
      <c r="AQ906" s="388"/>
      <c r="AR906" s="388"/>
      <c r="AS906" s="388"/>
      <c r="AT906" s="388"/>
      <c r="AU906" s="388"/>
      <c r="AV906" s="388"/>
      <c r="AW906" s="388"/>
      <c r="AX906" s="388"/>
      <c r="AY906" s="388"/>
      <c r="AZ906" s="388"/>
      <c r="BA906" s="388"/>
      <c r="BB906" s="389"/>
      <c r="BC906" s="98">
        <v>1</v>
      </c>
      <c r="BD906" s="74">
        <v>1</v>
      </c>
      <c r="BE906" s="75">
        <f t="shared" si="357"/>
        <v>0</v>
      </c>
    </row>
    <row r="907" spans="1:57" s="1" customFormat="1" ht="18" customHeight="1" thickBot="1" x14ac:dyDescent="0.45">
      <c r="A907" s="37" t="str">
        <f t="shared" si="350"/>
        <v>15Д</v>
      </c>
      <c r="B907" s="183"/>
      <c r="C907" s="41"/>
      <c r="D907" s="184"/>
      <c r="E907" s="283">
        <f t="shared" si="358"/>
        <v>46037</v>
      </c>
      <c r="F907" s="339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99">
        <v>1</v>
      </c>
      <c r="Y907" s="76">
        <v>1</v>
      </c>
      <c r="Z907" s="77">
        <f t="shared" si="356"/>
        <v>0</v>
      </c>
      <c r="AA907" s="107">
        <f t="shared" si="360"/>
        <v>0</v>
      </c>
      <c r="AB907" s="41"/>
      <c r="AC907" s="184"/>
      <c r="AD907" s="211">
        <f t="shared" si="359"/>
        <v>46037</v>
      </c>
      <c r="AE907" s="410"/>
      <c r="AF907" s="411"/>
      <c r="AG907" s="411"/>
      <c r="AH907" s="411"/>
      <c r="AI907" s="411"/>
      <c r="AJ907" s="411"/>
      <c r="AK907" s="411"/>
      <c r="AL907" s="411"/>
      <c r="AM907" s="411"/>
      <c r="AN907" s="411"/>
      <c r="AO907" s="411"/>
      <c r="AP907" s="411"/>
      <c r="AQ907" s="411"/>
      <c r="AR907" s="411"/>
      <c r="AS907" s="411"/>
      <c r="AT907" s="411"/>
      <c r="AU907" s="411"/>
      <c r="AV907" s="411"/>
      <c r="AW907" s="411"/>
      <c r="AX907" s="411"/>
      <c r="AY907" s="411"/>
      <c r="AZ907" s="411"/>
      <c r="BA907" s="411"/>
      <c r="BB907" s="412"/>
      <c r="BC907" s="99">
        <v>1</v>
      </c>
      <c r="BD907" s="76">
        <v>1</v>
      </c>
      <c r="BE907" s="75">
        <f t="shared" si="357"/>
        <v>0</v>
      </c>
    </row>
    <row r="908" spans="1:57" s="1" customFormat="1" ht="23.25" customHeight="1" thickBot="1" x14ac:dyDescent="0.45">
      <c r="A908" s="37" t="str">
        <f t="shared" si="350"/>
        <v>15Д</v>
      </c>
      <c r="B908" s="193"/>
      <c r="C908" s="47"/>
      <c r="D908" s="47"/>
      <c r="E908" s="47"/>
      <c r="F908" s="78"/>
      <c r="G908" s="78"/>
      <c r="H908" s="78"/>
      <c r="I908" s="80"/>
      <c r="J908" s="80"/>
      <c r="K908" s="80"/>
      <c r="L908" s="80"/>
      <c r="M908" s="80"/>
      <c r="N908" s="80"/>
      <c r="O908" s="78"/>
      <c r="P908" s="81"/>
      <c r="Q908" s="81"/>
      <c r="R908" s="81"/>
      <c r="S908" s="81"/>
      <c r="T908" s="81"/>
      <c r="U908" s="82"/>
      <c r="V908" s="82"/>
      <c r="W908" s="86"/>
      <c r="X908" s="194"/>
      <c r="Y908" s="83"/>
      <c r="Z908" s="83"/>
      <c r="AA908" s="78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84"/>
      <c r="AN908" s="47"/>
      <c r="AO908" s="78"/>
      <c r="AP908" s="78"/>
      <c r="AQ908" s="78"/>
      <c r="AR908" s="84"/>
      <c r="AS908" s="78"/>
      <c r="AT908" s="85"/>
      <c r="AU908" s="78"/>
      <c r="AV908" s="83"/>
      <c r="AW908" s="83"/>
      <c r="AX908" s="78"/>
      <c r="AY908" s="78"/>
      <c r="AZ908" s="78"/>
      <c r="BA908" s="78"/>
      <c r="BB908" s="78"/>
      <c r="BC908" s="78"/>
      <c r="BD908" s="79"/>
      <c r="BE908" s="79"/>
    </row>
    <row r="909" spans="1:57" s="1" customFormat="1" ht="21.6" customHeight="1" thickBot="1" x14ac:dyDescent="0.45">
      <c r="A909" s="37" t="s">
        <v>175</v>
      </c>
      <c r="B909" s="59"/>
      <c r="C909" s="51"/>
      <c r="D909" s="51"/>
      <c r="E909" s="51"/>
      <c r="F909" s="158" t="s">
        <v>220</v>
      </c>
      <c r="G909" s="51"/>
      <c r="H909" s="51"/>
      <c r="I909" s="156"/>
      <c r="J909" s="156"/>
      <c r="K909" s="156"/>
      <c r="L909" s="156"/>
      <c r="M909" s="156"/>
      <c r="N909" s="156"/>
      <c r="O909" s="91"/>
      <c r="P909" s="52"/>
      <c r="Q909" s="52"/>
      <c r="R909" s="52"/>
      <c r="S909" s="52"/>
      <c r="T909" s="52"/>
      <c r="U909" s="157"/>
      <c r="V909" s="157"/>
      <c r="W909" s="94"/>
      <c r="X909" s="94"/>
      <c r="Y909" s="51"/>
      <c r="Z909" s="51"/>
      <c r="AA909" s="157">
        <f>AA892</f>
        <v>1</v>
      </c>
      <c r="AB909" s="157">
        <f t="shared" ref="AB909:AF909" si="361">AB892</f>
        <v>2</v>
      </c>
      <c r="AC909" s="157">
        <f t="shared" si="361"/>
        <v>3</v>
      </c>
      <c r="AD909" s="157">
        <f t="shared" si="361"/>
        <v>4</v>
      </c>
      <c r="AE909" s="157">
        <f t="shared" si="361"/>
        <v>5</v>
      </c>
      <c r="AF909" s="157">
        <f t="shared" si="361"/>
        <v>6</v>
      </c>
      <c r="AG909" s="162" t="s">
        <v>123</v>
      </c>
      <c r="AH909" s="162" t="s">
        <v>124</v>
      </c>
      <c r="AI909" s="162" t="s">
        <v>125</v>
      </c>
      <c r="AJ909" s="91" t="s">
        <v>126</v>
      </c>
      <c r="AK909" s="198" t="s">
        <v>136</v>
      </c>
      <c r="AL909" s="198" t="s">
        <v>137</v>
      </c>
      <c r="AM909" s="198" t="s">
        <v>138</v>
      </c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</row>
    <row r="910" spans="1:57" s="1" customFormat="1" ht="21.6" customHeight="1" x14ac:dyDescent="0.4">
      <c r="A910" s="37" t="str">
        <f>A909</f>
        <v>15Н</v>
      </c>
      <c r="B910" s="12">
        <f>B891</f>
        <v>46037</v>
      </c>
      <c r="C910" s="97"/>
      <c r="D910" s="97">
        <v>1</v>
      </c>
      <c r="E910" s="29"/>
      <c r="F910" s="151" t="str">
        <f>IFERROR(VLOOKUP($G910,нормы!$A$14:$BC$57,2,0),"")</f>
        <v/>
      </c>
      <c r="G910" s="93"/>
      <c r="H910" s="54">
        <f>IF(C910=1,"Кульков С.А.", IF(C910=2,"Чудаков А.А.",IF(C910=3,"Королев В.Н.",IF(C910=4,"Николашин М.П.",IF(C910=5," Кульков С.А.",IF(C910=6,"А.А. Чудаков",IF(C910=7,"В.Н. Королев",IF(C910=8,"М.П. Николашин",0))))))))</f>
        <v>0</v>
      </c>
      <c r="I910" s="88" t="s">
        <v>84</v>
      </c>
      <c r="J910" s="332"/>
      <c r="K910" s="30">
        <f>IFERROR(VLOOKUP($G910,[1]нормы!$A$21:$BC$151,15,0),"")</f>
        <v>0</v>
      </c>
      <c r="L910" s="31">
        <f>IFERROR(VLOOKUP($G910,[1]нормы!$A$21:$BC$151,17,0),"")</f>
        <v>0</v>
      </c>
      <c r="M910" s="310">
        <f>IFERROR(VLOOKUP($G910,[1]нормы!$A$21:$BC$151,27,0),"")</f>
        <v>0</v>
      </c>
      <c r="N910" s="311" t="str">
        <f>IFERROR(Y910/Y916*(1.1*J910*I915),"")</f>
        <v/>
      </c>
      <c r="O910" s="300">
        <f>IFERROR(VLOOKUP($G910,[1]нормы!$A$21:$BC$151,21,0),"")</f>
        <v>0</v>
      </c>
      <c r="P910" s="35">
        <f>IFERROR(VLOOKUP($G910,[1]нормы!$A$21:$BC$151,19,0),"")</f>
        <v>0</v>
      </c>
      <c r="Q910" s="35">
        <f>IFERROR(VLOOKUP($G910,[1]нормы!$A$21:$BC$151,23,0),"")</f>
        <v>0</v>
      </c>
      <c r="R910" s="231">
        <f>IFERROR(VLOOKUP($G910,[1]нормы!$A$21:$BC$151,29,0),"")</f>
        <v>0</v>
      </c>
      <c r="S910" s="35">
        <f>IFERROR(VLOOKUP($G910,[1]нормы!$A$21:$BC$151,31,0),"")</f>
        <v>0</v>
      </c>
      <c r="T910" s="32">
        <f>IFERROR(VLOOKUP($G910,[1]нормы!$A$21:$BC$151,25,0),"")</f>
        <v>0</v>
      </c>
      <c r="U910" s="232" t="str">
        <f>IFERROR(W910/(((100*Y910/Y916)*I915)/100),"")</f>
        <v/>
      </c>
      <c r="V910" s="234" t="str">
        <f>IFERROR(VLOOKUP($G910,нормы!$A$14:$BC$57,38,0),"")</f>
        <v/>
      </c>
      <c r="W910" s="136"/>
      <c r="X910" s="236"/>
      <c r="Y910" s="152" t="str">
        <f>IFERROR(VLOOKUP($G910,нормы!$A$14:$BC$57,42,0)*W910,"")</f>
        <v/>
      </c>
      <c r="Z910" s="163">
        <f>IFERROR(VLOOKUP($G910,нормы!$A$14:$BC$57,14,0)*W910/1000,0)</f>
        <v>0</v>
      </c>
      <c r="AA910" s="33"/>
      <c r="AB910" s="36"/>
      <c r="AC910" s="36"/>
      <c r="AD910" s="36"/>
      <c r="AE910" s="34"/>
      <c r="AF910" s="159"/>
      <c r="AG910" s="390"/>
      <c r="AH910" s="393"/>
      <c r="AI910" s="396"/>
      <c r="AJ910" s="407">
        <f>AG910+AH910</f>
        <v>0</v>
      </c>
      <c r="AK910" s="359"/>
      <c r="AL910" s="359"/>
      <c r="AM910" s="359"/>
      <c r="AN910" s="287">
        <f>IFERROR(Y910*AJ910/Y916,)</f>
        <v>0</v>
      </c>
      <c r="AO910" s="197" t="str">
        <f>IFERROR(VLOOKUP($G910,нормы!$A$14:$BC$57,53,0)*$W910,"")</f>
        <v/>
      </c>
      <c r="AP910" s="288">
        <f>IFERROR(Y910*AI910/Y916,)</f>
        <v>0</v>
      </c>
      <c r="AQ910" s="197" t="str">
        <f>IFERROR(VLOOKUP($G910,нормы!$A$14:$BC$57,54,0)*$W910,"")</f>
        <v/>
      </c>
      <c r="AR910" s="288">
        <f>IFERROR(AS910/SUM(AS910:AS915)*AL910,0)</f>
        <v>0</v>
      </c>
      <c r="AS910" s="197" t="str">
        <f>IFERROR(VLOOKUP($G910,нормы!$A$14:$BC$57,55,0)*W910,"")</f>
        <v/>
      </c>
      <c r="AT910" s="288">
        <f>IFERROR(AU910/SUM(AU910:AU915)*AM910,0)</f>
        <v>0</v>
      </c>
      <c r="AU910" s="197" t="str">
        <f>IFERROR(VLOOKUP($G910,нормы!$A$14:$BI$57,56,0)*W910,"")</f>
        <v/>
      </c>
      <c r="AV910" s="288">
        <f>IFERROR(AW910/SUM(AW910:AW915)*AK910,0)</f>
        <v>0</v>
      </c>
      <c r="AW910" s="202" t="str">
        <f>IFERROR(VLOOKUP($G910,нормы!$A$14:$BI$57,57,0)*W910,"")</f>
        <v/>
      </c>
      <c r="AX910" s="33"/>
      <c r="AY910" s="203" t="str">
        <f>IFERROR(VLOOKUP($G910,нормы!$A$14:$BI$57,58,0)*W910,"")</f>
        <v/>
      </c>
      <c r="AZ910" s="204"/>
      <c r="BA910" s="200" t="str">
        <f>IFERROR(VLOOKUP($G910,нормы!$A$14:$BI$57,61,0)*$W910,"")</f>
        <v/>
      </c>
      <c r="BB910" s="33"/>
      <c r="BC910" s="203" t="str">
        <f>IFERROR(VLOOKUP($G910,нормы!$A$14:$BI$57,60,0)*W910,"")</f>
        <v/>
      </c>
      <c r="BD910" s="200" t="str">
        <f>IFERROR(VLOOKUP($G910,нормы!$A$14:$BG$57,44,0),"")</f>
        <v/>
      </c>
      <c r="BE910" s="199" t="str">
        <f>IFERROR(W910/VLOOKUP($G910,нормы!$A$14:$BI$57,45,0),"")</f>
        <v/>
      </c>
    </row>
    <row r="911" spans="1:57" s="1" customFormat="1" ht="21.6" customHeight="1" x14ac:dyDescent="0.4">
      <c r="A911" s="37" t="str">
        <f t="shared" ref="A911:A939" si="362">A910</f>
        <v>15Н</v>
      </c>
      <c r="B911" s="12">
        <f t="shared" ref="B911:D915" si="363">B910</f>
        <v>46037</v>
      </c>
      <c r="C911" s="97">
        <f t="shared" si="363"/>
        <v>0</v>
      </c>
      <c r="D911" s="97">
        <f t="shared" si="363"/>
        <v>1</v>
      </c>
      <c r="E911" s="54"/>
      <c r="F911" s="151" t="str">
        <f>IFERROR(VLOOKUP($G911,нормы!$A$14:$BC$57,2,0),"")</f>
        <v/>
      </c>
      <c r="G911" s="93"/>
      <c r="H911" s="54">
        <f t="shared" ref="H911:H915" si="364">IF(C911=1,"Кульков С.А.", IF(C911=2,"Чудаков А.А.",IF(C911=3,"Королев В.Н.",IF(C911=4,"Николашин М.П.",IF(C911=5," Кульков С.А.",IF(C911=6,"А.А. Чудаков",IF(C911=7,"В.Н. Королев",IF(C911=8,"М.П. Николашин",0))))))))</f>
        <v>0</v>
      </c>
      <c r="I911" s="55"/>
      <c r="J911" s="333"/>
      <c r="K911" s="30">
        <f>IFERROR(VLOOKUP($G911,[1]нормы!$A$21:$BC$151,15,0),"")</f>
        <v>0</v>
      </c>
      <c r="L911" s="31">
        <f>IFERROR(VLOOKUP($G911,[1]нормы!$A$21:$BC$151,17,0),"")</f>
        <v>0</v>
      </c>
      <c r="M911" s="306">
        <f>IFERROR(VLOOKUP($G911,[1]нормы!$A$21:$BC$151,27,0),"")</f>
        <v>0</v>
      </c>
      <c r="N911" s="307" t="str">
        <f>IFERROR(Y911/Y916*(1.1*J910*I915),"")</f>
        <v/>
      </c>
      <c r="O911" s="300">
        <f>IFERROR(VLOOKUP($G911,[1]нормы!$A$21:$BC$151,21,0),"")</f>
        <v>0</v>
      </c>
      <c r="P911" s="35">
        <f>IFERROR(VLOOKUP($G911,[1]нормы!$A$21:$BC$151,19,0),"")</f>
        <v>0</v>
      </c>
      <c r="Q911" s="35">
        <f>IFERROR(VLOOKUP($G911,[1]нормы!$A$21:$BC$151,23,0),"")</f>
        <v>0</v>
      </c>
      <c r="R911" s="231">
        <f>IFERROR(VLOOKUP($G911,[1]нормы!$A$21:$BC$151,29,0),"")</f>
        <v>0</v>
      </c>
      <c r="S911" s="35">
        <f>IFERROR(VLOOKUP($G911,[1]нормы!$A$21:$BC$151,31,0),"")</f>
        <v>0</v>
      </c>
      <c r="T911" s="32">
        <f>IFERROR(VLOOKUP($G911,[1]нормы!$A$21:$BC$151,25,0),"")</f>
        <v>0</v>
      </c>
      <c r="U911" s="233" t="str">
        <f>IFERROR(W911/(((100*Y911/Y916)*I915)/100),"")</f>
        <v/>
      </c>
      <c r="V911" s="234" t="str">
        <f>IFERROR(VLOOKUP($G911,нормы!$A$14:$BC$57,38,0),"")</f>
        <v/>
      </c>
      <c r="W911" s="136"/>
      <c r="X911" s="237"/>
      <c r="Y911" s="152" t="str">
        <f>IFERROR(VLOOKUP($G911,нормы!$A$14:$BC$57,42,0)*W911,"")</f>
        <v/>
      </c>
      <c r="Z911" s="163">
        <f>IFERROR(VLOOKUP($G911,нормы!$A$14:$BC$57,14,0)*W911/1000,0)</f>
        <v>0</v>
      </c>
      <c r="AA911" s="142"/>
      <c r="AB911" s="35"/>
      <c r="AC911" s="35"/>
      <c r="AD911" s="35"/>
      <c r="AE911" s="31"/>
      <c r="AF911" s="160"/>
      <c r="AG911" s="391"/>
      <c r="AH911" s="394"/>
      <c r="AI911" s="397"/>
      <c r="AJ911" s="408"/>
      <c r="AK911" s="360"/>
      <c r="AL911" s="360"/>
      <c r="AM911" s="360"/>
      <c r="AN911" s="289">
        <f>IFERROR(Y911*AJ910/Y916,)</f>
        <v>0</v>
      </c>
      <c r="AO911" s="197" t="str">
        <f>IFERROR(VLOOKUP($G911,нормы!$A$14:$BC$57,53,0)*$W911,"")</f>
        <v/>
      </c>
      <c r="AP911" s="290">
        <f>IFERROR(Y911*AI910/Y916,)</f>
        <v>0</v>
      </c>
      <c r="AQ911" s="197" t="str">
        <f>IFERROR(VLOOKUP($G911,нормы!$A$14:$BC$57,54,0)*$W911,"")</f>
        <v/>
      </c>
      <c r="AR911" s="290">
        <f>IFERROR(AS911/SUM(AS910:AS915)*AL910,0)</f>
        <v>0</v>
      </c>
      <c r="AS911" s="197" t="str">
        <f>IFERROR(VLOOKUP($G911,нормы!$A$14:$BC$57,55,0)*W911,"")</f>
        <v/>
      </c>
      <c r="AT911" s="290">
        <f>IFERROR(AU911/SUM(AU910:AU915)*AM910,0)</f>
        <v>0</v>
      </c>
      <c r="AU911" s="197" t="str">
        <f>IFERROR(VLOOKUP($G911,нормы!$A$14:$BI$57,56,0)*W911,"")</f>
        <v/>
      </c>
      <c r="AV911" s="290">
        <f>IFERROR(AW911/SUM(AW910:AW915)*AK910,0)</f>
        <v>0</v>
      </c>
      <c r="AW911" s="202" t="str">
        <f>IFERROR(VLOOKUP($G911,нормы!$A$14:$BI$57,57,0)*W911,"")</f>
        <v/>
      </c>
      <c r="AX911" s="30"/>
      <c r="AY911" s="203" t="str">
        <f>IFERROR(VLOOKUP($G911,нормы!$A$14:$BI$57,58,0)*W911,"")</f>
        <v/>
      </c>
      <c r="AZ911" s="205"/>
      <c r="BA911" s="200" t="str">
        <f>IFERROR(VLOOKUP($G911,нормы!$A$14:$BI$57,61,0)*$W911,"")</f>
        <v/>
      </c>
      <c r="BB911" s="30"/>
      <c r="BC911" s="203" t="str">
        <f>IFERROR(VLOOKUP($G911,нормы!$A$14:$BI$57,60,0)*W911,"")</f>
        <v/>
      </c>
      <c r="BD911" s="200" t="str">
        <f>IFERROR(VLOOKUP($G911,нормы!$A$14:$BG$57,44,0),"")</f>
        <v/>
      </c>
      <c r="BE911" s="199" t="str">
        <f>IFERROR(W911/VLOOKUP($G911,нормы!$A$14:$BI$57,45,0),"")</f>
        <v/>
      </c>
    </row>
    <row r="912" spans="1:57" s="1" customFormat="1" ht="20.25" customHeight="1" x14ac:dyDescent="0.4">
      <c r="A912" s="37" t="str">
        <f t="shared" si="362"/>
        <v>15Н</v>
      </c>
      <c r="B912" s="12">
        <f t="shared" si="363"/>
        <v>46037</v>
      </c>
      <c r="C912" s="97">
        <f t="shared" si="363"/>
        <v>0</v>
      </c>
      <c r="D912" s="97">
        <f t="shared" si="363"/>
        <v>1</v>
      </c>
      <c r="E912" s="54"/>
      <c r="F912" s="151" t="str">
        <f>IFERROR(VLOOKUP($G912,нормы!$A$14:$BC$57,2,0),"")</f>
        <v/>
      </c>
      <c r="G912" s="38"/>
      <c r="H912" s="54">
        <f t="shared" si="364"/>
        <v>0</v>
      </c>
      <c r="I912" s="89" t="s">
        <v>85</v>
      </c>
      <c r="J912" s="333"/>
      <c r="K912" s="30">
        <f>IFERROR(VLOOKUP($G912,[1]нормы!$A$21:$BC$151,15,0),"")</f>
        <v>0</v>
      </c>
      <c r="L912" s="31">
        <f>IFERROR(VLOOKUP($G912,[1]нормы!$A$21:$BC$151,17,0),"")</f>
        <v>0</v>
      </c>
      <c r="M912" s="306">
        <f>IFERROR(VLOOKUP($G912,[1]нормы!$A$21:$BC$151,27,0),"")</f>
        <v>0</v>
      </c>
      <c r="N912" s="307" t="str">
        <f>IFERROR(Y912/Y916*(1.1*J910*I915),"")</f>
        <v/>
      </c>
      <c r="O912" s="300">
        <f>IFERROR(VLOOKUP($G912,[1]нормы!$A$21:$BC$151,21,0),"")</f>
        <v>0</v>
      </c>
      <c r="P912" s="35">
        <f>IFERROR(VLOOKUP($G912,[1]нормы!$A$21:$BC$151,19,0),"")</f>
        <v>0</v>
      </c>
      <c r="Q912" s="35">
        <f>IFERROR(VLOOKUP($G912,[1]нормы!$A$21:$BC$151,23,0),"")</f>
        <v>0</v>
      </c>
      <c r="R912" s="231">
        <f>IFERROR(VLOOKUP($G912,[1]нормы!$A$21:$BC$151,29,0),"")</f>
        <v>0</v>
      </c>
      <c r="S912" s="35">
        <f>IFERROR(VLOOKUP($G912,[1]нормы!$A$21:$BC$151,31,0),"")</f>
        <v>0</v>
      </c>
      <c r="T912" s="32">
        <f>IFERROR(VLOOKUP($G912,[1]нормы!$A$21:$BC$151,25,0),"")</f>
        <v>0</v>
      </c>
      <c r="U912" s="233" t="str">
        <f>IFERROR(W912/(((100*Y912/Y916)*I915)/100),"")</f>
        <v/>
      </c>
      <c r="V912" s="234" t="str">
        <f>IFERROR(VLOOKUP($G912,нормы!$A$14:$BC$57,38,0),"")</f>
        <v/>
      </c>
      <c r="W912" s="136"/>
      <c r="X912" s="237"/>
      <c r="Y912" s="152" t="str">
        <f>IFERROR(VLOOKUP($G912,нормы!$A$14:$BC$57,42,0)*W912,"")</f>
        <v/>
      </c>
      <c r="Z912" s="163">
        <f>IFERROR(VLOOKUP($G912,нормы!$A$14:$BC$57,14,0)*W912/1000,0)</f>
        <v>0</v>
      </c>
      <c r="AA912" s="30"/>
      <c r="AB912" s="35"/>
      <c r="AC912" s="35"/>
      <c r="AD912" s="35"/>
      <c r="AE912" s="31"/>
      <c r="AF912" s="160"/>
      <c r="AG912" s="391"/>
      <c r="AH912" s="394"/>
      <c r="AI912" s="397"/>
      <c r="AJ912" s="408"/>
      <c r="AK912" s="360"/>
      <c r="AL912" s="360"/>
      <c r="AM912" s="360"/>
      <c r="AN912" s="289">
        <f>IFERROR(Y912*AJ910/Y916,)</f>
        <v>0</v>
      </c>
      <c r="AO912" s="197" t="str">
        <f>IFERROR(VLOOKUP($G912,нормы!$A$14:$BC$57,53,0)*$W912,"")</f>
        <v/>
      </c>
      <c r="AP912" s="290">
        <f>IFERROR(Y912*AI910/Y916,)</f>
        <v>0</v>
      </c>
      <c r="AQ912" s="197" t="str">
        <f>IFERROR(VLOOKUP($G912,нормы!$A$14:$BC$57,54,0)*$W912,"")</f>
        <v/>
      </c>
      <c r="AR912" s="290">
        <f>IFERROR(AS912/SUM(AS910:AS915)*AL910,0)</f>
        <v>0</v>
      </c>
      <c r="AS912" s="197" t="str">
        <f>IFERROR(VLOOKUP($G912,нормы!$A$14:$BC$57,55,0)*W912,"")</f>
        <v/>
      </c>
      <c r="AT912" s="290">
        <f>IFERROR(AU912/SUM(AU910:AU915)*AM910,0)</f>
        <v>0</v>
      </c>
      <c r="AU912" s="197" t="str">
        <f>IFERROR(VLOOKUP($G912,нормы!$A$14:$BI$57,56,0)*W912,"")</f>
        <v/>
      </c>
      <c r="AV912" s="290">
        <f>IFERROR(AW912/SUM(AW910:AW915)*AK910,0)</f>
        <v>0</v>
      </c>
      <c r="AW912" s="202" t="str">
        <f>IFERROR(VLOOKUP($G912,нормы!$A$14:$BI$57,57,0)*W912,"")</f>
        <v/>
      </c>
      <c r="AX912" s="30"/>
      <c r="AY912" s="203" t="str">
        <f>IFERROR(VLOOKUP($G912,нормы!$A$14:$BI$57,58,0)*W912,"")</f>
        <v/>
      </c>
      <c r="AZ912" s="205"/>
      <c r="BA912" s="200" t="str">
        <f>IFERROR(VLOOKUP($G912,нормы!$A$14:$BI$57,61,0)*$W912,"")</f>
        <v/>
      </c>
      <c r="BB912" s="30"/>
      <c r="BC912" s="203" t="str">
        <f>IFERROR(VLOOKUP($G912,нормы!$A$14:$BI$57,60,0)*W912,"")</f>
        <v/>
      </c>
      <c r="BD912" s="200" t="str">
        <f>IFERROR(VLOOKUP($G912,нормы!$A$14:$BG$57,44,0),"")</f>
        <v/>
      </c>
      <c r="BE912" s="199" t="str">
        <f>IFERROR(W912/VLOOKUP($G912,нормы!$A$14:$BI$57,45,0),"")</f>
        <v/>
      </c>
    </row>
    <row r="913" spans="1:57" s="1" customFormat="1" ht="20.25" customHeight="1" x14ac:dyDescent="0.4">
      <c r="A913" s="37" t="str">
        <f t="shared" si="362"/>
        <v>15Н</v>
      </c>
      <c r="B913" s="12">
        <f t="shared" si="363"/>
        <v>46037</v>
      </c>
      <c r="C913" s="97">
        <f t="shared" si="363"/>
        <v>0</v>
      </c>
      <c r="D913" s="97">
        <f t="shared" si="363"/>
        <v>1</v>
      </c>
      <c r="E913" s="54"/>
      <c r="F913" s="151" t="str">
        <f>IFERROR(VLOOKUP($G913,нормы!$A$14:$BC$57,2,0),"")</f>
        <v/>
      </c>
      <c r="G913" s="93"/>
      <c r="H913" s="54">
        <f t="shared" si="364"/>
        <v>0</v>
      </c>
      <c r="I913" s="55"/>
      <c r="J913" s="333"/>
      <c r="K913" s="30">
        <f>IFERROR(VLOOKUP($G913,[1]нормы!$A$21:$BC$151,15,0),"")</f>
        <v>0</v>
      </c>
      <c r="L913" s="31">
        <f>IFERROR(VLOOKUP($G913,[1]нормы!$A$21:$BC$151,17,0),"")</f>
        <v>0</v>
      </c>
      <c r="M913" s="306">
        <f>IFERROR(VLOOKUP($G913,[1]нормы!$A$21:$BC$151,27,0),"")</f>
        <v>0</v>
      </c>
      <c r="N913" s="307" t="str">
        <f>IFERROR(Y913/Y916*(1.1*J910*I918),"")</f>
        <v/>
      </c>
      <c r="O913" s="300">
        <f>IFERROR(VLOOKUP($G913,[1]нормы!$A$21:$BC$151,21,0),"")</f>
        <v>0</v>
      </c>
      <c r="P913" s="35">
        <f>IFERROR(VLOOKUP($G913,[1]нормы!$A$21:$BC$151,19,0),"")</f>
        <v>0</v>
      </c>
      <c r="Q913" s="35">
        <f>IFERROR(VLOOKUP($G913,[1]нормы!$A$21:$BC$151,23,0),"")</f>
        <v>0</v>
      </c>
      <c r="R913" s="231">
        <f>IFERROR(VLOOKUP($G913,[1]нормы!$A$21:$BC$151,29,0),"")</f>
        <v>0</v>
      </c>
      <c r="S913" s="35">
        <f>IFERROR(VLOOKUP($G913,[1]нормы!$A$21:$BC$151,31,0),"")</f>
        <v>0</v>
      </c>
      <c r="T913" s="32">
        <f>IFERROR(VLOOKUP($G913,[1]нормы!$A$21:$BC$151,25,0),"")</f>
        <v>0</v>
      </c>
      <c r="U913" s="233" t="str">
        <f>IFERROR(W913/(((100*Y913/Y916)*I915)/100),"")</f>
        <v/>
      </c>
      <c r="V913" s="234" t="str">
        <f>IFERROR(VLOOKUP($G913,нормы!$A$14:$BC$57,38,0),"")</f>
        <v/>
      </c>
      <c r="W913" s="136"/>
      <c r="X913" s="237"/>
      <c r="Y913" s="152" t="str">
        <f>IFERROR(VLOOKUP($G913,нормы!$A$14:$BC$57,42,0)*W913,"")</f>
        <v/>
      </c>
      <c r="Z913" s="163">
        <f>IFERROR(VLOOKUP($G913,нормы!$A$14:$BC$57,14,0)*W913/1000,0)</f>
        <v>0</v>
      </c>
      <c r="AA913" s="30"/>
      <c r="AB913" s="35"/>
      <c r="AC913" s="35"/>
      <c r="AD913" s="35"/>
      <c r="AE913" s="31"/>
      <c r="AF913" s="160"/>
      <c r="AG913" s="391"/>
      <c r="AH913" s="394"/>
      <c r="AI913" s="397"/>
      <c r="AJ913" s="408"/>
      <c r="AK913" s="360"/>
      <c r="AL913" s="360"/>
      <c r="AM913" s="360"/>
      <c r="AN913" s="289">
        <f>IFERROR(Y913*AJ910/Y916,)</f>
        <v>0</v>
      </c>
      <c r="AO913" s="197" t="str">
        <f>IFERROR(VLOOKUP($G913,нормы!$A$14:$BC$57,53,0)*$W913,"")</f>
        <v/>
      </c>
      <c r="AP913" s="290">
        <f>IFERROR(Y913*AI910/Y916,)</f>
        <v>0</v>
      </c>
      <c r="AQ913" s="197" t="str">
        <f>IFERROR(VLOOKUP($G913,нормы!$A$14:$BC$57,54,0)*$W913,"")</f>
        <v/>
      </c>
      <c r="AR913" s="290">
        <f>IFERROR(AS913/SUM(AS910:AS915)*AL910,0)</f>
        <v>0</v>
      </c>
      <c r="AS913" s="197" t="str">
        <f>IFERROR(VLOOKUP($G913,нормы!$A$14:$BC$57,55,0)*W913,"")</f>
        <v/>
      </c>
      <c r="AT913" s="290">
        <f>IFERROR(AU913/SUM(AU910:AU915)*AM910,0)</f>
        <v>0</v>
      </c>
      <c r="AU913" s="197" t="str">
        <f>IFERROR(VLOOKUP($G913,нормы!$A$14:$BI$57,56,0)*W913,"")</f>
        <v/>
      </c>
      <c r="AV913" s="290">
        <f>IFERROR(AW913/SUM(AW910:AW915)*AK910,0)</f>
        <v>0</v>
      </c>
      <c r="AW913" s="202" t="str">
        <f>IFERROR(VLOOKUP($G913,нормы!$A$14:$BI$57,57,0)*W913,"")</f>
        <v/>
      </c>
      <c r="AX913" s="30"/>
      <c r="AY913" s="203" t="str">
        <f>IFERROR(VLOOKUP($G913,нормы!$A$14:$BI$57,58,0)*W913,"")</f>
        <v/>
      </c>
      <c r="AZ913" s="205"/>
      <c r="BA913" s="200" t="str">
        <f>IFERROR(VLOOKUP($G913,нормы!$A$14:$BI$57,61,0)*$W913,"")</f>
        <v/>
      </c>
      <c r="BB913" s="30"/>
      <c r="BC913" s="203" t="str">
        <f>IFERROR(VLOOKUP($G913,нормы!$A$14:$BI$57,60,0)*W913,"")</f>
        <v/>
      </c>
      <c r="BD913" s="200" t="str">
        <f>IFERROR(VLOOKUP($G913,нормы!$A$14:$BG$57,44,0),"")</f>
        <v/>
      </c>
      <c r="BE913" s="199" t="str">
        <f>IFERROR(W913/VLOOKUP($G913,нормы!$A$14:$BI$57,45,0),"")</f>
        <v/>
      </c>
    </row>
    <row r="914" spans="1:57" s="1" customFormat="1" ht="20.25" customHeight="1" x14ac:dyDescent="0.4">
      <c r="A914" s="37" t="str">
        <f t="shared" si="362"/>
        <v>15Н</v>
      </c>
      <c r="B914" s="12">
        <f t="shared" si="363"/>
        <v>46037</v>
      </c>
      <c r="C914" s="97">
        <f t="shared" si="363"/>
        <v>0</v>
      </c>
      <c r="D914" s="97">
        <f t="shared" si="363"/>
        <v>1</v>
      </c>
      <c r="E914" s="54"/>
      <c r="F914" s="151" t="str">
        <f>IFERROR(VLOOKUP($G914,нормы!$A$14:$BC$57,2,0),"")</f>
        <v/>
      </c>
      <c r="G914" s="38"/>
      <c r="H914" s="54">
        <f t="shared" si="364"/>
        <v>0</v>
      </c>
      <c r="I914" s="89" t="s">
        <v>73</v>
      </c>
      <c r="J914" s="333"/>
      <c r="K914" s="30">
        <f>IFERROR(VLOOKUP($G914,[1]нормы!$A$21:$BC$151,15,0),"")</f>
        <v>0</v>
      </c>
      <c r="L914" s="31">
        <f>IFERROR(VLOOKUP($G914,[1]нормы!$A$21:$BC$151,17,0),"")</f>
        <v>0</v>
      </c>
      <c r="M914" s="306">
        <f>IFERROR(VLOOKUP($G914,[1]нормы!$A$21:$BC$151,27,0),"")</f>
        <v>0</v>
      </c>
      <c r="N914" s="307" t="str">
        <f>IFERROR(Y914/Y916*(1.1*J910*I919),"")</f>
        <v/>
      </c>
      <c r="O914" s="300">
        <f>IFERROR(VLOOKUP($G914,[1]нормы!$A$21:$BC$151,21,0),"")</f>
        <v>0</v>
      </c>
      <c r="P914" s="35">
        <f>IFERROR(VLOOKUP($G914,[1]нормы!$A$21:$BC$151,19,0),"")</f>
        <v>0</v>
      </c>
      <c r="Q914" s="35">
        <f>IFERROR(VLOOKUP($G914,[1]нормы!$A$21:$BC$151,23,0),"")</f>
        <v>0</v>
      </c>
      <c r="R914" s="231">
        <f>IFERROR(VLOOKUP($G914,[1]нормы!$A$21:$BC$151,29,0),"")</f>
        <v>0</v>
      </c>
      <c r="S914" s="35">
        <f>IFERROR(VLOOKUP($G914,[1]нормы!$A$21:$BC$151,31,0),"")</f>
        <v>0</v>
      </c>
      <c r="T914" s="32">
        <f>IFERROR(VLOOKUP($G914,[1]нормы!$A$21:$BC$151,25,0),"")</f>
        <v>0</v>
      </c>
      <c r="U914" s="233" t="str">
        <f>IFERROR(W914/(((100*Y914/Y916)*I915)/100),"")</f>
        <v/>
      </c>
      <c r="V914" s="234" t="str">
        <f>IFERROR(VLOOKUP($G914,нормы!$A$14:$BC$57,38,0),"")</f>
        <v/>
      </c>
      <c r="W914" s="136"/>
      <c r="X914" s="237"/>
      <c r="Y914" s="152" t="str">
        <f>IFERROR(VLOOKUP($G914,нормы!$A$14:$BC$57,42,0)*W914,"")</f>
        <v/>
      </c>
      <c r="Z914" s="163">
        <f>IFERROR(VLOOKUP($G914,нормы!$A$14:$BC$57,14,0)*W914/1000,0)</f>
        <v>0</v>
      </c>
      <c r="AA914" s="30"/>
      <c r="AB914" s="35"/>
      <c r="AC914" s="35"/>
      <c r="AD914" s="35"/>
      <c r="AE914" s="31"/>
      <c r="AF914" s="160"/>
      <c r="AG914" s="391"/>
      <c r="AH914" s="394"/>
      <c r="AI914" s="397"/>
      <c r="AJ914" s="408"/>
      <c r="AK914" s="360"/>
      <c r="AL914" s="360"/>
      <c r="AM914" s="360"/>
      <c r="AN914" s="289">
        <f>IFERROR(Y914*AJ910/Y916,)</f>
        <v>0</v>
      </c>
      <c r="AO914" s="197" t="str">
        <f>IFERROR(VLOOKUP($G914,нормы!$A$14:$BC$57,53,0)*$W914,"")</f>
        <v/>
      </c>
      <c r="AP914" s="290">
        <f>IFERROR(Y914*AI910/Y916,)</f>
        <v>0</v>
      </c>
      <c r="AQ914" s="197" t="str">
        <f>IFERROR(VLOOKUP($G914,нормы!$A$14:$BC$57,54,0)*$W914,"")</f>
        <v/>
      </c>
      <c r="AR914" s="290">
        <f>IFERROR(AS914/SUM(AS910:AS915)*AL910,0)</f>
        <v>0</v>
      </c>
      <c r="AS914" s="197" t="str">
        <f>IFERROR(VLOOKUP($G914,нормы!$A$14:$BC$57,55,0)*W914,"")</f>
        <v/>
      </c>
      <c r="AT914" s="290">
        <f>IFERROR(AU914/SUM(AU910:AU915)*AM910,0)</f>
        <v>0</v>
      </c>
      <c r="AU914" s="197" t="str">
        <f>IFERROR(VLOOKUP($G914,нормы!$A$14:$BI$57,56,0)*W914,"")</f>
        <v/>
      </c>
      <c r="AV914" s="290">
        <f>IFERROR(AW914/SUM(AW910:AW915)*AK910,0)</f>
        <v>0</v>
      </c>
      <c r="AW914" s="202" t="str">
        <f>IFERROR(VLOOKUP($G914,нормы!$A$14:$BI$57,57,0)*W914,"")</f>
        <v/>
      </c>
      <c r="AX914" s="30"/>
      <c r="AY914" s="203" t="str">
        <f>IFERROR(VLOOKUP($G914,нормы!$A$14:$BI$57,58,0)*W914,"")</f>
        <v/>
      </c>
      <c r="AZ914" s="205"/>
      <c r="BA914" s="200" t="str">
        <f>IFERROR(VLOOKUP($G914,нормы!$A$14:$BI$57,61,0)*$W914,"")</f>
        <v/>
      </c>
      <c r="BB914" s="30"/>
      <c r="BC914" s="203" t="str">
        <f>IFERROR(VLOOKUP($G914,нормы!$A$14:$BI$57,60,0)*W914,"")</f>
        <v/>
      </c>
      <c r="BD914" s="200" t="str">
        <f>IFERROR(VLOOKUP($G914,нормы!$A$14:$BG$57,44,0),"")</f>
        <v/>
      </c>
      <c r="BE914" s="199" t="str">
        <f>IFERROR(W914/VLOOKUP($G914,нормы!$A$14:$BI$57,45,0),"")</f>
        <v/>
      </c>
    </row>
    <row r="915" spans="1:57" s="1" customFormat="1" ht="21" customHeight="1" thickBot="1" x14ac:dyDescent="0.45">
      <c r="A915" s="37" t="str">
        <f t="shared" si="362"/>
        <v>15Н</v>
      </c>
      <c r="B915" s="12">
        <f t="shared" si="363"/>
        <v>46037</v>
      </c>
      <c r="C915" s="97">
        <f t="shared" si="363"/>
        <v>0</v>
      </c>
      <c r="D915" s="97">
        <f t="shared" si="363"/>
        <v>1</v>
      </c>
      <c r="E915" s="54"/>
      <c r="F915" s="151" t="str">
        <f>IFERROR(VLOOKUP($G915,нормы!$A$14:$BC$57,2,0),"")</f>
        <v/>
      </c>
      <c r="G915" s="93"/>
      <c r="H915" s="63">
        <f t="shared" si="364"/>
        <v>0</v>
      </c>
      <c r="I915" s="153">
        <f>I911+I913</f>
        <v>0</v>
      </c>
      <c r="J915" s="334"/>
      <c r="K915" s="30">
        <f>IFERROR(VLOOKUP($G915,[1]нормы!$A$21:$BC$151,15,0),"")</f>
        <v>0</v>
      </c>
      <c r="L915" s="31">
        <f>IFERROR(VLOOKUP($G915,[1]нормы!$A$21:$BC$151,17,0),"")</f>
        <v>0</v>
      </c>
      <c r="M915" s="308">
        <f>IFERROR(VLOOKUP($G915,[1]нормы!$A$21:$BC$151,27,0),"")</f>
        <v>0</v>
      </c>
      <c r="N915" s="309" t="str">
        <f>IFERROR(Y915/Y916*(1.1*J910*I920),"")</f>
        <v/>
      </c>
      <c r="O915" s="300">
        <f>IFERROR(VLOOKUP($G915,[1]нормы!$A$21:$BC$151,21,0),"")</f>
        <v>0</v>
      </c>
      <c r="P915" s="35">
        <f>IFERROR(VLOOKUP($G915,[1]нормы!$A$21:$BC$151,19,0),"")</f>
        <v>0</v>
      </c>
      <c r="Q915" s="35">
        <f>IFERROR(VLOOKUP($G915,[1]нормы!$A$21:$BC$151,23,0),"")</f>
        <v>0</v>
      </c>
      <c r="R915" s="231">
        <f>IFERROR(VLOOKUP($G915,[1]нормы!$A$21:$BC$151,29,0),"")</f>
        <v>0</v>
      </c>
      <c r="S915" s="35">
        <f>IFERROR(VLOOKUP($G915,[1]нормы!$A$21:$BC$151,31,0),"")</f>
        <v>0</v>
      </c>
      <c r="T915" s="32">
        <f>IFERROR(VLOOKUP($G915,[1]нормы!$A$21:$BC$151,25,0),"")</f>
        <v>0</v>
      </c>
      <c r="U915" s="235" t="str">
        <f>IFERROR(W915/(((100*Y915/Y916)*I915)/100),"")</f>
        <v/>
      </c>
      <c r="V915" s="234" t="str">
        <f>IFERROR(VLOOKUP($G915,нормы!$A$14:$BC$57,38,0),"")</f>
        <v/>
      </c>
      <c r="W915" s="154"/>
      <c r="X915" s="238"/>
      <c r="Y915" s="152" t="str">
        <f>IFERROR(VLOOKUP($G915,нормы!$A$14:$BC$57,42,0)*W915,"")</f>
        <v/>
      </c>
      <c r="Z915" s="163">
        <f>IFERROR(VLOOKUP($G915,нормы!$A$14:$BC$57,14,0)*W915/1000,0)</f>
        <v>0</v>
      </c>
      <c r="AA915" s="56"/>
      <c r="AB915" s="58"/>
      <c r="AC915" s="58"/>
      <c r="AD915" s="58"/>
      <c r="AE915" s="57"/>
      <c r="AF915" s="161"/>
      <c r="AG915" s="392"/>
      <c r="AH915" s="395"/>
      <c r="AI915" s="398"/>
      <c r="AJ915" s="409"/>
      <c r="AK915" s="361"/>
      <c r="AL915" s="361"/>
      <c r="AM915" s="361"/>
      <c r="AN915" s="291">
        <f>IFERROR(Y915*AJ910/Y916,)</f>
        <v>0</v>
      </c>
      <c r="AO915" s="197" t="str">
        <f>IFERROR(VLOOKUP($G915,нормы!$A$14:$BC$57,53,0)*$W915,"")</f>
        <v/>
      </c>
      <c r="AP915" s="292">
        <f>IFERROR(Y915*AI910/Y916,)</f>
        <v>0</v>
      </c>
      <c r="AQ915" s="197" t="str">
        <f>IFERROR(VLOOKUP($G915,нормы!$A$14:$BC$57,54,0)*$W915,"")</f>
        <v/>
      </c>
      <c r="AR915" s="290">
        <f>IFERROR(AS915/SUM(AS910:AS915)*AL910,0)</f>
        <v>0</v>
      </c>
      <c r="AS915" s="197" t="str">
        <f>IFERROR(VLOOKUP($G915,нормы!$A$14:$BC$57,55,0)*W915,"")</f>
        <v/>
      </c>
      <c r="AT915" s="292">
        <f>IFERROR(AU915/SUM(AU910:AU915)*AM910,0)</f>
        <v>0</v>
      </c>
      <c r="AU915" s="197" t="str">
        <f>IFERROR(VLOOKUP($G915,нормы!$A$14:$BI$57,56,0)*W915,"")</f>
        <v/>
      </c>
      <c r="AV915" s="292">
        <f>IFERROR(AW915/SUM(AW910:AW915)*AK910,0)</f>
        <v>0</v>
      </c>
      <c r="AW915" s="202" t="str">
        <f>IFERROR(VLOOKUP($G915,нормы!$A$14:$BI$57,57,0)*W915,"")</f>
        <v/>
      </c>
      <c r="AX915" s="56"/>
      <c r="AY915" s="203" t="str">
        <f>IFERROR(VLOOKUP($G915,нормы!$A$14:$BI$57,58,0)*W915,"")</f>
        <v/>
      </c>
      <c r="AZ915" s="206"/>
      <c r="BA915" s="200" t="str">
        <f>IFERROR(VLOOKUP($G915,нормы!$A$14:$BI$57,61,0)*$W915,"")</f>
        <v/>
      </c>
      <c r="BB915" s="56"/>
      <c r="BC915" s="203" t="str">
        <f>IFERROR(VLOOKUP($G915,нормы!$A$14:$BI$57,60,0)*W915,"")</f>
        <v/>
      </c>
      <c r="BD915" s="200" t="str">
        <f>IFERROR(VLOOKUP($G915,нормы!$A$14:$BG$57,44,0),"")</f>
        <v/>
      </c>
      <c r="BE915" s="199" t="str">
        <f>IFERROR(W915/VLOOKUP($G915,нормы!$A$14:$BI$57,45,0),"")</f>
        <v/>
      </c>
    </row>
    <row r="916" spans="1:57" s="1" customFormat="1" ht="29.4" customHeight="1" thickBot="1" x14ac:dyDescent="0.45">
      <c r="A916" s="37" t="str">
        <f t="shared" si="362"/>
        <v>15Н</v>
      </c>
      <c r="B916" s="59"/>
      <c r="C916" s="51"/>
      <c r="D916" s="51"/>
      <c r="E916" s="51"/>
      <c r="F916" s="295" t="s">
        <v>149</v>
      </c>
      <c r="G916" s="51"/>
      <c r="H916" s="51"/>
      <c r="I916" s="60"/>
      <c r="J916" s="60"/>
      <c r="K916" s="319" t="s">
        <v>213</v>
      </c>
      <c r="L916" s="316"/>
      <c r="M916" s="303" t="s">
        <v>213</v>
      </c>
      <c r="N916" s="317">
        <f>SUM(N910:N915)</f>
        <v>0</v>
      </c>
      <c r="O916" s="304" t="s">
        <v>216</v>
      </c>
      <c r="P916" s="318">
        <f>N916*8.937/1000</f>
        <v>0</v>
      </c>
      <c r="Q916" s="305" t="s">
        <v>215</v>
      </c>
      <c r="R916" s="61"/>
      <c r="S916" s="61"/>
      <c r="T916" s="61"/>
      <c r="U916" s="109"/>
      <c r="V916" s="109"/>
      <c r="W916" s="94"/>
      <c r="X916" s="155"/>
      <c r="Y916" s="96">
        <f>SUM(Y910:Y915)</f>
        <v>0</v>
      </c>
      <c r="Z916" s="164">
        <f>SUM(Z910:Z915)</f>
        <v>0</v>
      </c>
      <c r="AA916" s="62"/>
      <c r="AB916" s="62"/>
      <c r="AC916" s="62"/>
      <c r="AD916" s="62"/>
      <c r="AE916" s="62"/>
      <c r="AF916" s="62"/>
      <c r="AG916" s="162" t="s">
        <v>140</v>
      </c>
      <c r="AH916" s="162" t="s">
        <v>141</v>
      </c>
      <c r="AI916" s="162" t="s">
        <v>142</v>
      </c>
      <c r="AJ916" s="91" t="s">
        <v>126</v>
      </c>
      <c r="AK916" s="198" t="s">
        <v>136</v>
      </c>
      <c r="AL916" s="198" t="s">
        <v>137</v>
      </c>
      <c r="AM916" s="198" t="s">
        <v>138</v>
      </c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53" t="str">
        <f>IFERROR(W916/VLOOKUP($G916,нормы!$A$14:$BI$15,28,0),"")</f>
        <v/>
      </c>
    </row>
    <row r="917" spans="1:57" s="1" customFormat="1" ht="21.6" customHeight="1" x14ac:dyDescent="0.4">
      <c r="A917" s="37" t="str">
        <f t="shared" si="362"/>
        <v>15Н</v>
      </c>
      <c r="B917" s="12">
        <f>B915</f>
        <v>46037</v>
      </c>
      <c r="C917" s="97"/>
      <c r="D917" s="97">
        <v>2</v>
      </c>
      <c r="E917" s="29"/>
      <c r="F917" s="151" t="str">
        <f>IFERROR(VLOOKUP($G917,нормы!$A$14:$BC$57,2,0),"")</f>
        <v/>
      </c>
      <c r="G917" s="93"/>
      <c r="H917" s="54">
        <f>IF(C917=1,"Кульков С.А.", IF(C917=2,"Чудаков А.А.",IF(C917=3,"Королев В.Н.",IF(C917=4,"Николашин М.П.",IF(C917=5," Кульков С.А.",IF(C917=6,"А.А. Чудаков",IF(C917=7,"В.Н. Королев",IF(C917=8,"М.П. Николашин",0))))))))</f>
        <v>0</v>
      </c>
      <c r="I917" s="88" t="s">
        <v>211</v>
      </c>
      <c r="J917" s="332"/>
      <c r="K917" s="30">
        <f>IFERROR(VLOOKUP($G917,[1]нормы!$A$21:$BC$151,15,0),"")</f>
        <v>0</v>
      </c>
      <c r="L917" s="31">
        <f>IFERROR(VLOOKUP($G917,[1]нормы!$A$21:$BC$151,17,0),"")</f>
        <v>0</v>
      </c>
      <c r="M917" s="310">
        <f>IFERROR(VLOOKUP($G917,[1]нормы!$A$21:$BC$151,27,0),"")</f>
        <v>0</v>
      </c>
      <c r="N917" s="311" t="str">
        <f>IFERROR(Y917/Y923*(1.1*J917*I922),"")</f>
        <v/>
      </c>
      <c r="O917" s="300">
        <f>IFERROR(VLOOKUP($G917,[1]нормы!$A$21:$BC$151,21,0),"")</f>
        <v>0</v>
      </c>
      <c r="P917" s="35">
        <f>IFERROR(VLOOKUP($G917,[1]нормы!$A$21:$BC$151,19,0),"")</f>
        <v>0</v>
      </c>
      <c r="Q917" s="35">
        <f>IFERROR(VLOOKUP($G917,[1]нормы!$A$21:$BC$151,23,0),"")</f>
        <v>0</v>
      </c>
      <c r="R917" s="231">
        <f>IFERROR(VLOOKUP($G917,[1]нормы!$A$21:$BC$151,29,0),"")</f>
        <v>0</v>
      </c>
      <c r="S917" s="35">
        <f>IFERROR(VLOOKUP($G917,[1]нормы!$A$21:$BC$151,31,0),"")</f>
        <v>0</v>
      </c>
      <c r="T917" s="32">
        <f>IFERROR(VLOOKUP($G917,[1]нормы!$A$21:$BC$151,25,0),"")</f>
        <v>0</v>
      </c>
      <c r="U917" s="232" t="str">
        <f>IFERROR(W917/(((100*Y917/Y923)*I922)/100),"")</f>
        <v/>
      </c>
      <c r="V917" s="234" t="str">
        <f>IFERROR(VLOOKUP($G917,нормы!$A$14:$BC$57,38,0),"")</f>
        <v/>
      </c>
      <c r="W917" s="136"/>
      <c r="X917" s="236"/>
      <c r="Y917" s="152" t="str">
        <f>IFERROR(VLOOKUP($G917,нормы!$A$14:$BC$57,42,0)*W917,"")</f>
        <v/>
      </c>
      <c r="Z917" s="163">
        <f>IFERROR(VLOOKUP($G917,нормы!$A$14:$BC$57,14,0)*W917/1000,0)</f>
        <v>0</v>
      </c>
      <c r="AA917" s="33"/>
      <c r="AB917" s="36"/>
      <c r="AC917" s="36"/>
      <c r="AD917" s="36"/>
      <c r="AE917" s="34"/>
      <c r="AF917" s="159"/>
      <c r="AG917" s="390"/>
      <c r="AH917" s="393"/>
      <c r="AI917" s="396"/>
      <c r="AJ917" s="407">
        <f>AG917+AH917</f>
        <v>0</v>
      </c>
      <c r="AK917" s="359"/>
      <c r="AL917" s="359"/>
      <c r="AM917" s="359"/>
      <c r="AN917" s="287">
        <f>IFERROR(Y917*AJ917/Y923,)</f>
        <v>0</v>
      </c>
      <c r="AO917" s="197" t="str">
        <f>IFERROR(VLOOKUP($G917,нормы!$A$14:$BC$57,53,0)*$W917,"")</f>
        <v/>
      </c>
      <c r="AP917" s="288">
        <f>IFERROR(Y917*AI917/Y923,)</f>
        <v>0</v>
      </c>
      <c r="AQ917" s="197" t="str">
        <f>IFERROR(VLOOKUP($G917,нормы!$A$14:$BC$57,54,0)*$W917,"")</f>
        <v/>
      </c>
      <c r="AR917" s="288">
        <f>IFERROR(AS917/SUM(AS917:AS922)*AL917,0)</f>
        <v>0</v>
      </c>
      <c r="AS917" s="197" t="str">
        <f>IFERROR(VLOOKUP($G917,нормы!$A$14:$BC$57,55,0)*W917,"")</f>
        <v/>
      </c>
      <c r="AT917" s="288">
        <f>IFERROR(AU917/SUM(AU917:AU922)*AM917,0)</f>
        <v>0</v>
      </c>
      <c r="AU917" s="197" t="str">
        <f>IFERROR(VLOOKUP($G917,нормы!$A$14:$BI$57,56,0)*W917,"")</f>
        <v/>
      </c>
      <c r="AV917" s="288">
        <f>IFERROR(AW917/SUM(AW917:AW922)*AK917,0)</f>
        <v>0</v>
      </c>
      <c r="AW917" s="202" t="str">
        <f>IFERROR(VLOOKUP($G917,нормы!$A$14:$BI$57,57,0)*W917,"")</f>
        <v/>
      </c>
      <c r="AX917" s="33"/>
      <c r="AY917" s="203" t="str">
        <f>IFERROR(VLOOKUP($G917,нормы!$A$14:$BI$57,58,0)*W917,"")</f>
        <v/>
      </c>
      <c r="AZ917" s="204"/>
      <c r="BA917" s="200" t="str">
        <f>IFERROR(VLOOKUP($G917,нормы!$A$14:$BI$57,61,0)*$W917,"")</f>
        <v/>
      </c>
      <c r="BB917" s="33"/>
      <c r="BC917" s="203" t="str">
        <f>IFERROR(VLOOKUP($G917,нормы!$A$14:$BI$57,60,0)*W917,"")</f>
        <v/>
      </c>
      <c r="BD917" s="200" t="str">
        <f>IFERROR(VLOOKUP($G917,нормы!$A$14:$BG$57,44,0),"")</f>
        <v/>
      </c>
      <c r="BE917" s="199" t="str">
        <f>IFERROR(W917/VLOOKUP($G917,нормы!$A$14:$BI$57,45,0),"")</f>
        <v/>
      </c>
    </row>
    <row r="918" spans="1:57" s="1" customFormat="1" ht="21.6" customHeight="1" x14ac:dyDescent="0.4">
      <c r="A918" s="37" t="str">
        <f t="shared" si="362"/>
        <v>15Н</v>
      </c>
      <c r="B918" s="12">
        <f t="shared" ref="B918:D922" si="365">B917</f>
        <v>46037</v>
      </c>
      <c r="C918" s="97">
        <f t="shared" si="365"/>
        <v>0</v>
      </c>
      <c r="D918" s="97">
        <f t="shared" si="365"/>
        <v>2</v>
      </c>
      <c r="E918" s="54"/>
      <c r="F918" s="151" t="str">
        <f>IFERROR(VLOOKUP($G918,нормы!$A$14:$BC$57,2,0),"")</f>
        <v/>
      </c>
      <c r="G918" s="93"/>
      <c r="H918" s="54">
        <f t="shared" ref="H918:H922" si="366">IF(C918=1,"Кульков С.А.", IF(C918=2,"Чудаков А.А.",IF(C918=3,"Королев В.Н.",IF(C918=4,"Николашин М.П.",IF(C918=5," Кульков С.А.",IF(C918=6,"А.А. Чудаков",IF(C918=7,"В.Н. Королев",IF(C918=8,"М.П. Николашин",0))))))))</f>
        <v>0</v>
      </c>
      <c r="I918" s="55"/>
      <c r="J918" s="333"/>
      <c r="K918" s="30">
        <f>IFERROR(VLOOKUP($G918,[1]нормы!$A$21:$BC$151,15,0),"")</f>
        <v>0</v>
      </c>
      <c r="L918" s="31">
        <f>IFERROR(VLOOKUP($G918,[1]нормы!$A$21:$BC$151,17,0),"")</f>
        <v>0</v>
      </c>
      <c r="M918" s="306">
        <f>IFERROR(VLOOKUP($G918,[1]нормы!$A$21:$BC$151,27,0),"")</f>
        <v>0</v>
      </c>
      <c r="N918" s="307" t="str">
        <f>IFERROR(Y918/Y923*(1.1*J917*I922),"")</f>
        <v/>
      </c>
      <c r="O918" s="300">
        <f>IFERROR(VLOOKUP($G918,[1]нормы!$A$21:$BC$151,21,0),"")</f>
        <v>0</v>
      </c>
      <c r="P918" s="35">
        <f>IFERROR(VLOOKUP($G918,[1]нормы!$A$21:$BC$151,19,0),"")</f>
        <v>0</v>
      </c>
      <c r="Q918" s="35">
        <f>IFERROR(VLOOKUP($G918,[1]нормы!$A$21:$BC$151,23,0),"")</f>
        <v>0</v>
      </c>
      <c r="R918" s="231">
        <f>IFERROR(VLOOKUP($G918,[1]нормы!$A$21:$BC$151,29,0),"")</f>
        <v>0</v>
      </c>
      <c r="S918" s="35">
        <f>IFERROR(VLOOKUP($G918,[1]нормы!$A$21:$BC$151,31,0),"")</f>
        <v>0</v>
      </c>
      <c r="T918" s="32">
        <f>IFERROR(VLOOKUP($G918,[1]нормы!$A$21:$BC$151,25,0),"")</f>
        <v>0</v>
      </c>
      <c r="U918" s="233" t="str">
        <f>IFERROR(W918/(((100*Y918/Y923)*I922)/100),"")</f>
        <v/>
      </c>
      <c r="V918" s="234" t="str">
        <f>IFERROR(VLOOKUP($G918,нормы!$A$14:$BC$57,38,0),"")</f>
        <v/>
      </c>
      <c r="W918" s="136"/>
      <c r="X918" s="237"/>
      <c r="Y918" s="152" t="str">
        <f>IFERROR(VLOOKUP($G918,нормы!$A$14:$BC$57,42,0)*W918,"")</f>
        <v/>
      </c>
      <c r="Z918" s="163">
        <f>IFERROR(VLOOKUP($G918,нормы!$A$14:$BC$57,14,0)*W918/1000,0)</f>
        <v>0</v>
      </c>
      <c r="AA918" s="142"/>
      <c r="AB918" s="35"/>
      <c r="AC918" s="35"/>
      <c r="AD918" s="35"/>
      <c r="AE918" s="31"/>
      <c r="AF918" s="160"/>
      <c r="AG918" s="391"/>
      <c r="AH918" s="394"/>
      <c r="AI918" s="397"/>
      <c r="AJ918" s="408"/>
      <c r="AK918" s="360"/>
      <c r="AL918" s="360"/>
      <c r="AM918" s="360"/>
      <c r="AN918" s="289">
        <f>IFERROR(Y918*AJ917/Y923,)</f>
        <v>0</v>
      </c>
      <c r="AO918" s="197" t="str">
        <f>IFERROR(VLOOKUP($G918,нормы!$A$14:$BC$57,53,0)*$W918,"")</f>
        <v/>
      </c>
      <c r="AP918" s="290">
        <f>IFERROR(Y918*AI917/Y923,)</f>
        <v>0</v>
      </c>
      <c r="AQ918" s="197" t="str">
        <f>IFERROR(VLOOKUP($G918,нормы!$A$14:$BC$57,54,0)*$W918,"")</f>
        <v/>
      </c>
      <c r="AR918" s="290">
        <f>IFERROR(AS918/SUM(AS917:AS922)*AL917,0)</f>
        <v>0</v>
      </c>
      <c r="AS918" s="197" t="str">
        <f>IFERROR(VLOOKUP($G918,нормы!$A$14:$BC$57,55,0)*W918,"")</f>
        <v/>
      </c>
      <c r="AT918" s="290">
        <f>IFERROR(AU918/SUM(AU917:AU922)*AM917,0)</f>
        <v>0</v>
      </c>
      <c r="AU918" s="197" t="str">
        <f>IFERROR(VLOOKUP($G918,нормы!$A$14:$BI$57,56,0)*W918,"")</f>
        <v/>
      </c>
      <c r="AV918" s="290">
        <f>IFERROR(AW918/SUM(AW917:AW922)*AK917,0)</f>
        <v>0</v>
      </c>
      <c r="AW918" s="202" t="str">
        <f>IFERROR(VLOOKUP($G918,нормы!$A$14:$BI$57,57,0)*W918,"")</f>
        <v/>
      </c>
      <c r="AX918" s="30"/>
      <c r="AY918" s="203" t="str">
        <f>IFERROR(VLOOKUP($G918,нормы!$A$14:$BI$57,58,0)*W918,"")</f>
        <v/>
      </c>
      <c r="AZ918" s="205"/>
      <c r="BA918" s="200" t="str">
        <f>IFERROR(VLOOKUP($G918,нормы!$A$14:$BI$57,61,0)*$W918,"")</f>
        <v/>
      </c>
      <c r="BB918" s="30"/>
      <c r="BC918" s="203" t="str">
        <f>IFERROR(VLOOKUP($G918,нормы!$A$14:$BI$57,60,0)*W918,"")</f>
        <v/>
      </c>
      <c r="BD918" s="200" t="str">
        <f>IFERROR(VLOOKUP($G918,нормы!$A$14:$BG$57,44,0),"")</f>
        <v/>
      </c>
      <c r="BE918" s="199" t="str">
        <f>IFERROR(W918/VLOOKUP($G918,нормы!$A$14:$BI$57,45,0),"")</f>
        <v/>
      </c>
    </row>
    <row r="919" spans="1:57" s="1" customFormat="1" ht="20.25" customHeight="1" x14ac:dyDescent="0.4">
      <c r="A919" s="37" t="str">
        <f t="shared" si="362"/>
        <v>15Н</v>
      </c>
      <c r="B919" s="12">
        <f t="shared" si="365"/>
        <v>46037</v>
      </c>
      <c r="C919" s="97">
        <f t="shared" si="365"/>
        <v>0</v>
      </c>
      <c r="D919" s="97">
        <f t="shared" si="365"/>
        <v>2</v>
      </c>
      <c r="E919" s="54"/>
      <c r="F919" s="151" t="str">
        <f>IFERROR(VLOOKUP($G919,нормы!$A$14:$BC$57,2,0),"")</f>
        <v/>
      </c>
      <c r="G919" s="38"/>
      <c r="H919" s="54">
        <f t="shared" si="366"/>
        <v>0</v>
      </c>
      <c r="I919" s="89" t="s">
        <v>212</v>
      </c>
      <c r="J919" s="333"/>
      <c r="K919" s="30">
        <f>IFERROR(VLOOKUP($G919,[1]нормы!$A$21:$BC$151,15,0),"")</f>
        <v>0</v>
      </c>
      <c r="L919" s="31">
        <f>IFERROR(VLOOKUP($G919,[1]нормы!$A$21:$BC$151,17,0),"")</f>
        <v>0</v>
      </c>
      <c r="M919" s="306">
        <f>IFERROR(VLOOKUP($G919,[1]нормы!$A$21:$BC$151,27,0),"")</f>
        <v>0</v>
      </c>
      <c r="N919" s="307" t="str">
        <f>IFERROR(Y919/Y923*(1.1*J917*I922),"")</f>
        <v/>
      </c>
      <c r="O919" s="300">
        <f>IFERROR(VLOOKUP($G919,[1]нормы!$A$21:$BC$151,21,0),"")</f>
        <v>0</v>
      </c>
      <c r="P919" s="35">
        <f>IFERROR(VLOOKUP($G919,[1]нормы!$A$21:$BC$151,19,0),"")</f>
        <v>0</v>
      </c>
      <c r="Q919" s="35">
        <f>IFERROR(VLOOKUP($G919,[1]нормы!$A$21:$BC$151,23,0),"")</f>
        <v>0</v>
      </c>
      <c r="R919" s="231">
        <f>IFERROR(VLOOKUP($G919,[1]нормы!$A$21:$BC$151,29,0),"")</f>
        <v>0</v>
      </c>
      <c r="S919" s="35">
        <f>IFERROR(VLOOKUP($G919,[1]нормы!$A$21:$BC$151,31,0),"")</f>
        <v>0</v>
      </c>
      <c r="T919" s="32">
        <f>IFERROR(VLOOKUP($G919,[1]нормы!$A$21:$BC$151,25,0),"")</f>
        <v>0</v>
      </c>
      <c r="U919" s="233" t="str">
        <f>IFERROR(W919/(((100*Y919/Y923)*I922)/100),"")</f>
        <v/>
      </c>
      <c r="V919" s="234" t="str">
        <f>IFERROR(VLOOKUP($G919,нормы!$A$14:$BC$57,38,0),"")</f>
        <v/>
      </c>
      <c r="W919" s="136"/>
      <c r="X919" s="237"/>
      <c r="Y919" s="152" t="str">
        <f>IFERROR(VLOOKUP($G919,нормы!$A$14:$BC$57,42,0)*W919,"")</f>
        <v/>
      </c>
      <c r="Z919" s="163">
        <f>IFERROR(VLOOKUP($G919,нормы!$A$14:$BC$57,14,0)*W919/1000,0)</f>
        <v>0</v>
      </c>
      <c r="AA919" s="30"/>
      <c r="AB919" s="35"/>
      <c r="AC919" s="35"/>
      <c r="AD919" s="35"/>
      <c r="AE919" s="31"/>
      <c r="AF919" s="160"/>
      <c r="AG919" s="391"/>
      <c r="AH919" s="394"/>
      <c r="AI919" s="397"/>
      <c r="AJ919" s="408"/>
      <c r="AK919" s="360"/>
      <c r="AL919" s="360"/>
      <c r="AM919" s="360"/>
      <c r="AN919" s="289">
        <f>IFERROR(Y919*AJ917/Y923,)</f>
        <v>0</v>
      </c>
      <c r="AO919" s="197" t="str">
        <f>IFERROR(VLOOKUP($G919,нормы!$A$14:$BC$57,53,0)*$W919,"")</f>
        <v/>
      </c>
      <c r="AP919" s="290">
        <f>IFERROR(Y919*AI917/Y923,)</f>
        <v>0</v>
      </c>
      <c r="AQ919" s="197" t="str">
        <f>IFERROR(VLOOKUP($G919,нормы!$A$14:$BC$57,54,0)*$W919,"")</f>
        <v/>
      </c>
      <c r="AR919" s="290">
        <f>IFERROR(AS919/SUM(AS917:AS922)*AL917,0)</f>
        <v>0</v>
      </c>
      <c r="AS919" s="197" t="str">
        <f>IFERROR(VLOOKUP($G919,нормы!$A$14:$BC$57,55,0)*W919,"")</f>
        <v/>
      </c>
      <c r="AT919" s="290">
        <f>IFERROR(AU919/SUM(AU917:AU922)*AM917,0)</f>
        <v>0</v>
      </c>
      <c r="AU919" s="197" t="str">
        <f>IFERROR(VLOOKUP($G919,нормы!$A$14:$BI$57,56,0)*W919,"")</f>
        <v/>
      </c>
      <c r="AV919" s="290">
        <f>IFERROR(AW919/SUM(AW917:AW922)*AK917,0)</f>
        <v>0</v>
      </c>
      <c r="AW919" s="202" t="str">
        <f>IFERROR(VLOOKUP($G919,нормы!$A$14:$BI$57,57,0)*W919,"")</f>
        <v/>
      </c>
      <c r="AX919" s="30"/>
      <c r="AY919" s="203" t="str">
        <f>IFERROR(VLOOKUP($G919,нормы!$A$14:$BI$57,58,0)*W919,"")</f>
        <v/>
      </c>
      <c r="AZ919" s="205"/>
      <c r="BA919" s="200" t="str">
        <f>IFERROR(VLOOKUP($G919,нормы!$A$14:$BI$57,61,0)*$W919,"")</f>
        <v/>
      </c>
      <c r="BB919" s="30"/>
      <c r="BC919" s="203" t="str">
        <f>IFERROR(VLOOKUP($G919,нормы!$A$14:$BI$57,60,0)*W919,"")</f>
        <v/>
      </c>
      <c r="BD919" s="200" t="str">
        <f>IFERROR(VLOOKUP($G919,нормы!$A$14:$BG$57,44,0),"")</f>
        <v/>
      </c>
      <c r="BE919" s="199" t="str">
        <f>IFERROR(W919/VLOOKUP($G919,нормы!$A$14:$BI$57,45,0),"")</f>
        <v/>
      </c>
    </row>
    <row r="920" spans="1:57" s="1" customFormat="1" ht="20.25" customHeight="1" x14ac:dyDescent="0.4">
      <c r="A920" s="37" t="str">
        <f t="shared" si="362"/>
        <v>15Н</v>
      </c>
      <c r="B920" s="12">
        <f t="shared" si="365"/>
        <v>46037</v>
      </c>
      <c r="C920" s="97">
        <f t="shared" si="365"/>
        <v>0</v>
      </c>
      <c r="D920" s="97">
        <f t="shared" si="365"/>
        <v>2</v>
      </c>
      <c r="E920" s="54"/>
      <c r="F920" s="151" t="str">
        <f>IFERROR(VLOOKUP($G920,нормы!$A$14:$BC$57,2,0),"")</f>
        <v/>
      </c>
      <c r="G920" s="93"/>
      <c r="H920" s="54">
        <f t="shared" si="366"/>
        <v>0</v>
      </c>
      <c r="I920" s="55"/>
      <c r="J920" s="333"/>
      <c r="K920" s="30">
        <f>IFERROR(VLOOKUP($G920,[1]нормы!$A$21:$BC$151,15,0),"")</f>
        <v>0</v>
      </c>
      <c r="L920" s="31">
        <f>IFERROR(VLOOKUP($G920,[1]нормы!$A$21:$BC$151,17,0),"")</f>
        <v>0</v>
      </c>
      <c r="M920" s="306">
        <f>IFERROR(VLOOKUP($G920,[1]нормы!$A$21:$BC$151,27,0),"")</f>
        <v>0</v>
      </c>
      <c r="N920" s="307" t="str">
        <f>IFERROR(Y920/Y923*(1.1*J917*I925),"")</f>
        <v/>
      </c>
      <c r="O920" s="300">
        <f>IFERROR(VLOOKUP($G920,[1]нормы!$A$21:$BC$151,21,0),"")</f>
        <v>0</v>
      </c>
      <c r="P920" s="35">
        <f>IFERROR(VLOOKUP($G920,[1]нормы!$A$21:$BC$151,19,0),"")</f>
        <v>0</v>
      </c>
      <c r="Q920" s="35">
        <f>IFERROR(VLOOKUP($G920,[1]нормы!$A$21:$BC$151,23,0),"")</f>
        <v>0</v>
      </c>
      <c r="R920" s="231">
        <f>IFERROR(VLOOKUP($G920,[1]нормы!$A$21:$BC$151,29,0),"")</f>
        <v>0</v>
      </c>
      <c r="S920" s="35">
        <f>IFERROR(VLOOKUP($G920,[1]нормы!$A$21:$BC$151,31,0),"")</f>
        <v>0</v>
      </c>
      <c r="T920" s="32">
        <f>IFERROR(VLOOKUP($G920,[1]нормы!$A$21:$BC$151,25,0),"")</f>
        <v>0</v>
      </c>
      <c r="U920" s="233" t="str">
        <f>IFERROR(W920/(((100*Y920/Y923)*I922)/100),"")</f>
        <v/>
      </c>
      <c r="V920" s="234" t="str">
        <f>IFERROR(VLOOKUP($G920,нормы!$A$14:$BC$57,38,0),"")</f>
        <v/>
      </c>
      <c r="W920" s="136"/>
      <c r="X920" s="237"/>
      <c r="Y920" s="152" t="str">
        <f>IFERROR(VLOOKUP($G920,нормы!$A$14:$BC$57,42,0)*W920,"")</f>
        <v/>
      </c>
      <c r="Z920" s="163">
        <f>IFERROR(VLOOKUP($G920,нормы!$A$14:$BC$57,14,0)*W920/1000,0)</f>
        <v>0</v>
      </c>
      <c r="AA920" s="30"/>
      <c r="AB920" s="35"/>
      <c r="AC920" s="35"/>
      <c r="AD920" s="35"/>
      <c r="AE920" s="31"/>
      <c r="AF920" s="160"/>
      <c r="AG920" s="391"/>
      <c r="AH920" s="394"/>
      <c r="AI920" s="397"/>
      <c r="AJ920" s="408"/>
      <c r="AK920" s="360"/>
      <c r="AL920" s="360"/>
      <c r="AM920" s="360"/>
      <c r="AN920" s="289">
        <f>IFERROR(Y920*AJ917/Y923,)</f>
        <v>0</v>
      </c>
      <c r="AO920" s="197" t="str">
        <f>IFERROR(VLOOKUP($G920,нормы!$A$14:$BC$57,53,0)*$W920,"")</f>
        <v/>
      </c>
      <c r="AP920" s="290">
        <f>IFERROR(Y920*AI917/Y923,)</f>
        <v>0</v>
      </c>
      <c r="AQ920" s="197" t="str">
        <f>IFERROR(VLOOKUP($G920,нормы!$A$14:$BC$57,54,0)*$W920,"")</f>
        <v/>
      </c>
      <c r="AR920" s="290">
        <f>IFERROR(AS920/SUM(AS917:AS922)*AL917,0)</f>
        <v>0</v>
      </c>
      <c r="AS920" s="197" t="str">
        <f>IFERROR(VLOOKUP($G920,нормы!$A$14:$BC$57,55,0)*W920,"")</f>
        <v/>
      </c>
      <c r="AT920" s="290">
        <f>IFERROR(AU920/SUM(AU917:AU922)*AM917,0)</f>
        <v>0</v>
      </c>
      <c r="AU920" s="197" t="str">
        <f>IFERROR(VLOOKUP($G920,нормы!$A$14:$BI$57,56,0)*W920,"")</f>
        <v/>
      </c>
      <c r="AV920" s="290">
        <f>IFERROR(AW920/SUM(AW917:AW922)*AK917,0)</f>
        <v>0</v>
      </c>
      <c r="AW920" s="202" t="str">
        <f>IFERROR(VLOOKUP($G920,нормы!$A$14:$BI$57,57,0)*W920,"")</f>
        <v/>
      </c>
      <c r="AX920" s="30"/>
      <c r="AY920" s="203" t="str">
        <f>IFERROR(VLOOKUP($G920,нормы!$A$14:$BI$57,58,0)*W920,"")</f>
        <v/>
      </c>
      <c r="AZ920" s="205"/>
      <c r="BA920" s="200" t="str">
        <f>IFERROR(VLOOKUP($G920,нормы!$A$14:$BI$57,61,0)*$W920,"")</f>
        <v/>
      </c>
      <c r="BB920" s="30"/>
      <c r="BC920" s="203" t="str">
        <f>IFERROR(VLOOKUP($G920,нормы!$A$14:$BI$57,60,0)*W920,"")</f>
        <v/>
      </c>
      <c r="BD920" s="200" t="str">
        <f>IFERROR(VLOOKUP($G920,нормы!$A$14:$BG$57,44,0),"")</f>
        <v/>
      </c>
      <c r="BE920" s="199" t="str">
        <f>IFERROR(W920/VLOOKUP($G920,нормы!$A$14:$BI$57,45,0),"")</f>
        <v/>
      </c>
    </row>
    <row r="921" spans="1:57" s="1" customFormat="1" ht="20.25" customHeight="1" x14ac:dyDescent="0.4">
      <c r="A921" s="37" t="str">
        <f t="shared" si="362"/>
        <v>15Н</v>
      </c>
      <c r="B921" s="12">
        <f t="shared" si="365"/>
        <v>46037</v>
      </c>
      <c r="C921" s="97">
        <f t="shared" si="365"/>
        <v>0</v>
      </c>
      <c r="D921" s="97">
        <f t="shared" si="365"/>
        <v>2</v>
      </c>
      <c r="E921" s="54"/>
      <c r="F921" s="151" t="str">
        <f>IFERROR(VLOOKUP($G921,нормы!$A$14:$BC$57,2,0),"")</f>
        <v/>
      </c>
      <c r="G921" s="38"/>
      <c r="H921" s="54">
        <f t="shared" si="366"/>
        <v>0</v>
      </c>
      <c r="I921" s="89" t="s">
        <v>73</v>
      </c>
      <c r="J921" s="333"/>
      <c r="K921" s="30">
        <f>IFERROR(VLOOKUP($G921,[1]нормы!$A$21:$BC$151,15,0),"")</f>
        <v>0</v>
      </c>
      <c r="L921" s="31">
        <f>IFERROR(VLOOKUP($G921,[1]нормы!$A$21:$BC$151,17,0),"")</f>
        <v>0</v>
      </c>
      <c r="M921" s="306">
        <f>IFERROR(VLOOKUP($G921,[1]нормы!$A$21:$BC$151,27,0),"")</f>
        <v>0</v>
      </c>
      <c r="N921" s="307" t="str">
        <f>IFERROR(Y921/Y923*(1.1*J917*I926),"")</f>
        <v/>
      </c>
      <c r="O921" s="300">
        <f>IFERROR(VLOOKUP($G921,[1]нормы!$A$21:$BC$151,21,0),"")</f>
        <v>0</v>
      </c>
      <c r="P921" s="35">
        <f>IFERROR(VLOOKUP($G921,[1]нормы!$A$21:$BC$151,19,0),"")</f>
        <v>0</v>
      </c>
      <c r="Q921" s="35">
        <f>IFERROR(VLOOKUP($G921,[1]нормы!$A$21:$BC$151,23,0),"")</f>
        <v>0</v>
      </c>
      <c r="R921" s="231">
        <f>IFERROR(VLOOKUP($G921,[1]нормы!$A$21:$BC$151,29,0),"")</f>
        <v>0</v>
      </c>
      <c r="S921" s="35">
        <f>IFERROR(VLOOKUP($G921,[1]нормы!$A$21:$BC$151,31,0),"")</f>
        <v>0</v>
      </c>
      <c r="T921" s="32">
        <f>IFERROR(VLOOKUP($G921,[1]нормы!$A$21:$BC$151,25,0),"")</f>
        <v>0</v>
      </c>
      <c r="U921" s="233" t="str">
        <f>IFERROR(W921/(((100*Y921/Y923)*I922)/100),"")</f>
        <v/>
      </c>
      <c r="V921" s="234" t="str">
        <f>IFERROR(VLOOKUP($G921,нормы!$A$14:$BC$57,38,0),"")</f>
        <v/>
      </c>
      <c r="W921" s="136"/>
      <c r="X921" s="237"/>
      <c r="Y921" s="152" t="str">
        <f>IFERROR(VLOOKUP($G921,нормы!$A$14:$BC$57,42,0)*W921,"")</f>
        <v/>
      </c>
      <c r="Z921" s="163">
        <f>IFERROR(VLOOKUP($G921,нормы!$A$14:$BC$57,14,0)*W921/1000,0)</f>
        <v>0</v>
      </c>
      <c r="AA921" s="30"/>
      <c r="AB921" s="35"/>
      <c r="AC921" s="35"/>
      <c r="AD921" s="35"/>
      <c r="AE921" s="31"/>
      <c r="AF921" s="160"/>
      <c r="AG921" s="391"/>
      <c r="AH921" s="394"/>
      <c r="AI921" s="397"/>
      <c r="AJ921" s="408"/>
      <c r="AK921" s="360"/>
      <c r="AL921" s="360"/>
      <c r="AM921" s="360"/>
      <c r="AN921" s="289">
        <f>IFERROR(Y921*AJ917/Y923,)</f>
        <v>0</v>
      </c>
      <c r="AO921" s="197" t="str">
        <f>IFERROR(VLOOKUP($G921,нормы!$A$14:$BC$57,53,0)*$W921,"")</f>
        <v/>
      </c>
      <c r="AP921" s="290">
        <f>IFERROR(Y921*AI917/Y923,)</f>
        <v>0</v>
      </c>
      <c r="AQ921" s="197" t="str">
        <f>IFERROR(VLOOKUP($G921,нормы!$A$14:$BC$57,54,0)*$W921,"")</f>
        <v/>
      </c>
      <c r="AR921" s="290">
        <f>IFERROR(AS921/SUM(AS917:AS922)*AL917,0)</f>
        <v>0</v>
      </c>
      <c r="AS921" s="197" t="str">
        <f>IFERROR(VLOOKUP($G921,нормы!$A$14:$BC$57,55,0)*W921,"")</f>
        <v/>
      </c>
      <c r="AT921" s="290">
        <f>IFERROR(AU921/SUM(AU917:AU922)*AM917,0)</f>
        <v>0</v>
      </c>
      <c r="AU921" s="197" t="str">
        <f>IFERROR(VLOOKUP($G921,нормы!$A$14:$BI$57,56,0)*W921,"")</f>
        <v/>
      </c>
      <c r="AV921" s="290">
        <f>IFERROR(AW921/SUM(AW917:AW922)*AK917,0)</f>
        <v>0</v>
      </c>
      <c r="AW921" s="202" t="str">
        <f>IFERROR(VLOOKUP($G921,нормы!$A$14:$BI$57,57,0)*W921,"")</f>
        <v/>
      </c>
      <c r="AX921" s="30"/>
      <c r="AY921" s="203" t="str">
        <f>IFERROR(VLOOKUP($G921,нормы!$A$14:$BI$57,58,0)*W921,"")</f>
        <v/>
      </c>
      <c r="AZ921" s="205"/>
      <c r="BA921" s="200" t="str">
        <f>IFERROR(VLOOKUP($G921,нормы!$A$14:$BI$57,61,0)*$W921,"")</f>
        <v/>
      </c>
      <c r="BB921" s="30"/>
      <c r="BC921" s="203" t="str">
        <f>IFERROR(VLOOKUP($G921,нормы!$A$14:$BI$57,60,0)*W921,"")</f>
        <v/>
      </c>
      <c r="BD921" s="200" t="str">
        <f>IFERROR(VLOOKUP($G921,нормы!$A$14:$BG$57,44,0),"")</f>
        <v/>
      </c>
      <c r="BE921" s="199" t="str">
        <f>IFERROR(W921/VLOOKUP($G921,нормы!$A$14:$BI$57,45,0),"")</f>
        <v/>
      </c>
    </row>
    <row r="922" spans="1:57" s="1" customFormat="1" ht="21" customHeight="1" thickBot="1" x14ac:dyDescent="0.45">
      <c r="A922" s="37" t="str">
        <f t="shared" si="362"/>
        <v>15Н</v>
      </c>
      <c r="B922" s="12">
        <f t="shared" si="365"/>
        <v>46037</v>
      </c>
      <c r="C922" s="97">
        <f t="shared" si="365"/>
        <v>0</v>
      </c>
      <c r="D922" s="97">
        <f t="shared" si="365"/>
        <v>2</v>
      </c>
      <c r="E922" s="54"/>
      <c r="F922" s="151" t="str">
        <f>IFERROR(VLOOKUP($G922,нормы!$A$14:$BC$57,2,0),"")</f>
        <v/>
      </c>
      <c r="G922" s="93"/>
      <c r="H922" s="63">
        <f t="shared" si="366"/>
        <v>0</v>
      </c>
      <c r="I922" s="153">
        <f>I918+I920</f>
        <v>0</v>
      </c>
      <c r="J922" s="334"/>
      <c r="K922" s="30">
        <f>IFERROR(VLOOKUP($G922,[1]нормы!$A$21:$BC$151,15,0),"")</f>
        <v>0</v>
      </c>
      <c r="L922" s="31">
        <f>IFERROR(VLOOKUP($G922,[1]нормы!$A$21:$BC$151,17,0),"")</f>
        <v>0</v>
      </c>
      <c r="M922" s="308">
        <f>IFERROR(VLOOKUP($G922,[1]нормы!$A$21:$BC$151,27,0),"")</f>
        <v>0</v>
      </c>
      <c r="N922" s="309" t="str">
        <f>IFERROR(Y922/Y923*(1.1*J917*I927),"")</f>
        <v/>
      </c>
      <c r="O922" s="300">
        <f>IFERROR(VLOOKUP($G922,[1]нормы!$A$21:$BC$151,21,0),"")</f>
        <v>0</v>
      </c>
      <c r="P922" s="35">
        <f>IFERROR(VLOOKUP($G922,[1]нормы!$A$21:$BC$151,19,0),"")</f>
        <v>0</v>
      </c>
      <c r="Q922" s="35">
        <f>IFERROR(VLOOKUP($G922,[1]нормы!$A$21:$BC$151,23,0),"")</f>
        <v>0</v>
      </c>
      <c r="R922" s="231">
        <f>IFERROR(VLOOKUP($G922,[1]нормы!$A$21:$BC$151,29,0),"")</f>
        <v>0</v>
      </c>
      <c r="S922" s="35">
        <f>IFERROR(VLOOKUP($G922,[1]нормы!$A$21:$BC$151,31,0),"")</f>
        <v>0</v>
      </c>
      <c r="T922" s="32">
        <f>IFERROR(VLOOKUP($G922,[1]нормы!$A$21:$BC$151,25,0),"")</f>
        <v>0</v>
      </c>
      <c r="U922" s="235" t="str">
        <f>IFERROR(W922/(((100*Y922/Y923)*I922)/100),"")</f>
        <v/>
      </c>
      <c r="V922" s="234" t="str">
        <f>IFERROR(VLOOKUP($G922,нормы!$A$14:$BC$57,38,0),"")</f>
        <v/>
      </c>
      <c r="W922" s="154"/>
      <c r="X922" s="238"/>
      <c r="Y922" s="152" t="str">
        <f>IFERROR(VLOOKUP($G922,нормы!$A$14:$BC$57,42,0)*W922,"")</f>
        <v/>
      </c>
      <c r="Z922" s="163">
        <f>IFERROR(VLOOKUP($G922,нормы!$A$14:$BC$57,14,0)*W922/1000,0)</f>
        <v>0</v>
      </c>
      <c r="AA922" s="56"/>
      <c r="AB922" s="58"/>
      <c r="AC922" s="58"/>
      <c r="AD922" s="58"/>
      <c r="AE922" s="57"/>
      <c r="AF922" s="161"/>
      <c r="AG922" s="392"/>
      <c r="AH922" s="395"/>
      <c r="AI922" s="398"/>
      <c r="AJ922" s="409"/>
      <c r="AK922" s="361"/>
      <c r="AL922" s="361"/>
      <c r="AM922" s="361"/>
      <c r="AN922" s="291">
        <f>IFERROR(Y922*AJ917/Y923,)</f>
        <v>0</v>
      </c>
      <c r="AO922" s="197" t="str">
        <f>IFERROR(VLOOKUP($G922,нормы!$A$14:$BC$57,53,0)*$W922,"")</f>
        <v/>
      </c>
      <c r="AP922" s="292">
        <f>IFERROR(Y922*AI917/Y923,)</f>
        <v>0</v>
      </c>
      <c r="AQ922" s="197" t="str">
        <f>IFERROR(VLOOKUP($G922,нормы!$A$14:$BC$57,54,0)*$W922,"")</f>
        <v/>
      </c>
      <c r="AR922" s="290">
        <f>IFERROR(AS922/SUM(AS917:AS922)*AL917,0)</f>
        <v>0</v>
      </c>
      <c r="AS922" s="197" t="str">
        <f>IFERROR(VLOOKUP($G922,нормы!$A$14:$BC$57,55,0)*W922,"")</f>
        <v/>
      </c>
      <c r="AT922" s="292">
        <f>IFERROR(AU922/SUM(AU917:AU922)*AM917,0)</f>
        <v>0</v>
      </c>
      <c r="AU922" s="197" t="str">
        <f>IFERROR(VLOOKUP($G922,нормы!$A$14:$BI$57,56,0)*W922,"")</f>
        <v/>
      </c>
      <c r="AV922" s="292">
        <f>IFERROR(AW922/SUM(AW917:AW922)*AK917,0)</f>
        <v>0</v>
      </c>
      <c r="AW922" s="202" t="str">
        <f>IFERROR(VLOOKUP($G922,нормы!$A$14:$BI$57,57,0)*W922,"")</f>
        <v/>
      </c>
      <c r="AX922" s="56"/>
      <c r="AY922" s="203" t="str">
        <f>IFERROR(VLOOKUP($G922,нормы!$A$14:$BI$57,58,0)*W922,"")</f>
        <v/>
      </c>
      <c r="AZ922" s="206"/>
      <c r="BA922" s="200" t="str">
        <f>IFERROR(VLOOKUP($G922,нормы!$A$14:$BI$57,61,0)*$W922,"")</f>
        <v/>
      </c>
      <c r="BB922" s="56"/>
      <c r="BC922" s="203" t="str">
        <f>IFERROR(VLOOKUP($G922,нормы!$A$14:$BI$57,60,0)*W922,"")</f>
        <v/>
      </c>
      <c r="BD922" s="200" t="str">
        <f>IFERROR(VLOOKUP($G922,нормы!$A$14:$BG$57,44,0),"")</f>
        <v/>
      </c>
      <c r="BE922" s="199" t="str">
        <f>IFERROR(W922/VLOOKUP($G922,нормы!$A$14:$BI$57,45,0),"")</f>
        <v/>
      </c>
    </row>
    <row r="923" spans="1:57" s="1" customFormat="1" ht="29.4" customHeight="1" thickBot="1" x14ac:dyDescent="0.45">
      <c r="A923" s="37" t="str">
        <f t="shared" si="362"/>
        <v>15Н</v>
      </c>
      <c r="B923" s="59"/>
      <c r="C923" s="51"/>
      <c r="D923" s="51"/>
      <c r="E923" s="51"/>
      <c r="F923" s="51"/>
      <c r="G923" s="51"/>
      <c r="H923" s="51"/>
      <c r="I923" s="60"/>
      <c r="J923" s="60"/>
      <c r="K923" s="319" t="s">
        <v>213</v>
      </c>
      <c r="L923" s="316"/>
      <c r="M923" s="303" t="s">
        <v>213</v>
      </c>
      <c r="N923" s="317">
        <f>SUM(N917:N922)</f>
        <v>0</v>
      </c>
      <c r="O923" s="304" t="s">
        <v>217</v>
      </c>
      <c r="P923" s="318">
        <f>N923*8.937/1000</f>
        <v>0</v>
      </c>
      <c r="Q923" s="305" t="s">
        <v>215</v>
      </c>
      <c r="R923" s="61"/>
      <c r="S923" s="61"/>
      <c r="T923" s="61"/>
      <c r="U923" s="109"/>
      <c r="V923" s="109"/>
      <c r="W923" s="94"/>
      <c r="X923" s="155"/>
      <c r="Y923" s="96">
        <f>SUM(Y917:Y922)</f>
        <v>0</v>
      </c>
      <c r="Z923" s="164">
        <f>SUM(Z917:Z922)</f>
        <v>0</v>
      </c>
      <c r="AA923" s="207">
        <f>(AA909+AA910+AA911+AA912+AA913+AA914+AA915+AA917+AA918+AA919+AA920+AA921+AA922)-AG910</f>
        <v>1</v>
      </c>
      <c r="AB923" s="208">
        <f>(AB909+AB910+AB911+AB912+AB913+AB914+AB915+AB917+AB918+AB919+AB920+AB921+AB922)-AH910</f>
        <v>2</v>
      </c>
      <c r="AC923" s="208">
        <f>(AC909+AC910+AC911+AC912+AC913+AC914+AC915+AC917+AC918+AC919+AC920+AC921+AC922)-AG917</f>
        <v>3</v>
      </c>
      <c r="AD923" s="208">
        <f>(AD909+AD910+AD911+AD912+AD913+AD914+AD915+AD917+AD918+AD919+AD920+AD921+AD922)-AH917</f>
        <v>4</v>
      </c>
      <c r="AE923" s="208">
        <f>(AE909+AE910+AE911+AE912+AE913+AE914+AE915+AE917+AE918+AE919+AE920+AE921+AE922)-AI910</f>
        <v>5</v>
      </c>
      <c r="AF923" s="209">
        <f>(AF909+AF910+AF911+AF912+AF913+AF914+AF915+AF917+AF918+AF919+AF920+AF921+AF922)-AI917</f>
        <v>6</v>
      </c>
      <c r="AG923" s="62"/>
      <c r="AH923" s="62"/>
      <c r="AI923" s="62"/>
      <c r="AJ923" s="62"/>
      <c r="AK923" s="62"/>
      <c r="AL923" s="62"/>
      <c r="AM923" s="62"/>
      <c r="AN923" s="91">
        <f>SUM(AN917:AN922)</f>
        <v>0</v>
      </c>
      <c r="AO923" s="91">
        <f>SUM(AO917:AO922)</f>
        <v>0</v>
      </c>
      <c r="AP923" s="91"/>
      <c r="AQ923" s="91"/>
      <c r="AR923" s="91">
        <f>SUM(AR917:AR922)</f>
        <v>0</v>
      </c>
      <c r="AS923" s="91">
        <f t="shared" ref="AS923:AW923" si="367">SUM(AS917:AS922)</f>
        <v>0</v>
      </c>
      <c r="AT923" s="91">
        <f t="shared" si="367"/>
        <v>0</v>
      </c>
      <c r="AU923" s="91">
        <f t="shared" si="367"/>
        <v>0</v>
      </c>
      <c r="AV923" s="91">
        <f t="shared" si="367"/>
        <v>0</v>
      </c>
      <c r="AW923" s="91">
        <f t="shared" si="367"/>
        <v>0</v>
      </c>
      <c r="AX923" s="91">
        <f>SUM(AX917:AX922)</f>
        <v>0</v>
      </c>
      <c r="AY923" s="91">
        <f>SUM(AY917:AY922)</f>
        <v>0</v>
      </c>
      <c r="AZ923" s="91">
        <f>SUM(AZ917:AZ922)</f>
        <v>0</v>
      </c>
      <c r="BA923" s="91"/>
      <c r="BB923" s="91"/>
      <c r="BC923" s="91"/>
      <c r="BD923" s="91" t="str">
        <f>IFERROR(VLOOKUP($G923,нормы!$A$14:$BG$15,27,0),"")</f>
        <v/>
      </c>
      <c r="BE923" s="53" t="str">
        <f>IFERROR(W923/VLOOKUP($G923,нормы!$A$14:$BI$15,28,0),"")</f>
        <v/>
      </c>
    </row>
    <row r="924" spans="1:57" s="1" customFormat="1" ht="29.4" customHeight="1" thickBot="1" x14ac:dyDescent="0.5">
      <c r="A924" s="37" t="str">
        <f t="shared" si="362"/>
        <v>15Н</v>
      </c>
      <c r="B924" s="166" t="s">
        <v>130</v>
      </c>
      <c r="C924" s="167"/>
      <c r="D924" s="167"/>
      <c r="E924" s="167"/>
      <c r="F924" s="165"/>
      <c r="G924" s="167"/>
      <c r="H924" s="167"/>
      <c r="I924" s="168"/>
      <c r="J924" s="168"/>
      <c r="K924" s="168"/>
      <c r="L924" s="168"/>
      <c r="M924" s="168"/>
      <c r="N924" s="168"/>
      <c r="O924" s="167"/>
      <c r="P924" s="169"/>
      <c r="Q924" s="169"/>
      <c r="R924" s="169"/>
      <c r="S924" s="169"/>
      <c r="T924" s="169"/>
      <c r="U924" s="170"/>
      <c r="V924" s="170"/>
      <c r="W924" s="171"/>
      <c r="X924" s="171"/>
      <c r="Y924" s="172"/>
      <c r="Z924" s="172"/>
      <c r="AA924" s="201" t="s">
        <v>144</v>
      </c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64"/>
      <c r="AN924" s="167"/>
      <c r="AO924" s="167"/>
      <c r="AP924" s="167"/>
      <c r="AQ924" s="167"/>
      <c r="AR924" s="64"/>
      <c r="AS924" s="64"/>
      <c r="AT924" s="65"/>
      <c r="AU924" s="64"/>
      <c r="AV924" s="49"/>
      <c r="AW924" s="49"/>
      <c r="AX924" s="167"/>
      <c r="AY924" s="167"/>
      <c r="AZ924" s="167"/>
      <c r="BA924" s="167"/>
      <c r="BB924" s="167"/>
      <c r="BC924" s="167"/>
      <c r="BD924" s="66"/>
      <c r="BE924" s="66"/>
    </row>
    <row r="925" spans="1:57" s="1" customFormat="1" ht="23.25" customHeight="1" x14ac:dyDescent="0.4">
      <c r="A925" s="37" t="str">
        <f t="shared" si="362"/>
        <v>15Н</v>
      </c>
      <c r="B925" s="183"/>
      <c r="C925" s="100"/>
      <c r="D925" s="185"/>
      <c r="E925" s="186" t="s">
        <v>57</v>
      </c>
      <c r="F925" s="66" t="s">
        <v>87</v>
      </c>
      <c r="G925" s="66"/>
      <c r="H925" s="108" t="s">
        <v>131</v>
      </c>
      <c r="I925" s="101"/>
      <c r="J925" s="101"/>
      <c r="K925" s="101"/>
      <c r="L925" s="101"/>
      <c r="M925" s="101"/>
      <c r="N925" s="101"/>
      <c r="O925" s="67"/>
      <c r="P925" s="102"/>
      <c r="Q925" s="102"/>
      <c r="R925" s="102"/>
      <c r="S925" s="102"/>
      <c r="T925" s="102"/>
      <c r="U925" s="67"/>
      <c r="V925" s="67"/>
      <c r="W925" s="103"/>
      <c r="X925" s="187"/>
      <c r="Y925" s="68" t="s">
        <v>74</v>
      </c>
      <c r="Z925" s="69"/>
      <c r="AA925" s="90"/>
      <c r="AB925" s="100"/>
      <c r="AC925" s="100"/>
      <c r="AD925" s="186" t="s">
        <v>57</v>
      </c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190"/>
      <c r="AU925" s="66"/>
      <c r="AV925" s="165"/>
      <c r="AW925" s="293"/>
      <c r="AX925" s="66"/>
      <c r="AY925" s="66"/>
      <c r="AZ925" s="66"/>
      <c r="BA925" s="66"/>
      <c r="BB925" s="66"/>
      <c r="BC925" s="66"/>
      <c r="BD925" s="68" t="s">
        <v>74</v>
      </c>
      <c r="BE925" s="69"/>
    </row>
    <row r="926" spans="1:57" s="1" customFormat="1" ht="23.25" customHeight="1" thickBot="1" x14ac:dyDescent="0.45">
      <c r="A926" s="37" t="str">
        <f t="shared" si="362"/>
        <v>15Н</v>
      </c>
      <c r="B926" s="183"/>
      <c r="C926" s="41"/>
      <c r="D926" s="184"/>
      <c r="E926" s="50"/>
      <c r="F926" s="70"/>
      <c r="G926" s="70"/>
      <c r="H926" s="70"/>
      <c r="I926" s="104"/>
      <c r="J926" s="104"/>
      <c r="K926" s="104"/>
      <c r="L926" s="104"/>
      <c r="M926" s="104"/>
      <c r="N926" s="104"/>
      <c r="O926" s="71"/>
      <c r="P926" s="105"/>
      <c r="Q926" s="105"/>
      <c r="R926" s="105"/>
      <c r="S926" s="105"/>
      <c r="T926" s="105"/>
      <c r="U926" s="71"/>
      <c r="V926" s="71"/>
      <c r="W926" s="106"/>
      <c r="X926" s="188"/>
      <c r="Y926" s="72"/>
      <c r="Z926" s="73"/>
      <c r="AA926" s="90"/>
      <c r="AB926" s="41"/>
      <c r="AC926" s="41"/>
      <c r="AD926" s="50"/>
      <c r="AE926" s="47"/>
      <c r="AF926" s="47"/>
      <c r="AG926" s="47"/>
      <c r="AH926" s="47"/>
      <c r="AI926" s="47"/>
      <c r="AJ926" s="47"/>
      <c r="AK926" s="47"/>
      <c r="AL926" s="47"/>
      <c r="AM926" s="70"/>
      <c r="AN926" s="47"/>
      <c r="AO926" s="70"/>
      <c r="AP926" s="70"/>
      <c r="AQ926" s="70"/>
      <c r="AR926" s="70"/>
      <c r="AS926" s="70"/>
      <c r="AT926" s="191"/>
      <c r="AU926" s="70"/>
      <c r="AV926" s="192"/>
      <c r="AW926" s="294"/>
      <c r="AX926" s="70"/>
      <c r="AY926" s="70"/>
      <c r="AZ926" s="70"/>
      <c r="BA926" s="70"/>
      <c r="BB926" s="70"/>
      <c r="BC926" s="70"/>
      <c r="BD926" s="72"/>
      <c r="BE926" s="73"/>
    </row>
    <row r="927" spans="1:57" s="1" customFormat="1" ht="25.5" customHeight="1" x14ac:dyDescent="0.4">
      <c r="A927" s="37" t="str">
        <f t="shared" si="362"/>
        <v>15Н</v>
      </c>
      <c r="B927" s="183"/>
      <c r="C927" s="41"/>
      <c r="D927" s="184"/>
      <c r="E927" s="281">
        <f>B922</f>
        <v>46037</v>
      </c>
      <c r="F927" s="337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98">
        <v>1</v>
      </c>
      <c r="Y927" s="74">
        <v>1</v>
      </c>
      <c r="Z927" s="75">
        <f t="shared" ref="Z927:Z938" si="368">Y927-X927</f>
        <v>0</v>
      </c>
      <c r="AA927" s="189"/>
      <c r="AB927" s="41"/>
      <c r="AC927" s="184"/>
      <c r="AD927" s="210">
        <f>E927</f>
        <v>46037</v>
      </c>
      <c r="AE927" s="387"/>
      <c r="AF927" s="388"/>
      <c r="AG927" s="388"/>
      <c r="AH927" s="388"/>
      <c r="AI927" s="388"/>
      <c r="AJ927" s="388"/>
      <c r="AK927" s="388"/>
      <c r="AL927" s="388"/>
      <c r="AM927" s="388"/>
      <c r="AN927" s="388"/>
      <c r="AO927" s="388"/>
      <c r="AP927" s="388"/>
      <c r="AQ927" s="388"/>
      <c r="AR927" s="388"/>
      <c r="AS927" s="388"/>
      <c r="AT927" s="388"/>
      <c r="AU927" s="388"/>
      <c r="AV927" s="388"/>
      <c r="AW927" s="388"/>
      <c r="AX927" s="388"/>
      <c r="AY927" s="388"/>
      <c r="AZ927" s="388"/>
      <c r="BA927" s="388"/>
      <c r="BB927" s="389"/>
      <c r="BC927" s="98">
        <v>1</v>
      </c>
      <c r="BD927" s="74">
        <v>1</v>
      </c>
      <c r="BE927" s="75">
        <f t="shared" ref="BE927:BE938" si="369">BD927-BC927</f>
        <v>0</v>
      </c>
    </row>
    <row r="928" spans="1:57" s="1" customFormat="1" ht="24" customHeight="1" x14ac:dyDescent="0.4">
      <c r="A928" s="37" t="str">
        <f t="shared" si="362"/>
        <v>15Н</v>
      </c>
      <c r="B928" s="183"/>
      <c r="C928" s="41"/>
      <c r="D928" s="184"/>
      <c r="E928" s="282">
        <f>E927</f>
        <v>46037</v>
      </c>
      <c r="F928" s="335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  <c r="R928" s="336"/>
      <c r="S928" s="336"/>
      <c r="T928" s="336"/>
      <c r="U928" s="336"/>
      <c r="V928" s="336"/>
      <c r="W928" s="336"/>
      <c r="X928" s="98">
        <v>1</v>
      </c>
      <c r="Y928" s="74">
        <v>1</v>
      </c>
      <c r="Z928" s="75">
        <f t="shared" si="368"/>
        <v>0</v>
      </c>
      <c r="AA928" s="107">
        <f>AA927</f>
        <v>0</v>
      </c>
      <c r="AB928" s="41"/>
      <c r="AC928" s="184"/>
      <c r="AD928" s="212">
        <f>AD927</f>
        <v>46037</v>
      </c>
      <c r="AE928" s="387"/>
      <c r="AF928" s="388"/>
      <c r="AG928" s="388"/>
      <c r="AH928" s="388"/>
      <c r="AI928" s="388"/>
      <c r="AJ928" s="388"/>
      <c r="AK928" s="388"/>
      <c r="AL928" s="388"/>
      <c r="AM928" s="388"/>
      <c r="AN928" s="388"/>
      <c r="AO928" s="388"/>
      <c r="AP928" s="388"/>
      <c r="AQ928" s="388"/>
      <c r="AR928" s="388"/>
      <c r="AS928" s="388"/>
      <c r="AT928" s="388"/>
      <c r="AU928" s="388"/>
      <c r="AV928" s="388"/>
      <c r="AW928" s="388"/>
      <c r="AX928" s="388"/>
      <c r="AY928" s="388"/>
      <c r="AZ928" s="388"/>
      <c r="BA928" s="388"/>
      <c r="BB928" s="389"/>
      <c r="BC928" s="98">
        <v>1</v>
      </c>
      <c r="BD928" s="74">
        <v>1</v>
      </c>
      <c r="BE928" s="75">
        <f t="shared" si="369"/>
        <v>0</v>
      </c>
    </row>
    <row r="929" spans="1:57" s="1" customFormat="1" ht="27" customHeight="1" x14ac:dyDescent="0.4">
      <c r="A929" s="37" t="str">
        <f t="shared" si="362"/>
        <v>15Н</v>
      </c>
      <c r="B929" s="183"/>
      <c r="C929" s="41"/>
      <c r="D929" s="184"/>
      <c r="E929" s="282">
        <f t="shared" ref="E929:E938" si="370">E928</f>
        <v>46037</v>
      </c>
      <c r="F929" s="335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  <c r="Q929" s="336"/>
      <c r="R929" s="336"/>
      <c r="S929" s="336"/>
      <c r="T929" s="336"/>
      <c r="U929" s="336"/>
      <c r="V929" s="336"/>
      <c r="W929" s="336"/>
      <c r="X929" s="98">
        <v>1</v>
      </c>
      <c r="Y929" s="74">
        <v>1</v>
      </c>
      <c r="Z929" s="75">
        <f t="shared" si="368"/>
        <v>0</v>
      </c>
      <c r="AA929" s="107">
        <f>AA928</f>
        <v>0</v>
      </c>
      <c r="AB929" s="41"/>
      <c r="AC929" s="184"/>
      <c r="AD929" s="212">
        <f t="shared" ref="AD929:AD938" si="371">AD928</f>
        <v>46037</v>
      </c>
      <c r="AE929" s="387"/>
      <c r="AF929" s="388"/>
      <c r="AG929" s="388"/>
      <c r="AH929" s="388"/>
      <c r="AI929" s="388"/>
      <c r="AJ929" s="388"/>
      <c r="AK929" s="388"/>
      <c r="AL929" s="388"/>
      <c r="AM929" s="388"/>
      <c r="AN929" s="388"/>
      <c r="AO929" s="388"/>
      <c r="AP929" s="388"/>
      <c r="AQ929" s="388"/>
      <c r="AR929" s="388"/>
      <c r="AS929" s="388"/>
      <c r="AT929" s="388"/>
      <c r="AU929" s="388"/>
      <c r="AV929" s="388"/>
      <c r="AW929" s="388"/>
      <c r="AX929" s="388"/>
      <c r="AY929" s="388"/>
      <c r="AZ929" s="388"/>
      <c r="BA929" s="388"/>
      <c r="BB929" s="389"/>
      <c r="BC929" s="98">
        <v>1</v>
      </c>
      <c r="BD929" s="74">
        <v>1</v>
      </c>
      <c r="BE929" s="75">
        <f t="shared" si="369"/>
        <v>0</v>
      </c>
    </row>
    <row r="930" spans="1:57" s="1" customFormat="1" ht="18" customHeight="1" x14ac:dyDescent="0.4">
      <c r="A930" s="37" t="str">
        <f t="shared" si="362"/>
        <v>15Н</v>
      </c>
      <c r="B930" s="183"/>
      <c r="C930" s="41"/>
      <c r="D930" s="184"/>
      <c r="E930" s="282">
        <f t="shared" si="370"/>
        <v>46037</v>
      </c>
      <c r="F930" s="335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  <c r="Q930" s="336"/>
      <c r="R930" s="336"/>
      <c r="S930" s="336"/>
      <c r="T930" s="336"/>
      <c r="U930" s="336"/>
      <c r="V930" s="336"/>
      <c r="W930" s="336"/>
      <c r="X930" s="98">
        <v>1</v>
      </c>
      <c r="Y930" s="74">
        <v>1</v>
      </c>
      <c r="Z930" s="75">
        <f t="shared" si="368"/>
        <v>0</v>
      </c>
      <c r="AA930" s="107">
        <f t="shared" ref="AA930:AA938" si="372">AA929</f>
        <v>0</v>
      </c>
      <c r="AB930" s="41"/>
      <c r="AC930" s="184"/>
      <c r="AD930" s="212">
        <f t="shared" si="371"/>
        <v>46037</v>
      </c>
      <c r="AE930" s="387"/>
      <c r="AF930" s="388"/>
      <c r="AG930" s="388"/>
      <c r="AH930" s="388"/>
      <c r="AI930" s="388"/>
      <c r="AJ930" s="388"/>
      <c r="AK930" s="388"/>
      <c r="AL930" s="388"/>
      <c r="AM930" s="388"/>
      <c r="AN930" s="388"/>
      <c r="AO930" s="388"/>
      <c r="AP930" s="388"/>
      <c r="AQ930" s="388"/>
      <c r="AR930" s="388"/>
      <c r="AS930" s="388"/>
      <c r="AT930" s="388"/>
      <c r="AU930" s="388"/>
      <c r="AV930" s="388"/>
      <c r="AW930" s="388"/>
      <c r="AX930" s="388"/>
      <c r="AY930" s="388"/>
      <c r="AZ930" s="388"/>
      <c r="BA930" s="388"/>
      <c r="BB930" s="389"/>
      <c r="BC930" s="98">
        <v>1</v>
      </c>
      <c r="BD930" s="74">
        <v>1</v>
      </c>
      <c r="BE930" s="75">
        <f t="shared" si="369"/>
        <v>0</v>
      </c>
    </row>
    <row r="931" spans="1:57" s="1" customFormat="1" ht="18" customHeight="1" x14ac:dyDescent="0.4">
      <c r="A931" s="37" t="str">
        <f t="shared" si="362"/>
        <v>15Н</v>
      </c>
      <c r="B931" s="183"/>
      <c r="C931" s="41"/>
      <c r="D931" s="184"/>
      <c r="E931" s="282">
        <f t="shared" si="370"/>
        <v>46037</v>
      </c>
      <c r="F931" s="335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  <c r="Q931" s="336"/>
      <c r="R931" s="336"/>
      <c r="S931" s="336"/>
      <c r="T931" s="336"/>
      <c r="U931" s="336"/>
      <c r="V931" s="336"/>
      <c r="W931" s="336"/>
      <c r="X931" s="98">
        <v>1</v>
      </c>
      <c r="Y931" s="74">
        <v>1</v>
      </c>
      <c r="Z931" s="75">
        <f t="shared" si="368"/>
        <v>0</v>
      </c>
      <c r="AA931" s="107">
        <f t="shared" si="372"/>
        <v>0</v>
      </c>
      <c r="AB931" s="41"/>
      <c r="AC931" s="184"/>
      <c r="AD931" s="212">
        <f t="shared" si="371"/>
        <v>46037</v>
      </c>
      <c r="AE931" s="387"/>
      <c r="AF931" s="388"/>
      <c r="AG931" s="388"/>
      <c r="AH931" s="388"/>
      <c r="AI931" s="388"/>
      <c r="AJ931" s="388"/>
      <c r="AK931" s="388"/>
      <c r="AL931" s="388"/>
      <c r="AM931" s="388"/>
      <c r="AN931" s="388"/>
      <c r="AO931" s="388"/>
      <c r="AP931" s="388"/>
      <c r="AQ931" s="388"/>
      <c r="AR931" s="388"/>
      <c r="AS931" s="388"/>
      <c r="AT931" s="388"/>
      <c r="AU931" s="388"/>
      <c r="AV931" s="388"/>
      <c r="AW931" s="388"/>
      <c r="AX931" s="388"/>
      <c r="AY931" s="388"/>
      <c r="AZ931" s="388"/>
      <c r="BA931" s="388"/>
      <c r="BB931" s="389"/>
      <c r="BC931" s="98">
        <v>1</v>
      </c>
      <c r="BD931" s="74">
        <v>1</v>
      </c>
      <c r="BE931" s="75">
        <f t="shared" si="369"/>
        <v>0</v>
      </c>
    </row>
    <row r="932" spans="1:57" s="1" customFormat="1" ht="18" customHeight="1" x14ac:dyDescent="0.4">
      <c r="A932" s="37" t="str">
        <f t="shared" si="362"/>
        <v>15Н</v>
      </c>
      <c r="B932" s="183"/>
      <c r="C932" s="41"/>
      <c r="D932" s="184"/>
      <c r="E932" s="282">
        <f t="shared" si="370"/>
        <v>46037</v>
      </c>
      <c r="F932" s="335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  <c r="Q932" s="336"/>
      <c r="R932" s="336"/>
      <c r="S932" s="336"/>
      <c r="T932" s="336"/>
      <c r="U932" s="336"/>
      <c r="V932" s="336"/>
      <c r="W932" s="336"/>
      <c r="X932" s="98">
        <v>1</v>
      </c>
      <c r="Y932" s="74">
        <v>1</v>
      </c>
      <c r="Z932" s="75">
        <f t="shared" si="368"/>
        <v>0</v>
      </c>
      <c r="AA932" s="107">
        <f t="shared" si="372"/>
        <v>0</v>
      </c>
      <c r="AB932" s="41"/>
      <c r="AC932" s="184"/>
      <c r="AD932" s="212">
        <f t="shared" si="371"/>
        <v>46037</v>
      </c>
      <c r="AE932" s="387"/>
      <c r="AF932" s="388"/>
      <c r="AG932" s="388"/>
      <c r="AH932" s="388"/>
      <c r="AI932" s="388"/>
      <c r="AJ932" s="388"/>
      <c r="AK932" s="388"/>
      <c r="AL932" s="388"/>
      <c r="AM932" s="388"/>
      <c r="AN932" s="388"/>
      <c r="AO932" s="388"/>
      <c r="AP932" s="388"/>
      <c r="AQ932" s="388"/>
      <c r="AR932" s="388"/>
      <c r="AS932" s="388"/>
      <c r="AT932" s="388"/>
      <c r="AU932" s="388"/>
      <c r="AV932" s="388"/>
      <c r="AW932" s="388"/>
      <c r="AX932" s="388"/>
      <c r="AY932" s="388"/>
      <c r="AZ932" s="388"/>
      <c r="BA932" s="388"/>
      <c r="BB932" s="389"/>
      <c r="BC932" s="98">
        <v>1</v>
      </c>
      <c r="BD932" s="74">
        <v>1</v>
      </c>
      <c r="BE932" s="75">
        <f t="shared" si="369"/>
        <v>0</v>
      </c>
    </row>
    <row r="933" spans="1:57" s="1" customFormat="1" ht="18" customHeight="1" x14ac:dyDescent="0.4">
      <c r="A933" s="37" t="str">
        <f t="shared" si="362"/>
        <v>15Н</v>
      </c>
      <c r="B933" s="183"/>
      <c r="C933" s="41"/>
      <c r="D933" s="184"/>
      <c r="E933" s="282">
        <f t="shared" si="370"/>
        <v>46037</v>
      </c>
      <c r="F933" s="335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  <c r="Q933" s="336"/>
      <c r="R933" s="336"/>
      <c r="S933" s="336"/>
      <c r="T933" s="336"/>
      <c r="U933" s="336"/>
      <c r="V933" s="336"/>
      <c r="W933" s="336"/>
      <c r="X933" s="98">
        <v>1</v>
      </c>
      <c r="Y933" s="74">
        <v>1</v>
      </c>
      <c r="Z933" s="75">
        <f t="shared" si="368"/>
        <v>0</v>
      </c>
      <c r="AA933" s="107">
        <f t="shared" si="372"/>
        <v>0</v>
      </c>
      <c r="AB933" s="41"/>
      <c r="AC933" s="184"/>
      <c r="AD933" s="212">
        <f t="shared" si="371"/>
        <v>46037</v>
      </c>
      <c r="AE933" s="387"/>
      <c r="AF933" s="388"/>
      <c r="AG933" s="388"/>
      <c r="AH933" s="388"/>
      <c r="AI933" s="388"/>
      <c r="AJ933" s="388"/>
      <c r="AK933" s="388"/>
      <c r="AL933" s="388"/>
      <c r="AM933" s="388"/>
      <c r="AN933" s="388"/>
      <c r="AO933" s="388"/>
      <c r="AP933" s="388"/>
      <c r="AQ933" s="388"/>
      <c r="AR933" s="388"/>
      <c r="AS933" s="388"/>
      <c r="AT933" s="388"/>
      <c r="AU933" s="388"/>
      <c r="AV933" s="388"/>
      <c r="AW933" s="388"/>
      <c r="AX933" s="388"/>
      <c r="AY933" s="388"/>
      <c r="AZ933" s="388"/>
      <c r="BA933" s="388"/>
      <c r="BB933" s="389"/>
      <c r="BC933" s="98">
        <v>1</v>
      </c>
      <c r="BD933" s="74">
        <v>1</v>
      </c>
      <c r="BE933" s="75">
        <f t="shared" si="369"/>
        <v>0</v>
      </c>
    </row>
    <row r="934" spans="1:57" s="1" customFormat="1" ht="18" customHeight="1" x14ac:dyDescent="0.4">
      <c r="A934" s="37" t="str">
        <f t="shared" si="362"/>
        <v>15Н</v>
      </c>
      <c r="B934" s="183"/>
      <c r="C934" s="41"/>
      <c r="D934" s="184"/>
      <c r="E934" s="282">
        <f t="shared" si="370"/>
        <v>46037</v>
      </c>
      <c r="F934" s="335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  <c r="Q934" s="336"/>
      <c r="R934" s="336"/>
      <c r="S934" s="336"/>
      <c r="T934" s="336"/>
      <c r="U934" s="336"/>
      <c r="V934" s="336"/>
      <c r="W934" s="336"/>
      <c r="X934" s="98">
        <v>1</v>
      </c>
      <c r="Y934" s="74">
        <v>1</v>
      </c>
      <c r="Z934" s="75">
        <f t="shared" si="368"/>
        <v>0</v>
      </c>
      <c r="AA934" s="107">
        <f t="shared" si="372"/>
        <v>0</v>
      </c>
      <c r="AB934" s="41"/>
      <c r="AC934" s="184"/>
      <c r="AD934" s="212">
        <f t="shared" si="371"/>
        <v>46037</v>
      </c>
      <c r="AE934" s="387"/>
      <c r="AF934" s="388"/>
      <c r="AG934" s="388"/>
      <c r="AH934" s="388"/>
      <c r="AI934" s="388"/>
      <c r="AJ934" s="388"/>
      <c r="AK934" s="388"/>
      <c r="AL934" s="388"/>
      <c r="AM934" s="388"/>
      <c r="AN934" s="388"/>
      <c r="AO934" s="388"/>
      <c r="AP934" s="388"/>
      <c r="AQ934" s="388"/>
      <c r="AR934" s="388"/>
      <c r="AS934" s="388"/>
      <c r="AT934" s="388"/>
      <c r="AU934" s="388"/>
      <c r="AV934" s="388"/>
      <c r="AW934" s="388"/>
      <c r="AX934" s="388"/>
      <c r="AY934" s="388"/>
      <c r="AZ934" s="388"/>
      <c r="BA934" s="388"/>
      <c r="BB934" s="389"/>
      <c r="BC934" s="98">
        <v>1</v>
      </c>
      <c r="BD934" s="74">
        <v>1</v>
      </c>
      <c r="BE934" s="75">
        <f t="shared" si="369"/>
        <v>0</v>
      </c>
    </row>
    <row r="935" spans="1:57" s="1" customFormat="1" ht="18" customHeight="1" x14ac:dyDescent="0.4">
      <c r="A935" s="37" t="str">
        <f t="shared" si="362"/>
        <v>15Н</v>
      </c>
      <c r="B935" s="183"/>
      <c r="C935" s="41"/>
      <c r="D935" s="184"/>
      <c r="E935" s="282">
        <f t="shared" si="370"/>
        <v>46037</v>
      </c>
      <c r="F935" s="335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  <c r="Q935" s="336"/>
      <c r="R935" s="336"/>
      <c r="S935" s="336"/>
      <c r="T935" s="336"/>
      <c r="U935" s="336"/>
      <c r="V935" s="336"/>
      <c r="W935" s="336"/>
      <c r="X935" s="98">
        <v>1</v>
      </c>
      <c r="Y935" s="74">
        <v>1</v>
      </c>
      <c r="Z935" s="75">
        <f t="shared" si="368"/>
        <v>0</v>
      </c>
      <c r="AA935" s="107">
        <f t="shared" si="372"/>
        <v>0</v>
      </c>
      <c r="AB935" s="41"/>
      <c r="AC935" s="184"/>
      <c r="AD935" s="212">
        <f t="shared" si="371"/>
        <v>46037</v>
      </c>
      <c r="AE935" s="387"/>
      <c r="AF935" s="388"/>
      <c r="AG935" s="388"/>
      <c r="AH935" s="388"/>
      <c r="AI935" s="388"/>
      <c r="AJ935" s="388"/>
      <c r="AK935" s="388"/>
      <c r="AL935" s="388"/>
      <c r="AM935" s="388"/>
      <c r="AN935" s="388"/>
      <c r="AO935" s="388"/>
      <c r="AP935" s="388"/>
      <c r="AQ935" s="388"/>
      <c r="AR935" s="388"/>
      <c r="AS935" s="388"/>
      <c r="AT935" s="388"/>
      <c r="AU935" s="388"/>
      <c r="AV935" s="388"/>
      <c r="AW935" s="388"/>
      <c r="AX935" s="388"/>
      <c r="AY935" s="388"/>
      <c r="AZ935" s="388"/>
      <c r="BA935" s="388"/>
      <c r="BB935" s="389"/>
      <c r="BC935" s="98">
        <v>1</v>
      </c>
      <c r="BD935" s="74">
        <v>1</v>
      </c>
      <c r="BE935" s="75">
        <f t="shared" si="369"/>
        <v>0</v>
      </c>
    </row>
    <row r="936" spans="1:57" s="1" customFormat="1" ht="18" customHeight="1" x14ac:dyDescent="0.4">
      <c r="A936" s="37" t="str">
        <f t="shared" si="362"/>
        <v>15Н</v>
      </c>
      <c r="B936" s="183"/>
      <c r="C936" s="41"/>
      <c r="D936" s="184"/>
      <c r="E936" s="282">
        <f t="shared" si="370"/>
        <v>46037</v>
      </c>
      <c r="F936" s="335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  <c r="Q936" s="336"/>
      <c r="R936" s="336"/>
      <c r="S936" s="336"/>
      <c r="T936" s="336"/>
      <c r="U936" s="336"/>
      <c r="V936" s="336"/>
      <c r="W936" s="336"/>
      <c r="X936" s="98">
        <v>1</v>
      </c>
      <c r="Y936" s="74">
        <v>1</v>
      </c>
      <c r="Z936" s="75">
        <f t="shared" si="368"/>
        <v>0</v>
      </c>
      <c r="AA936" s="107">
        <f t="shared" si="372"/>
        <v>0</v>
      </c>
      <c r="AB936" s="41"/>
      <c r="AC936" s="184"/>
      <c r="AD936" s="212">
        <f t="shared" si="371"/>
        <v>46037</v>
      </c>
      <c r="AE936" s="387"/>
      <c r="AF936" s="388"/>
      <c r="AG936" s="388"/>
      <c r="AH936" s="388"/>
      <c r="AI936" s="388"/>
      <c r="AJ936" s="388"/>
      <c r="AK936" s="388"/>
      <c r="AL936" s="388"/>
      <c r="AM936" s="388"/>
      <c r="AN936" s="388"/>
      <c r="AO936" s="388"/>
      <c r="AP936" s="388"/>
      <c r="AQ936" s="388"/>
      <c r="AR936" s="388"/>
      <c r="AS936" s="388"/>
      <c r="AT936" s="388"/>
      <c r="AU936" s="388"/>
      <c r="AV936" s="388"/>
      <c r="AW936" s="388"/>
      <c r="AX936" s="388"/>
      <c r="AY936" s="388"/>
      <c r="AZ936" s="388"/>
      <c r="BA936" s="388"/>
      <c r="BB936" s="389"/>
      <c r="BC936" s="98">
        <v>1</v>
      </c>
      <c r="BD936" s="74">
        <v>1</v>
      </c>
      <c r="BE936" s="75">
        <f t="shared" si="369"/>
        <v>0</v>
      </c>
    </row>
    <row r="937" spans="1:57" s="1" customFormat="1" ht="18" customHeight="1" x14ac:dyDescent="0.4">
      <c r="A937" s="37" t="str">
        <f t="shared" si="362"/>
        <v>15Н</v>
      </c>
      <c r="B937" s="183"/>
      <c r="C937" s="41"/>
      <c r="D937" s="184"/>
      <c r="E937" s="282">
        <f t="shared" si="370"/>
        <v>46037</v>
      </c>
      <c r="F937" s="335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  <c r="Q937" s="336"/>
      <c r="R937" s="336"/>
      <c r="S937" s="336"/>
      <c r="T937" s="336"/>
      <c r="U937" s="336"/>
      <c r="V937" s="336"/>
      <c r="W937" s="336"/>
      <c r="X937" s="98">
        <v>1</v>
      </c>
      <c r="Y937" s="74">
        <v>1</v>
      </c>
      <c r="Z937" s="75">
        <f t="shared" si="368"/>
        <v>0</v>
      </c>
      <c r="AA937" s="107">
        <f t="shared" si="372"/>
        <v>0</v>
      </c>
      <c r="AB937" s="41"/>
      <c r="AC937" s="184"/>
      <c r="AD937" s="212">
        <f t="shared" si="371"/>
        <v>46037</v>
      </c>
      <c r="AE937" s="387"/>
      <c r="AF937" s="388"/>
      <c r="AG937" s="388"/>
      <c r="AH937" s="388"/>
      <c r="AI937" s="388"/>
      <c r="AJ937" s="388"/>
      <c r="AK937" s="388"/>
      <c r="AL937" s="388"/>
      <c r="AM937" s="388"/>
      <c r="AN937" s="388"/>
      <c r="AO937" s="388"/>
      <c r="AP937" s="388"/>
      <c r="AQ937" s="388"/>
      <c r="AR937" s="388"/>
      <c r="AS937" s="388"/>
      <c r="AT937" s="388"/>
      <c r="AU937" s="388"/>
      <c r="AV937" s="388"/>
      <c r="AW937" s="388"/>
      <c r="AX937" s="388"/>
      <c r="AY937" s="388"/>
      <c r="AZ937" s="388"/>
      <c r="BA937" s="388"/>
      <c r="BB937" s="389"/>
      <c r="BC937" s="98">
        <v>1</v>
      </c>
      <c r="BD937" s="74">
        <v>1</v>
      </c>
      <c r="BE937" s="75">
        <f t="shared" si="369"/>
        <v>0</v>
      </c>
    </row>
    <row r="938" spans="1:57" s="1" customFormat="1" ht="18" customHeight="1" thickBot="1" x14ac:dyDescent="0.45">
      <c r="A938" s="37" t="str">
        <f t="shared" si="362"/>
        <v>15Н</v>
      </c>
      <c r="B938" s="183"/>
      <c r="C938" s="41"/>
      <c r="D938" s="184"/>
      <c r="E938" s="283">
        <f t="shared" si="370"/>
        <v>46037</v>
      </c>
      <c r="F938" s="339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99">
        <v>1</v>
      </c>
      <c r="Y938" s="76">
        <v>1</v>
      </c>
      <c r="Z938" s="77">
        <f t="shared" si="368"/>
        <v>0</v>
      </c>
      <c r="AA938" s="107">
        <f t="shared" si="372"/>
        <v>0</v>
      </c>
      <c r="AB938" s="41"/>
      <c r="AC938" s="184"/>
      <c r="AD938" s="211">
        <f t="shared" si="371"/>
        <v>46037</v>
      </c>
      <c r="AE938" s="410"/>
      <c r="AF938" s="411"/>
      <c r="AG938" s="411"/>
      <c r="AH938" s="411"/>
      <c r="AI938" s="411"/>
      <c r="AJ938" s="411"/>
      <c r="AK938" s="411"/>
      <c r="AL938" s="411"/>
      <c r="AM938" s="411"/>
      <c r="AN938" s="411"/>
      <c r="AO938" s="411"/>
      <c r="AP938" s="411"/>
      <c r="AQ938" s="411"/>
      <c r="AR938" s="411"/>
      <c r="AS938" s="411"/>
      <c r="AT938" s="411"/>
      <c r="AU938" s="411"/>
      <c r="AV938" s="411"/>
      <c r="AW938" s="411"/>
      <c r="AX938" s="411"/>
      <c r="AY938" s="411"/>
      <c r="AZ938" s="411"/>
      <c r="BA938" s="411"/>
      <c r="BB938" s="412"/>
      <c r="BC938" s="99">
        <v>1</v>
      </c>
      <c r="BD938" s="76">
        <v>1</v>
      </c>
      <c r="BE938" s="75">
        <f t="shared" si="369"/>
        <v>0</v>
      </c>
    </row>
    <row r="939" spans="1:57" s="1" customFormat="1" ht="23.25" customHeight="1" thickBot="1" x14ac:dyDescent="0.45">
      <c r="A939" s="37" t="str">
        <f t="shared" si="362"/>
        <v>15Н</v>
      </c>
      <c r="B939" s="193"/>
      <c r="C939" s="47"/>
      <c r="D939" s="47"/>
      <c r="E939" s="47"/>
      <c r="F939" s="78"/>
      <c r="G939" s="78"/>
      <c r="H939" s="78"/>
      <c r="I939" s="80"/>
      <c r="J939" s="80"/>
      <c r="K939" s="80"/>
      <c r="L939" s="80"/>
      <c r="M939" s="80"/>
      <c r="N939" s="80"/>
      <c r="O939" s="78"/>
      <c r="P939" s="81"/>
      <c r="Q939" s="81"/>
      <c r="R939" s="81"/>
      <c r="S939" s="81"/>
      <c r="T939" s="81"/>
      <c r="U939" s="82"/>
      <c r="V939" s="82"/>
      <c r="W939" s="86"/>
      <c r="X939" s="194"/>
      <c r="Y939" s="83"/>
      <c r="Z939" s="83"/>
      <c r="AA939" s="78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84"/>
      <c r="AN939" s="47"/>
      <c r="AO939" s="78"/>
      <c r="AP939" s="78"/>
      <c r="AQ939" s="78"/>
      <c r="AR939" s="84"/>
      <c r="AS939" s="78"/>
      <c r="AT939" s="85"/>
      <c r="AU939" s="78"/>
      <c r="AV939" s="83"/>
      <c r="AW939" s="83"/>
      <c r="AX939" s="78"/>
      <c r="AY939" s="78"/>
      <c r="AZ939" s="78"/>
      <c r="BA939" s="78"/>
      <c r="BB939" s="78"/>
      <c r="BC939" s="78"/>
      <c r="BD939" s="79"/>
      <c r="BE939" s="79"/>
    </row>
    <row r="940" spans="1:57" s="1" customFormat="1" ht="21.6" customHeight="1" thickBot="1" x14ac:dyDescent="0.45">
      <c r="A940" s="37" t="s">
        <v>176</v>
      </c>
      <c r="B940" s="59"/>
      <c r="C940" s="51"/>
      <c r="D940" s="51"/>
      <c r="E940" s="51"/>
      <c r="F940" s="158" t="s">
        <v>147</v>
      </c>
      <c r="G940" s="51"/>
      <c r="H940" s="51"/>
      <c r="I940" s="156"/>
      <c r="J940" s="156"/>
      <c r="K940" s="156"/>
      <c r="L940" s="156"/>
      <c r="M940" s="156"/>
      <c r="N940" s="156"/>
      <c r="O940" s="91"/>
      <c r="P940" s="52"/>
      <c r="Q940" s="52"/>
      <c r="R940" s="52"/>
      <c r="S940" s="52"/>
      <c r="T940" s="52"/>
      <c r="U940" s="157"/>
      <c r="V940" s="157"/>
      <c r="W940" s="94"/>
      <c r="X940" s="94"/>
      <c r="Y940" s="51"/>
      <c r="Z940" s="51"/>
      <c r="AA940" s="157">
        <f>AA923</f>
        <v>1</v>
      </c>
      <c r="AB940" s="157">
        <f t="shared" ref="AB940:AF940" si="373">AB923</f>
        <v>2</v>
      </c>
      <c r="AC940" s="157">
        <f t="shared" si="373"/>
        <v>3</v>
      </c>
      <c r="AD940" s="157">
        <f t="shared" si="373"/>
        <v>4</v>
      </c>
      <c r="AE940" s="157">
        <f t="shared" si="373"/>
        <v>5</v>
      </c>
      <c r="AF940" s="157">
        <f t="shared" si="373"/>
        <v>6</v>
      </c>
      <c r="AG940" s="162" t="s">
        <v>123</v>
      </c>
      <c r="AH940" s="162" t="s">
        <v>124</v>
      </c>
      <c r="AI940" s="162" t="s">
        <v>125</v>
      </c>
      <c r="AJ940" s="91" t="s">
        <v>126</v>
      </c>
      <c r="AK940" s="198" t="s">
        <v>136</v>
      </c>
      <c r="AL940" s="198" t="s">
        <v>137</v>
      </c>
      <c r="AM940" s="198" t="s">
        <v>138</v>
      </c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</row>
    <row r="941" spans="1:57" s="1" customFormat="1" ht="21.6" customHeight="1" x14ac:dyDescent="0.4">
      <c r="A941" s="37" t="str">
        <f>A940</f>
        <v>16Д</v>
      </c>
      <c r="B941" s="12">
        <f>B922+1</f>
        <v>46038</v>
      </c>
      <c r="C941" s="97"/>
      <c r="D941" s="97">
        <v>1</v>
      </c>
      <c r="E941" s="29"/>
      <c r="F941" s="151" t="str">
        <f>IFERROR(VLOOKUP($G941,нормы!$A$14:$BC$57,2,0),"")</f>
        <v/>
      </c>
      <c r="G941" s="93"/>
      <c r="H941" s="54">
        <f>IF(C941=1,"Кульков С.А.", IF(C941=2,"Чудаков А.А.",IF(C941=3,"Королев В.Н.",IF(C941=4,"Николашин М.П.",IF(C941=5," Кульков С.А.",IF(C941=6,"А.А. Чудаков",IF(C941=7,"В.Н. Королев",IF(C941=8,"М.П. Николашин",0))))))))</f>
        <v>0</v>
      </c>
      <c r="I941" s="88" t="s">
        <v>84</v>
      </c>
      <c r="J941" s="332"/>
      <c r="K941" s="30">
        <f>IFERROR(VLOOKUP($G941,[1]нормы!$A$21:$BC$151,15,0),"")</f>
        <v>0</v>
      </c>
      <c r="L941" s="31">
        <f>IFERROR(VLOOKUP($G941,[1]нормы!$A$21:$BC$151,17,0),"")</f>
        <v>0</v>
      </c>
      <c r="M941" s="310">
        <f>IFERROR(VLOOKUP($G941,[1]нормы!$A$21:$BC$151,27,0),"")</f>
        <v>0</v>
      </c>
      <c r="N941" s="311" t="str">
        <f>IFERROR(Y941/Y947*(1.1*J941*I946),"")</f>
        <v/>
      </c>
      <c r="O941" s="300">
        <f>IFERROR(VLOOKUP($G941,[1]нормы!$A$21:$BC$151,21,0),"")</f>
        <v>0</v>
      </c>
      <c r="P941" s="35">
        <f>IFERROR(VLOOKUP($G941,[1]нормы!$A$21:$BC$151,19,0),"")</f>
        <v>0</v>
      </c>
      <c r="Q941" s="35">
        <f>IFERROR(VLOOKUP($G941,[1]нормы!$A$21:$BC$151,23,0),"")</f>
        <v>0</v>
      </c>
      <c r="R941" s="231">
        <f>IFERROR(VLOOKUP($G941,[1]нормы!$A$21:$BC$151,29,0),"")</f>
        <v>0</v>
      </c>
      <c r="S941" s="35">
        <f>IFERROR(VLOOKUP($G941,[1]нормы!$A$21:$BC$151,31,0),"")</f>
        <v>0</v>
      </c>
      <c r="T941" s="32">
        <f>IFERROR(VLOOKUP($G941,[1]нормы!$A$21:$BC$151,25,0),"")</f>
        <v>0</v>
      </c>
      <c r="U941" s="232" t="str">
        <f>IFERROR(W941/(((100*Y941/Y947)*I946)/100),"")</f>
        <v/>
      </c>
      <c r="V941" s="234" t="str">
        <f>IFERROR(VLOOKUP($G941,нормы!$A$14:$BC$57,38,0),"")</f>
        <v/>
      </c>
      <c r="W941" s="136"/>
      <c r="X941" s="236"/>
      <c r="Y941" s="152" t="str">
        <f>IFERROR(VLOOKUP($G941,нормы!$A$14:$BC$57,42,0)*W941,"")</f>
        <v/>
      </c>
      <c r="Z941" s="163">
        <f>IFERROR(VLOOKUP($G941,нормы!$A$14:$BC$57,14,0)*W941/1000,0)</f>
        <v>0</v>
      </c>
      <c r="AA941" s="33"/>
      <c r="AB941" s="36"/>
      <c r="AC941" s="36"/>
      <c r="AD941" s="36"/>
      <c r="AE941" s="34"/>
      <c r="AF941" s="159"/>
      <c r="AG941" s="390"/>
      <c r="AH941" s="393"/>
      <c r="AI941" s="396"/>
      <c r="AJ941" s="407">
        <f>AG941+AH941</f>
        <v>0</v>
      </c>
      <c r="AK941" s="359"/>
      <c r="AL941" s="359"/>
      <c r="AM941" s="359"/>
      <c r="AN941" s="287">
        <f>IFERROR(Y941*AJ941/Y947,)</f>
        <v>0</v>
      </c>
      <c r="AO941" s="197" t="str">
        <f>IFERROR(VLOOKUP($G941,нормы!$A$14:$BC$57,53,0)*$W941,"")</f>
        <v/>
      </c>
      <c r="AP941" s="288">
        <f>IFERROR(Y941*AI941/Y947,)</f>
        <v>0</v>
      </c>
      <c r="AQ941" s="197" t="str">
        <f>IFERROR(VLOOKUP($G941,нормы!$A$14:$BC$57,54,0)*$W941,"")</f>
        <v/>
      </c>
      <c r="AR941" s="288">
        <f>IFERROR(AS941/SUM(AS941:AS946)*AL941,0)</f>
        <v>0</v>
      </c>
      <c r="AS941" s="197" t="str">
        <f>IFERROR(VLOOKUP($G941,нормы!$A$14:$BC$57,55,0)*W941,"")</f>
        <v/>
      </c>
      <c r="AT941" s="288">
        <f>IFERROR(AU941/SUM(AU941:AU946)*AM941,0)</f>
        <v>0</v>
      </c>
      <c r="AU941" s="197" t="str">
        <f>IFERROR(VLOOKUP($G941,нормы!$A$14:$BI$57,56,0)*W941,"")</f>
        <v/>
      </c>
      <c r="AV941" s="288">
        <f>IFERROR(AW941/SUM(AW941:AW946)*AK941,0)</f>
        <v>0</v>
      </c>
      <c r="AW941" s="202" t="str">
        <f>IFERROR(VLOOKUP($G941,нормы!$A$14:$BI$57,57,0)*W941,"")</f>
        <v/>
      </c>
      <c r="AX941" s="33"/>
      <c r="AY941" s="203" t="str">
        <f>IFERROR(VLOOKUP($G941,нормы!$A$14:$BI$57,58,0)*W941,"")</f>
        <v/>
      </c>
      <c r="AZ941" s="204"/>
      <c r="BA941" s="200" t="str">
        <f>IFERROR(VLOOKUP($G941,нормы!$A$14:$BI$57,61,0)*$W941,"")</f>
        <v/>
      </c>
      <c r="BB941" s="33"/>
      <c r="BC941" s="203" t="str">
        <f>IFERROR(VLOOKUP($G941,нормы!$A$14:$BI$57,60,0)*W941,"")</f>
        <v/>
      </c>
      <c r="BD941" s="200" t="str">
        <f>IFERROR(VLOOKUP($G941,нормы!$A$14:$BG$57,44,0),"")</f>
        <v/>
      </c>
      <c r="BE941" s="199" t="str">
        <f>IFERROR(W941/VLOOKUP($G941,нормы!$A$14:$BI$57,45,0),"")</f>
        <v/>
      </c>
    </row>
    <row r="942" spans="1:57" s="1" customFormat="1" ht="21.6" customHeight="1" x14ac:dyDescent="0.4">
      <c r="A942" s="37" t="str">
        <f t="shared" ref="A942:A970" si="374">A941</f>
        <v>16Д</v>
      </c>
      <c r="B942" s="12">
        <f t="shared" ref="B942:D946" si="375">B941</f>
        <v>46038</v>
      </c>
      <c r="C942" s="97">
        <f t="shared" si="375"/>
        <v>0</v>
      </c>
      <c r="D942" s="97">
        <f t="shared" si="375"/>
        <v>1</v>
      </c>
      <c r="E942" s="54"/>
      <c r="F942" s="151" t="str">
        <f>IFERROR(VLOOKUP($G942,нормы!$A$14:$BC$57,2,0),"")</f>
        <v/>
      </c>
      <c r="G942" s="93"/>
      <c r="H942" s="54">
        <f t="shared" ref="H942:H946" si="376">IF(C942=1,"Кульков С.А.", IF(C942=2,"Чудаков А.А.",IF(C942=3,"Королев В.Н.",IF(C942=4,"Николашин М.П.",IF(C942=5," Кульков С.А.",IF(C942=6,"А.А. Чудаков",IF(C942=7,"В.Н. Королев",IF(C942=8,"М.П. Николашин",0))))))))</f>
        <v>0</v>
      </c>
      <c r="I942" s="55"/>
      <c r="J942" s="333"/>
      <c r="K942" s="30">
        <f>IFERROR(VLOOKUP($G942,[1]нормы!$A$21:$BC$151,15,0),"")</f>
        <v>0</v>
      </c>
      <c r="L942" s="31">
        <f>IFERROR(VLOOKUP($G942,[1]нормы!$A$21:$BC$151,17,0),"")</f>
        <v>0</v>
      </c>
      <c r="M942" s="306">
        <f>IFERROR(VLOOKUP($G942,[1]нормы!$A$21:$BC$151,27,0),"")</f>
        <v>0</v>
      </c>
      <c r="N942" s="307" t="str">
        <f>IFERROR(Y942/Y947*(1.1*J941*I946),"")</f>
        <v/>
      </c>
      <c r="O942" s="300">
        <f>IFERROR(VLOOKUP($G942,[1]нормы!$A$21:$BC$151,21,0),"")</f>
        <v>0</v>
      </c>
      <c r="P942" s="35">
        <f>IFERROR(VLOOKUP($G942,[1]нормы!$A$21:$BC$151,19,0),"")</f>
        <v>0</v>
      </c>
      <c r="Q942" s="35">
        <f>IFERROR(VLOOKUP($G942,[1]нормы!$A$21:$BC$151,23,0),"")</f>
        <v>0</v>
      </c>
      <c r="R942" s="231">
        <f>IFERROR(VLOOKUP($G942,[1]нормы!$A$21:$BC$151,29,0),"")</f>
        <v>0</v>
      </c>
      <c r="S942" s="35">
        <f>IFERROR(VLOOKUP($G942,[1]нормы!$A$21:$BC$151,31,0),"")</f>
        <v>0</v>
      </c>
      <c r="T942" s="32">
        <f>IFERROR(VLOOKUP($G942,[1]нормы!$A$21:$BC$151,25,0),"")</f>
        <v>0</v>
      </c>
      <c r="U942" s="233" t="str">
        <f>IFERROR(W942/(((100*Y942/Y947)*I946)/100),"")</f>
        <v/>
      </c>
      <c r="V942" s="234" t="str">
        <f>IFERROR(VLOOKUP($G942,нормы!$A$14:$BC$57,38,0),"")</f>
        <v/>
      </c>
      <c r="W942" s="136"/>
      <c r="X942" s="237"/>
      <c r="Y942" s="152" t="str">
        <f>IFERROR(VLOOKUP($G942,нормы!$A$14:$BC$57,42,0)*W942,"")</f>
        <v/>
      </c>
      <c r="Z942" s="163">
        <f>IFERROR(VLOOKUP($G942,нормы!$A$14:$BC$57,14,0)*W942/1000,0)</f>
        <v>0</v>
      </c>
      <c r="AA942" s="142"/>
      <c r="AB942" s="35"/>
      <c r="AC942" s="35"/>
      <c r="AD942" s="35"/>
      <c r="AE942" s="31"/>
      <c r="AF942" s="160"/>
      <c r="AG942" s="391"/>
      <c r="AH942" s="394"/>
      <c r="AI942" s="397"/>
      <c r="AJ942" s="408"/>
      <c r="AK942" s="360"/>
      <c r="AL942" s="360"/>
      <c r="AM942" s="360"/>
      <c r="AN942" s="289">
        <f>IFERROR(Y942*AJ941/Y947,)</f>
        <v>0</v>
      </c>
      <c r="AO942" s="197" t="str">
        <f>IFERROR(VLOOKUP($G942,нормы!$A$14:$BC$57,53,0)*$W942,"")</f>
        <v/>
      </c>
      <c r="AP942" s="290">
        <f>IFERROR(Y942*AI941/Y947,)</f>
        <v>0</v>
      </c>
      <c r="AQ942" s="197" t="str">
        <f>IFERROR(VLOOKUP($G942,нормы!$A$14:$BC$57,54,0)*$W942,"")</f>
        <v/>
      </c>
      <c r="AR942" s="290">
        <f>IFERROR(AS942/SUM(AS941:AS946)*AL941,0)</f>
        <v>0</v>
      </c>
      <c r="AS942" s="197" t="str">
        <f>IFERROR(VLOOKUP($G942,нормы!$A$14:$BC$57,55,0)*W942,"")</f>
        <v/>
      </c>
      <c r="AT942" s="290">
        <f>IFERROR(AU942/SUM(AU941:AU946)*AM941,0)</f>
        <v>0</v>
      </c>
      <c r="AU942" s="197" t="str">
        <f>IFERROR(VLOOKUP($G942,нормы!$A$14:$BI$57,56,0)*W942,"")</f>
        <v/>
      </c>
      <c r="AV942" s="290">
        <f>IFERROR(AW942/SUM(AW941:AW946)*AK941,0)</f>
        <v>0</v>
      </c>
      <c r="AW942" s="202" t="str">
        <f>IFERROR(VLOOKUP($G942,нормы!$A$14:$BI$57,57,0)*W942,"")</f>
        <v/>
      </c>
      <c r="AX942" s="30"/>
      <c r="AY942" s="203" t="str">
        <f>IFERROR(VLOOKUP($G942,нормы!$A$14:$BI$57,58,0)*W942,"")</f>
        <v/>
      </c>
      <c r="AZ942" s="205"/>
      <c r="BA942" s="200" t="str">
        <f>IFERROR(VLOOKUP($G942,нормы!$A$14:$BI$57,61,0)*$W942,"")</f>
        <v/>
      </c>
      <c r="BB942" s="30"/>
      <c r="BC942" s="203" t="str">
        <f>IFERROR(VLOOKUP($G942,нормы!$A$14:$BI$57,60,0)*W942,"")</f>
        <v/>
      </c>
      <c r="BD942" s="200" t="str">
        <f>IFERROR(VLOOKUP($G942,нормы!$A$14:$BG$57,44,0),"")</f>
        <v/>
      </c>
      <c r="BE942" s="199" t="str">
        <f>IFERROR(W942/VLOOKUP($G942,нормы!$A$14:$BI$57,45,0),"")</f>
        <v/>
      </c>
    </row>
    <row r="943" spans="1:57" s="1" customFormat="1" ht="20.25" customHeight="1" x14ac:dyDescent="0.4">
      <c r="A943" s="37" t="str">
        <f t="shared" si="374"/>
        <v>16Д</v>
      </c>
      <c r="B943" s="12">
        <f t="shared" si="375"/>
        <v>46038</v>
      </c>
      <c r="C943" s="97">
        <f t="shared" si="375"/>
        <v>0</v>
      </c>
      <c r="D943" s="97">
        <f t="shared" si="375"/>
        <v>1</v>
      </c>
      <c r="E943" s="54"/>
      <c r="F943" s="151" t="str">
        <f>IFERROR(VLOOKUP($G943,нормы!$A$14:$BC$57,2,0),"")</f>
        <v/>
      </c>
      <c r="G943" s="38"/>
      <c r="H943" s="54">
        <f t="shared" si="376"/>
        <v>0</v>
      </c>
      <c r="I943" s="89" t="s">
        <v>85</v>
      </c>
      <c r="J943" s="333"/>
      <c r="K943" s="30">
        <f>IFERROR(VLOOKUP($G943,[1]нормы!$A$21:$BC$151,15,0),"")</f>
        <v>0</v>
      </c>
      <c r="L943" s="31">
        <f>IFERROR(VLOOKUP($G943,[1]нормы!$A$21:$BC$151,17,0),"")</f>
        <v>0</v>
      </c>
      <c r="M943" s="306">
        <f>IFERROR(VLOOKUP($G943,[1]нормы!$A$21:$BC$151,27,0),"")</f>
        <v>0</v>
      </c>
      <c r="N943" s="307" t="str">
        <f>IFERROR(Y943/Y947*(1.1*J941*I946),"")</f>
        <v/>
      </c>
      <c r="O943" s="300">
        <f>IFERROR(VLOOKUP($G943,[1]нормы!$A$21:$BC$151,21,0),"")</f>
        <v>0</v>
      </c>
      <c r="P943" s="35">
        <f>IFERROR(VLOOKUP($G943,[1]нормы!$A$21:$BC$151,19,0),"")</f>
        <v>0</v>
      </c>
      <c r="Q943" s="35">
        <f>IFERROR(VLOOKUP($G943,[1]нормы!$A$21:$BC$151,23,0),"")</f>
        <v>0</v>
      </c>
      <c r="R943" s="231">
        <f>IFERROR(VLOOKUP($G943,[1]нормы!$A$21:$BC$151,29,0),"")</f>
        <v>0</v>
      </c>
      <c r="S943" s="35">
        <f>IFERROR(VLOOKUP($G943,[1]нормы!$A$21:$BC$151,31,0),"")</f>
        <v>0</v>
      </c>
      <c r="T943" s="32">
        <f>IFERROR(VLOOKUP($G943,[1]нормы!$A$21:$BC$151,25,0),"")</f>
        <v>0</v>
      </c>
      <c r="U943" s="233" t="str">
        <f>IFERROR(W943/(((100*Y943/Y947)*I946)/100),"")</f>
        <v/>
      </c>
      <c r="V943" s="234" t="str">
        <f>IFERROR(VLOOKUP($G943,нормы!$A$14:$BC$57,38,0),"")</f>
        <v/>
      </c>
      <c r="W943" s="136"/>
      <c r="X943" s="237"/>
      <c r="Y943" s="152" t="str">
        <f>IFERROR(VLOOKUP($G943,нормы!$A$14:$BC$57,42,0)*W943,"")</f>
        <v/>
      </c>
      <c r="Z943" s="163">
        <f>IFERROR(VLOOKUP($G943,нормы!$A$14:$BC$57,14,0)*W943/1000,0)</f>
        <v>0</v>
      </c>
      <c r="AA943" s="30"/>
      <c r="AB943" s="35"/>
      <c r="AC943" s="35"/>
      <c r="AD943" s="35"/>
      <c r="AE943" s="31"/>
      <c r="AF943" s="160"/>
      <c r="AG943" s="391"/>
      <c r="AH943" s="394"/>
      <c r="AI943" s="397"/>
      <c r="AJ943" s="408"/>
      <c r="AK943" s="360"/>
      <c r="AL943" s="360"/>
      <c r="AM943" s="360"/>
      <c r="AN943" s="289">
        <f>IFERROR(Y943*AJ941/Y947,)</f>
        <v>0</v>
      </c>
      <c r="AO943" s="197" t="str">
        <f>IFERROR(VLOOKUP($G943,нормы!$A$14:$BC$57,53,0)*$W943,"")</f>
        <v/>
      </c>
      <c r="AP943" s="290">
        <f>IFERROR(Y943*AI941/Y947,)</f>
        <v>0</v>
      </c>
      <c r="AQ943" s="197" t="str">
        <f>IFERROR(VLOOKUP($G943,нормы!$A$14:$BC$57,54,0)*$W943,"")</f>
        <v/>
      </c>
      <c r="AR943" s="290">
        <f>IFERROR(AS943/SUM(AS941:AS946)*AL941,0)</f>
        <v>0</v>
      </c>
      <c r="AS943" s="197" t="str">
        <f>IFERROR(VLOOKUP($G943,нормы!$A$14:$BC$57,55,0)*W943,"")</f>
        <v/>
      </c>
      <c r="AT943" s="290">
        <f>IFERROR(AU943/SUM(AU941:AU946)*AM941,0)</f>
        <v>0</v>
      </c>
      <c r="AU943" s="197" t="str">
        <f>IFERROR(VLOOKUP($G943,нормы!$A$14:$BI$57,56,0)*W943,"")</f>
        <v/>
      </c>
      <c r="AV943" s="290">
        <f>IFERROR(AW943/SUM(AW941:AW946)*AK941,0)</f>
        <v>0</v>
      </c>
      <c r="AW943" s="202" t="str">
        <f>IFERROR(VLOOKUP($G943,нормы!$A$14:$BI$57,57,0)*W943,"")</f>
        <v/>
      </c>
      <c r="AX943" s="30"/>
      <c r="AY943" s="203" t="str">
        <f>IFERROR(VLOOKUP($G943,нормы!$A$14:$BI$57,58,0)*W943,"")</f>
        <v/>
      </c>
      <c r="AZ943" s="205"/>
      <c r="BA943" s="200" t="str">
        <f>IFERROR(VLOOKUP($G943,нормы!$A$14:$BI$57,61,0)*$W943,"")</f>
        <v/>
      </c>
      <c r="BB943" s="30"/>
      <c r="BC943" s="203" t="str">
        <f>IFERROR(VLOOKUP($G943,нормы!$A$14:$BI$57,60,0)*W943,"")</f>
        <v/>
      </c>
      <c r="BD943" s="200" t="str">
        <f>IFERROR(VLOOKUP($G943,нормы!$A$14:$BG$57,44,0),"")</f>
        <v/>
      </c>
      <c r="BE943" s="199" t="str">
        <f>IFERROR(W943/VLOOKUP($G943,нормы!$A$14:$BI$57,45,0),"")</f>
        <v/>
      </c>
    </row>
    <row r="944" spans="1:57" s="1" customFormat="1" ht="20.25" customHeight="1" x14ac:dyDescent="0.4">
      <c r="A944" s="37" t="str">
        <f t="shared" si="374"/>
        <v>16Д</v>
      </c>
      <c r="B944" s="12">
        <f t="shared" si="375"/>
        <v>46038</v>
      </c>
      <c r="C944" s="97">
        <f t="shared" si="375"/>
        <v>0</v>
      </c>
      <c r="D944" s="97">
        <f t="shared" si="375"/>
        <v>1</v>
      </c>
      <c r="E944" s="54"/>
      <c r="F944" s="151" t="str">
        <f>IFERROR(VLOOKUP($G944,нормы!$A$14:$BC$57,2,0),"")</f>
        <v/>
      </c>
      <c r="G944" s="93"/>
      <c r="H944" s="54">
        <f t="shared" si="376"/>
        <v>0</v>
      </c>
      <c r="I944" s="55"/>
      <c r="J944" s="333"/>
      <c r="K944" s="30">
        <f>IFERROR(VLOOKUP($G944,[1]нормы!$A$21:$BC$151,15,0),"")</f>
        <v>0</v>
      </c>
      <c r="L944" s="31">
        <f>IFERROR(VLOOKUP($G944,[1]нормы!$A$21:$BC$151,17,0),"")</f>
        <v>0</v>
      </c>
      <c r="M944" s="306">
        <f>IFERROR(VLOOKUP($G944,[1]нормы!$A$21:$BC$151,27,0),"")</f>
        <v>0</v>
      </c>
      <c r="N944" s="307" t="str">
        <f>IFERROR(Y944/Y947*(1.1*J941*I949),"")</f>
        <v/>
      </c>
      <c r="O944" s="300">
        <f>IFERROR(VLOOKUP($G944,[1]нормы!$A$21:$BC$151,21,0),"")</f>
        <v>0</v>
      </c>
      <c r="P944" s="35">
        <f>IFERROR(VLOOKUP($G944,[1]нормы!$A$21:$BC$151,19,0),"")</f>
        <v>0</v>
      </c>
      <c r="Q944" s="35">
        <f>IFERROR(VLOOKUP($G944,[1]нормы!$A$21:$BC$151,23,0),"")</f>
        <v>0</v>
      </c>
      <c r="R944" s="231">
        <f>IFERROR(VLOOKUP($G944,[1]нормы!$A$21:$BC$151,29,0),"")</f>
        <v>0</v>
      </c>
      <c r="S944" s="35">
        <f>IFERROR(VLOOKUP($G944,[1]нормы!$A$21:$BC$151,31,0),"")</f>
        <v>0</v>
      </c>
      <c r="T944" s="32">
        <f>IFERROR(VLOOKUP($G944,[1]нормы!$A$21:$BC$151,25,0),"")</f>
        <v>0</v>
      </c>
      <c r="U944" s="233" t="str">
        <f>IFERROR(W944/(((100*Y944/Y947)*I946)/100),"")</f>
        <v/>
      </c>
      <c r="V944" s="234" t="str">
        <f>IFERROR(VLOOKUP($G944,нормы!$A$14:$BC$57,38,0),"")</f>
        <v/>
      </c>
      <c r="W944" s="136"/>
      <c r="X944" s="237"/>
      <c r="Y944" s="152" t="str">
        <f>IFERROR(VLOOKUP($G944,нормы!$A$14:$BC$57,42,0)*W944,"")</f>
        <v/>
      </c>
      <c r="Z944" s="163">
        <f>IFERROR(VLOOKUP($G944,нормы!$A$14:$BC$57,14,0)*W944/1000,0)</f>
        <v>0</v>
      </c>
      <c r="AA944" s="30"/>
      <c r="AB944" s="35"/>
      <c r="AC944" s="35"/>
      <c r="AD944" s="35"/>
      <c r="AE944" s="31"/>
      <c r="AF944" s="160"/>
      <c r="AG944" s="391"/>
      <c r="AH944" s="394"/>
      <c r="AI944" s="397"/>
      <c r="AJ944" s="408"/>
      <c r="AK944" s="360"/>
      <c r="AL944" s="360"/>
      <c r="AM944" s="360"/>
      <c r="AN944" s="289">
        <f>IFERROR(Y944*AJ941/Y947,)</f>
        <v>0</v>
      </c>
      <c r="AO944" s="197" t="str">
        <f>IFERROR(VLOOKUP($G944,нормы!$A$14:$BC$57,53,0)*$W944,"")</f>
        <v/>
      </c>
      <c r="AP944" s="290">
        <f>IFERROR(Y944*AI941/Y947,)</f>
        <v>0</v>
      </c>
      <c r="AQ944" s="197" t="str">
        <f>IFERROR(VLOOKUP($G944,нормы!$A$14:$BC$57,54,0)*$W944,"")</f>
        <v/>
      </c>
      <c r="AR944" s="290">
        <f>IFERROR(AS944/SUM(AS941:AS946)*AL941,0)</f>
        <v>0</v>
      </c>
      <c r="AS944" s="197" t="str">
        <f>IFERROR(VLOOKUP($G944,нормы!$A$14:$BC$57,55,0)*W944,"")</f>
        <v/>
      </c>
      <c r="AT944" s="290">
        <f>IFERROR(AU944/SUM(AU941:AU946)*AM941,0)</f>
        <v>0</v>
      </c>
      <c r="AU944" s="197" t="str">
        <f>IFERROR(VLOOKUP($G944,нормы!$A$14:$BI$57,56,0)*W944,"")</f>
        <v/>
      </c>
      <c r="AV944" s="290">
        <f>IFERROR(AW944/SUM(AW941:AW946)*AK941,0)</f>
        <v>0</v>
      </c>
      <c r="AW944" s="202" t="str">
        <f>IFERROR(VLOOKUP($G944,нормы!$A$14:$BI$57,57,0)*W944,"")</f>
        <v/>
      </c>
      <c r="AX944" s="30"/>
      <c r="AY944" s="203" t="str">
        <f>IFERROR(VLOOKUP($G944,нормы!$A$14:$BI$57,58,0)*W944,"")</f>
        <v/>
      </c>
      <c r="AZ944" s="205"/>
      <c r="BA944" s="200" t="str">
        <f>IFERROR(VLOOKUP($G944,нормы!$A$14:$BI$57,61,0)*$W944,"")</f>
        <v/>
      </c>
      <c r="BB944" s="30"/>
      <c r="BC944" s="203" t="str">
        <f>IFERROR(VLOOKUP($G944,нормы!$A$14:$BI$57,60,0)*W944,"")</f>
        <v/>
      </c>
      <c r="BD944" s="200" t="str">
        <f>IFERROR(VLOOKUP($G944,нормы!$A$14:$BG$57,44,0),"")</f>
        <v/>
      </c>
      <c r="BE944" s="199" t="str">
        <f>IFERROR(W944/VLOOKUP($G944,нормы!$A$14:$BI$57,45,0),"")</f>
        <v/>
      </c>
    </row>
    <row r="945" spans="1:57" s="1" customFormat="1" ht="20.25" customHeight="1" x14ac:dyDescent="0.4">
      <c r="A945" s="37" t="str">
        <f t="shared" si="374"/>
        <v>16Д</v>
      </c>
      <c r="B945" s="12">
        <f t="shared" si="375"/>
        <v>46038</v>
      </c>
      <c r="C945" s="97">
        <f t="shared" si="375"/>
        <v>0</v>
      </c>
      <c r="D945" s="97">
        <f t="shared" si="375"/>
        <v>1</v>
      </c>
      <c r="E945" s="54"/>
      <c r="F945" s="151" t="str">
        <f>IFERROR(VLOOKUP($G945,нормы!$A$14:$BC$57,2,0),"")</f>
        <v/>
      </c>
      <c r="G945" s="38"/>
      <c r="H945" s="54">
        <f t="shared" si="376"/>
        <v>0</v>
      </c>
      <c r="I945" s="89" t="s">
        <v>73</v>
      </c>
      <c r="J945" s="333"/>
      <c r="K945" s="30">
        <f>IFERROR(VLOOKUP($G945,[1]нормы!$A$21:$BC$151,15,0),"")</f>
        <v>0</v>
      </c>
      <c r="L945" s="31">
        <f>IFERROR(VLOOKUP($G945,[1]нормы!$A$21:$BC$151,17,0),"")</f>
        <v>0</v>
      </c>
      <c r="M945" s="306">
        <f>IFERROR(VLOOKUP($G945,[1]нормы!$A$21:$BC$151,27,0),"")</f>
        <v>0</v>
      </c>
      <c r="N945" s="307" t="str">
        <f>IFERROR(Y945/Y947*(1.1*J941*I950),"")</f>
        <v/>
      </c>
      <c r="O945" s="300">
        <f>IFERROR(VLOOKUP($G945,[1]нормы!$A$21:$BC$151,21,0),"")</f>
        <v>0</v>
      </c>
      <c r="P945" s="35">
        <f>IFERROR(VLOOKUP($G945,[1]нормы!$A$21:$BC$151,19,0),"")</f>
        <v>0</v>
      </c>
      <c r="Q945" s="35">
        <f>IFERROR(VLOOKUP($G945,[1]нормы!$A$21:$BC$151,23,0),"")</f>
        <v>0</v>
      </c>
      <c r="R945" s="231">
        <f>IFERROR(VLOOKUP($G945,[1]нормы!$A$21:$BC$151,29,0),"")</f>
        <v>0</v>
      </c>
      <c r="S945" s="35">
        <f>IFERROR(VLOOKUP($G945,[1]нормы!$A$21:$BC$151,31,0),"")</f>
        <v>0</v>
      </c>
      <c r="T945" s="32">
        <f>IFERROR(VLOOKUP($G945,[1]нормы!$A$21:$BC$151,25,0),"")</f>
        <v>0</v>
      </c>
      <c r="U945" s="233" t="str">
        <f>IFERROR(W945/(((100*Y945/Y947)*I946)/100),"")</f>
        <v/>
      </c>
      <c r="V945" s="234" t="str">
        <f>IFERROR(VLOOKUP($G945,нормы!$A$14:$BC$57,38,0),"")</f>
        <v/>
      </c>
      <c r="W945" s="136"/>
      <c r="X945" s="237"/>
      <c r="Y945" s="152" t="str">
        <f>IFERROR(VLOOKUP($G945,нормы!$A$14:$BC$57,42,0)*W945,"")</f>
        <v/>
      </c>
      <c r="Z945" s="163">
        <f>IFERROR(VLOOKUP($G945,нормы!$A$14:$BC$57,14,0)*W945/1000,0)</f>
        <v>0</v>
      </c>
      <c r="AA945" s="30"/>
      <c r="AB945" s="35"/>
      <c r="AC945" s="35"/>
      <c r="AD945" s="35"/>
      <c r="AE945" s="31"/>
      <c r="AF945" s="160"/>
      <c r="AG945" s="391"/>
      <c r="AH945" s="394"/>
      <c r="AI945" s="397"/>
      <c r="AJ945" s="408"/>
      <c r="AK945" s="360"/>
      <c r="AL945" s="360"/>
      <c r="AM945" s="360"/>
      <c r="AN945" s="289">
        <f>IFERROR(Y945*AJ941/Y947,)</f>
        <v>0</v>
      </c>
      <c r="AO945" s="197" t="str">
        <f>IFERROR(VLOOKUP($G945,нормы!$A$14:$BC$57,53,0)*$W945,"")</f>
        <v/>
      </c>
      <c r="AP945" s="290">
        <f>IFERROR(Y945*AI941/Y947,)</f>
        <v>0</v>
      </c>
      <c r="AQ945" s="197" t="str">
        <f>IFERROR(VLOOKUP($G945,нормы!$A$14:$BC$57,54,0)*$W945,"")</f>
        <v/>
      </c>
      <c r="AR945" s="290">
        <f>IFERROR(AS945/SUM(AS941:AS946)*AL941,0)</f>
        <v>0</v>
      </c>
      <c r="AS945" s="197" t="str">
        <f>IFERROR(VLOOKUP($G945,нормы!$A$14:$BC$57,55,0)*W945,"")</f>
        <v/>
      </c>
      <c r="AT945" s="290">
        <f>IFERROR(AU945/SUM(AU941:AU946)*AM941,0)</f>
        <v>0</v>
      </c>
      <c r="AU945" s="197" t="str">
        <f>IFERROR(VLOOKUP($G945,нормы!$A$14:$BI$57,56,0)*W945,"")</f>
        <v/>
      </c>
      <c r="AV945" s="290">
        <f>IFERROR(AW945/SUM(AW941:AW946)*AK941,0)</f>
        <v>0</v>
      </c>
      <c r="AW945" s="202" t="str">
        <f>IFERROR(VLOOKUP($G945,нормы!$A$14:$BI$57,57,0)*W945,"")</f>
        <v/>
      </c>
      <c r="AX945" s="30"/>
      <c r="AY945" s="203" t="str">
        <f>IFERROR(VLOOKUP($G945,нормы!$A$14:$BI$57,58,0)*W945,"")</f>
        <v/>
      </c>
      <c r="AZ945" s="205"/>
      <c r="BA945" s="200" t="str">
        <f>IFERROR(VLOOKUP($G945,нормы!$A$14:$BI$57,61,0)*$W945,"")</f>
        <v/>
      </c>
      <c r="BB945" s="30"/>
      <c r="BC945" s="203" t="str">
        <f>IFERROR(VLOOKUP($G945,нормы!$A$14:$BI$57,60,0)*W945,"")</f>
        <v/>
      </c>
      <c r="BD945" s="200" t="str">
        <f>IFERROR(VLOOKUP($G945,нормы!$A$14:$BG$57,44,0),"")</f>
        <v/>
      </c>
      <c r="BE945" s="199" t="str">
        <f>IFERROR(W945/VLOOKUP($G945,нормы!$A$14:$BI$57,45,0),"")</f>
        <v/>
      </c>
    </row>
    <row r="946" spans="1:57" s="1" customFormat="1" ht="21" customHeight="1" thickBot="1" x14ac:dyDescent="0.45">
      <c r="A946" s="37" t="str">
        <f t="shared" si="374"/>
        <v>16Д</v>
      </c>
      <c r="B946" s="12">
        <f t="shared" si="375"/>
        <v>46038</v>
      </c>
      <c r="C946" s="97">
        <f t="shared" si="375"/>
        <v>0</v>
      </c>
      <c r="D946" s="97">
        <f t="shared" si="375"/>
        <v>1</v>
      </c>
      <c r="E946" s="54"/>
      <c r="F946" s="151" t="str">
        <f>IFERROR(VLOOKUP($G946,нормы!$A$14:$BC$57,2,0),"")</f>
        <v/>
      </c>
      <c r="G946" s="93"/>
      <c r="H946" s="63">
        <f t="shared" si="376"/>
        <v>0</v>
      </c>
      <c r="I946" s="153">
        <f>I942+I944</f>
        <v>0</v>
      </c>
      <c r="J946" s="334"/>
      <c r="K946" s="30">
        <f>IFERROR(VLOOKUP($G946,[1]нормы!$A$21:$BC$151,15,0),"")</f>
        <v>0</v>
      </c>
      <c r="L946" s="31">
        <f>IFERROR(VLOOKUP($G946,[1]нормы!$A$21:$BC$151,17,0),"")</f>
        <v>0</v>
      </c>
      <c r="M946" s="308">
        <f>IFERROR(VLOOKUP($G946,[1]нормы!$A$21:$BC$151,27,0),"")</f>
        <v>0</v>
      </c>
      <c r="N946" s="309" t="str">
        <f>IFERROR(Y946/Y947*(1.1*J941*I951),"")</f>
        <v/>
      </c>
      <c r="O946" s="300">
        <f>IFERROR(VLOOKUP($G946,[1]нормы!$A$21:$BC$151,21,0),"")</f>
        <v>0</v>
      </c>
      <c r="P946" s="35">
        <f>IFERROR(VLOOKUP($G946,[1]нормы!$A$21:$BC$151,19,0),"")</f>
        <v>0</v>
      </c>
      <c r="Q946" s="35">
        <f>IFERROR(VLOOKUP($G946,[1]нормы!$A$21:$BC$151,23,0),"")</f>
        <v>0</v>
      </c>
      <c r="R946" s="231">
        <f>IFERROR(VLOOKUP($G946,[1]нормы!$A$21:$BC$151,29,0),"")</f>
        <v>0</v>
      </c>
      <c r="S946" s="35">
        <f>IFERROR(VLOOKUP($G946,[1]нормы!$A$21:$BC$151,31,0),"")</f>
        <v>0</v>
      </c>
      <c r="T946" s="32">
        <f>IFERROR(VLOOKUP($G946,[1]нормы!$A$21:$BC$151,25,0),"")</f>
        <v>0</v>
      </c>
      <c r="U946" s="235" t="str">
        <f>IFERROR(W946/(((100*Y946/Y947)*I946)/100),"")</f>
        <v/>
      </c>
      <c r="V946" s="234" t="str">
        <f>IFERROR(VLOOKUP($G946,нормы!$A$14:$BC$57,38,0),"")</f>
        <v/>
      </c>
      <c r="W946" s="154"/>
      <c r="X946" s="238"/>
      <c r="Y946" s="152" t="str">
        <f>IFERROR(VLOOKUP($G946,нормы!$A$14:$BC$57,42,0)*W946,"")</f>
        <v/>
      </c>
      <c r="Z946" s="163">
        <f>IFERROR(VLOOKUP($G946,нормы!$A$14:$BC$57,14,0)*W946/1000,0)</f>
        <v>0</v>
      </c>
      <c r="AA946" s="56"/>
      <c r="AB946" s="58"/>
      <c r="AC946" s="58"/>
      <c r="AD946" s="58"/>
      <c r="AE946" s="57"/>
      <c r="AF946" s="161"/>
      <c r="AG946" s="392"/>
      <c r="AH946" s="395"/>
      <c r="AI946" s="398"/>
      <c r="AJ946" s="409"/>
      <c r="AK946" s="361"/>
      <c r="AL946" s="361"/>
      <c r="AM946" s="361"/>
      <c r="AN946" s="291">
        <f>IFERROR(Y946*AJ941/Y947,)</f>
        <v>0</v>
      </c>
      <c r="AO946" s="197" t="str">
        <f>IFERROR(VLOOKUP($G946,нормы!$A$14:$BC$57,53,0)*$W946,"")</f>
        <v/>
      </c>
      <c r="AP946" s="292">
        <f>IFERROR(Y946*AI941/Y947,)</f>
        <v>0</v>
      </c>
      <c r="AQ946" s="197" t="str">
        <f>IFERROR(VLOOKUP($G946,нормы!$A$14:$BC$57,54,0)*$W946,"")</f>
        <v/>
      </c>
      <c r="AR946" s="290">
        <f>IFERROR(AS946/SUM(AS941:AS946)*AL941,0)</f>
        <v>0</v>
      </c>
      <c r="AS946" s="197" t="str">
        <f>IFERROR(VLOOKUP($G946,нормы!$A$14:$BC$57,55,0)*W946,"")</f>
        <v/>
      </c>
      <c r="AT946" s="292">
        <f>IFERROR(AU946/SUM(AU941:AU946)*AM941,0)</f>
        <v>0</v>
      </c>
      <c r="AU946" s="197" t="str">
        <f>IFERROR(VLOOKUP($G946,нормы!$A$14:$BI$57,56,0)*W946,"")</f>
        <v/>
      </c>
      <c r="AV946" s="292">
        <f>IFERROR(AW946/SUM(AW941:AW946)*AK941,0)</f>
        <v>0</v>
      </c>
      <c r="AW946" s="202" t="str">
        <f>IFERROR(VLOOKUP($G946,нормы!$A$14:$BI$57,57,0)*W946,"")</f>
        <v/>
      </c>
      <c r="AX946" s="56"/>
      <c r="AY946" s="203" t="str">
        <f>IFERROR(VLOOKUP($G946,нормы!$A$14:$BI$57,58,0)*W946,"")</f>
        <v/>
      </c>
      <c r="AZ946" s="206"/>
      <c r="BA946" s="200" t="str">
        <f>IFERROR(VLOOKUP($G946,нормы!$A$14:$BI$57,61,0)*$W946,"")</f>
        <v/>
      </c>
      <c r="BB946" s="56"/>
      <c r="BC946" s="203" t="str">
        <f>IFERROR(VLOOKUP($G946,нормы!$A$14:$BI$57,60,0)*W946,"")</f>
        <v/>
      </c>
      <c r="BD946" s="200" t="str">
        <f>IFERROR(VLOOKUP($G946,нормы!$A$14:$BG$57,44,0),"")</f>
        <v/>
      </c>
      <c r="BE946" s="199" t="str">
        <f>IFERROR(W946/VLOOKUP($G946,нормы!$A$14:$BI$57,45,0),"")</f>
        <v/>
      </c>
    </row>
    <row r="947" spans="1:57" s="1" customFormat="1" ht="29.4" customHeight="1" thickBot="1" x14ac:dyDescent="0.45">
      <c r="A947" s="37" t="str">
        <f t="shared" si="374"/>
        <v>16Д</v>
      </c>
      <c r="B947" s="59"/>
      <c r="C947" s="51"/>
      <c r="D947" s="51"/>
      <c r="E947" s="51"/>
      <c r="F947" s="295" t="s">
        <v>148</v>
      </c>
      <c r="G947" s="51"/>
      <c r="H947" s="51"/>
      <c r="I947" s="60"/>
      <c r="J947" s="60"/>
      <c r="K947" s="319" t="s">
        <v>213</v>
      </c>
      <c r="L947" s="316"/>
      <c r="M947" s="303" t="s">
        <v>213</v>
      </c>
      <c r="N947" s="317">
        <f>SUM(N941:N946)</f>
        <v>0</v>
      </c>
      <c r="O947" s="304" t="s">
        <v>216</v>
      </c>
      <c r="P947" s="318">
        <f>N947*8.937/1000</f>
        <v>0</v>
      </c>
      <c r="Q947" s="305" t="s">
        <v>215</v>
      </c>
      <c r="R947" s="61"/>
      <c r="S947" s="61"/>
      <c r="T947" s="61"/>
      <c r="U947" s="109"/>
      <c r="V947" s="109"/>
      <c r="W947" s="94"/>
      <c r="X947" s="155"/>
      <c r="Y947" s="96">
        <f>SUM(Y941:Y946)</f>
        <v>0</v>
      </c>
      <c r="Z947" s="164">
        <f>SUM(Z941:Z946)</f>
        <v>0</v>
      </c>
      <c r="AA947" s="62"/>
      <c r="AB947" s="62"/>
      <c r="AC947" s="62"/>
      <c r="AD947" s="62"/>
      <c r="AE947" s="62"/>
      <c r="AF947" s="62"/>
      <c r="AG947" s="162" t="s">
        <v>140</v>
      </c>
      <c r="AH947" s="162" t="s">
        <v>141</v>
      </c>
      <c r="AI947" s="162" t="s">
        <v>142</v>
      </c>
      <c r="AJ947" s="91" t="s">
        <v>126</v>
      </c>
      <c r="AK947" s="198" t="s">
        <v>136</v>
      </c>
      <c r="AL947" s="198" t="s">
        <v>137</v>
      </c>
      <c r="AM947" s="198" t="s">
        <v>138</v>
      </c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53" t="str">
        <f>IFERROR(W947/VLOOKUP($G947,нормы!$A$14:$BI$15,28,0),"")</f>
        <v/>
      </c>
    </row>
    <row r="948" spans="1:57" s="1" customFormat="1" ht="21.6" customHeight="1" x14ac:dyDescent="0.4">
      <c r="A948" s="37" t="str">
        <f t="shared" si="374"/>
        <v>16Д</v>
      </c>
      <c r="B948" s="12">
        <f>B946</f>
        <v>46038</v>
      </c>
      <c r="C948" s="97"/>
      <c r="D948" s="97">
        <v>2</v>
      </c>
      <c r="E948" s="29"/>
      <c r="F948" s="151" t="str">
        <f>IFERROR(VLOOKUP($G948,нормы!$A$14:$BC$57,2,0),"")</f>
        <v/>
      </c>
      <c r="G948" s="93"/>
      <c r="H948" s="54">
        <f>IF(C948=1,"Кульков С.А.", IF(C948=2,"Чудаков А.А.",IF(C948=3,"Королев В.Н.",IF(C948=4,"Николашин М.П.",IF(C948=5," Кульков С.А.",IF(C948=6,"А.А. Чудаков",IF(C948=7,"В.Н. Королев",IF(C948=8,"М.П. Николашин",0))))))))</f>
        <v>0</v>
      </c>
      <c r="I948" s="88" t="s">
        <v>211</v>
      </c>
      <c r="J948" s="332"/>
      <c r="K948" s="30">
        <f>IFERROR(VLOOKUP($G948,[1]нормы!$A$21:$BC$151,15,0),"")</f>
        <v>0</v>
      </c>
      <c r="L948" s="31">
        <f>IFERROR(VLOOKUP($G948,[1]нормы!$A$21:$BC$151,17,0),"")</f>
        <v>0</v>
      </c>
      <c r="M948" s="310">
        <f>IFERROR(VLOOKUP($G948,[1]нормы!$A$21:$BC$151,27,0),"")</f>
        <v>0</v>
      </c>
      <c r="N948" s="311" t="str">
        <f>IFERROR(Y948/Y954*(1.1*J948*I953),"")</f>
        <v/>
      </c>
      <c r="O948" s="300">
        <f>IFERROR(VLOOKUP($G948,[1]нормы!$A$21:$BC$151,21,0),"")</f>
        <v>0</v>
      </c>
      <c r="P948" s="35">
        <f>IFERROR(VLOOKUP($G948,[1]нормы!$A$21:$BC$151,19,0),"")</f>
        <v>0</v>
      </c>
      <c r="Q948" s="35">
        <f>IFERROR(VLOOKUP($G948,[1]нормы!$A$21:$BC$151,23,0),"")</f>
        <v>0</v>
      </c>
      <c r="R948" s="231">
        <f>IFERROR(VLOOKUP($G948,[1]нормы!$A$21:$BC$151,29,0),"")</f>
        <v>0</v>
      </c>
      <c r="S948" s="35">
        <f>IFERROR(VLOOKUP($G948,[1]нормы!$A$21:$BC$151,31,0),"")</f>
        <v>0</v>
      </c>
      <c r="T948" s="32">
        <f>IFERROR(VLOOKUP($G948,[1]нормы!$A$21:$BC$151,25,0),"")</f>
        <v>0</v>
      </c>
      <c r="U948" s="232" t="str">
        <f>IFERROR(W948/(((100*Y948/Y954)*I953)/100),"")</f>
        <v/>
      </c>
      <c r="V948" s="234" t="str">
        <f>IFERROR(VLOOKUP($G948,нормы!$A$14:$BC$57,38,0),"")</f>
        <v/>
      </c>
      <c r="W948" s="136"/>
      <c r="X948" s="236"/>
      <c r="Y948" s="152" t="str">
        <f>IFERROR(VLOOKUP($G948,нормы!$A$14:$BC$57,42,0)*W948,"")</f>
        <v/>
      </c>
      <c r="Z948" s="163">
        <f>IFERROR(VLOOKUP($G948,нормы!$A$14:$BC$57,14,0)*W948/1000,0)</f>
        <v>0</v>
      </c>
      <c r="AA948" s="33"/>
      <c r="AB948" s="36"/>
      <c r="AC948" s="36"/>
      <c r="AD948" s="36"/>
      <c r="AE948" s="34"/>
      <c r="AF948" s="159"/>
      <c r="AG948" s="390"/>
      <c r="AH948" s="393"/>
      <c r="AI948" s="396"/>
      <c r="AJ948" s="407">
        <f>AG948+AH948</f>
        <v>0</v>
      </c>
      <c r="AK948" s="359"/>
      <c r="AL948" s="359"/>
      <c r="AM948" s="359"/>
      <c r="AN948" s="287">
        <f>IFERROR(Y948*AJ948/Y954,)</f>
        <v>0</v>
      </c>
      <c r="AO948" s="197" t="str">
        <f>IFERROR(VLOOKUP($G948,нормы!$A$14:$BC$57,53,0)*$W948,"")</f>
        <v/>
      </c>
      <c r="AP948" s="288">
        <f>IFERROR(Y948*AI948/Y954,)</f>
        <v>0</v>
      </c>
      <c r="AQ948" s="197" t="str">
        <f>IFERROR(VLOOKUP($G948,нормы!$A$14:$BC$57,54,0)*$W948,"")</f>
        <v/>
      </c>
      <c r="AR948" s="288">
        <f>IFERROR(AS948/SUM(AS948:AS953)*AL948,0)</f>
        <v>0</v>
      </c>
      <c r="AS948" s="197" t="str">
        <f>IFERROR(VLOOKUP($G948,нормы!$A$14:$BC$57,55,0)*W948,"")</f>
        <v/>
      </c>
      <c r="AT948" s="288">
        <f>IFERROR(AU948/SUM(AU948:AU953)*AM948,0)</f>
        <v>0</v>
      </c>
      <c r="AU948" s="197" t="str">
        <f>IFERROR(VLOOKUP($G948,нормы!$A$14:$BI$57,56,0)*W948,"")</f>
        <v/>
      </c>
      <c r="AV948" s="288">
        <f>IFERROR(AW948/SUM(AW948:AW953)*AK948,0)</f>
        <v>0</v>
      </c>
      <c r="AW948" s="202" t="str">
        <f>IFERROR(VLOOKUP($G948,нормы!$A$14:$BI$57,57,0)*W948,"")</f>
        <v/>
      </c>
      <c r="AX948" s="33"/>
      <c r="AY948" s="203" t="str">
        <f>IFERROR(VLOOKUP($G948,нормы!$A$14:$BI$57,58,0)*W948,"")</f>
        <v/>
      </c>
      <c r="AZ948" s="204"/>
      <c r="BA948" s="200" t="str">
        <f>IFERROR(VLOOKUP($G948,нормы!$A$14:$BI$57,61,0)*$W948,"")</f>
        <v/>
      </c>
      <c r="BB948" s="33"/>
      <c r="BC948" s="203" t="str">
        <f>IFERROR(VLOOKUP($G948,нормы!$A$14:$BI$57,60,0)*W948,"")</f>
        <v/>
      </c>
      <c r="BD948" s="200" t="str">
        <f>IFERROR(VLOOKUP($G948,нормы!$A$14:$BG$57,44,0),"")</f>
        <v/>
      </c>
      <c r="BE948" s="199" t="str">
        <f>IFERROR(W948/VLOOKUP($G948,нормы!$A$14:$BI$57,45,0),"")</f>
        <v/>
      </c>
    </row>
    <row r="949" spans="1:57" s="1" customFormat="1" ht="21.6" customHeight="1" x14ac:dyDescent="0.4">
      <c r="A949" s="37" t="str">
        <f t="shared" si="374"/>
        <v>16Д</v>
      </c>
      <c r="B949" s="12">
        <f t="shared" ref="B949:D953" si="377">B948</f>
        <v>46038</v>
      </c>
      <c r="C949" s="97">
        <f t="shared" si="377"/>
        <v>0</v>
      </c>
      <c r="D949" s="97">
        <f t="shared" si="377"/>
        <v>2</v>
      </c>
      <c r="E949" s="54"/>
      <c r="F949" s="151" t="str">
        <f>IFERROR(VLOOKUP($G949,нормы!$A$14:$BC$57,2,0),"")</f>
        <v/>
      </c>
      <c r="G949" s="93"/>
      <c r="H949" s="54">
        <f t="shared" ref="H949:H953" si="378">IF(C949=1,"Кульков С.А.", IF(C949=2,"Чудаков А.А.",IF(C949=3,"Королев В.Н.",IF(C949=4,"Николашин М.П.",IF(C949=5," Кульков С.А.",IF(C949=6,"А.А. Чудаков",IF(C949=7,"В.Н. Королев",IF(C949=8,"М.П. Николашин",0))))))))</f>
        <v>0</v>
      </c>
      <c r="I949" s="55"/>
      <c r="J949" s="333"/>
      <c r="K949" s="30">
        <f>IFERROR(VLOOKUP($G949,[1]нормы!$A$21:$BC$151,15,0),"")</f>
        <v>0</v>
      </c>
      <c r="L949" s="31">
        <f>IFERROR(VLOOKUP($G949,[1]нормы!$A$21:$BC$151,17,0),"")</f>
        <v>0</v>
      </c>
      <c r="M949" s="306">
        <f>IFERROR(VLOOKUP($G949,[1]нормы!$A$21:$BC$151,27,0),"")</f>
        <v>0</v>
      </c>
      <c r="N949" s="307" t="str">
        <f>IFERROR(Y949/Y954*(1.1*J948*I953),"")</f>
        <v/>
      </c>
      <c r="O949" s="300">
        <f>IFERROR(VLOOKUP($G949,[1]нормы!$A$21:$BC$151,21,0),"")</f>
        <v>0</v>
      </c>
      <c r="P949" s="35">
        <f>IFERROR(VLOOKUP($G949,[1]нормы!$A$21:$BC$151,19,0),"")</f>
        <v>0</v>
      </c>
      <c r="Q949" s="35">
        <f>IFERROR(VLOOKUP($G949,[1]нормы!$A$21:$BC$151,23,0),"")</f>
        <v>0</v>
      </c>
      <c r="R949" s="231">
        <f>IFERROR(VLOOKUP($G949,[1]нормы!$A$21:$BC$151,29,0),"")</f>
        <v>0</v>
      </c>
      <c r="S949" s="35">
        <f>IFERROR(VLOOKUP($G949,[1]нормы!$A$21:$BC$151,31,0),"")</f>
        <v>0</v>
      </c>
      <c r="T949" s="32">
        <f>IFERROR(VLOOKUP($G949,[1]нормы!$A$21:$BC$151,25,0),"")</f>
        <v>0</v>
      </c>
      <c r="U949" s="233" t="str">
        <f>IFERROR(W949/(((100*Y949/Y954)*I953)/100),"")</f>
        <v/>
      </c>
      <c r="V949" s="234" t="str">
        <f>IFERROR(VLOOKUP($G949,нормы!$A$14:$BC$57,38,0),"")</f>
        <v/>
      </c>
      <c r="W949" s="136"/>
      <c r="X949" s="237"/>
      <c r="Y949" s="152" t="str">
        <f>IFERROR(VLOOKUP($G949,нормы!$A$14:$BC$57,42,0)*W949,"")</f>
        <v/>
      </c>
      <c r="Z949" s="163">
        <f>IFERROR(VLOOKUP($G949,нормы!$A$14:$BC$57,14,0)*W949/1000,0)</f>
        <v>0</v>
      </c>
      <c r="AA949" s="142"/>
      <c r="AB949" s="35"/>
      <c r="AC949" s="35"/>
      <c r="AD949" s="35"/>
      <c r="AE949" s="31"/>
      <c r="AF949" s="160"/>
      <c r="AG949" s="391"/>
      <c r="AH949" s="394"/>
      <c r="AI949" s="397"/>
      <c r="AJ949" s="408"/>
      <c r="AK949" s="360"/>
      <c r="AL949" s="360"/>
      <c r="AM949" s="360"/>
      <c r="AN949" s="289">
        <f>IFERROR(Y949*AJ948/Y954,)</f>
        <v>0</v>
      </c>
      <c r="AO949" s="197" t="str">
        <f>IFERROR(VLOOKUP($G949,нормы!$A$14:$BC$57,53,0)*$W949,"")</f>
        <v/>
      </c>
      <c r="AP949" s="290">
        <f>IFERROR(Y949*AI948/Y954,)</f>
        <v>0</v>
      </c>
      <c r="AQ949" s="197" t="str">
        <f>IFERROR(VLOOKUP($G949,нормы!$A$14:$BC$57,54,0)*$W949,"")</f>
        <v/>
      </c>
      <c r="AR949" s="290">
        <f>IFERROR(AS949/SUM(AS948:AS953)*AL948,0)</f>
        <v>0</v>
      </c>
      <c r="AS949" s="197" t="str">
        <f>IFERROR(VLOOKUP($G949,нормы!$A$14:$BC$57,55,0)*W949,"")</f>
        <v/>
      </c>
      <c r="AT949" s="290">
        <f>IFERROR(AU949/SUM(AU948:AU953)*AM948,0)</f>
        <v>0</v>
      </c>
      <c r="AU949" s="197" t="str">
        <f>IFERROR(VLOOKUP($G949,нормы!$A$14:$BI$57,56,0)*W949,"")</f>
        <v/>
      </c>
      <c r="AV949" s="290">
        <f>IFERROR(AW949/SUM(AW948:AW953)*AK948,0)</f>
        <v>0</v>
      </c>
      <c r="AW949" s="202" t="str">
        <f>IFERROR(VLOOKUP($G949,нормы!$A$14:$BI$57,57,0)*W949,"")</f>
        <v/>
      </c>
      <c r="AX949" s="30"/>
      <c r="AY949" s="203" t="str">
        <f>IFERROR(VLOOKUP($G949,нормы!$A$14:$BI$57,58,0)*W949,"")</f>
        <v/>
      </c>
      <c r="AZ949" s="205"/>
      <c r="BA949" s="200" t="str">
        <f>IFERROR(VLOOKUP($G949,нормы!$A$14:$BI$57,61,0)*$W949,"")</f>
        <v/>
      </c>
      <c r="BB949" s="30"/>
      <c r="BC949" s="203" t="str">
        <f>IFERROR(VLOOKUP($G949,нормы!$A$14:$BI$57,60,0)*W949,"")</f>
        <v/>
      </c>
      <c r="BD949" s="200" t="str">
        <f>IFERROR(VLOOKUP($G949,нормы!$A$14:$BG$57,44,0),"")</f>
        <v/>
      </c>
      <c r="BE949" s="199" t="str">
        <f>IFERROR(W949/VLOOKUP($G949,нормы!$A$14:$BI$57,45,0),"")</f>
        <v/>
      </c>
    </row>
    <row r="950" spans="1:57" s="1" customFormat="1" ht="20.25" customHeight="1" x14ac:dyDescent="0.4">
      <c r="A950" s="37" t="str">
        <f t="shared" si="374"/>
        <v>16Д</v>
      </c>
      <c r="B950" s="12">
        <f t="shared" si="377"/>
        <v>46038</v>
      </c>
      <c r="C950" s="97">
        <f t="shared" si="377"/>
        <v>0</v>
      </c>
      <c r="D950" s="97">
        <f t="shared" si="377"/>
        <v>2</v>
      </c>
      <c r="E950" s="54"/>
      <c r="F950" s="151" t="str">
        <f>IFERROR(VLOOKUP($G950,нормы!$A$14:$BC$57,2,0),"")</f>
        <v/>
      </c>
      <c r="G950" s="38"/>
      <c r="H950" s="54">
        <f t="shared" si="378"/>
        <v>0</v>
      </c>
      <c r="I950" s="89" t="s">
        <v>212</v>
      </c>
      <c r="J950" s="333"/>
      <c r="K950" s="30">
        <f>IFERROR(VLOOKUP($G950,[1]нормы!$A$21:$BC$151,15,0),"")</f>
        <v>0</v>
      </c>
      <c r="L950" s="31">
        <f>IFERROR(VLOOKUP($G950,[1]нормы!$A$21:$BC$151,17,0),"")</f>
        <v>0</v>
      </c>
      <c r="M950" s="306">
        <f>IFERROR(VLOOKUP($G950,[1]нормы!$A$21:$BC$151,27,0),"")</f>
        <v>0</v>
      </c>
      <c r="N950" s="307" t="str">
        <f>IFERROR(Y950/Y954*(1.1*J948*I953),"")</f>
        <v/>
      </c>
      <c r="O950" s="300">
        <f>IFERROR(VLOOKUP($G950,[1]нормы!$A$21:$BC$151,21,0),"")</f>
        <v>0</v>
      </c>
      <c r="P950" s="35">
        <f>IFERROR(VLOOKUP($G950,[1]нормы!$A$21:$BC$151,19,0),"")</f>
        <v>0</v>
      </c>
      <c r="Q950" s="35">
        <f>IFERROR(VLOOKUP($G950,[1]нормы!$A$21:$BC$151,23,0),"")</f>
        <v>0</v>
      </c>
      <c r="R950" s="231">
        <f>IFERROR(VLOOKUP($G950,[1]нормы!$A$21:$BC$151,29,0),"")</f>
        <v>0</v>
      </c>
      <c r="S950" s="35">
        <f>IFERROR(VLOOKUP($G950,[1]нормы!$A$21:$BC$151,31,0),"")</f>
        <v>0</v>
      </c>
      <c r="T950" s="32">
        <f>IFERROR(VLOOKUP($G950,[1]нормы!$A$21:$BC$151,25,0),"")</f>
        <v>0</v>
      </c>
      <c r="U950" s="233" t="str">
        <f>IFERROR(W950/(((100*Y950/Y954)*I953)/100),"")</f>
        <v/>
      </c>
      <c r="V950" s="234" t="str">
        <f>IFERROR(VLOOKUP($G950,нормы!$A$14:$BC$57,38,0),"")</f>
        <v/>
      </c>
      <c r="W950" s="136"/>
      <c r="X950" s="237"/>
      <c r="Y950" s="152" t="str">
        <f>IFERROR(VLOOKUP($G950,нормы!$A$14:$BC$57,42,0)*W950,"")</f>
        <v/>
      </c>
      <c r="Z950" s="163">
        <f>IFERROR(VLOOKUP($G950,нормы!$A$14:$BC$57,14,0)*W950/1000,0)</f>
        <v>0</v>
      </c>
      <c r="AA950" s="30"/>
      <c r="AB950" s="35"/>
      <c r="AC950" s="35"/>
      <c r="AD950" s="35"/>
      <c r="AE950" s="31"/>
      <c r="AF950" s="160"/>
      <c r="AG950" s="391"/>
      <c r="AH950" s="394"/>
      <c r="AI950" s="397"/>
      <c r="AJ950" s="408"/>
      <c r="AK950" s="360"/>
      <c r="AL950" s="360"/>
      <c r="AM950" s="360"/>
      <c r="AN950" s="289">
        <f>IFERROR(Y950*AJ948/Y954,)</f>
        <v>0</v>
      </c>
      <c r="AO950" s="197" t="str">
        <f>IFERROR(VLOOKUP($G950,нормы!$A$14:$BC$57,53,0)*$W950,"")</f>
        <v/>
      </c>
      <c r="AP950" s="290">
        <f>IFERROR(Y950*AI948/Y954,)</f>
        <v>0</v>
      </c>
      <c r="AQ950" s="197" t="str">
        <f>IFERROR(VLOOKUP($G950,нормы!$A$14:$BC$57,54,0)*$W950,"")</f>
        <v/>
      </c>
      <c r="AR950" s="290">
        <f>IFERROR(AS950/SUM(AS948:AS953)*AL948,0)</f>
        <v>0</v>
      </c>
      <c r="AS950" s="197" t="str">
        <f>IFERROR(VLOOKUP($G950,нормы!$A$14:$BC$57,55,0)*W950,"")</f>
        <v/>
      </c>
      <c r="AT950" s="290">
        <f>IFERROR(AU950/SUM(AU948:AU953)*AM948,0)</f>
        <v>0</v>
      </c>
      <c r="AU950" s="197" t="str">
        <f>IFERROR(VLOOKUP($G950,нормы!$A$14:$BI$57,56,0)*W950,"")</f>
        <v/>
      </c>
      <c r="AV950" s="290">
        <f>IFERROR(AW950/SUM(AW948:AW953)*AK948,0)</f>
        <v>0</v>
      </c>
      <c r="AW950" s="202" t="str">
        <f>IFERROR(VLOOKUP($G950,нормы!$A$14:$BI$57,57,0)*W950,"")</f>
        <v/>
      </c>
      <c r="AX950" s="30"/>
      <c r="AY950" s="203" t="str">
        <f>IFERROR(VLOOKUP($G950,нормы!$A$14:$BI$57,58,0)*W950,"")</f>
        <v/>
      </c>
      <c r="AZ950" s="205"/>
      <c r="BA950" s="200" t="str">
        <f>IFERROR(VLOOKUP($G950,нормы!$A$14:$BI$57,61,0)*$W950,"")</f>
        <v/>
      </c>
      <c r="BB950" s="30"/>
      <c r="BC950" s="203" t="str">
        <f>IFERROR(VLOOKUP($G950,нормы!$A$14:$BI$57,60,0)*W950,"")</f>
        <v/>
      </c>
      <c r="BD950" s="200" t="str">
        <f>IFERROR(VLOOKUP($G950,нормы!$A$14:$BG$57,44,0),"")</f>
        <v/>
      </c>
      <c r="BE950" s="199" t="str">
        <f>IFERROR(W950/VLOOKUP($G950,нормы!$A$14:$BI$57,45,0),"")</f>
        <v/>
      </c>
    </row>
    <row r="951" spans="1:57" s="1" customFormat="1" ht="20.25" customHeight="1" x14ac:dyDescent="0.4">
      <c r="A951" s="37" t="str">
        <f t="shared" si="374"/>
        <v>16Д</v>
      </c>
      <c r="B951" s="12">
        <f t="shared" si="377"/>
        <v>46038</v>
      </c>
      <c r="C951" s="97">
        <f t="shared" si="377"/>
        <v>0</v>
      </c>
      <c r="D951" s="97">
        <f t="shared" si="377"/>
        <v>2</v>
      </c>
      <c r="E951" s="54"/>
      <c r="F951" s="151" t="str">
        <f>IFERROR(VLOOKUP($G951,нормы!$A$14:$BC$57,2,0),"")</f>
        <v/>
      </c>
      <c r="G951" s="93"/>
      <c r="H951" s="54">
        <f t="shared" si="378"/>
        <v>0</v>
      </c>
      <c r="I951" s="55"/>
      <c r="J951" s="333"/>
      <c r="K951" s="30">
        <f>IFERROR(VLOOKUP($G951,[1]нормы!$A$21:$BC$151,15,0),"")</f>
        <v>0</v>
      </c>
      <c r="L951" s="31">
        <f>IFERROR(VLOOKUP($G951,[1]нормы!$A$21:$BC$151,17,0),"")</f>
        <v>0</v>
      </c>
      <c r="M951" s="306">
        <f>IFERROR(VLOOKUP($G951,[1]нормы!$A$21:$BC$151,27,0),"")</f>
        <v>0</v>
      </c>
      <c r="N951" s="307" t="str">
        <f>IFERROR(Y951/Y954*(1.1*J948*I956),"")</f>
        <v/>
      </c>
      <c r="O951" s="300">
        <f>IFERROR(VLOOKUP($G951,[1]нормы!$A$21:$BC$151,21,0),"")</f>
        <v>0</v>
      </c>
      <c r="P951" s="35">
        <f>IFERROR(VLOOKUP($G951,[1]нормы!$A$21:$BC$151,19,0),"")</f>
        <v>0</v>
      </c>
      <c r="Q951" s="35">
        <f>IFERROR(VLOOKUP($G951,[1]нормы!$A$21:$BC$151,23,0),"")</f>
        <v>0</v>
      </c>
      <c r="R951" s="231">
        <f>IFERROR(VLOOKUP($G951,[1]нормы!$A$21:$BC$151,29,0),"")</f>
        <v>0</v>
      </c>
      <c r="S951" s="35">
        <f>IFERROR(VLOOKUP($G951,[1]нормы!$A$21:$BC$151,31,0),"")</f>
        <v>0</v>
      </c>
      <c r="T951" s="32">
        <f>IFERROR(VLOOKUP($G951,[1]нормы!$A$21:$BC$151,25,0),"")</f>
        <v>0</v>
      </c>
      <c r="U951" s="233" t="str">
        <f>IFERROR(W951/(((100*Y951/Y954)*I953)/100),"")</f>
        <v/>
      </c>
      <c r="V951" s="234" t="str">
        <f>IFERROR(VLOOKUP($G951,нормы!$A$14:$BC$57,38,0),"")</f>
        <v/>
      </c>
      <c r="W951" s="136"/>
      <c r="X951" s="237"/>
      <c r="Y951" s="152" t="str">
        <f>IFERROR(VLOOKUP($G951,нормы!$A$14:$BC$57,42,0)*W951,"")</f>
        <v/>
      </c>
      <c r="Z951" s="163">
        <f>IFERROR(VLOOKUP($G951,нормы!$A$14:$BC$57,14,0)*W951/1000,0)</f>
        <v>0</v>
      </c>
      <c r="AA951" s="30"/>
      <c r="AB951" s="35"/>
      <c r="AC951" s="35"/>
      <c r="AD951" s="35"/>
      <c r="AE951" s="31"/>
      <c r="AF951" s="160"/>
      <c r="AG951" s="391"/>
      <c r="AH951" s="394"/>
      <c r="AI951" s="397"/>
      <c r="AJ951" s="408"/>
      <c r="AK951" s="360"/>
      <c r="AL951" s="360"/>
      <c r="AM951" s="360"/>
      <c r="AN951" s="289">
        <f>IFERROR(Y951*AJ948/Y954,)</f>
        <v>0</v>
      </c>
      <c r="AO951" s="197" t="str">
        <f>IFERROR(VLOOKUP($G951,нормы!$A$14:$BC$57,53,0)*$W951,"")</f>
        <v/>
      </c>
      <c r="AP951" s="290">
        <f>IFERROR(Y951*AI948/Y954,)</f>
        <v>0</v>
      </c>
      <c r="AQ951" s="197" t="str">
        <f>IFERROR(VLOOKUP($G951,нормы!$A$14:$BC$57,54,0)*$W951,"")</f>
        <v/>
      </c>
      <c r="AR951" s="290">
        <f>IFERROR(AS951/SUM(AS948:AS953)*AL948,0)</f>
        <v>0</v>
      </c>
      <c r="AS951" s="197" t="str">
        <f>IFERROR(VLOOKUP($G951,нормы!$A$14:$BC$57,55,0)*W951,"")</f>
        <v/>
      </c>
      <c r="AT951" s="290">
        <f>IFERROR(AU951/SUM(AU948:AU953)*AM948,0)</f>
        <v>0</v>
      </c>
      <c r="AU951" s="197" t="str">
        <f>IFERROR(VLOOKUP($G951,нормы!$A$14:$BI$57,56,0)*W951,"")</f>
        <v/>
      </c>
      <c r="AV951" s="290">
        <f>IFERROR(AW951/SUM(AW948:AW953)*AK948,0)</f>
        <v>0</v>
      </c>
      <c r="AW951" s="202" t="str">
        <f>IFERROR(VLOOKUP($G951,нормы!$A$14:$BI$57,57,0)*W951,"")</f>
        <v/>
      </c>
      <c r="AX951" s="30"/>
      <c r="AY951" s="203" t="str">
        <f>IFERROR(VLOOKUP($G951,нормы!$A$14:$BI$57,58,0)*W951,"")</f>
        <v/>
      </c>
      <c r="AZ951" s="205"/>
      <c r="BA951" s="200" t="str">
        <f>IFERROR(VLOOKUP($G951,нормы!$A$14:$BI$57,61,0)*$W951,"")</f>
        <v/>
      </c>
      <c r="BB951" s="30"/>
      <c r="BC951" s="203" t="str">
        <f>IFERROR(VLOOKUP($G951,нормы!$A$14:$BI$57,60,0)*W951,"")</f>
        <v/>
      </c>
      <c r="BD951" s="200" t="str">
        <f>IFERROR(VLOOKUP($G951,нормы!$A$14:$BG$57,44,0),"")</f>
        <v/>
      </c>
      <c r="BE951" s="199" t="str">
        <f>IFERROR(W951/VLOOKUP($G951,нормы!$A$14:$BI$57,45,0),"")</f>
        <v/>
      </c>
    </row>
    <row r="952" spans="1:57" s="1" customFormat="1" ht="20.25" customHeight="1" x14ac:dyDescent="0.4">
      <c r="A952" s="37" t="str">
        <f t="shared" si="374"/>
        <v>16Д</v>
      </c>
      <c r="B952" s="12">
        <f t="shared" si="377"/>
        <v>46038</v>
      </c>
      <c r="C952" s="97">
        <f t="shared" si="377"/>
        <v>0</v>
      </c>
      <c r="D952" s="97">
        <f t="shared" si="377"/>
        <v>2</v>
      </c>
      <c r="E952" s="54"/>
      <c r="F952" s="151" t="str">
        <f>IFERROR(VLOOKUP($G952,нормы!$A$14:$BC$57,2,0),"")</f>
        <v/>
      </c>
      <c r="G952" s="38"/>
      <c r="H952" s="54">
        <f t="shared" si="378"/>
        <v>0</v>
      </c>
      <c r="I952" s="89" t="s">
        <v>73</v>
      </c>
      <c r="J952" s="333"/>
      <c r="K952" s="30">
        <f>IFERROR(VLOOKUP($G952,[1]нормы!$A$21:$BC$151,15,0),"")</f>
        <v>0</v>
      </c>
      <c r="L952" s="31">
        <f>IFERROR(VLOOKUP($G952,[1]нормы!$A$21:$BC$151,17,0),"")</f>
        <v>0</v>
      </c>
      <c r="M952" s="306">
        <f>IFERROR(VLOOKUP($G952,[1]нормы!$A$21:$BC$151,27,0),"")</f>
        <v>0</v>
      </c>
      <c r="N952" s="307" t="str">
        <f>IFERROR(Y952/Y954*(1.1*J948*I957),"")</f>
        <v/>
      </c>
      <c r="O952" s="300">
        <f>IFERROR(VLOOKUP($G952,[1]нормы!$A$21:$BC$151,21,0),"")</f>
        <v>0</v>
      </c>
      <c r="P952" s="35">
        <f>IFERROR(VLOOKUP($G952,[1]нормы!$A$21:$BC$151,19,0),"")</f>
        <v>0</v>
      </c>
      <c r="Q952" s="35">
        <f>IFERROR(VLOOKUP($G952,[1]нормы!$A$21:$BC$151,23,0),"")</f>
        <v>0</v>
      </c>
      <c r="R952" s="231">
        <f>IFERROR(VLOOKUP($G952,[1]нормы!$A$21:$BC$151,29,0),"")</f>
        <v>0</v>
      </c>
      <c r="S952" s="35">
        <f>IFERROR(VLOOKUP($G952,[1]нормы!$A$21:$BC$151,31,0),"")</f>
        <v>0</v>
      </c>
      <c r="T952" s="32">
        <f>IFERROR(VLOOKUP($G952,[1]нормы!$A$21:$BC$151,25,0),"")</f>
        <v>0</v>
      </c>
      <c r="U952" s="233" t="str">
        <f>IFERROR(W952/(((100*Y952/Y954)*I953)/100),"")</f>
        <v/>
      </c>
      <c r="V952" s="234" t="str">
        <f>IFERROR(VLOOKUP($G952,нормы!$A$14:$BC$57,38,0),"")</f>
        <v/>
      </c>
      <c r="W952" s="136"/>
      <c r="X952" s="237"/>
      <c r="Y952" s="152" t="str">
        <f>IFERROR(VLOOKUP($G952,нормы!$A$14:$BC$57,42,0)*W952,"")</f>
        <v/>
      </c>
      <c r="Z952" s="163">
        <f>IFERROR(VLOOKUP($G952,нормы!$A$14:$BC$57,14,0)*W952/1000,0)</f>
        <v>0</v>
      </c>
      <c r="AA952" s="30"/>
      <c r="AB952" s="35"/>
      <c r="AC952" s="35"/>
      <c r="AD952" s="35"/>
      <c r="AE952" s="31"/>
      <c r="AF952" s="160"/>
      <c r="AG952" s="391"/>
      <c r="AH952" s="394"/>
      <c r="AI952" s="397"/>
      <c r="AJ952" s="408"/>
      <c r="AK952" s="360"/>
      <c r="AL952" s="360"/>
      <c r="AM952" s="360"/>
      <c r="AN952" s="289">
        <f>IFERROR(Y952*AJ948/Y954,)</f>
        <v>0</v>
      </c>
      <c r="AO952" s="197" t="str">
        <f>IFERROR(VLOOKUP($G952,нормы!$A$14:$BC$57,53,0)*$W952,"")</f>
        <v/>
      </c>
      <c r="AP952" s="290">
        <f>IFERROR(Y952*AI948/Y954,)</f>
        <v>0</v>
      </c>
      <c r="AQ952" s="197" t="str">
        <f>IFERROR(VLOOKUP($G952,нормы!$A$14:$BC$57,54,0)*$W952,"")</f>
        <v/>
      </c>
      <c r="AR952" s="290">
        <f>IFERROR(AS952/SUM(AS948:AS953)*AL948,0)</f>
        <v>0</v>
      </c>
      <c r="AS952" s="197" t="str">
        <f>IFERROR(VLOOKUP($G952,нормы!$A$14:$BC$57,55,0)*W952,"")</f>
        <v/>
      </c>
      <c r="AT952" s="290">
        <f>IFERROR(AU952/SUM(AU948:AU953)*AM948,0)</f>
        <v>0</v>
      </c>
      <c r="AU952" s="197" t="str">
        <f>IFERROR(VLOOKUP($G952,нормы!$A$14:$BI$57,56,0)*W952,"")</f>
        <v/>
      </c>
      <c r="AV952" s="290">
        <f>IFERROR(AW952/SUM(AW948:AW953)*AK948,0)</f>
        <v>0</v>
      </c>
      <c r="AW952" s="202" t="str">
        <f>IFERROR(VLOOKUP($G952,нормы!$A$14:$BI$57,57,0)*W952,"")</f>
        <v/>
      </c>
      <c r="AX952" s="30"/>
      <c r="AY952" s="203" t="str">
        <f>IFERROR(VLOOKUP($G952,нормы!$A$14:$BI$57,58,0)*W952,"")</f>
        <v/>
      </c>
      <c r="AZ952" s="205"/>
      <c r="BA952" s="200" t="str">
        <f>IFERROR(VLOOKUP($G952,нормы!$A$14:$BI$57,61,0)*$W952,"")</f>
        <v/>
      </c>
      <c r="BB952" s="30"/>
      <c r="BC952" s="203" t="str">
        <f>IFERROR(VLOOKUP($G952,нормы!$A$14:$BI$57,60,0)*W952,"")</f>
        <v/>
      </c>
      <c r="BD952" s="200" t="str">
        <f>IFERROR(VLOOKUP($G952,нормы!$A$14:$BG$57,44,0),"")</f>
        <v/>
      </c>
      <c r="BE952" s="199" t="str">
        <f>IFERROR(W952/VLOOKUP($G952,нормы!$A$14:$BI$57,45,0),"")</f>
        <v/>
      </c>
    </row>
    <row r="953" spans="1:57" s="1" customFormat="1" ht="21" customHeight="1" thickBot="1" x14ac:dyDescent="0.45">
      <c r="A953" s="37" t="str">
        <f t="shared" si="374"/>
        <v>16Д</v>
      </c>
      <c r="B953" s="12">
        <f t="shared" si="377"/>
        <v>46038</v>
      </c>
      <c r="C953" s="97">
        <f t="shared" si="377"/>
        <v>0</v>
      </c>
      <c r="D953" s="97">
        <f t="shared" si="377"/>
        <v>2</v>
      </c>
      <c r="E953" s="54"/>
      <c r="F953" s="151" t="str">
        <f>IFERROR(VLOOKUP($G953,нормы!$A$14:$BC$57,2,0),"")</f>
        <v/>
      </c>
      <c r="G953" s="93"/>
      <c r="H953" s="63">
        <f t="shared" si="378"/>
        <v>0</v>
      </c>
      <c r="I953" s="153">
        <f>I949+I951</f>
        <v>0</v>
      </c>
      <c r="J953" s="334"/>
      <c r="K953" s="30">
        <f>IFERROR(VLOOKUP($G953,[1]нормы!$A$21:$BC$151,15,0),"")</f>
        <v>0</v>
      </c>
      <c r="L953" s="31">
        <f>IFERROR(VLOOKUP($G953,[1]нормы!$A$21:$BC$151,17,0),"")</f>
        <v>0</v>
      </c>
      <c r="M953" s="308">
        <f>IFERROR(VLOOKUP($G953,[1]нормы!$A$21:$BC$151,27,0),"")</f>
        <v>0</v>
      </c>
      <c r="N953" s="309" t="str">
        <f>IFERROR(Y953/Y954*(1.1*J948*I958),"")</f>
        <v/>
      </c>
      <c r="O953" s="300">
        <f>IFERROR(VLOOKUP($G953,[1]нормы!$A$21:$BC$151,21,0),"")</f>
        <v>0</v>
      </c>
      <c r="P953" s="35">
        <f>IFERROR(VLOOKUP($G953,[1]нормы!$A$21:$BC$151,19,0),"")</f>
        <v>0</v>
      </c>
      <c r="Q953" s="35">
        <f>IFERROR(VLOOKUP($G953,[1]нормы!$A$21:$BC$151,23,0),"")</f>
        <v>0</v>
      </c>
      <c r="R953" s="231">
        <f>IFERROR(VLOOKUP($G953,[1]нормы!$A$21:$BC$151,29,0),"")</f>
        <v>0</v>
      </c>
      <c r="S953" s="35">
        <f>IFERROR(VLOOKUP($G953,[1]нормы!$A$21:$BC$151,31,0),"")</f>
        <v>0</v>
      </c>
      <c r="T953" s="32">
        <f>IFERROR(VLOOKUP($G953,[1]нормы!$A$21:$BC$151,25,0),"")</f>
        <v>0</v>
      </c>
      <c r="U953" s="235" t="str">
        <f>IFERROR(W953/(((100*Y953/Y954)*I953)/100),"")</f>
        <v/>
      </c>
      <c r="V953" s="234" t="str">
        <f>IFERROR(VLOOKUP($G953,нормы!$A$14:$BC$57,38,0),"")</f>
        <v/>
      </c>
      <c r="W953" s="154"/>
      <c r="X953" s="238"/>
      <c r="Y953" s="152" t="str">
        <f>IFERROR(VLOOKUP($G953,нормы!$A$14:$BC$57,42,0)*W953,"")</f>
        <v/>
      </c>
      <c r="Z953" s="163">
        <f>IFERROR(VLOOKUP($G953,нормы!$A$14:$BC$57,14,0)*W953/1000,0)</f>
        <v>0</v>
      </c>
      <c r="AA953" s="56"/>
      <c r="AB953" s="58"/>
      <c r="AC953" s="58"/>
      <c r="AD953" s="58"/>
      <c r="AE953" s="57"/>
      <c r="AF953" s="161"/>
      <c r="AG953" s="392"/>
      <c r="AH953" s="395"/>
      <c r="AI953" s="398"/>
      <c r="AJ953" s="409"/>
      <c r="AK953" s="361"/>
      <c r="AL953" s="361"/>
      <c r="AM953" s="361"/>
      <c r="AN953" s="291">
        <f>IFERROR(Y953*AJ948/Y954,)</f>
        <v>0</v>
      </c>
      <c r="AO953" s="197" t="str">
        <f>IFERROR(VLOOKUP($G953,нормы!$A$14:$BC$57,53,0)*$W953,"")</f>
        <v/>
      </c>
      <c r="AP953" s="292">
        <f>IFERROR(Y953*AI948/Y954,)</f>
        <v>0</v>
      </c>
      <c r="AQ953" s="197" t="str">
        <f>IFERROR(VLOOKUP($G953,нормы!$A$14:$BC$57,54,0)*$W953,"")</f>
        <v/>
      </c>
      <c r="AR953" s="290">
        <f>IFERROR(AS953/SUM(AS948:AS953)*AL948,0)</f>
        <v>0</v>
      </c>
      <c r="AS953" s="197" t="str">
        <f>IFERROR(VLOOKUP($G953,нормы!$A$14:$BC$57,55,0)*W953,"")</f>
        <v/>
      </c>
      <c r="AT953" s="292">
        <f>IFERROR(AU953/SUM(AU948:AU953)*AM948,0)</f>
        <v>0</v>
      </c>
      <c r="AU953" s="197" t="str">
        <f>IFERROR(VLOOKUP($G953,нормы!$A$14:$BI$57,56,0)*W953,"")</f>
        <v/>
      </c>
      <c r="AV953" s="292">
        <f>IFERROR(AW953/SUM(AW948:AW953)*AK948,0)</f>
        <v>0</v>
      </c>
      <c r="AW953" s="202" t="str">
        <f>IFERROR(VLOOKUP($G953,нормы!$A$14:$BI$57,57,0)*W953,"")</f>
        <v/>
      </c>
      <c r="AX953" s="56"/>
      <c r="AY953" s="203" t="str">
        <f>IFERROR(VLOOKUP($G953,нормы!$A$14:$BI$57,58,0)*W953,"")</f>
        <v/>
      </c>
      <c r="AZ953" s="206"/>
      <c r="BA953" s="200" t="str">
        <f>IFERROR(VLOOKUP($G953,нормы!$A$14:$BI$57,61,0)*$W953,"")</f>
        <v/>
      </c>
      <c r="BB953" s="56"/>
      <c r="BC953" s="203" t="str">
        <f>IFERROR(VLOOKUP($G953,нормы!$A$14:$BI$57,60,0)*W953,"")</f>
        <v/>
      </c>
      <c r="BD953" s="200" t="str">
        <f>IFERROR(VLOOKUP($G953,нормы!$A$14:$BG$57,44,0),"")</f>
        <v/>
      </c>
      <c r="BE953" s="199" t="str">
        <f>IFERROR(W953/VLOOKUP($G953,нормы!$A$14:$BI$57,45,0),"")</f>
        <v/>
      </c>
    </row>
    <row r="954" spans="1:57" s="1" customFormat="1" ht="29.4" customHeight="1" thickBot="1" x14ac:dyDescent="0.45">
      <c r="A954" s="37" t="str">
        <f t="shared" si="374"/>
        <v>16Д</v>
      </c>
      <c r="B954" s="59"/>
      <c r="C954" s="51"/>
      <c r="D954" s="51"/>
      <c r="E954" s="51"/>
      <c r="F954" s="51"/>
      <c r="G954" s="51"/>
      <c r="H954" s="51"/>
      <c r="I954" s="60"/>
      <c r="J954" s="60"/>
      <c r="K954" s="319" t="s">
        <v>213</v>
      </c>
      <c r="L954" s="316"/>
      <c r="M954" s="303" t="s">
        <v>213</v>
      </c>
      <c r="N954" s="317">
        <f>SUM(N948:N953)</f>
        <v>0</v>
      </c>
      <c r="O954" s="304" t="s">
        <v>217</v>
      </c>
      <c r="P954" s="318">
        <f>N954*8.937/1000</f>
        <v>0</v>
      </c>
      <c r="Q954" s="305" t="s">
        <v>215</v>
      </c>
      <c r="R954" s="61"/>
      <c r="S954" s="61"/>
      <c r="T954" s="61"/>
      <c r="U954" s="109"/>
      <c r="V954" s="109"/>
      <c r="W954" s="94"/>
      <c r="X954" s="155"/>
      <c r="Y954" s="96">
        <f>SUM(Y948:Y953)</f>
        <v>0</v>
      </c>
      <c r="Z954" s="164">
        <f>SUM(Z948:Z953)</f>
        <v>0</v>
      </c>
      <c r="AA954" s="207">
        <f>(AA940+AA941+AA942+AA943+AA944+AA945+AA946+AA948+AA949+AA950+AA951+AA952+AA953)-AG941</f>
        <v>1</v>
      </c>
      <c r="AB954" s="208">
        <f>(AB940+AB941+AB942+AB943+AB944+AB945+AB946+AB948+AB949+AB950+AB951+AB952+AB953)-AH941</f>
        <v>2</v>
      </c>
      <c r="AC954" s="208">
        <f>(AC940+AC941+AC942+AC943+AC944+AC945+AC946+AC948+AC949+AC950+AC951+AC952+AC953)-AG948</f>
        <v>3</v>
      </c>
      <c r="AD954" s="208">
        <f>(AD940+AD941+AD942+AD943+AD944+AD945+AD946+AD948+AD949+AD950+AD951+AD952+AD953)-AH948</f>
        <v>4</v>
      </c>
      <c r="AE954" s="208">
        <f>(AE940+AE941+AE942+AE943+AE944+AE945+AE946+AE948+AE949+AE950+AE951+AE952+AE953)-AI941</f>
        <v>5</v>
      </c>
      <c r="AF954" s="209">
        <f>(AF940+AF941+AF942+AF943+AF944+AF945+AF946+AF948+AF949+AF950+AF951+AF952+AF953)-AI948</f>
        <v>6</v>
      </c>
      <c r="AG954" s="62"/>
      <c r="AH954" s="62"/>
      <c r="AI954" s="62"/>
      <c r="AJ954" s="62"/>
      <c r="AK954" s="62"/>
      <c r="AL954" s="62"/>
      <c r="AM954" s="62"/>
      <c r="AN954" s="91">
        <f>SUM(AN948:AN953)</f>
        <v>0</v>
      </c>
      <c r="AO954" s="91">
        <f>SUM(AO948:AO953)</f>
        <v>0</v>
      </c>
      <c r="AP954" s="91"/>
      <c r="AQ954" s="91"/>
      <c r="AR954" s="91">
        <f>SUM(AR948:AR953)</f>
        <v>0</v>
      </c>
      <c r="AS954" s="91">
        <f t="shared" ref="AS954:AW954" si="379">SUM(AS948:AS953)</f>
        <v>0</v>
      </c>
      <c r="AT954" s="91">
        <f t="shared" si="379"/>
        <v>0</v>
      </c>
      <c r="AU954" s="91">
        <f t="shared" si="379"/>
        <v>0</v>
      </c>
      <c r="AV954" s="91">
        <f t="shared" si="379"/>
        <v>0</v>
      </c>
      <c r="AW954" s="91">
        <f t="shared" si="379"/>
        <v>0</v>
      </c>
      <c r="AX954" s="91">
        <f>SUM(AX948:AX953)</f>
        <v>0</v>
      </c>
      <c r="AY954" s="91">
        <f>SUM(AY948:AY953)</f>
        <v>0</v>
      </c>
      <c r="AZ954" s="91">
        <f>SUM(AZ948:AZ953)</f>
        <v>0</v>
      </c>
      <c r="BA954" s="91"/>
      <c r="BB954" s="91"/>
      <c r="BC954" s="91"/>
      <c r="BD954" s="91" t="str">
        <f>IFERROR(VLOOKUP($G954,нормы!$A$14:$BG$15,27,0),"")</f>
        <v/>
      </c>
      <c r="BE954" s="53" t="str">
        <f>IFERROR(W954/VLOOKUP($G954,нормы!$A$14:$BI$15,28,0),"")</f>
        <v/>
      </c>
    </row>
    <row r="955" spans="1:57" s="1" customFormat="1" ht="29.4" customHeight="1" thickBot="1" x14ac:dyDescent="0.5">
      <c r="A955" s="37" t="str">
        <f t="shared" si="374"/>
        <v>16Д</v>
      </c>
      <c r="B955" s="166" t="s">
        <v>130</v>
      </c>
      <c r="C955" s="167"/>
      <c r="D955" s="167"/>
      <c r="E955" s="167"/>
      <c r="F955" s="165"/>
      <c r="G955" s="167"/>
      <c r="H955" s="167"/>
      <c r="I955" s="168"/>
      <c r="J955" s="168"/>
      <c r="K955" s="168"/>
      <c r="L955" s="168"/>
      <c r="M955" s="168"/>
      <c r="N955" s="168"/>
      <c r="O955" s="167"/>
      <c r="P955" s="169"/>
      <c r="Q955" s="169"/>
      <c r="R955" s="169"/>
      <c r="S955" s="169"/>
      <c r="T955" s="169"/>
      <c r="U955" s="170"/>
      <c r="V955" s="170"/>
      <c r="W955" s="171"/>
      <c r="X955" s="171"/>
      <c r="Y955" s="172"/>
      <c r="Z955" s="172"/>
      <c r="AA955" s="201" t="s">
        <v>144</v>
      </c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64"/>
      <c r="AN955" s="167"/>
      <c r="AO955" s="167"/>
      <c r="AP955" s="167"/>
      <c r="AQ955" s="167"/>
      <c r="AR955" s="64"/>
      <c r="AS955" s="64"/>
      <c r="AT955" s="65"/>
      <c r="AU955" s="64"/>
      <c r="AV955" s="49"/>
      <c r="AW955" s="49"/>
      <c r="AX955" s="167"/>
      <c r="AY955" s="167"/>
      <c r="AZ955" s="167"/>
      <c r="BA955" s="167"/>
      <c r="BB955" s="167"/>
      <c r="BC955" s="167"/>
      <c r="BD955" s="66"/>
      <c r="BE955" s="66"/>
    </row>
    <row r="956" spans="1:57" s="1" customFormat="1" ht="23.25" customHeight="1" x14ac:dyDescent="0.4">
      <c r="A956" s="37" t="str">
        <f t="shared" si="374"/>
        <v>16Д</v>
      </c>
      <c r="B956" s="183"/>
      <c r="C956" s="100"/>
      <c r="D956" s="185"/>
      <c r="E956" s="186" t="s">
        <v>57</v>
      </c>
      <c r="F956" s="66" t="s">
        <v>87</v>
      </c>
      <c r="G956" s="66"/>
      <c r="H956" s="108" t="s">
        <v>131</v>
      </c>
      <c r="I956" s="101"/>
      <c r="J956" s="101"/>
      <c r="K956" s="101"/>
      <c r="L956" s="101"/>
      <c r="M956" s="101"/>
      <c r="N956" s="101"/>
      <c r="O956" s="67"/>
      <c r="P956" s="102"/>
      <c r="Q956" s="102"/>
      <c r="R956" s="102"/>
      <c r="S956" s="102"/>
      <c r="T956" s="102"/>
      <c r="U956" s="67"/>
      <c r="V956" s="67"/>
      <c r="W956" s="103"/>
      <c r="X956" s="187"/>
      <c r="Y956" s="68" t="s">
        <v>74</v>
      </c>
      <c r="Z956" s="69"/>
      <c r="AA956" s="90"/>
      <c r="AB956" s="100"/>
      <c r="AC956" s="100"/>
      <c r="AD956" s="186" t="s">
        <v>57</v>
      </c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190"/>
      <c r="AU956" s="66"/>
      <c r="AV956" s="165"/>
      <c r="AW956" s="293"/>
      <c r="AX956" s="66"/>
      <c r="AY956" s="66"/>
      <c r="AZ956" s="66"/>
      <c r="BA956" s="66"/>
      <c r="BB956" s="66"/>
      <c r="BC956" s="66"/>
      <c r="BD956" s="68" t="s">
        <v>74</v>
      </c>
      <c r="BE956" s="69"/>
    </row>
    <row r="957" spans="1:57" s="1" customFormat="1" ht="23.25" customHeight="1" thickBot="1" x14ac:dyDescent="0.45">
      <c r="A957" s="37" t="str">
        <f t="shared" si="374"/>
        <v>16Д</v>
      </c>
      <c r="B957" s="183"/>
      <c r="C957" s="41"/>
      <c r="D957" s="184"/>
      <c r="E957" s="50"/>
      <c r="F957" s="70"/>
      <c r="G957" s="70"/>
      <c r="H957" s="70"/>
      <c r="I957" s="104"/>
      <c r="J957" s="104"/>
      <c r="K957" s="104"/>
      <c r="L957" s="104"/>
      <c r="M957" s="104"/>
      <c r="N957" s="104"/>
      <c r="O957" s="71"/>
      <c r="P957" s="105"/>
      <c r="Q957" s="105"/>
      <c r="R957" s="105"/>
      <c r="S957" s="105"/>
      <c r="T957" s="105"/>
      <c r="U957" s="71"/>
      <c r="V957" s="71"/>
      <c r="W957" s="106"/>
      <c r="X957" s="188"/>
      <c r="Y957" s="72"/>
      <c r="Z957" s="73"/>
      <c r="AA957" s="90"/>
      <c r="AB957" s="41"/>
      <c r="AC957" s="41"/>
      <c r="AD957" s="50"/>
      <c r="AE957" s="47"/>
      <c r="AF957" s="47"/>
      <c r="AG957" s="47"/>
      <c r="AH957" s="47"/>
      <c r="AI957" s="47"/>
      <c r="AJ957" s="47"/>
      <c r="AK957" s="47"/>
      <c r="AL957" s="47"/>
      <c r="AM957" s="70"/>
      <c r="AN957" s="47"/>
      <c r="AO957" s="70"/>
      <c r="AP957" s="70"/>
      <c r="AQ957" s="70"/>
      <c r="AR957" s="70"/>
      <c r="AS957" s="70"/>
      <c r="AT957" s="191"/>
      <c r="AU957" s="70"/>
      <c r="AV957" s="192"/>
      <c r="AW957" s="294"/>
      <c r="AX957" s="70"/>
      <c r="AY957" s="70"/>
      <c r="AZ957" s="70"/>
      <c r="BA957" s="70"/>
      <c r="BB957" s="70"/>
      <c r="BC957" s="70"/>
      <c r="BD957" s="72"/>
      <c r="BE957" s="73"/>
    </row>
    <row r="958" spans="1:57" s="1" customFormat="1" ht="60.75" customHeight="1" x14ac:dyDescent="0.4">
      <c r="A958" s="37" t="str">
        <f t="shared" si="374"/>
        <v>16Д</v>
      </c>
      <c r="B958" s="183"/>
      <c r="C958" s="41"/>
      <c r="D958" s="184"/>
      <c r="E958" s="281">
        <f>B953</f>
        <v>46038</v>
      </c>
      <c r="F958" s="337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98">
        <v>1</v>
      </c>
      <c r="Y958" s="74">
        <v>1</v>
      </c>
      <c r="Z958" s="75">
        <f t="shared" ref="Z958:Z969" si="380">Y958-X958</f>
        <v>0</v>
      </c>
      <c r="AA958" s="189"/>
      <c r="AB958" s="41"/>
      <c r="AC958" s="184"/>
      <c r="AD958" s="210">
        <f>E958</f>
        <v>46038</v>
      </c>
      <c r="AE958" s="387"/>
      <c r="AF958" s="388"/>
      <c r="AG958" s="388"/>
      <c r="AH958" s="388"/>
      <c r="AI958" s="388"/>
      <c r="AJ958" s="388"/>
      <c r="AK958" s="388"/>
      <c r="AL958" s="388"/>
      <c r="AM958" s="388"/>
      <c r="AN958" s="388"/>
      <c r="AO958" s="388"/>
      <c r="AP958" s="388"/>
      <c r="AQ958" s="388"/>
      <c r="AR958" s="388"/>
      <c r="AS958" s="388"/>
      <c r="AT958" s="388"/>
      <c r="AU958" s="388"/>
      <c r="AV958" s="388"/>
      <c r="AW958" s="388"/>
      <c r="AX958" s="388"/>
      <c r="AY958" s="388"/>
      <c r="AZ958" s="388"/>
      <c r="BA958" s="388"/>
      <c r="BB958" s="389"/>
      <c r="BC958" s="98">
        <v>1</v>
      </c>
      <c r="BD958" s="74">
        <v>1</v>
      </c>
      <c r="BE958" s="75">
        <f t="shared" ref="BE958:BE969" si="381">BD958-BC958</f>
        <v>0</v>
      </c>
    </row>
    <row r="959" spans="1:57" s="1" customFormat="1" ht="21.9" customHeight="1" x14ac:dyDescent="0.4">
      <c r="A959" s="37" t="str">
        <f t="shared" si="374"/>
        <v>16Д</v>
      </c>
      <c r="B959" s="183"/>
      <c r="C959" s="41"/>
      <c r="D959" s="184"/>
      <c r="E959" s="282">
        <f>E958</f>
        <v>46038</v>
      </c>
      <c r="F959" s="335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  <c r="Q959" s="336"/>
      <c r="R959" s="336"/>
      <c r="S959" s="336"/>
      <c r="T959" s="336"/>
      <c r="U959" s="336"/>
      <c r="V959" s="336"/>
      <c r="W959" s="336"/>
      <c r="X959" s="98">
        <v>1</v>
      </c>
      <c r="Y959" s="74">
        <v>1</v>
      </c>
      <c r="Z959" s="75">
        <f t="shared" si="380"/>
        <v>0</v>
      </c>
      <c r="AA959" s="107">
        <f>AA958</f>
        <v>0</v>
      </c>
      <c r="AB959" s="41"/>
      <c r="AC959" s="184"/>
      <c r="AD959" s="212">
        <f>AD958</f>
        <v>46038</v>
      </c>
      <c r="AE959" s="387"/>
      <c r="AF959" s="388"/>
      <c r="AG959" s="388"/>
      <c r="AH959" s="388"/>
      <c r="AI959" s="388"/>
      <c r="AJ959" s="388"/>
      <c r="AK959" s="388"/>
      <c r="AL959" s="388"/>
      <c r="AM959" s="388"/>
      <c r="AN959" s="388"/>
      <c r="AO959" s="388"/>
      <c r="AP959" s="388"/>
      <c r="AQ959" s="388"/>
      <c r="AR959" s="388"/>
      <c r="AS959" s="388"/>
      <c r="AT959" s="388"/>
      <c r="AU959" s="388"/>
      <c r="AV959" s="388"/>
      <c r="AW959" s="388"/>
      <c r="AX959" s="388"/>
      <c r="AY959" s="388"/>
      <c r="AZ959" s="388"/>
      <c r="BA959" s="388"/>
      <c r="BB959" s="389"/>
      <c r="BC959" s="98">
        <v>1</v>
      </c>
      <c r="BD959" s="74">
        <v>1</v>
      </c>
      <c r="BE959" s="75">
        <f t="shared" si="381"/>
        <v>0</v>
      </c>
    </row>
    <row r="960" spans="1:57" s="1" customFormat="1" ht="21.9" customHeight="1" x14ac:dyDescent="0.4">
      <c r="A960" s="37" t="str">
        <f t="shared" si="374"/>
        <v>16Д</v>
      </c>
      <c r="B960" s="183"/>
      <c r="C960" s="41"/>
      <c r="D960" s="184"/>
      <c r="E960" s="282">
        <f t="shared" ref="E960:E969" si="382">E959</f>
        <v>46038</v>
      </c>
      <c r="F960" s="335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  <c r="Q960" s="336"/>
      <c r="R960" s="336"/>
      <c r="S960" s="336"/>
      <c r="T960" s="336"/>
      <c r="U960" s="336"/>
      <c r="V960" s="336"/>
      <c r="W960" s="336"/>
      <c r="X960" s="98">
        <v>1</v>
      </c>
      <c r="Y960" s="74">
        <v>1</v>
      </c>
      <c r="Z960" s="75">
        <f t="shared" si="380"/>
        <v>0</v>
      </c>
      <c r="AA960" s="107">
        <f>AA959</f>
        <v>0</v>
      </c>
      <c r="AB960" s="41"/>
      <c r="AC960" s="184"/>
      <c r="AD960" s="212">
        <f t="shared" ref="AD960:AD969" si="383">AD959</f>
        <v>46038</v>
      </c>
      <c r="AE960" s="387"/>
      <c r="AF960" s="388"/>
      <c r="AG960" s="388"/>
      <c r="AH960" s="388"/>
      <c r="AI960" s="388"/>
      <c r="AJ960" s="388"/>
      <c r="AK960" s="388"/>
      <c r="AL960" s="388"/>
      <c r="AM960" s="388"/>
      <c r="AN960" s="388"/>
      <c r="AO960" s="388"/>
      <c r="AP960" s="388"/>
      <c r="AQ960" s="388"/>
      <c r="AR960" s="388"/>
      <c r="AS960" s="388"/>
      <c r="AT960" s="388"/>
      <c r="AU960" s="388"/>
      <c r="AV960" s="388"/>
      <c r="AW960" s="388"/>
      <c r="AX960" s="388"/>
      <c r="AY960" s="388"/>
      <c r="AZ960" s="388"/>
      <c r="BA960" s="388"/>
      <c r="BB960" s="389"/>
      <c r="BC960" s="98">
        <v>1</v>
      </c>
      <c r="BD960" s="74">
        <v>1</v>
      </c>
      <c r="BE960" s="75">
        <f t="shared" si="381"/>
        <v>0</v>
      </c>
    </row>
    <row r="961" spans="1:57" s="1" customFormat="1" ht="18" customHeight="1" x14ac:dyDescent="0.4">
      <c r="A961" s="37" t="str">
        <f t="shared" si="374"/>
        <v>16Д</v>
      </c>
      <c r="B961" s="183"/>
      <c r="C961" s="41"/>
      <c r="D961" s="184"/>
      <c r="E961" s="282">
        <f t="shared" si="382"/>
        <v>46038</v>
      </c>
      <c r="F961" s="335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  <c r="Q961" s="336"/>
      <c r="R961" s="336"/>
      <c r="S961" s="336"/>
      <c r="T961" s="336"/>
      <c r="U961" s="336"/>
      <c r="V961" s="336"/>
      <c r="W961" s="336"/>
      <c r="X961" s="98">
        <v>1</v>
      </c>
      <c r="Y961" s="74">
        <v>1</v>
      </c>
      <c r="Z961" s="75">
        <f t="shared" si="380"/>
        <v>0</v>
      </c>
      <c r="AA961" s="107">
        <f t="shared" ref="AA961:AA969" si="384">AA960</f>
        <v>0</v>
      </c>
      <c r="AB961" s="41"/>
      <c r="AC961" s="184"/>
      <c r="AD961" s="212">
        <f t="shared" si="383"/>
        <v>46038</v>
      </c>
      <c r="AE961" s="387"/>
      <c r="AF961" s="388"/>
      <c r="AG961" s="388"/>
      <c r="AH961" s="388"/>
      <c r="AI961" s="388"/>
      <c r="AJ961" s="388"/>
      <c r="AK961" s="388"/>
      <c r="AL961" s="388"/>
      <c r="AM961" s="388"/>
      <c r="AN961" s="388"/>
      <c r="AO961" s="388"/>
      <c r="AP961" s="388"/>
      <c r="AQ961" s="388"/>
      <c r="AR961" s="388"/>
      <c r="AS961" s="388"/>
      <c r="AT961" s="388"/>
      <c r="AU961" s="388"/>
      <c r="AV961" s="388"/>
      <c r="AW961" s="388"/>
      <c r="AX961" s="388"/>
      <c r="AY961" s="388"/>
      <c r="AZ961" s="388"/>
      <c r="BA961" s="388"/>
      <c r="BB961" s="389"/>
      <c r="BC961" s="98">
        <v>1</v>
      </c>
      <c r="BD961" s="74">
        <v>1</v>
      </c>
      <c r="BE961" s="75">
        <f t="shared" si="381"/>
        <v>0</v>
      </c>
    </row>
    <row r="962" spans="1:57" s="1" customFormat="1" ht="18" customHeight="1" x14ac:dyDescent="0.4">
      <c r="A962" s="37" t="str">
        <f t="shared" si="374"/>
        <v>16Д</v>
      </c>
      <c r="B962" s="183"/>
      <c r="C962" s="41"/>
      <c r="D962" s="184"/>
      <c r="E962" s="282">
        <f t="shared" si="382"/>
        <v>46038</v>
      </c>
      <c r="F962" s="335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  <c r="Q962" s="336"/>
      <c r="R962" s="336"/>
      <c r="S962" s="336"/>
      <c r="T962" s="336"/>
      <c r="U962" s="336"/>
      <c r="V962" s="336"/>
      <c r="W962" s="336"/>
      <c r="X962" s="98">
        <v>1</v>
      </c>
      <c r="Y962" s="74">
        <v>1</v>
      </c>
      <c r="Z962" s="75">
        <f t="shared" si="380"/>
        <v>0</v>
      </c>
      <c r="AA962" s="107">
        <f t="shared" si="384"/>
        <v>0</v>
      </c>
      <c r="AB962" s="41"/>
      <c r="AC962" s="184"/>
      <c r="AD962" s="212">
        <f t="shared" si="383"/>
        <v>46038</v>
      </c>
      <c r="AE962" s="387"/>
      <c r="AF962" s="388"/>
      <c r="AG962" s="388"/>
      <c r="AH962" s="388"/>
      <c r="AI962" s="388"/>
      <c r="AJ962" s="388"/>
      <c r="AK962" s="388"/>
      <c r="AL962" s="388"/>
      <c r="AM962" s="388"/>
      <c r="AN962" s="388"/>
      <c r="AO962" s="388"/>
      <c r="AP962" s="388"/>
      <c r="AQ962" s="388"/>
      <c r="AR962" s="388"/>
      <c r="AS962" s="388"/>
      <c r="AT962" s="388"/>
      <c r="AU962" s="388"/>
      <c r="AV962" s="388"/>
      <c r="AW962" s="388"/>
      <c r="AX962" s="388"/>
      <c r="AY962" s="388"/>
      <c r="AZ962" s="388"/>
      <c r="BA962" s="388"/>
      <c r="BB962" s="389"/>
      <c r="BC962" s="98">
        <v>1</v>
      </c>
      <c r="BD962" s="74">
        <v>1</v>
      </c>
      <c r="BE962" s="75">
        <f t="shared" si="381"/>
        <v>0</v>
      </c>
    </row>
    <row r="963" spans="1:57" s="1" customFormat="1" ht="18" customHeight="1" x14ac:dyDescent="0.4">
      <c r="A963" s="37" t="str">
        <f t="shared" si="374"/>
        <v>16Д</v>
      </c>
      <c r="B963" s="183"/>
      <c r="C963" s="41"/>
      <c r="D963" s="184"/>
      <c r="E963" s="282">
        <f t="shared" si="382"/>
        <v>46038</v>
      </c>
      <c r="F963" s="335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  <c r="Q963" s="336"/>
      <c r="R963" s="336"/>
      <c r="S963" s="336"/>
      <c r="T963" s="336"/>
      <c r="U963" s="336"/>
      <c r="V963" s="336"/>
      <c r="W963" s="336"/>
      <c r="X963" s="98">
        <v>1</v>
      </c>
      <c r="Y963" s="74">
        <v>1</v>
      </c>
      <c r="Z963" s="75">
        <f t="shared" si="380"/>
        <v>0</v>
      </c>
      <c r="AA963" s="107">
        <f t="shared" si="384"/>
        <v>0</v>
      </c>
      <c r="AB963" s="41"/>
      <c r="AC963" s="184"/>
      <c r="AD963" s="212">
        <f t="shared" si="383"/>
        <v>46038</v>
      </c>
      <c r="AE963" s="387"/>
      <c r="AF963" s="388"/>
      <c r="AG963" s="388"/>
      <c r="AH963" s="388"/>
      <c r="AI963" s="388"/>
      <c r="AJ963" s="388"/>
      <c r="AK963" s="388"/>
      <c r="AL963" s="388"/>
      <c r="AM963" s="388"/>
      <c r="AN963" s="388"/>
      <c r="AO963" s="388"/>
      <c r="AP963" s="388"/>
      <c r="AQ963" s="388"/>
      <c r="AR963" s="388"/>
      <c r="AS963" s="388"/>
      <c r="AT963" s="388"/>
      <c r="AU963" s="388"/>
      <c r="AV963" s="388"/>
      <c r="AW963" s="388"/>
      <c r="AX963" s="388"/>
      <c r="AY963" s="388"/>
      <c r="AZ963" s="388"/>
      <c r="BA963" s="388"/>
      <c r="BB963" s="389"/>
      <c r="BC963" s="98">
        <v>1</v>
      </c>
      <c r="BD963" s="74">
        <v>1</v>
      </c>
      <c r="BE963" s="75">
        <f t="shared" si="381"/>
        <v>0</v>
      </c>
    </row>
    <row r="964" spans="1:57" s="1" customFormat="1" ht="18" customHeight="1" x14ac:dyDescent="0.4">
      <c r="A964" s="37" t="str">
        <f t="shared" si="374"/>
        <v>16Д</v>
      </c>
      <c r="B964" s="183"/>
      <c r="C964" s="41"/>
      <c r="D964" s="184"/>
      <c r="E964" s="282">
        <f t="shared" si="382"/>
        <v>46038</v>
      </c>
      <c r="F964" s="335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  <c r="Q964" s="336"/>
      <c r="R964" s="336"/>
      <c r="S964" s="336"/>
      <c r="T964" s="336"/>
      <c r="U964" s="336"/>
      <c r="V964" s="336"/>
      <c r="W964" s="336"/>
      <c r="X964" s="98">
        <v>1</v>
      </c>
      <c r="Y964" s="74">
        <v>1</v>
      </c>
      <c r="Z964" s="75">
        <f t="shared" si="380"/>
        <v>0</v>
      </c>
      <c r="AA964" s="107">
        <f t="shared" si="384"/>
        <v>0</v>
      </c>
      <c r="AB964" s="41"/>
      <c r="AC964" s="184"/>
      <c r="AD964" s="212">
        <f t="shared" si="383"/>
        <v>46038</v>
      </c>
      <c r="AE964" s="387"/>
      <c r="AF964" s="388"/>
      <c r="AG964" s="388"/>
      <c r="AH964" s="388"/>
      <c r="AI964" s="388"/>
      <c r="AJ964" s="388"/>
      <c r="AK964" s="388"/>
      <c r="AL964" s="388"/>
      <c r="AM964" s="388"/>
      <c r="AN964" s="388"/>
      <c r="AO964" s="388"/>
      <c r="AP964" s="388"/>
      <c r="AQ964" s="388"/>
      <c r="AR964" s="388"/>
      <c r="AS964" s="388"/>
      <c r="AT964" s="388"/>
      <c r="AU964" s="388"/>
      <c r="AV964" s="388"/>
      <c r="AW964" s="388"/>
      <c r="AX964" s="388"/>
      <c r="AY964" s="388"/>
      <c r="AZ964" s="388"/>
      <c r="BA964" s="388"/>
      <c r="BB964" s="389"/>
      <c r="BC964" s="98">
        <v>1</v>
      </c>
      <c r="BD964" s="74">
        <v>1</v>
      </c>
      <c r="BE964" s="75">
        <f t="shared" si="381"/>
        <v>0</v>
      </c>
    </row>
    <row r="965" spans="1:57" s="1" customFormat="1" ht="18" customHeight="1" x14ac:dyDescent="0.4">
      <c r="A965" s="37" t="str">
        <f t="shared" si="374"/>
        <v>16Д</v>
      </c>
      <c r="B965" s="183"/>
      <c r="C965" s="41"/>
      <c r="D965" s="184"/>
      <c r="E965" s="282">
        <f t="shared" si="382"/>
        <v>46038</v>
      </c>
      <c r="F965" s="335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  <c r="Q965" s="336"/>
      <c r="R965" s="336"/>
      <c r="S965" s="336"/>
      <c r="T965" s="336"/>
      <c r="U965" s="336"/>
      <c r="V965" s="336"/>
      <c r="W965" s="336"/>
      <c r="X965" s="98">
        <v>1</v>
      </c>
      <c r="Y965" s="74">
        <v>1</v>
      </c>
      <c r="Z965" s="75">
        <f t="shared" si="380"/>
        <v>0</v>
      </c>
      <c r="AA965" s="107">
        <f t="shared" si="384"/>
        <v>0</v>
      </c>
      <c r="AB965" s="41"/>
      <c r="AC965" s="184"/>
      <c r="AD965" s="212">
        <f t="shared" si="383"/>
        <v>46038</v>
      </c>
      <c r="AE965" s="387"/>
      <c r="AF965" s="388"/>
      <c r="AG965" s="388"/>
      <c r="AH965" s="388"/>
      <c r="AI965" s="388"/>
      <c r="AJ965" s="388"/>
      <c r="AK965" s="388"/>
      <c r="AL965" s="388"/>
      <c r="AM965" s="388"/>
      <c r="AN965" s="388"/>
      <c r="AO965" s="388"/>
      <c r="AP965" s="388"/>
      <c r="AQ965" s="388"/>
      <c r="AR965" s="388"/>
      <c r="AS965" s="388"/>
      <c r="AT965" s="388"/>
      <c r="AU965" s="388"/>
      <c r="AV965" s="388"/>
      <c r="AW965" s="388"/>
      <c r="AX965" s="388"/>
      <c r="AY965" s="388"/>
      <c r="AZ965" s="388"/>
      <c r="BA965" s="388"/>
      <c r="BB965" s="389"/>
      <c r="BC965" s="98">
        <v>1</v>
      </c>
      <c r="BD965" s="74">
        <v>1</v>
      </c>
      <c r="BE965" s="75">
        <f t="shared" si="381"/>
        <v>0</v>
      </c>
    </row>
    <row r="966" spans="1:57" s="1" customFormat="1" ht="18" customHeight="1" x14ac:dyDescent="0.4">
      <c r="A966" s="37" t="str">
        <f t="shared" si="374"/>
        <v>16Д</v>
      </c>
      <c r="B966" s="183"/>
      <c r="C966" s="41"/>
      <c r="D966" s="184"/>
      <c r="E966" s="282">
        <f t="shared" si="382"/>
        <v>46038</v>
      </c>
      <c r="F966" s="335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U966" s="336"/>
      <c r="V966" s="336"/>
      <c r="W966" s="336"/>
      <c r="X966" s="98">
        <v>1</v>
      </c>
      <c r="Y966" s="74">
        <v>1</v>
      </c>
      <c r="Z966" s="75">
        <f t="shared" si="380"/>
        <v>0</v>
      </c>
      <c r="AA966" s="107">
        <f t="shared" si="384"/>
        <v>0</v>
      </c>
      <c r="AB966" s="41"/>
      <c r="AC966" s="184"/>
      <c r="AD966" s="212">
        <f t="shared" si="383"/>
        <v>46038</v>
      </c>
      <c r="AE966" s="387"/>
      <c r="AF966" s="388"/>
      <c r="AG966" s="388"/>
      <c r="AH966" s="388"/>
      <c r="AI966" s="388"/>
      <c r="AJ966" s="388"/>
      <c r="AK966" s="388"/>
      <c r="AL966" s="388"/>
      <c r="AM966" s="388"/>
      <c r="AN966" s="388"/>
      <c r="AO966" s="388"/>
      <c r="AP966" s="388"/>
      <c r="AQ966" s="388"/>
      <c r="AR966" s="388"/>
      <c r="AS966" s="388"/>
      <c r="AT966" s="388"/>
      <c r="AU966" s="388"/>
      <c r="AV966" s="388"/>
      <c r="AW966" s="388"/>
      <c r="AX966" s="388"/>
      <c r="AY966" s="388"/>
      <c r="AZ966" s="388"/>
      <c r="BA966" s="388"/>
      <c r="BB966" s="389"/>
      <c r="BC966" s="98">
        <v>1</v>
      </c>
      <c r="BD966" s="74">
        <v>1</v>
      </c>
      <c r="BE966" s="75">
        <f t="shared" si="381"/>
        <v>0</v>
      </c>
    </row>
    <row r="967" spans="1:57" s="1" customFormat="1" ht="18" customHeight="1" x14ac:dyDescent="0.4">
      <c r="A967" s="37" t="str">
        <f t="shared" si="374"/>
        <v>16Д</v>
      </c>
      <c r="B967" s="183"/>
      <c r="C967" s="41"/>
      <c r="D967" s="184"/>
      <c r="E967" s="282">
        <f t="shared" si="382"/>
        <v>46038</v>
      </c>
      <c r="F967" s="335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  <c r="Q967" s="336"/>
      <c r="R967" s="336"/>
      <c r="S967" s="336"/>
      <c r="T967" s="336"/>
      <c r="U967" s="336"/>
      <c r="V967" s="336"/>
      <c r="W967" s="336"/>
      <c r="X967" s="98">
        <v>1</v>
      </c>
      <c r="Y967" s="74">
        <v>1</v>
      </c>
      <c r="Z967" s="75">
        <f t="shared" si="380"/>
        <v>0</v>
      </c>
      <c r="AA967" s="107">
        <f t="shared" si="384"/>
        <v>0</v>
      </c>
      <c r="AB967" s="41"/>
      <c r="AC967" s="184"/>
      <c r="AD967" s="212">
        <f t="shared" si="383"/>
        <v>46038</v>
      </c>
      <c r="AE967" s="387"/>
      <c r="AF967" s="388"/>
      <c r="AG967" s="388"/>
      <c r="AH967" s="388"/>
      <c r="AI967" s="388"/>
      <c r="AJ967" s="388"/>
      <c r="AK967" s="388"/>
      <c r="AL967" s="388"/>
      <c r="AM967" s="388"/>
      <c r="AN967" s="388"/>
      <c r="AO967" s="388"/>
      <c r="AP967" s="388"/>
      <c r="AQ967" s="388"/>
      <c r="AR967" s="388"/>
      <c r="AS967" s="388"/>
      <c r="AT967" s="388"/>
      <c r="AU967" s="388"/>
      <c r="AV967" s="388"/>
      <c r="AW967" s="388"/>
      <c r="AX967" s="388"/>
      <c r="AY967" s="388"/>
      <c r="AZ967" s="388"/>
      <c r="BA967" s="388"/>
      <c r="BB967" s="389"/>
      <c r="BC967" s="98">
        <v>1</v>
      </c>
      <c r="BD967" s="74">
        <v>1</v>
      </c>
      <c r="BE967" s="75">
        <f t="shared" si="381"/>
        <v>0</v>
      </c>
    </row>
    <row r="968" spans="1:57" s="1" customFormat="1" ht="18" customHeight="1" x14ac:dyDescent="0.4">
      <c r="A968" s="37" t="str">
        <f t="shared" si="374"/>
        <v>16Д</v>
      </c>
      <c r="B968" s="183"/>
      <c r="C968" s="41"/>
      <c r="D968" s="184"/>
      <c r="E968" s="282">
        <f t="shared" si="382"/>
        <v>46038</v>
      </c>
      <c r="F968" s="335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  <c r="Q968" s="336"/>
      <c r="R968" s="336"/>
      <c r="S968" s="336"/>
      <c r="T968" s="336"/>
      <c r="U968" s="336"/>
      <c r="V968" s="336"/>
      <c r="W968" s="336"/>
      <c r="X968" s="98">
        <v>1</v>
      </c>
      <c r="Y968" s="74">
        <v>1</v>
      </c>
      <c r="Z968" s="75">
        <f t="shared" si="380"/>
        <v>0</v>
      </c>
      <c r="AA968" s="107">
        <f t="shared" si="384"/>
        <v>0</v>
      </c>
      <c r="AB968" s="41"/>
      <c r="AC968" s="184"/>
      <c r="AD968" s="212">
        <f t="shared" si="383"/>
        <v>46038</v>
      </c>
      <c r="AE968" s="387"/>
      <c r="AF968" s="388"/>
      <c r="AG968" s="388"/>
      <c r="AH968" s="388"/>
      <c r="AI968" s="388"/>
      <c r="AJ968" s="388"/>
      <c r="AK968" s="388"/>
      <c r="AL968" s="388"/>
      <c r="AM968" s="388"/>
      <c r="AN968" s="388"/>
      <c r="AO968" s="388"/>
      <c r="AP968" s="388"/>
      <c r="AQ968" s="388"/>
      <c r="AR968" s="388"/>
      <c r="AS968" s="388"/>
      <c r="AT968" s="388"/>
      <c r="AU968" s="388"/>
      <c r="AV968" s="388"/>
      <c r="AW968" s="388"/>
      <c r="AX968" s="388"/>
      <c r="AY968" s="388"/>
      <c r="AZ968" s="388"/>
      <c r="BA968" s="388"/>
      <c r="BB968" s="389"/>
      <c r="BC968" s="98">
        <v>1</v>
      </c>
      <c r="BD968" s="74">
        <v>1</v>
      </c>
      <c r="BE968" s="75">
        <f t="shared" si="381"/>
        <v>0</v>
      </c>
    </row>
    <row r="969" spans="1:57" s="1" customFormat="1" ht="18" customHeight="1" thickBot="1" x14ac:dyDescent="0.45">
      <c r="A969" s="37" t="str">
        <f t="shared" si="374"/>
        <v>16Д</v>
      </c>
      <c r="B969" s="183"/>
      <c r="C969" s="41"/>
      <c r="D969" s="184"/>
      <c r="E969" s="283">
        <f t="shared" si="382"/>
        <v>46038</v>
      </c>
      <c r="F969" s="339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99">
        <v>1</v>
      </c>
      <c r="Y969" s="76">
        <v>1</v>
      </c>
      <c r="Z969" s="77">
        <f t="shared" si="380"/>
        <v>0</v>
      </c>
      <c r="AA969" s="107">
        <f t="shared" si="384"/>
        <v>0</v>
      </c>
      <c r="AB969" s="41"/>
      <c r="AC969" s="184"/>
      <c r="AD969" s="211">
        <f t="shared" si="383"/>
        <v>46038</v>
      </c>
      <c r="AE969" s="410"/>
      <c r="AF969" s="411"/>
      <c r="AG969" s="411"/>
      <c r="AH969" s="411"/>
      <c r="AI969" s="411"/>
      <c r="AJ969" s="411"/>
      <c r="AK969" s="411"/>
      <c r="AL969" s="411"/>
      <c r="AM969" s="411"/>
      <c r="AN969" s="411"/>
      <c r="AO969" s="411"/>
      <c r="AP969" s="411"/>
      <c r="AQ969" s="411"/>
      <c r="AR969" s="411"/>
      <c r="AS969" s="411"/>
      <c r="AT969" s="411"/>
      <c r="AU969" s="411"/>
      <c r="AV969" s="411"/>
      <c r="AW969" s="411"/>
      <c r="AX969" s="411"/>
      <c r="AY969" s="411"/>
      <c r="AZ969" s="411"/>
      <c r="BA969" s="411"/>
      <c r="BB969" s="412"/>
      <c r="BC969" s="99">
        <v>1</v>
      </c>
      <c r="BD969" s="76">
        <v>1</v>
      </c>
      <c r="BE969" s="75">
        <f t="shared" si="381"/>
        <v>0</v>
      </c>
    </row>
    <row r="970" spans="1:57" s="1" customFormat="1" ht="23.25" customHeight="1" thickBot="1" x14ac:dyDescent="0.45">
      <c r="A970" s="37" t="str">
        <f t="shared" si="374"/>
        <v>16Д</v>
      </c>
      <c r="B970" s="193"/>
      <c r="C970" s="47"/>
      <c r="D970" s="47"/>
      <c r="E970" s="47"/>
      <c r="F970" s="78"/>
      <c r="G970" s="78"/>
      <c r="H970" s="78"/>
      <c r="I970" s="80"/>
      <c r="J970" s="80"/>
      <c r="K970" s="80"/>
      <c r="L970" s="80"/>
      <c r="M970" s="80"/>
      <c r="N970" s="80"/>
      <c r="O970" s="78"/>
      <c r="P970" s="81"/>
      <c r="Q970" s="81"/>
      <c r="R970" s="81"/>
      <c r="S970" s="81"/>
      <c r="T970" s="81"/>
      <c r="U970" s="82"/>
      <c r="V970" s="82"/>
      <c r="W970" s="86"/>
      <c r="X970" s="194"/>
      <c r="Y970" s="83"/>
      <c r="Z970" s="83"/>
      <c r="AA970" s="78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84"/>
      <c r="AN970" s="47"/>
      <c r="AO970" s="78"/>
      <c r="AP970" s="78"/>
      <c r="AQ970" s="78"/>
      <c r="AR970" s="84"/>
      <c r="AS970" s="78"/>
      <c r="AT970" s="85"/>
      <c r="AU970" s="78"/>
      <c r="AV970" s="83"/>
      <c r="AW970" s="83"/>
      <c r="AX970" s="78"/>
      <c r="AY970" s="78"/>
      <c r="AZ970" s="78"/>
      <c r="BA970" s="78"/>
      <c r="BB970" s="78"/>
      <c r="BC970" s="78"/>
      <c r="BD970" s="79"/>
      <c r="BE970" s="79"/>
    </row>
    <row r="971" spans="1:57" s="1" customFormat="1" ht="21.6" customHeight="1" thickBot="1" x14ac:dyDescent="0.45">
      <c r="A971" s="37" t="s">
        <v>177</v>
      </c>
      <c r="B971" s="59"/>
      <c r="C971" s="51"/>
      <c r="D971" s="51"/>
      <c r="E971" s="51"/>
      <c r="F971" s="158" t="s">
        <v>220</v>
      </c>
      <c r="G971" s="51"/>
      <c r="H971" s="51"/>
      <c r="I971" s="156"/>
      <c r="J971" s="156"/>
      <c r="K971" s="156"/>
      <c r="L971" s="156"/>
      <c r="M971" s="156"/>
      <c r="N971" s="156"/>
      <c r="O971" s="91"/>
      <c r="P971" s="52"/>
      <c r="Q971" s="52"/>
      <c r="R971" s="52"/>
      <c r="S971" s="52"/>
      <c r="T971" s="52"/>
      <c r="U971" s="157"/>
      <c r="V971" s="157"/>
      <c r="W971" s="94"/>
      <c r="X971" s="94"/>
      <c r="Y971" s="51"/>
      <c r="Z971" s="51"/>
      <c r="AA971" s="157">
        <f>AA954</f>
        <v>1</v>
      </c>
      <c r="AB971" s="157">
        <f t="shared" ref="AB971:AF971" si="385">AB954</f>
        <v>2</v>
      </c>
      <c r="AC971" s="157">
        <f t="shared" si="385"/>
        <v>3</v>
      </c>
      <c r="AD971" s="157">
        <f t="shared" si="385"/>
        <v>4</v>
      </c>
      <c r="AE971" s="157">
        <f t="shared" si="385"/>
        <v>5</v>
      </c>
      <c r="AF971" s="157">
        <f t="shared" si="385"/>
        <v>6</v>
      </c>
      <c r="AG971" s="162" t="s">
        <v>123</v>
      </c>
      <c r="AH971" s="162" t="s">
        <v>124</v>
      </c>
      <c r="AI971" s="162" t="s">
        <v>125</v>
      </c>
      <c r="AJ971" s="91" t="s">
        <v>126</v>
      </c>
      <c r="AK971" s="198" t="s">
        <v>136</v>
      </c>
      <c r="AL971" s="198" t="s">
        <v>137</v>
      </c>
      <c r="AM971" s="198" t="s">
        <v>138</v>
      </c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</row>
    <row r="972" spans="1:57" s="1" customFormat="1" ht="21.6" customHeight="1" x14ac:dyDescent="0.4">
      <c r="A972" s="37" t="str">
        <f>A971</f>
        <v>16Н</v>
      </c>
      <c r="B972" s="12">
        <f>B953</f>
        <v>46038</v>
      </c>
      <c r="C972" s="97"/>
      <c r="D972" s="97">
        <v>1</v>
      </c>
      <c r="E972" s="29"/>
      <c r="F972" s="151" t="str">
        <f>IFERROR(VLOOKUP($G972,нормы!$A$14:$BC$57,2,0),"")</f>
        <v/>
      </c>
      <c r="G972" s="93"/>
      <c r="H972" s="54">
        <f>IF(C972=1,"Кульков С.А.", IF(C972=2,"Чудаков А.А.",IF(C972=3,"Королев В.Н.",IF(C972=4,"Николашин М.П.",IF(C972=5," Кульков С.А.",IF(C972=6,"А.А. Чудаков",IF(C972=7,"В.Н. Королев",IF(C972=8,"М.П. Николашин",0))))))))</f>
        <v>0</v>
      </c>
      <c r="I972" s="88" t="s">
        <v>84</v>
      </c>
      <c r="J972" s="332"/>
      <c r="K972" s="30">
        <f>IFERROR(VLOOKUP($G972,[1]нормы!$A$21:$BC$151,15,0),"")</f>
        <v>0</v>
      </c>
      <c r="L972" s="31">
        <f>IFERROR(VLOOKUP($G972,[1]нормы!$A$21:$BC$151,17,0),"")</f>
        <v>0</v>
      </c>
      <c r="M972" s="310">
        <f>IFERROR(VLOOKUP($G972,[1]нормы!$A$21:$BC$151,27,0),"")</f>
        <v>0</v>
      </c>
      <c r="N972" s="311" t="str">
        <f>IFERROR(Y972/Y978*(1.1*J972*I977),"")</f>
        <v/>
      </c>
      <c r="O972" s="300">
        <f>IFERROR(VLOOKUP($G972,[1]нормы!$A$21:$BC$151,21,0),"")</f>
        <v>0</v>
      </c>
      <c r="P972" s="35">
        <f>IFERROR(VLOOKUP($G972,[1]нормы!$A$21:$BC$151,19,0),"")</f>
        <v>0</v>
      </c>
      <c r="Q972" s="35">
        <f>IFERROR(VLOOKUP($G972,[1]нормы!$A$21:$BC$151,23,0),"")</f>
        <v>0</v>
      </c>
      <c r="R972" s="231">
        <f>IFERROR(VLOOKUP($G972,[1]нормы!$A$21:$BC$151,29,0),"")</f>
        <v>0</v>
      </c>
      <c r="S972" s="35">
        <f>IFERROR(VLOOKUP($G972,[1]нормы!$A$21:$BC$151,31,0),"")</f>
        <v>0</v>
      </c>
      <c r="T972" s="32">
        <f>IFERROR(VLOOKUP($G972,[1]нормы!$A$21:$BC$151,25,0),"")</f>
        <v>0</v>
      </c>
      <c r="U972" s="232" t="str">
        <f>IFERROR(W972/(((100*Y972/Y978)*I977)/100),"")</f>
        <v/>
      </c>
      <c r="V972" s="234" t="str">
        <f>IFERROR(VLOOKUP($G972,нормы!$A$14:$BC$57,38,0),"")</f>
        <v/>
      </c>
      <c r="W972" s="136"/>
      <c r="X972" s="236"/>
      <c r="Y972" s="152" t="str">
        <f>IFERROR(VLOOKUP($G972,нормы!$A$14:$BC$57,42,0)*W972,"")</f>
        <v/>
      </c>
      <c r="Z972" s="163">
        <f>IFERROR(VLOOKUP($G972,нормы!$A$14:$BC$57,14,0)*W972/1000,0)</f>
        <v>0</v>
      </c>
      <c r="AA972" s="33"/>
      <c r="AB972" s="36"/>
      <c r="AC972" s="36"/>
      <c r="AD972" s="36"/>
      <c r="AE972" s="34"/>
      <c r="AF972" s="159"/>
      <c r="AG972" s="390"/>
      <c r="AH972" s="393"/>
      <c r="AI972" s="396"/>
      <c r="AJ972" s="407">
        <f>AG972+AH972</f>
        <v>0</v>
      </c>
      <c r="AK972" s="359"/>
      <c r="AL972" s="359"/>
      <c r="AM972" s="359"/>
      <c r="AN972" s="287">
        <f>IFERROR(Y972*AJ972/Y978,)</f>
        <v>0</v>
      </c>
      <c r="AO972" s="197" t="str">
        <f>IFERROR(VLOOKUP($G972,нормы!$A$14:$BC$57,53,0)*$W972,"")</f>
        <v/>
      </c>
      <c r="AP972" s="288">
        <f>IFERROR(Y972*AI972/Y978,)</f>
        <v>0</v>
      </c>
      <c r="AQ972" s="197" t="str">
        <f>IFERROR(VLOOKUP($G972,нормы!$A$14:$BC$57,54,0)*$W972,"")</f>
        <v/>
      </c>
      <c r="AR972" s="288">
        <f>IFERROR(AS972/SUM(AS972:AS977)*AL972,0)</f>
        <v>0</v>
      </c>
      <c r="AS972" s="197" t="str">
        <f>IFERROR(VLOOKUP($G972,нормы!$A$14:$BC$57,55,0)*W972,"")</f>
        <v/>
      </c>
      <c r="AT972" s="288">
        <f>IFERROR(AU972/SUM(AU972:AU977)*AM972,0)</f>
        <v>0</v>
      </c>
      <c r="AU972" s="197" t="str">
        <f>IFERROR(VLOOKUP($G972,нормы!$A$14:$BI$57,56,0)*W972,"")</f>
        <v/>
      </c>
      <c r="AV972" s="288">
        <f>IFERROR(AW972/SUM(AW972:AW977)*AK972,0)</f>
        <v>0</v>
      </c>
      <c r="AW972" s="202" t="str">
        <f>IFERROR(VLOOKUP($G972,нормы!$A$14:$BI$57,57,0)*W972,"")</f>
        <v/>
      </c>
      <c r="AX972" s="33"/>
      <c r="AY972" s="203" t="str">
        <f>IFERROR(VLOOKUP($G972,нормы!$A$14:$BI$57,58,0)*W972,"")</f>
        <v/>
      </c>
      <c r="AZ972" s="204"/>
      <c r="BA972" s="200" t="str">
        <f>IFERROR(VLOOKUP($G972,нормы!$A$14:$BI$57,61,0)*$W972,"")</f>
        <v/>
      </c>
      <c r="BB972" s="33"/>
      <c r="BC972" s="203" t="str">
        <f>IFERROR(VLOOKUP($G972,нормы!$A$14:$BI$57,60,0)*W972,"")</f>
        <v/>
      </c>
      <c r="BD972" s="200" t="str">
        <f>IFERROR(VLOOKUP($G972,нормы!$A$14:$BG$57,44,0),"")</f>
        <v/>
      </c>
      <c r="BE972" s="199" t="str">
        <f>IFERROR(W972/VLOOKUP($G972,нормы!$A$14:$BI$57,45,0),"")</f>
        <v/>
      </c>
    </row>
    <row r="973" spans="1:57" s="1" customFormat="1" ht="21.6" customHeight="1" x14ac:dyDescent="0.4">
      <c r="A973" s="37" t="str">
        <f t="shared" ref="A973:A1001" si="386">A972</f>
        <v>16Н</v>
      </c>
      <c r="B973" s="12">
        <f t="shared" ref="B973:D977" si="387">B972</f>
        <v>46038</v>
      </c>
      <c r="C973" s="97">
        <f t="shared" si="387"/>
        <v>0</v>
      </c>
      <c r="D973" s="97">
        <f t="shared" si="387"/>
        <v>1</v>
      </c>
      <c r="E973" s="54"/>
      <c r="F973" s="151" t="str">
        <f>IFERROR(VLOOKUP($G973,нормы!$A$14:$BC$57,2,0),"")</f>
        <v/>
      </c>
      <c r="G973" s="93"/>
      <c r="H973" s="54">
        <f t="shared" ref="H973:H977" si="388">IF(C973=1,"Кульков С.А.", IF(C973=2,"Чудаков А.А.",IF(C973=3,"Королев В.Н.",IF(C973=4,"Николашин М.П.",IF(C973=5," Кульков С.А.",IF(C973=6,"А.А. Чудаков",IF(C973=7,"В.Н. Королев",IF(C973=8,"М.П. Николашин",0))))))))</f>
        <v>0</v>
      </c>
      <c r="I973" s="55"/>
      <c r="J973" s="333"/>
      <c r="K973" s="30">
        <f>IFERROR(VLOOKUP($G973,[1]нормы!$A$21:$BC$151,15,0),"")</f>
        <v>0</v>
      </c>
      <c r="L973" s="31">
        <f>IFERROR(VLOOKUP($G973,[1]нормы!$A$21:$BC$151,17,0),"")</f>
        <v>0</v>
      </c>
      <c r="M973" s="306">
        <f>IFERROR(VLOOKUP($G973,[1]нормы!$A$21:$BC$151,27,0),"")</f>
        <v>0</v>
      </c>
      <c r="N973" s="307" t="str">
        <f>IFERROR(Y973/Y978*(1.1*J972*I977),"")</f>
        <v/>
      </c>
      <c r="O973" s="300">
        <f>IFERROR(VLOOKUP($G973,[1]нормы!$A$21:$BC$151,21,0),"")</f>
        <v>0</v>
      </c>
      <c r="P973" s="35">
        <f>IFERROR(VLOOKUP($G973,[1]нормы!$A$21:$BC$151,19,0),"")</f>
        <v>0</v>
      </c>
      <c r="Q973" s="35">
        <f>IFERROR(VLOOKUP($G973,[1]нормы!$A$21:$BC$151,23,0),"")</f>
        <v>0</v>
      </c>
      <c r="R973" s="231">
        <f>IFERROR(VLOOKUP($G973,[1]нормы!$A$21:$BC$151,29,0),"")</f>
        <v>0</v>
      </c>
      <c r="S973" s="35">
        <f>IFERROR(VLOOKUP($G973,[1]нормы!$A$21:$BC$151,31,0),"")</f>
        <v>0</v>
      </c>
      <c r="T973" s="32">
        <f>IFERROR(VLOOKUP($G973,[1]нормы!$A$21:$BC$151,25,0),"")</f>
        <v>0</v>
      </c>
      <c r="U973" s="233" t="str">
        <f>IFERROR(W973/(((100*Y973/Y978)*I977)/100),"")</f>
        <v/>
      </c>
      <c r="V973" s="234" t="str">
        <f>IFERROR(VLOOKUP($G973,нормы!$A$14:$BC$57,38,0),"")</f>
        <v/>
      </c>
      <c r="W973" s="136"/>
      <c r="X973" s="237"/>
      <c r="Y973" s="152" t="str">
        <f>IFERROR(VLOOKUP($G973,нормы!$A$14:$BC$57,42,0)*W973,"")</f>
        <v/>
      </c>
      <c r="Z973" s="163">
        <f>IFERROR(VLOOKUP($G973,нормы!$A$14:$BC$57,14,0)*W973/1000,0)</f>
        <v>0</v>
      </c>
      <c r="AA973" s="142"/>
      <c r="AB973" s="35"/>
      <c r="AC973" s="35"/>
      <c r="AD973" s="35"/>
      <c r="AE973" s="31"/>
      <c r="AF973" s="160"/>
      <c r="AG973" s="391"/>
      <c r="AH973" s="394"/>
      <c r="AI973" s="397"/>
      <c r="AJ973" s="408"/>
      <c r="AK973" s="360"/>
      <c r="AL973" s="360"/>
      <c r="AM973" s="360"/>
      <c r="AN973" s="289">
        <f>IFERROR(Y973*AJ972/Y978,)</f>
        <v>0</v>
      </c>
      <c r="AO973" s="197" t="str">
        <f>IFERROR(VLOOKUP($G973,нормы!$A$14:$BC$57,53,0)*$W973,"")</f>
        <v/>
      </c>
      <c r="AP973" s="290">
        <f>IFERROR(Y973*AI972/Y978,)</f>
        <v>0</v>
      </c>
      <c r="AQ973" s="197" t="str">
        <f>IFERROR(VLOOKUP($G973,нормы!$A$14:$BC$57,54,0)*$W973,"")</f>
        <v/>
      </c>
      <c r="AR973" s="290">
        <f>IFERROR(AS973/SUM(AS972:AS977)*AL972,0)</f>
        <v>0</v>
      </c>
      <c r="AS973" s="197" t="str">
        <f>IFERROR(VLOOKUP($G973,нормы!$A$14:$BC$57,55,0)*W973,"")</f>
        <v/>
      </c>
      <c r="AT973" s="290">
        <f>IFERROR(AU973/SUM(AU972:AU977)*AM972,0)</f>
        <v>0</v>
      </c>
      <c r="AU973" s="197" t="str">
        <f>IFERROR(VLOOKUP($G973,нормы!$A$14:$BI$57,56,0)*W973,"")</f>
        <v/>
      </c>
      <c r="AV973" s="290">
        <f>IFERROR(AW973/SUM(AW972:AW977)*AK972,0)</f>
        <v>0</v>
      </c>
      <c r="AW973" s="202" t="str">
        <f>IFERROR(VLOOKUP($G973,нормы!$A$14:$BI$57,57,0)*W973,"")</f>
        <v/>
      </c>
      <c r="AX973" s="30"/>
      <c r="AY973" s="203" t="str">
        <f>IFERROR(VLOOKUP($G973,нормы!$A$14:$BI$57,58,0)*W973,"")</f>
        <v/>
      </c>
      <c r="AZ973" s="205"/>
      <c r="BA973" s="200" t="str">
        <f>IFERROR(VLOOKUP($G973,нормы!$A$14:$BI$57,61,0)*$W973,"")</f>
        <v/>
      </c>
      <c r="BB973" s="30"/>
      <c r="BC973" s="203" t="str">
        <f>IFERROR(VLOOKUP($G973,нормы!$A$14:$BI$57,60,0)*W973,"")</f>
        <v/>
      </c>
      <c r="BD973" s="200" t="str">
        <f>IFERROR(VLOOKUP($G973,нормы!$A$14:$BG$57,44,0),"")</f>
        <v/>
      </c>
      <c r="BE973" s="199" t="str">
        <f>IFERROR(W973/VLOOKUP($G973,нормы!$A$14:$BI$57,45,0),"")</f>
        <v/>
      </c>
    </row>
    <row r="974" spans="1:57" s="1" customFormat="1" ht="20.25" customHeight="1" x14ac:dyDescent="0.4">
      <c r="A974" s="37" t="str">
        <f t="shared" si="386"/>
        <v>16Н</v>
      </c>
      <c r="B974" s="12">
        <f t="shared" si="387"/>
        <v>46038</v>
      </c>
      <c r="C974" s="97">
        <f t="shared" si="387"/>
        <v>0</v>
      </c>
      <c r="D974" s="97">
        <f t="shared" si="387"/>
        <v>1</v>
      </c>
      <c r="E974" s="54"/>
      <c r="F974" s="151" t="str">
        <f>IFERROR(VLOOKUP($G974,нормы!$A$14:$BC$57,2,0),"")</f>
        <v/>
      </c>
      <c r="G974" s="38"/>
      <c r="H974" s="54">
        <f t="shared" si="388"/>
        <v>0</v>
      </c>
      <c r="I974" s="89" t="s">
        <v>85</v>
      </c>
      <c r="J974" s="333"/>
      <c r="K974" s="30">
        <f>IFERROR(VLOOKUP($G974,[1]нормы!$A$21:$BC$151,15,0),"")</f>
        <v>0</v>
      </c>
      <c r="L974" s="31">
        <f>IFERROR(VLOOKUP($G974,[1]нормы!$A$21:$BC$151,17,0),"")</f>
        <v>0</v>
      </c>
      <c r="M974" s="306">
        <f>IFERROR(VLOOKUP($G974,[1]нормы!$A$21:$BC$151,27,0),"")</f>
        <v>0</v>
      </c>
      <c r="N974" s="307" t="str">
        <f>IFERROR(Y974/Y978*(1.1*J972*I977),"")</f>
        <v/>
      </c>
      <c r="O974" s="300">
        <f>IFERROR(VLOOKUP($G974,[1]нормы!$A$21:$BC$151,21,0),"")</f>
        <v>0</v>
      </c>
      <c r="P974" s="35">
        <f>IFERROR(VLOOKUP($G974,[1]нормы!$A$21:$BC$151,19,0),"")</f>
        <v>0</v>
      </c>
      <c r="Q974" s="35">
        <f>IFERROR(VLOOKUP($G974,[1]нормы!$A$21:$BC$151,23,0),"")</f>
        <v>0</v>
      </c>
      <c r="R974" s="231">
        <f>IFERROR(VLOOKUP($G974,[1]нормы!$A$21:$BC$151,29,0),"")</f>
        <v>0</v>
      </c>
      <c r="S974" s="35">
        <f>IFERROR(VLOOKUP($G974,[1]нормы!$A$21:$BC$151,31,0),"")</f>
        <v>0</v>
      </c>
      <c r="T974" s="32">
        <f>IFERROR(VLOOKUP($G974,[1]нормы!$A$21:$BC$151,25,0),"")</f>
        <v>0</v>
      </c>
      <c r="U974" s="233" t="str">
        <f>IFERROR(W974/(((100*Y974/Y978)*I977)/100),"")</f>
        <v/>
      </c>
      <c r="V974" s="234" t="str">
        <f>IFERROR(VLOOKUP($G974,нормы!$A$14:$BC$57,38,0),"")</f>
        <v/>
      </c>
      <c r="W974" s="136"/>
      <c r="X974" s="237"/>
      <c r="Y974" s="152" t="str">
        <f>IFERROR(VLOOKUP($G974,нормы!$A$14:$BC$57,42,0)*W974,"")</f>
        <v/>
      </c>
      <c r="Z974" s="163">
        <f>IFERROR(VLOOKUP($G974,нормы!$A$14:$BC$57,14,0)*W974/1000,0)</f>
        <v>0</v>
      </c>
      <c r="AA974" s="30"/>
      <c r="AB974" s="35"/>
      <c r="AC974" s="35"/>
      <c r="AD974" s="35"/>
      <c r="AE974" s="31"/>
      <c r="AF974" s="160"/>
      <c r="AG974" s="391"/>
      <c r="AH974" s="394"/>
      <c r="AI974" s="397"/>
      <c r="AJ974" s="408"/>
      <c r="AK974" s="360"/>
      <c r="AL974" s="360"/>
      <c r="AM974" s="360"/>
      <c r="AN974" s="289">
        <f>IFERROR(Y974*AJ972/Y978,)</f>
        <v>0</v>
      </c>
      <c r="AO974" s="197" t="str">
        <f>IFERROR(VLOOKUP($G974,нормы!$A$14:$BC$57,53,0)*$W974,"")</f>
        <v/>
      </c>
      <c r="AP974" s="290">
        <f>IFERROR(Y974*AI972/Y978,)</f>
        <v>0</v>
      </c>
      <c r="AQ974" s="197" t="str">
        <f>IFERROR(VLOOKUP($G974,нормы!$A$14:$BC$57,54,0)*$W974,"")</f>
        <v/>
      </c>
      <c r="AR974" s="290">
        <f>IFERROR(AS974/SUM(AS972:AS977)*AL972,0)</f>
        <v>0</v>
      </c>
      <c r="AS974" s="197" t="str">
        <f>IFERROR(VLOOKUP($G974,нормы!$A$14:$BC$57,55,0)*W974,"")</f>
        <v/>
      </c>
      <c r="AT974" s="290">
        <f>IFERROR(AU974/SUM(AU972:AU977)*AM972,0)</f>
        <v>0</v>
      </c>
      <c r="AU974" s="197" t="str">
        <f>IFERROR(VLOOKUP($G974,нормы!$A$14:$BI$57,56,0)*W974,"")</f>
        <v/>
      </c>
      <c r="AV974" s="290">
        <f>IFERROR(AW974/SUM(AW972:AW977)*AK972,0)</f>
        <v>0</v>
      </c>
      <c r="AW974" s="202" t="str">
        <f>IFERROR(VLOOKUP($G974,нормы!$A$14:$BI$57,57,0)*W974,"")</f>
        <v/>
      </c>
      <c r="AX974" s="30"/>
      <c r="AY974" s="203" t="str">
        <f>IFERROR(VLOOKUP($G974,нормы!$A$14:$BI$57,58,0)*W974,"")</f>
        <v/>
      </c>
      <c r="AZ974" s="205"/>
      <c r="BA974" s="200" t="str">
        <f>IFERROR(VLOOKUP($G974,нормы!$A$14:$BI$57,61,0)*$W974,"")</f>
        <v/>
      </c>
      <c r="BB974" s="30"/>
      <c r="BC974" s="203" t="str">
        <f>IFERROR(VLOOKUP($G974,нормы!$A$14:$BI$57,60,0)*W974,"")</f>
        <v/>
      </c>
      <c r="BD974" s="200" t="str">
        <f>IFERROR(VLOOKUP($G974,нормы!$A$14:$BG$57,44,0),"")</f>
        <v/>
      </c>
      <c r="BE974" s="199" t="str">
        <f>IFERROR(W974/VLOOKUP($G974,нормы!$A$14:$BI$57,45,0),"")</f>
        <v/>
      </c>
    </row>
    <row r="975" spans="1:57" s="1" customFormat="1" ht="20.25" customHeight="1" x14ac:dyDescent="0.4">
      <c r="A975" s="37" t="str">
        <f t="shared" si="386"/>
        <v>16Н</v>
      </c>
      <c r="B975" s="12">
        <f t="shared" si="387"/>
        <v>46038</v>
      </c>
      <c r="C975" s="97">
        <f t="shared" si="387"/>
        <v>0</v>
      </c>
      <c r="D975" s="97">
        <f t="shared" si="387"/>
        <v>1</v>
      </c>
      <c r="E975" s="54"/>
      <c r="F975" s="151" t="str">
        <f>IFERROR(VLOOKUP($G975,нормы!$A$14:$BC$57,2,0),"")</f>
        <v/>
      </c>
      <c r="G975" s="93"/>
      <c r="H975" s="54">
        <f t="shared" si="388"/>
        <v>0</v>
      </c>
      <c r="I975" s="55"/>
      <c r="J975" s="333"/>
      <c r="K975" s="30">
        <f>IFERROR(VLOOKUP($G975,[1]нормы!$A$21:$BC$151,15,0),"")</f>
        <v>0</v>
      </c>
      <c r="L975" s="31">
        <f>IFERROR(VLOOKUP($G975,[1]нормы!$A$21:$BC$151,17,0),"")</f>
        <v>0</v>
      </c>
      <c r="M975" s="306">
        <f>IFERROR(VLOOKUP($G975,[1]нормы!$A$21:$BC$151,27,0),"")</f>
        <v>0</v>
      </c>
      <c r="N975" s="307" t="str">
        <f>IFERROR(Y975/Y978*(1.1*J972*I980),"")</f>
        <v/>
      </c>
      <c r="O975" s="300">
        <f>IFERROR(VLOOKUP($G975,[1]нормы!$A$21:$BC$151,21,0),"")</f>
        <v>0</v>
      </c>
      <c r="P975" s="35">
        <f>IFERROR(VLOOKUP($G975,[1]нормы!$A$21:$BC$151,19,0),"")</f>
        <v>0</v>
      </c>
      <c r="Q975" s="35">
        <f>IFERROR(VLOOKUP($G975,[1]нормы!$A$21:$BC$151,23,0),"")</f>
        <v>0</v>
      </c>
      <c r="R975" s="231">
        <f>IFERROR(VLOOKUP($G975,[1]нормы!$A$21:$BC$151,29,0),"")</f>
        <v>0</v>
      </c>
      <c r="S975" s="35">
        <f>IFERROR(VLOOKUP($G975,[1]нормы!$A$21:$BC$151,31,0),"")</f>
        <v>0</v>
      </c>
      <c r="T975" s="32">
        <f>IFERROR(VLOOKUP($G975,[1]нормы!$A$21:$BC$151,25,0),"")</f>
        <v>0</v>
      </c>
      <c r="U975" s="233" t="str">
        <f>IFERROR(W975/(((100*Y975/Y978)*I977)/100),"")</f>
        <v/>
      </c>
      <c r="V975" s="234" t="str">
        <f>IFERROR(VLOOKUP($G975,нормы!$A$14:$BC$57,38,0),"")</f>
        <v/>
      </c>
      <c r="W975" s="136"/>
      <c r="X975" s="237"/>
      <c r="Y975" s="152" t="str">
        <f>IFERROR(VLOOKUP($G975,нормы!$A$14:$BC$57,42,0)*W975,"")</f>
        <v/>
      </c>
      <c r="Z975" s="163">
        <f>IFERROR(VLOOKUP($G975,нормы!$A$14:$BC$57,14,0)*W975/1000,0)</f>
        <v>0</v>
      </c>
      <c r="AA975" s="30"/>
      <c r="AB975" s="35"/>
      <c r="AC975" s="35"/>
      <c r="AD975" s="35"/>
      <c r="AE975" s="31"/>
      <c r="AF975" s="160"/>
      <c r="AG975" s="391"/>
      <c r="AH975" s="394"/>
      <c r="AI975" s="397"/>
      <c r="AJ975" s="408"/>
      <c r="AK975" s="360"/>
      <c r="AL975" s="360"/>
      <c r="AM975" s="360"/>
      <c r="AN975" s="289">
        <f>IFERROR(Y975*AJ972/Y978,)</f>
        <v>0</v>
      </c>
      <c r="AO975" s="197" t="str">
        <f>IFERROR(VLOOKUP($G975,нормы!$A$14:$BC$57,53,0)*$W975,"")</f>
        <v/>
      </c>
      <c r="AP975" s="290">
        <f>IFERROR(Y975*AI972/Y978,)</f>
        <v>0</v>
      </c>
      <c r="AQ975" s="197" t="str">
        <f>IFERROR(VLOOKUP($G975,нормы!$A$14:$BC$57,54,0)*$W975,"")</f>
        <v/>
      </c>
      <c r="AR975" s="290">
        <f>IFERROR(AS975/SUM(AS972:AS977)*AL972,0)</f>
        <v>0</v>
      </c>
      <c r="AS975" s="197" t="str">
        <f>IFERROR(VLOOKUP($G975,нормы!$A$14:$BC$57,55,0)*W975,"")</f>
        <v/>
      </c>
      <c r="AT975" s="290">
        <f>IFERROR(AU975/SUM(AU972:AU977)*AM972,0)</f>
        <v>0</v>
      </c>
      <c r="AU975" s="197" t="str">
        <f>IFERROR(VLOOKUP($G975,нормы!$A$14:$BI$57,56,0)*W975,"")</f>
        <v/>
      </c>
      <c r="AV975" s="290">
        <f>IFERROR(AW975/SUM(AW972:AW977)*AK972,0)</f>
        <v>0</v>
      </c>
      <c r="AW975" s="202" t="str">
        <f>IFERROR(VLOOKUP($G975,нормы!$A$14:$BI$57,57,0)*W975,"")</f>
        <v/>
      </c>
      <c r="AX975" s="30"/>
      <c r="AY975" s="203" t="str">
        <f>IFERROR(VLOOKUP($G975,нормы!$A$14:$BI$57,58,0)*W975,"")</f>
        <v/>
      </c>
      <c r="AZ975" s="205"/>
      <c r="BA975" s="200" t="str">
        <f>IFERROR(VLOOKUP($G975,нормы!$A$14:$BI$57,61,0)*$W975,"")</f>
        <v/>
      </c>
      <c r="BB975" s="30"/>
      <c r="BC975" s="203" t="str">
        <f>IFERROR(VLOOKUP($G975,нормы!$A$14:$BI$57,60,0)*W975,"")</f>
        <v/>
      </c>
      <c r="BD975" s="200" t="str">
        <f>IFERROR(VLOOKUP($G975,нормы!$A$14:$BG$57,44,0),"")</f>
        <v/>
      </c>
      <c r="BE975" s="199" t="str">
        <f>IFERROR(W975/VLOOKUP($G975,нормы!$A$14:$BI$57,45,0),"")</f>
        <v/>
      </c>
    </row>
    <row r="976" spans="1:57" s="1" customFormat="1" ht="20.25" customHeight="1" x14ac:dyDescent="0.4">
      <c r="A976" s="37" t="str">
        <f t="shared" si="386"/>
        <v>16Н</v>
      </c>
      <c r="B976" s="12">
        <f t="shared" si="387"/>
        <v>46038</v>
      </c>
      <c r="C976" s="97">
        <f t="shared" si="387"/>
        <v>0</v>
      </c>
      <c r="D976" s="97">
        <f t="shared" si="387"/>
        <v>1</v>
      </c>
      <c r="E976" s="54"/>
      <c r="F976" s="151" t="str">
        <f>IFERROR(VLOOKUP($G976,нормы!$A$14:$BC$57,2,0),"")</f>
        <v/>
      </c>
      <c r="G976" s="38"/>
      <c r="H976" s="54">
        <f t="shared" si="388"/>
        <v>0</v>
      </c>
      <c r="I976" s="89" t="s">
        <v>73</v>
      </c>
      <c r="J976" s="333"/>
      <c r="K976" s="30">
        <f>IFERROR(VLOOKUP($G976,[1]нормы!$A$21:$BC$151,15,0),"")</f>
        <v>0</v>
      </c>
      <c r="L976" s="31">
        <f>IFERROR(VLOOKUP($G976,[1]нормы!$A$21:$BC$151,17,0),"")</f>
        <v>0</v>
      </c>
      <c r="M976" s="306">
        <f>IFERROR(VLOOKUP($G976,[1]нормы!$A$21:$BC$151,27,0),"")</f>
        <v>0</v>
      </c>
      <c r="N976" s="307" t="str">
        <f>IFERROR(Y976/Y978*(1.1*J972*I981),"")</f>
        <v/>
      </c>
      <c r="O976" s="300">
        <f>IFERROR(VLOOKUP($G976,[1]нормы!$A$21:$BC$151,21,0),"")</f>
        <v>0</v>
      </c>
      <c r="P976" s="35">
        <f>IFERROR(VLOOKUP($G976,[1]нормы!$A$21:$BC$151,19,0),"")</f>
        <v>0</v>
      </c>
      <c r="Q976" s="35">
        <f>IFERROR(VLOOKUP($G976,[1]нормы!$A$21:$BC$151,23,0),"")</f>
        <v>0</v>
      </c>
      <c r="R976" s="231">
        <f>IFERROR(VLOOKUP($G976,[1]нормы!$A$21:$BC$151,29,0),"")</f>
        <v>0</v>
      </c>
      <c r="S976" s="35">
        <f>IFERROR(VLOOKUP($G976,[1]нормы!$A$21:$BC$151,31,0),"")</f>
        <v>0</v>
      </c>
      <c r="T976" s="32">
        <f>IFERROR(VLOOKUP($G976,[1]нормы!$A$21:$BC$151,25,0),"")</f>
        <v>0</v>
      </c>
      <c r="U976" s="233" t="str">
        <f>IFERROR(W976/(((100*Y976/Y978)*I977)/100),"")</f>
        <v/>
      </c>
      <c r="V976" s="234" t="str">
        <f>IFERROR(VLOOKUP($G976,нормы!$A$14:$BC$57,38,0),"")</f>
        <v/>
      </c>
      <c r="W976" s="136"/>
      <c r="X976" s="237"/>
      <c r="Y976" s="152" t="str">
        <f>IFERROR(VLOOKUP($G976,нормы!$A$14:$BC$57,42,0)*W976,"")</f>
        <v/>
      </c>
      <c r="Z976" s="163">
        <f>IFERROR(VLOOKUP($G976,нормы!$A$14:$BC$57,14,0)*W976/1000,0)</f>
        <v>0</v>
      </c>
      <c r="AA976" s="30"/>
      <c r="AB976" s="35"/>
      <c r="AC976" s="35"/>
      <c r="AD976" s="35"/>
      <c r="AE976" s="31"/>
      <c r="AF976" s="160"/>
      <c r="AG976" s="391"/>
      <c r="AH976" s="394"/>
      <c r="AI976" s="397"/>
      <c r="AJ976" s="408"/>
      <c r="AK976" s="360"/>
      <c r="AL976" s="360"/>
      <c r="AM976" s="360"/>
      <c r="AN976" s="289">
        <f>IFERROR(Y976*AJ972/Y978,)</f>
        <v>0</v>
      </c>
      <c r="AO976" s="197" t="str">
        <f>IFERROR(VLOOKUP($G976,нормы!$A$14:$BC$57,53,0)*$W976,"")</f>
        <v/>
      </c>
      <c r="AP976" s="290">
        <f>IFERROR(Y976*AI972/Y978,)</f>
        <v>0</v>
      </c>
      <c r="AQ976" s="197" t="str">
        <f>IFERROR(VLOOKUP($G976,нормы!$A$14:$BC$57,54,0)*$W976,"")</f>
        <v/>
      </c>
      <c r="AR976" s="290">
        <f>IFERROR(AS976/SUM(AS972:AS977)*AL972,0)</f>
        <v>0</v>
      </c>
      <c r="AS976" s="197" t="str">
        <f>IFERROR(VLOOKUP($G976,нормы!$A$14:$BC$57,55,0)*W976,"")</f>
        <v/>
      </c>
      <c r="AT976" s="290">
        <f>IFERROR(AU976/SUM(AU972:AU977)*AM972,0)</f>
        <v>0</v>
      </c>
      <c r="AU976" s="197" t="str">
        <f>IFERROR(VLOOKUP($G976,нормы!$A$14:$BI$57,56,0)*W976,"")</f>
        <v/>
      </c>
      <c r="AV976" s="290">
        <f>IFERROR(AW976/SUM(AW972:AW977)*AK972,0)</f>
        <v>0</v>
      </c>
      <c r="AW976" s="202" t="str">
        <f>IFERROR(VLOOKUP($G976,нормы!$A$14:$BI$57,57,0)*W976,"")</f>
        <v/>
      </c>
      <c r="AX976" s="30"/>
      <c r="AY976" s="203" t="str">
        <f>IFERROR(VLOOKUP($G976,нормы!$A$14:$BI$57,58,0)*W976,"")</f>
        <v/>
      </c>
      <c r="AZ976" s="205"/>
      <c r="BA976" s="200" t="str">
        <f>IFERROR(VLOOKUP($G976,нормы!$A$14:$BI$57,61,0)*$W976,"")</f>
        <v/>
      </c>
      <c r="BB976" s="30"/>
      <c r="BC976" s="203" t="str">
        <f>IFERROR(VLOOKUP($G976,нормы!$A$14:$BI$57,60,0)*W976,"")</f>
        <v/>
      </c>
      <c r="BD976" s="200" t="str">
        <f>IFERROR(VLOOKUP($G976,нормы!$A$14:$BG$57,44,0),"")</f>
        <v/>
      </c>
      <c r="BE976" s="199" t="str">
        <f>IFERROR(W976/VLOOKUP($G976,нормы!$A$14:$BI$57,45,0),"")</f>
        <v/>
      </c>
    </row>
    <row r="977" spans="1:57" s="1" customFormat="1" ht="21" customHeight="1" thickBot="1" x14ac:dyDescent="0.45">
      <c r="A977" s="37" t="str">
        <f t="shared" si="386"/>
        <v>16Н</v>
      </c>
      <c r="B977" s="12">
        <f t="shared" si="387"/>
        <v>46038</v>
      </c>
      <c r="C977" s="97">
        <f t="shared" si="387"/>
        <v>0</v>
      </c>
      <c r="D977" s="97">
        <f t="shared" si="387"/>
        <v>1</v>
      </c>
      <c r="E977" s="54"/>
      <c r="F977" s="151" t="str">
        <f>IFERROR(VLOOKUP($G977,нормы!$A$14:$BC$57,2,0),"")</f>
        <v/>
      </c>
      <c r="G977" s="93"/>
      <c r="H977" s="63">
        <f t="shared" si="388"/>
        <v>0</v>
      </c>
      <c r="I977" s="153">
        <f>I973+I975</f>
        <v>0</v>
      </c>
      <c r="J977" s="334"/>
      <c r="K977" s="30">
        <f>IFERROR(VLOOKUP($G977,[1]нормы!$A$21:$BC$151,15,0),"")</f>
        <v>0</v>
      </c>
      <c r="L977" s="31">
        <f>IFERROR(VLOOKUP($G977,[1]нормы!$A$21:$BC$151,17,0),"")</f>
        <v>0</v>
      </c>
      <c r="M977" s="308">
        <f>IFERROR(VLOOKUP($G977,[1]нормы!$A$21:$BC$151,27,0),"")</f>
        <v>0</v>
      </c>
      <c r="N977" s="309" t="str">
        <f>IFERROR(Y977/Y978*(1.1*J972*I982),"")</f>
        <v/>
      </c>
      <c r="O977" s="300">
        <f>IFERROR(VLOOKUP($G977,[1]нормы!$A$21:$BC$151,21,0),"")</f>
        <v>0</v>
      </c>
      <c r="P977" s="35">
        <f>IFERROR(VLOOKUP($G977,[1]нормы!$A$21:$BC$151,19,0),"")</f>
        <v>0</v>
      </c>
      <c r="Q977" s="35">
        <f>IFERROR(VLOOKUP($G977,[1]нормы!$A$21:$BC$151,23,0),"")</f>
        <v>0</v>
      </c>
      <c r="R977" s="231">
        <f>IFERROR(VLOOKUP($G977,[1]нормы!$A$21:$BC$151,29,0),"")</f>
        <v>0</v>
      </c>
      <c r="S977" s="35">
        <f>IFERROR(VLOOKUP($G977,[1]нормы!$A$21:$BC$151,31,0),"")</f>
        <v>0</v>
      </c>
      <c r="T977" s="32">
        <f>IFERROR(VLOOKUP($G977,[1]нормы!$A$21:$BC$151,25,0),"")</f>
        <v>0</v>
      </c>
      <c r="U977" s="235" t="str">
        <f>IFERROR(W977/(((100*Y977/Y978)*I977)/100),"")</f>
        <v/>
      </c>
      <c r="V977" s="234" t="str">
        <f>IFERROR(VLOOKUP($G977,нормы!$A$14:$BC$57,38,0),"")</f>
        <v/>
      </c>
      <c r="W977" s="154"/>
      <c r="X977" s="238"/>
      <c r="Y977" s="152" t="str">
        <f>IFERROR(VLOOKUP($G977,нормы!$A$14:$BC$57,42,0)*W977,"")</f>
        <v/>
      </c>
      <c r="Z977" s="163">
        <f>IFERROR(VLOOKUP($G977,нормы!$A$14:$BC$57,14,0)*W977/1000,0)</f>
        <v>0</v>
      </c>
      <c r="AA977" s="56"/>
      <c r="AB977" s="58"/>
      <c r="AC977" s="58"/>
      <c r="AD977" s="58"/>
      <c r="AE977" s="57"/>
      <c r="AF977" s="161"/>
      <c r="AG977" s="392"/>
      <c r="AH977" s="395"/>
      <c r="AI977" s="398"/>
      <c r="AJ977" s="409"/>
      <c r="AK977" s="361"/>
      <c r="AL977" s="361"/>
      <c r="AM977" s="361"/>
      <c r="AN977" s="291">
        <f>IFERROR(Y977*AJ972/Y978,)</f>
        <v>0</v>
      </c>
      <c r="AO977" s="197" t="str">
        <f>IFERROR(VLOOKUP($G977,нормы!$A$14:$BC$57,53,0)*$W977,"")</f>
        <v/>
      </c>
      <c r="AP977" s="292">
        <f>IFERROR(Y977*AI972/Y978,)</f>
        <v>0</v>
      </c>
      <c r="AQ977" s="197" t="str">
        <f>IFERROR(VLOOKUP($G977,нормы!$A$14:$BC$57,54,0)*$W977,"")</f>
        <v/>
      </c>
      <c r="AR977" s="290">
        <f>IFERROR(AS977/SUM(AS972:AS977)*AL972,0)</f>
        <v>0</v>
      </c>
      <c r="AS977" s="197" t="str">
        <f>IFERROR(VLOOKUP($G977,нормы!$A$14:$BC$57,55,0)*W977,"")</f>
        <v/>
      </c>
      <c r="AT977" s="292">
        <f>IFERROR(AU977/SUM(AU972:AU977)*AM972,0)</f>
        <v>0</v>
      </c>
      <c r="AU977" s="197" t="str">
        <f>IFERROR(VLOOKUP($G977,нормы!$A$14:$BI$57,56,0)*W977,"")</f>
        <v/>
      </c>
      <c r="AV977" s="292">
        <f>IFERROR(AW977/SUM(AW972:AW977)*AK972,0)</f>
        <v>0</v>
      </c>
      <c r="AW977" s="202" t="str">
        <f>IFERROR(VLOOKUP($G977,нормы!$A$14:$BI$57,57,0)*W977,"")</f>
        <v/>
      </c>
      <c r="AX977" s="56"/>
      <c r="AY977" s="203" t="str">
        <f>IFERROR(VLOOKUP($G977,нормы!$A$14:$BI$57,58,0)*W977,"")</f>
        <v/>
      </c>
      <c r="AZ977" s="206"/>
      <c r="BA977" s="200" t="str">
        <f>IFERROR(VLOOKUP($G977,нормы!$A$14:$BI$57,61,0)*$W977,"")</f>
        <v/>
      </c>
      <c r="BB977" s="56"/>
      <c r="BC977" s="203" t="str">
        <f>IFERROR(VLOOKUP($G977,нормы!$A$14:$BI$57,60,0)*W977,"")</f>
        <v/>
      </c>
      <c r="BD977" s="200" t="str">
        <f>IFERROR(VLOOKUP($G977,нормы!$A$14:$BG$57,44,0),"")</f>
        <v/>
      </c>
      <c r="BE977" s="199" t="str">
        <f>IFERROR(W977/VLOOKUP($G977,нормы!$A$14:$BI$57,45,0),"")</f>
        <v/>
      </c>
    </row>
    <row r="978" spans="1:57" s="1" customFormat="1" ht="29.4" customHeight="1" thickBot="1" x14ac:dyDescent="0.45">
      <c r="A978" s="37" t="str">
        <f t="shared" si="386"/>
        <v>16Н</v>
      </c>
      <c r="B978" s="59"/>
      <c r="C978" s="51"/>
      <c r="D978" s="51"/>
      <c r="E978" s="51"/>
      <c r="F978" s="295" t="s">
        <v>149</v>
      </c>
      <c r="G978" s="51"/>
      <c r="H978" s="51"/>
      <c r="I978" s="60"/>
      <c r="J978" s="60"/>
      <c r="K978" s="319" t="s">
        <v>213</v>
      </c>
      <c r="L978" s="316"/>
      <c r="M978" s="303" t="s">
        <v>213</v>
      </c>
      <c r="N978" s="317">
        <f>SUM(N972:N977)</f>
        <v>0</v>
      </c>
      <c r="O978" s="304" t="s">
        <v>216</v>
      </c>
      <c r="P978" s="318">
        <f>N978*8.937/1000</f>
        <v>0</v>
      </c>
      <c r="Q978" s="305" t="s">
        <v>215</v>
      </c>
      <c r="R978" s="61"/>
      <c r="S978" s="61"/>
      <c r="T978" s="61"/>
      <c r="U978" s="109"/>
      <c r="V978" s="109"/>
      <c r="W978" s="94"/>
      <c r="X978" s="155"/>
      <c r="Y978" s="96">
        <f>SUM(Y972:Y977)</f>
        <v>0</v>
      </c>
      <c r="Z978" s="164">
        <f>SUM(Z972:Z977)</f>
        <v>0</v>
      </c>
      <c r="AA978" s="62"/>
      <c r="AB978" s="62"/>
      <c r="AC978" s="62"/>
      <c r="AD978" s="62"/>
      <c r="AE978" s="62"/>
      <c r="AF978" s="62"/>
      <c r="AG978" s="162" t="s">
        <v>140</v>
      </c>
      <c r="AH978" s="162" t="s">
        <v>141</v>
      </c>
      <c r="AI978" s="162" t="s">
        <v>142</v>
      </c>
      <c r="AJ978" s="91" t="s">
        <v>126</v>
      </c>
      <c r="AK978" s="198" t="s">
        <v>136</v>
      </c>
      <c r="AL978" s="198" t="s">
        <v>137</v>
      </c>
      <c r="AM978" s="198" t="s">
        <v>138</v>
      </c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53" t="str">
        <f>IFERROR(W978/VLOOKUP($G978,нормы!$A$14:$BI$15,28,0),"")</f>
        <v/>
      </c>
    </row>
    <row r="979" spans="1:57" s="1" customFormat="1" ht="21.6" customHeight="1" x14ac:dyDescent="0.4">
      <c r="A979" s="37" t="str">
        <f t="shared" si="386"/>
        <v>16Н</v>
      </c>
      <c r="B979" s="12">
        <f>B977</f>
        <v>46038</v>
      </c>
      <c r="C979" s="97"/>
      <c r="D979" s="97">
        <v>2</v>
      </c>
      <c r="E979" s="29"/>
      <c r="F979" s="151" t="str">
        <f>IFERROR(VLOOKUP($G979,нормы!$A$14:$BC$57,2,0),"")</f>
        <v/>
      </c>
      <c r="G979" s="93"/>
      <c r="H979" s="54">
        <f>IF(C979=1,"Кульков С.А.", IF(C979=2,"Чудаков А.А.",IF(C979=3,"Королев В.Н.",IF(C979=4,"Николашин М.П.",IF(C979=5," Кульков С.А.",IF(C979=6,"А.А. Чудаков",IF(C979=7,"В.Н. Королев",IF(C979=8,"М.П. Николашин",0))))))))</f>
        <v>0</v>
      </c>
      <c r="I979" s="88" t="s">
        <v>211</v>
      </c>
      <c r="J979" s="332"/>
      <c r="K979" s="30">
        <f>IFERROR(VLOOKUP($G979,[1]нормы!$A$21:$BC$151,15,0),"")</f>
        <v>0</v>
      </c>
      <c r="L979" s="31">
        <f>IFERROR(VLOOKUP($G979,[1]нормы!$A$21:$BC$151,17,0),"")</f>
        <v>0</v>
      </c>
      <c r="M979" s="310">
        <f>IFERROR(VLOOKUP($G979,[1]нормы!$A$21:$BC$151,27,0),"")</f>
        <v>0</v>
      </c>
      <c r="N979" s="311" t="str">
        <f>IFERROR(Y979/Y985*(1.1*J979*I984),"")</f>
        <v/>
      </c>
      <c r="O979" s="300">
        <f>IFERROR(VLOOKUP($G979,[1]нормы!$A$21:$BC$151,21,0),"")</f>
        <v>0</v>
      </c>
      <c r="P979" s="35">
        <f>IFERROR(VLOOKUP($G979,[1]нормы!$A$21:$BC$151,19,0),"")</f>
        <v>0</v>
      </c>
      <c r="Q979" s="35">
        <f>IFERROR(VLOOKUP($G979,[1]нормы!$A$21:$BC$151,23,0),"")</f>
        <v>0</v>
      </c>
      <c r="R979" s="231">
        <f>IFERROR(VLOOKUP($G979,[1]нормы!$A$21:$BC$151,29,0),"")</f>
        <v>0</v>
      </c>
      <c r="S979" s="35">
        <f>IFERROR(VLOOKUP($G979,[1]нормы!$A$21:$BC$151,31,0),"")</f>
        <v>0</v>
      </c>
      <c r="T979" s="32">
        <f>IFERROR(VLOOKUP($G979,[1]нормы!$A$21:$BC$151,25,0),"")</f>
        <v>0</v>
      </c>
      <c r="U979" s="232" t="str">
        <f>IFERROR(W979/(((100*Y979/Y985)*I984)/100),"")</f>
        <v/>
      </c>
      <c r="V979" s="234" t="str">
        <f>IFERROR(VLOOKUP($G979,нормы!$A$14:$BC$57,38,0),"")</f>
        <v/>
      </c>
      <c r="W979" s="136"/>
      <c r="X979" s="236"/>
      <c r="Y979" s="152" t="str">
        <f>IFERROR(VLOOKUP($G979,нормы!$A$14:$BC$57,42,0)*W979,"")</f>
        <v/>
      </c>
      <c r="Z979" s="163">
        <f>IFERROR(VLOOKUP($G979,нормы!$A$14:$BC$57,14,0)*W979/1000,0)</f>
        <v>0</v>
      </c>
      <c r="AA979" s="33"/>
      <c r="AB979" s="36"/>
      <c r="AC979" s="36"/>
      <c r="AD979" s="36"/>
      <c r="AE979" s="34"/>
      <c r="AF979" s="159"/>
      <c r="AG979" s="390"/>
      <c r="AH979" s="393"/>
      <c r="AI979" s="396"/>
      <c r="AJ979" s="407">
        <f>AG979+AH979</f>
        <v>0</v>
      </c>
      <c r="AK979" s="359"/>
      <c r="AL979" s="359"/>
      <c r="AM979" s="359"/>
      <c r="AN979" s="287">
        <f>IFERROR(Y979*AJ979/Y985,)</f>
        <v>0</v>
      </c>
      <c r="AO979" s="197" t="str">
        <f>IFERROR(VLOOKUP($G979,нормы!$A$14:$BC$57,53,0)*$W979,"")</f>
        <v/>
      </c>
      <c r="AP979" s="288">
        <f>IFERROR(Y979*AI979/Y985,)</f>
        <v>0</v>
      </c>
      <c r="AQ979" s="197" t="str">
        <f>IFERROR(VLOOKUP($G979,нормы!$A$14:$BC$57,54,0)*$W979,"")</f>
        <v/>
      </c>
      <c r="AR979" s="288">
        <f>IFERROR(AS979/SUM(AS979:AS984)*AL979,0)</f>
        <v>0</v>
      </c>
      <c r="AS979" s="197" t="str">
        <f>IFERROR(VLOOKUP($G979,нормы!$A$14:$BC$57,55,0)*W979,"")</f>
        <v/>
      </c>
      <c r="AT979" s="288">
        <f>IFERROR(AU979/SUM(AU979:AU984)*AM979,0)</f>
        <v>0</v>
      </c>
      <c r="AU979" s="197" t="str">
        <f>IFERROR(VLOOKUP($G979,нормы!$A$14:$BI$57,56,0)*W979,"")</f>
        <v/>
      </c>
      <c r="AV979" s="288">
        <f>IFERROR(AW979/SUM(AW979:AW984)*AK979,0)</f>
        <v>0</v>
      </c>
      <c r="AW979" s="202" t="str">
        <f>IFERROR(VLOOKUP($G979,нормы!$A$14:$BI$57,57,0)*W979,"")</f>
        <v/>
      </c>
      <c r="AX979" s="33"/>
      <c r="AY979" s="203" t="str">
        <f>IFERROR(VLOOKUP($G979,нормы!$A$14:$BI$57,58,0)*W979,"")</f>
        <v/>
      </c>
      <c r="AZ979" s="204"/>
      <c r="BA979" s="200" t="str">
        <f>IFERROR(VLOOKUP($G979,нормы!$A$14:$BI$57,61,0)*$W979,"")</f>
        <v/>
      </c>
      <c r="BB979" s="33"/>
      <c r="BC979" s="203" t="str">
        <f>IFERROR(VLOOKUP($G979,нормы!$A$14:$BI$57,60,0)*W979,"")</f>
        <v/>
      </c>
      <c r="BD979" s="200" t="str">
        <f>IFERROR(VLOOKUP($G979,нормы!$A$14:$BG$57,44,0),"")</f>
        <v/>
      </c>
      <c r="BE979" s="199" t="str">
        <f>IFERROR(W979/VLOOKUP($G979,нормы!$A$14:$BI$57,45,0),"")</f>
        <v/>
      </c>
    </row>
    <row r="980" spans="1:57" s="1" customFormat="1" ht="21.6" customHeight="1" x14ac:dyDescent="0.4">
      <c r="A980" s="37" t="str">
        <f t="shared" si="386"/>
        <v>16Н</v>
      </c>
      <c r="B980" s="12">
        <f t="shared" ref="B980:D984" si="389">B979</f>
        <v>46038</v>
      </c>
      <c r="C980" s="97">
        <f t="shared" si="389"/>
        <v>0</v>
      </c>
      <c r="D980" s="97">
        <f t="shared" si="389"/>
        <v>2</v>
      </c>
      <c r="E980" s="54"/>
      <c r="F980" s="151" t="str">
        <f>IFERROR(VLOOKUP($G980,нормы!$A$14:$BC$57,2,0),"")</f>
        <v/>
      </c>
      <c r="G980" s="93"/>
      <c r="H980" s="54">
        <f t="shared" ref="H980:H984" si="390">IF(C980=1,"Кульков С.А.", IF(C980=2,"Чудаков А.А.",IF(C980=3,"Королев В.Н.",IF(C980=4,"Николашин М.П.",IF(C980=5," Кульков С.А.",IF(C980=6,"А.А. Чудаков",IF(C980=7,"В.Н. Королев",IF(C980=8,"М.П. Николашин",0))))))))</f>
        <v>0</v>
      </c>
      <c r="I980" s="55"/>
      <c r="J980" s="333"/>
      <c r="K980" s="30">
        <f>IFERROR(VLOOKUP($G980,[1]нормы!$A$21:$BC$151,15,0),"")</f>
        <v>0</v>
      </c>
      <c r="L980" s="31">
        <f>IFERROR(VLOOKUP($G980,[1]нормы!$A$21:$BC$151,17,0),"")</f>
        <v>0</v>
      </c>
      <c r="M980" s="306">
        <f>IFERROR(VLOOKUP($G980,[1]нормы!$A$21:$BC$151,27,0),"")</f>
        <v>0</v>
      </c>
      <c r="N980" s="307" t="str">
        <f>IFERROR(Y980/Y985*(1.1*J979*I984),"")</f>
        <v/>
      </c>
      <c r="O980" s="300">
        <f>IFERROR(VLOOKUP($G980,[1]нормы!$A$21:$BC$151,21,0),"")</f>
        <v>0</v>
      </c>
      <c r="P980" s="35">
        <f>IFERROR(VLOOKUP($G980,[1]нормы!$A$21:$BC$151,19,0),"")</f>
        <v>0</v>
      </c>
      <c r="Q980" s="35">
        <f>IFERROR(VLOOKUP($G980,[1]нормы!$A$21:$BC$151,23,0),"")</f>
        <v>0</v>
      </c>
      <c r="R980" s="231">
        <f>IFERROR(VLOOKUP($G980,[1]нормы!$A$21:$BC$151,29,0),"")</f>
        <v>0</v>
      </c>
      <c r="S980" s="35">
        <f>IFERROR(VLOOKUP($G980,[1]нормы!$A$21:$BC$151,31,0),"")</f>
        <v>0</v>
      </c>
      <c r="T980" s="32">
        <f>IFERROR(VLOOKUP($G980,[1]нормы!$A$21:$BC$151,25,0),"")</f>
        <v>0</v>
      </c>
      <c r="U980" s="233" t="str">
        <f>IFERROR(W980/(((100*Y980/Y985)*I984)/100),"")</f>
        <v/>
      </c>
      <c r="V980" s="234" t="str">
        <f>IFERROR(VLOOKUP($G980,нормы!$A$14:$BC$57,38,0),"")</f>
        <v/>
      </c>
      <c r="W980" s="136"/>
      <c r="X980" s="237"/>
      <c r="Y980" s="152" t="str">
        <f>IFERROR(VLOOKUP($G980,нормы!$A$14:$BC$57,42,0)*W980,"")</f>
        <v/>
      </c>
      <c r="Z980" s="163">
        <f>IFERROR(VLOOKUP($G980,нормы!$A$14:$BC$57,14,0)*W980/1000,0)</f>
        <v>0</v>
      </c>
      <c r="AA980" s="142"/>
      <c r="AB980" s="35"/>
      <c r="AC980" s="35"/>
      <c r="AD980" s="35"/>
      <c r="AE980" s="31"/>
      <c r="AF980" s="160"/>
      <c r="AG980" s="391"/>
      <c r="AH980" s="394"/>
      <c r="AI980" s="397"/>
      <c r="AJ980" s="408"/>
      <c r="AK980" s="360"/>
      <c r="AL980" s="360"/>
      <c r="AM980" s="360"/>
      <c r="AN980" s="289">
        <f>IFERROR(Y980*AJ979/Y985,)</f>
        <v>0</v>
      </c>
      <c r="AO980" s="197" t="str">
        <f>IFERROR(VLOOKUP($G980,нормы!$A$14:$BC$57,53,0)*$W980,"")</f>
        <v/>
      </c>
      <c r="AP980" s="290">
        <f>IFERROR(Y980*AI979/Y985,)</f>
        <v>0</v>
      </c>
      <c r="AQ980" s="197" t="str">
        <f>IFERROR(VLOOKUP($G980,нормы!$A$14:$BC$57,54,0)*$W980,"")</f>
        <v/>
      </c>
      <c r="AR980" s="290">
        <f>IFERROR(AS980/SUM(AS979:AS984)*AL979,0)</f>
        <v>0</v>
      </c>
      <c r="AS980" s="197" t="str">
        <f>IFERROR(VLOOKUP($G980,нормы!$A$14:$BC$57,55,0)*W980,"")</f>
        <v/>
      </c>
      <c r="AT980" s="290">
        <f>IFERROR(AU980/SUM(AU979:AU984)*AM979,0)</f>
        <v>0</v>
      </c>
      <c r="AU980" s="197" t="str">
        <f>IFERROR(VLOOKUP($G980,нормы!$A$14:$BI$57,56,0)*W980,"")</f>
        <v/>
      </c>
      <c r="AV980" s="290">
        <f>IFERROR(AW980/SUM(AW979:AW984)*AK979,0)</f>
        <v>0</v>
      </c>
      <c r="AW980" s="202" t="str">
        <f>IFERROR(VLOOKUP($G980,нормы!$A$14:$BI$57,57,0)*W980,"")</f>
        <v/>
      </c>
      <c r="AX980" s="30"/>
      <c r="AY980" s="203" t="str">
        <f>IFERROR(VLOOKUP($G980,нормы!$A$14:$BI$57,58,0)*W980,"")</f>
        <v/>
      </c>
      <c r="AZ980" s="205"/>
      <c r="BA980" s="200" t="str">
        <f>IFERROR(VLOOKUP($G980,нормы!$A$14:$BI$57,61,0)*$W980,"")</f>
        <v/>
      </c>
      <c r="BB980" s="30"/>
      <c r="BC980" s="203" t="str">
        <f>IFERROR(VLOOKUP($G980,нормы!$A$14:$BI$57,60,0)*W980,"")</f>
        <v/>
      </c>
      <c r="BD980" s="200" t="str">
        <f>IFERROR(VLOOKUP($G980,нормы!$A$14:$BG$57,44,0),"")</f>
        <v/>
      </c>
      <c r="BE980" s="199" t="str">
        <f>IFERROR(W980/VLOOKUP($G980,нормы!$A$14:$BI$57,45,0),"")</f>
        <v/>
      </c>
    </row>
    <row r="981" spans="1:57" s="1" customFormat="1" ht="20.25" customHeight="1" x14ac:dyDescent="0.4">
      <c r="A981" s="37" t="str">
        <f t="shared" si="386"/>
        <v>16Н</v>
      </c>
      <c r="B981" s="12">
        <f t="shared" si="389"/>
        <v>46038</v>
      </c>
      <c r="C981" s="97">
        <f t="shared" si="389"/>
        <v>0</v>
      </c>
      <c r="D981" s="97">
        <f t="shared" si="389"/>
        <v>2</v>
      </c>
      <c r="E981" s="54"/>
      <c r="F981" s="151" t="str">
        <f>IFERROR(VLOOKUP($G981,нормы!$A$14:$BC$57,2,0),"")</f>
        <v/>
      </c>
      <c r="G981" s="38"/>
      <c r="H981" s="54">
        <f t="shared" si="390"/>
        <v>0</v>
      </c>
      <c r="I981" s="89" t="s">
        <v>212</v>
      </c>
      <c r="J981" s="333"/>
      <c r="K981" s="30">
        <f>IFERROR(VLOOKUP($G981,[1]нормы!$A$21:$BC$151,15,0),"")</f>
        <v>0</v>
      </c>
      <c r="L981" s="31">
        <f>IFERROR(VLOOKUP($G981,[1]нормы!$A$21:$BC$151,17,0),"")</f>
        <v>0</v>
      </c>
      <c r="M981" s="306">
        <f>IFERROR(VLOOKUP($G981,[1]нормы!$A$21:$BC$151,27,0),"")</f>
        <v>0</v>
      </c>
      <c r="N981" s="307" t="str">
        <f>IFERROR(Y981/Y985*(1.1*J979*I984),"")</f>
        <v/>
      </c>
      <c r="O981" s="300">
        <f>IFERROR(VLOOKUP($G981,[1]нормы!$A$21:$BC$151,21,0),"")</f>
        <v>0</v>
      </c>
      <c r="P981" s="35">
        <f>IFERROR(VLOOKUP($G981,[1]нормы!$A$21:$BC$151,19,0),"")</f>
        <v>0</v>
      </c>
      <c r="Q981" s="35">
        <f>IFERROR(VLOOKUP($G981,[1]нормы!$A$21:$BC$151,23,0),"")</f>
        <v>0</v>
      </c>
      <c r="R981" s="231">
        <f>IFERROR(VLOOKUP($G981,[1]нормы!$A$21:$BC$151,29,0),"")</f>
        <v>0</v>
      </c>
      <c r="S981" s="35">
        <f>IFERROR(VLOOKUP($G981,[1]нормы!$A$21:$BC$151,31,0),"")</f>
        <v>0</v>
      </c>
      <c r="T981" s="32">
        <f>IFERROR(VLOOKUP($G981,[1]нормы!$A$21:$BC$151,25,0),"")</f>
        <v>0</v>
      </c>
      <c r="U981" s="233" t="str">
        <f>IFERROR(W981/(((100*Y981/Y985)*I984)/100),"")</f>
        <v/>
      </c>
      <c r="V981" s="234" t="str">
        <f>IFERROR(VLOOKUP($G981,нормы!$A$14:$BC$57,38,0),"")</f>
        <v/>
      </c>
      <c r="W981" s="136"/>
      <c r="X981" s="237"/>
      <c r="Y981" s="152" t="str">
        <f>IFERROR(VLOOKUP($G981,нормы!$A$14:$BC$57,42,0)*W981,"")</f>
        <v/>
      </c>
      <c r="Z981" s="163">
        <f>IFERROR(VLOOKUP($G981,нормы!$A$14:$BC$57,14,0)*W981/1000,0)</f>
        <v>0</v>
      </c>
      <c r="AA981" s="30"/>
      <c r="AB981" s="35"/>
      <c r="AC981" s="35"/>
      <c r="AD981" s="35"/>
      <c r="AE981" s="31"/>
      <c r="AF981" s="160"/>
      <c r="AG981" s="391"/>
      <c r="AH981" s="394"/>
      <c r="AI981" s="397"/>
      <c r="AJ981" s="408"/>
      <c r="AK981" s="360"/>
      <c r="AL981" s="360"/>
      <c r="AM981" s="360"/>
      <c r="AN981" s="289">
        <f>IFERROR(Y981*AJ979/Y985,)</f>
        <v>0</v>
      </c>
      <c r="AO981" s="197" t="str">
        <f>IFERROR(VLOOKUP($G981,нормы!$A$14:$BC$57,53,0)*$W981,"")</f>
        <v/>
      </c>
      <c r="AP981" s="290">
        <f>IFERROR(Y981*AI979/Y985,)</f>
        <v>0</v>
      </c>
      <c r="AQ981" s="197" t="str">
        <f>IFERROR(VLOOKUP($G981,нормы!$A$14:$BC$57,54,0)*$W981,"")</f>
        <v/>
      </c>
      <c r="AR981" s="290">
        <f>IFERROR(AS981/SUM(AS979:AS984)*AL979,0)</f>
        <v>0</v>
      </c>
      <c r="AS981" s="197" t="str">
        <f>IFERROR(VLOOKUP($G981,нормы!$A$14:$BC$57,55,0)*W981,"")</f>
        <v/>
      </c>
      <c r="AT981" s="290">
        <f>IFERROR(AU981/SUM(AU979:AU984)*AM979,0)</f>
        <v>0</v>
      </c>
      <c r="AU981" s="197" t="str">
        <f>IFERROR(VLOOKUP($G981,нормы!$A$14:$BI$57,56,0)*W981,"")</f>
        <v/>
      </c>
      <c r="AV981" s="290">
        <f>IFERROR(AW981/SUM(AW979:AW984)*AK979,0)</f>
        <v>0</v>
      </c>
      <c r="AW981" s="202" t="str">
        <f>IFERROR(VLOOKUP($G981,нормы!$A$14:$BI$57,57,0)*W981,"")</f>
        <v/>
      </c>
      <c r="AX981" s="30"/>
      <c r="AY981" s="203" t="str">
        <f>IFERROR(VLOOKUP($G981,нормы!$A$14:$BI$57,58,0)*W981,"")</f>
        <v/>
      </c>
      <c r="AZ981" s="205"/>
      <c r="BA981" s="200" t="str">
        <f>IFERROR(VLOOKUP($G981,нормы!$A$14:$BI$57,61,0)*$W981,"")</f>
        <v/>
      </c>
      <c r="BB981" s="30"/>
      <c r="BC981" s="203" t="str">
        <f>IFERROR(VLOOKUP($G981,нормы!$A$14:$BI$57,60,0)*W981,"")</f>
        <v/>
      </c>
      <c r="BD981" s="200" t="str">
        <f>IFERROR(VLOOKUP($G981,нормы!$A$14:$BG$57,44,0),"")</f>
        <v/>
      </c>
      <c r="BE981" s="199" t="str">
        <f>IFERROR(W981/VLOOKUP($G981,нормы!$A$14:$BI$57,45,0),"")</f>
        <v/>
      </c>
    </row>
    <row r="982" spans="1:57" s="1" customFormat="1" ht="20.25" customHeight="1" x14ac:dyDescent="0.4">
      <c r="A982" s="37" t="str">
        <f t="shared" si="386"/>
        <v>16Н</v>
      </c>
      <c r="B982" s="12">
        <f t="shared" si="389"/>
        <v>46038</v>
      </c>
      <c r="C982" s="97">
        <f t="shared" si="389"/>
        <v>0</v>
      </c>
      <c r="D982" s="97">
        <f t="shared" si="389"/>
        <v>2</v>
      </c>
      <c r="E982" s="54"/>
      <c r="F982" s="151" t="str">
        <f>IFERROR(VLOOKUP($G982,нормы!$A$14:$BC$57,2,0),"")</f>
        <v/>
      </c>
      <c r="G982" s="93"/>
      <c r="H982" s="54">
        <f t="shared" si="390"/>
        <v>0</v>
      </c>
      <c r="I982" s="55"/>
      <c r="J982" s="333"/>
      <c r="K982" s="30">
        <f>IFERROR(VLOOKUP($G982,[1]нормы!$A$21:$BC$151,15,0),"")</f>
        <v>0</v>
      </c>
      <c r="L982" s="31">
        <f>IFERROR(VLOOKUP($G982,[1]нормы!$A$21:$BC$151,17,0),"")</f>
        <v>0</v>
      </c>
      <c r="M982" s="306">
        <f>IFERROR(VLOOKUP($G982,[1]нормы!$A$21:$BC$151,27,0),"")</f>
        <v>0</v>
      </c>
      <c r="N982" s="307" t="str">
        <f>IFERROR(Y982/Y985*(1.1*J979*I987),"")</f>
        <v/>
      </c>
      <c r="O982" s="300">
        <f>IFERROR(VLOOKUP($G982,[1]нормы!$A$21:$BC$151,21,0),"")</f>
        <v>0</v>
      </c>
      <c r="P982" s="35">
        <f>IFERROR(VLOOKUP($G982,[1]нормы!$A$21:$BC$151,19,0),"")</f>
        <v>0</v>
      </c>
      <c r="Q982" s="35">
        <f>IFERROR(VLOOKUP($G982,[1]нормы!$A$21:$BC$151,23,0),"")</f>
        <v>0</v>
      </c>
      <c r="R982" s="231">
        <f>IFERROR(VLOOKUP($G982,[1]нормы!$A$21:$BC$151,29,0),"")</f>
        <v>0</v>
      </c>
      <c r="S982" s="35">
        <f>IFERROR(VLOOKUP($G982,[1]нормы!$A$21:$BC$151,31,0),"")</f>
        <v>0</v>
      </c>
      <c r="T982" s="32">
        <f>IFERROR(VLOOKUP($G982,[1]нормы!$A$21:$BC$151,25,0),"")</f>
        <v>0</v>
      </c>
      <c r="U982" s="233" t="str">
        <f>IFERROR(W982/(((100*Y982/Y985)*I984)/100),"")</f>
        <v/>
      </c>
      <c r="V982" s="234" t="str">
        <f>IFERROR(VLOOKUP($G982,нормы!$A$14:$BC$57,38,0),"")</f>
        <v/>
      </c>
      <c r="W982" s="136"/>
      <c r="X982" s="237"/>
      <c r="Y982" s="152" t="str">
        <f>IFERROR(VLOOKUP($G982,нормы!$A$14:$BC$57,42,0)*W982,"")</f>
        <v/>
      </c>
      <c r="Z982" s="163">
        <f>IFERROR(VLOOKUP($G982,нормы!$A$14:$BC$57,14,0)*W982/1000,0)</f>
        <v>0</v>
      </c>
      <c r="AA982" s="30"/>
      <c r="AB982" s="35"/>
      <c r="AC982" s="35"/>
      <c r="AD982" s="35"/>
      <c r="AE982" s="31"/>
      <c r="AF982" s="160"/>
      <c r="AG982" s="391"/>
      <c r="AH982" s="394"/>
      <c r="AI982" s="397"/>
      <c r="AJ982" s="408"/>
      <c r="AK982" s="360"/>
      <c r="AL982" s="360"/>
      <c r="AM982" s="360"/>
      <c r="AN982" s="289">
        <f>IFERROR(Y982*AJ979/Y985,)</f>
        <v>0</v>
      </c>
      <c r="AO982" s="197" t="str">
        <f>IFERROR(VLOOKUP($G982,нормы!$A$14:$BC$57,53,0)*$W982,"")</f>
        <v/>
      </c>
      <c r="AP982" s="290">
        <f>IFERROR(Y982*AI979/Y985,)</f>
        <v>0</v>
      </c>
      <c r="AQ982" s="197" t="str">
        <f>IFERROR(VLOOKUP($G982,нормы!$A$14:$BC$57,54,0)*$W982,"")</f>
        <v/>
      </c>
      <c r="AR982" s="290">
        <f>IFERROR(AS982/SUM(AS979:AS984)*AL979,0)</f>
        <v>0</v>
      </c>
      <c r="AS982" s="197" t="str">
        <f>IFERROR(VLOOKUP($G982,нормы!$A$14:$BC$57,55,0)*W982,"")</f>
        <v/>
      </c>
      <c r="AT982" s="290">
        <f>IFERROR(AU982/SUM(AU979:AU984)*AM979,0)</f>
        <v>0</v>
      </c>
      <c r="AU982" s="197" t="str">
        <f>IFERROR(VLOOKUP($G982,нормы!$A$14:$BI$57,56,0)*W982,"")</f>
        <v/>
      </c>
      <c r="AV982" s="290">
        <f>IFERROR(AW982/SUM(AW979:AW984)*AK979,0)</f>
        <v>0</v>
      </c>
      <c r="AW982" s="202" t="str">
        <f>IFERROR(VLOOKUP($G982,нормы!$A$14:$BI$57,57,0)*W982,"")</f>
        <v/>
      </c>
      <c r="AX982" s="30"/>
      <c r="AY982" s="203" t="str">
        <f>IFERROR(VLOOKUP($G982,нормы!$A$14:$BI$57,58,0)*W982,"")</f>
        <v/>
      </c>
      <c r="AZ982" s="205"/>
      <c r="BA982" s="200" t="str">
        <f>IFERROR(VLOOKUP($G982,нормы!$A$14:$BI$57,61,0)*$W982,"")</f>
        <v/>
      </c>
      <c r="BB982" s="30"/>
      <c r="BC982" s="203" t="str">
        <f>IFERROR(VLOOKUP($G982,нормы!$A$14:$BI$57,60,0)*W982,"")</f>
        <v/>
      </c>
      <c r="BD982" s="200" t="str">
        <f>IFERROR(VLOOKUP($G982,нормы!$A$14:$BG$57,44,0),"")</f>
        <v/>
      </c>
      <c r="BE982" s="199" t="str">
        <f>IFERROR(W982/VLOOKUP($G982,нормы!$A$14:$BI$57,45,0),"")</f>
        <v/>
      </c>
    </row>
    <row r="983" spans="1:57" s="1" customFormat="1" ht="20.25" customHeight="1" x14ac:dyDescent="0.4">
      <c r="A983" s="37" t="str">
        <f t="shared" si="386"/>
        <v>16Н</v>
      </c>
      <c r="B983" s="12">
        <f t="shared" si="389"/>
        <v>46038</v>
      </c>
      <c r="C983" s="97">
        <f t="shared" si="389"/>
        <v>0</v>
      </c>
      <c r="D983" s="97">
        <f t="shared" si="389"/>
        <v>2</v>
      </c>
      <c r="E983" s="54"/>
      <c r="F983" s="151" t="str">
        <f>IFERROR(VLOOKUP($G983,нормы!$A$14:$BC$57,2,0),"")</f>
        <v/>
      </c>
      <c r="G983" s="38"/>
      <c r="H983" s="54">
        <f t="shared" si="390"/>
        <v>0</v>
      </c>
      <c r="I983" s="89" t="s">
        <v>73</v>
      </c>
      <c r="J983" s="333"/>
      <c r="K983" s="30">
        <f>IFERROR(VLOOKUP($G983,[1]нормы!$A$21:$BC$151,15,0),"")</f>
        <v>0</v>
      </c>
      <c r="L983" s="31">
        <f>IFERROR(VLOOKUP($G983,[1]нормы!$A$21:$BC$151,17,0),"")</f>
        <v>0</v>
      </c>
      <c r="M983" s="306">
        <f>IFERROR(VLOOKUP($G983,[1]нормы!$A$21:$BC$151,27,0),"")</f>
        <v>0</v>
      </c>
      <c r="N983" s="307" t="str">
        <f>IFERROR(Y983/Y985*(1.1*J979*I988),"")</f>
        <v/>
      </c>
      <c r="O983" s="300">
        <f>IFERROR(VLOOKUP($G983,[1]нормы!$A$21:$BC$151,21,0),"")</f>
        <v>0</v>
      </c>
      <c r="P983" s="35">
        <f>IFERROR(VLOOKUP($G983,[1]нормы!$A$21:$BC$151,19,0),"")</f>
        <v>0</v>
      </c>
      <c r="Q983" s="35">
        <f>IFERROR(VLOOKUP($G983,[1]нормы!$A$21:$BC$151,23,0),"")</f>
        <v>0</v>
      </c>
      <c r="R983" s="231">
        <f>IFERROR(VLOOKUP($G983,[1]нормы!$A$21:$BC$151,29,0),"")</f>
        <v>0</v>
      </c>
      <c r="S983" s="35">
        <f>IFERROR(VLOOKUP($G983,[1]нормы!$A$21:$BC$151,31,0),"")</f>
        <v>0</v>
      </c>
      <c r="T983" s="32">
        <f>IFERROR(VLOOKUP($G983,[1]нормы!$A$21:$BC$151,25,0),"")</f>
        <v>0</v>
      </c>
      <c r="U983" s="233" t="str">
        <f>IFERROR(W983/(((100*Y983/Y985)*I984)/100),"")</f>
        <v/>
      </c>
      <c r="V983" s="234" t="str">
        <f>IFERROR(VLOOKUP($G983,нормы!$A$14:$BC$57,38,0),"")</f>
        <v/>
      </c>
      <c r="W983" s="136"/>
      <c r="X983" s="237"/>
      <c r="Y983" s="152" t="str">
        <f>IFERROR(VLOOKUP($G983,нормы!$A$14:$BC$57,42,0)*W983,"")</f>
        <v/>
      </c>
      <c r="Z983" s="163">
        <f>IFERROR(VLOOKUP($G983,нормы!$A$14:$BC$57,14,0)*W983/1000,0)</f>
        <v>0</v>
      </c>
      <c r="AA983" s="30"/>
      <c r="AB983" s="35"/>
      <c r="AC983" s="35"/>
      <c r="AD983" s="35"/>
      <c r="AE983" s="31"/>
      <c r="AF983" s="160"/>
      <c r="AG983" s="391"/>
      <c r="AH983" s="394"/>
      <c r="AI983" s="397"/>
      <c r="AJ983" s="408"/>
      <c r="AK983" s="360"/>
      <c r="AL983" s="360"/>
      <c r="AM983" s="360"/>
      <c r="AN983" s="289">
        <f>IFERROR(Y983*AJ979/Y985,)</f>
        <v>0</v>
      </c>
      <c r="AO983" s="197" t="str">
        <f>IFERROR(VLOOKUP($G983,нормы!$A$14:$BC$57,53,0)*$W983,"")</f>
        <v/>
      </c>
      <c r="AP983" s="290">
        <f>IFERROR(Y983*AI979/Y985,)</f>
        <v>0</v>
      </c>
      <c r="AQ983" s="197" t="str">
        <f>IFERROR(VLOOKUP($G983,нормы!$A$14:$BC$57,54,0)*$W983,"")</f>
        <v/>
      </c>
      <c r="AR983" s="290">
        <f>IFERROR(AS983/SUM(AS979:AS984)*AL979,0)</f>
        <v>0</v>
      </c>
      <c r="AS983" s="197" t="str">
        <f>IFERROR(VLOOKUP($G983,нормы!$A$14:$BC$57,55,0)*W983,"")</f>
        <v/>
      </c>
      <c r="AT983" s="290">
        <f>IFERROR(AU983/SUM(AU979:AU984)*AM979,0)</f>
        <v>0</v>
      </c>
      <c r="AU983" s="197" t="str">
        <f>IFERROR(VLOOKUP($G983,нормы!$A$14:$BI$57,56,0)*W983,"")</f>
        <v/>
      </c>
      <c r="AV983" s="290">
        <f>IFERROR(AW983/SUM(AW979:AW984)*AK979,0)</f>
        <v>0</v>
      </c>
      <c r="AW983" s="202" t="str">
        <f>IFERROR(VLOOKUP($G983,нормы!$A$14:$BI$57,57,0)*W983,"")</f>
        <v/>
      </c>
      <c r="AX983" s="30"/>
      <c r="AY983" s="203" t="str">
        <f>IFERROR(VLOOKUP($G983,нормы!$A$14:$BI$57,58,0)*W983,"")</f>
        <v/>
      </c>
      <c r="AZ983" s="205"/>
      <c r="BA983" s="200" t="str">
        <f>IFERROR(VLOOKUP($G983,нормы!$A$14:$BI$57,61,0)*$W983,"")</f>
        <v/>
      </c>
      <c r="BB983" s="30"/>
      <c r="BC983" s="203" t="str">
        <f>IFERROR(VLOOKUP($G983,нормы!$A$14:$BI$57,60,0)*W983,"")</f>
        <v/>
      </c>
      <c r="BD983" s="200" t="str">
        <f>IFERROR(VLOOKUP($G983,нормы!$A$14:$BG$57,44,0),"")</f>
        <v/>
      </c>
      <c r="BE983" s="199" t="str">
        <f>IFERROR(W983/VLOOKUP($G983,нормы!$A$14:$BI$57,45,0),"")</f>
        <v/>
      </c>
    </row>
    <row r="984" spans="1:57" s="1" customFormat="1" ht="21" customHeight="1" thickBot="1" x14ac:dyDescent="0.45">
      <c r="A984" s="37" t="str">
        <f t="shared" si="386"/>
        <v>16Н</v>
      </c>
      <c r="B984" s="12">
        <f t="shared" si="389"/>
        <v>46038</v>
      </c>
      <c r="C984" s="97">
        <f t="shared" si="389"/>
        <v>0</v>
      </c>
      <c r="D984" s="97">
        <f t="shared" si="389"/>
        <v>2</v>
      </c>
      <c r="E984" s="54"/>
      <c r="F984" s="151" t="str">
        <f>IFERROR(VLOOKUP($G984,нормы!$A$14:$BC$57,2,0),"")</f>
        <v/>
      </c>
      <c r="G984" s="93"/>
      <c r="H984" s="63">
        <f t="shared" si="390"/>
        <v>0</v>
      </c>
      <c r="I984" s="153">
        <f>I980+I982</f>
        <v>0</v>
      </c>
      <c r="J984" s="334"/>
      <c r="K984" s="30">
        <f>IFERROR(VLOOKUP($G984,[1]нормы!$A$21:$BC$151,15,0),"")</f>
        <v>0</v>
      </c>
      <c r="L984" s="31">
        <f>IFERROR(VLOOKUP($G984,[1]нормы!$A$21:$BC$151,17,0),"")</f>
        <v>0</v>
      </c>
      <c r="M984" s="308">
        <f>IFERROR(VLOOKUP($G984,[1]нормы!$A$21:$BC$151,27,0),"")</f>
        <v>0</v>
      </c>
      <c r="N984" s="309" t="str">
        <f>IFERROR(Y984/Y985*(1.1*J979*I989),"")</f>
        <v/>
      </c>
      <c r="O984" s="300">
        <f>IFERROR(VLOOKUP($G984,[1]нормы!$A$21:$BC$151,21,0),"")</f>
        <v>0</v>
      </c>
      <c r="P984" s="35">
        <f>IFERROR(VLOOKUP($G984,[1]нормы!$A$21:$BC$151,19,0),"")</f>
        <v>0</v>
      </c>
      <c r="Q984" s="35">
        <f>IFERROR(VLOOKUP($G984,[1]нормы!$A$21:$BC$151,23,0),"")</f>
        <v>0</v>
      </c>
      <c r="R984" s="231">
        <f>IFERROR(VLOOKUP($G984,[1]нормы!$A$21:$BC$151,29,0),"")</f>
        <v>0</v>
      </c>
      <c r="S984" s="35">
        <f>IFERROR(VLOOKUP($G984,[1]нормы!$A$21:$BC$151,31,0),"")</f>
        <v>0</v>
      </c>
      <c r="T984" s="32">
        <f>IFERROR(VLOOKUP($G984,[1]нормы!$A$21:$BC$151,25,0),"")</f>
        <v>0</v>
      </c>
      <c r="U984" s="235" t="str">
        <f>IFERROR(W984/(((100*Y984/Y985)*I984)/100),"")</f>
        <v/>
      </c>
      <c r="V984" s="234" t="str">
        <f>IFERROR(VLOOKUP($G984,нормы!$A$14:$BC$57,38,0),"")</f>
        <v/>
      </c>
      <c r="W984" s="154"/>
      <c r="X984" s="238"/>
      <c r="Y984" s="152" t="str">
        <f>IFERROR(VLOOKUP($G984,нормы!$A$14:$BC$57,42,0)*W984,"")</f>
        <v/>
      </c>
      <c r="Z984" s="163">
        <f>IFERROR(VLOOKUP($G984,нормы!$A$14:$BC$57,14,0)*W984/1000,0)</f>
        <v>0</v>
      </c>
      <c r="AA984" s="56"/>
      <c r="AB984" s="58"/>
      <c r="AC984" s="58"/>
      <c r="AD984" s="58"/>
      <c r="AE984" s="57"/>
      <c r="AF984" s="161"/>
      <c r="AG984" s="392"/>
      <c r="AH984" s="395"/>
      <c r="AI984" s="398"/>
      <c r="AJ984" s="409"/>
      <c r="AK984" s="361"/>
      <c r="AL984" s="361"/>
      <c r="AM984" s="361"/>
      <c r="AN984" s="291">
        <f>IFERROR(Y984*AJ979/Y985,)</f>
        <v>0</v>
      </c>
      <c r="AO984" s="197" t="str">
        <f>IFERROR(VLOOKUP($G984,нормы!$A$14:$BC$57,53,0)*$W984,"")</f>
        <v/>
      </c>
      <c r="AP984" s="292">
        <f>IFERROR(Y984*AI979/Y985,)</f>
        <v>0</v>
      </c>
      <c r="AQ984" s="197" t="str">
        <f>IFERROR(VLOOKUP($G984,нормы!$A$14:$BC$57,54,0)*$W984,"")</f>
        <v/>
      </c>
      <c r="AR984" s="290">
        <f>IFERROR(AS984/SUM(AS979:AS984)*AL979,0)</f>
        <v>0</v>
      </c>
      <c r="AS984" s="197" t="str">
        <f>IFERROR(VLOOKUP($G984,нормы!$A$14:$BC$57,55,0)*W984,"")</f>
        <v/>
      </c>
      <c r="AT984" s="292">
        <f>IFERROR(AU984/SUM(AU979:AU984)*AM979,0)</f>
        <v>0</v>
      </c>
      <c r="AU984" s="197" t="str">
        <f>IFERROR(VLOOKUP($G984,нормы!$A$14:$BI$57,56,0)*W984,"")</f>
        <v/>
      </c>
      <c r="AV984" s="292">
        <f>IFERROR(AW984/SUM(AW979:AW984)*AK979,0)</f>
        <v>0</v>
      </c>
      <c r="AW984" s="202" t="str">
        <f>IFERROR(VLOOKUP($G984,нормы!$A$14:$BI$57,57,0)*W984,"")</f>
        <v/>
      </c>
      <c r="AX984" s="56"/>
      <c r="AY984" s="203" t="str">
        <f>IFERROR(VLOOKUP($G984,нормы!$A$14:$BI$57,58,0)*W984,"")</f>
        <v/>
      </c>
      <c r="AZ984" s="206"/>
      <c r="BA984" s="200" t="str">
        <f>IFERROR(VLOOKUP($G984,нормы!$A$14:$BI$57,61,0)*$W984,"")</f>
        <v/>
      </c>
      <c r="BB984" s="56"/>
      <c r="BC984" s="203" t="str">
        <f>IFERROR(VLOOKUP($G984,нормы!$A$14:$BI$57,60,0)*W984,"")</f>
        <v/>
      </c>
      <c r="BD984" s="200" t="str">
        <f>IFERROR(VLOOKUP($G984,нормы!$A$14:$BG$57,44,0),"")</f>
        <v/>
      </c>
      <c r="BE984" s="199" t="str">
        <f>IFERROR(W984/VLOOKUP($G984,нормы!$A$14:$BI$57,45,0),"")</f>
        <v/>
      </c>
    </row>
    <row r="985" spans="1:57" s="1" customFormat="1" ht="29.4" customHeight="1" thickBot="1" x14ac:dyDescent="0.45">
      <c r="A985" s="37" t="str">
        <f t="shared" si="386"/>
        <v>16Н</v>
      </c>
      <c r="B985" s="59"/>
      <c r="C985" s="51"/>
      <c r="D985" s="51"/>
      <c r="E985" s="51"/>
      <c r="F985" s="51"/>
      <c r="G985" s="51"/>
      <c r="H985" s="51"/>
      <c r="I985" s="60"/>
      <c r="J985" s="60"/>
      <c r="K985" s="319" t="s">
        <v>213</v>
      </c>
      <c r="L985" s="316"/>
      <c r="M985" s="303" t="s">
        <v>213</v>
      </c>
      <c r="N985" s="317">
        <f>SUM(N979:N984)</f>
        <v>0</v>
      </c>
      <c r="O985" s="304" t="s">
        <v>217</v>
      </c>
      <c r="P985" s="318">
        <f>N985*8.937/1000</f>
        <v>0</v>
      </c>
      <c r="Q985" s="305" t="s">
        <v>215</v>
      </c>
      <c r="R985" s="61"/>
      <c r="S985" s="61"/>
      <c r="T985" s="61"/>
      <c r="U985" s="109"/>
      <c r="V985" s="109"/>
      <c r="W985" s="94"/>
      <c r="X985" s="155"/>
      <c r="Y985" s="96">
        <f>SUM(Y979:Y984)</f>
        <v>0</v>
      </c>
      <c r="Z985" s="164">
        <f>SUM(Z979:Z984)</f>
        <v>0</v>
      </c>
      <c r="AA985" s="207">
        <f>(AA971+AA972+AA973+AA974+AA975+AA976+AA977+AA979+AA980+AA981+AA982+AA983+AA984)-AG972</f>
        <v>1</v>
      </c>
      <c r="AB985" s="208">
        <f>(AB971+AB972+AB973+AB974+AB975+AB976+AB977+AB979+AB980+AB981+AB982+AB983+AB984)-AH972</f>
        <v>2</v>
      </c>
      <c r="AC985" s="208">
        <f>(AC971+AC972+AC973+AC974+AC975+AC976+AC977+AC979+AC980+AC981+AC982+AC983+AC984)-AG979</f>
        <v>3</v>
      </c>
      <c r="AD985" s="208">
        <f>(AD971+AD972+AD973+AD974+AD975+AD976+AD977+AD979+AD980+AD981+AD982+AD983+AD984)-AH979</f>
        <v>4</v>
      </c>
      <c r="AE985" s="208">
        <f>(AE971+AE972+AE973+AE974+AE975+AE976+AE977+AE979+AE980+AE981+AE982+AE983+AE984)-AI972</f>
        <v>5</v>
      </c>
      <c r="AF985" s="209">
        <f>(AF971+AF972+AF973+AF974+AF975+AF976+AF977+AF979+AF980+AF981+AF982+AF983+AF984)-AI979</f>
        <v>6</v>
      </c>
      <c r="AG985" s="62"/>
      <c r="AH985" s="62"/>
      <c r="AI985" s="62"/>
      <c r="AJ985" s="62"/>
      <c r="AK985" s="62"/>
      <c r="AL985" s="62"/>
      <c r="AM985" s="62"/>
      <c r="AN985" s="91">
        <f>SUM(AN979:AN984)</f>
        <v>0</v>
      </c>
      <c r="AO985" s="91">
        <f>SUM(AO979:AO984)</f>
        <v>0</v>
      </c>
      <c r="AP985" s="91"/>
      <c r="AQ985" s="91"/>
      <c r="AR985" s="91">
        <f>SUM(AR979:AR984)</f>
        <v>0</v>
      </c>
      <c r="AS985" s="91">
        <f t="shared" ref="AS985:AW985" si="391">SUM(AS979:AS984)</f>
        <v>0</v>
      </c>
      <c r="AT985" s="91">
        <f t="shared" si="391"/>
        <v>0</v>
      </c>
      <c r="AU985" s="91">
        <f t="shared" si="391"/>
        <v>0</v>
      </c>
      <c r="AV985" s="91">
        <f t="shared" si="391"/>
        <v>0</v>
      </c>
      <c r="AW985" s="91">
        <f t="shared" si="391"/>
        <v>0</v>
      </c>
      <c r="AX985" s="91">
        <f>SUM(AX979:AX984)</f>
        <v>0</v>
      </c>
      <c r="AY985" s="91">
        <f>SUM(AY979:AY984)</f>
        <v>0</v>
      </c>
      <c r="AZ985" s="91">
        <f>SUM(AZ979:AZ984)</f>
        <v>0</v>
      </c>
      <c r="BA985" s="91"/>
      <c r="BB985" s="91"/>
      <c r="BC985" s="91"/>
      <c r="BD985" s="91" t="str">
        <f>IFERROR(VLOOKUP($G985,нормы!$A$14:$BG$15,27,0),"")</f>
        <v/>
      </c>
      <c r="BE985" s="53" t="str">
        <f>IFERROR(W985/VLOOKUP($G985,нормы!$A$14:$BI$15,28,0),"")</f>
        <v/>
      </c>
    </row>
    <row r="986" spans="1:57" s="1" customFormat="1" ht="29.4" customHeight="1" thickBot="1" x14ac:dyDescent="0.5">
      <c r="A986" s="37" t="str">
        <f t="shared" si="386"/>
        <v>16Н</v>
      </c>
      <c r="B986" s="166" t="s">
        <v>130</v>
      </c>
      <c r="C986" s="167"/>
      <c r="D986" s="167"/>
      <c r="E986" s="167"/>
      <c r="F986" s="165"/>
      <c r="G986" s="167"/>
      <c r="H986" s="167"/>
      <c r="I986" s="168"/>
      <c r="J986" s="168"/>
      <c r="K986" s="168"/>
      <c r="L986" s="168"/>
      <c r="M986" s="168"/>
      <c r="N986" s="168"/>
      <c r="O986" s="167"/>
      <c r="P986" s="169"/>
      <c r="Q986" s="169"/>
      <c r="R986" s="169"/>
      <c r="S986" s="169"/>
      <c r="T986" s="169"/>
      <c r="U986" s="170"/>
      <c r="V986" s="170"/>
      <c r="W986" s="171"/>
      <c r="X986" s="171"/>
      <c r="Y986" s="172"/>
      <c r="Z986" s="172"/>
      <c r="AA986" s="201" t="s">
        <v>144</v>
      </c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64"/>
      <c r="AN986" s="167"/>
      <c r="AO986" s="167"/>
      <c r="AP986" s="167"/>
      <c r="AQ986" s="167"/>
      <c r="AR986" s="64"/>
      <c r="AS986" s="64"/>
      <c r="AT986" s="65"/>
      <c r="AU986" s="64"/>
      <c r="AV986" s="49"/>
      <c r="AW986" s="49"/>
      <c r="AX986" s="167"/>
      <c r="AY986" s="167"/>
      <c r="AZ986" s="167"/>
      <c r="BA986" s="167"/>
      <c r="BB986" s="167"/>
      <c r="BC986" s="167"/>
      <c r="BD986" s="66"/>
      <c r="BE986" s="66"/>
    </row>
    <row r="987" spans="1:57" s="1" customFormat="1" ht="23.25" customHeight="1" x14ac:dyDescent="0.4">
      <c r="A987" s="37" t="str">
        <f t="shared" si="386"/>
        <v>16Н</v>
      </c>
      <c r="B987" s="183"/>
      <c r="C987" s="100"/>
      <c r="D987" s="185"/>
      <c r="E987" s="186" t="s">
        <v>57</v>
      </c>
      <c r="F987" s="66" t="s">
        <v>87</v>
      </c>
      <c r="G987" s="66"/>
      <c r="H987" s="108" t="s">
        <v>131</v>
      </c>
      <c r="I987" s="101"/>
      <c r="J987" s="101"/>
      <c r="K987" s="101"/>
      <c r="L987" s="101"/>
      <c r="M987" s="101"/>
      <c r="N987" s="101"/>
      <c r="O987" s="67"/>
      <c r="P987" s="102"/>
      <c r="Q987" s="102"/>
      <c r="R987" s="102"/>
      <c r="S987" s="102"/>
      <c r="T987" s="102"/>
      <c r="U987" s="67"/>
      <c r="V987" s="67"/>
      <c r="W987" s="103"/>
      <c r="X987" s="187"/>
      <c r="Y987" s="68" t="s">
        <v>74</v>
      </c>
      <c r="Z987" s="69"/>
      <c r="AA987" s="90"/>
      <c r="AB987" s="100"/>
      <c r="AC987" s="100"/>
      <c r="AD987" s="186" t="s">
        <v>57</v>
      </c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190"/>
      <c r="AU987" s="66"/>
      <c r="AV987" s="165"/>
      <c r="AW987" s="293"/>
      <c r="AX987" s="66"/>
      <c r="AY987" s="66"/>
      <c r="AZ987" s="66"/>
      <c r="BA987" s="66"/>
      <c r="BB987" s="66"/>
      <c r="BC987" s="66"/>
      <c r="BD987" s="68" t="s">
        <v>74</v>
      </c>
      <c r="BE987" s="69"/>
    </row>
    <row r="988" spans="1:57" s="1" customFormat="1" ht="23.25" customHeight="1" thickBot="1" x14ac:dyDescent="0.45">
      <c r="A988" s="37" t="str">
        <f t="shared" si="386"/>
        <v>16Н</v>
      </c>
      <c r="B988" s="183"/>
      <c r="C988" s="41"/>
      <c r="D988" s="184"/>
      <c r="E988" s="50"/>
      <c r="F988" s="70"/>
      <c r="G988" s="70"/>
      <c r="H988" s="70"/>
      <c r="I988" s="104"/>
      <c r="J988" s="104"/>
      <c r="K988" s="104"/>
      <c r="L988" s="104"/>
      <c r="M988" s="104"/>
      <c r="N988" s="104"/>
      <c r="O988" s="71"/>
      <c r="P988" s="105"/>
      <c r="Q988" s="105"/>
      <c r="R988" s="105"/>
      <c r="S988" s="105"/>
      <c r="T988" s="105"/>
      <c r="U988" s="71"/>
      <c r="V988" s="71"/>
      <c r="W988" s="106"/>
      <c r="X988" s="188"/>
      <c r="Y988" s="72"/>
      <c r="Z988" s="73"/>
      <c r="AA988" s="90"/>
      <c r="AB988" s="41"/>
      <c r="AC988" s="41"/>
      <c r="AD988" s="50"/>
      <c r="AE988" s="47"/>
      <c r="AF988" s="47"/>
      <c r="AG988" s="47"/>
      <c r="AH988" s="47"/>
      <c r="AI988" s="47"/>
      <c r="AJ988" s="47"/>
      <c r="AK988" s="47"/>
      <c r="AL988" s="47"/>
      <c r="AM988" s="70"/>
      <c r="AN988" s="47"/>
      <c r="AO988" s="70"/>
      <c r="AP988" s="70"/>
      <c r="AQ988" s="70"/>
      <c r="AR988" s="70"/>
      <c r="AS988" s="70"/>
      <c r="AT988" s="191"/>
      <c r="AU988" s="70"/>
      <c r="AV988" s="192"/>
      <c r="AW988" s="294"/>
      <c r="AX988" s="70"/>
      <c r="AY988" s="70"/>
      <c r="AZ988" s="70"/>
      <c r="BA988" s="70"/>
      <c r="BB988" s="70"/>
      <c r="BC988" s="70"/>
      <c r="BD988" s="72"/>
      <c r="BE988" s="73"/>
    </row>
    <row r="989" spans="1:57" s="1" customFormat="1" ht="21.9" customHeight="1" x14ac:dyDescent="0.4">
      <c r="A989" s="37" t="str">
        <f t="shared" si="386"/>
        <v>16Н</v>
      </c>
      <c r="B989" s="183"/>
      <c r="C989" s="41"/>
      <c r="D989" s="184"/>
      <c r="E989" s="281">
        <f>B984</f>
        <v>46038</v>
      </c>
      <c r="F989" s="337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98">
        <v>1</v>
      </c>
      <c r="Y989" s="74">
        <v>1</v>
      </c>
      <c r="Z989" s="75">
        <f t="shared" ref="Z989:Z1000" si="392">Y989-X989</f>
        <v>0</v>
      </c>
      <c r="AA989" s="189"/>
      <c r="AB989" s="41"/>
      <c r="AC989" s="184"/>
      <c r="AD989" s="210">
        <f>E989</f>
        <v>46038</v>
      </c>
      <c r="AE989" s="387"/>
      <c r="AF989" s="388"/>
      <c r="AG989" s="388"/>
      <c r="AH989" s="388"/>
      <c r="AI989" s="388"/>
      <c r="AJ989" s="388"/>
      <c r="AK989" s="388"/>
      <c r="AL989" s="388"/>
      <c r="AM989" s="388"/>
      <c r="AN989" s="388"/>
      <c r="AO989" s="388"/>
      <c r="AP989" s="388"/>
      <c r="AQ989" s="388"/>
      <c r="AR989" s="388"/>
      <c r="AS989" s="388"/>
      <c r="AT989" s="388"/>
      <c r="AU989" s="388"/>
      <c r="AV989" s="388"/>
      <c r="AW989" s="388"/>
      <c r="AX989" s="388"/>
      <c r="AY989" s="388"/>
      <c r="AZ989" s="388"/>
      <c r="BA989" s="388"/>
      <c r="BB989" s="389"/>
      <c r="BC989" s="98">
        <v>1</v>
      </c>
      <c r="BD989" s="74">
        <v>1</v>
      </c>
      <c r="BE989" s="75">
        <f t="shared" ref="BE989:BE1000" si="393">BD989-BC989</f>
        <v>0</v>
      </c>
    </row>
    <row r="990" spans="1:57" s="1" customFormat="1" ht="18" customHeight="1" x14ac:dyDescent="0.4">
      <c r="A990" s="37" t="str">
        <f t="shared" si="386"/>
        <v>16Н</v>
      </c>
      <c r="B990" s="183"/>
      <c r="C990" s="41"/>
      <c r="D990" s="184"/>
      <c r="E990" s="282">
        <f>E989</f>
        <v>46038</v>
      </c>
      <c r="F990" s="335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  <c r="Q990" s="336"/>
      <c r="R990" s="336"/>
      <c r="S990" s="336"/>
      <c r="T990" s="336"/>
      <c r="U990" s="336"/>
      <c r="V990" s="336"/>
      <c r="W990" s="336"/>
      <c r="X990" s="98">
        <v>1</v>
      </c>
      <c r="Y990" s="74">
        <v>1</v>
      </c>
      <c r="Z990" s="75">
        <f t="shared" si="392"/>
        <v>0</v>
      </c>
      <c r="AA990" s="107">
        <f>AA989</f>
        <v>0</v>
      </c>
      <c r="AB990" s="41"/>
      <c r="AC990" s="184"/>
      <c r="AD990" s="212">
        <f>AD989</f>
        <v>46038</v>
      </c>
      <c r="AE990" s="387"/>
      <c r="AF990" s="388"/>
      <c r="AG990" s="388"/>
      <c r="AH990" s="388"/>
      <c r="AI990" s="388"/>
      <c r="AJ990" s="388"/>
      <c r="AK990" s="388"/>
      <c r="AL990" s="388"/>
      <c r="AM990" s="388"/>
      <c r="AN990" s="388"/>
      <c r="AO990" s="388"/>
      <c r="AP990" s="388"/>
      <c r="AQ990" s="388"/>
      <c r="AR990" s="388"/>
      <c r="AS990" s="388"/>
      <c r="AT990" s="388"/>
      <c r="AU990" s="388"/>
      <c r="AV990" s="388"/>
      <c r="AW990" s="388"/>
      <c r="AX990" s="388"/>
      <c r="AY990" s="388"/>
      <c r="AZ990" s="388"/>
      <c r="BA990" s="388"/>
      <c r="BB990" s="389"/>
      <c r="BC990" s="98">
        <v>1</v>
      </c>
      <c r="BD990" s="74">
        <v>1</v>
      </c>
      <c r="BE990" s="75">
        <f t="shared" si="393"/>
        <v>0</v>
      </c>
    </row>
    <row r="991" spans="1:57" s="1" customFormat="1" ht="18" customHeight="1" x14ac:dyDescent="0.4">
      <c r="A991" s="37" t="str">
        <f t="shared" si="386"/>
        <v>16Н</v>
      </c>
      <c r="B991" s="183"/>
      <c r="C991" s="41"/>
      <c r="D991" s="184"/>
      <c r="E991" s="282">
        <f t="shared" ref="E991:E1000" si="394">E990</f>
        <v>46038</v>
      </c>
      <c r="F991" s="335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  <c r="Q991" s="336"/>
      <c r="R991" s="336"/>
      <c r="S991" s="336"/>
      <c r="T991" s="336"/>
      <c r="U991" s="336"/>
      <c r="V991" s="336"/>
      <c r="W991" s="336"/>
      <c r="X991" s="98">
        <v>1</v>
      </c>
      <c r="Y991" s="74">
        <v>1</v>
      </c>
      <c r="Z991" s="75">
        <f t="shared" si="392"/>
        <v>0</v>
      </c>
      <c r="AA991" s="107">
        <f>AA990</f>
        <v>0</v>
      </c>
      <c r="AB991" s="41"/>
      <c r="AC991" s="184"/>
      <c r="AD991" s="212">
        <f t="shared" ref="AD991:AD1000" si="395">AD990</f>
        <v>46038</v>
      </c>
      <c r="AE991" s="387"/>
      <c r="AF991" s="388"/>
      <c r="AG991" s="388"/>
      <c r="AH991" s="388"/>
      <c r="AI991" s="388"/>
      <c r="AJ991" s="388"/>
      <c r="AK991" s="388"/>
      <c r="AL991" s="388"/>
      <c r="AM991" s="388"/>
      <c r="AN991" s="388"/>
      <c r="AO991" s="388"/>
      <c r="AP991" s="388"/>
      <c r="AQ991" s="388"/>
      <c r="AR991" s="388"/>
      <c r="AS991" s="388"/>
      <c r="AT991" s="388"/>
      <c r="AU991" s="388"/>
      <c r="AV991" s="388"/>
      <c r="AW991" s="388"/>
      <c r="AX991" s="388"/>
      <c r="AY991" s="388"/>
      <c r="AZ991" s="388"/>
      <c r="BA991" s="388"/>
      <c r="BB991" s="389"/>
      <c r="BC991" s="98">
        <v>1</v>
      </c>
      <c r="BD991" s="74">
        <v>1</v>
      </c>
      <c r="BE991" s="75">
        <f t="shared" si="393"/>
        <v>0</v>
      </c>
    </row>
    <row r="992" spans="1:57" s="1" customFormat="1" ht="18" customHeight="1" x14ac:dyDescent="0.4">
      <c r="A992" s="37" t="str">
        <f t="shared" si="386"/>
        <v>16Н</v>
      </c>
      <c r="B992" s="183"/>
      <c r="C992" s="41"/>
      <c r="D992" s="184"/>
      <c r="E992" s="282">
        <f t="shared" si="394"/>
        <v>46038</v>
      </c>
      <c r="F992" s="335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  <c r="Q992" s="336"/>
      <c r="R992" s="336"/>
      <c r="S992" s="336"/>
      <c r="T992" s="336"/>
      <c r="U992" s="336"/>
      <c r="V992" s="336"/>
      <c r="W992" s="336"/>
      <c r="X992" s="98">
        <v>1</v>
      </c>
      <c r="Y992" s="74">
        <v>1</v>
      </c>
      <c r="Z992" s="75">
        <f t="shared" si="392"/>
        <v>0</v>
      </c>
      <c r="AA992" s="107">
        <f t="shared" ref="AA992:AA1000" si="396">AA991</f>
        <v>0</v>
      </c>
      <c r="AB992" s="41"/>
      <c r="AC992" s="184"/>
      <c r="AD992" s="212">
        <f t="shared" si="395"/>
        <v>46038</v>
      </c>
      <c r="AE992" s="387"/>
      <c r="AF992" s="388"/>
      <c r="AG992" s="388"/>
      <c r="AH992" s="388"/>
      <c r="AI992" s="388"/>
      <c r="AJ992" s="388"/>
      <c r="AK992" s="388"/>
      <c r="AL992" s="388"/>
      <c r="AM992" s="388"/>
      <c r="AN992" s="388"/>
      <c r="AO992" s="388"/>
      <c r="AP992" s="388"/>
      <c r="AQ992" s="388"/>
      <c r="AR992" s="388"/>
      <c r="AS992" s="388"/>
      <c r="AT992" s="388"/>
      <c r="AU992" s="388"/>
      <c r="AV992" s="388"/>
      <c r="AW992" s="388"/>
      <c r="AX992" s="388"/>
      <c r="AY992" s="388"/>
      <c r="AZ992" s="388"/>
      <c r="BA992" s="388"/>
      <c r="BB992" s="389"/>
      <c r="BC992" s="98">
        <v>1</v>
      </c>
      <c r="BD992" s="74">
        <v>1</v>
      </c>
      <c r="BE992" s="75">
        <f t="shared" si="393"/>
        <v>0</v>
      </c>
    </row>
    <row r="993" spans="1:57" s="1" customFormat="1" ht="18" customHeight="1" x14ac:dyDescent="0.4">
      <c r="A993" s="37" t="str">
        <f t="shared" si="386"/>
        <v>16Н</v>
      </c>
      <c r="B993" s="183"/>
      <c r="C993" s="41"/>
      <c r="D993" s="184"/>
      <c r="E993" s="282">
        <f t="shared" si="394"/>
        <v>46038</v>
      </c>
      <c r="F993" s="335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  <c r="Q993" s="336"/>
      <c r="R993" s="336"/>
      <c r="S993" s="336"/>
      <c r="T993" s="336"/>
      <c r="U993" s="336"/>
      <c r="V993" s="336"/>
      <c r="W993" s="336"/>
      <c r="X993" s="98">
        <v>1</v>
      </c>
      <c r="Y993" s="74">
        <v>1</v>
      </c>
      <c r="Z993" s="75">
        <f t="shared" si="392"/>
        <v>0</v>
      </c>
      <c r="AA993" s="107">
        <f t="shared" si="396"/>
        <v>0</v>
      </c>
      <c r="AB993" s="41"/>
      <c r="AC993" s="184"/>
      <c r="AD993" s="212">
        <f t="shared" si="395"/>
        <v>46038</v>
      </c>
      <c r="AE993" s="387"/>
      <c r="AF993" s="388"/>
      <c r="AG993" s="388"/>
      <c r="AH993" s="388"/>
      <c r="AI993" s="388"/>
      <c r="AJ993" s="388"/>
      <c r="AK993" s="388"/>
      <c r="AL993" s="388"/>
      <c r="AM993" s="388"/>
      <c r="AN993" s="388"/>
      <c r="AO993" s="388"/>
      <c r="AP993" s="388"/>
      <c r="AQ993" s="388"/>
      <c r="AR993" s="388"/>
      <c r="AS993" s="388"/>
      <c r="AT993" s="388"/>
      <c r="AU993" s="388"/>
      <c r="AV993" s="388"/>
      <c r="AW993" s="388"/>
      <c r="AX993" s="388"/>
      <c r="AY993" s="388"/>
      <c r="AZ993" s="388"/>
      <c r="BA993" s="388"/>
      <c r="BB993" s="389"/>
      <c r="BC993" s="98">
        <v>1</v>
      </c>
      <c r="BD993" s="74">
        <v>1</v>
      </c>
      <c r="BE993" s="75">
        <f t="shared" si="393"/>
        <v>0</v>
      </c>
    </row>
    <row r="994" spans="1:57" s="1" customFormat="1" ht="18" customHeight="1" x14ac:dyDescent="0.4">
      <c r="A994" s="37" t="str">
        <f t="shared" si="386"/>
        <v>16Н</v>
      </c>
      <c r="B994" s="183"/>
      <c r="C994" s="41"/>
      <c r="D994" s="184"/>
      <c r="E994" s="282">
        <f t="shared" si="394"/>
        <v>46038</v>
      </c>
      <c r="F994" s="335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  <c r="Q994" s="336"/>
      <c r="R994" s="336"/>
      <c r="S994" s="336"/>
      <c r="T994" s="336"/>
      <c r="U994" s="336"/>
      <c r="V994" s="336"/>
      <c r="W994" s="336"/>
      <c r="X994" s="98">
        <v>1</v>
      </c>
      <c r="Y994" s="74">
        <v>1</v>
      </c>
      <c r="Z994" s="75">
        <f t="shared" si="392"/>
        <v>0</v>
      </c>
      <c r="AA994" s="107">
        <f t="shared" si="396"/>
        <v>0</v>
      </c>
      <c r="AB994" s="41"/>
      <c r="AC994" s="184"/>
      <c r="AD994" s="212">
        <f t="shared" si="395"/>
        <v>46038</v>
      </c>
      <c r="AE994" s="387"/>
      <c r="AF994" s="388"/>
      <c r="AG994" s="388"/>
      <c r="AH994" s="388"/>
      <c r="AI994" s="388"/>
      <c r="AJ994" s="388"/>
      <c r="AK994" s="388"/>
      <c r="AL994" s="388"/>
      <c r="AM994" s="388"/>
      <c r="AN994" s="388"/>
      <c r="AO994" s="388"/>
      <c r="AP994" s="388"/>
      <c r="AQ994" s="388"/>
      <c r="AR994" s="388"/>
      <c r="AS994" s="388"/>
      <c r="AT994" s="388"/>
      <c r="AU994" s="388"/>
      <c r="AV994" s="388"/>
      <c r="AW994" s="388"/>
      <c r="AX994" s="388"/>
      <c r="AY994" s="388"/>
      <c r="AZ994" s="388"/>
      <c r="BA994" s="388"/>
      <c r="BB994" s="389"/>
      <c r="BC994" s="98">
        <v>1</v>
      </c>
      <c r="BD994" s="74">
        <v>1</v>
      </c>
      <c r="BE994" s="75">
        <f t="shared" si="393"/>
        <v>0</v>
      </c>
    </row>
    <row r="995" spans="1:57" s="1" customFormat="1" ht="18" customHeight="1" x14ac:dyDescent="0.4">
      <c r="A995" s="37" t="str">
        <f t="shared" si="386"/>
        <v>16Н</v>
      </c>
      <c r="B995" s="183"/>
      <c r="C995" s="41"/>
      <c r="D995" s="184"/>
      <c r="E995" s="282">
        <f t="shared" si="394"/>
        <v>46038</v>
      </c>
      <c r="F995" s="335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  <c r="Q995" s="336"/>
      <c r="R995" s="336"/>
      <c r="S995" s="336"/>
      <c r="T995" s="336"/>
      <c r="U995" s="336"/>
      <c r="V995" s="336"/>
      <c r="W995" s="336"/>
      <c r="X995" s="98">
        <v>1</v>
      </c>
      <c r="Y995" s="74">
        <v>1</v>
      </c>
      <c r="Z995" s="75">
        <f t="shared" si="392"/>
        <v>0</v>
      </c>
      <c r="AA995" s="107">
        <f t="shared" si="396"/>
        <v>0</v>
      </c>
      <c r="AB995" s="41"/>
      <c r="AC995" s="184"/>
      <c r="AD995" s="212">
        <f t="shared" si="395"/>
        <v>46038</v>
      </c>
      <c r="AE995" s="387"/>
      <c r="AF995" s="388"/>
      <c r="AG995" s="388"/>
      <c r="AH995" s="388"/>
      <c r="AI995" s="388"/>
      <c r="AJ995" s="388"/>
      <c r="AK995" s="388"/>
      <c r="AL995" s="388"/>
      <c r="AM995" s="388"/>
      <c r="AN995" s="388"/>
      <c r="AO995" s="388"/>
      <c r="AP995" s="388"/>
      <c r="AQ995" s="388"/>
      <c r="AR995" s="388"/>
      <c r="AS995" s="388"/>
      <c r="AT995" s="388"/>
      <c r="AU995" s="388"/>
      <c r="AV995" s="388"/>
      <c r="AW995" s="388"/>
      <c r="AX995" s="388"/>
      <c r="AY995" s="388"/>
      <c r="AZ995" s="388"/>
      <c r="BA995" s="388"/>
      <c r="BB995" s="389"/>
      <c r="BC995" s="98">
        <v>1</v>
      </c>
      <c r="BD995" s="74">
        <v>1</v>
      </c>
      <c r="BE995" s="75">
        <f t="shared" si="393"/>
        <v>0</v>
      </c>
    </row>
    <row r="996" spans="1:57" s="1" customFormat="1" ht="18" customHeight="1" x14ac:dyDescent="0.4">
      <c r="A996" s="37" t="str">
        <f t="shared" si="386"/>
        <v>16Н</v>
      </c>
      <c r="B996" s="183"/>
      <c r="C996" s="41"/>
      <c r="D996" s="184"/>
      <c r="E996" s="282">
        <f t="shared" si="394"/>
        <v>46038</v>
      </c>
      <c r="F996" s="335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  <c r="Q996" s="336"/>
      <c r="R996" s="336"/>
      <c r="S996" s="336"/>
      <c r="T996" s="336"/>
      <c r="U996" s="336"/>
      <c r="V996" s="336"/>
      <c r="W996" s="336"/>
      <c r="X996" s="98">
        <v>1</v>
      </c>
      <c r="Y996" s="74">
        <v>1</v>
      </c>
      <c r="Z996" s="75">
        <f t="shared" si="392"/>
        <v>0</v>
      </c>
      <c r="AA996" s="107">
        <f t="shared" si="396"/>
        <v>0</v>
      </c>
      <c r="AB996" s="41"/>
      <c r="AC996" s="184"/>
      <c r="AD996" s="212">
        <f t="shared" si="395"/>
        <v>46038</v>
      </c>
      <c r="AE996" s="387"/>
      <c r="AF996" s="388"/>
      <c r="AG996" s="388"/>
      <c r="AH996" s="388"/>
      <c r="AI996" s="388"/>
      <c r="AJ996" s="388"/>
      <c r="AK996" s="388"/>
      <c r="AL996" s="388"/>
      <c r="AM996" s="388"/>
      <c r="AN996" s="388"/>
      <c r="AO996" s="388"/>
      <c r="AP996" s="388"/>
      <c r="AQ996" s="388"/>
      <c r="AR996" s="388"/>
      <c r="AS996" s="388"/>
      <c r="AT996" s="388"/>
      <c r="AU996" s="388"/>
      <c r="AV996" s="388"/>
      <c r="AW996" s="388"/>
      <c r="AX996" s="388"/>
      <c r="AY996" s="388"/>
      <c r="AZ996" s="388"/>
      <c r="BA996" s="388"/>
      <c r="BB996" s="389"/>
      <c r="BC996" s="98">
        <v>1</v>
      </c>
      <c r="BD996" s="74">
        <v>1</v>
      </c>
      <c r="BE996" s="75">
        <f t="shared" si="393"/>
        <v>0</v>
      </c>
    </row>
    <row r="997" spans="1:57" s="1" customFormat="1" ht="18" customHeight="1" x14ac:dyDescent="0.4">
      <c r="A997" s="37" t="str">
        <f t="shared" si="386"/>
        <v>16Н</v>
      </c>
      <c r="B997" s="183"/>
      <c r="C997" s="41"/>
      <c r="D997" s="184"/>
      <c r="E997" s="282">
        <f t="shared" si="394"/>
        <v>46038</v>
      </c>
      <c r="F997" s="335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  <c r="Q997" s="336"/>
      <c r="R997" s="336"/>
      <c r="S997" s="336"/>
      <c r="T997" s="336"/>
      <c r="U997" s="336"/>
      <c r="V997" s="336"/>
      <c r="W997" s="336"/>
      <c r="X997" s="98">
        <v>1</v>
      </c>
      <c r="Y997" s="74">
        <v>1</v>
      </c>
      <c r="Z997" s="75">
        <f t="shared" si="392"/>
        <v>0</v>
      </c>
      <c r="AA997" s="107">
        <f t="shared" si="396"/>
        <v>0</v>
      </c>
      <c r="AB997" s="41"/>
      <c r="AC997" s="184"/>
      <c r="AD997" s="212">
        <f t="shared" si="395"/>
        <v>46038</v>
      </c>
      <c r="AE997" s="387"/>
      <c r="AF997" s="388"/>
      <c r="AG997" s="388"/>
      <c r="AH997" s="388"/>
      <c r="AI997" s="388"/>
      <c r="AJ997" s="388"/>
      <c r="AK997" s="388"/>
      <c r="AL997" s="388"/>
      <c r="AM997" s="388"/>
      <c r="AN997" s="388"/>
      <c r="AO997" s="388"/>
      <c r="AP997" s="388"/>
      <c r="AQ997" s="388"/>
      <c r="AR997" s="388"/>
      <c r="AS997" s="388"/>
      <c r="AT997" s="388"/>
      <c r="AU997" s="388"/>
      <c r="AV997" s="388"/>
      <c r="AW997" s="388"/>
      <c r="AX997" s="388"/>
      <c r="AY997" s="388"/>
      <c r="AZ997" s="388"/>
      <c r="BA997" s="388"/>
      <c r="BB997" s="389"/>
      <c r="BC997" s="98">
        <v>1</v>
      </c>
      <c r="BD997" s="74">
        <v>1</v>
      </c>
      <c r="BE997" s="75">
        <f t="shared" si="393"/>
        <v>0</v>
      </c>
    </row>
    <row r="998" spans="1:57" s="1" customFormat="1" ht="18" customHeight="1" x14ac:dyDescent="0.4">
      <c r="A998" s="37" t="str">
        <f t="shared" si="386"/>
        <v>16Н</v>
      </c>
      <c r="B998" s="183"/>
      <c r="C998" s="41"/>
      <c r="D998" s="184"/>
      <c r="E998" s="282">
        <f t="shared" si="394"/>
        <v>46038</v>
      </c>
      <c r="F998" s="335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  <c r="Q998" s="336"/>
      <c r="R998" s="336"/>
      <c r="S998" s="336"/>
      <c r="T998" s="336"/>
      <c r="U998" s="336"/>
      <c r="V998" s="336"/>
      <c r="W998" s="336"/>
      <c r="X998" s="98">
        <v>1</v>
      </c>
      <c r="Y998" s="74">
        <v>1</v>
      </c>
      <c r="Z998" s="75">
        <f t="shared" si="392"/>
        <v>0</v>
      </c>
      <c r="AA998" s="107">
        <f t="shared" si="396"/>
        <v>0</v>
      </c>
      <c r="AB998" s="41"/>
      <c r="AC998" s="184"/>
      <c r="AD998" s="212">
        <f t="shared" si="395"/>
        <v>46038</v>
      </c>
      <c r="AE998" s="387"/>
      <c r="AF998" s="388"/>
      <c r="AG998" s="388"/>
      <c r="AH998" s="388"/>
      <c r="AI998" s="388"/>
      <c r="AJ998" s="388"/>
      <c r="AK998" s="388"/>
      <c r="AL998" s="388"/>
      <c r="AM998" s="388"/>
      <c r="AN998" s="388"/>
      <c r="AO998" s="388"/>
      <c r="AP998" s="388"/>
      <c r="AQ998" s="388"/>
      <c r="AR998" s="388"/>
      <c r="AS998" s="388"/>
      <c r="AT998" s="388"/>
      <c r="AU998" s="388"/>
      <c r="AV998" s="388"/>
      <c r="AW998" s="388"/>
      <c r="AX998" s="388"/>
      <c r="AY998" s="388"/>
      <c r="AZ998" s="388"/>
      <c r="BA998" s="388"/>
      <c r="BB998" s="389"/>
      <c r="BC998" s="98">
        <v>1</v>
      </c>
      <c r="BD998" s="74">
        <v>1</v>
      </c>
      <c r="BE998" s="75">
        <f t="shared" si="393"/>
        <v>0</v>
      </c>
    </row>
    <row r="999" spans="1:57" s="1" customFormat="1" ht="18" customHeight="1" x14ac:dyDescent="0.4">
      <c r="A999" s="37" t="str">
        <f t="shared" si="386"/>
        <v>16Н</v>
      </c>
      <c r="B999" s="183"/>
      <c r="C999" s="41"/>
      <c r="D999" s="184"/>
      <c r="E999" s="282">
        <f t="shared" si="394"/>
        <v>46038</v>
      </c>
      <c r="F999" s="335"/>
      <c r="G999" s="336"/>
      <c r="H999" s="336"/>
      <c r="I999" s="336"/>
      <c r="J999" s="336"/>
      <c r="K999" s="336"/>
      <c r="L999" s="336"/>
      <c r="M999" s="336"/>
      <c r="N999" s="336"/>
      <c r="O999" s="336"/>
      <c r="P999" s="336"/>
      <c r="Q999" s="336"/>
      <c r="R999" s="336"/>
      <c r="S999" s="336"/>
      <c r="T999" s="336"/>
      <c r="U999" s="336"/>
      <c r="V999" s="336"/>
      <c r="W999" s="336"/>
      <c r="X999" s="98">
        <v>1</v>
      </c>
      <c r="Y999" s="74">
        <v>1</v>
      </c>
      <c r="Z999" s="75">
        <f t="shared" si="392"/>
        <v>0</v>
      </c>
      <c r="AA999" s="107">
        <f t="shared" si="396"/>
        <v>0</v>
      </c>
      <c r="AB999" s="41"/>
      <c r="AC999" s="184"/>
      <c r="AD999" s="212">
        <f t="shared" si="395"/>
        <v>46038</v>
      </c>
      <c r="AE999" s="387"/>
      <c r="AF999" s="388"/>
      <c r="AG999" s="388"/>
      <c r="AH999" s="388"/>
      <c r="AI999" s="388"/>
      <c r="AJ999" s="388"/>
      <c r="AK999" s="388"/>
      <c r="AL999" s="388"/>
      <c r="AM999" s="388"/>
      <c r="AN999" s="388"/>
      <c r="AO999" s="388"/>
      <c r="AP999" s="388"/>
      <c r="AQ999" s="388"/>
      <c r="AR999" s="388"/>
      <c r="AS999" s="388"/>
      <c r="AT999" s="388"/>
      <c r="AU999" s="388"/>
      <c r="AV999" s="388"/>
      <c r="AW999" s="388"/>
      <c r="AX999" s="388"/>
      <c r="AY999" s="388"/>
      <c r="AZ999" s="388"/>
      <c r="BA999" s="388"/>
      <c r="BB999" s="389"/>
      <c r="BC999" s="98">
        <v>1</v>
      </c>
      <c r="BD999" s="74">
        <v>1</v>
      </c>
      <c r="BE999" s="75">
        <f t="shared" si="393"/>
        <v>0</v>
      </c>
    </row>
    <row r="1000" spans="1:57" s="1" customFormat="1" ht="18" customHeight="1" thickBot="1" x14ac:dyDescent="0.45">
      <c r="A1000" s="37" t="str">
        <f t="shared" si="386"/>
        <v>16Н</v>
      </c>
      <c r="B1000" s="183"/>
      <c r="C1000" s="41"/>
      <c r="D1000" s="184"/>
      <c r="E1000" s="283">
        <f t="shared" si="394"/>
        <v>46038</v>
      </c>
      <c r="F1000" s="339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99">
        <v>1</v>
      </c>
      <c r="Y1000" s="76">
        <v>1</v>
      </c>
      <c r="Z1000" s="77">
        <f t="shared" si="392"/>
        <v>0</v>
      </c>
      <c r="AA1000" s="107">
        <f t="shared" si="396"/>
        <v>0</v>
      </c>
      <c r="AB1000" s="41"/>
      <c r="AC1000" s="184"/>
      <c r="AD1000" s="211">
        <f t="shared" si="395"/>
        <v>46038</v>
      </c>
      <c r="AE1000" s="410"/>
      <c r="AF1000" s="411"/>
      <c r="AG1000" s="411"/>
      <c r="AH1000" s="411"/>
      <c r="AI1000" s="411"/>
      <c r="AJ1000" s="411"/>
      <c r="AK1000" s="411"/>
      <c r="AL1000" s="411"/>
      <c r="AM1000" s="411"/>
      <c r="AN1000" s="411"/>
      <c r="AO1000" s="411"/>
      <c r="AP1000" s="411"/>
      <c r="AQ1000" s="411"/>
      <c r="AR1000" s="411"/>
      <c r="AS1000" s="411"/>
      <c r="AT1000" s="411"/>
      <c r="AU1000" s="411"/>
      <c r="AV1000" s="411"/>
      <c r="AW1000" s="411"/>
      <c r="AX1000" s="411"/>
      <c r="AY1000" s="411"/>
      <c r="AZ1000" s="411"/>
      <c r="BA1000" s="411"/>
      <c r="BB1000" s="412"/>
      <c r="BC1000" s="99">
        <v>1</v>
      </c>
      <c r="BD1000" s="76">
        <v>1</v>
      </c>
      <c r="BE1000" s="75">
        <f t="shared" si="393"/>
        <v>0</v>
      </c>
    </row>
    <row r="1001" spans="1:57" s="1" customFormat="1" ht="23.25" customHeight="1" thickBot="1" x14ac:dyDescent="0.45">
      <c r="A1001" s="37" t="str">
        <f t="shared" si="386"/>
        <v>16Н</v>
      </c>
      <c r="B1001" s="193"/>
      <c r="C1001" s="47"/>
      <c r="D1001" s="47"/>
      <c r="E1001" s="47"/>
      <c r="F1001" s="78"/>
      <c r="G1001" s="78"/>
      <c r="H1001" s="78"/>
      <c r="I1001" s="80"/>
      <c r="J1001" s="80"/>
      <c r="K1001" s="80"/>
      <c r="L1001" s="80"/>
      <c r="M1001" s="80"/>
      <c r="N1001" s="80"/>
      <c r="O1001" s="78"/>
      <c r="P1001" s="81"/>
      <c r="Q1001" s="81"/>
      <c r="R1001" s="81"/>
      <c r="S1001" s="81"/>
      <c r="T1001" s="81"/>
      <c r="U1001" s="82"/>
      <c r="V1001" s="82"/>
      <c r="W1001" s="86"/>
      <c r="X1001" s="194"/>
      <c r="Y1001" s="83"/>
      <c r="Z1001" s="83"/>
      <c r="AA1001" s="78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84"/>
      <c r="AN1001" s="47"/>
      <c r="AO1001" s="78"/>
      <c r="AP1001" s="78"/>
      <c r="AQ1001" s="78"/>
      <c r="AR1001" s="84"/>
      <c r="AS1001" s="78"/>
      <c r="AT1001" s="85"/>
      <c r="AU1001" s="78"/>
      <c r="AV1001" s="83"/>
      <c r="AW1001" s="83"/>
      <c r="AX1001" s="78"/>
      <c r="AY1001" s="78"/>
      <c r="AZ1001" s="78"/>
      <c r="BA1001" s="78"/>
      <c r="BB1001" s="78"/>
      <c r="BC1001" s="78"/>
      <c r="BD1001" s="79"/>
      <c r="BE1001" s="79"/>
    </row>
    <row r="1002" spans="1:57" s="1" customFormat="1" ht="21.6" customHeight="1" thickBot="1" x14ac:dyDescent="0.45">
      <c r="A1002" s="37" t="s">
        <v>178</v>
      </c>
      <c r="B1002" s="59"/>
      <c r="C1002" s="51"/>
      <c r="D1002" s="51"/>
      <c r="E1002" s="51"/>
      <c r="F1002" s="158" t="s">
        <v>147</v>
      </c>
      <c r="G1002" s="51"/>
      <c r="H1002" s="51"/>
      <c r="I1002" s="156"/>
      <c r="J1002" s="156"/>
      <c r="K1002" s="156"/>
      <c r="L1002" s="156"/>
      <c r="M1002" s="156"/>
      <c r="N1002" s="156"/>
      <c r="O1002" s="91"/>
      <c r="P1002" s="52"/>
      <c r="Q1002" s="52"/>
      <c r="R1002" s="52"/>
      <c r="S1002" s="52"/>
      <c r="T1002" s="52"/>
      <c r="U1002" s="157"/>
      <c r="V1002" s="157"/>
      <c r="W1002" s="94"/>
      <c r="X1002" s="94"/>
      <c r="Y1002" s="51"/>
      <c r="Z1002" s="51"/>
      <c r="AA1002" s="157">
        <f>AA985</f>
        <v>1</v>
      </c>
      <c r="AB1002" s="157">
        <f t="shared" ref="AB1002:AF1002" si="397">AB985</f>
        <v>2</v>
      </c>
      <c r="AC1002" s="157">
        <f t="shared" si="397"/>
        <v>3</v>
      </c>
      <c r="AD1002" s="157">
        <f t="shared" si="397"/>
        <v>4</v>
      </c>
      <c r="AE1002" s="157">
        <f t="shared" si="397"/>
        <v>5</v>
      </c>
      <c r="AF1002" s="157">
        <f t="shared" si="397"/>
        <v>6</v>
      </c>
      <c r="AG1002" s="162" t="s">
        <v>123</v>
      </c>
      <c r="AH1002" s="162" t="s">
        <v>124</v>
      </c>
      <c r="AI1002" s="162" t="s">
        <v>125</v>
      </c>
      <c r="AJ1002" s="91" t="s">
        <v>126</v>
      </c>
      <c r="AK1002" s="198" t="s">
        <v>136</v>
      </c>
      <c r="AL1002" s="198" t="s">
        <v>137</v>
      </c>
      <c r="AM1002" s="198" t="s">
        <v>138</v>
      </c>
      <c r="AN1002" s="91"/>
      <c r="AO1002" s="91"/>
      <c r="AP1002" s="91"/>
      <c r="AQ1002" s="91"/>
      <c r="AR1002" s="91"/>
      <c r="AS1002" s="91"/>
      <c r="AT1002" s="91"/>
      <c r="AU1002" s="91"/>
      <c r="AV1002" s="91"/>
      <c r="AW1002" s="91"/>
      <c r="AX1002" s="91"/>
      <c r="AY1002" s="91"/>
      <c r="AZ1002" s="91"/>
      <c r="BA1002" s="91"/>
      <c r="BB1002" s="91"/>
      <c r="BC1002" s="91"/>
      <c r="BD1002" s="91"/>
      <c r="BE1002" s="91"/>
    </row>
    <row r="1003" spans="1:57" s="1" customFormat="1" ht="21.6" customHeight="1" x14ac:dyDescent="0.4">
      <c r="A1003" s="37" t="str">
        <f>A1002</f>
        <v>17Д</v>
      </c>
      <c r="B1003" s="12">
        <f>B984+1</f>
        <v>46039</v>
      </c>
      <c r="C1003" s="97"/>
      <c r="D1003" s="97">
        <v>1</v>
      </c>
      <c r="E1003" s="29"/>
      <c r="F1003" s="151" t="str">
        <f>IFERROR(VLOOKUP($G1003,нормы!$A$14:$BC$57,2,0),"")</f>
        <v/>
      </c>
      <c r="G1003" s="93"/>
      <c r="H1003" s="54">
        <f>IF(C1003=1,"Кульков С.А.", IF(C1003=2,"Чудаков А.А.",IF(C1003=3,"Королев В.Н.",IF(C1003=4,"Николашин М.П.",IF(C1003=5," Кульков С.А.",IF(C1003=6,"А.А. Чудаков",IF(C1003=7,"В.Н. Королев",IF(C1003=8,"М.П. Николашин",0))))))))</f>
        <v>0</v>
      </c>
      <c r="I1003" s="88" t="s">
        <v>84</v>
      </c>
      <c r="J1003" s="332"/>
      <c r="K1003" s="30">
        <f>IFERROR(VLOOKUP($G1003,[1]нормы!$A$21:$BC$151,15,0),"")</f>
        <v>0</v>
      </c>
      <c r="L1003" s="31">
        <f>IFERROR(VLOOKUP($G1003,[1]нормы!$A$21:$BC$151,17,0),"")</f>
        <v>0</v>
      </c>
      <c r="M1003" s="310">
        <f>IFERROR(VLOOKUP($G1003,[1]нормы!$A$21:$BC$151,27,0),"")</f>
        <v>0</v>
      </c>
      <c r="N1003" s="311" t="str">
        <f>IFERROR(Y1003/Y1009*(1.1*J1003*I1008),"")</f>
        <v/>
      </c>
      <c r="O1003" s="300">
        <f>IFERROR(VLOOKUP($G1003,[1]нормы!$A$21:$BC$151,21,0),"")</f>
        <v>0</v>
      </c>
      <c r="P1003" s="35">
        <f>IFERROR(VLOOKUP($G1003,[1]нормы!$A$21:$BC$151,19,0),"")</f>
        <v>0</v>
      </c>
      <c r="Q1003" s="35">
        <f>IFERROR(VLOOKUP($G1003,[1]нормы!$A$21:$BC$151,23,0),"")</f>
        <v>0</v>
      </c>
      <c r="R1003" s="231">
        <f>IFERROR(VLOOKUP($G1003,[1]нормы!$A$21:$BC$151,29,0),"")</f>
        <v>0</v>
      </c>
      <c r="S1003" s="35">
        <f>IFERROR(VLOOKUP($G1003,[1]нормы!$A$21:$BC$151,31,0),"")</f>
        <v>0</v>
      </c>
      <c r="T1003" s="32">
        <f>IFERROR(VLOOKUP($G1003,[1]нормы!$A$21:$BC$151,25,0),"")</f>
        <v>0</v>
      </c>
      <c r="U1003" s="232" t="str">
        <f>IFERROR(W1003/(((100*Y1003/Y1009)*I1008)/100),"")</f>
        <v/>
      </c>
      <c r="V1003" s="234" t="str">
        <f>IFERROR(VLOOKUP($G1003,нормы!$A$14:$BC$57,38,0),"")</f>
        <v/>
      </c>
      <c r="W1003" s="136"/>
      <c r="X1003" s="236"/>
      <c r="Y1003" s="152" t="str">
        <f>IFERROR(VLOOKUP($G1003,нормы!$A$14:$BC$57,42,0)*W1003,"")</f>
        <v/>
      </c>
      <c r="Z1003" s="163">
        <f>IFERROR(VLOOKUP($G1003,нормы!$A$14:$BC$57,14,0)*W1003/1000,0)</f>
        <v>0</v>
      </c>
      <c r="AA1003" s="33"/>
      <c r="AB1003" s="36"/>
      <c r="AC1003" s="36"/>
      <c r="AD1003" s="36"/>
      <c r="AE1003" s="34"/>
      <c r="AF1003" s="159"/>
      <c r="AG1003" s="390"/>
      <c r="AH1003" s="393"/>
      <c r="AI1003" s="396"/>
      <c r="AJ1003" s="407">
        <f>AG1003+AH1003</f>
        <v>0</v>
      </c>
      <c r="AK1003" s="359"/>
      <c r="AL1003" s="359"/>
      <c r="AM1003" s="359"/>
      <c r="AN1003" s="287">
        <f>IFERROR(Y1003*AJ1003/Y1009,)</f>
        <v>0</v>
      </c>
      <c r="AO1003" s="197" t="str">
        <f>IFERROR(VLOOKUP($G1003,нормы!$A$14:$BC$57,53,0)*$W1003,"")</f>
        <v/>
      </c>
      <c r="AP1003" s="288">
        <f>IFERROR(Y1003*AI1003/Y1009,)</f>
        <v>0</v>
      </c>
      <c r="AQ1003" s="197" t="str">
        <f>IFERROR(VLOOKUP($G1003,нормы!$A$14:$BC$57,54,0)*$W1003,"")</f>
        <v/>
      </c>
      <c r="AR1003" s="288">
        <f>IFERROR(AS1003/SUM(AS1003:AS1008)*AL1003,0)</f>
        <v>0</v>
      </c>
      <c r="AS1003" s="197" t="str">
        <f>IFERROR(VLOOKUP($G1003,нормы!$A$14:$BC$57,55,0)*W1003,"")</f>
        <v/>
      </c>
      <c r="AT1003" s="288">
        <f>IFERROR(AU1003/SUM(AU1003:AU1008)*AM1003,0)</f>
        <v>0</v>
      </c>
      <c r="AU1003" s="197" t="str">
        <f>IFERROR(VLOOKUP($G1003,нормы!$A$14:$BI$57,56,0)*W1003,"")</f>
        <v/>
      </c>
      <c r="AV1003" s="288">
        <f>IFERROR(AW1003/SUM(AW1003:AW1008)*AK1003,0)</f>
        <v>0</v>
      </c>
      <c r="AW1003" s="202" t="str">
        <f>IFERROR(VLOOKUP($G1003,нормы!$A$14:$BI$57,57,0)*W1003,"")</f>
        <v/>
      </c>
      <c r="AX1003" s="33"/>
      <c r="AY1003" s="203" t="str">
        <f>IFERROR(VLOOKUP($G1003,нормы!$A$14:$BI$57,58,0)*W1003,"")</f>
        <v/>
      </c>
      <c r="AZ1003" s="204"/>
      <c r="BA1003" s="200" t="str">
        <f>IFERROR(VLOOKUP($G1003,нормы!$A$14:$BI$57,61,0)*$W1003,"")</f>
        <v/>
      </c>
      <c r="BB1003" s="33"/>
      <c r="BC1003" s="203" t="str">
        <f>IFERROR(VLOOKUP($G1003,нормы!$A$14:$BI$57,60,0)*W1003,"")</f>
        <v/>
      </c>
      <c r="BD1003" s="200" t="str">
        <f>IFERROR(VLOOKUP($G1003,нормы!$A$14:$BG$57,44,0),"")</f>
        <v/>
      </c>
      <c r="BE1003" s="199" t="str">
        <f>IFERROR(W1003/VLOOKUP($G1003,нормы!$A$14:$BI$57,45,0),"")</f>
        <v/>
      </c>
    </row>
    <row r="1004" spans="1:57" s="1" customFormat="1" ht="21.6" customHeight="1" x14ac:dyDescent="0.4">
      <c r="A1004" s="37" t="str">
        <f t="shared" ref="A1004:A1032" si="398">A1003</f>
        <v>17Д</v>
      </c>
      <c r="B1004" s="12">
        <f t="shared" ref="B1004:D1008" si="399">B1003</f>
        <v>46039</v>
      </c>
      <c r="C1004" s="97">
        <f t="shared" si="399"/>
        <v>0</v>
      </c>
      <c r="D1004" s="97">
        <f t="shared" si="399"/>
        <v>1</v>
      </c>
      <c r="E1004" s="54"/>
      <c r="F1004" s="151" t="str">
        <f>IFERROR(VLOOKUP($G1004,нормы!$A$14:$BC$57,2,0),"")</f>
        <v/>
      </c>
      <c r="G1004" s="93"/>
      <c r="H1004" s="54">
        <f t="shared" ref="H1004:H1008" si="400">IF(C1004=1,"Кульков С.А.", IF(C1004=2,"Чудаков А.А.",IF(C1004=3,"Королев В.Н.",IF(C1004=4,"Николашин М.П.",IF(C1004=5," Кульков С.А.",IF(C1004=6,"А.А. Чудаков",IF(C1004=7,"В.Н. Королев",IF(C1004=8,"М.П. Николашин",0))))))))</f>
        <v>0</v>
      </c>
      <c r="I1004" s="55"/>
      <c r="J1004" s="333"/>
      <c r="K1004" s="30">
        <f>IFERROR(VLOOKUP($G1004,[1]нормы!$A$21:$BC$151,15,0),"")</f>
        <v>0</v>
      </c>
      <c r="L1004" s="31">
        <f>IFERROR(VLOOKUP($G1004,[1]нормы!$A$21:$BC$151,17,0),"")</f>
        <v>0</v>
      </c>
      <c r="M1004" s="306">
        <f>IFERROR(VLOOKUP($G1004,[1]нормы!$A$21:$BC$151,27,0),"")</f>
        <v>0</v>
      </c>
      <c r="N1004" s="307" t="str">
        <f>IFERROR(Y1004/Y1009*(1.1*J1003*I1008),"")</f>
        <v/>
      </c>
      <c r="O1004" s="300">
        <f>IFERROR(VLOOKUP($G1004,[1]нормы!$A$21:$BC$151,21,0),"")</f>
        <v>0</v>
      </c>
      <c r="P1004" s="35">
        <f>IFERROR(VLOOKUP($G1004,[1]нормы!$A$21:$BC$151,19,0),"")</f>
        <v>0</v>
      </c>
      <c r="Q1004" s="35">
        <f>IFERROR(VLOOKUP($G1004,[1]нормы!$A$21:$BC$151,23,0),"")</f>
        <v>0</v>
      </c>
      <c r="R1004" s="231">
        <f>IFERROR(VLOOKUP($G1004,[1]нормы!$A$21:$BC$151,29,0),"")</f>
        <v>0</v>
      </c>
      <c r="S1004" s="35">
        <f>IFERROR(VLOOKUP($G1004,[1]нормы!$A$21:$BC$151,31,0),"")</f>
        <v>0</v>
      </c>
      <c r="T1004" s="32">
        <f>IFERROR(VLOOKUP($G1004,[1]нормы!$A$21:$BC$151,25,0),"")</f>
        <v>0</v>
      </c>
      <c r="U1004" s="233" t="str">
        <f>IFERROR(W1004/(((100*Y1004/Y1009)*I1008)/100),"")</f>
        <v/>
      </c>
      <c r="V1004" s="234" t="str">
        <f>IFERROR(VLOOKUP($G1004,нормы!$A$14:$BC$57,38,0),"")</f>
        <v/>
      </c>
      <c r="W1004" s="136"/>
      <c r="X1004" s="237"/>
      <c r="Y1004" s="152" t="str">
        <f>IFERROR(VLOOKUP($G1004,нормы!$A$14:$BC$57,42,0)*W1004,"")</f>
        <v/>
      </c>
      <c r="Z1004" s="163">
        <f>IFERROR(VLOOKUP($G1004,нормы!$A$14:$BC$57,14,0)*W1004/1000,0)</f>
        <v>0</v>
      </c>
      <c r="AA1004" s="142"/>
      <c r="AB1004" s="35"/>
      <c r="AC1004" s="35"/>
      <c r="AD1004" s="35"/>
      <c r="AE1004" s="31"/>
      <c r="AF1004" s="160"/>
      <c r="AG1004" s="391"/>
      <c r="AH1004" s="394"/>
      <c r="AI1004" s="397"/>
      <c r="AJ1004" s="408"/>
      <c r="AK1004" s="360"/>
      <c r="AL1004" s="360"/>
      <c r="AM1004" s="360"/>
      <c r="AN1004" s="289">
        <f>IFERROR(Y1004*AJ1003/Y1009,)</f>
        <v>0</v>
      </c>
      <c r="AO1004" s="197" t="str">
        <f>IFERROR(VLOOKUP($G1004,нормы!$A$14:$BC$57,53,0)*$W1004,"")</f>
        <v/>
      </c>
      <c r="AP1004" s="290">
        <f>IFERROR(Y1004*AI1003/Y1009,)</f>
        <v>0</v>
      </c>
      <c r="AQ1004" s="197" t="str">
        <f>IFERROR(VLOOKUP($G1004,нормы!$A$14:$BC$57,54,0)*$W1004,"")</f>
        <v/>
      </c>
      <c r="AR1004" s="290">
        <f>IFERROR(AS1004/SUM(AS1003:AS1008)*AL1003,0)</f>
        <v>0</v>
      </c>
      <c r="AS1004" s="197" t="str">
        <f>IFERROR(VLOOKUP($G1004,нормы!$A$14:$BC$57,55,0)*W1004,"")</f>
        <v/>
      </c>
      <c r="AT1004" s="290">
        <f>IFERROR(AU1004/SUM(AU1003:AU1008)*AM1003,0)</f>
        <v>0</v>
      </c>
      <c r="AU1004" s="197" t="str">
        <f>IFERROR(VLOOKUP($G1004,нормы!$A$14:$BI$57,56,0)*W1004,"")</f>
        <v/>
      </c>
      <c r="AV1004" s="290">
        <f>IFERROR(AW1004/SUM(AW1003:AW1008)*AK1003,0)</f>
        <v>0</v>
      </c>
      <c r="AW1004" s="202" t="str">
        <f>IFERROR(VLOOKUP($G1004,нормы!$A$14:$BI$57,57,0)*W1004,"")</f>
        <v/>
      </c>
      <c r="AX1004" s="30"/>
      <c r="AY1004" s="203" t="str">
        <f>IFERROR(VLOOKUP($G1004,нормы!$A$14:$BI$57,58,0)*W1004,"")</f>
        <v/>
      </c>
      <c r="AZ1004" s="205"/>
      <c r="BA1004" s="200" t="str">
        <f>IFERROR(VLOOKUP($G1004,нормы!$A$14:$BI$57,61,0)*$W1004,"")</f>
        <v/>
      </c>
      <c r="BB1004" s="30"/>
      <c r="BC1004" s="203" t="str">
        <f>IFERROR(VLOOKUP($G1004,нормы!$A$14:$BI$57,60,0)*W1004,"")</f>
        <v/>
      </c>
      <c r="BD1004" s="200" t="str">
        <f>IFERROR(VLOOKUP($G1004,нормы!$A$14:$BG$57,44,0),"")</f>
        <v/>
      </c>
      <c r="BE1004" s="199" t="str">
        <f>IFERROR(W1004/VLOOKUP($G1004,нормы!$A$14:$BI$57,45,0),"")</f>
        <v/>
      </c>
    </row>
    <row r="1005" spans="1:57" s="1" customFormat="1" ht="20.25" customHeight="1" x14ac:dyDescent="0.4">
      <c r="A1005" s="37" t="str">
        <f t="shared" si="398"/>
        <v>17Д</v>
      </c>
      <c r="B1005" s="12">
        <f t="shared" si="399"/>
        <v>46039</v>
      </c>
      <c r="C1005" s="97">
        <f t="shared" si="399"/>
        <v>0</v>
      </c>
      <c r="D1005" s="97">
        <f t="shared" si="399"/>
        <v>1</v>
      </c>
      <c r="E1005" s="54"/>
      <c r="F1005" s="151" t="str">
        <f>IFERROR(VLOOKUP($G1005,нормы!$A$14:$BC$57,2,0),"")</f>
        <v/>
      </c>
      <c r="G1005" s="38"/>
      <c r="H1005" s="54">
        <f t="shared" si="400"/>
        <v>0</v>
      </c>
      <c r="I1005" s="89" t="s">
        <v>85</v>
      </c>
      <c r="J1005" s="333"/>
      <c r="K1005" s="30">
        <f>IFERROR(VLOOKUP($G1005,[1]нормы!$A$21:$BC$151,15,0),"")</f>
        <v>0</v>
      </c>
      <c r="L1005" s="31">
        <f>IFERROR(VLOOKUP($G1005,[1]нормы!$A$21:$BC$151,17,0),"")</f>
        <v>0</v>
      </c>
      <c r="M1005" s="306">
        <f>IFERROR(VLOOKUP($G1005,[1]нормы!$A$21:$BC$151,27,0),"")</f>
        <v>0</v>
      </c>
      <c r="N1005" s="307" t="str">
        <f>IFERROR(Y1005/Y1009*(1.1*J1003*I1008),"")</f>
        <v/>
      </c>
      <c r="O1005" s="300">
        <f>IFERROR(VLOOKUP($G1005,[1]нормы!$A$21:$BC$151,21,0),"")</f>
        <v>0</v>
      </c>
      <c r="P1005" s="35">
        <f>IFERROR(VLOOKUP($G1005,[1]нормы!$A$21:$BC$151,19,0),"")</f>
        <v>0</v>
      </c>
      <c r="Q1005" s="35">
        <f>IFERROR(VLOOKUP($G1005,[1]нормы!$A$21:$BC$151,23,0),"")</f>
        <v>0</v>
      </c>
      <c r="R1005" s="231">
        <f>IFERROR(VLOOKUP($G1005,[1]нормы!$A$21:$BC$151,29,0),"")</f>
        <v>0</v>
      </c>
      <c r="S1005" s="35">
        <f>IFERROR(VLOOKUP($G1005,[1]нормы!$A$21:$BC$151,31,0),"")</f>
        <v>0</v>
      </c>
      <c r="T1005" s="32">
        <f>IFERROR(VLOOKUP($G1005,[1]нормы!$A$21:$BC$151,25,0),"")</f>
        <v>0</v>
      </c>
      <c r="U1005" s="233" t="str">
        <f>IFERROR(W1005/(((100*Y1005/Y1009)*I1008)/100),"")</f>
        <v/>
      </c>
      <c r="V1005" s="234" t="str">
        <f>IFERROR(VLOOKUP($G1005,нормы!$A$14:$BC$57,38,0),"")</f>
        <v/>
      </c>
      <c r="W1005" s="136"/>
      <c r="X1005" s="237"/>
      <c r="Y1005" s="152" t="str">
        <f>IFERROR(VLOOKUP($G1005,нормы!$A$14:$BC$57,42,0)*W1005,"")</f>
        <v/>
      </c>
      <c r="Z1005" s="163">
        <f>IFERROR(VLOOKUP($G1005,нормы!$A$14:$BC$57,14,0)*W1005/1000,0)</f>
        <v>0</v>
      </c>
      <c r="AA1005" s="30"/>
      <c r="AB1005" s="35"/>
      <c r="AC1005" s="35"/>
      <c r="AD1005" s="35"/>
      <c r="AE1005" s="31"/>
      <c r="AF1005" s="160"/>
      <c r="AG1005" s="391"/>
      <c r="AH1005" s="394"/>
      <c r="AI1005" s="397"/>
      <c r="AJ1005" s="408"/>
      <c r="AK1005" s="360"/>
      <c r="AL1005" s="360"/>
      <c r="AM1005" s="360"/>
      <c r="AN1005" s="289">
        <f>IFERROR(Y1005*AJ1003/Y1009,)</f>
        <v>0</v>
      </c>
      <c r="AO1005" s="197" t="str">
        <f>IFERROR(VLOOKUP($G1005,нормы!$A$14:$BC$57,53,0)*$W1005,"")</f>
        <v/>
      </c>
      <c r="AP1005" s="290">
        <f>IFERROR(Y1005*AI1003/Y1009,)</f>
        <v>0</v>
      </c>
      <c r="AQ1005" s="197" t="str">
        <f>IFERROR(VLOOKUP($G1005,нормы!$A$14:$BC$57,54,0)*$W1005,"")</f>
        <v/>
      </c>
      <c r="AR1005" s="290">
        <f>IFERROR(AS1005/SUM(AS1003:AS1008)*AL1003,0)</f>
        <v>0</v>
      </c>
      <c r="AS1005" s="197" t="str">
        <f>IFERROR(VLOOKUP($G1005,нормы!$A$14:$BC$57,55,0)*W1005,"")</f>
        <v/>
      </c>
      <c r="AT1005" s="290">
        <f>IFERROR(AU1005/SUM(AU1003:AU1008)*AM1003,0)</f>
        <v>0</v>
      </c>
      <c r="AU1005" s="197" t="str">
        <f>IFERROR(VLOOKUP($G1005,нормы!$A$14:$BI$57,56,0)*W1005,"")</f>
        <v/>
      </c>
      <c r="AV1005" s="290">
        <f>IFERROR(AW1005/SUM(AW1003:AW1008)*AK1003,0)</f>
        <v>0</v>
      </c>
      <c r="AW1005" s="202" t="str">
        <f>IFERROR(VLOOKUP($G1005,нормы!$A$14:$BI$57,57,0)*W1005,"")</f>
        <v/>
      </c>
      <c r="AX1005" s="30"/>
      <c r="AY1005" s="203" t="str">
        <f>IFERROR(VLOOKUP($G1005,нормы!$A$14:$BI$57,58,0)*W1005,"")</f>
        <v/>
      </c>
      <c r="AZ1005" s="205"/>
      <c r="BA1005" s="200" t="str">
        <f>IFERROR(VLOOKUP($G1005,нормы!$A$14:$BI$57,61,0)*$W1005,"")</f>
        <v/>
      </c>
      <c r="BB1005" s="30"/>
      <c r="BC1005" s="203" t="str">
        <f>IFERROR(VLOOKUP($G1005,нормы!$A$14:$BI$57,60,0)*W1005,"")</f>
        <v/>
      </c>
      <c r="BD1005" s="200" t="str">
        <f>IFERROR(VLOOKUP($G1005,нормы!$A$14:$BG$57,44,0),"")</f>
        <v/>
      </c>
      <c r="BE1005" s="199" t="str">
        <f>IFERROR(W1005/VLOOKUP($G1005,нормы!$A$14:$BI$57,45,0),"")</f>
        <v/>
      </c>
    </row>
    <row r="1006" spans="1:57" s="1" customFormat="1" ht="20.25" customHeight="1" x14ac:dyDescent="0.4">
      <c r="A1006" s="37" t="str">
        <f t="shared" si="398"/>
        <v>17Д</v>
      </c>
      <c r="B1006" s="12">
        <f t="shared" si="399"/>
        <v>46039</v>
      </c>
      <c r="C1006" s="97">
        <f t="shared" si="399"/>
        <v>0</v>
      </c>
      <c r="D1006" s="97">
        <f t="shared" si="399"/>
        <v>1</v>
      </c>
      <c r="E1006" s="54"/>
      <c r="F1006" s="151" t="str">
        <f>IFERROR(VLOOKUP($G1006,нормы!$A$14:$BC$57,2,0),"")</f>
        <v/>
      </c>
      <c r="G1006" s="93"/>
      <c r="H1006" s="54">
        <f t="shared" si="400"/>
        <v>0</v>
      </c>
      <c r="I1006" s="55"/>
      <c r="J1006" s="333"/>
      <c r="K1006" s="30">
        <f>IFERROR(VLOOKUP($G1006,[1]нормы!$A$21:$BC$151,15,0),"")</f>
        <v>0</v>
      </c>
      <c r="L1006" s="31">
        <f>IFERROR(VLOOKUP($G1006,[1]нормы!$A$21:$BC$151,17,0),"")</f>
        <v>0</v>
      </c>
      <c r="M1006" s="306">
        <f>IFERROR(VLOOKUP($G1006,[1]нормы!$A$21:$BC$151,27,0),"")</f>
        <v>0</v>
      </c>
      <c r="N1006" s="307" t="str">
        <f>IFERROR(Y1006/Y1009*(1.1*J1003*I1011),"")</f>
        <v/>
      </c>
      <c r="O1006" s="300">
        <f>IFERROR(VLOOKUP($G1006,[1]нормы!$A$21:$BC$151,21,0),"")</f>
        <v>0</v>
      </c>
      <c r="P1006" s="35">
        <f>IFERROR(VLOOKUP($G1006,[1]нормы!$A$21:$BC$151,19,0),"")</f>
        <v>0</v>
      </c>
      <c r="Q1006" s="35">
        <f>IFERROR(VLOOKUP($G1006,[1]нормы!$A$21:$BC$151,23,0),"")</f>
        <v>0</v>
      </c>
      <c r="R1006" s="231">
        <f>IFERROR(VLOOKUP($G1006,[1]нормы!$A$21:$BC$151,29,0),"")</f>
        <v>0</v>
      </c>
      <c r="S1006" s="35">
        <f>IFERROR(VLOOKUP($G1006,[1]нормы!$A$21:$BC$151,31,0),"")</f>
        <v>0</v>
      </c>
      <c r="T1006" s="32">
        <f>IFERROR(VLOOKUP($G1006,[1]нормы!$A$21:$BC$151,25,0),"")</f>
        <v>0</v>
      </c>
      <c r="U1006" s="233" t="str">
        <f>IFERROR(W1006/(((100*Y1006/Y1009)*I1008)/100),"")</f>
        <v/>
      </c>
      <c r="V1006" s="234" t="str">
        <f>IFERROR(VLOOKUP($G1006,нормы!$A$14:$BC$57,38,0),"")</f>
        <v/>
      </c>
      <c r="W1006" s="136"/>
      <c r="X1006" s="237"/>
      <c r="Y1006" s="152" t="str">
        <f>IFERROR(VLOOKUP($G1006,нормы!$A$14:$BC$57,42,0)*W1006,"")</f>
        <v/>
      </c>
      <c r="Z1006" s="163">
        <f>IFERROR(VLOOKUP($G1006,нормы!$A$14:$BC$57,14,0)*W1006/1000,0)</f>
        <v>0</v>
      </c>
      <c r="AA1006" s="30"/>
      <c r="AB1006" s="35"/>
      <c r="AC1006" s="35"/>
      <c r="AD1006" s="35"/>
      <c r="AE1006" s="31"/>
      <c r="AF1006" s="160"/>
      <c r="AG1006" s="391"/>
      <c r="AH1006" s="394"/>
      <c r="AI1006" s="397"/>
      <c r="AJ1006" s="408"/>
      <c r="AK1006" s="360"/>
      <c r="AL1006" s="360"/>
      <c r="AM1006" s="360"/>
      <c r="AN1006" s="289">
        <f>IFERROR(Y1006*AJ1003/Y1009,)</f>
        <v>0</v>
      </c>
      <c r="AO1006" s="197" t="str">
        <f>IFERROR(VLOOKUP($G1006,нормы!$A$14:$BC$57,53,0)*$W1006,"")</f>
        <v/>
      </c>
      <c r="AP1006" s="290">
        <f>IFERROR(Y1006*AI1003/Y1009,)</f>
        <v>0</v>
      </c>
      <c r="AQ1006" s="197" t="str">
        <f>IFERROR(VLOOKUP($G1006,нормы!$A$14:$BC$57,54,0)*$W1006,"")</f>
        <v/>
      </c>
      <c r="AR1006" s="290">
        <f>IFERROR(AS1006/SUM(AS1003:AS1008)*AL1003,0)</f>
        <v>0</v>
      </c>
      <c r="AS1006" s="197" t="str">
        <f>IFERROR(VLOOKUP($G1006,нормы!$A$14:$BC$57,55,0)*W1006,"")</f>
        <v/>
      </c>
      <c r="AT1006" s="290">
        <f>IFERROR(AU1006/SUM(AU1003:AU1008)*AM1003,0)</f>
        <v>0</v>
      </c>
      <c r="AU1006" s="197" t="str">
        <f>IFERROR(VLOOKUP($G1006,нормы!$A$14:$BI$57,56,0)*W1006,"")</f>
        <v/>
      </c>
      <c r="AV1006" s="290">
        <f>IFERROR(AW1006/SUM(AW1003:AW1008)*AK1003,0)</f>
        <v>0</v>
      </c>
      <c r="AW1006" s="202" t="str">
        <f>IFERROR(VLOOKUP($G1006,нормы!$A$14:$BI$57,57,0)*W1006,"")</f>
        <v/>
      </c>
      <c r="AX1006" s="30"/>
      <c r="AY1006" s="203" t="str">
        <f>IFERROR(VLOOKUP($G1006,нормы!$A$14:$BI$57,58,0)*W1006,"")</f>
        <v/>
      </c>
      <c r="AZ1006" s="205"/>
      <c r="BA1006" s="200" t="str">
        <f>IFERROR(VLOOKUP($G1006,нормы!$A$14:$BI$57,61,0)*$W1006,"")</f>
        <v/>
      </c>
      <c r="BB1006" s="30"/>
      <c r="BC1006" s="203" t="str">
        <f>IFERROR(VLOOKUP($G1006,нормы!$A$14:$BI$57,60,0)*W1006,"")</f>
        <v/>
      </c>
      <c r="BD1006" s="200" t="str">
        <f>IFERROR(VLOOKUP($G1006,нормы!$A$14:$BG$57,44,0),"")</f>
        <v/>
      </c>
      <c r="BE1006" s="199" t="str">
        <f>IFERROR(W1006/VLOOKUP($G1006,нормы!$A$14:$BI$57,45,0),"")</f>
        <v/>
      </c>
    </row>
    <row r="1007" spans="1:57" s="1" customFormat="1" ht="20.25" customHeight="1" x14ac:dyDescent="0.4">
      <c r="A1007" s="37" t="str">
        <f t="shared" si="398"/>
        <v>17Д</v>
      </c>
      <c r="B1007" s="12">
        <f t="shared" si="399"/>
        <v>46039</v>
      </c>
      <c r="C1007" s="97">
        <f t="shared" si="399"/>
        <v>0</v>
      </c>
      <c r="D1007" s="97">
        <f t="shared" si="399"/>
        <v>1</v>
      </c>
      <c r="E1007" s="54"/>
      <c r="F1007" s="151" t="str">
        <f>IFERROR(VLOOKUP($G1007,нормы!$A$14:$BC$57,2,0),"")</f>
        <v/>
      </c>
      <c r="G1007" s="38"/>
      <c r="H1007" s="54">
        <f t="shared" si="400"/>
        <v>0</v>
      </c>
      <c r="I1007" s="89" t="s">
        <v>73</v>
      </c>
      <c r="J1007" s="333"/>
      <c r="K1007" s="30">
        <f>IFERROR(VLOOKUP($G1007,[1]нормы!$A$21:$BC$151,15,0),"")</f>
        <v>0</v>
      </c>
      <c r="L1007" s="31">
        <f>IFERROR(VLOOKUP($G1007,[1]нормы!$A$21:$BC$151,17,0),"")</f>
        <v>0</v>
      </c>
      <c r="M1007" s="306">
        <f>IFERROR(VLOOKUP($G1007,[1]нормы!$A$21:$BC$151,27,0),"")</f>
        <v>0</v>
      </c>
      <c r="N1007" s="307" t="str">
        <f>IFERROR(Y1007/Y1009*(1.1*J1003*I1012),"")</f>
        <v/>
      </c>
      <c r="O1007" s="300">
        <f>IFERROR(VLOOKUP($G1007,[1]нормы!$A$21:$BC$151,21,0),"")</f>
        <v>0</v>
      </c>
      <c r="P1007" s="35">
        <f>IFERROR(VLOOKUP($G1007,[1]нормы!$A$21:$BC$151,19,0),"")</f>
        <v>0</v>
      </c>
      <c r="Q1007" s="35">
        <f>IFERROR(VLOOKUP($G1007,[1]нормы!$A$21:$BC$151,23,0),"")</f>
        <v>0</v>
      </c>
      <c r="R1007" s="231">
        <f>IFERROR(VLOOKUP($G1007,[1]нормы!$A$21:$BC$151,29,0),"")</f>
        <v>0</v>
      </c>
      <c r="S1007" s="35">
        <f>IFERROR(VLOOKUP($G1007,[1]нормы!$A$21:$BC$151,31,0),"")</f>
        <v>0</v>
      </c>
      <c r="T1007" s="32">
        <f>IFERROR(VLOOKUP($G1007,[1]нормы!$A$21:$BC$151,25,0),"")</f>
        <v>0</v>
      </c>
      <c r="U1007" s="233" t="str">
        <f>IFERROR(W1007/(((100*Y1007/Y1009)*I1008)/100),"")</f>
        <v/>
      </c>
      <c r="V1007" s="234" t="str">
        <f>IFERROR(VLOOKUP($G1007,нормы!$A$14:$BC$57,38,0),"")</f>
        <v/>
      </c>
      <c r="W1007" s="136"/>
      <c r="X1007" s="237"/>
      <c r="Y1007" s="152" t="str">
        <f>IFERROR(VLOOKUP($G1007,нормы!$A$14:$BC$57,42,0)*W1007,"")</f>
        <v/>
      </c>
      <c r="Z1007" s="163">
        <f>IFERROR(VLOOKUP($G1007,нормы!$A$14:$BC$57,14,0)*W1007/1000,0)</f>
        <v>0</v>
      </c>
      <c r="AA1007" s="30"/>
      <c r="AB1007" s="35"/>
      <c r="AC1007" s="35"/>
      <c r="AD1007" s="35"/>
      <c r="AE1007" s="31"/>
      <c r="AF1007" s="160"/>
      <c r="AG1007" s="391"/>
      <c r="AH1007" s="394"/>
      <c r="AI1007" s="397"/>
      <c r="AJ1007" s="408"/>
      <c r="AK1007" s="360"/>
      <c r="AL1007" s="360"/>
      <c r="AM1007" s="360"/>
      <c r="AN1007" s="289">
        <f>IFERROR(Y1007*AJ1003/Y1009,)</f>
        <v>0</v>
      </c>
      <c r="AO1007" s="197" t="str">
        <f>IFERROR(VLOOKUP($G1007,нормы!$A$14:$BC$57,53,0)*$W1007,"")</f>
        <v/>
      </c>
      <c r="AP1007" s="290">
        <f>IFERROR(Y1007*AI1003/Y1009,)</f>
        <v>0</v>
      </c>
      <c r="AQ1007" s="197" t="str">
        <f>IFERROR(VLOOKUP($G1007,нормы!$A$14:$BC$57,54,0)*$W1007,"")</f>
        <v/>
      </c>
      <c r="AR1007" s="290">
        <f>IFERROR(AS1007/SUM(AS1003:AS1008)*AL1003,0)</f>
        <v>0</v>
      </c>
      <c r="AS1007" s="197" t="str">
        <f>IFERROR(VLOOKUP($G1007,нормы!$A$14:$BC$57,55,0)*W1007,"")</f>
        <v/>
      </c>
      <c r="AT1007" s="290">
        <f>IFERROR(AU1007/SUM(AU1003:AU1008)*AM1003,0)</f>
        <v>0</v>
      </c>
      <c r="AU1007" s="197" t="str">
        <f>IFERROR(VLOOKUP($G1007,нормы!$A$14:$BI$57,56,0)*W1007,"")</f>
        <v/>
      </c>
      <c r="AV1007" s="290">
        <f>IFERROR(AW1007/SUM(AW1003:AW1008)*AK1003,0)</f>
        <v>0</v>
      </c>
      <c r="AW1007" s="202" t="str">
        <f>IFERROR(VLOOKUP($G1007,нормы!$A$14:$BI$57,57,0)*W1007,"")</f>
        <v/>
      </c>
      <c r="AX1007" s="30"/>
      <c r="AY1007" s="203" t="str">
        <f>IFERROR(VLOOKUP($G1007,нормы!$A$14:$BI$57,58,0)*W1007,"")</f>
        <v/>
      </c>
      <c r="AZ1007" s="205"/>
      <c r="BA1007" s="200" t="str">
        <f>IFERROR(VLOOKUP($G1007,нормы!$A$14:$BI$57,61,0)*$W1007,"")</f>
        <v/>
      </c>
      <c r="BB1007" s="30"/>
      <c r="BC1007" s="203" t="str">
        <f>IFERROR(VLOOKUP($G1007,нормы!$A$14:$BI$57,60,0)*W1007,"")</f>
        <v/>
      </c>
      <c r="BD1007" s="200" t="str">
        <f>IFERROR(VLOOKUP($G1007,нормы!$A$14:$BG$57,44,0),"")</f>
        <v/>
      </c>
      <c r="BE1007" s="199" t="str">
        <f>IFERROR(W1007/VLOOKUP($G1007,нормы!$A$14:$BI$57,45,0),"")</f>
        <v/>
      </c>
    </row>
    <row r="1008" spans="1:57" s="1" customFormat="1" ht="21" customHeight="1" thickBot="1" x14ac:dyDescent="0.45">
      <c r="A1008" s="37" t="str">
        <f t="shared" si="398"/>
        <v>17Д</v>
      </c>
      <c r="B1008" s="12">
        <f t="shared" si="399"/>
        <v>46039</v>
      </c>
      <c r="C1008" s="97">
        <f t="shared" si="399"/>
        <v>0</v>
      </c>
      <c r="D1008" s="97">
        <f t="shared" si="399"/>
        <v>1</v>
      </c>
      <c r="E1008" s="54"/>
      <c r="F1008" s="151" t="str">
        <f>IFERROR(VLOOKUP($G1008,нормы!$A$14:$BC$57,2,0),"")</f>
        <v/>
      </c>
      <c r="G1008" s="93"/>
      <c r="H1008" s="63">
        <f t="shared" si="400"/>
        <v>0</v>
      </c>
      <c r="I1008" s="153">
        <f>I1004+I1006</f>
        <v>0</v>
      </c>
      <c r="J1008" s="334"/>
      <c r="K1008" s="30">
        <f>IFERROR(VLOOKUP($G1008,[1]нормы!$A$21:$BC$151,15,0),"")</f>
        <v>0</v>
      </c>
      <c r="L1008" s="31">
        <f>IFERROR(VLOOKUP($G1008,[1]нормы!$A$21:$BC$151,17,0),"")</f>
        <v>0</v>
      </c>
      <c r="M1008" s="308">
        <f>IFERROR(VLOOKUP($G1008,[1]нормы!$A$21:$BC$151,27,0),"")</f>
        <v>0</v>
      </c>
      <c r="N1008" s="309" t="str">
        <f>IFERROR(Y1008/Y1009*(1.1*J1003*I1013),"")</f>
        <v/>
      </c>
      <c r="O1008" s="300">
        <f>IFERROR(VLOOKUP($G1008,[1]нормы!$A$21:$BC$151,21,0),"")</f>
        <v>0</v>
      </c>
      <c r="P1008" s="35">
        <f>IFERROR(VLOOKUP($G1008,[1]нормы!$A$21:$BC$151,19,0),"")</f>
        <v>0</v>
      </c>
      <c r="Q1008" s="35">
        <f>IFERROR(VLOOKUP($G1008,[1]нормы!$A$21:$BC$151,23,0),"")</f>
        <v>0</v>
      </c>
      <c r="R1008" s="231">
        <f>IFERROR(VLOOKUP($G1008,[1]нормы!$A$21:$BC$151,29,0),"")</f>
        <v>0</v>
      </c>
      <c r="S1008" s="35">
        <f>IFERROR(VLOOKUP($G1008,[1]нормы!$A$21:$BC$151,31,0),"")</f>
        <v>0</v>
      </c>
      <c r="T1008" s="32">
        <f>IFERROR(VLOOKUP($G1008,[1]нормы!$A$21:$BC$151,25,0),"")</f>
        <v>0</v>
      </c>
      <c r="U1008" s="235" t="str">
        <f>IFERROR(W1008/(((100*Y1008/Y1009)*I1008)/100),"")</f>
        <v/>
      </c>
      <c r="V1008" s="234" t="str">
        <f>IFERROR(VLOOKUP($G1008,нормы!$A$14:$BC$57,38,0),"")</f>
        <v/>
      </c>
      <c r="W1008" s="154"/>
      <c r="X1008" s="238"/>
      <c r="Y1008" s="152" t="str">
        <f>IFERROR(VLOOKUP($G1008,нормы!$A$14:$BC$57,42,0)*W1008,"")</f>
        <v/>
      </c>
      <c r="Z1008" s="163">
        <f>IFERROR(VLOOKUP($G1008,нормы!$A$14:$BC$57,14,0)*W1008/1000,0)</f>
        <v>0</v>
      </c>
      <c r="AA1008" s="56"/>
      <c r="AB1008" s="58"/>
      <c r="AC1008" s="58"/>
      <c r="AD1008" s="58"/>
      <c r="AE1008" s="57"/>
      <c r="AF1008" s="161"/>
      <c r="AG1008" s="392"/>
      <c r="AH1008" s="395"/>
      <c r="AI1008" s="398"/>
      <c r="AJ1008" s="409"/>
      <c r="AK1008" s="361"/>
      <c r="AL1008" s="361"/>
      <c r="AM1008" s="361"/>
      <c r="AN1008" s="291">
        <f>IFERROR(Y1008*AJ1003/Y1009,)</f>
        <v>0</v>
      </c>
      <c r="AO1008" s="197" t="str">
        <f>IFERROR(VLOOKUP($G1008,нормы!$A$14:$BC$57,53,0)*$W1008,"")</f>
        <v/>
      </c>
      <c r="AP1008" s="292">
        <f>IFERROR(Y1008*AI1003/Y1009,)</f>
        <v>0</v>
      </c>
      <c r="AQ1008" s="197" t="str">
        <f>IFERROR(VLOOKUP($G1008,нормы!$A$14:$BC$57,54,0)*$W1008,"")</f>
        <v/>
      </c>
      <c r="AR1008" s="290">
        <f>IFERROR(AS1008/SUM(AS1003:AS1008)*AL1003,0)</f>
        <v>0</v>
      </c>
      <c r="AS1008" s="197" t="str">
        <f>IFERROR(VLOOKUP($G1008,нормы!$A$14:$BC$57,55,0)*W1008,"")</f>
        <v/>
      </c>
      <c r="AT1008" s="292">
        <f>IFERROR(AU1008/SUM(AU1003:AU1008)*AM1003,0)</f>
        <v>0</v>
      </c>
      <c r="AU1008" s="197" t="str">
        <f>IFERROR(VLOOKUP($G1008,нормы!$A$14:$BI$57,56,0)*W1008,"")</f>
        <v/>
      </c>
      <c r="AV1008" s="292">
        <f>IFERROR(AW1008/SUM(AW1003:AW1008)*AK1003,0)</f>
        <v>0</v>
      </c>
      <c r="AW1008" s="202" t="str">
        <f>IFERROR(VLOOKUP($G1008,нормы!$A$14:$BI$57,57,0)*W1008,"")</f>
        <v/>
      </c>
      <c r="AX1008" s="56"/>
      <c r="AY1008" s="203" t="str">
        <f>IFERROR(VLOOKUP($G1008,нормы!$A$14:$BI$57,58,0)*W1008,"")</f>
        <v/>
      </c>
      <c r="AZ1008" s="206"/>
      <c r="BA1008" s="200" t="str">
        <f>IFERROR(VLOOKUP($G1008,нормы!$A$14:$BI$57,61,0)*$W1008,"")</f>
        <v/>
      </c>
      <c r="BB1008" s="56"/>
      <c r="BC1008" s="203" t="str">
        <f>IFERROR(VLOOKUP($G1008,нормы!$A$14:$BI$57,60,0)*W1008,"")</f>
        <v/>
      </c>
      <c r="BD1008" s="200" t="str">
        <f>IFERROR(VLOOKUP($G1008,нормы!$A$14:$BG$57,44,0),"")</f>
        <v/>
      </c>
      <c r="BE1008" s="199" t="str">
        <f>IFERROR(W1008/VLOOKUP($G1008,нормы!$A$14:$BI$57,45,0),"")</f>
        <v/>
      </c>
    </row>
    <row r="1009" spans="1:57" s="1" customFormat="1" ht="29.4" customHeight="1" thickBot="1" x14ac:dyDescent="0.45">
      <c r="A1009" s="37" t="str">
        <f t="shared" si="398"/>
        <v>17Д</v>
      </c>
      <c r="B1009" s="59"/>
      <c r="C1009" s="51"/>
      <c r="D1009" s="51"/>
      <c r="E1009" s="51"/>
      <c r="F1009" s="295" t="s">
        <v>148</v>
      </c>
      <c r="G1009" s="51"/>
      <c r="H1009" s="51"/>
      <c r="I1009" s="60"/>
      <c r="J1009" s="60"/>
      <c r="K1009" s="319" t="s">
        <v>213</v>
      </c>
      <c r="L1009" s="316"/>
      <c r="M1009" s="303" t="s">
        <v>213</v>
      </c>
      <c r="N1009" s="317">
        <f>SUM(N1003:N1008)</f>
        <v>0</v>
      </c>
      <c r="O1009" s="304" t="s">
        <v>216</v>
      </c>
      <c r="P1009" s="318">
        <f>N1009*8.937/1000</f>
        <v>0</v>
      </c>
      <c r="Q1009" s="305" t="s">
        <v>215</v>
      </c>
      <c r="R1009" s="61"/>
      <c r="S1009" s="61"/>
      <c r="T1009" s="61"/>
      <c r="U1009" s="109"/>
      <c r="V1009" s="109"/>
      <c r="W1009" s="94"/>
      <c r="X1009" s="155"/>
      <c r="Y1009" s="96">
        <f>SUM(Y1003:Y1008)</f>
        <v>0</v>
      </c>
      <c r="Z1009" s="164">
        <f>SUM(Z1003:Z1008)</f>
        <v>0</v>
      </c>
      <c r="AA1009" s="62"/>
      <c r="AB1009" s="62"/>
      <c r="AC1009" s="62"/>
      <c r="AD1009" s="62"/>
      <c r="AE1009" s="62"/>
      <c r="AF1009" s="62"/>
      <c r="AG1009" s="162" t="s">
        <v>140</v>
      </c>
      <c r="AH1009" s="162" t="s">
        <v>141</v>
      </c>
      <c r="AI1009" s="162" t="s">
        <v>142</v>
      </c>
      <c r="AJ1009" s="91" t="s">
        <v>126</v>
      </c>
      <c r="AK1009" s="198" t="s">
        <v>136</v>
      </c>
      <c r="AL1009" s="198" t="s">
        <v>137</v>
      </c>
      <c r="AM1009" s="198" t="s">
        <v>138</v>
      </c>
      <c r="AN1009" s="91"/>
      <c r="AO1009" s="91"/>
      <c r="AP1009" s="91"/>
      <c r="AQ1009" s="91"/>
      <c r="AR1009" s="91"/>
      <c r="AS1009" s="91"/>
      <c r="AT1009" s="91"/>
      <c r="AU1009" s="91"/>
      <c r="AV1009" s="91"/>
      <c r="AW1009" s="91"/>
      <c r="AX1009" s="91"/>
      <c r="AY1009" s="91"/>
      <c r="AZ1009" s="91"/>
      <c r="BA1009" s="91"/>
      <c r="BB1009" s="91"/>
      <c r="BC1009" s="91"/>
      <c r="BD1009" s="91"/>
      <c r="BE1009" s="53" t="str">
        <f>IFERROR(W1009/VLOOKUP($G1009,нормы!$A$14:$BI$15,28,0),"")</f>
        <v/>
      </c>
    </row>
    <row r="1010" spans="1:57" s="1" customFormat="1" ht="21.6" customHeight="1" x14ac:dyDescent="0.4">
      <c r="A1010" s="37" t="str">
        <f t="shared" si="398"/>
        <v>17Д</v>
      </c>
      <c r="B1010" s="12">
        <f>B1008</f>
        <v>46039</v>
      </c>
      <c r="C1010" s="97"/>
      <c r="D1010" s="97">
        <v>2</v>
      </c>
      <c r="E1010" s="29"/>
      <c r="F1010" s="151" t="str">
        <f>IFERROR(VLOOKUP($G1010,нормы!$A$14:$BC$57,2,0),"")</f>
        <v/>
      </c>
      <c r="G1010" s="93"/>
      <c r="H1010" s="54">
        <f>IF(C1010=1,"Кульков С.А.", IF(C1010=2,"Чудаков А.А.",IF(C1010=3,"Королев В.Н.",IF(C1010=4,"Николашин М.П.",IF(C1010=5," Кульков С.А.",IF(C1010=6,"А.А. Чудаков",IF(C1010=7,"В.Н. Королев",IF(C1010=8,"М.П. Николашин",0))))))))</f>
        <v>0</v>
      </c>
      <c r="I1010" s="88" t="s">
        <v>211</v>
      </c>
      <c r="J1010" s="332"/>
      <c r="K1010" s="30">
        <f>IFERROR(VLOOKUP($G1010,[1]нормы!$A$21:$BC$151,15,0),"")</f>
        <v>0</v>
      </c>
      <c r="L1010" s="31">
        <f>IFERROR(VLOOKUP($G1010,[1]нормы!$A$21:$BC$151,17,0),"")</f>
        <v>0</v>
      </c>
      <c r="M1010" s="310">
        <f>IFERROR(VLOOKUP($G1010,[1]нормы!$A$21:$BC$151,27,0),"")</f>
        <v>0</v>
      </c>
      <c r="N1010" s="311" t="str">
        <f>IFERROR(Y1010/Y1016*(1.1*J1010*I1015),"")</f>
        <v/>
      </c>
      <c r="O1010" s="300">
        <f>IFERROR(VLOOKUP($G1010,[1]нормы!$A$21:$BC$151,21,0),"")</f>
        <v>0</v>
      </c>
      <c r="P1010" s="35">
        <f>IFERROR(VLOOKUP($G1010,[1]нормы!$A$21:$BC$151,19,0),"")</f>
        <v>0</v>
      </c>
      <c r="Q1010" s="35">
        <f>IFERROR(VLOOKUP($G1010,[1]нормы!$A$21:$BC$151,23,0),"")</f>
        <v>0</v>
      </c>
      <c r="R1010" s="231">
        <f>IFERROR(VLOOKUP($G1010,[1]нормы!$A$21:$BC$151,29,0),"")</f>
        <v>0</v>
      </c>
      <c r="S1010" s="35">
        <f>IFERROR(VLOOKUP($G1010,[1]нормы!$A$21:$BC$151,31,0),"")</f>
        <v>0</v>
      </c>
      <c r="T1010" s="32">
        <f>IFERROR(VLOOKUP($G1010,[1]нормы!$A$21:$BC$151,25,0),"")</f>
        <v>0</v>
      </c>
      <c r="U1010" s="232" t="str">
        <f>IFERROR(W1010/(((100*Y1010/Y1016)*I1015)/100),"")</f>
        <v/>
      </c>
      <c r="V1010" s="234" t="str">
        <f>IFERROR(VLOOKUP($G1010,нормы!$A$14:$BC$57,38,0),"")</f>
        <v/>
      </c>
      <c r="W1010" s="136"/>
      <c r="X1010" s="236"/>
      <c r="Y1010" s="152" t="str">
        <f>IFERROR(VLOOKUP($G1010,нормы!$A$14:$BC$57,42,0)*W1010,"")</f>
        <v/>
      </c>
      <c r="Z1010" s="163">
        <f>IFERROR(VLOOKUP($G1010,нормы!$A$14:$BC$57,14,0)*W1010/1000,0)</f>
        <v>0</v>
      </c>
      <c r="AA1010" s="33"/>
      <c r="AB1010" s="36"/>
      <c r="AC1010" s="36"/>
      <c r="AD1010" s="36"/>
      <c r="AE1010" s="34"/>
      <c r="AF1010" s="159"/>
      <c r="AG1010" s="390"/>
      <c r="AH1010" s="393"/>
      <c r="AI1010" s="396"/>
      <c r="AJ1010" s="407">
        <f>AG1010+AH1010</f>
        <v>0</v>
      </c>
      <c r="AK1010" s="359"/>
      <c r="AL1010" s="359"/>
      <c r="AM1010" s="359"/>
      <c r="AN1010" s="287">
        <f>IFERROR(Y1010*AJ1010/Y1016,)</f>
        <v>0</v>
      </c>
      <c r="AO1010" s="197" t="str">
        <f>IFERROR(VLOOKUP($G1010,нормы!$A$14:$BC$57,53,0)*$W1010,"")</f>
        <v/>
      </c>
      <c r="AP1010" s="288">
        <f>IFERROR(Y1010*AI1010/Y1016,)</f>
        <v>0</v>
      </c>
      <c r="AQ1010" s="197" t="str">
        <f>IFERROR(VLOOKUP($G1010,нормы!$A$14:$BC$57,54,0)*$W1010,"")</f>
        <v/>
      </c>
      <c r="AR1010" s="288">
        <f>IFERROR(AS1010/SUM(AS1010:AS1015)*AL1010,0)</f>
        <v>0</v>
      </c>
      <c r="AS1010" s="197" t="str">
        <f>IFERROR(VLOOKUP($G1010,нормы!$A$14:$BC$57,55,0)*W1010,"")</f>
        <v/>
      </c>
      <c r="AT1010" s="288">
        <f>IFERROR(AU1010/SUM(AU1010:AU1015)*AM1010,0)</f>
        <v>0</v>
      </c>
      <c r="AU1010" s="197" t="str">
        <f>IFERROR(VLOOKUP($G1010,нормы!$A$14:$BI$57,56,0)*W1010,"")</f>
        <v/>
      </c>
      <c r="AV1010" s="288">
        <f>IFERROR(AW1010/SUM(AW1010:AW1015)*AK1010,0)</f>
        <v>0</v>
      </c>
      <c r="AW1010" s="202" t="str">
        <f>IFERROR(VLOOKUP($G1010,нормы!$A$14:$BI$57,57,0)*W1010,"")</f>
        <v/>
      </c>
      <c r="AX1010" s="33"/>
      <c r="AY1010" s="203" t="str">
        <f>IFERROR(VLOOKUP($G1010,нормы!$A$14:$BI$57,58,0)*W1010,"")</f>
        <v/>
      </c>
      <c r="AZ1010" s="204"/>
      <c r="BA1010" s="200" t="str">
        <f>IFERROR(VLOOKUP($G1010,нормы!$A$14:$BI$57,61,0)*$W1010,"")</f>
        <v/>
      </c>
      <c r="BB1010" s="33"/>
      <c r="BC1010" s="203" t="str">
        <f>IFERROR(VLOOKUP($G1010,нормы!$A$14:$BI$57,60,0)*W1010,"")</f>
        <v/>
      </c>
      <c r="BD1010" s="200" t="str">
        <f>IFERROR(VLOOKUP($G1010,нормы!$A$14:$BG$57,44,0),"")</f>
        <v/>
      </c>
      <c r="BE1010" s="199" t="str">
        <f>IFERROR(W1010/VLOOKUP($G1010,нормы!$A$14:$BI$57,45,0),"")</f>
        <v/>
      </c>
    </row>
    <row r="1011" spans="1:57" s="1" customFormat="1" ht="21.6" customHeight="1" x14ac:dyDescent="0.4">
      <c r="A1011" s="37" t="str">
        <f t="shared" si="398"/>
        <v>17Д</v>
      </c>
      <c r="B1011" s="12">
        <f t="shared" ref="B1011:D1015" si="401">B1010</f>
        <v>46039</v>
      </c>
      <c r="C1011" s="97">
        <f t="shared" si="401"/>
        <v>0</v>
      </c>
      <c r="D1011" s="97">
        <f t="shared" si="401"/>
        <v>2</v>
      </c>
      <c r="E1011" s="54"/>
      <c r="F1011" s="151" t="str">
        <f>IFERROR(VLOOKUP($G1011,нормы!$A$14:$BC$57,2,0),"")</f>
        <v/>
      </c>
      <c r="G1011" s="93"/>
      <c r="H1011" s="54">
        <f t="shared" ref="H1011:H1015" si="402">IF(C1011=1,"Кульков С.А.", IF(C1011=2,"Чудаков А.А.",IF(C1011=3,"Королев В.Н.",IF(C1011=4,"Николашин М.П.",IF(C1011=5," Кульков С.А.",IF(C1011=6,"А.А. Чудаков",IF(C1011=7,"В.Н. Королев",IF(C1011=8,"М.П. Николашин",0))))))))</f>
        <v>0</v>
      </c>
      <c r="I1011" s="55"/>
      <c r="J1011" s="333"/>
      <c r="K1011" s="30">
        <f>IFERROR(VLOOKUP($G1011,[1]нормы!$A$21:$BC$151,15,0),"")</f>
        <v>0</v>
      </c>
      <c r="L1011" s="31">
        <f>IFERROR(VLOOKUP($G1011,[1]нормы!$A$21:$BC$151,17,0),"")</f>
        <v>0</v>
      </c>
      <c r="M1011" s="306">
        <f>IFERROR(VLOOKUP($G1011,[1]нормы!$A$21:$BC$151,27,0),"")</f>
        <v>0</v>
      </c>
      <c r="N1011" s="307" t="str">
        <f>IFERROR(Y1011/Y1016*(1.1*J1010*I1015),"")</f>
        <v/>
      </c>
      <c r="O1011" s="300">
        <f>IFERROR(VLOOKUP($G1011,[1]нормы!$A$21:$BC$151,21,0),"")</f>
        <v>0</v>
      </c>
      <c r="P1011" s="35">
        <f>IFERROR(VLOOKUP($G1011,[1]нормы!$A$21:$BC$151,19,0),"")</f>
        <v>0</v>
      </c>
      <c r="Q1011" s="35">
        <f>IFERROR(VLOOKUP($G1011,[1]нормы!$A$21:$BC$151,23,0),"")</f>
        <v>0</v>
      </c>
      <c r="R1011" s="231">
        <f>IFERROR(VLOOKUP($G1011,[1]нормы!$A$21:$BC$151,29,0),"")</f>
        <v>0</v>
      </c>
      <c r="S1011" s="35">
        <f>IFERROR(VLOOKUP($G1011,[1]нормы!$A$21:$BC$151,31,0),"")</f>
        <v>0</v>
      </c>
      <c r="T1011" s="32">
        <f>IFERROR(VLOOKUP($G1011,[1]нормы!$A$21:$BC$151,25,0),"")</f>
        <v>0</v>
      </c>
      <c r="U1011" s="233" t="str">
        <f>IFERROR(W1011/(((100*Y1011/Y1016)*I1015)/100),"")</f>
        <v/>
      </c>
      <c r="V1011" s="234" t="str">
        <f>IFERROR(VLOOKUP($G1011,нормы!$A$14:$BC$57,38,0),"")</f>
        <v/>
      </c>
      <c r="W1011" s="136"/>
      <c r="X1011" s="237"/>
      <c r="Y1011" s="152" t="str">
        <f>IFERROR(VLOOKUP($G1011,нормы!$A$14:$BC$57,42,0)*W1011,"")</f>
        <v/>
      </c>
      <c r="Z1011" s="163">
        <f>IFERROR(VLOOKUP($G1011,нормы!$A$14:$BC$57,14,0)*W1011/1000,0)</f>
        <v>0</v>
      </c>
      <c r="AA1011" s="142"/>
      <c r="AB1011" s="35"/>
      <c r="AC1011" s="35"/>
      <c r="AD1011" s="35"/>
      <c r="AE1011" s="31"/>
      <c r="AF1011" s="160"/>
      <c r="AG1011" s="391"/>
      <c r="AH1011" s="394"/>
      <c r="AI1011" s="397"/>
      <c r="AJ1011" s="408"/>
      <c r="AK1011" s="360"/>
      <c r="AL1011" s="360"/>
      <c r="AM1011" s="360"/>
      <c r="AN1011" s="289">
        <f>IFERROR(Y1011*AJ1010/Y1016,)</f>
        <v>0</v>
      </c>
      <c r="AO1011" s="197" t="str">
        <f>IFERROR(VLOOKUP($G1011,нормы!$A$14:$BC$57,53,0)*$W1011,"")</f>
        <v/>
      </c>
      <c r="AP1011" s="290">
        <f>IFERROR(Y1011*AI1010/Y1016,)</f>
        <v>0</v>
      </c>
      <c r="AQ1011" s="197" t="str">
        <f>IFERROR(VLOOKUP($G1011,нормы!$A$14:$BC$57,54,0)*$W1011,"")</f>
        <v/>
      </c>
      <c r="AR1011" s="290">
        <f>IFERROR(AS1011/SUM(AS1010:AS1015)*AL1010,0)</f>
        <v>0</v>
      </c>
      <c r="AS1011" s="197" t="str">
        <f>IFERROR(VLOOKUP($G1011,нормы!$A$14:$BC$57,55,0)*W1011,"")</f>
        <v/>
      </c>
      <c r="AT1011" s="290">
        <f>IFERROR(AU1011/SUM(AU1010:AU1015)*AM1010,0)</f>
        <v>0</v>
      </c>
      <c r="AU1011" s="197" t="str">
        <f>IFERROR(VLOOKUP($G1011,нормы!$A$14:$BI$57,56,0)*W1011,"")</f>
        <v/>
      </c>
      <c r="AV1011" s="290">
        <f>IFERROR(AW1011/SUM(AW1010:AW1015)*AK1010,0)</f>
        <v>0</v>
      </c>
      <c r="AW1011" s="202" t="str">
        <f>IFERROR(VLOOKUP($G1011,нормы!$A$14:$BI$57,57,0)*W1011,"")</f>
        <v/>
      </c>
      <c r="AX1011" s="30"/>
      <c r="AY1011" s="203" t="str">
        <f>IFERROR(VLOOKUP($G1011,нормы!$A$14:$BI$57,58,0)*W1011,"")</f>
        <v/>
      </c>
      <c r="AZ1011" s="205"/>
      <c r="BA1011" s="200" t="str">
        <f>IFERROR(VLOOKUP($G1011,нормы!$A$14:$BI$57,61,0)*$W1011,"")</f>
        <v/>
      </c>
      <c r="BB1011" s="30"/>
      <c r="BC1011" s="203" t="str">
        <f>IFERROR(VLOOKUP($G1011,нормы!$A$14:$BI$57,60,0)*W1011,"")</f>
        <v/>
      </c>
      <c r="BD1011" s="200" t="str">
        <f>IFERROR(VLOOKUP($G1011,нормы!$A$14:$BG$57,44,0),"")</f>
        <v/>
      </c>
      <c r="BE1011" s="199" t="str">
        <f>IFERROR(W1011/VLOOKUP($G1011,нормы!$A$14:$BI$57,45,0),"")</f>
        <v/>
      </c>
    </row>
    <row r="1012" spans="1:57" s="1" customFormat="1" ht="20.25" customHeight="1" x14ac:dyDescent="0.4">
      <c r="A1012" s="37" t="str">
        <f t="shared" si="398"/>
        <v>17Д</v>
      </c>
      <c r="B1012" s="12">
        <f t="shared" si="401"/>
        <v>46039</v>
      </c>
      <c r="C1012" s="97">
        <f t="shared" si="401"/>
        <v>0</v>
      </c>
      <c r="D1012" s="97">
        <f t="shared" si="401"/>
        <v>2</v>
      </c>
      <c r="E1012" s="54"/>
      <c r="F1012" s="151" t="str">
        <f>IFERROR(VLOOKUP($G1012,нормы!$A$14:$BC$57,2,0),"")</f>
        <v/>
      </c>
      <c r="G1012" s="38"/>
      <c r="H1012" s="54">
        <f t="shared" si="402"/>
        <v>0</v>
      </c>
      <c r="I1012" s="89" t="s">
        <v>212</v>
      </c>
      <c r="J1012" s="333"/>
      <c r="K1012" s="30">
        <f>IFERROR(VLOOKUP($G1012,[1]нормы!$A$21:$BC$151,15,0),"")</f>
        <v>0</v>
      </c>
      <c r="L1012" s="31">
        <f>IFERROR(VLOOKUP($G1012,[1]нормы!$A$21:$BC$151,17,0),"")</f>
        <v>0</v>
      </c>
      <c r="M1012" s="306">
        <f>IFERROR(VLOOKUP($G1012,[1]нормы!$A$21:$BC$151,27,0),"")</f>
        <v>0</v>
      </c>
      <c r="N1012" s="307" t="str">
        <f>IFERROR(Y1012/Y1016*(1.1*J1010*I1015),"")</f>
        <v/>
      </c>
      <c r="O1012" s="300">
        <f>IFERROR(VLOOKUP($G1012,[1]нормы!$A$21:$BC$151,21,0),"")</f>
        <v>0</v>
      </c>
      <c r="P1012" s="35">
        <f>IFERROR(VLOOKUP($G1012,[1]нормы!$A$21:$BC$151,19,0),"")</f>
        <v>0</v>
      </c>
      <c r="Q1012" s="35">
        <f>IFERROR(VLOOKUP($G1012,[1]нормы!$A$21:$BC$151,23,0),"")</f>
        <v>0</v>
      </c>
      <c r="R1012" s="231">
        <f>IFERROR(VLOOKUP($G1012,[1]нормы!$A$21:$BC$151,29,0),"")</f>
        <v>0</v>
      </c>
      <c r="S1012" s="35">
        <f>IFERROR(VLOOKUP($G1012,[1]нормы!$A$21:$BC$151,31,0),"")</f>
        <v>0</v>
      </c>
      <c r="T1012" s="32">
        <f>IFERROR(VLOOKUP($G1012,[1]нормы!$A$21:$BC$151,25,0),"")</f>
        <v>0</v>
      </c>
      <c r="U1012" s="233" t="str">
        <f>IFERROR(W1012/(((100*Y1012/Y1016)*I1015)/100),"")</f>
        <v/>
      </c>
      <c r="V1012" s="234" t="str">
        <f>IFERROR(VLOOKUP($G1012,нормы!$A$14:$BC$57,38,0),"")</f>
        <v/>
      </c>
      <c r="W1012" s="136"/>
      <c r="X1012" s="237"/>
      <c r="Y1012" s="152" t="str">
        <f>IFERROR(VLOOKUP($G1012,нормы!$A$14:$BC$57,42,0)*W1012,"")</f>
        <v/>
      </c>
      <c r="Z1012" s="163">
        <f>IFERROR(VLOOKUP($G1012,нормы!$A$14:$BC$57,14,0)*W1012/1000,0)</f>
        <v>0</v>
      </c>
      <c r="AA1012" s="30"/>
      <c r="AB1012" s="35"/>
      <c r="AC1012" s="35"/>
      <c r="AD1012" s="35"/>
      <c r="AE1012" s="31"/>
      <c r="AF1012" s="160"/>
      <c r="AG1012" s="391"/>
      <c r="AH1012" s="394"/>
      <c r="AI1012" s="397"/>
      <c r="AJ1012" s="408"/>
      <c r="AK1012" s="360"/>
      <c r="AL1012" s="360"/>
      <c r="AM1012" s="360"/>
      <c r="AN1012" s="289">
        <f>IFERROR(Y1012*AJ1010/Y1016,)</f>
        <v>0</v>
      </c>
      <c r="AO1012" s="197" t="str">
        <f>IFERROR(VLOOKUP($G1012,нормы!$A$14:$BC$57,53,0)*$W1012,"")</f>
        <v/>
      </c>
      <c r="AP1012" s="290">
        <f>IFERROR(Y1012*AI1010/Y1016,)</f>
        <v>0</v>
      </c>
      <c r="AQ1012" s="197" t="str">
        <f>IFERROR(VLOOKUP($G1012,нормы!$A$14:$BC$57,54,0)*$W1012,"")</f>
        <v/>
      </c>
      <c r="AR1012" s="290">
        <f>IFERROR(AS1012/SUM(AS1010:AS1015)*AL1010,0)</f>
        <v>0</v>
      </c>
      <c r="AS1012" s="197" t="str">
        <f>IFERROR(VLOOKUP($G1012,нормы!$A$14:$BC$57,55,0)*W1012,"")</f>
        <v/>
      </c>
      <c r="AT1012" s="290">
        <f>IFERROR(AU1012/SUM(AU1010:AU1015)*AM1010,0)</f>
        <v>0</v>
      </c>
      <c r="AU1012" s="197" t="str">
        <f>IFERROR(VLOOKUP($G1012,нормы!$A$14:$BI$57,56,0)*W1012,"")</f>
        <v/>
      </c>
      <c r="AV1012" s="290">
        <f>IFERROR(AW1012/SUM(AW1010:AW1015)*AK1010,0)</f>
        <v>0</v>
      </c>
      <c r="AW1012" s="202" t="str">
        <f>IFERROR(VLOOKUP($G1012,нормы!$A$14:$BI$57,57,0)*W1012,"")</f>
        <v/>
      </c>
      <c r="AX1012" s="30"/>
      <c r="AY1012" s="203" t="str">
        <f>IFERROR(VLOOKUP($G1012,нормы!$A$14:$BI$57,58,0)*W1012,"")</f>
        <v/>
      </c>
      <c r="AZ1012" s="205"/>
      <c r="BA1012" s="200" t="str">
        <f>IFERROR(VLOOKUP($G1012,нормы!$A$14:$BI$57,61,0)*$W1012,"")</f>
        <v/>
      </c>
      <c r="BB1012" s="30"/>
      <c r="BC1012" s="203" t="str">
        <f>IFERROR(VLOOKUP($G1012,нормы!$A$14:$BI$57,60,0)*W1012,"")</f>
        <v/>
      </c>
      <c r="BD1012" s="200" t="str">
        <f>IFERROR(VLOOKUP($G1012,нормы!$A$14:$BG$57,44,0),"")</f>
        <v/>
      </c>
      <c r="BE1012" s="199" t="str">
        <f>IFERROR(W1012/VLOOKUP($G1012,нормы!$A$14:$BI$57,45,0),"")</f>
        <v/>
      </c>
    </row>
    <row r="1013" spans="1:57" s="1" customFormat="1" ht="20.25" customHeight="1" x14ac:dyDescent="0.4">
      <c r="A1013" s="37" t="str">
        <f t="shared" si="398"/>
        <v>17Д</v>
      </c>
      <c r="B1013" s="12">
        <f t="shared" si="401"/>
        <v>46039</v>
      </c>
      <c r="C1013" s="97">
        <f t="shared" si="401"/>
        <v>0</v>
      </c>
      <c r="D1013" s="97">
        <f t="shared" si="401"/>
        <v>2</v>
      </c>
      <c r="E1013" s="54"/>
      <c r="F1013" s="151" t="str">
        <f>IFERROR(VLOOKUP($G1013,нормы!$A$14:$BC$57,2,0),"")</f>
        <v/>
      </c>
      <c r="G1013" s="93"/>
      <c r="H1013" s="54">
        <f t="shared" si="402"/>
        <v>0</v>
      </c>
      <c r="I1013" s="55"/>
      <c r="J1013" s="333"/>
      <c r="K1013" s="30">
        <f>IFERROR(VLOOKUP($G1013,[1]нормы!$A$21:$BC$151,15,0),"")</f>
        <v>0</v>
      </c>
      <c r="L1013" s="31">
        <f>IFERROR(VLOOKUP($G1013,[1]нормы!$A$21:$BC$151,17,0),"")</f>
        <v>0</v>
      </c>
      <c r="M1013" s="306">
        <f>IFERROR(VLOOKUP($G1013,[1]нормы!$A$21:$BC$151,27,0),"")</f>
        <v>0</v>
      </c>
      <c r="N1013" s="307" t="str">
        <f>IFERROR(Y1013/Y1016*(1.1*J1010*I1018),"")</f>
        <v/>
      </c>
      <c r="O1013" s="300">
        <f>IFERROR(VLOOKUP($G1013,[1]нормы!$A$21:$BC$151,21,0),"")</f>
        <v>0</v>
      </c>
      <c r="P1013" s="35">
        <f>IFERROR(VLOOKUP($G1013,[1]нормы!$A$21:$BC$151,19,0),"")</f>
        <v>0</v>
      </c>
      <c r="Q1013" s="35">
        <f>IFERROR(VLOOKUP($G1013,[1]нормы!$A$21:$BC$151,23,0),"")</f>
        <v>0</v>
      </c>
      <c r="R1013" s="231">
        <f>IFERROR(VLOOKUP($G1013,[1]нормы!$A$21:$BC$151,29,0),"")</f>
        <v>0</v>
      </c>
      <c r="S1013" s="35">
        <f>IFERROR(VLOOKUP($G1013,[1]нормы!$A$21:$BC$151,31,0),"")</f>
        <v>0</v>
      </c>
      <c r="T1013" s="32">
        <f>IFERROR(VLOOKUP($G1013,[1]нормы!$A$21:$BC$151,25,0),"")</f>
        <v>0</v>
      </c>
      <c r="U1013" s="233" t="str">
        <f>IFERROR(W1013/(((100*Y1013/Y1016)*I1015)/100),"")</f>
        <v/>
      </c>
      <c r="V1013" s="234" t="str">
        <f>IFERROR(VLOOKUP($G1013,нормы!$A$14:$BC$57,38,0),"")</f>
        <v/>
      </c>
      <c r="W1013" s="136"/>
      <c r="X1013" s="237"/>
      <c r="Y1013" s="152" t="str">
        <f>IFERROR(VLOOKUP($G1013,нормы!$A$14:$BC$57,42,0)*W1013,"")</f>
        <v/>
      </c>
      <c r="Z1013" s="163">
        <f>IFERROR(VLOOKUP($G1013,нормы!$A$14:$BC$57,14,0)*W1013/1000,0)</f>
        <v>0</v>
      </c>
      <c r="AA1013" s="30"/>
      <c r="AB1013" s="35"/>
      <c r="AC1013" s="35"/>
      <c r="AD1013" s="35"/>
      <c r="AE1013" s="31"/>
      <c r="AF1013" s="160"/>
      <c r="AG1013" s="391"/>
      <c r="AH1013" s="394"/>
      <c r="AI1013" s="397"/>
      <c r="AJ1013" s="408"/>
      <c r="AK1013" s="360"/>
      <c r="AL1013" s="360"/>
      <c r="AM1013" s="360"/>
      <c r="AN1013" s="289">
        <f>IFERROR(Y1013*AJ1010/Y1016,)</f>
        <v>0</v>
      </c>
      <c r="AO1013" s="197" t="str">
        <f>IFERROR(VLOOKUP($G1013,нормы!$A$14:$BC$57,53,0)*$W1013,"")</f>
        <v/>
      </c>
      <c r="AP1013" s="290">
        <f>IFERROR(Y1013*AI1010/Y1016,)</f>
        <v>0</v>
      </c>
      <c r="AQ1013" s="197" t="str">
        <f>IFERROR(VLOOKUP($G1013,нормы!$A$14:$BC$57,54,0)*$W1013,"")</f>
        <v/>
      </c>
      <c r="AR1013" s="290">
        <f>IFERROR(AS1013/SUM(AS1010:AS1015)*AL1010,0)</f>
        <v>0</v>
      </c>
      <c r="AS1013" s="197" t="str">
        <f>IFERROR(VLOOKUP($G1013,нормы!$A$14:$BC$57,55,0)*W1013,"")</f>
        <v/>
      </c>
      <c r="AT1013" s="290">
        <f>IFERROR(AU1013/SUM(AU1010:AU1015)*AM1010,0)</f>
        <v>0</v>
      </c>
      <c r="AU1013" s="197" t="str">
        <f>IFERROR(VLOOKUP($G1013,нормы!$A$14:$BI$57,56,0)*W1013,"")</f>
        <v/>
      </c>
      <c r="AV1013" s="290">
        <f>IFERROR(AW1013/SUM(AW1010:AW1015)*AK1010,0)</f>
        <v>0</v>
      </c>
      <c r="AW1013" s="202" t="str">
        <f>IFERROR(VLOOKUP($G1013,нормы!$A$14:$BI$57,57,0)*W1013,"")</f>
        <v/>
      </c>
      <c r="AX1013" s="30"/>
      <c r="AY1013" s="203" t="str">
        <f>IFERROR(VLOOKUP($G1013,нормы!$A$14:$BI$57,58,0)*W1013,"")</f>
        <v/>
      </c>
      <c r="AZ1013" s="205"/>
      <c r="BA1013" s="200" t="str">
        <f>IFERROR(VLOOKUP($G1013,нормы!$A$14:$BI$57,61,0)*$W1013,"")</f>
        <v/>
      </c>
      <c r="BB1013" s="30"/>
      <c r="BC1013" s="203" t="str">
        <f>IFERROR(VLOOKUP($G1013,нормы!$A$14:$BI$57,60,0)*W1013,"")</f>
        <v/>
      </c>
      <c r="BD1013" s="200" t="str">
        <f>IFERROR(VLOOKUP($G1013,нормы!$A$14:$BG$57,44,0),"")</f>
        <v/>
      </c>
      <c r="BE1013" s="199" t="str">
        <f>IFERROR(W1013/VLOOKUP($G1013,нормы!$A$14:$BI$57,45,0),"")</f>
        <v/>
      </c>
    </row>
    <row r="1014" spans="1:57" s="1" customFormat="1" ht="20.25" customHeight="1" x14ac:dyDescent="0.4">
      <c r="A1014" s="37" t="str">
        <f t="shared" si="398"/>
        <v>17Д</v>
      </c>
      <c r="B1014" s="12">
        <f t="shared" si="401"/>
        <v>46039</v>
      </c>
      <c r="C1014" s="97">
        <f t="shared" si="401"/>
        <v>0</v>
      </c>
      <c r="D1014" s="97">
        <f t="shared" si="401"/>
        <v>2</v>
      </c>
      <c r="E1014" s="54"/>
      <c r="F1014" s="151" t="str">
        <f>IFERROR(VLOOKUP($G1014,нормы!$A$14:$BC$57,2,0),"")</f>
        <v/>
      </c>
      <c r="G1014" s="38"/>
      <c r="H1014" s="54">
        <f t="shared" si="402"/>
        <v>0</v>
      </c>
      <c r="I1014" s="89" t="s">
        <v>73</v>
      </c>
      <c r="J1014" s="333"/>
      <c r="K1014" s="30">
        <f>IFERROR(VLOOKUP($G1014,[1]нормы!$A$21:$BC$151,15,0),"")</f>
        <v>0</v>
      </c>
      <c r="L1014" s="31">
        <f>IFERROR(VLOOKUP($G1014,[1]нормы!$A$21:$BC$151,17,0),"")</f>
        <v>0</v>
      </c>
      <c r="M1014" s="306">
        <f>IFERROR(VLOOKUP($G1014,[1]нормы!$A$21:$BC$151,27,0),"")</f>
        <v>0</v>
      </c>
      <c r="N1014" s="307" t="str">
        <f>IFERROR(Y1014/Y1016*(1.1*J1010*I1019),"")</f>
        <v/>
      </c>
      <c r="O1014" s="300">
        <f>IFERROR(VLOOKUP($G1014,[1]нормы!$A$21:$BC$151,21,0),"")</f>
        <v>0</v>
      </c>
      <c r="P1014" s="35">
        <f>IFERROR(VLOOKUP($G1014,[1]нормы!$A$21:$BC$151,19,0),"")</f>
        <v>0</v>
      </c>
      <c r="Q1014" s="35">
        <f>IFERROR(VLOOKUP($G1014,[1]нормы!$A$21:$BC$151,23,0),"")</f>
        <v>0</v>
      </c>
      <c r="R1014" s="231">
        <f>IFERROR(VLOOKUP($G1014,[1]нормы!$A$21:$BC$151,29,0),"")</f>
        <v>0</v>
      </c>
      <c r="S1014" s="35">
        <f>IFERROR(VLOOKUP($G1014,[1]нормы!$A$21:$BC$151,31,0),"")</f>
        <v>0</v>
      </c>
      <c r="T1014" s="32">
        <f>IFERROR(VLOOKUP($G1014,[1]нормы!$A$21:$BC$151,25,0),"")</f>
        <v>0</v>
      </c>
      <c r="U1014" s="233" t="str">
        <f>IFERROR(W1014/(((100*Y1014/Y1016)*I1015)/100),"")</f>
        <v/>
      </c>
      <c r="V1014" s="234" t="str">
        <f>IFERROR(VLOOKUP($G1014,нормы!$A$14:$BC$57,38,0),"")</f>
        <v/>
      </c>
      <c r="W1014" s="136"/>
      <c r="X1014" s="237"/>
      <c r="Y1014" s="152" t="str">
        <f>IFERROR(VLOOKUP($G1014,нормы!$A$14:$BC$57,42,0)*W1014,"")</f>
        <v/>
      </c>
      <c r="Z1014" s="163">
        <f>IFERROR(VLOOKUP($G1014,нормы!$A$14:$BC$57,14,0)*W1014/1000,0)</f>
        <v>0</v>
      </c>
      <c r="AA1014" s="30"/>
      <c r="AB1014" s="35"/>
      <c r="AC1014" s="35"/>
      <c r="AD1014" s="35"/>
      <c r="AE1014" s="31"/>
      <c r="AF1014" s="160"/>
      <c r="AG1014" s="391"/>
      <c r="AH1014" s="394"/>
      <c r="AI1014" s="397"/>
      <c r="AJ1014" s="408"/>
      <c r="AK1014" s="360"/>
      <c r="AL1014" s="360"/>
      <c r="AM1014" s="360"/>
      <c r="AN1014" s="289">
        <f>IFERROR(Y1014*AJ1010/Y1016,)</f>
        <v>0</v>
      </c>
      <c r="AO1014" s="197" t="str">
        <f>IFERROR(VLOOKUP($G1014,нормы!$A$14:$BC$57,53,0)*$W1014,"")</f>
        <v/>
      </c>
      <c r="AP1014" s="290">
        <f>IFERROR(Y1014*AI1010/Y1016,)</f>
        <v>0</v>
      </c>
      <c r="AQ1014" s="197" t="str">
        <f>IFERROR(VLOOKUP($G1014,нормы!$A$14:$BC$57,54,0)*$W1014,"")</f>
        <v/>
      </c>
      <c r="AR1014" s="290">
        <f>IFERROR(AS1014/SUM(AS1010:AS1015)*AL1010,0)</f>
        <v>0</v>
      </c>
      <c r="AS1014" s="197" t="str">
        <f>IFERROR(VLOOKUP($G1014,нормы!$A$14:$BC$57,55,0)*W1014,"")</f>
        <v/>
      </c>
      <c r="AT1014" s="290">
        <f>IFERROR(AU1014/SUM(AU1010:AU1015)*AM1010,0)</f>
        <v>0</v>
      </c>
      <c r="AU1014" s="197" t="str">
        <f>IFERROR(VLOOKUP($G1014,нормы!$A$14:$BI$57,56,0)*W1014,"")</f>
        <v/>
      </c>
      <c r="AV1014" s="290">
        <f>IFERROR(AW1014/SUM(AW1010:AW1015)*AK1010,0)</f>
        <v>0</v>
      </c>
      <c r="AW1014" s="202" t="str">
        <f>IFERROR(VLOOKUP($G1014,нормы!$A$14:$BI$57,57,0)*W1014,"")</f>
        <v/>
      </c>
      <c r="AX1014" s="30"/>
      <c r="AY1014" s="203" t="str">
        <f>IFERROR(VLOOKUP($G1014,нормы!$A$14:$BI$57,58,0)*W1014,"")</f>
        <v/>
      </c>
      <c r="AZ1014" s="205"/>
      <c r="BA1014" s="200" t="str">
        <f>IFERROR(VLOOKUP($G1014,нормы!$A$14:$BI$57,61,0)*$W1014,"")</f>
        <v/>
      </c>
      <c r="BB1014" s="30"/>
      <c r="BC1014" s="203" t="str">
        <f>IFERROR(VLOOKUP($G1014,нормы!$A$14:$BI$57,60,0)*W1014,"")</f>
        <v/>
      </c>
      <c r="BD1014" s="200" t="str">
        <f>IFERROR(VLOOKUP($G1014,нормы!$A$14:$BG$57,44,0),"")</f>
        <v/>
      </c>
      <c r="BE1014" s="199" t="str">
        <f>IFERROR(W1014/VLOOKUP($G1014,нормы!$A$14:$BI$57,45,0),"")</f>
        <v/>
      </c>
    </row>
    <row r="1015" spans="1:57" s="1" customFormat="1" ht="21" customHeight="1" thickBot="1" x14ac:dyDescent="0.45">
      <c r="A1015" s="37" t="str">
        <f t="shared" si="398"/>
        <v>17Д</v>
      </c>
      <c r="B1015" s="12">
        <f t="shared" si="401"/>
        <v>46039</v>
      </c>
      <c r="C1015" s="97">
        <f t="shared" si="401"/>
        <v>0</v>
      </c>
      <c r="D1015" s="97">
        <f t="shared" si="401"/>
        <v>2</v>
      </c>
      <c r="E1015" s="54"/>
      <c r="F1015" s="151" t="str">
        <f>IFERROR(VLOOKUP($G1015,нормы!$A$14:$BC$57,2,0),"")</f>
        <v/>
      </c>
      <c r="G1015" s="93"/>
      <c r="H1015" s="63">
        <f t="shared" si="402"/>
        <v>0</v>
      </c>
      <c r="I1015" s="153">
        <f>I1011+I1013</f>
        <v>0</v>
      </c>
      <c r="J1015" s="334"/>
      <c r="K1015" s="30">
        <f>IFERROR(VLOOKUP($G1015,[1]нормы!$A$21:$BC$151,15,0),"")</f>
        <v>0</v>
      </c>
      <c r="L1015" s="31">
        <f>IFERROR(VLOOKUP($G1015,[1]нормы!$A$21:$BC$151,17,0),"")</f>
        <v>0</v>
      </c>
      <c r="M1015" s="308">
        <f>IFERROR(VLOOKUP($G1015,[1]нормы!$A$21:$BC$151,27,0),"")</f>
        <v>0</v>
      </c>
      <c r="N1015" s="309" t="str">
        <f>IFERROR(Y1015/Y1016*(1.1*J1010*I1020),"")</f>
        <v/>
      </c>
      <c r="O1015" s="300">
        <f>IFERROR(VLOOKUP($G1015,[1]нормы!$A$21:$BC$151,21,0),"")</f>
        <v>0</v>
      </c>
      <c r="P1015" s="35">
        <f>IFERROR(VLOOKUP($G1015,[1]нормы!$A$21:$BC$151,19,0),"")</f>
        <v>0</v>
      </c>
      <c r="Q1015" s="35">
        <f>IFERROR(VLOOKUP($G1015,[1]нормы!$A$21:$BC$151,23,0),"")</f>
        <v>0</v>
      </c>
      <c r="R1015" s="231">
        <f>IFERROR(VLOOKUP($G1015,[1]нормы!$A$21:$BC$151,29,0),"")</f>
        <v>0</v>
      </c>
      <c r="S1015" s="35">
        <f>IFERROR(VLOOKUP($G1015,[1]нормы!$A$21:$BC$151,31,0),"")</f>
        <v>0</v>
      </c>
      <c r="T1015" s="32">
        <f>IFERROR(VLOOKUP($G1015,[1]нормы!$A$21:$BC$151,25,0),"")</f>
        <v>0</v>
      </c>
      <c r="U1015" s="235" t="str">
        <f>IFERROR(W1015/(((100*Y1015/Y1016)*I1015)/100),"")</f>
        <v/>
      </c>
      <c r="V1015" s="234" t="str">
        <f>IFERROR(VLOOKUP($G1015,нормы!$A$14:$BC$57,38,0),"")</f>
        <v/>
      </c>
      <c r="W1015" s="154"/>
      <c r="X1015" s="238"/>
      <c r="Y1015" s="152" t="str">
        <f>IFERROR(VLOOKUP($G1015,нормы!$A$14:$BC$57,42,0)*W1015,"")</f>
        <v/>
      </c>
      <c r="Z1015" s="163">
        <f>IFERROR(VLOOKUP($G1015,нормы!$A$14:$BC$57,14,0)*W1015/1000,0)</f>
        <v>0</v>
      </c>
      <c r="AA1015" s="56"/>
      <c r="AB1015" s="58"/>
      <c r="AC1015" s="58"/>
      <c r="AD1015" s="58"/>
      <c r="AE1015" s="57"/>
      <c r="AF1015" s="161"/>
      <c r="AG1015" s="392"/>
      <c r="AH1015" s="395"/>
      <c r="AI1015" s="398"/>
      <c r="AJ1015" s="409"/>
      <c r="AK1015" s="361"/>
      <c r="AL1015" s="361"/>
      <c r="AM1015" s="361"/>
      <c r="AN1015" s="291">
        <f>IFERROR(Y1015*AJ1010/Y1016,)</f>
        <v>0</v>
      </c>
      <c r="AO1015" s="197" t="str">
        <f>IFERROR(VLOOKUP($G1015,нормы!$A$14:$BC$57,53,0)*$W1015,"")</f>
        <v/>
      </c>
      <c r="AP1015" s="292">
        <f>IFERROR(Y1015*AI1010/Y1016,)</f>
        <v>0</v>
      </c>
      <c r="AQ1015" s="197" t="str">
        <f>IFERROR(VLOOKUP($G1015,нормы!$A$14:$BC$57,54,0)*$W1015,"")</f>
        <v/>
      </c>
      <c r="AR1015" s="290">
        <f>IFERROR(AS1015/SUM(AS1010:AS1015)*AL1010,0)</f>
        <v>0</v>
      </c>
      <c r="AS1015" s="197" t="str">
        <f>IFERROR(VLOOKUP($G1015,нормы!$A$14:$BC$57,55,0)*W1015,"")</f>
        <v/>
      </c>
      <c r="AT1015" s="292">
        <f>IFERROR(AU1015/SUM(AU1010:AU1015)*AM1010,0)</f>
        <v>0</v>
      </c>
      <c r="AU1015" s="197" t="str">
        <f>IFERROR(VLOOKUP($G1015,нормы!$A$14:$BI$57,56,0)*W1015,"")</f>
        <v/>
      </c>
      <c r="AV1015" s="292">
        <f>IFERROR(AW1015/SUM(AW1010:AW1015)*AK1010,0)</f>
        <v>0</v>
      </c>
      <c r="AW1015" s="202" t="str">
        <f>IFERROR(VLOOKUP($G1015,нормы!$A$14:$BI$57,57,0)*W1015,"")</f>
        <v/>
      </c>
      <c r="AX1015" s="56"/>
      <c r="AY1015" s="203" t="str">
        <f>IFERROR(VLOOKUP($G1015,нормы!$A$14:$BI$57,58,0)*W1015,"")</f>
        <v/>
      </c>
      <c r="AZ1015" s="206"/>
      <c r="BA1015" s="200" t="str">
        <f>IFERROR(VLOOKUP($G1015,нормы!$A$14:$BI$57,61,0)*$W1015,"")</f>
        <v/>
      </c>
      <c r="BB1015" s="56"/>
      <c r="BC1015" s="203" t="str">
        <f>IFERROR(VLOOKUP($G1015,нормы!$A$14:$BI$57,60,0)*W1015,"")</f>
        <v/>
      </c>
      <c r="BD1015" s="200" t="str">
        <f>IFERROR(VLOOKUP($G1015,нормы!$A$14:$BG$57,44,0),"")</f>
        <v/>
      </c>
      <c r="BE1015" s="199" t="str">
        <f>IFERROR(W1015/VLOOKUP($G1015,нормы!$A$14:$BI$57,45,0),"")</f>
        <v/>
      </c>
    </row>
    <row r="1016" spans="1:57" s="1" customFormat="1" ht="29.4" customHeight="1" thickBot="1" x14ac:dyDescent="0.45">
      <c r="A1016" s="37" t="str">
        <f t="shared" si="398"/>
        <v>17Д</v>
      </c>
      <c r="B1016" s="59"/>
      <c r="C1016" s="51"/>
      <c r="D1016" s="51"/>
      <c r="E1016" s="51"/>
      <c r="F1016" s="51"/>
      <c r="G1016" s="51"/>
      <c r="H1016" s="51"/>
      <c r="I1016" s="60"/>
      <c r="J1016" s="60"/>
      <c r="K1016" s="319" t="s">
        <v>213</v>
      </c>
      <c r="L1016" s="316"/>
      <c r="M1016" s="303" t="s">
        <v>213</v>
      </c>
      <c r="N1016" s="317">
        <f>SUM(N1010:N1015)</f>
        <v>0</v>
      </c>
      <c r="O1016" s="304" t="s">
        <v>217</v>
      </c>
      <c r="P1016" s="318">
        <f>N1016*8.937/1000</f>
        <v>0</v>
      </c>
      <c r="Q1016" s="305" t="s">
        <v>215</v>
      </c>
      <c r="R1016" s="61"/>
      <c r="S1016" s="61"/>
      <c r="T1016" s="61"/>
      <c r="U1016" s="109"/>
      <c r="V1016" s="109"/>
      <c r="W1016" s="94"/>
      <c r="X1016" s="155"/>
      <c r="Y1016" s="96">
        <f>SUM(Y1010:Y1015)</f>
        <v>0</v>
      </c>
      <c r="Z1016" s="164">
        <f>SUM(Z1010:Z1015)</f>
        <v>0</v>
      </c>
      <c r="AA1016" s="207">
        <f>(AA1002+AA1003+AA1004+AA1005+AA1006+AA1007+AA1008+AA1010+AA1011+AA1012+AA1013+AA1014+AA1015)-AG1003</f>
        <v>1</v>
      </c>
      <c r="AB1016" s="208">
        <f>(AB1002+AB1003+AB1004+AB1005+AB1006+AB1007+AB1008+AB1010+AB1011+AB1012+AB1013+AB1014+AB1015)-AH1003</f>
        <v>2</v>
      </c>
      <c r="AC1016" s="208">
        <f>(AC1002+AC1003+AC1004+AC1005+AC1006+AC1007+AC1008+AC1010+AC1011+AC1012+AC1013+AC1014+AC1015)-AG1010</f>
        <v>3</v>
      </c>
      <c r="AD1016" s="208">
        <f>(AD1002+AD1003+AD1004+AD1005+AD1006+AD1007+AD1008+AD1010+AD1011+AD1012+AD1013+AD1014+AD1015)-AH1010</f>
        <v>4</v>
      </c>
      <c r="AE1016" s="208">
        <f>(AE1002+AE1003+AE1004+AE1005+AE1006+AE1007+AE1008+AE1010+AE1011+AE1012+AE1013+AE1014+AE1015)-AI1003</f>
        <v>5</v>
      </c>
      <c r="AF1016" s="209">
        <f>(AF1002+AF1003+AF1004+AF1005+AF1006+AF1007+AF1008+AF1010+AF1011+AF1012+AF1013+AF1014+AF1015)-AI1010</f>
        <v>6</v>
      </c>
      <c r="AG1016" s="62"/>
      <c r="AH1016" s="62"/>
      <c r="AI1016" s="62"/>
      <c r="AJ1016" s="62"/>
      <c r="AK1016" s="62"/>
      <c r="AL1016" s="62"/>
      <c r="AM1016" s="62"/>
      <c r="AN1016" s="91">
        <f>SUM(AN1010:AN1015)</f>
        <v>0</v>
      </c>
      <c r="AO1016" s="91">
        <f>SUM(AO1010:AO1015)</f>
        <v>0</v>
      </c>
      <c r="AP1016" s="91"/>
      <c r="AQ1016" s="91"/>
      <c r="AR1016" s="91">
        <f>SUM(AR1010:AR1015)</f>
        <v>0</v>
      </c>
      <c r="AS1016" s="91">
        <f t="shared" ref="AS1016:AW1016" si="403">SUM(AS1010:AS1015)</f>
        <v>0</v>
      </c>
      <c r="AT1016" s="91">
        <f t="shared" si="403"/>
        <v>0</v>
      </c>
      <c r="AU1016" s="91">
        <f t="shared" si="403"/>
        <v>0</v>
      </c>
      <c r="AV1016" s="91">
        <f t="shared" si="403"/>
        <v>0</v>
      </c>
      <c r="AW1016" s="91">
        <f t="shared" si="403"/>
        <v>0</v>
      </c>
      <c r="AX1016" s="91">
        <f>SUM(AX1010:AX1015)</f>
        <v>0</v>
      </c>
      <c r="AY1016" s="91">
        <f>SUM(AY1010:AY1015)</f>
        <v>0</v>
      </c>
      <c r="AZ1016" s="91">
        <f>SUM(AZ1010:AZ1015)</f>
        <v>0</v>
      </c>
      <c r="BA1016" s="91"/>
      <c r="BB1016" s="91"/>
      <c r="BC1016" s="91"/>
      <c r="BD1016" s="91" t="str">
        <f>IFERROR(VLOOKUP($G1016,нормы!$A$14:$BG$15,27,0),"")</f>
        <v/>
      </c>
      <c r="BE1016" s="53" t="str">
        <f>IFERROR(W1016/VLOOKUP($G1016,нормы!$A$14:$BI$15,28,0),"")</f>
        <v/>
      </c>
    </row>
    <row r="1017" spans="1:57" s="1" customFormat="1" ht="29.4" customHeight="1" thickBot="1" x14ac:dyDescent="0.5">
      <c r="A1017" s="37" t="str">
        <f t="shared" si="398"/>
        <v>17Д</v>
      </c>
      <c r="B1017" s="166" t="s">
        <v>130</v>
      </c>
      <c r="C1017" s="167"/>
      <c r="D1017" s="167"/>
      <c r="E1017" s="167"/>
      <c r="F1017" s="165"/>
      <c r="G1017" s="167"/>
      <c r="H1017" s="167"/>
      <c r="I1017" s="168"/>
      <c r="J1017" s="168"/>
      <c r="K1017" s="168"/>
      <c r="L1017" s="168"/>
      <c r="M1017" s="168"/>
      <c r="N1017" s="168"/>
      <c r="O1017" s="167"/>
      <c r="P1017" s="169"/>
      <c r="Q1017" s="169"/>
      <c r="R1017" s="169"/>
      <c r="S1017" s="169"/>
      <c r="T1017" s="169"/>
      <c r="U1017" s="170"/>
      <c r="V1017" s="170"/>
      <c r="W1017" s="171"/>
      <c r="X1017" s="171"/>
      <c r="Y1017" s="172"/>
      <c r="Z1017" s="172"/>
      <c r="AA1017" s="201" t="s">
        <v>144</v>
      </c>
      <c r="AB1017" s="167"/>
      <c r="AC1017" s="167"/>
      <c r="AD1017" s="167"/>
      <c r="AE1017" s="167"/>
      <c r="AF1017" s="167"/>
      <c r="AG1017" s="167"/>
      <c r="AH1017" s="167"/>
      <c r="AI1017" s="167"/>
      <c r="AJ1017" s="167"/>
      <c r="AK1017" s="167"/>
      <c r="AL1017" s="167"/>
      <c r="AM1017" s="64"/>
      <c r="AN1017" s="167"/>
      <c r="AO1017" s="167"/>
      <c r="AP1017" s="167"/>
      <c r="AQ1017" s="167"/>
      <c r="AR1017" s="64"/>
      <c r="AS1017" s="64"/>
      <c r="AT1017" s="65"/>
      <c r="AU1017" s="64"/>
      <c r="AV1017" s="49"/>
      <c r="AW1017" s="49"/>
      <c r="AX1017" s="167"/>
      <c r="AY1017" s="167"/>
      <c r="AZ1017" s="167"/>
      <c r="BA1017" s="167"/>
      <c r="BB1017" s="167"/>
      <c r="BC1017" s="167"/>
      <c r="BD1017" s="66"/>
      <c r="BE1017" s="66"/>
    </row>
    <row r="1018" spans="1:57" s="1" customFormat="1" ht="23.25" customHeight="1" x14ac:dyDescent="0.4">
      <c r="A1018" s="37" t="str">
        <f t="shared" si="398"/>
        <v>17Д</v>
      </c>
      <c r="B1018" s="183"/>
      <c r="C1018" s="100"/>
      <c r="D1018" s="185"/>
      <c r="E1018" s="186" t="s">
        <v>57</v>
      </c>
      <c r="F1018" s="66" t="s">
        <v>87</v>
      </c>
      <c r="G1018" s="66"/>
      <c r="H1018" s="108" t="s">
        <v>131</v>
      </c>
      <c r="I1018" s="101"/>
      <c r="J1018" s="101"/>
      <c r="K1018" s="101"/>
      <c r="L1018" s="101"/>
      <c r="M1018" s="101"/>
      <c r="N1018" s="101"/>
      <c r="O1018" s="67"/>
      <c r="P1018" s="102"/>
      <c r="Q1018" s="102"/>
      <c r="R1018" s="102"/>
      <c r="S1018" s="102"/>
      <c r="T1018" s="102"/>
      <c r="U1018" s="67"/>
      <c r="V1018" s="67"/>
      <c r="W1018" s="103"/>
      <c r="X1018" s="187"/>
      <c r="Y1018" s="68" t="s">
        <v>74</v>
      </c>
      <c r="Z1018" s="69"/>
      <c r="AA1018" s="90"/>
      <c r="AB1018" s="100"/>
      <c r="AC1018" s="100"/>
      <c r="AD1018" s="186" t="s">
        <v>57</v>
      </c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190"/>
      <c r="AU1018" s="66"/>
      <c r="AV1018" s="165"/>
      <c r="AW1018" s="293"/>
      <c r="AX1018" s="66"/>
      <c r="AY1018" s="66"/>
      <c r="AZ1018" s="66"/>
      <c r="BA1018" s="66"/>
      <c r="BB1018" s="66"/>
      <c r="BC1018" s="66"/>
      <c r="BD1018" s="68" t="s">
        <v>74</v>
      </c>
      <c r="BE1018" s="69"/>
    </row>
    <row r="1019" spans="1:57" s="1" customFormat="1" ht="23.25" customHeight="1" thickBot="1" x14ac:dyDescent="0.45">
      <c r="A1019" s="37" t="str">
        <f t="shared" si="398"/>
        <v>17Д</v>
      </c>
      <c r="B1019" s="183"/>
      <c r="C1019" s="41"/>
      <c r="D1019" s="184"/>
      <c r="E1019" s="50"/>
      <c r="F1019" s="70"/>
      <c r="G1019" s="70"/>
      <c r="H1019" s="70"/>
      <c r="I1019" s="104"/>
      <c r="J1019" s="104"/>
      <c r="K1019" s="104"/>
      <c r="L1019" s="104"/>
      <c r="M1019" s="104"/>
      <c r="N1019" s="104"/>
      <c r="O1019" s="71"/>
      <c r="P1019" s="105"/>
      <c r="Q1019" s="105"/>
      <c r="R1019" s="105"/>
      <c r="S1019" s="105"/>
      <c r="T1019" s="105"/>
      <c r="U1019" s="71"/>
      <c r="V1019" s="71"/>
      <c r="W1019" s="106"/>
      <c r="X1019" s="188"/>
      <c r="Y1019" s="72"/>
      <c r="Z1019" s="73"/>
      <c r="AA1019" s="90"/>
      <c r="AB1019" s="41"/>
      <c r="AC1019" s="41"/>
      <c r="AD1019" s="50"/>
      <c r="AE1019" s="47"/>
      <c r="AF1019" s="47"/>
      <c r="AG1019" s="47"/>
      <c r="AH1019" s="47"/>
      <c r="AI1019" s="47"/>
      <c r="AJ1019" s="47"/>
      <c r="AK1019" s="47"/>
      <c r="AL1019" s="47"/>
      <c r="AM1019" s="70"/>
      <c r="AN1019" s="47"/>
      <c r="AO1019" s="70"/>
      <c r="AP1019" s="70"/>
      <c r="AQ1019" s="70"/>
      <c r="AR1019" s="70"/>
      <c r="AS1019" s="70"/>
      <c r="AT1019" s="191"/>
      <c r="AU1019" s="70"/>
      <c r="AV1019" s="192"/>
      <c r="AW1019" s="294"/>
      <c r="AX1019" s="70"/>
      <c r="AY1019" s="70"/>
      <c r="AZ1019" s="70"/>
      <c r="BA1019" s="70"/>
      <c r="BB1019" s="70"/>
      <c r="BC1019" s="70"/>
      <c r="BD1019" s="72"/>
      <c r="BE1019" s="73"/>
    </row>
    <row r="1020" spans="1:57" s="1" customFormat="1" ht="21.9" customHeight="1" x14ac:dyDescent="0.4">
      <c r="A1020" s="37" t="str">
        <f t="shared" si="398"/>
        <v>17Д</v>
      </c>
      <c r="B1020" s="183"/>
      <c r="C1020" s="41"/>
      <c r="D1020" s="184"/>
      <c r="E1020" s="281">
        <f>B1015</f>
        <v>46039</v>
      </c>
      <c r="F1020" s="337"/>
      <c r="G1020" s="338"/>
      <c r="H1020" s="338"/>
      <c r="I1020" s="338"/>
      <c r="J1020" s="338"/>
      <c r="K1020" s="338"/>
      <c r="L1020" s="338"/>
      <c r="M1020" s="338"/>
      <c r="N1020" s="338"/>
      <c r="O1020" s="338"/>
      <c r="P1020" s="338"/>
      <c r="Q1020" s="338"/>
      <c r="R1020" s="338"/>
      <c r="S1020" s="338"/>
      <c r="T1020" s="338"/>
      <c r="U1020" s="338"/>
      <c r="V1020" s="338"/>
      <c r="W1020" s="338"/>
      <c r="X1020" s="98">
        <v>1</v>
      </c>
      <c r="Y1020" s="74">
        <v>1</v>
      </c>
      <c r="Z1020" s="75">
        <f t="shared" ref="Z1020:Z1031" si="404">Y1020-X1020</f>
        <v>0</v>
      </c>
      <c r="AA1020" s="189"/>
      <c r="AB1020" s="41"/>
      <c r="AC1020" s="184"/>
      <c r="AD1020" s="210">
        <f>E1020</f>
        <v>46039</v>
      </c>
      <c r="AE1020" s="387"/>
      <c r="AF1020" s="388"/>
      <c r="AG1020" s="388"/>
      <c r="AH1020" s="388"/>
      <c r="AI1020" s="388"/>
      <c r="AJ1020" s="388"/>
      <c r="AK1020" s="388"/>
      <c r="AL1020" s="388"/>
      <c r="AM1020" s="388"/>
      <c r="AN1020" s="388"/>
      <c r="AO1020" s="388"/>
      <c r="AP1020" s="388"/>
      <c r="AQ1020" s="388"/>
      <c r="AR1020" s="388"/>
      <c r="AS1020" s="388"/>
      <c r="AT1020" s="388"/>
      <c r="AU1020" s="388"/>
      <c r="AV1020" s="388"/>
      <c r="AW1020" s="388"/>
      <c r="AX1020" s="388"/>
      <c r="AY1020" s="388"/>
      <c r="AZ1020" s="388"/>
      <c r="BA1020" s="388"/>
      <c r="BB1020" s="389"/>
      <c r="BC1020" s="98">
        <v>1</v>
      </c>
      <c r="BD1020" s="74">
        <v>1</v>
      </c>
      <c r="BE1020" s="75">
        <f t="shared" ref="BE1020:BE1031" si="405">BD1020-BC1020</f>
        <v>0</v>
      </c>
    </row>
    <row r="1021" spans="1:57" s="1" customFormat="1" ht="18" customHeight="1" x14ac:dyDescent="0.4">
      <c r="A1021" s="37" t="str">
        <f t="shared" si="398"/>
        <v>17Д</v>
      </c>
      <c r="B1021" s="183"/>
      <c r="C1021" s="41"/>
      <c r="D1021" s="184"/>
      <c r="E1021" s="282">
        <f>E1020</f>
        <v>46039</v>
      </c>
      <c r="F1021" s="335"/>
      <c r="G1021" s="336"/>
      <c r="H1021" s="336"/>
      <c r="I1021" s="336"/>
      <c r="J1021" s="336"/>
      <c r="K1021" s="336"/>
      <c r="L1021" s="336"/>
      <c r="M1021" s="336"/>
      <c r="N1021" s="336"/>
      <c r="O1021" s="336"/>
      <c r="P1021" s="336"/>
      <c r="Q1021" s="336"/>
      <c r="R1021" s="336"/>
      <c r="S1021" s="336"/>
      <c r="T1021" s="336"/>
      <c r="U1021" s="336"/>
      <c r="V1021" s="336"/>
      <c r="W1021" s="336"/>
      <c r="X1021" s="98">
        <v>1</v>
      </c>
      <c r="Y1021" s="74">
        <v>1</v>
      </c>
      <c r="Z1021" s="75">
        <f t="shared" si="404"/>
        <v>0</v>
      </c>
      <c r="AA1021" s="107">
        <f>AA1020</f>
        <v>0</v>
      </c>
      <c r="AB1021" s="41"/>
      <c r="AC1021" s="184"/>
      <c r="AD1021" s="212">
        <f>AD1020</f>
        <v>46039</v>
      </c>
      <c r="AE1021" s="387"/>
      <c r="AF1021" s="388"/>
      <c r="AG1021" s="388"/>
      <c r="AH1021" s="388"/>
      <c r="AI1021" s="388"/>
      <c r="AJ1021" s="388"/>
      <c r="AK1021" s="388"/>
      <c r="AL1021" s="388"/>
      <c r="AM1021" s="388"/>
      <c r="AN1021" s="388"/>
      <c r="AO1021" s="388"/>
      <c r="AP1021" s="388"/>
      <c r="AQ1021" s="388"/>
      <c r="AR1021" s="388"/>
      <c r="AS1021" s="388"/>
      <c r="AT1021" s="388"/>
      <c r="AU1021" s="388"/>
      <c r="AV1021" s="388"/>
      <c r="AW1021" s="388"/>
      <c r="AX1021" s="388"/>
      <c r="AY1021" s="388"/>
      <c r="AZ1021" s="388"/>
      <c r="BA1021" s="388"/>
      <c r="BB1021" s="389"/>
      <c r="BC1021" s="98">
        <v>1</v>
      </c>
      <c r="BD1021" s="74">
        <v>1</v>
      </c>
      <c r="BE1021" s="75">
        <f t="shared" si="405"/>
        <v>0</v>
      </c>
    </row>
    <row r="1022" spans="1:57" s="1" customFormat="1" ht="18" customHeight="1" x14ac:dyDescent="0.4">
      <c r="A1022" s="37" t="str">
        <f t="shared" si="398"/>
        <v>17Д</v>
      </c>
      <c r="B1022" s="183"/>
      <c r="C1022" s="41"/>
      <c r="D1022" s="184"/>
      <c r="E1022" s="282">
        <f t="shared" ref="E1022:E1031" si="406">E1021</f>
        <v>46039</v>
      </c>
      <c r="F1022" s="335"/>
      <c r="G1022" s="336"/>
      <c r="H1022" s="336"/>
      <c r="I1022" s="336"/>
      <c r="J1022" s="336"/>
      <c r="K1022" s="336"/>
      <c r="L1022" s="336"/>
      <c r="M1022" s="336"/>
      <c r="N1022" s="336"/>
      <c r="O1022" s="336"/>
      <c r="P1022" s="336"/>
      <c r="Q1022" s="336"/>
      <c r="R1022" s="336"/>
      <c r="S1022" s="336"/>
      <c r="T1022" s="336"/>
      <c r="U1022" s="336"/>
      <c r="V1022" s="336"/>
      <c r="W1022" s="336"/>
      <c r="X1022" s="98">
        <v>1</v>
      </c>
      <c r="Y1022" s="74">
        <v>1</v>
      </c>
      <c r="Z1022" s="75">
        <f t="shared" si="404"/>
        <v>0</v>
      </c>
      <c r="AA1022" s="107">
        <f>AA1021</f>
        <v>0</v>
      </c>
      <c r="AB1022" s="41"/>
      <c r="AC1022" s="184"/>
      <c r="AD1022" s="212">
        <f t="shared" ref="AD1022:AD1031" si="407">AD1021</f>
        <v>46039</v>
      </c>
      <c r="AE1022" s="387"/>
      <c r="AF1022" s="388"/>
      <c r="AG1022" s="388"/>
      <c r="AH1022" s="388"/>
      <c r="AI1022" s="388"/>
      <c r="AJ1022" s="388"/>
      <c r="AK1022" s="388"/>
      <c r="AL1022" s="388"/>
      <c r="AM1022" s="388"/>
      <c r="AN1022" s="388"/>
      <c r="AO1022" s="388"/>
      <c r="AP1022" s="388"/>
      <c r="AQ1022" s="388"/>
      <c r="AR1022" s="388"/>
      <c r="AS1022" s="388"/>
      <c r="AT1022" s="388"/>
      <c r="AU1022" s="388"/>
      <c r="AV1022" s="388"/>
      <c r="AW1022" s="388"/>
      <c r="AX1022" s="388"/>
      <c r="AY1022" s="388"/>
      <c r="AZ1022" s="388"/>
      <c r="BA1022" s="388"/>
      <c r="BB1022" s="389"/>
      <c r="BC1022" s="98">
        <v>1</v>
      </c>
      <c r="BD1022" s="74">
        <v>1</v>
      </c>
      <c r="BE1022" s="75">
        <f t="shared" si="405"/>
        <v>0</v>
      </c>
    </row>
    <row r="1023" spans="1:57" s="1" customFormat="1" ht="18" customHeight="1" x14ac:dyDescent="0.4">
      <c r="A1023" s="37" t="str">
        <f t="shared" si="398"/>
        <v>17Д</v>
      </c>
      <c r="B1023" s="183"/>
      <c r="C1023" s="41"/>
      <c r="D1023" s="184"/>
      <c r="E1023" s="282">
        <f t="shared" si="406"/>
        <v>46039</v>
      </c>
      <c r="F1023" s="335"/>
      <c r="G1023" s="336"/>
      <c r="H1023" s="336"/>
      <c r="I1023" s="336"/>
      <c r="J1023" s="336"/>
      <c r="K1023" s="336"/>
      <c r="L1023" s="336"/>
      <c r="M1023" s="336"/>
      <c r="N1023" s="336"/>
      <c r="O1023" s="336"/>
      <c r="P1023" s="336"/>
      <c r="Q1023" s="336"/>
      <c r="R1023" s="336"/>
      <c r="S1023" s="336"/>
      <c r="T1023" s="336"/>
      <c r="U1023" s="336"/>
      <c r="V1023" s="336"/>
      <c r="W1023" s="336"/>
      <c r="X1023" s="98">
        <v>1</v>
      </c>
      <c r="Y1023" s="74">
        <v>1</v>
      </c>
      <c r="Z1023" s="75">
        <f t="shared" si="404"/>
        <v>0</v>
      </c>
      <c r="AA1023" s="107">
        <f t="shared" ref="AA1023:AA1031" si="408">AA1022</f>
        <v>0</v>
      </c>
      <c r="AB1023" s="41"/>
      <c r="AC1023" s="184"/>
      <c r="AD1023" s="212">
        <f t="shared" si="407"/>
        <v>46039</v>
      </c>
      <c r="AE1023" s="387"/>
      <c r="AF1023" s="388"/>
      <c r="AG1023" s="388"/>
      <c r="AH1023" s="388"/>
      <c r="AI1023" s="388"/>
      <c r="AJ1023" s="388"/>
      <c r="AK1023" s="388"/>
      <c r="AL1023" s="388"/>
      <c r="AM1023" s="388"/>
      <c r="AN1023" s="388"/>
      <c r="AO1023" s="388"/>
      <c r="AP1023" s="388"/>
      <c r="AQ1023" s="388"/>
      <c r="AR1023" s="388"/>
      <c r="AS1023" s="388"/>
      <c r="AT1023" s="388"/>
      <c r="AU1023" s="388"/>
      <c r="AV1023" s="388"/>
      <c r="AW1023" s="388"/>
      <c r="AX1023" s="388"/>
      <c r="AY1023" s="388"/>
      <c r="AZ1023" s="388"/>
      <c r="BA1023" s="388"/>
      <c r="BB1023" s="389"/>
      <c r="BC1023" s="98">
        <v>1</v>
      </c>
      <c r="BD1023" s="74">
        <v>1</v>
      </c>
      <c r="BE1023" s="75">
        <f t="shared" si="405"/>
        <v>0</v>
      </c>
    </row>
    <row r="1024" spans="1:57" s="1" customFormat="1" ht="18" customHeight="1" x14ac:dyDescent="0.4">
      <c r="A1024" s="37" t="str">
        <f t="shared" si="398"/>
        <v>17Д</v>
      </c>
      <c r="B1024" s="183"/>
      <c r="C1024" s="41"/>
      <c r="D1024" s="184"/>
      <c r="E1024" s="282">
        <f t="shared" si="406"/>
        <v>46039</v>
      </c>
      <c r="F1024" s="335"/>
      <c r="G1024" s="336"/>
      <c r="H1024" s="336"/>
      <c r="I1024" s="336"/>
      <c r="J1024" s="336"/>
      <c r="K1024" s="336"/>
      <c r="L1024" s="336"/>
      <c r="M1024" s="336"/>
      <c r="N1024" s="336"/>
      <c r="O1024" s="336"/>
      <c r="P1024" s="336"/>
      <c r="Q1024" s="336"/>
      <c r="R1024" s="336"/>
      <c r="S1024" s="336"/>
      <c r="T1024" s="336"/>
      <c r="U1024" s="336"/>
      <c r="V1024" s="336"/>
      <c r="W1024" s="336"/>
      <c r="X1024" s="98">
        <v>1</v>
      </c>
      <c r="Y1024" s="74">
        <v>1</v>
      </c>
      <c r="Z1024" s="75">
        <f t="shared" si="404"/>
        <v>0</v>
      </c>
      <c r="AA1024" s="107">
        <f t="shared" si="408"/>
        <v>0</v>
      </c>
      <c r="AB1024" s="41"/>
      <c r="AC1024" s="184"/>
      <c r="AD1024" s="212">
        <f t="shared" si="407"/>
        <v>46039</v>
      </c>
      <c r="AE1024" s="387"/>
      <c r="AF1024" s="388"/>
      <c r="AG1024" s="388"/>
      <c r="AH1024" s="388"/>
      <c r="AI1024" s="388"/>
      <c r="AJ1024" s="388"/>
      <c r="AK1024" s="388"/>
      <c r="AL1024" s="388"/>
      <c r="AM1024" s="388"/>
      <c r="AN1024" s="388"/>
      <c r="AO1024" s="388"/>
      <c r="AP1024" s="388"/>
      <c r="AQ1024" s="388"/>
      <c r="AR1024" s="388"/>
      <c r="AS1024" s="388"/>
      <c r="AT1024" s="388"/>
      <c r="AU1024" s="388"/>
      <c r="AV1024" s="388"/>
      <c r="AW1024" s="388"/>
      <c r="AX1024" s="388"/>
      <c r="AY1024" s="388"/>
      <c r="AZ1024" s="388"/>
      <c r="BA1024" s="388"/>
      <c r="BB1024" s="389"/>
      <c r="BC1024" s="98">
        <v>1</v>
      </c>
      <c r="BD1024" s="74">
        <v>1</v>
      </c>
      <c r="BE1024" s="75">
        <f t="shared" si="405"/>
        <v>0</v>
      </c>
    </row>
    <row r="1025" spans="1:57" s="1" customFormat="1" ht="18" customHeight="1" x14ac:dyDescent="0.4">
      <c r="A1025" s="37" t="str">
        <f t="shared" si="398"/>
        <v>17Д</v>
      </c>
      <c r="B1025" s="183"/>
      <c r="C1025" s="41"/>
      <c r="D1025" s="184"/>
      <c r="E1025" s="282">
        <f t="shared" si="406"/>
        <v>46039</v>
      </c>
      <c r="F1025" s="335"/>
      <c r="G1025" s="336"/>
      <c r="H1025" s="336"/>
      <c r="I1025" s="336"/>
      <c r="J1025" s="336"/>
      <c r="K1025" s="336"/>
      <c r="L1025" s="336"/>
      <c r="M1025" s="336"/>
      <c r="N1025" s="336"/>
      <c r="O1025" s="336"/>
      <c r="P1025" s="336"/>
      <c r="Q1025" s="336"/>
      <c r="R1025" s="336"/>
      <c r="S1025" s="336"/>
      <c r="T1025" s="336"/>
      <c r="U1025" s="336"/>
      <c r="V1025" s="336"/>
      <c r="W1025" s="336"/>
      <c r="X1025" s="98">
        <v>1</v>
      </c>
      <c r="Y1025" s="74">
        <v>1</v>
      </c>
      <c r="Z1025" s="75">
        <f t="shared" si="404"/>
        <v>0</v>
      </c>
      <c r="AA1025" s="107">
        <f t="shared" si="408"/>
        <v>0</v>
      </c>
      <c r="AB1025" s="41"/>
      <c r="AC1025" s="184"/>
      <c r="AD1025" s="212">
        <f t="shared" si="407"/>
        <v>46039</v>
      </c>
      <c r="AE1025" s="387"/>
      <c r="AF1025" s="388"/>
      <c r="AG1025" s="388"/>
      <c r="AH1025" s="388"/>
      <c r="AI1025" s="388"/>
      <c r="AJ1025" s="388"/>
      <c r="AK1025" s="388"/>
      <c r="AL1025" s="388"/>
      <c r="AM1025" s="388"/>
      <c r="AN1025" s="388"/>
      <c r="AO1025" s="388"/>
      <c r="AP1025" s="388"/>
      <c r="AQ1025" s="388"/>
      <c r="AR1025" s="388"/>
      <c r="AS1025" s="388"/>
      <c r="AT1025" s="388"/>
      <c r="AU1025" s="388"/>
      <c r="AV1025" s="388"/>
      <c r="AW1025" s="388"/>
      <c r="AX1025" s="388"/>
      <c r="AY1025" s="388"/>
      <c r="AZ1025" s="388"/>
      <c r="BA1025" s="388"/>
      <c r="BB1025" s="389"/>
      <c r="BC1025" s="98">
        <v>1</v>
      </c>
      <c r="BD1025" s="74">
        <v>1</v>
      </c>
      <c r="BE1025" s="75">
        <f t="shared" si="405"/>
        <v>0</v>
      </c>
    </row>
    <row r="1026" spans="1:57" s="1" customFormat="1" ht="18" customHeight="1" x14ac:dyDescent="0.4">
      <c r="A1026" s="37" t="str">
        <f t="shared" si="398"/>
        <v>17Д</v>
      </c>
      <c r="B1026" s="183"/>
      <c r="C1026" s="41"/>
      <c r="D1026" s="184"/>
      <c r="E1026" s="282">
        <f t="shared" si="406"/>
        <v>46039</v>
      </c>
      <c r="F1026" s="335"/>
      <c r="G1026" s="336"/>
      <c r="H1026" s="336"/>
      <c r="I1026" s="336"/>
      <c r="J1026" s="336"/>
      <c r="K1026" s="336"/>
      <c r="L1026" s="336"/>
      <c r="M1026" s="336"/>
      <c r="N1026" s="336"/>
      <c r="O1026" s="336"/>
      <c r="P1026" s="336"/>
      <c r="Q1026" s="336"/>
      <c r="R1026" s="336"/>
      <c r="S1026" s="336"/>
      <c r="T1026" s="336"/>
      <c r="U1026" s="336"/>
      <c r="V1026" s="336"/>
      <c r="W1026" s="336"/>
      <c r="X1026" s="98">
        <v>1</v>
      </c>
      <c r="Y1026" s="74">
        <v>1</v>
      </c>
      <c r="Z1026" s="75">
        <f t="shared" si="404"/>
        <v>0</v>
      </c>
      <c r="AA1026" s="107">
        <f t="shared" si="408"/>
        <v>0</v>
      </c>
      <c r="AB1026" s="41"/>
      <c r="AC1026" s="184"/>
      <c r="AD1026" s="212">
        <f t="shared" si="407"/>
        <v>46039</v>
      </c>
      <c r="AE1026" s="387"/>
      <c r="AF1026" s="388"/>
      <c r="AG1026" s="388"/>
      <c r="AH1026" s="388"/>
      <c r="AI1026" s="388"/>
      <c r="AJ1026" s="388"/>
      <c r="AK1026" s="388"/>
      <c r="AL1026" s="388"/>
      <c r="AM1026" s="388"/>
      <c r="AN1026" s="388"/>
      <c r="AO1026" s="388"/>
      <c r="AP1026" s="388"/>
      <c r="AQ1026" s="388"/>
      <c r="AR1026" s="388"/>
      <c r="AS1026" s="388"/>
      <c r="AT1026" s="388"/>
      <c r="AU1026" s="388"/>
      <c r="AV1026" s="388"/>
      <c r="AW1026" s="388"/>
      <c r="AX1026" s="388"/>
      <c r="AY1026" s="388"/>
      <c r="AZ1026" s="388"/>
      <c r="BA1026" s="388"/>
      <c r="BB1026" s="389"/>
      <c r="BC1026" s="98">
        <v>1</v>
      </c>
      <c r="BD1026" s="74">
        <v>1</v>
      </c>
      <c r="BE1026" s="75">
        <f t="shared" si="405"/>
        <v>0</v>
      </c>
    </row>
    <row r="1027" spans="1:57" s="1" customFormat="1" ht="18" customHeight="1" x14ac:dyDescent="0.4">
      <c r="A1027" s="37" t="str">
        <f t="shared" si="398"/>
        <v>17Д</v>
      </c>
      <c r="B1027" s="183"/>
      <c r="C1027" s="41"/>
      <c r="D1027" s="184"/>
      <c r="E1027" s="282">
        <f t="shared" si="406"/>
        <v>46039</v>
      </c>
      <c r="F1027" s="335"/>
      <c r="G1027" s="336"/>
      <c r="H1027" s="336"/>
      <c r="I1027" s="336"/>
      <c r="J1027" s="336"/>
      <c r="K1027" s="336"/>
      <c r="L1027" s="336"/>
      <c r="M1027" s="336"/>
      <c r="N1027" s="336"/>
      <c r="O1027" s="336"/>
      <c r="P1027" s="336"/>
      <c r="Q1027" s="336"/>
      <c r="R1027" s="336"/>
      <c r="S1027" s="336"/>
      <c r="T1027" s="336"/>
      <c r="U1027" s="336"/>
      <c r="V1027" s="336"/>
      <c r="W1027" s="336"/>
      <c r="X1027" s="98">
        <v>1</v>
      </c>
      <c r="Y1027" s="74">
        <v>1</v>
      </c>
      <c r="Z1027" s="75">
        <f t="shared" si="404"/>
        <v>0</v>
      </c>
      <c r="AA1027" s="107">
        <f t="shared" si="408"/>
        <v>0</v>
      </c>
      <c r="AB1027" s="41"/>
      <c r="AC1027" s="184"/>
      <c r="AD1027" s="212">
        <f t="shared" si="407"/>
        <v>46039</v>
      </c>
      <c r="AE1027" s="387"/>
      <c r="AF1027" s="388"/>
      <c r="AG1027" s="388"/>
      <c r="AH1027" s="388"/>
      <c r="AI1027" s="388"/>
      <c r="AJ1027" s="388"/>
      <c r="AK1027" s="388"/>
      <c r="AL1027" s="388"/>
      <c r="AM1027" s="388"/>
      <c r="AN1027" s="388"/>
      <c r="AO1027" s="388"/>
      <c r="AP1027" s="388"/>
      <c r="AQ1027" s="388"/>
      <c r="AR1027" s="388"/>
      <c r="AS1027" s="388"/>
      <c r="AT1027" s="388"/>
      <c r="AU1027" s="388"/>
      <c r="AV1027" s="388"/>
      <c r="AW1027" s="388"/>
      <c r="AX1027" s="388"/>
      <c r="AY1027" s="388"/>
      <c r="AZ1027" s="388"/>
      <c r="BA1027" s="388"/>
      <c r="BB1027" s="389"/>
      <c r="BC1027" s="98">
        <v>1</v>
      </c>
      <c r="BD1027" s="74">
        <v>1</v>
      </c>
      <c r="BE1027" s="75">
        <f t="shared" si="405"/>
        <v>0</v>
      </c>
    </row>
    <row r="1028" spans="1:57" s="1" customFormat="1" ht="18" customHeight="1" x14ac:dyDescent="0.4">
      <c r="A1028" s="37" t="str">
        <f t="shared" si="398"/>
        <v>17Д</v>
      </c>
      <c r="B1028" s="183"/>
      <c r="C1028" s="41"/>
      <c r="D1028" s="184"/>
      <c r="E1028" s="282">
        <f t="shared" si="406"/>
        <v>46039</v>
      </c>
      <c r="F1028" s="335"/>
      <c r="G1028" s="336"/>
      <c r="H1028" s="336"/>
      <c r="I1028" s="336"/>
      <c r="J1028" s="336"/>
      <c r="K1028" s="336"/>
      <c r="L1028" s="336"/>
      <c r="M1028" s="336"/>
      <c r="N1028" s="336"/>
      <c r="O1028" s="336"/>
      <c r="P1028" s="336"/>
      <c r="Q1028" s="336"/>
      <c r="R1028" s="336"/>
      <c r="S1028" s="336"/>
      <c r="T1028" s="336"/>
      <c r="U1028" s="336"/>
      <c r="V1028" s="336"/>
      <c r="W1028" s="336"/>
      <c r="X1028" s="98">
        <v>1</v>
      </c>
      <c r="Y1028" s="74">
        <v>1</v>
      </c>
      <c r="Z1028" s="75">
        <f t="shared" si="404"/>
        <v>0</v>
      </c>
      <c r="AA1028" s="107">
        <f t="shared" si="408"/>
        <v>0</v>
      </c>
      <c r="AB1028" s="41"/>
      <c r="AC1028" s="184"/>
      <c r="AD1028" s="212">
        <f t="shared" si="407"/>
        <v>46039</v>
      </c>
      <c r="AE1028" s="387"/>
      <c r="AF1028" s="388"/>
      <c r="AG1028" s="388"/>
      <c r="AH1028" s="388"/>
      <c r="AI1028" s="388"/>
      <c r="AJ1028" s="388"/>
      <c r="AK1028" s="388"/>
      <c r="AL1028" s="388"/>
      <c r="AM1028" s="388"/>
      <c r="AN1028" s="388"/>
      <c r="AO1028" s="388"/>
      <c r="AP1028" s="388"/>
      <c r="AQ1028" s="388"/>
      <c r="AR1028" s="388"/>
      <c r="AS1028" s="388"/>
      <c r="AT1028" s="388"/>
      <c r="AU1028" s="388"/>
      <c r="AV1028" s="388"/>
      <c r="AW1028" s="388"/>
      <c r="AX1028" s="388"/>
      <c r="AY1028" s="388"/>
      <c r="AZ1028" s="388"/>
      <c r="BA1028" s="388"/>
      <c r="BB1028" s="389"/>
      <c r="BC1028" s="98">
        <v>1</v>
      </c>
      <c r="BD1028" s="74">
        <v>1</v>
      </c>
      <c r="BE1028" s="75">
        <f t="shared" si="405"/>
        <v>0</v>
      </c>
    </row>
    <row r="1029" spans="1:57" s="1" customFormat="1" ht="18" customHeight="1" x14ac:dyDescent="0.4">
      <c r="A1029" s="37" t="str">
        <f t="shared" si="398"/>
        <v>17Д</v>
      </c>
      <c r="B1029" s="183"/>
      <c r="C1029" s="41"/>
      <c r="D1029" s="184"/>
      <c r="E1029" s="282">
        <f t="shared" si="406"/>
        <v>46039</v>
      </c>
      <c r="F1029" s="335"/>
      <c r="G1029" s="336"/>
      <c r="H1029" s="336"/>
      <c r="I1029" s="336"/>
      <c r="J1029" s="336"/>
      <c r="K1029" s="336"/>
      <c r="L1029" s="336"/>
      <c r="M1029" s="336"/>
      <c r="N1029" s="336"/>
      <c r="O1029" s="336"/>
      <c r="P1029" s="336"/>
      <c r="Q1029" s="336"/>
      <c r="R1029" s="336"/>
      <c r="S1029" s="336"/>
      <c r="T1029" s="336"/>
      <c r="U1029" s="336"/>
      <c r="V1029" s="336"/>
      <c r="W1029" s="336"/>
      <c r="X1029" s="98">
        <v>1</v>
      </c>
      <c r="Y1029" s="74">
        <v>1</v>
      </c>
      <c r="Z1029" s="75">
        <f t="shared" si="404"/>
        <v>0</v>
      </c>
      <c r="AA1029" s="107">
        <f t="shared" si="408"/>
        <v>0</v>
      </c>
      <c r="AB1029" s="41"/>
      <c r="AC1029" s="184"/>
      <c r="AD1029" s="212">
        <f t="shared" si="407"/>
        <v>46039</v>
      </c>
      <c r="AE1029" s="387"/>
      <c r="AF1029" s="388"/>
      <c r="AG1029" s="388"/>
      <c r="AH1029" s="388"/>
      <c r="AI1029" s="388"/>
      <c r="AJ1029" s="388"/>
      <c r="AK1029" s="388"/>
      <c r="AL1029" s="388"/>
      <c r="AM1029" s="388"/>
      <c r="AN1029" s="388"/>
      <c r="AO1029" s="388"/>
      <c r="AP1029" s="388"/>
      <c r="AQ1029" s="388"/>
      <c r="AR1029" s="388"/>
      <c r="AS1029" s="388"/>
      <c r="AT1029" s="388"/>
      <c r="AU1029" s="388"/>
      <c r="AV1029" s="388"/>
      <c r="AW1029" s="388"/>
      <c r="AX1029" s="388"/>
      <c r="AY1029" s="388"/>
      <c r="AZ1029" s="388"/>
      <c r="BA1029" s="388"/>
      <c r="BB1029" s="389"/>
      <c r="BC1029" s="98">
        <v>1</v>
      </c>
      <c r="BD1029" s="74">
        <v>1</v>
      </c>
      <c r="BE1029" s="75">
        <f t="shared" si="405"/>
        <v>0</v>
      </c>
    </row>
    <row r="1030" spans="1:57" s="1" customFormat="1" ht="18" customHeight="1" x14ac:dyDescent="0.4">
      <c r="A1030" s="37" t="str">
        <f t="shared" si="398"/>
        <v>17Д</v>
      </c>
      <c r="B1030" s="183"/>
      <c r="C1030" s="41"/>
      <c r="D1030" s="184"/>
      <c r="E1030" s="282">
        <f t="shared" si="406"/>
        <v>46039</v>
      </c>
      <c r="F1030" s="335"/>
      <c r="G1030" s="336"/>
      <c r="H1030" s="336"/>
      <c r="I1030" s="336"/>
      <c r="J1030" s="336"/>
      <c r="K1030" s="336"/>
      <c r="L1030" s="336"/>
      <c r="M1030" s="336"/>
      <c r="N1030" s="336"/>
      <c r="O1030" s="336"/>
      <c r="P1030" s="336"/>
      <c r="Q1030" s="336"/>
      <c r="R1030" s="336"/>
      <c r="S1030" s="336"/>
      <c r="T1030" s="336"/>
      <c r="U1030" s="336"/>
      <c r="V1030" s="336"/>
      <c r="W1030" s="336"/>
      <c r="X1030" s="98">
        <v>1</v>
      </c>
      <c r="Y1030" s="74">
        <v>1</v>
      </c>
      <c r="Z1030" s="75">
        <f t="shared" si="404"/>
        <v>0</v>
      </c>
      <c r="AA1030" s="107">
        <f t="shared" si="408"/>
        <v>0</v>
      </c>
      <c r="AB1030" s="41"/>
      <c r="AC1030" s="184"/>
      <c r="AD1030" s="212">
        <f t="shared" si="407"/>
        <v>46039</v>
      </c>
      <c r="AE1030" s="387"/>
      <c r="AF1030" s="388"/>
      <c r="AG1030" s="388"/>
      <c r="AH1030" s="388"/>
      <c r="AI1030" s="388"/>
      <c r="AJ1030" s="388"/>
      <c r="AK1030" s="388"/>
      <c r="AL1030" s="388"/>
      <c r="AM1030" s="388"/>
      <c r="AN1030" s="388"/>
      <c r="AO1030" s="388"/>
      <c r="AP1030" s="388"/>
      <c r="AQ1030" s="388"/>
      <c r="AR1030" s="388"/>
      <c r="AS1030" s="388"/>
      <c r="AT1030" s="388"/>
      <c r="AU1030" s="388"/>
      <c r="AV1030" s="388"/>
      <c r="AW1030" s="388"/>
      <c r="AX1030" s="388"/>
      <c r="AY1030" s="388"/>
      <c r="AZ1030" s="388"/>
      <c r="BA1030" s="388"/>
      <c r="BB1030" s="389"/>
      <c r="BC1030" s="98">
        <v>1</v>
      </c>
      <c r="BD1030" s="74">
        <v>1</v>
      </c>
      <c r="BE1030" s="75">
        <f t="shared" si="405"/>
        <v>0</v>
      </c>
    </row>
    <row r="1031" spans="1:57" s="1" customFormat="1" ht="18" customHeight="1" thickBot="1" x14ac:dyDescent="0.45">
      <c r="A1031" s="37" t="str">
        <f t="shared" si="398"/>
        <v>17Д</v>
      </c>
      <c r="B1031" s="183"/>
      <c r="C1031" s="41"/>
      <c r="D1031" s="184"/>
      <c r="E1031" s="283">
        <f t="shared" si="406"/>
        <v>46039</v>
      </c>
      <c r="F1031" s="339"/>
      <c r="G1031" s="340"/>
      <c r="H1031" s="340"/>
      <c r="I1031" s="340"/>
      <c r="J1031" s="340"/>
      <c r="K1031" s="340"/>
      <c r="L1031" s="340"/>
      <c r="M1031" s="340"/>
      <c r="N1031" s="340"/>
      <c r="O1031" s="340"/>
      <c r="P1031" s="340"/>
      <c r="Q1031" s="340"/>
      <c r="R1031" s="340"/>
      <c r="S1031" s="340"/>
      <c r="T1031" s="340"/>
      <c r="U1031" s="340"/>
      <c r="V1031" s="340"/>
      <c r="W1031" s="340"/>
      <c r="X1031" s="99">
        <v>1</v>
      </c>
      <c r="Y1031" s="76">
        <v>1</v>
      </c>
      <c r="Z1031" s="77">
        <f t="shared" si="404"/>
        <v>0</v>
      </c>
      <c r="AA1031" s="107">
        <f t="shared" si="408"/>
        <v>0</v>
      </c>
      <c r="AB1031" s="41"/>
      <c r="AC1031" s="184"/>
      <c r="AD1031" s="211">
        <f t="shared" si="407"/>
        <v>46039</v>
      </c>
      <c r="AE1031" s="410"/>
      <c r="AF1031" s="411"/>
      <c r="AG1031" s="411"/>
      <c r="AH1031" s="411"/>
      <c r="AI1031" s="411"/>
      <c r="AJ1031" s="411"/>
      <c r="AK1031" s="411"/>
      <c r="AL1031" s="411"/>
      <c r="AM1031" s="411"/>
      <c r="AN1031" s="411"/>
      <c r="AO1031" s="411"/>
      <c r="AP1031" s="411"/>
      <c r="AQ1031" s="411"/>
      <c r="AR1031" s="411"/>
      <c r="AS1031" s="411"/>
      <c r="AT1031" s="411"/>
      <c r="AU1031" s="411"/>
      <c r="AV1031" s="411"/>
      <c r="AW1031" s="411"/>
      <c r="AX1031" s="411"/>
      <c r="AY1031" s="411"/>
      <c r="AZ1031" s="411"/>
      <c r="BA1031" s="411"/>
      <c r="BB1031" s="412"/>
      <c r="BC1031" s="99">
        <v>1</v>
      </c>
      <c r="BD1031" s="76">
        <v>1</v>
      </c>
      <c r="BE1031" s="75">
        <f t="shared" si="405"/>
        <v>0</v>
      </c>
    </row>
    <row r="1032" spans="1:57" s="1" customFormat="1" ht="23.25" customHeight="1" thickBot="1" x14ac:dyDescent="0.45">
      <c r="A1032" s="37" t="str">
        <f t="shared" si="398"/>
        <v>17Д</v>
      </c>
      <c r="B1032" s="193"/>
      <c r="C1032" s="47"/>
      <c r="D1032" s="47"/>
      <c r="E1032" s="47"/>
      <c r="F1032" s="78"/>
      <c r="G1032" s="78"/>
      <c r="H1032" s="78"/>
      <c r="I1032" s="80"/>
      <c r="J1032" s="80"/>
      <c r="K1032" s="80"/>
      <c r="L1032" s="80"/>
      <c r="M1032" s="80"/>
      <c r="N1032" s="80"/>
      <c r="O1032" s="78"/>
      <c r="P1032" s="81"/>
      <c r="Q1032" s="81"/>
      <c r="R1032" s="81"/>
      <c r="S1032" s="81"/>
      <c r="T1032" s="81"/>
      <c r="U1032" s="82"/>
      <c r="V1032" s="82"/>
      <c r="W1032" s="86"/>
      <c r="X1032" s="194"/>
      <c r="Y1032" s="83"/>
      <c r="Z1032" s="83"/>
      <c r="AA1032" s="78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84"/>
      <c r="AN1032" s="47"/>
      <c r="AO1032" s="78"/>
      <c r="AP1032" s="78"/>
      <c r="AQ1032" s="78"/>
      <c r="AR1032" s="84"/>
      <c r="AS1032" s="78"/>
      <c r="AT1032" s="85"/>
      <c r="AU1032" s="78"/>
      <c r="AV1032" s="83"/>
      <c r="AW1032" s="83"/>
      <c r="AX1032" s="78"/>
      <c r="AY1032" s="78"/>
      <c r="AZ1032" s="78"/>
      <c r="BA1032" s="78"/>
      <c r="BB1032" s="78"/>
      <c r="BC1032" s="78"/>
      <c r="BD1032" s="79"/>
      <c r="BE1032" s="79"/>
    </row>
    <row r="1033" spans="1:57" s="1" customFormat="1" ht="21.6" customHeight="1" thickBot="1" x14ac:dyDescent="0.45">
      <c r="A1033" s="37" t="s">
        <v>179</v>
      </c>
      <c r="B1033" s="59"/>
      <c r="C1033" s="51"/>
      <c r="D1033" s="51"/>
      <c r="E1033" s="51"/>
      <c r="F1033" s="158" t="s">
        <v>220</v>
      </c>
      <c r="G1033" s="51"/>
      <c r="H1033" s="51"/>
      <c r="I1033" s="156"/>
      <c r="J1033" s="156"/>
      <c r="K1033" s="156"/>
      <c r="L1033" s="156"/>
      <c r="M1033" s="156"/>
      <c r="N1033" s="156"/>
      <c r="O1033" s="91"/>
      <c r="P1033" s="52"/>
      <c r="Q1033" s="52"/>
      <c r="R1033" s="52"/>
      <c r="S1033" s="52"/>
      <c r="T1033" s="52"/>
      <c r="U1033" s="157"/>
      <c r="V1033" s="157"/>
      <c r="W1033" s="94"/>
      <c r="X1033" s="94"/>
      <c r="Y1033" s="51"/>
      <c r="Z1033" s="51"/>
      <c r="AA1033" s="157">
        <f>AA1016</f>
        <v>1</v>
      </c>
      <c r="AB1033" s="157">
        <f t="shared" ref="AB1033:AF1033" si="409">AB1016</f>
        <v>2</v>
      </c>
      <c r="AC1033" s="157">
        <f t="shared" si="409"/>
        <v>3</v>
      </c>
      <c r="AD1033" s="157">
        <f t="shared" si="409"/>
        <v>4</v>
      </c>
      <c r="AE1033" s="157">
        <f t="shared" si="409"/>
        <v>5</v>
      </c>
      <c r="AF1033" s="157">
        <f t="shared" si="409"/>
        <v>6</v>
      </c>
      <c r="AG1033" s="162" t="s">
        <v>123</v>
      </c>
      <c r="AH1033" s="162" t="s">
        <v>124</v>
      </c>
      <c r="AI1033" s="162" t="s">
        <v>125</v>
      </c>
      <c r="AJ1033" s="91" t="s">
        <v>126</v>
      </c>
      <c r="AK1033" s="198" t="s">
        <v>136</v>
      </c>
      <c r="AL1033" s="198" t="s">
        <v>137</v>
      </c>
      <c r="AM1033" s="198" t="s">
        <v>138</v>
      </c>
      <c r="AN1033" s="91"/>
      <c r="AO1033" s="91"/>
      <c r="AP1033" s="91"/>
      <c r="AQ1033" s="91"/>
      <c r="AR1033" s="91"/>
      <c r="AS1033" s="91"/>
      <c r="AT1033" s="91"/>
      <c r="AU1033" s="91"/>
      <c r="AV1033" s="91"/>
      <c r="AW1033" s="91"/>
      <c r="AX1033" s="91"/>
      <c r="AY1033" s="91"/>
      <c r="AZ1033" s="91"/>
      <c r="BA1033" s="91"/>
      <c r="BB1033" s="91"/>
      <c r="BC1033" s="91"/>
      <c r="BD1033" s="91"/>
      <c r="BE1033" s="91"/>
    </row>
    <row r="1034" spans="1:57" s="1" customFormat="1" ht="21.6" customHeight="1" x14ac:dyDescent="0.4">
      <c r="A1034" s="37" t="str">
        <f>A1033</f>
        <v>17Н</v>
      </c>
      <c r="B1034" s="12">
        <f>B1015</f>
        <v>46039</v>
      </c>
      <c r="C1034" s="97"/>
      <c r="D1034" s="97">
        <v>1</v>
      </c>
      <c r="E1034" s="29"/>
      <c r="F1034" s="151" t="str">
        <f>IFERROR(VLOOKUP($G1034,нормы!$A$14:$BC$57,2,0),"")</f>
        <v/>
      </c>
      <c r="G1034" s="93"/>
      <c r="H1034" s="54">
        <f>IF(C1034=1,"Кульков С.А.", IF(C1034=2,"Чудаков А.А.",IF(C1034=3,"Королев В.Н.",IF(C1034=4,"Николашин М.П.",IF(C1034=5," Кульков С.А.",IF(C1034=6,"А.А. Чудаков",IF(C1034=7,"В.Н. Королев",IF(C1034=8,"М.П. Николашин",0))))))))</f>
        <v>0</v>
      </c>
      <c r="I1034" s="88" t="s">
        <v>84</v>
      </c>
      <c r="J1034" s="332"/>
      <c r="K1034" s="30">
        <f>IFERROR(VLOOKUP($G1034,[1]нормы!$A$21:$BC$151,15,0),"")</f>
        <v>0</v>
      </c>
      <c r="L1034" s="31">
        <f>IFERROR(VLOOKUP($G1034,[1]нормы!$A$21:$BC$151,17,0),"")</f>
        <v>0</v>
      </c>
      <c r="M1034" s="310">
        <f>IFERROR(VLOOKUP($G1034,[1]нормы!$A$21:$BC$151,27,0),"")</f>
        <v>0</v>
      </c>
      <c r="N1034" s="311" t="str">
        <f>IFERROR(Y1034/Y1040*(1.1*J1034*I1039),"")</f>
        <v/>
      </c>
      <c r="O1034" s="300">
        <f>IFERROR(VLOOKUP($G1034,[1]нормы!$A$21:$BC$151,21,0),"")</f>
        <v>0</v>
      </c>
      <c r="P1034" s="35">
        <f>IFERROR(VLOOKUP($G1034,[1]нормы!$A$21:$BC$151,19,0),"")</f>
        <v>0</v>
      </c>
      <c r="Q1034" s="35">
        <f>IFERROR(VLOOKUP($G1034,[1]нормы!$A$21:$BC$151,23,0),"")</f>
        <v>0</v>
      </c>
      <c r="R1034" s="231">
        <f>IFERROR(VLOOKUP($G1034,[1]нормы!$A$21:$BC$151,29,0),"")</f>
        <v>0</v>
      </c>
      <c r="S1034" s="35">
        <f>IFERROR(VLOOKUP($G1034,[1]нормы!$A$21:$BC$151,31,0),"")</f>
        <v>0</v>
      </c>
      <c r="T1034" s="32">
        <f>IFERROR(VLOOKUP($G1034,[1]нормы!$A$21:$BC$151,25,0),"")</f>
        <v>0</v>
      </c>
      <c r="U1034" s="232" t="str">
        <f>IFERROR(W1034/(((100*Y1034/Y1040)*I1039)/100),"")</f>
        <v/>
      </c>
      <c r="V1034" s="234" t="str">
        <f>IFERROR(VLOOKUP($G1034,нормы!$A$14:$BC$57,38,0),"")</f>
        <v/>
      </c>
      <c r="W1034" s="136"/>
      <c r="X1034" s="236"/>
      <c r="Y1034" s="152" t="str">
        <f>IFERROR(VLOOKUP($G1034,нормы!$A$14:$BC$57,42,0)*W1034,"")</f>
        <v/>
      </c>
      <c r="Z1034" s="163">
        <f>IFERROR(VLOOKUP($G1034,нормы!$A$14:$BC$57,14,0)*W1034/1000,0)</f>
        <v>0</v>
      </c>
      <c r="AA1034" s="33"/>
      <c r="AB1034" s="36"/>
      <c r="AC1034" s="36"/>
      <c r="AD1034" s="36"/>
      <c r="AE1034" s="34"/>
      <c r="AF1034" s="159"/>
      <c r="AG1034" s="390"/>
      <c r="AH1034" s="393"/>
      <c r="AI1034" s="396"/>
      <c r="AJ1034" s="407">
        <f>AG1034+AH1034</f>
        <v>0</v>
      </c>
      <c r="AK1034" s="359"/>
      <c r="AL1034" s="359"/>
      <c r="AM1034" s="359"/>
      <c r="AN1034" s="287">
        <f>IFERROR(Y1034*AJ1034/Y1040,)</f>
        <v>0</v>
      </c>
      <c r="AO1034" s="197" t="str">
        <f>IFERROR(VLOOKUP($G1034,нормы!$A$14:$BC$57,53,0)*$W1034,"")</f>
        <v/>
      </c>
      <c r="AP1034" s="288">
        <f>IFERROR(Y1034*AI1034/Y1040,)</f>
        <v>0</v>
      </c>
      <c r="AQ1034" s="197" t="str">
        <f>IFERROR(VLOOKUP($G1034,нормы!$A$14:$BC$57,54,0)*$W1034,"")</f>
        <v/>
      </c>
      <c r="AR1034" s="288">
        <f>IFERROR(AS1034/SUM(AS1034:AS1039)*AL1034,0)</f>
        <v>0</v>
      </c>
      <c r="AS1034" s="197" t="str">
        <f>IFERROR(VLOOKUP($G1034,нормы!$A$14:$BC$57,55,0)*W1034,"")</f>
        <v/>
      </c>
      <c r="AT1034" s="288">
        <f>IFERROR(AU1034/SUM(AU1034:AU1039)*AM1034,0)</f>
        <v>0</v>
      </c>
      <c r="AU1034" s="197" t="str">
        <f>IFERROR(VLOOKUP($G1034,нормы!$A$14:$BI$57,56,0)*W1034,"")</f>
        <v/>
      </c>
      <c r="AV1034" s="288">
        <f>IFERROR(AW1034/SUM(AW1034:AW1039)*AK1034,0)</f>
        <v>0</v>
      </c>
      <c r="AW1034" s="202" t="str">
        <f>IFERROR(VLOOKUP($G1034,нормы!$A$14:$BI$57,57,0)*W1034,"")</f>
        <v/>
      </c>
      <c r="AX1034" s="33"/>
      <c r="AY1034" s="203" t="str">
        <f>IFERROR(VLOOKUP($G1034,нормы!$A$14:$BI$57,58,0)*W1034,"")</f>
        <v/>
      </c>
      <c r="AZ1034" s="204"/>
      <c r="BA1034" s="200" t="str">
        <f>IFERROR(VLOOKUP($G1034,нормы!$A$14:$BI$57,61,0)*$W1034,"")</f>
        <v/>
      </c>
      <c r="BB1034" s="33"/>
      <c r="BC1034" s="203" t="str">
        <f>IFERROR(VLOOKUP($G1034,нормы!$A$14:$BI$57,60,0)*W1034,"")</f>
        <v/>
      </c>
      <c r="BD1034" s="200" t="str">
        <f>IFERROR(VLOOKUP($G1034,нормы!$A$14:$BG$57,44,0),"")</f>
        <v/>
      </c>
      <c r="BE1034" s="199" t="str">
        <f>IFERROR(W1034/VLOOKUP($G1034,нормы!$A$14:$BI$57,45,0),"")</f>
        <v/>
      </c>
    </row>
    <row r="1035" spans="1:57" s="1" customFormat="1" ht="21.6" customHeight="1" x14ac:dyDescent="0.4">
      <c r="A1035" s="37" t="str">
        <f t="shared" ref="A1035:A1063" si="410">A1034</f>
        <v>17Н</v>
      </c>
      <c r="B1035" s="12">
        <f t="shared" ref="B1035:D1039" si="411">B1034</f>
        <v>46039</v>
      </c>
      <c r="C1035" s="97">
        <f t="shared" si="411"/>
        <v>0</v>
      </c>
      <c r="D1035" s="97">
        <f t="shared" si="411"/>
        <v>1</v>
      </c>
      <c r="E1035" s="54"/>
      <c r="F1035" s="151" t="str">
        <f>IFERROR(VLOOKUP($G1035,нормы!$A$14:$BC$57,2,0),"")</f>
        <v/>
      </c>
      <c r="G1035" s="93"/>
      <c r="H1035" s="54">
        <f t="shared" ref="H1035:H1039" si="412">IF(C1035=1,"Кульков С.А.", IF(C1035=2,"Чудаков А.А.",IF(C1035=3,"Королев В.Н.",IF(C1035=4,"Николашин М.П.",IF(C1035=5," Кульков С.А.",IF(C1035=6,"А.А. Чудаков",IF(C1035=7,"В.Н. Королев",IF(C1035=8,"М.П. Николашин",0))))))))</f>
        <v>0</v>
      </c>
      <c r="I1035" s="55"/>
      <c r="J1035" s="333"/>
      <c r="K1035" s="30">
        <f>IFERROR(VLOOKUP($G1035,[1]нормы!$A$21:$BC$151,15,0),"")</f>
        <v>0</v>
      </c>
      <c r="L1035" s="31">
        <f>IFERROR(VLOOKUP($G1035,[1]нормы!$A$21:$BC$151,17,0),"")</f>
        <v>0</v>
      </c>
      <c r="M1035" s="306">
        <f>IFERROR(VLOOKUP($G1035,[1]нормы!$A$21:$BC$151,27,0),"")</f>
        <v>0</v>
      </c>
      <c r="N1035" s="307" t="str">
        <f>IFERROR(Y1035/Y1040*(1.1*J1034*I1039),"")</f>
        <v/>
      </c>
      <c r="O1035" s="300">
        <f>IFERROR(VLOOKUP($G1035,[1]нормы!$A$21:$BC$151,21,0),"")</f>
        <v>0</v>
      </c>
      <c r="P1035" s="35">
        <f>IFERROR(VLOOKUP($G1035,[1]нормы!$A$21:$BC$151,19,0),"")</f>
        <v>0</v>
      </c>
      <c r="Q1035" s="35">
        <f>IFERROR(VLOOKUP($G1035,[1]нормы!$A$21:$BC$151,23,0),"")</f>
        <v>0</v>
      </c>
      <c r="R1035" s="231">
        <f>IFERROR(VLOOKUP($G1035,[1]нормы!$A$21:$BC$151,29,0),"")</f>
        <v>0</v>
      </c>
      <c r="S1035" s="35">
        <f>IFERROR(VLOOKUP($G1035,[1]нормы!$A$21:$BC$151,31,0),"")</f>
        <v>0</v>
      </c>
      <c r="T1035" s="32">
        <f>IFERROR(VLOOKUP($G1035,[1]нормы!$A$21:$BC$151,25,0),"")</f>
        <v>0</v>
      </c>
      <c r="U1035" s="233" t="str">
        <f>IFERROR(W1035/(((100*Y1035/Y1040)*I1039)/100),"")</f>
        <v/>
      </c>
      <c r="V1035" s="234" t="str">
        <f>IFERROR(VLOOKUP($G1035,нормы!$A$14:$BC$57,38,0),"")</f>
        <v/>
      </c>
      <c r="W1035" s="136"/>
      <c r="X1035" s="237"/>
      <c r="Y1035" s="152" t="str">
        <f>IFERROR(VLOOKUP($G1035,нормы!$A$14:$BC$57,42,0)*W1035,"")</f>
        <v/>
      </c>
      <c r="Z1035" s="163">
        <f>IFERROR(VLOOKUP($G1035,нормы!$A$14:$BC$57,14,0)*W1035/1000,0)</f>
        <v>0</v>
      </c>
      <c r="AA1035" s="142"/>
      <c r="AB1035" s="35"/>
      <c r="AC1035" s="35"/>
      <c r="AD1035" s="35"/>
      <c r="AE1035" s="31"/>
      <c r="AF1035" s="160"/>
      <c r="AG1035" s="391"/>
      <c r="AH1035" s="394"/>
      <c r="AI1035" s="397"/>
      <c r="AJ1035" s="408"/>
      <c r="AK1035" s="360"/>
      <c r="AL1035" s="360"/>
      <c r="AM1035" s="360"/>
      <c r="AN1035" s="289">
        <f>IFERROR(Y1035*AJ1034/Y1040,)</f>
        <v>0</v>
      </c>
      <c r="AO1035" s="197" t="str">
        <f>IFERROR(VLOOKUP($G1035,нормы!$A$14:$BC$57,53,0)*$W1035,"")</f>
        <v/>
      </c>
      <c r="AP1035" s="290">
        <f>IFERROR(Y1035*AI1034/Y1040,)</f>
        <v>0</v>
      </c>
      <c r="AQ1035" s="197" t="str">
        <f>IFERROR(VLOOKUP($G1035,нормы!$A$14:$BC$57,54,0)*$W1035,"")</f>
        <v/>
      </c>
      <c r="AR1035" s="290">
        <f>IFERROR(AS1035/SUM(AS1034:AS1039)*AL1034,0)</f>
        <v>0</v>
      </c>
      <c r="AS1035" s="197" t="str">
        <f>IFERROR(VLOOKUP($G1035,нормы!$A$14:$BC$57,55,0)*W1035,"")</f>
        <v/>
      </c>
      <c r="AT1035" s="290">
        <f>IFERROR(AU1035/SUM(AU1034:AU1039)*AM1034,0)</f>
        <v>0</v>
      </c>
      <c r="AU1035" s="197" t="str">
        <f>IFERROR(VLOOKUP($G1035,нормы!$A$14:$BI$57,56,0)*W1035,"")</f>
        <v/>
      </c>
      <c r="AV1035" s="290">
        <f>IFERROR(AW1035/SUM(AW1034:AW1039)*AK1034,0)</f>
        <v>0</v>
      </c>
      <c r="AW1035" s="202" t="str">
        <f>IFERROR(VLOOKUP($G1035,нормы!$A$14:$BI$57,57,0)*W1035,"")</f>
        <v/>
      </c>
      <c r="AX1035" s="30"/>
      <c r="AY1035" s="203" t="str">
        <f>IFERROR(VLOOKUP($G1035,нормы!$A$14:$BI$57,58,0)*W1035,"")</f>
        <v/>
      </c>
      <c r="AZ1035" s="205"/>
      <c r="BA1035" s="200" t="str">
        <f>IFERROR(VLOOKUP($G1035,нормы!$A$14:$BI$57,61,0)*$W1035,"")</f>
        <v/>
      </c>
      <c r="BB1035" s="30"/>
      <c r="BC1035" s="203" t="str">
        <f>IFERROR(VLOOKUP($G1035,нормы!$A$14:$BI$57,60,0)*W1035,"")</f>
        <v/>
      </c>
      <c r="BD1035" s="200" t="str">
        <f>IFERROR(VLOOKUP($G1035,нормы!$A$14:$BG$57,44,0),"")</f>
        <v/>
      </c>
      <c r="BE1035" s="199" t="str">
        <f>IFERROR(W1035/VLOOKUP($G1035,нормы!$A$14:$BI$57,45,0),"")</f>
        <v/>
      </c>
    </row>
    <row r="1036" spans="1:57" s="1" customFormat="1" ht="20.25" customHeight="1" x14ac:dyDescent="0.4">
      <c r="A1036" s="37" t="str">
        <f t="shared" si="410"/>
        <v>17Н</v>
      </c>
      <c r="B1036" s="12">
        <f t="shared" si="411"/>
        <v>46039</v>
      </c>
      <c r="C1036" s="97">
        <f t="shared" si="411"/>
        <v>0</v>
      </c>
      <c r="D1036" s="97">
        <f t="shared" si="411"/>
        <v>1</v>
      </c>
      <c r="E1036" s="54"/>
      <c r="F1036" s="151" t="str">
        <f>IFERROR(VLOOKUP($G1036,нормы!$A$14:$BC$57,2,0),"")</f>
        <v/>
      </c>
      <c r="G1036" s="38"/>
      <c r="H1036" s="54">
        <f t="shared" si="412"/>
        <v>0</v>
      </c>
      <c r="I1036" s="89" t="s">
        <v>85</v>
      </c>
      <c r="J1036" s="333"/>
      <c r="K1036" s="30">
        <f>IFERROR(VLOOKUP($G1036,[1]нормы!$A$21:$BC$151,15,0),"")</f>
        <v>0</v>
      </c>
      <c r="L1036" s="31">
        <f>IFERROR(VLOOKUP($G1036,[1]нормы!$A$21:$BC$151,17,0),"")</f>
        <v>0</v>
      </c>
      <c r="M1036" s="306">
        <f>IFERROR(VLOOKUP($G1036,[1]нормы!$A$21:$BC$151,27,0),"")</f>
        <v>0</v>
      </c>
      <c r="N1036" s="307" t="str">
        <f>IFERROR(Y1036/Y1040*(1.1*J1034*I1039),"")</f>
        <v/>
      </c>
      <c r="O1036" s="300">
        <f>IFERROR(VLOOKUP($G1036,[1]нормы!$A$21:$BC$151,21,0),"")</f>
        <v>0</v>
      </c>
      <c r="P1036" s="35">
        <f>IFERROR(VLOOKUP($G1036,[1]нормы!$A$21:$BC$151,19,0),"")</f>
        <v>0</v>
      </c>
      <c r="Q1036" s="35">
        <f>IFERROR(VLOOKUP($G1036,[1]нормы!$A$21:$BC$151,23,0),"")</f>
        <v>0</v>
      </c>
      <c r="R1036" s="231">
        <f>IFERROR(VLOOKUP($G1036,[1]нормы!$A$21:$BC$151,29,0),"")</f>
        <v>0</v>
      </c>
      <c r="S1036" s="35">
        <f>IFERROR(VLOOKUP($G1036,[1]нормы!$A$21:$BC$151,31,0),"")</f>
        <v>0</v>
      </c>
      <c r="T1036" s="32">
        <f>IFERROR(VLOOKUP($G1036,[1]нормы!$A$21:$BC$151,25,0),"")</f>
        <v>0</v>
      </c>
      <c r="U1036" s="233" t="str">
        <f>IFERROR(W1036/(((100*Y1036/Y1040)*I1039)/100),"")</f>
        <v/>
      </c>
      <c r="V1036" s="234" t="str">
        <f>IFERROR(VLOOKUP($G1036,нормы!$A$14:$BC$57,38,0),"")</f>
        <v/>
      </c>
      <c r="W1036" s="136"/>
      <c r="X1036" s="237"/>
      <c r="Y1036" s="152" t="str">
        <f>IFERROR(VLOOKUP($G1036,нормы!$A$14:$BC$57,42,0)*W1036,"")</f>
        <v/>
      </c>
      <c r="Z1036" s="163">
        <f>IFERROR(VLOOKUP($G1036,нормы!$A$14:$BC$57,14,0)*W1036/1000,0)</f>
        <v>0</v>
      </c>
      <c r="AA1036" s="30"/>
      <c r="AB1036" s="35"/>
      <c r="AC1036" s="35"/>
      <c r="AD1036" s="35"/>
      <c r="AE1036" s="31"/>
      <c r="AF1036" s="160"/>
      <c r="AG1036" s="391"/>
      <c r="AH1036" s="394"/>
      <c r="AI1036" s="397"/>
      <c r="AJ1036" s="408"/>
      <c r="AK1036" s="360"/>
      <c r="AL1036" s="360"/>
      <c r="AM1036" s="360"/>
      <c r="AN1036" s="289">
        <f>IFERROR(Y1036*AJ1034/Y1040,)</f>
        <v>0</v>
      </c>
      <c r="AO1036" s="197" t="str">
        <f>IFERROR(VLOOKUP($G1036,нормы!$A$14:$BC$57,53,0)*$W1036,"")</f>
        <v/>
      </c>
      <c r="AP1036" s="290">
        <f>IFERROR(Y1036*AI1034/Y1040,)</f>
        <v>0</v>
      </c>
      <c r="AQ1036" s="197" t="str">
        <f>IFERROR(VLOOKUP($G1036,нормы!$A$14:$BC$57,54,0)*$W1036,"")</f>
        <v/>
      </c>
      <c r="AR1036" s="290">
        <f>IFERROR(AS1036/SUM(AS1034:AS1039)*AL1034,0)</f>
        <v>0</v>
      </c>
      <c r="AS1036" s="197" t="str">
        <f>IFERROR(VLOOKUP($G1036,нормы!$A$14:$BC$57,55,0)*W1036,"")</f>
        <v/>
      </c>
      <c r="AT1036" s="290">
        <f>IFERROR(AU1036/SUM(AU1034:AU1039)*AM1034,0)</f>
        <v>0</v>
      </c>
      <c r="AU1036" s="197" t="str">
        <f>IFERROR(VLOOKUP($G1036,нормы!$A$14:$BI$57,56,0)*W1036,"")</f>
        <v/>
      </c>
      <c r="AV1036" s="290">
        <f>IFERROR(AW1036/SUM(AW1034:AW1039)*AK1034,0)</f>
        <v>0</v>
      </c>
      <c r="AW1036" s="202" t="str">
        <f>IFERROR(VLOOKUP($G1036,нормы!$A$14:$BI$57,57,0)*W1036,"")</f>
        <v/>
      </c>
      <c r="AX1036" s="30"/>
      <c r="AY1036" s="203" t="str">
        <f>IFERROR(VLOOKUP($G1036,нормы!$A$14:$BI$57,58,0)*W1036,"")</f>
        <v/>
      </c>
      <c r="AZ1036" s="205"/>
      <c r="BA1036" s="200" t="str">
        <f>IFERROR(VLOOKUP($G1036,нормы!$A$14:$BI$57,61,0)*$W1036,"")</f>
        <v/>
      </c>
      <c r="BB1036" s="30"/>
      <c r="BC1036" s="203" t="str">
        <f>IFERROR(VLOOKUP($G1036,нормы!$A$14:$BI$57,60,0)*W1036,"")</f>
        <v/>
      </c>
      <c r="BD1036" s="200" t="str">
        <f>IFERROR(VLOOKUP($G1036,нормы!$A$14:$BG$57,44,0),"")</f>
        <v/>
      </c>
      <c r="BE1036" s="199" t="str">
        <f>IFERROR(W1036/VLOOKUP($G1036,нормы!$A$14:$BI$57,45,0),"")</f>
        <v/>
      </c>
    </row>
    <row r="1037" spans="1:57" s="1" customFormat="1" ht="20.25" customHeight="1" x14ac:dyDescent="0.4">
      <c r="A1037" s="37" t="str">
        <f t="shared" si="410"/>
        <v>17Н</v>
      </c>
      <c r="B1037" s="12">
        <f t="shared" si="411"/>
        <v>46039</v>
      </c>
      <c r="C1037" s="97">
        <f t="shared" si="411"/>
        <v>0</v>
      </c>
      <c r="D1037" s="97">
        <f t="shared" si="411"/>
        <v>1</v>
      </c>
      <c r="E1037" s="54"/>
      <c r="F1037" s="151" t="str">
        <f>IFERROR(VLOOKUP($G1037,нормы!$A$14:$BC$57,2,0),"")</f>
        <v/>
      </c>
      <c r="G1037" s="93"/>
      <c r="H1037" s="54">
        <f t="shared" si="412"/>
        <v>0</v>
      </c>
      <c r="I1037" s="55"/>
      <c r="J1037" s="333"/>
      <c r="K1037" s="30">
        <f>IFERROR(VLOOKUP($G1037,[1]нормы!$A$21:$BC$151,15,0),"")</f>
        <v>0</v>
      </c>
      <c r="L1037" s="31">
        <f>IFERROR(VLOOKUP($G1037,[1]нормы!$A$21:$BC$151,17,0),"")</f>
        <v>0</v>
      </c>
      <c r="M1037" s="306">
        <f>IFERROR(VLOOKUP($G1037,[1]нормы!$A$21:$BC$151,27,0),"")</f>
        <v>0</v>
      </c>
      <c r="N1037" s="307" t="str">
        <f>IFERROR(Y1037/Y1040*(1.1*J1034*I1042),"")</f>
        <v/>
      </c>
      <c r="O1037" s="300">
        <f>IFERROR(VLOOKUP($G1037,[1]нормы!$A$21:$BC$151,21,0),"")</f>
        <v>0</v>
      </c>
      <c r="P1037" s="35">
        <f>IFERROR(VLOOKUP($G1037,[1]нормы!$A$21:$BC$151,19,0),"")</f>
        <v>0</v>
      </c>
      <c r="Q1037" s="35">
        <f>IFERROR(VLOOKUP($G1037,[1]нормы!$A$21:$BC$151,23,0),"")</f>
        <v>0</v>
      </c>
      <c r="R1037" s="231">
        <f>IFERROR(VLOOKUP($G1037,[1]нормы!$A$21:$BC$151,29,0),"")</f>
        <v>0</v>
      </c>
      <c r="S1037" s="35">
        <f>IFERROR(VLOOKUP($G1037,[1]нормы!$A$21:$BC$151,31,0),"")</f>
        <v>0</v>
      </c>
      <c r="T1037" s="32">
        <f>IFERROR(VLOOKUP($G1037,[1]нормы!$A$21:$BC$151,25,0),"")</f>
        <v>0</v>
      </c>
      <c r="U1037" s="233" t="str">
        <f>IFERROR(W1037/(((100*Y1037/Y1040)*I1039)/100),"")</f>
        <v/>
      </c>
      <c r="V1037" s="234" t="str">
        <f>IFERROR(VLOOKUP($G1037,нормы!$A$14:$BC$57,38,0),"")</f>
        <v/>
      </c>
      <c r="W1037" s="136"/>
      <c r="X1037" s="237"/>
      <c r="Y1037" s="152" t="str">
        <f>IFERROR(VLOOKUP($G1037,нормы!$A$14:$BC$57,42,0)*W1037,"")</f>
        <v/>
      </c>
      <c r="Z1037" s="163">
        <f>IFERROR(VLOOKUP($G1037,нормы!$A$14:$BC$57,14,0)*W1037/1000,0)</f>
        <v>0</v>
      </c>
      <c r="AA1037" s="30"/>
      <c r="AB1037" s="35"/>
      <c r="AC1037" s="35"/>
      <c r="AD1037" s="35"/>
      <c r="AE1037" s="31"/>
      <c r="AF1037" s="160"/>
      <c r="AG1037" s="391"/>
      <c r="AH1037" s="394"/>
      <c r="AI1037" s="397"/>
      <c r="AJ1037" s="408"/>
      <c r="AK1037" s="360"/>
      <c r="AL1037" s="360"/>
      <c r="AM1037" s="360"/>
      <c r="AN1037" s="289">
        <f>IFERROR(Y1037*AJ1034/Y1040,)</f>
        <v>0</v>
      </c>
      <c r="AO1037" s="197" t="str">
        <f>IFERROR(VLOOKUP($G1037,нормы!$A$14:$BC$57,53,0)*$W1037,"")</f>
        <v/>
      </c>
      <c r="AP1037" s="290">
        <f>IFERROR(Y1037*AI1034/Y1040,)</f>
        <v>0</v>
      </c>
      <c r="AQ1037" s="197" t="str">
        <f>IFERROR(VLOOKUP($G1037,нормы!$A$14:$BC$57,54,0)*$W1037,"")</f>
        <v/>
      </c>
      <c r="AR1037" s="290">
        <f>IFERROR(AS1037/SUM(AS1034:AS1039)*AL1034,0)</f>
        <v>0</v>
      </c>
      <c r="AS1037" s="197" t="str">
        <f>IFERROR(VLOOKUP($G1037,нормы!$A$14:$BC$57,55,0)*W1037,"")</f>
        <v/>
      </c>
      <c r="AT1037" s="290">
        <f>IFERROR(AU1037/SUM(AU1034:AU1039)*AM1034,0)</f>
        <v>0</v>
      </c>
      <c r="AU1037" s="197" t="str">
        <f>IFERROR(VLOOKUP($G1037,нормы!$A$14:$BI$57,56,0)*W1037,"")</f>
        <v/>
      </c>
      <c r="AV1037" s="290">
        <f>IFERROR(AW1037/SUM(AW1034:AW1039)*AK1034,0)</f>
        <v>0</v>
      </c>
      <c r="AW1037" s="202" t="str">
        <f>IFERROR(VLOOKUP($G1037,нормы!$A$14:$BI$57,57,0)*W1037,"")</f>
        <v/>
      </c>
      <c r="AX1037" s="30"/>
      <c r="AY1037" s="203" t="str">
        <f>IFERROR(VLOOKUP($G1037,нормы!$A$14:$BI$57,58,0)*W1037,"")</f>
        <v/>
      </c>
      <c r="AZ1037" s="205"/>
      <c r="BA1037" s="200" t="str">
        <f>IFERROR(VLOOKUP($G1037,нормы!$A$14:$BI$57,61,0)*$W1037,"")</f>
        <v/>
      </c>
      <c r="BB1037" s="30"/>
      <c r="BC1037" s="203" t="str">
        <f>IFERROR(VLOOKUP($G1037,нормы!$A$14:$BI$57,60,0)*W1037,"")</f>
        <v/>
      </c>
      <c r="BD1037" s="200" t="str">
        <f>IFERROR(VLOOKUP($G1037,нормы!$A$14:$BG$57,44,0),"")</f>
        <v/>
      </c>
      <c r="BE1037" s="199" t="str">
        <f>IFERROR(W1037/VLOOKUP($G1037,нормы!$A$14:$BI$57,45,0),"")</f>
        <v/>
      </c>
    </row>
    <row r="1038" spans="1:57" s="1" customFormat="1" ht="20.25" customHeight="1" x14ac:dyDescent="0.4">
      <c r="A1038" s="37" t="str">
        <f t="shared" si="410"/>
        <v>17Н</v>
      </c>
      <c r="B1038" s="12">
        <f t="shared" si="411"/>
        <v>46039</v>
      </c>
      <c r="C1038" s="97">
        <f t="shared" si="411"/>
        <v>0</v>
      </c>
      <c r="D1038" s="97">
        <f t="shared" si="411"/>
        <v>1</v>
      </c>
      <c r="E1038" s="54"/>
      <c r="F1038" s="151" t="str">
        <f>IFERROR(VLOOKUP($G1038,нормы!$A$14:$BC$57,2,0),"")</f>
        <v/>
      </c>
      <c r="G1038" s="38"/>
      <c r="H1038" s="54">
        <f t="shared" si="412"/>
        <v>0</v>
      </c>
      <c r="I1038" s="89" t="s">
        <v>73</v>
      </c>
      <c r="J1038" s="333"/>
      <c r="K1038" s="30">
        <f>IFERROR(VLOOKUP($G1038,[1]нормы!$A$21:$BC$151,15,0),"")</f>
        <v>0</v>
      </c>
      <c r="L1038" s="31">
        <f>IFERROR(VLOOKUP($G1038,[1]нормы!$A$21:$BC$151,17,0),"")</f>
        <v>0</v>
      </c>
      <c r="M1038" s="306">
        <f>IFERROR(VLOOKUP($G1038,[1]нормы!$A$21:$BC$151,27,0),"")</f>
        <v>0</v>
      </c>
      <c r="N1038" s="307" t="str">
        <f>IFERROR(Y1038/Y1040*(1.1*J1034*I1043),"")</f>
        <v/>
      </c>
      <c r="O1038" s="300">
        <f>IFERROR(VLOOKUP($G1038,[1]нормы!$A$21:$BC$151,21,0),"")</f>
        <v>0</v>
      </c>
      <c r="P1038" s="35">
        <f>IFERROR(VLOOKUP($G1038,[1]нормы!$A$21:$BC$151,19,0),"")</f>
        <v>0</v>
      </c>
      <c r="Q1038" s="35">
        <f>IFERROR(VLOOKUP($G1038,[1]нормы!$A$21:$BC$151,23,0),"")</f>
        <v>0</v>
      </c>
      <c r="R1038" s="231">
        <f>IFERROR(VLOOKUP($G1038,[1]нормы!$A$21:$BC$151,29,0),"")</f>
        <v>0</v>
      </c>
      <c r="S1038" s="35">
        <f>IFERROR(VLOOKUP($G1038,[1]нормы!$A$21:$BC$151,31,0),"")</f>
        <v>0</v>
      </c>
      <c r="T1038" s="32">
        <f>IFERROR(VLOOKUP($G1038,[1]нормы!$A$21:$BC$151,25,0),"")</f>
        <v>0</v>
      </c>
      <c r="U1038" s="233" t="str">
        <f>IFERROR(W1038/(((100*Y1038/Y1040)*I1039)/100),"")</f>
        <v/>
      </c>
      <c r="V1038" s="234" t="str">
        <f>IFERROR(VLOOKUP($G1038,нормы!$A$14:$BC$57,38,0),"")</f>
        <v/>
      </c>
      <c r="W1038" s="136"/>
      <c r="X1038" s="237"/>
      <c r="Y1038" s="152" t="str">
        <f>IFERROR(VLOOKUP($G1038,нормы!$A$14:$BC$57,42,0)*W1038,"")</f>
        <v/>
      </c>
      <c r="Z1038" s="163">
        <f>IFERROR(VLOOKUP($G1038,нормы!$A$14:$BC$57,14,0)*W1038/1000,0)</f>
        <v>0</v>
      </c>
      <c r="AA1038" s="30"/>
      <c r="AB1038" s="35"/>
      <c r="AC1038" s="35"/>
      <c r="AD1038" s="35"/>
      <c r="AE1038" s="31"/>
      <c r="AF1038" s="160"/>
      <c r="AG1038" s="391"/>
      <c r="AH1038" s="394"/>
      <c r="AI1038" s="397"/>
      <c r="AJ1038" s="408"/>
      <c r="AK1038" s="360"/>
      <c r="AL1038" s="360"/>
      <c r="AM1038" s="360"/>
      <c r="AN1038" s="289">
        <f>IFERROR(Y1038*AJ1034/Y1040,)</f>
        <v>0</v>
      </c>
      <c r="AO1038" s="197" t="str">
        <f>IFERROR(VLOOKUP($G1038,нормы!$A$14:$BC$57,53,0)*$W1038,"")</f>
        <v/>
      </c>
      <c r="AP1038" s="290">
        <f>IFERROR(Y1038*AI1034/Y1040,)</f>
        <v>0</v>
      </c>
      <c r="AQ1038" s="197" t="str">
        <f>IFERROR(VLOOKUP($G1038,нормы!$A$14:$BC$57,54,0)*$W1038,"")</f>
        <v/>
      </c>
      <c r="AR1038" s="290">
        <f>IFERROR(AS1038/SUM(AS1034:AS1039)*AL1034,0)</f>
        <v>0</v>
      </c>
      <c r="AS1038" s="197" t="str">
        <f>IFERROR(VLOOKUP($G1038,нормы!$A$14:$BC$57,55,0)*W1038,"")</f>
        <v/>
      </c>
      <c r="AT1038" s="290">
        <f>IFERROR(AU1038/SUM(AU1034:AU1039)*AM1034,0)</f>
        <v>0</v>
      </c>
      <c r="AU1038" s="197" t="str">
        <f>IFERROR(VLOOKUP($G1038,нормы!$A$14:$BI$57,56,0)*W1038,"")</f>
        <v/>
      </c>
      <c r="AV1038" s="290">
        <f>IFERROR(AW1038/SUM(AW1034:AW1039)*AK1034,0)</f>
        <v>0</v>
      </c>
      <c r="AW1038" s="202" t="str">
        <f>IFERROR(VLOOKUP($G1038,нормы!$A$14:$BI$57,57,0)*W1038,"")</f>
        <v/>
      </c>
      <c r="AX1038" s="30"/>
      <c r="AY1038" s="203" t="str">
        <f>IFERROR(VLOOKUP($G1038,нормы!$A$14:$BI$57,58,0)*W1038,"")</f>
        <v/>
      </c>
      <c r="AZ1038" s="205"/>
      <c r="BA1038" s="200" t="str">
        <f>IFERROR(VLOOKUP($G1038,нормы!$A$14:$BI$57,61,0)*$W1038,"")</f>
        <v/>
      </c>
      <c r="BB1038" s="30"/>
      <c r="BC1038" s="203" t="str">
        <f>IFERROR(VLOOKUP($G1038,нормы!$A$14:$BI$57,60,0)*W1038,"")</f>
        <v/>
      </c>
      <c r="BD1038" s="200" t="str">
        <f>IFERROR(VLOOKUP($G1038,нормы!$A$14:$BG$57,44,0),"")</f>
        <v/>
      </c>
      <c r="BE1038" s="199" t="str">
        <f>IFERROR(W1038/VLOOKUP($G1038,нормы!$A$14:$BI$57,45,0),"")</f>
        <v/>
      </c>
    </row>
    <row r="1039" spans="1:57" s="1" customFormat="1" ht="21" customHeight="1" thickBot="1" x14ac:dyDescent="0.45">
      <c r="A1039" s="37" t="str">
        <f t="shared" si="410"/>
        <v>17Н</v>
      </c>
      <c r="B1039" s="12">
        <f t="shared" si="411"/>
        <v>46039</v>
      </c>
      <c r="C1039" s="97">
        <f t="shared" si="411"/>
        <v>0</v>
      </c>
      <c r="D1039" s="97">
        <f t="shared" si="411"/>
        <v>1</v>
      </c>
      <c r="E1039" s="54"/>
      <c r="F1039" s="151" t="str">
        <f>IFERROR(VLOOKUP($G1039,нормы!$A$14:$BC$57,2,0),"")</f>
        <v/>
      </c>
      <c r="G1039" s="93"/>
      <c r="H1039" s="63">
        <f t="shared" si="412"/>
        <v>0</v>
      </c>
      <c r="I1039" s="153">
        <f>I1035+I1037</f>
        <v>0</v>
      </c>
      <c r="J1039" s="334"/>
      <c r="K1039" s="30">
        <f>IFERROR(VLOOKUP($G1039,[1]нормы!$A$21:$BC$151,15,0),"")</f>
        <v>0</v>
      </c>
      <c r="L1039" s="31">
        <f>IFERROR(VLOOKUP($G1039,[1]нормы!$A$21:$BC$151,17,0),"")</f>
        <v>0</v>
      </c>
      <c r="M1039" s="308">
        <f>IFERROR(VLOOKUP($G1039,[1]нормы!$A$21:$BC$151,27,0),"")</f>
        <v>0</v>
      </c>
      <c r="N1039" s="309" t="str">
        <f>IFERROR(Y1039/Y1040*(1.1*J1034*I1044),"")</f>
        <v/>
      </c>
      <c r="O1039" s="300">
        <f>IFERROR(VLOOKUP($G1039,[1]нормы!$A$21:$BC$151,21,0),"")</f>
        <v>0</v>
      </c>
      <c r="P1039" s="35">
        <f>IFERROR(VLOOKUP($G1039,[1]нормы!$A$21:$BC$151,19,0),"")</f>
        <v>0</v>
      </c>
      <c r="Q1039" s="35">
        <f>IFERROR(VLOOKUP($G1039,[1]нормы!$A$21:$BC$151,23,0),"")</f>
        <v>0</v>
      </c>
      <c r="R1039" s="231">
        <f>IFERROR(VLOOKUP($G1039,[1]нормы!$A$21:$BC$151,29,0),"")</f>
        <v>0</v>
      </c>
      <c r="S1039" s="35">
        <f>IFERROR(VLOOKUP($G1039,[1]нормы!$A$21:$BC$151,31,0),"")</f>
        <v>0</v>
      </c>
      <c r="T1039" s="32">
        <f>IFERROR(VLOOKUP($G1039,[1]нормы!$A$21:$BC$151,25,0),"")</f>
        <v>0</v>
      </c>
      <c r="U1039" s="235" t="str">
        <f>IFERROR(W1039/(((100*Y1039/Y1040)*I1039)/100),"")</f>
        <v/>
      </c>
      <c r="V1039" s="234" t="str">
        <f>IFERROR(VLOOKUP($G1039,нормы!$A$14:$BC$57,38,0),"")</f>
        <v/>
      </c>
      <c r="W1039" s="154"/>
      <c r="X1039" s="238"/>
      <c r="Y1039" s="152" t="str">
        <f>IFERROR(VLOOKUP($G1039,нормы!$A$14:$BC$57,42,0)*W1039,"")</f>
        <v/>
      </c>
      <c r="Z1039" s="163">
        <f>IFERROR(VLOOKUP($G1039,нормы!$A$14:$BC$57,14,0)*W1039/1000,0)</f>
        <v>0</v>
      </c>
      <c r="AA1039" s="56"/>
      <c r="AB1039" s="58"/>
      <c r="AC1039" s="58"/>
      <c r="AD1039" s="58"/>
      <c r="AE1039" s="57"/>
      <c r="AF1039" s="161"/>
      <c r="AG1039" s="392"/>
      <c r="AH1039" s="395"/>
      <c r="AI1039" s="398"/>
      <c r="AJ1039" s="409"/>
      <c r="AK1039" s="361"/>
      <c r="AL1039" s="361"/>
      <c r="AM1039" s="361"/>
      <c r="AN1039" s="291">
        <f>IFERROR(Y1039*AJ1034/Y1040,)</f>
        <v>0</v>
      </c>
      <c r="AO1039" s="197" t="str">
        <f>IFERROR(VLOOKUP($G1039,нормы!$A$14:$BC$57,53,0)*$W1039,"")</f>
        <v/>
      </c>
      <c r="AP1039" s="292">
        <f>IFERROR(Y1039*AI1034/Y1040,)</f>
        <v>0</v>
      </c>
      <c r="AQ1039" s="197" t="str">
        <f>IFERROR(VLOOKUP($G1039,нормы!$A$14:$BC$57,54,0)*$W1039,"")</f>
        <v/>
      </c>
      <c r="AR1039" s="290">
        <f>IFERROR(AS1039/SUM(AS1034:AS1039)*AL1034,0)</f>
        <v>0</v>
      </c>
      <c r="AS1039" s="197" t="str">
        <f>IFERROR(VLOOKUP($G1039,нормы!$A$14:$BC$57,55,0)*W1039,"")</f>
        <v/>
      </c>
      <c r="AT1039" s="292">
        <f>IFERROR(AU1039/SUM(AU1034:AU1039)*AM1034,0)</f>
        <v>0</v>
      </c>
      <c r="AU1039" s="197" t="str">
        <f>IFERROR(VLOOKUP($G1039,нормы!$A$14:$BI$57,56,0)*W1039,"")</f>
        <v/>
      </c>
      <c r="AV1039" s="292">
        <f>IFERROR(AW1039/SUM(AW1034:AW1039)*AK1034,0)</f>
        <v>0</v>
      </c>
      <c r="AW1039" s="202" t="str">
        <f>IFERROR(VLOOKUP($G1039,нормы!$A$14:$BI$57,57,0)*W1039,"")</f>
        <v/>
      </c>
      <c r="AX1039" s="56"/>
      <c r="AY1039" s="203" t="str">
        <f>IFERROR(VLOOKUP($G1039,нормы!$A$14:$BI$57,58,0)*W1039,"")</f>
        <v/>
      </c>
      <c r="AZ1039" s="206"/>
      <c r="BA1039" s="200" t="str">
        <f>IFERROR(VLOOKUP($G1039,нормы!$A$14:$BI$57,61,0)*$W1039,"")</f>
        <v/>
      </c>
      <c r="BB1039" s="56"/>
      <c r="BC1039" s="203" t="str">
        <f>IFERROR(VLOOKUP($G1039,нормы!$A$14:$BI$57,60,0)*W1039,"")</f>
        <v/>
      </c>
      <c r="BD1039" s="200" t="str">
        <f>IFERROR(VLOOKUP($G1039,нормы!$A$14:$BG$57,44,0),"")</f>
        <v/>
      </c>
      <c r="BE1039" s="199" t="str">
        <f>IFERROR(W1039/VLOOKUP($G1039,нормы!$A$14:$BI$57,45,0),"")</f>
        <v/>
      </c>
    </row>
    <row r="1040" spans="1:57" s="1" customFormat="1" ht="29.4" customHeight="1" thickBot="1" x14ac:dyDescent="0.45">
      <c r="A1040" s="37" t="str">
        <f t="shared" si="410"/>
        <v>17Н</v>
      </c>
      <c r="B1040" s="59"/>
      <c r="C1040" s="51"/>
      <c r="D1040" s="51"/>
      <c r="E1040" s="51"/>
      <c r="F1040" s="295" t="s">
        <v>149</v>
      </c>
      <c r="G1040" s="51"/>
      <c r="H1040" s="51"/>
      <c r="I1040" s="60"/>
      <c r="J1040" s="60"/>
      <c r="K1040" s="319" t="s">
        <v>213</v>
      </c>
      <c r="L1040" s="316"/>
      <c r="M1040" s="303" t="s">
        <v>213</v>
      </c>
      <c r="N1040" s="317">
        <f>SUM(N1034:N1039)</f>
        <v>0</v>
      </c>
      <c r="O1040" s="304" t="s">
        <v>216</v>
      </c>
      <c r="P1040" s="318">
        <f>N1040*8.937/1000</f>
        <v>0</v>
      </c>
      <c r="Q1040" s="305" t="s">
        <v>215</v>
      </c>
      <c r="R1040" s="61"/>
      <c r="S1040" s="61"/>
      <c r="T1040" s="61"/>
      <c r="U1040" s="109"/>
      <c r="V1040" s="109"/>
      <c r="W1040" s="94"/>
      <c r="X1040" s="155"/>
      <c r="Y1040" s="96">
        <f>SUM(Y1034:Y1039)</f>
        <v>0</v>
      </c>
      <c r="Z1040" s="164">
        <f>SUM(Z1034:Z1039)</f>
        <v>0</v>
      </c>
      <c r="AA1040" s="62"/>
      <c r="AB1040" s="62"/>
      <c r="AC1040" s="62"/>
      <c r="AD1040" s="62"/>
      <c r="AE1040" s="62"/>
      <c r="AF1040" s="62"/>
      <c r="AG1040" s="162" t="s">
        <v>140</v>
      </c>
      <c r="AH1040" s="162" t="s">
        <v>141</v>
      </c>
      <c r="AI1040" s="162" t="s">
        <v>142</v>
      </c>
      <c r="AJ1040" s="91" t="s">
        <v>126</v>
      </c>
      <c r="AK1040" s="198" t="s">
        <v>136</v>
      </c>
      <c r="AL1040" s="198" t="s">
        <v>137</v>
      </c>
      <c r="AM1040" s="198" t="s">
        <v>138</v>
      </c>
      <c r="AN1040" s="91"/>
      <c r="AO1040" s="91"/>
      <c r="AP1040" s="91"/>
      <c r="AQ1040" s="91"/>
      <c r="AR1040" s="91"/>
      <c r="AS1040" s="91"/>
      <c r="AT1040" s="91"/>
      <c r="AU1040" s="91"/>
      <c r="AV1040" s="91"/>
      <c r="AW1040" s="91"/>
      <c r="AX1040" s="91"/>
      <c r="AY1040" s="91"/>
      <c r="AZ1040" s="91"/>
      <c r="BA1040" s="91"/>
      <c r="BB1040" s="91"/>
      <c r="BC1040" s="91"/>
      <c r="BD1040" s="91"/>
      <c r="BE1040" s="53" t="str">
        <f>IFERROR(W1040/VLOOKUP($G1040,нормы!$A$14:$BI$15,28,0),"")</f>
        <v/>
      </c>
    </row>
    <row r="1041" spans="1:57" s="1" customFormat="1" ht="21.6" customHeight="1" x14ac:dyDescent="0.4">
      <c r="A1041" s="37" t="str">
        <f t="shared" si="410"/>
        <v>17Н</v>
      </c>
      <c r="B1041" s="12">
        <f>B1039</f>
        <v>46039</v>
      </c>
      <c r="C1041" s="97"/>
      <c r="D1041" s="97">
        <v>2</v>
      </c>
      <c r="E1041" s="29"/>
      <c r="F1041" s="151" t="str">
        <f>IFERROR(VLOOKUP($G1041,нормы!$A$14:$BC$57,2,0),"")</f>
        <v/>
      </c>
      <c r="G1041" s="93"/>
      <c r="H1041" s="54">
        <f>IF(C1041=1,"Кульков С.А.", IF(C1041=2,"Чудаков А.А.",IF(C1041=3,"Королев В.Н.",IF(C1041=4,"Николашин М.П.",IF(C1041=5," Кульков С.А.",IF(C1041=6,"А.А. Чудаков",IF(C1041=7,"В.Н. Королев",IF(C1041=8,"М.П. Николашин",0))))))))</f>
        <v>0</v>
      </c>
      <c r="I1041" s="88" t="s">
        <v>211</v>
      </c>
      <c r="J1041" s="332"/>
      <c r="K1041" s="30">
        <f>IFERROR(VLOOKUP($G1041,[1]нормы!$A$21:$BC$151,15,0),"")</f>
        <v>0</v>
      </c>
      <c r="L1041" s="31">
        <f>IFERROR(VLOOKUP($G1041,[1]нормы!$A$21:$BC$151,17,0),"")</f>
        <v>0</v>
      </c>
      <c r="M1041" s="310">
        <f>IFERROR(VLOOKUP($G1041,[1]нормы!$A$21:$BC$151,27,0),"")</f>
        <v>0</v>
      </c>
      <c r="N1041" s="311" t="str">
        <f>IFERROR(Y1041/Y1047*(1.1*J1041*I1046),"")</f>
        <v/>
      </c>
      <c r="O1041" s="300">
        <f>IFERROR(VLOOKUP($G1041,[1]нормы!$A$21:$BC$151,21,0),"")</f>
        <v>0</v>
      </c>
      <c r="P1041" s="35">
        <f>IFERROR(VLOOKUP($G1041,[1]нормы!$A$21:$BC$151,19,0),"")</f>
        <v>0</v>
      </c>
      <c r="Q1041" s="35">
        <f>IFERROR(VLOOKUP($G1041,[1]нормы!$A$21:$BC$151,23,0),"")</f>
        <v>0</v>
      </c>
      <c r="R1041" s="231">
        <f>IFERROR(VLOOKUP($G1041,[1]нормы!$A$21:$BC$151,29,0),"")</f>
        <v>0</v>
      </c>
      <c r="S1041" s="35">
        <f>IFERROR(VLOOKUP($G1041,[1]нормы!$A$21:$BC$151,31,0),"")</f>
        <v>0</v>
      </c>
      <c r="T1041" s="32">
        <f>IFERROR(VLOOKUP($G1041,[1]нормы!$A$21:$BC$151,25,0),"")</f>
        <v>0</v>
      </c>
      <c r="U1041" s="232" t="str">
        <f>IFERROR(W1041/(((100*Y1041/Y1047)*I1046)/100),"")</f>
        <v/>
      </c>
      <c r="V1041" s="234" t="str">
        <f>IFERROR(VLOOKUP($G1041,нормы!$A$14:$BC$57,38,0),"")</f>
        <v/>
      </c>
      <c r="W1041" s="136"/>
      <c r="X1041" s="236"/>
      <c r="Y1041" s="152" t="str">
        <f>IFERROR(VLOOKUP($G1041,нормы!$A$14:$BC$57,42,0)*W1041,"")</f>
        <v/>
      </c>
      <c r="Z1041" s="163">
        <f>IFERROR(VLOOKUP($G1041,нормы!$A$14:$BC$57,14,0)*W1041/1000,0)</f>
        <v>0</v>
      </c>
      <c r="AA1041" s="33"/>
      <c r="AB1041" s="36"/>
      <c r="AC1041" s="36"/>
      <c r="AD1041" s="36"/>
      <c r="AE1041" s="34"/>
      <c r="AF1041" s="159"/>
      <c r="AG1041" s="390"/>
      <c r="AH1041" s="393"/>
      <c r="AI1041" s="396"/>
      <c r="AJ1041" s="407">
        <f>AG1041+AH1041</f>
        <v>0</v>
      </c>
      <c r="AK1041" s="359"/>
      <c r="AL1041" s="359"/>
      <c r="AM1041" s="359"/>
      <c r="AN1041" s="287">
        <f>IFERROR(Y1041*AJ1041/Y1047,)</f>
        <v>0</v>
      </c>
      <c r="AO1041" s="197" t="str">
        <f>IFERROR(VLOOKUP($G1041,нормы!$A$14:$BC$57,53,0)*$W1041,"")</f>
        <v/>
      </c>
      <c r="AP1041" s="288">
        <f>IFERROR(Y1041*AI1041/Y1047,)</f>
        <v>0</v>
      </c>
      <c r="AQ1041" s="197" t="str">
        <f>IFERROR(VLOOKUP($G1041,нормы!$A$14:$BC$57,54,0)*$W1041,"")</f>
        <v/>
      </c>
      <c r="AR1041" s="288">
        <f>IFERROR(AS1041/SUM(AS1041:AS1046)*AL1041,0)</f>
        <v>0</v>
      </c>
      <c r="AS1041" s="197" t="str">
        <f>IFERROR(VLOOKUP($G1041,нормы!$A$14:$BC$57,55,0)*W1041,"")</f>
        <v/>
      </c>
      <c r="AT1041" s="288">
        <f>IFERROR(AU1041/SUM(AU1041:AU1046)*AM1041,0)</f>
        <v>0</v>
      </c>
      <c r="AU1041" s="197" t="str">
        <f>IFERROR(VLOOKUP($G1041,нормы!$A$14:$BI$57,56,0)*W1041,"")</f>
        <v/>
      </c>
      <c r="AV1041" s="288">
        <f>IFERROR(AW1041/SUM(AW1041:AW1046)*AK1041,0)</f>
        <v>0</v>
      </c>
      <c r="AW1041" s="202" t="str">
        <f>IFERROR(VLOOKUP($G1041,нормы!$A$14:$BI$57,57,0)*W1041,"")</f>
        <v/>
      </c>
      <c r="AX1041" s="33"/>
      <c r="AY1041" s="203" t="str">
        <f>IFERROR(VLOOKUP($G1041,нормы!$A$14:$BI$57,58,0)*W1041,"")</f>
        <v/>
      </c>
      <c r="AZ1041" s="204"/>
      <c r="BA1041" s="200" t="str">
        <f>IFERROR(VLOOKUP($G1041,нормы!$A$14:$BI$57,61,0)*$W1041,"")</f>
        <v/>
      </c>
      <c r="BB1041" s="33"/>
      <c r="BC1041" s="203" t="str">
        <f>IFERROR(VLOOKUP($G1041,нормы!$A$14:$BI$57,60,0)*W1041,"")</f>
        <v/>
      </c>
      <c r="BD1041" s="200" t="str">
        <f>IFERROR(VLOOKUP($G1041,нормы!$A$14:$BG$57,44,0),"")</f>
        <v/>
      </c>
      <c r="BE1041" s="199" t="str">
        <f>IFERROR(W1041/VLOOKUP($G1041,нормы!$A$14:$BI$57,45,0),"")</f>
        <v/>
      </c>
    </row>
    <row r="1042" spans="1:57" s="1" customFormat="1" ht="21.6" customHeight="1" x14ac:dyDescent="0.4">
      <c r="A1042" s="37" t="str">
        <f t="shared" si="410"/>
        <v>17Н</v>
      </c>
      <c r="B1042" s="12">
        <f t="shared" ref="B1042:D1046" si="413">B1041</f>
        <v>46039</v>
      </c>
      <c r="C1042" s="97">
        <f t="shared" si="413"/>
        <v>0</v>
      </c>
      <c r="D1042" s="97">
        <f t="shared" si="413"/>
        <v>2</v>
      </c>
      <c r="E1042" s="54"/>
      <c r="F1042" s="151" t="str">
        <f>IFERROR(VLOOKUP($G1042,нормы!$A$14:$BC$57,2,0),"")</f>
        <v/>
      </c>
      <c r="G1042" s="93"/>
      <c r="H1042" s="54">
        <f t="shared" ref="H1042:H1046" si="414">IF(C1042=1,"Кульков С.А.", IF(C1042=2,"Чудаков А.А.",IF(C1042=3,"Королев В.Н.",IF(C1042=4,"Николашин М.П.",IF(C1042=5," Кульков С.А.",IF(C1042=6,"А.А. Чудаков",IF(C1042=7,"В.Н. Королев",IF(C1042=8,"М.П. Николашин",0))))))))</f>
        <v>0</v>
      </c>
      <c r="I1042" s="55"/>
      <c r="J1042" s="333"/>
      <c r="K1042" s="30">
        <f>IFERROR(VLOOKUP($G1042,[1]нормы!$A$21:$BC$151,15,0),"")</f>
        <v>0</v>
      </c>
      <c r="L1042" s="31">
        <f>IFERROR(VLOOKUP($G1042,[1]нормы!$A$21:$BC$151,17,0),"")</f>
        <v>0</v>
      </c>
      <c r="M1042" s="306">
        <f>IFERROR(VLOOKUP($G1042,[1]нормы!$A$21:$BC$151,27,0),"")</f>
        <v>0</v>
      </c>
      <c r="N1042" s="307" t="str">
        <f>IFERROR(Y1042/Y1047*(1.1*J1041*I1046),"")</f>
        <v/>
      </c>
      <c r="O1042" s="300">
        <f>IFERROR(VLOOKUP($G1042,[1]нормы!$A$21:$BC$151,21,0),"")</f>
        <v>0</v>
      </c>
      <c r="P1042" s="35">
        <f>IFERROR(VLOOKUP($G1042,[1]нормы!$A$21:$BC$151,19,0),"")</f>
        <v>0</v>
      </c>
      <c r="Q1042" s="35">
        <f>IFERROR(VLOOKUP($G1042,[1]нормы!$A$21:$BC$151,23,0),"")</f>
        <v>0</v>
      </c>
      <c r="R1042" s="231">
        <f>IFERROR(VLOOKUP($G1042,[1]нормы!$A$21:$BC$151,29,0),"")</f>
        <v>0</v>
      </c>
      <c r="S1042" s="35">
        <f>IFERROR(VLOOKUP($G1042,[1]нормы!$A$21:$BC$151,31,0),"")</f>
        <v>0</v>
      </c>
      <c r="T1042" s="32">
        <f>IFERROR(VLOOKUP($G1042,[1]нормы!$A$21:$BC$151,25,0),"")</f>
        <v>0</v>
      </c>
      <c r="U1042" s="233" t="str">
        <f>IFERROR(W1042/(((100*Y1042/Y1047)*I1046)/100),"")</f>
        <v/>
      </c>
      <c r="V1042" s="234" t="str">
        <f>IFERROR(VLOOKUP($G1042,нормы!$A$14:$BC$57,38,0),"")</f>
        <v/>
      </c>
      <c r="W1042" s="136"/>
      <c r="X1042" s="237"/>
      <c r="Y1042" s="152" t="str">
        <f>IFERROR(VLOOKUP($G1042,нормы!$A$14:$BC$57,42,0)*W1042,"")</f>
        <v/>
      </c>
      <c r="Z1042" s="163">
        <f>IFERROR(VLOOKUP($G1042,нормы!$A$14:$BC$57,14,0)*W1042/1000,0)</f>
        <v>0</v>
      </c>
      <c r="AA1042" s="142"/>
      <c r="AB1042" s="35"/>
      <c r="AC1042" s="35"/>
      <c r="AD1042" s="35"/>
      <c r="AE1042" s="31"/>
      <c r="AF1042" s="160"/>
      <c r="AG1042" s="391"/>
      <c r="AH1042" s="394"/>
      <c r="AI1042" s="397"/>
      <c r="AJ1042" s="408"/>
      <c r="AK1042" s="360"/>
      <c r="AL1042" s="360"/>
      <c r="AM1042" s="360"/>
      <c r="AN1042" s="289">
        <f>IFERROR(Y1042*AJ1041/Y1047,)</f>
        <v>0</v>
      </c>
      <c r="AO1042" s="197" t="str">
        <f>IFERROR(VLOOKUP($G1042,нормы!$A$14:$BC$57,53,0)*$W1042,"")</f>
        <v/>
      </c>
      <c r="AP1042" s="290">
        <f>IFERROR(Y1042*AI1041/Y1047,)</f>
        <v>0</v>
      </c>
      <c r="AQ1042" s="197" t="str">
        <f>IFERROR(VLOOKUP($G1042,нормы!$A$14:$BC$57,54,0)*$W1042,"")</f>
        <v/>
      </c>
      <c r="AR1042" s="290">
        <f>IFERROR(AS1042/SUM(AS1041:AS1046)*AL1041,0)</f>
        <v>0</v>
      </c>
      <c r="AS1042" s="197" t="str">
        <f>IFERROR(VLOOKUP($G1042,нормы!$A$14:$BC$57,55,0)*W1042,"")</f>
        <v/>
      </c>
      <c r="AT1042" s="290">
        <f>IFERROR(AU1042/SUM(AU1041:AU1046)*AM1041,0)</f>
        <v>0</v>
      </c>
      <c r="AU1042" s="197" t="str">
        <f>IFERROR(VLOOKUP($G1042,нормы!$A$14:$BI$57,56,0)*W1042,"")</f>
        <v/>
      </c>
      <c r="AV1042" s="290">
        <f>IFERROR(AW1042/SUM(AW1041:AW1046)*AK1041,0)</f>
        <v>0</v>
      </c>
      <c r="AW1042" s="202" t="str">
        <f>IFERROR(VLOOKUP($G1042,нормы!$A$14:$BI$57,57,0)*W1042,"")</f>
        <v/>
      </c>
      <c r="AX1042" s="30"/>
      <c r="AY1042" s="203" t="str">
        <f>IFERROR(VLOOKUP($G1042,нормы!$A$14:$BI$57,58,0)*W1042,"")</f>
        <v/>
      </c>
      <c r="AZ1042" s="205"/>
      <c r="BA1042" s="200" t="str">
        <f>IFERROR(VLOOKUP($G1042,нормы!$A$14:$BI$57,61,0)*$W1042,"")</f>
        <v/>
      </c>
      <c r="BB1042" s="30"/>
      <c r="BC1042" s="203" t="str">
        <f>IFERROR(VLOOKUP($G1042,нормы!$A$14:$BI$57,60,0)*W1042,"")</f>
        <v/>
      </c>
      <c r="BD1042" s="200" t="str">
        <f>IFERROR(VLOOKUP($G1042,нормы!$A$14:$BG$57,44,0),"")</f>
        <v/>
      </c>
      <c r="BE1042" s="199" t="str">
        <f>IFERROR(W1042/VLOOKUP($G1042,нормы!$A$14:$BI$57,45,0),"")</f>
        <v/>
      </c>
    </row>
    <row r="1043" spans="1:57" s="1" customFormat="1" ht="20.25" customHeight="1" x14ac:dyDescent="0.4">
      <c r="A1043" s="37" t="str">
        <f t="shared" si="410"/>
        <v>17Н</v>
      </c>
      <c r="B1043" s="12">
        <f t="shared" si="413"/>
        <v>46039</v>
      </c>
      <c r="C1043" s="97">
        <f t="shared" si="413"/>
        <v>0</v>
      </c>
      <c r="D1043" s="97">
        <f t="shared" si="413"/>
        <v>2</v>
      </c>
      <c r="E1043" s="54"/>
      <c r="F1043" s="151" t="str">
        <f>IFERROR(VLOOKUP($G1043,нормы!$A$14:$BC$57,2,0),"")</f>
        <v/>
      </c>
      <c r="G1043" s="38"/>
      <c r="H1043" s="54">
        <f t="shared" si="414"/>
        <v>0</v>
      </c>
      <c r="I1043" s="89" t="s">
        <v>212</v>
      </c>
      <c r="J1043" s="333"/>
      <c r="K1043" s="30">
        <f>IFERROR(VLOOKUP($G1043,[1]нормы!$A$21:$BC$151,15,0),"")</f>
        <v>0</v>
      </c>
      <c r="L1043" s="31">
        <f>IFERROR(VLOOKUP($G1043,[1]нормы!$A$21:$BC$151,17,0),"")</f>
        <v>0</v>
      </c>
      <c r="M1043" s="306">
        <f>IFERROR(VLOOKUP($G1043,[1]нормы!$A$21:$BC$151,27,0),"")</f>
        <v>0</v>
      </c>
      <c r="N1043" s="307" t="str">
        <f>IFERROR(Y1043/Y1047*(1.1*J1041*I1046),"")</f>
        <v/>
      </c>
      <c r="O1043" s="300">
        <f>IFERROR(VLOOKUP($G1043,[1]нормы!$A$21:$BC$151,21,0),"")</f>
        <v>0</v>
      </c>
      <c r="P1043" s="35">
        <f>IFERROR(VLOOKUP($G1043,[1]нормы!$A$21:$BC$151,19,0),"")</f>
        <v>0</v>
      </c>
      <c r="Q1043" s="35">
        <f>IFERROR(VLOOKUP($G1043,[1]нормы!$A$21:$BC$151,23,0),"")</f>
        <v>0</v>
      </c>
      <c r="R1043" s="231">
        <f>IFERROR(VLOOKUP($G1043,[1]нормы!$A$21:$BC$151,29,0),"")</f>
        <v>0</v>
      </c>
      <c r="S1043" s="35">
        <f>IFERROR(VLOOKUP($G1043,[1]нормы!$A$21:$BC$151,31,0),"")</f>
        <v>0</v>
      </c>
      <c r="T1043" s="32">
        <f>IFERROR(VLOOKUP($G1043,[1]нормы!$A$21:$BC$151,25,0),"")</f>
        <v>0</v>
      </c>
      <c r="U1043" s="233" t="str">
        <f>IFERROR(W1043/(((100*Y1043/Y1047)*I1046)/100),"")</f>
        <v/>
      </c>
      <c r="V1043" s="234" t="str">
        <f>IFERROR(VLOOKUP($G1043,нормы!$A$14:$BC$57,38,0),"")</f>
        <v/>
      </c>
      <c r="W1043" s="136"/>
      <c r="X1043" s="237"/>
      <c r="Y1043" s="152" t="str">
        <f>IFERROR(VLOOKUP($G1043,нормы!$A$14:$BC$57,42,0)*W1043,"")</f>
        <v/>
      </c>
      <c r="Z1043" s="163">
        <f>IFERROR(VLOOKUP($G1043,нормы!$A$14:$BC$57,14,0)*W1043/1000,0)</f>
        <v>0</v>
      </c>
      <c r="AA1043" s="30"/>
      <c r="AB1043" s="35"/>
      <c r="AC1043" s="35"/>
      <c r="AD1043" s="35"/>
      <c r="AE1043" s="31"/>
      <c r="AF1043" s="160"/>
      <c r="AG1043" s="391"/>
      <c r="AH1043" s="394"/>
      <c r="AI1043" s="397"/>
      <c r="AJ1043" s="408"/>
      <c r="AK1043" s="360"/>
      <c r="AL1043" s="360"/>
      <c r="AM1043" s="360"/>
      <c r="AN1043" s="289">
        <f>IFERROR(Y1043*AJ1041/Y1047,)</f>
        <v>0</v>
      </c>
      <c r="AO1043" s="197" t="str">
        <f>IFERROR(VLOOKUP($G1043,нормы!$A$14:$BC$57,53,0)*$W1043,"")</f>
        <v/>
      </c>
      <c r="AP1043" s="290">
        <f>IFERROR(Y1043*AI1041/Y1047,)</f>
        <v>0</v>
      </c>
      <c r="AQ1043" s="197" t="str">
        <f>IFERROR(VLOOKUP($G1043,нормы!$A$14:$BC$57,54,0)*$W1043,"")</f>
        <v/>
      </c>
      <c r="AR1043" s="290">
        <f>IFERROR(AS1043/SUM(AS1041:AS1046)*AL1041,0)</f>
        <v>0</v>
      </c>
      <c r="AS1043" s="197" t="str">
        <f>IFERROR(VLOOKUP($G1043,нормы!$A$14:$BC$57,55,0)*W1043,"")</f>
        <v/>
      </c>
      <c r="AT1043" s="290">
        <f>IFERROR(AU1043/SUM(AU1041:AU1046)*AM1041,0)</f>
        <v>0</v>
      </c>
      <c r="AU1043" s="197" t="str">
        <f>IFERROR(VLOOKUP($G1043,нормы!$A$14:$BI$57,56,0)*W1043,"")</f>
        <v/>
      </c>
      <c r="AV1043" s="290">
        <f>IFERROR(AW1043/SUM(AW1041:AW1046)*AK1041,0)</f>
        <v>0</v>
      </c>
      <c r="AW1043" s="202" t="str">
        <f>IFERROR(VLOOKUP($G1043,нормы!$A$14:$BI$57,57,0)*W1043,"")</f>
        <v/>
      </c>
      <c r="AX1043" s="30"/>
      <c r="AY1043" s="203" t="str">
        <f>IFERROR(VLOOKUP($G1043,нормы!$A$14:$BI$57,58,0)*W1043,"")</f>
        <v/>
      </c>
      <c r="AZ1043" s="205"/>
      <c r="BA1043" s="200" t="str">
        <f>IFERROR(VLOOKUP($G1043,нормы!$A$14:$BI$57,61,0)*$W1043,"")</f>
        <v/>
      </c>
      <c r="BB1043" s="30"/>
      <c r="BC1043" s="203" t="str">
        <f>IFERROR(VLOOKUP($G1043,нормы!$A$14:$BI$57,60,0)*W1043,"")</f>
        <v/>
      </c>
      <c r="BD1043" s="200" t="str">
        <f>IFERROR(VLOOKUP($G1043,нормы!$A$14:$BG$57,44,0),"")</f>
        <v/>
      </c>
      <c r="BE1043" s="199" t="str">
        <f>IFERROR(W1043/VLOOKUP($G1043,нормы!$A$14:$BI$57,45,0),"")</f>
        <v/>
      </c>
    </row>
    <row r="1044" spans="1:57" s="1" customFormat="1" ht="20.25" customHeight="1" x14ac:dyDescent="0.4">
      <c r="A1044" s="37" t="str">
        <f t="shared" si="410"/>
        <v>17Н</v>
      </c>
      <c r="B1044" s="12">
        <f t="shared" si="413"/>
        <v>46039</v>
      </c>
      <c r="C1044" s="97">
        <f t="shared" si="413"/>
        <v>0</v>
      </c>
      <c r="D1044" s="97">
        <f t="shared" si="413"/>
        <v>2</v>
      </c>
      <c r="E1044" s="54"/>
      <c r="F1044" s="151" t="str">
        <f>IFERROR(VLOOKUP($G1044,нормы!$A$14:$BC$57,2,0),"")</f>
        <v/>
      </c>
      <c r="G1044" s="93"/>
      <c r="H1044" s="54">
        <f t="shared" si="414"/>
        <v>0</v>
      </c>
      <c r="I1044" s="55"/>
      <c r="J1044" s="333"/>
      <c r="K1044" s="30">
        <f>IFERROR(VLOOKUP($G1044,[1]нормы!$A$21:$BC$151,15,0),"")</f>
        <v>0</v>
      </c>
      <c r="L1044" s="31">
        <f>IFERROR(VLOOKUP($G1044,[1]нормы!$A$21:$BC$151,17,0),"")</f>
        <v>0</v>
      </c>
      <c r="M1044" s="306">
        <f>IFERROR(VLOOKUP($G1044,[1]нормы!$A$21:$BC$151,27,0),"")</f>
        <v>0</v>
      </c>
      <c r="N1044" s="307" t="str">
        <f>IFERROR(Y1044/Y1047*(1.1*J1041*I1049),"")</f>
        <v/>
      </c>
      <c r="O1044" s="300">
        <f>IFERROR(VLOOKUP($G1044,[1]нормы!$A$21:$BC$151,21,0),"")</f>
        <v>0</v>
      </c>
      <c r="P1044" s="35">
        <f>IFERROR(VLOOKUP($G1044,[1]нормы!$A$21:$BC$151,19,0),"")</f>
        <v>0</v>
      </c>
      <c r="Q1044" s="35">
        <f>IFERROR(VLOOKUP($G1044,[1]нормы!$A$21:$BC$151,23,0),"")</f>
        <v>0</v>
      </c>
      <c r="R1044" s="231">
        <f>IFERROR(VLOOKUP($G1044,[1]нормы!$A$21:$BC$151,29,0),"")</f>
        <v>0</v>
      </c>
      <c r="S1044" s="35">
        <f>IFERROR(VLOOKUP($G1044,[1]нормы!$A$21:$BC$151,31,0),"")</f>
        <v>0</v>
      </c>
      <c r="T1044" s="32">
        <f>IFERROR(VLOOKUP($G1044,[1]нормы!$A$21:$BC$151,25,0),"")</f>
        <v>0</v>
      </c>
      <c r="U1044" s="233" t="str">
        <f>IFERROR(W1044/(((100*Y1044/Y1047)*I1046)/100),"")</f>
        <v/>
      </c>
      <c r="V1044" s="234" t="str">
        <f>IFERROR(VLOOKUP($G1044,нормы!$A$14:$BC$57,38,0),"")</f>
        <v/>
      </c>
      <c r="W1044" s="136"/>
      <c r="X1044" s="237"/>
      <c r="Y1044" s="152" t="str">
        <f>IFERROR(VLOOKUP($G1044,нормы!$A$14:$BC$57,42,0)*W1044,"")</f>
        <v/>
      </c>
      <c r="Z1044" s="163">
        <f>IFERROR(VLOOKUP($G1044,нормы!$A$14:$BC$57,14,0)*W1044/1000,0)</f>
        <v>0</v>
      </c>
      <c r="AA1044" s="30"/>
      <c r="AB1044" s="35"/>
      <c r="AC1044" s="35"/>
      <c r="AD1044" s="35"/>
      <c r="AE1044" s="31"/>
      <c r="AF1044" s="160"/>
      <c r="AG1044" s="391"/>
      <c r="AH1044" s="394"/>
      <c r="AI1044" s="397"/>
      <c r="AJ1044" s="408"/>
      <c r="AK1044" s="360"/>
      <c r="AL1044" s="360"/>
      <c r="AM1044" s="360"/>
      <c r="AN1044" s="289">
        <f>IFERROR(Y1044*AJ1041/Y1047,)</f>
        <v>0</v>
      </c>
      <c r="AO1044" s="197" t="str">
        <f>IFERROR(VLOOKUP($G1044,нормы!$A$14:$BC$57,53,0)*$W1044,"")</f>
        <v/>
      </c>
      <c r="AP1044" s="290">
        <f>IFERROR(Y1044*AI1041/Y1047,)</f>
        <v>0</v>
      </c>
      <c r="AQ1044" s="197" t="str">
        <f>IFERROR(VLOOKUP($G1044,нормы!$A$14:$BC$57,54,0)*$W1044,"")</f>
        <v/>
      </c>
      <c r="AR1044" s="290">
        <f>IFERROR(AS1044/SUM(AS1041:AS1046)*AL1041,0)</f>
        <v>0</v>
      </c>
      <c r="AS1044" s="197" t="str">
        <f>IFERROR(VLOOKUP($G1044,нормы!$A$14:$BC$57,55,0)*W1044,"")</f>
        <v/>
      </c>
      <c r="AT1044" s="290">
        <f>IFERROR(AU1044/SUM(AU1041:AU1046)*AM1041,0)</f>
        <v>0</v>
      </c>
      <c r="AU1044" s="197" t="str">
        <f>IFERROR(VLOOKUP($G1044,нормы!$A$14:$BI$57,56,0)*W1044,"")</f>
        <v/>
      </c>
      <c r="AV1044" s="290">
        <f>IFERROR(AW1044/SUM(AW1041:AW1046)*AK1041,0)</f>
        <v>0</v>
      </c>
      <c r="AW1044" s="202" t="str">
        <f>IFERROR(VLOOKUP($G1044,нормы!$A$14:$BI$57,57,0)*W1044,"")</f>
        <v/>
      </c>
      <c r="AX1044" s="30"/>
      <c r="AY1044" s="203" t="str">
        <f>IFERROR(VLOOKUP($G1044,нормы!$A$14:$BI$57,58,0)*W1044,"")</f>
        <v/>
      </c>
      <c r="AZ1044" s="205"/>
      <c r="BA1044" s="200" t="str">
        <f>IFERROR(VLOOKUP($G1044,нормы!$A$14:$BI$57,61,0)*$W1044,"")</f>
        <v/>
      </c>
      <c r="BB1044" s="30"/>
      <c r="BC1044" s="203" t="str">
        <f>IFERROR(VLOOKUP($G1044,нормы!$A$14:$BI$57,60,0)*W1044,"")</f>
        <v/>
      </c>
      <c r="BD1044" s="200" t="str">
        <f>IFERROR(VLOOKUP($G1044,нормы!$A$14:$BG$57,44,0),"")</f>
        <v/>
      </c>
      <c r="BE1044" s="199" t="str">
        <f>IFERROR(W1044/VLOOKUP($G1044,нормы!$A$14:$BI$57,45,0),"")</f>
        <v/>
      </c>
    </row>
    <row r="1045" spans="1:57" s="1" customFormat="1" ht="20.25" customHeight="1" x14ac:dyDescent="0.4">
      <c r="A1045" s="37" t="str">
        <f t="shared" si="410"/>
        <v>17Н</v>
      </c>
      <c r="B1045" s="12">
        <f t="shared" si="413"/>
        <v>46039</v>
      </c>
      <c r="C1045" s="97">
        <f t="shared" si="413"/>
        <v>0</v>
      </c>
      <c r="D1045" s="97">
        <f t="shared" si="413"/>
        <v>2</v>
      </c>
      <c r="E1045" s="54"/>
      <c r="F1045" s="151" t="str">
        <f>IFERROR(VLOOKUP($G1045,нормы!$A$14:$BC$57,2,0),"")</f>
        <v/>
      </c>
      <c r="G1045" s="38"/>
      <c r="H1045" s="54">
        <f t="shared" si="414"/>
        <v>0</v>
      </c>
      <c r="I1045" s="89" t="s">
        <v>73</v>
      </c>
      <c r="J1045" s="333"/>
      <c r="K1045" s="30">
        <f>IFERROR(VLOOKUP($G1045,[1]нормы!$A$21:$BC$151,15,0),"")</f>
        <v>0</v>
      </c>
      <c r="L1045" s="31">
        <f>IFERROR(VLOOKUP($G1045,[1]нормы!$A$21:$BC$151,17,0),"")</f>
        <v>0</v>
      </c>
      <c r="M1045" s="306">
        <f>IFERROR(VLOOKUP($G1045,[1]нормы!$A$21:$BC$151,27,0),"")</f>
        <v>0</v>
      </c>
      <c r="N1045" s="307" t="str">
        <f>IFERROR(Y1045/Y1047*(1.1*J1041*I1050),"")</f>
        <v/>
      </c>
      <c r="O1045" s="300">
        <f>IFERROR(VLOOKUP($G1045,[1]нормы!$A$21:$BC$151,21,0),"")</f>
        <v>0</v>
      </c>
      <c r="P1045" s="35">
        <f>IFERROR(VLOOKUP($G1045,[1]нормы!$A$21:$BC$151,19,0),"")</f>
        <v>0</v>
      </c>
      <c r="Q1045" s="35">
        <f>IFERROR(VLOOKUP($G1045,[1]нормы!$A$21:$BC$151,23,0),"")</f>
        <v>0</v>
      </c>
      <c r="R1045" s="231">
        <f>IFERROR(VLOOKUP($G1045,[1]нормы!$A$21:$BC$151,29,0),"")</f>
        <v>0</v>
      </c>
      <c r="S1045" s="35">
        <f>IFERROR(VLOOKUP($G1045,[1]нормы!$A$21:$BC$151,31,0),"")</f>
        <v>0</v>
      </c>
      <c r="T1045" s="32">
        <f>IFERROR(VLOOKUP($G1045,[1]нормы!$A$21:$BC$151,25,0),"")</f>
        <v>0</v>
      </c>
      <c r="U1045" s="233" t="str">
        <f>IFERROR(W1045/(((100*Y1045/Y1047)*I1046)/100),"")</f>
        <v/>
      </c>
      <c r="V1045" s="234" t="str">
        <f>IFERROR(VLOOKUP($G1045,нормы!$A$14:$BC$57,38,0),"")</f>
        <v/>
      </c>
      <c r="W1045" s="136"/>
      <c r="X1045" s="237"/>
      <c r="Y1045" s="152" t="str">
        <f>IFERROR(VLOOKUP($G1045,нормы!$A$14:$BC$57,42,0)*W1045,"")</f>
        <v/>
      </c>
      <c r="Z1045" s="163">
        <f>IFERROR(VLOOKUP($G1045,нормы!$A$14:$BC$57,14,0)*W1045/1000,0)</f>
        <v>0</v>
      </c>
      <c r="AA1045" s="30"/>
      <c r="AB1045" s="35"/>
      <c r="AC1045" s="35"/>
      <c r="AD1045" s="35"/>
      <c r="AE1045" s="31"/>
      <c r="AF1045" s="160"/>
      <c r="AG1045" s="391"/>
      <c r="AH1045" s="394"/>
      <c r="AI1045" s="397"/>
      <c r="AJ1045" s="408"/>
      <c r="AK1045" s="360"/>
      <c r="AL1045" s="360"/>
      <c r="AM1045" s="360"/>
      <c r="AN1045" s="289">
        <f>IFERROR(Y1045*AJ1041/Y1047,)</f>
        <v>0</v>
      </c>
      <c r="AO1045" s="197" t="str">
        <f>IFERROR(VLOOKUP($G1045,нормы!$A$14:$BC$57,53,0)*$W1045,"")</f>
        <v/>
      </c>
      <c r="AP1045" s="290">
        <f>IFERROR(Y1045*AI1041/Y1047,)</f>
        <v>0</v>
      </c>
      <c r="AQ1045" s="197" t="str">
        <f>IFERROR(VLOOKUP($G1045,нормы!$A$14:$BC$57,54,0)*$W1045,"")</f>
        <v/>
      </c>
      <c r="AR1045" s="290">
        <f>IFERROR(AS1045/SUM(AS1041:AS1046)*AL1041,0)</f>
        <v>0</v>
      </c>
      <c r="AS1045" s="197" t="str">
        <f>IFERROR(VLOOKUP($G1045,нормы!$A$14:$BC$57,55,0)*W1045,"")</f>
        <v/>
      </c>
      <c r="AT1045" s="290">
        <f>IFERROR(AU1045/SUM(AU1041:AU1046)*AM1041,0)</f>
        <v>0</v>
      </c>
      <c r="AU1045" s="197" t="str">
        <f>IFERROR(VLOOKUP($G1045,нормы!$A$14:$BI$57,56,0)*W1045,"")</f>
        <v/>
      </c>
      <c r="AV1045" s="290">
        <f>IFERROR(AW1045/SUM(AW1041:AW1046)*AK1041,0)</f>
        <v>0</v>
      </c>
      <c r="AW1045" s="202" t="str">
        <f>IFERROR(VLOOKUP($G1045,нормы!$A$14:$BI$57,57,0)*W1045,"")</f>
        <v/>
      </c>
      <c r="AX1045" s="30"/>
      <c r="AY1045" s="203" t="str">
        <f>IFERROR(VLOOKUP($G1045,нормы!$A$14:$BI$57,58,0)*W1045,"")</f>
        <v/>
      </c>
      <c r="AZ1045" s="205"/>
      <c r="BA1045" s="200" t="str">
        <f>IFERROR(VLOOKUP($G1045,нормы!$A$14:$BI$57,61,0)*$W1045,"")</f>
        <v/>
      </c>
      <c r="BB1045" s="30"/>
      <c r="BC1045" s="203" t="str">
        <f>IFERROR(VLOOKUP($G1045,нормы!$A$14:$BI$57,60,0)*W1045,"")</f>
        <v/>
      </c>
      <c r="BD1045" s="200" t="str">
        <f>IFERROR(VLOOKUP($G1045,нормы!$A$14:$BG$57,44,0),"")</f>
        <v/>
      </c>
      <c r="BE1045" s="199" t="str">
        <f>IFERROR(W1045/VLOOKUP($G1045,нормы!$A$14:$BI$57,45,0),"")</f>
        <v/>
      </c>
    </row>
    <row r="1046" spans="1:57" s="1" customFormat="1" ht="21" customHeight="1" thickBot="1" x14ac:dyDescent="0.45">
      <c r="A1046" s="37" t="str">
        <f t="shared" si="410"/>
        <v>17Н</v>
      </c>
      <c r="B1046" s="12">
        <f t="shared" si="413"/>
        <v>46039</v>
      </c>
      <c r="C1046" s="97">
        <f t="shared" si="413"/>
        <v>0</v>
      </c>
      <c r="D1046" s="97">
        <f t="shared" si="413"/>
        <v>2</v>
      </c>
      <c r="E1046" s="54"/>
      <c r="F1046" s="151" t="str">
        <f>IFERROR(VLOOKUP($G1046,нормы!$A$14:$BC$57,2,0),"")</f>
        <v/>
      </c>
      <c r="G1046" s="93"/>
      <c r="H1046" s="63">
        <f t="shared" si="414"/>
        <v>0</v>
      </c>
      <c r="I1046" s="153">
        <f>I1042+I1044</f>
        <v>0</v>
      </c>
      <c r="J1046" s="334"/>
      <c r="K1046" s="30">
        <f>IFERROR(VLOOKUP($G1046,[1]нормы!$A$21:$BC$151,15,0),"")</f>
        <v>0</v>
      </c>
      <c r="L1046" s="31">
        <f>IFERROR(VLOOKUP($G1046,[1]нормы!$A$21:$BC$151,17,0),"")</f>
        <v>0</v>
      </c>
      <c r="M1046" s="308">
        <f>IFERROR(VLOOKUP($G1046,[1]нормы!$A$21:$BC$151,27,0),"")</f>
        <v>0</v>
      </c>
      <c r="N1046" s="309" t="str">
        <f>IFERROR(Y1046/Y1047*(1.1*J1041*I1051),"")</f>
        <v/>
      </c>
      <c r="O1046" s="300">
        <f>IFERROR(VLOOKUP($G1046,[1]нормы!$A$21:$BC$151,21,0),"")</f>
        <v>0</v>
      </c>
      <c r="P1046" s="35">
        <f>IFERROR(VLOOKUP($G1046,[1]нормы!$A$21:$BC$151,19,0),"")</f>
        <v>0</v>
      </c>
      <c r="Q1046" s="35">
        <f>IFERROR(VLOOKUP($G1046,[1]нормы!$A$21:$BC$151,23,0),"")</f>
        <v>0</v>
      </c>
      <c r="R1046" s="231">
        <f>IFERROR(VLOOKUP($G1046,[1]нормы!$A$21:$BC$151,29,0),"")</f>
        <v>0</v>
      </c>
      <c r="S1046" s="35">
        <f>IFERROR(VLOOKUP($G1046,[1]нормы!$A$21:$BC$151,31,0),"")</f>
        <v>0</v>
      </c>
      <c r="T1046" s="32">
        <f>IFERROR(VLOOKUP($G1046,[1]нормы!$A$21:$BC$151,25,0),"")</f>
        <v>0</v>
      </c>
      <c r="U1046" s="235" t="str">
        <f>IFERROR(W1046/(((100*Y1046/Y1047)*I1046)/100),"")</f>
        <v/>
      </c>
      <c r="V1046" s="234" t="str">
        <f>IFERROR(VLOOKUP($G1046,нормы!$A$14:$BC$57,38,0),"")</f>
        <v/>
      </c>
      <c r="W1046" s="154"/>
      <c r="X1046" s="238"/>
      <c r="Y1046" s="152" t="str">
        <f>IFERROR(VLOOKUP($G1046,нормы!$A$14:$BC$57,42,0)*W1046,"")</f>
        <v/>
      </c>
      <c r="Z1046" s="163">
        <f>IFERROR(VLOOKUP($G1046,нормы!$A$14:$BC$57,14,0)*W1046/1000,0)</f>
        <v>0</v>
      </c>
      <c r="AA1046" s="56"/>
      <c r="AB1046" s="58"/>
      <c r="AC1046" s="58"/>
      <c r="AD1046" s="58"/>
      <c r="AE1046" s="57"/>
      <c r="AF1046" s="161"/>
      <c r="AG1046" s="392"/>
      <c r="AH1046" s="395"/>
      <c r="AI1046" s="398"/>
      <c r="AJ1046" s="409"/>
      <c r="AK1046" s="361"/>
      <c r="AL1046" s="361"/>
      <c r="AM1046" s="361"/>
      <c r="AN1046" s="291">
        <f>IFERROR(Y1046*AJ1041/Y1047,)</f>
        <v>0</v>
      </c>
      <c r="AO1046" s="197" t="str">
        <f>IFERROR(VLOOKUP($G1046,нормы!$A$14:$BC$57,53,0)*$W1046,"")</f>
        <v/>
      </c>
      <c r="AP1046" s="292">
        <f>IFERROR(Y1046*AI1041/Y1047,)</f>
        <v>0</v>
      </c>
      <c r="AQ1046" s="197" t="str">
        <f>IFERROR(VLOOKUP($G1046,нормы!$A$14:$BC$57,54,0)*$W1046,"")</f>
        <v/>
      </c>
      <c r="AR1046" s="290">
        <f>IFERROR(AS1046/SUM(AS1041:AS1046)*AL1041,0)</f>
        <v>0</v>
      </c>
      <c r="AS1046" s="197" t="str">
        <f>IFERROR(VLOOKUP($G1046,нормы!$A$14:$BC$57,55,0)*W1046,"")</f>
        <v/>
      </c>
      <c r="AT1046" s="292">
        <f>IFERROR(AU1046/SUM(AU1041:AU1046)*AM1041,0)</f>
        <v>0</v>
      </c>
      <c r="AU1046" s="197" t="str">
        <f>IFERROR(VLOOKUP($G1046,нормы!$A$14:$BI$57,56,0)*W1046,"")</f>
        <v/>
      </c>
      <c r="AV1046" s="292">
        <f>IFERROR(AW1046/SUM(AW1041:AW1046)*AK1041,0)</f>
        <v>0</v>
      </c>
      <c r="AW1046" s="202" t="str">
        <f>IFERROR(VLOOKUP($G1046,нормы!$A$14:$BI$57,57,0)*W1046,"")</f>
        <v/>
      </c>
      <c r="AX1046" s="56"/>
      <c r="AY1046" s="203" t="str">
        <f>IFERROR(VLOOKUP($G1046,нормы!$A$14:$BI$57,58,0)*W1046,"")</f>
        <v/>
      </c>
      <c r="AZ1046" s="206"/>
      <c r="BA1046" s="200" t="str">
        <f>IFERROR(VLOOKUP($G1046,нормы!$A$14:$BI$57,61,0)*$W1046,"")</f>
        <v/>
      </c>
      <c r="BB1046" s="56"/>
      <c r="BC1046" s="203" t="str">
        <f>IFERROR(VLOOKUP($G1046,нормы!$A$14:$BI$57,60,0)*W1046,"")</f>
        <v/>
      </c>
      <c r="BD1046" s="200" t="str">
        <f>IFERROR(VLOOKUP($G1046,нормы!$A$14:$BG$57,44,0),"")</f>
        <v/>
      </c>
      <c r="BE1046" s="199" t="str">
        <f>IFERROR(W1046/VLOOKUP($G1046,нормы!$A$14:$BI$57,45,0),"")</f>
        <v/>
      </c>
    </row>
    <row r="1047" spans="1:57" s="1" customFormat="1" ht="29.4" customHeight="1" thickBot="1" x14ac:dyDescent="0.45">
      <c r="A1047" s="37" t="str">
        <f t="shared" si="410"/>
        <v>17Н</v>
      </c>
      <c r="B1047" s="59"/>
      <c r="C1047" s="51"/>
      <c r="D1047" s="51"/>
      <c r="E1047" s="51"/>
      <c r="F1047" s="51"/>
      <c r="G1047" s="51"/>
      <c r="H1047" s="51"/>
      <c r="I1047" s="60"/>
      <c r="J1047" s="60"/>
      <c r="K1047" s="319" t="s">
        <v>213</v>
      </c>
      <c r="L1047" s="316"/>
      <c r="M1047" s="303" t="s">
        <v>213</v>
      </c>
      <c r="N1047" s="317">
        <f>SUM(N1041:N1046)</f>
        <v>0</v>
      </c>
      <c r="O1047" s="304" t="s">
        <v>217</v>
      </c>
      <c r="P1047" s="318">
        <f>N1047*8.937/1000</f>
        <v>0</v>
      </c>
      <c r="Q1047" s="305" t="s">
        <v>215</v>
      </c>
      <c r="R1047" s="61"/>
      <c r="S1047" s="61"/>
      <c r="T1047" s="61"/>
      <c r="U1047" s="109"/>
      <c r="V1047" s="109"/>
      <c r="W1047" s="94"/>
      <c r="X1047" s="155"/>
      <c r="Y1047" s="96">
        <f>SUM(Y1041:Y1046)</f>
        <v>0</v>
      </c>
      <c r="Z1047" s="164">
        <f>SUM(Z1041:Z1046)</f>
        <v>0</v>
      </c>
      <c r="AA1047" s="207">
        <f>(AA1033+AA1034+AA1035+AA1036+AA1037+AA1038+AA1039+AA1041+AA1042+AA1043+AA1044+AA1045+AA1046)-AG1034</f>
        <v>1</v>
      </c>
      <c r="AB1047" s="208">
        <f>(AB1033+AB1034+AB1035+AB1036+AB1037+AB1038+AB1039+AB1041+AB1042+AB1043+AB1044+AB1045+AB1046)-AH1034</f>
        <v>2</v>
      </c>
      <c r="AC1047" s="208">
        <f>(AC1033+AC1034+AC1035+AC1036+AC1037+AC1038+AC1039+AC1041+AC1042+AC1043+AC1044+AC1045+AC1046)-AG1041</f>
        <v>3</v>
      </c>
      <c r="AD1047" s="208">
        <f>(AD1033+AD1034+AD1035+AD1036+AD1037+AD1038+AD1039+AD1041+AD1042+AD1043+AD1044+AD1045+AD1046)-AH1041</f>
        <v>4</v>
      </c>
      <c r="AE1047" s="208">
        <f>(AE1033+AE1034+AE1035+AE1036+AE1037+AE1038+AE1039+AE1041+AE1042+AE1043+AE1044+AE1045+AE1046)-AI1034</f>
        <v>5</v>
      </c>
      <c r="AF1047" s="209">
        <f>(AF1033+AF1034+AF1035+AF1036+AF1037+AF1038+AF1039+AF1041+AF1042+AF1043+AF1044+AF1045+AF1046)-AI1041</f>
        <v>6</v>
      </c>
      <c r="AG1047" s="62"/>
      <c r="AH1047" s="62"/>
      <c r="AI1047" s="62"/>
      <c r="AJ1047" s="62"/>
      <c r="AK1047" s="62"/>
      <c r="AL1047" s="62"/>
      <c r="AM1047" s="62"/>
      <c r="AN1047" s="91">
        <f>SUM(AN1041:AN1046)</f>
        <v>0</v>
      </c>
      <c r="AO1047" s="91">
        <f>SUM(AO1041:AO1046)</f>
        <v>0</v>
      </c>
      <c r="AP1047" s="91"/>
      <c r="AQ1047" s="91"/>
      <c r="AR1047" s="91">
        <f>SUM(AR1041:AR1046)</f>
        <v>0</v>
      </c>
      <c r="AS1047" s="91">
        <f t="shared" ref="AS1047:AW1047" si="415">SUM(AS1041:AS1046)</f>
        <v>0</v>
      </c>
      <c r="AT1047" s="91">
        <f t="shared" si="415"/>
        <v>0</v>
      </c>
      <c r="AU1047" s="91">
        <f t="shared" si="415"/>
        <v>0</v>
      </c>
      <c r="AV1047" s="91">
        <f t="shared" si="415"/>
        <v>0</v>
      </c>
      <c r="AW1047" s="91">
        <f t="shared" si="415"/>
        <v>0</v>
      </c>
      <c r="AX1047" s="91">
        <f>SUM(AX1041:AX1046)</f>
        <v>0</v>
      </c>
      <c r="AY1047" s="91">
        <f>SUM(AY1041:AY1046)</f>
        <v>0</v>
      </c>
      <c r="AZ1047" s="91">
        <f>SUM(AZ1041:AZ1046)</f>
        <v>0</v>
      </c>
      <c r="BA1047" s="91"/>
      <c r="BB1047" s="91"/>
      <c r="BC1047" s="91"/>
      <c r="BD1047" s="91" t="str">
        <f>IFERROR(VLOOKUP($G1047,нормы!$A$14:$BG$15,27,0),"")</f>
        <v/>
      </c>
      <c r="BE1047" s="53" t="str">
        <f>IFERROR(W1047/VLOOKUP($G1047,нормы!$A$14:$BI$15,28,0),"")</f>
        <v/>
      </c>
    </row>
    <row r="1048" spans="1:57" s="1" customFormat="1" ht="29.4" customHeight="1" thickBot="1" x14ac:dyDescent="0.5">
      <c r="A1048" s="37" t="str">
        <f t="shared" si="410"/>
        <v>17Н</v>
      </c>
      <c r="B1048" s="166" t="s">
        <v>130</v>
      </c>
      <c r="C1048" s="167"/>
      <c r="D1048" s="167"/>
      <c r="E1048" s="167"/>
      <c r="F1048" s="165"/>
      <c r="G1048" s="167"/>
      <c r="H1048" s="167"/>
      <c r="I1048" s="168"/>
      <c r="J1048" s="168"/>
      <c r="K1048" s="168"/>
      <c r="L1048" s="168"/>
      <c r="M1048" s="168"/>
      <c r="N1048" s="168"/>
      <c r="O1048" s="167"/>
      <c r="P1048" s="169"/>
      <c r="Q1048" s="169"/>
      <c r="R1048" s="169"/>
      <c r="S1048" s="169"/>
      <c r="T1048" s="169"/>
      <c r="U1048" s="170"/>
      <c r="V1048" s="170"/>
      <c r="W1048" s="171"/>
      <c r="X1048" s="171"/>
      <c r="Y1048" s="172"/>
      <c r="Z1048" s="172"/>
      <c r="AA1048" s="201" t="s">
        <v>144</v>
      </c>
      <c r="AB1048" s="167"/>
      <c r="AC1048" s="167"/>
      <c r="AD1048" s="167"/>
      <c r="AE1048" s="167"/>
      <c r="AF1048" s="167"/>
      <c r="AG1048" s="167"/>
      <c r="AH1048" s="167"/>
      <c r="AI1048" s="167"/>
      <c r="AJ1048" s="167"/>
      <c r="AK1048" s="167"/>
      <c r="AL1048" s="167"/>
      <c r="AM1048" s="64"/>
      <c r="AN1048" s="167"/>
      <c r="AO1048" s="167"/>
      <c r="AP1048" s="167"/>
      <c r="AQ1048" s="167"/>
      <c r="AR1048" s="64"/>
      <c r="AS1048" s="64"/>
      <c r="AT1048" s="65"/>
      <c r="AU1048" s="64"/>
      <c r="AV1048" s="49"/>
      <c r="AW1048" s="49"/>
      <c r="AX1048" s="167"/>
      <c r="AY1048" s="167"/>
      <c r="AZ1048" s="167"/>
      <c r="BA1048" s="167"/>
      <c r="BB1048" s="167"/>
      <c r="BC1048" s="167"/>
      <c r="BD1048" s="66"/>
      <c r="BE1048" s="66"/>
    </row>
    <row r="1049" spans="1:57" s="1" customFormat="1" ht="23.25" customHeight="1" x14ac:dyDescent="0.4">
      <c r="A1049" s="37" t="str">
        <f t="shared" si="410"/>
        <v>17Н</v>
      </c>
      <c r="B1049" s="183"/>
      <c r="C1049" s="100"/>
      <c r="D1049" s="185"/>
      <c r="E1049" s="186" t="s">
        <v>57</v>
      </c>
      <c r="F1049" s="66" t="s">
        <v>87</v>
      </c>
      <c r="G1049" s="66"/>
      <c r="H1049" s="108" t="s">
        <v>131</v>
      </c>
      <c r="I1049" s="101"/>
      <c r="J1049" s="101"/>
      <c r="K1049" s="101"/>
      <c r="L1049" s="101"/>
      <c r="M1049" s="101"/>
      <c r="N1049" s="101"/>
      <c r="O1049" s="67"/>
      <c r="P1049" s="102"/>
      <c r="Q1049" s="102"/>
      <c r="R1049" s="102"/>
      <c r="S1049" s="102"/>
      <c r="T1049" s="102"/>
      <c r="U1049" s="67"/>
      <c r="V1049" s="67"/>
      <c r="W1049" s="103"/>
      <c r="X1049" s="187"/>
      <c r="Y1049" s="68" t="s">
        <v>74</v>
      </c>
      <c r="Z1049" s="69"/>
      <c r="AA1049" s="90"/>
      <c r="AB1049" s="100"/>
      <c r="AC1049" s="100"/>
      <c r="AD1049" s="186" t="s">
        <v>57</v>
      </c>
      <c r="AE1049" s="66"/>
      <c r="AF1049" s="66"/>
      <c r="AG1049" s="66"/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6"/>
      <c r="AS1049" s="66"/>
      <c r="AT1049" s="190"/>
      <c r="AU1049" s="66"/>
      <c r="AV1049" s="165"/>
      <c r="AW1049" s="293"/>
      <c r="AX1049" s="66"/>
      <c r="AY1049" s="66"/>
      <c r="AZ1049" s="66"/>
      <c r="BA1049" s="66"/>
      <c r="BB1049" s="66"/>
      <c r="BC1049" s="66"/>
      <c r="BD1049" s="68" t="s">
        <v>74</v>
      </c>
      <c r="BE1049" s="69"/>
    </row>
    <row r="1050" spans="1:57" s="1" customFormat="1" ht="23.25" customHeight="1" thickBot="1" x14ac:dyDescent="0.45">
      <c r="A1050" s="37" t="str">
        <f t="shared" si="410"/>
        <v>17Н</v>
      </c>
      <c r="B1050" s="183"/>
      <c r="C1050" s="41"/>
      <c r="D1050" s="184"/>
      <c r="E1050" s="50"/>
      <c r="F1050" s="70"/>
      <c r="G1050" s="70"/>
      <c r="H1050" s="70"/>
      <c r="I1050" s="104"/>
      <c r="J1050" s="104"/>
      <c r="K1050" s="104"/>
      <c r="L1050" s="104"/>
      <c r="M1050" s="104"/>
      <c r="N1050" s="104"/>
      <c r="O1050" s="71"/>
      <c r="P1050" s="105"/>
      <c r="Q1050" s="105"/>
      <c r="R1050" s="105"/>
      <c r="S1050" s="105"/>
      <c r="T1050" s="105"/>
      <c r="U1050" s="71"/>
      <c r="V1050" s="71"/>
      <c r="W1050" s="106"/>
      <c r="X1050" s="188"/>
      <c r="Y1050" s="72"/>
      <c r="Z1050" s="73"/>
      <c r="AA1050" s="90"/>
      <c r="AB1050" s="41"/>
      <c r="AC1050" s="41"/>
      <c r="AD1050" s="50"/>
      <c r="AE1050" s="47"/>
      <c r="AF1050" s="47"/>
      <c r="AG1050" s="47"/>
      <c r="AH1050" s="47"/>
      <c r="AI1050" s="47"/>
      <c r="AJ1050" s="47"/>
      <c r="AK1050" s="47"/>
      <c r="AL1050" s="47"/>
      <c r="AM1050" s="70"/>
      <c r="AN1050" s="47"/>
      <c r="AO1050" s="70"/>
      <c r="AP1050" s="70"/>
      <c r="AQ1050" s="70"/>
      <c r="AR1050" s="70"/>
      <c r="AS1050" s="70"/>
      <c r="AT1050" s="191"/>
      <c r="AU1050" s="70"/>
      <c r="AV1050" s="192"/>
      <c r="AW1050" s="294"/>
      <c r="AX1050" s="70"/>
      <c r="AY1050" s="70"/>
      <c r="AZ1050" s="70"/>
      <c r="BA1050" s="70"/>
      <c r="BB1050" s="70"/>
      <c r="BC1050" s="70"/>
      <c r="BD1050" s="72"/>
      <c r="BE1050" s="73"/>
    </row>
    <row r="1051" spans="1:57" s="1" customFormat="1" ht="24" customHeight="1" x14ac:dyDescent="0.4">
      <c r="A1051" s="37" t="str">
        <f t="shared" si="410"/>
        <v>17Н</v>
      </c>
      <c r="B1051" s="183"/>
      <c r="C1051" s="41"/>
      <c r="D1051" s="184"/>
      <c r="E1051" s="281">
        <f>B1046</f>
        <v>46039</v>
      </c>
      <c r="F1051" s="337"/>
      <c r="G1051" s="338"/>
      <c r="H1051" s="338"/>
      <c r="I1051" s="338"/>
      <c r="J1051" s="338"/>
      <c r="K1051" s="338"/>
      <c r="L1051" s="338"/>
      <c r="M1051" s="338"/>
      <c r="N1051" s="338"/>
      <c r="O1051" s="338"/>
      <c r="P1051" s="338"/>
      <c r="Q1051" s="338"/>
      <c r="R1051" s="338"/>
      <c r="S1051" s="338"/>
      <c r="T1051" s="338"/>
      <c r="U1051" s="338"/>
      <c r="V1051" s="338"/>
      <c r="W1051" s="338"/>
      <c r="X1051" s="98">
        <v>1</v>
      </c>
      <c r="Y1051" s="74">
        <v>1</v>
      </c>
      <c r="Z1051" s="75">
        <f t="shared" ref="Z1051:Z1062" si="416">Y1051-X1051</f>
        <v>0</v>
      </c>
      <c r="AA1051" s="189"/>
      <c r="AB1051" s="41"/>
      <c r="AC1051" s="184"/>
      <c r="AD1051" s="210">
        <f>E1051</f>
        <v>46039</v>
      </c>
      <c r="AE1051" s="387"/>
      <c r="AF1051" s="388"/>
      <c r="AG1051" s="388"/>
      <c r="AH1051" s="388"/>
      <c r="AI1051" s="388"/>
      <c r="AJ1051" s="388"/>
      <c r="AK1051" s="388"/>
      <c r="AL1051" s="388"/>
      <c r="AM1051" s="388"/>
      <c r="AN1051" s="388"/>
      <c r="AO1051" s="388"/>
      <c r="AP1051" s="388"/>
      <c r="AQ1051" s="388"/>
      <c r="AR1051" s="388"/>
      <c r="AS1051" s="388"/>
      <c r="AT1051" s="388"/>
      <c r="AU1051" s="388"/>
      <c r="AV1051" s="388"/>
      <c r="AW1051" s="388"/>
      <c r="AX1051" s="388"/>
      <c r="AY1051" s="388"/>
      <c r="AZ1051" s="388"/>
      <c r="BA1051" s="388"/>
      <c r="BB1051" s="389"/>
      <c r="BC1051" s="98">
        <v>1</v>
      </c>
      <c r="BD1051" s="74">
        <v>1</v>
      </c>
      <c r="BE1051" s="75">
        <f t="shared" ref="BE1051:BE1062" si="417">BD1051-BC1051</f>
        <v>0</v>
      </c>
    </row>
    <row r="1052" spans="1:57" s="1" customFormat="1" ht="30.75" customHeight="1" x14ac:dyDescent="0.4">
      <c r="A1052" s="37" t="str">
        <f t="shared" si="410"/>
        <v>17Н</v>
      </c>
      <c r="B1052" s="183"/>
      <c r="C1052" s="41"/>
      <c r="D1052" s="184"/>
      <c r="E1052" s="282">
        <f>E1051</f>
        <v>46039</v>
      </c>
      <c r="F1052" s="335"/>
      <c r="G1052" s="336"/>
      <c r="H1052" s="336"/>
      <c r="I1052" s="336"/>
      <c r="J1052" s="336"/>
      <c r="K1052" s="336"/>
      <c r="L1052" s="336"/>
      <c r="M1052" s="336"/>
      <c r="N1052" s="336"/>
      <c r="O1052" s="336"/>
      <c r="P1052" s="336"/>
      <c r="Q1052" s="336"/>
      <c r="R1052" s="336"/>
      <c r="S1052" s="336"/>
      <c r="T1052" s="336"/>
      <c r="U1052" s="336"/>
      <c r="V1052" s="336"/>
      <c r="W1052" s="336"/>
      <c r="X1052" s="98">
        <v>1</v>
      </c>
      <c r="Y1052" s="74">
        <v>1</v>
      </c>
      <c r="Z1052" s="75">
        <f t="shared" si="416"/>
        <v>0</v>
      </c>
      <c r="AA1052" s="107">
        <f>AA1051</f>
        <v>0</v>
      </c>
      <c r="AB1052" s="41"/>
      <c r="AC1052" s="184"/>
      <c r="AD1052" s="212">
        <f>AD1051</f>
        <v>46039</v>
      </c>
      <c r="AE1052" s="387"/>
      <c r="AF1052" s="388"/>
      <c r="AG1052" s="388"/>
      <c r="AH1052" s="388"/>
      <c r="AI1052" s="388"/>
      <c r="AJ1052" s="388"/>
      <c r="AK1052" s="388"/>
      <c r="AL1052" s="388"/>
      <c r="AM1052" s="388"/>
      <c r="AN1052" s="388"/>
      <c r="AO1052" s="388"/>
      <c r="AP1052" s="388"/>
      <c r="AQ1052" s="388"/>
      <c r="AR1052" s="388"/>
      <c r="AS1052" s="388"/>
      <c r="AT1052" s="388"/>
      <c r="AU1052" s="388"/>
      <c r="AV1052" s="388"/>
      <c r="AW1052" s="388"/>
      <c r="AX1052" s="388"/>
      <c r="AY1052" s="388"/>
      <c r="AZ1052" s="388"/>
      <c r="BA1052" s="388"/>
      <c r="BB1052" s="389"/>
      <c r="BC1052" s="98">
        <v>1</v>
      </c>
      <c r="BD1052" s="74">
        <v>1</v>
      </c>
      <c r="BE1052" s="75">
        <f t="shared" si="417"/>
        <v>0</v>
      </c>
    </row>
    <row r="1053" spans="1:57" s="1" customFormat="1" ht="25.5" customHeight="1" x14ac:dyDescent="0.4">
      <c r="A1053" s="37" t="str">
        <f t="shared" si="410"/>
        <v>17Н</v>
      </c>
      <c r="B1053" s="183"/>
      <c r="C1053" s="41"/>
      <c r="D1053" s="184"/>
      <c r="E1053" s="282">
        <f t="shared" ref="E1053:E1062" si="418">E1052</f>
        <v>46039</v>
      </c>
      <c r="F1053" s="335"/>
      <c r="G1053" s="336"/>
      <c r="H1053" s="336"/>
      <c r="I1053" s="336"/>
      <c r="J1053" s="336"/>
      <c r="K1053" s="336"/>
      <c r="L1053" s="336"/>
      <c r="M1053" s="336"/>
      <c r="N1053" s="336"/>
      <c r="O1053" s="336"/>
      <c r="P1053" s="336"/>
      <c r="Q1053" s="336"/>
      <c r="R1053" s="336"/>
      <c r="S1053" s="336"/>
      <c r="T1053" s="336"/>
      <c r="U1053" s="336"/>
      <c r="V1053" s="336"/>
      <c r="W1053" s="336"/>
      <c r="X1053" s="98">
        <v>1</v>
      </c>
      <c r="Y1053" s="74">
        <v>1</v>
      </c>
      <c r="Z1053" s="75">
        <f t="shared" si="416"/>
        <v>0</v>
      </c>
      <c r="AA1053" s="107">
        <f>AA1052</f>
        <v>0</v>
      </c>
      <c r="AB1053" s="41"/>
      <c r="AC1053" s="184"/>
      <c r="AD1053" s="212">
        <f t="shared" ref="AD1053:AD1062" si="419">AD1052</f>
        <v>46039</v>
      </c>
      <c r="AE1053" s="387"/>
      <c r="AF1053" s="388"/>
      <c r="AG1053" s="388"/>
      <c r="AH1053" s="388"/>
      <c r="AI1053" s="388"/>
      <c r="AJ1053" s="388"/>
      <c r="AK1053" s="388"/>
      <c r="AL1053" s="388"/>
      <c r="AM1053" s="388"/>
      <c r="AN1053" s="388"/>
      <c r="AO1053" s="388"/>
      <c r="AP1053" s="388"/>
      <c r="AQ1053" s="388"/>
      <c r="AR1053" s="388"/>
      <c r="AS1053" s="388"/>
      <c r="AT1053" s="388"/>
      <c r="AU1053" s="388"/>
      <c r="AV1053" s="388"/>
      <c r="AW1053" s="388"/>
      <c r="AX1053" s="388"/>
      <c r="AY1053" s="388"/>
      <c r="AZ1053" s="388"/>
      <c r="BA1053" s="388"/>
      <c r="BB1053" s="389"/>
      <c r="BC1053" s="98">
        <v>1</v>
      </c>
      <c r="BD1053" s="74">
        <v>1</v>
      </c>
      <c r="BE1053" s="75">
        <f t="shared" si="417"/>
        <v>0</v>
      </c>
    </row>
    <row r="1054" spans="1:57" s="1" customFormat="1" ht="25.5" customHeight="1" x14ac:dyDescent="0.4">
      <c r="A1054" s="37" t="str">
        <f t="shared" si="410"/>
        <v>17Н</v>
      </c>
      <c r="B1054" s="183"/>
      <c r="C1054" s="41"/>
      <c r="D1054" s="184"/>
      <c r="E1054" s="282">
        <f t="shared" si="418"/>
        <v>46039</v>
      </c>
      <c r="F1054" s="335"/>
      <c r="G1054" s="336"/>
      <c r="H1054" s="336"/>
      <c r="I1054" s="336"/>
      <c r="J1054" s="336"/>
      <c r="K1054" s="336"/>
      <c r="L1054" s="336"/>
      <c r="M1054" s="336"/>
      <c r="N1054" s="336"/>
      <c r="O1054" s="336"/>
      <c r="P1054" s="336"/>
      <c r="Q1054" s="336"/>
      <c r="R1054" s="336"/>
      <c r="S1054" s="336"/>
      <c r="T1054" s="336"/>
      <c r="U1054" s="336"/>
      <c r="V1054" s="336"/>
      <c r="W1054" s="336"/>
      <c r="X1054" s="98">
        <v>1</v>
      </c>
      <c r="Y1054" s="74">
        <v>1</v>
      </c>
      <c r="Z1054" s="75">
        <f t="shared" si="416"/>
        <v>0</v>
      </c>
      <c r="AA1054" s="107">
        <f t="shared" ref="AA1054:AA1062" si="420">AA1053</f>
        <v>0</v>
      </c>
      <c r="AB1054" s="41"/>
      <c r="AC1054" s="184"/>
      <c r="AD1054" s="212">
        <f t="shared" si="419"/>
        <v>46039</v>
      </c>
      <c r="AE1054" s="387"/>
      <c r="AF1054" s="388"/>
      <c r="AG1054" s="388"/>
      <c r="AH1054" s="388"/>
      <c r="AI1054" s="388"/>
      <c r="AJ1054" s="388"/>
      <c r="AK1054" s="388"/>
      <c r="AL1054" s="388"/>
      <c r="AM1054" s="388"/>
      <c r="AN1054" s="388"/>
      <c r="AO1054" s="388"/>
      <c r="AP1054" s="388"/>
      <c r="AQ1054" s="388"/>
      <c r="AR1054" s="388"/>
      <c r="AS1054" s="388"/>
      <c r="AT1054" s="388"/>
      <c r="AU1054" s="388"/>
      <c r="AV1054" s="388"/>
      <c r="AW1054" s="388"/>
      <c r="AX1054" s="388"/>
      <c r="AY1054" s="388"/>
      <c r="AZ1054" s="388"/>
      <c r="BA1054" s="388"/>
      <c r="BB1054" s="389"/>
      <c r="BC1054" s="98">
        <v>1</v>
      </c>
      <c r="BD1054" s="74">
        <v>1</v>
      </c>
      <c r="BE1054" s="75">
        <f t="shared" si="417"/>
        <v>0</v>
      </c>
    </row>
    <row r="1055" spans="1:57" s="1" customFormat="1" ht="18" customHeight="1" x14ac:dyDescent="0.4">
      <c r="A1055" s="37" t="str">
        <f t="shared" si="410"/>
        <v>17Н</v>
      </c>
      <c r="B1055" s="183"/>
      <c r="C1055" s="41"/>
      <c r="D1055" s="184"/>
      <c r="E1055" s="282">
        <f t="shared" si="418"/>
        <v>46039</v>
      </c>
      <c r="F1055" s="335"/>
      <c r="G1055" s="336"/>
      <c r="H1055" s="336"/>
      <c r="I1055" s="336"/>
      <c r="J1055" s="336"/>
      <c r="K1055" s="336"/>
      <c r="L1055" s="336"/>
      <c r="M1055" s="336"/>
      <c r="N1055" s="336"/>
      <c r="O1055" s="336"/>
      <c r="P1055" s="336"/>
      <c r="Q1055" s="336"/>
      <c r="R1055" s="336"/>
      <c r="S1055" s="336"/>
      <c r="T1055" s="336"/>
      <c r="U1055" s="336"/>
      <c r="V1055" s="336"/>
      <c r="W1055" s="336"/>
      <c r="X1055" s="98">
        <v>1</v>
      </c>
      <c r="Y1055" s="74">
        <v>1</v>
      </c>
      <c r="Z1055" s="75">
        <f t="shared" si="416"/>
        <v>0</v>
      </c>
      <c r="AA1055" s="107">
        <f t="shared" si="420"/>
        <v>0</v>
      </c>
      <c r="AB1055" s="41"/>
      <c r="AC1055" s="184"/>
      <c r="AD1055" s="212">
        <f t="shared" si="419"/>
        <v>46039</v>
      </c>
      <c r="AE1055" s="387"/>
      <c r="AF1055" s="388"/>
      <c r="AG1055" s="388"/>
      <c r="AH1055" s="388"/>
      <c r="AI1055" s="388"/>
      <c r="AJ1055" s="388"/>
      <c r="AK1055" s="388"/>
      <c r="AL1055" s="388"/>
      <c r="AM1055" s="388"/>
      <c r="AN1055" s="388"/>
      <c r="AO1055" s="388"/>
      <c r="AP1055" s="388"/>
      <c r="AQ1055" s="388"/>
      <c r="AR1055" s="388"/>
      <c r="AS1055" s="388"/>
      <c r="AT1055" s="388"/>
      <c r="AU1055" s="388"/>
      <c r="AV1055" s="388"/>
      <c r="AW1055" s="388"/>
      <c r="AX1055" s="388"/>
      <c r="AY1055" s="388"/>
      <c r="AZ1055" s="388"/>
      <c r="BA1055" s="388"/>
      <c r="BB1055" s="389"/>
      <c r="BC1055" s="98">
        <v>1</v>
      </c>
      <c r="BD1055" s="74">
        <v>1</v>
      </c>
      <c r="BE1055" s="75">
        <f t="shared" si="417"/>
        <v>0</v>
      </c>
    </row>
    <row r="1056" spans="1:57" s="1" customFormat="1" ht="18" customHeight="1" x14ac:dyDescent="0.4">
      <c r="A1056" s="37" t="str">
        <f t="shared" si="410"/>
        <v>17Н</v>
      </c>
      <c r="B1056" s="183"/>
      <c r="C1056" s="41"/>
      <c r="D1056" s="184"/>
      <c r="E1056" s="282">
        <f t="shared" si="418"/>
        <v>46039</v>
      </c>
      <c r="F1056" s="335"/>
      <c r="G1056" s="336"/>
      <c r="H1056" s="336"/>
      <c r="I1056" s="336"/>
      <c r="J1056" s="336"/>
      <c r="K1056" s="336"/>
      <c r="L1056" s="336"/>
      <c r="M1056" s="336"/>
      <c r="N1056" s="336"/>
      <c r="O1056" s="336"/>
      <c r="P1056" s="336"/>
      <c r="Q1056" s="336"/>
      <c r="R1056" s="336"/>
      <c r="S1056" s="336"/>
      <c r="T1056" s="336"/>
      <c r="U1056" s="336"/>
      <c r="V1056" s="336"/>
      <c r="W1056" s="336"/>
      <c r="X1056" s="98">
        <v>1</v>
      </c>
      <c r="Y1056" s="74">
        <v>1</v>
      </c>
      <c r="Z1056" s="75">
        <f t="shared" si="416"/>
        <v>0</v>
      </c>
      <c r="AA1056" s="107">
        <f t="shared" si="420"/>
        <v>0</v>
      </c>
      <c r="AB1056" s="41"/>
      <c r="AC1056" s="184"/>
      <c r="AD1056" s="212">
        <f t="shared" si="419"/>
        <v>46039</v>
      </c>
      <c r="AE1056" s="387"/>
      <c r="AF1056" s="388"/>
      <c r="AG1056" s="388"/>
      <c r="AH1056" s="388"/>
      <c r="AI1056" s="388"/>
      <c r="AJ1056" s="388"/>
      <c r="AK1056" s="388"/>
      <c r="AL1056" s="388"/>
      <c r="AM1056" s="388"/>
      <c r="AN1056" s="388"/>
      <c r="AO1056" s="388"/>
      <c r="AP1056" s="388"/>
      <c r="AQ1056" s="388"/>
      <c r="AR1056" s="388"/>
      <c r="AS1056" s="388"/>
      <c r="AT1056" s="388"/>
      <c r="AU1056" s="388"/>
      <c r="AV1056" s="388"/>
      <c r="AW1056" s="388"/>
      <c r="AX1056" s="388"/>
      <c r="AY1056" s="388"/>
      <c r="AZ1056" s="388"/>
      <c r="BA1056" s="388"/>
      <c r="BB1056" s="389"/>
      <c r="BC1056" s="98">
        <v>1</v>
      </c>
      <c r="BD1056" s="74">
        <v>1</v>
      </c>
      <c r="BE1056" s="75">
        <f t="shared" si="417"/>
        <v>0</v>
      </c>
    </row>
    <row r="1057" spans="1:57" s="1" customFormat="1" ht="18" customHeight="1" x14ac:dyDescent="0.4">
      <c r="A1057" s="37" t="str">
        <f t="shared" si="410"/>
        <v>17Н</v>
      </c>
      <c r="B1057" s="183"/>
      <c r="C1057" s="41"/>
      <c r="D1057" s="184"/>
      <c r="E1057" s="282">
        <f t="shared" si="418"/>
        <v>46039</v>
      </c>
      <c r="F1057" s="335"/>
      <c r="G1057" s="336"/>
      <c r="H1057" s="336"/>
      <c r="I1057" s="336"/>
      <c r="J1057" s="336"/>
      <c r="K1057" s="336"/>
      <c r="L1057" s="336"/>
      <c r="M1057" s="336"/>
      <c r="N1057" s="336"/>
      <c r="O1057" s="336"/>
      <c r="P1057" s="336"/>
      <c r="Q1057" s="336"/>
      <c r="R1057" s="336"/>
      <c r="S1057" s="336"/>
      <c r="T1057" s="336"/>
      <c r="U1057" s="336"/>
      <c r="V1057" s="336"/>
      <c r="W1057" s="336"/>
      <c r="X1057" s="98">
        <v>1</v>
      </c>
      <c r="Y1057" s="74">
        <v>1</v>
      </c>
      <c r="Z1057" s="75">
        <f t="shared" si="416"/>
        <v>0</v>
      </c>
      <c r="AA1057" s="107">
        <f t="shared" si="420"/>
        <v>0</v>
      </c>
      <c r="AB1057" s="41"/>
      <c r="AC1057" s="184"/>
      <c r="AD1057" s="212">
        <f t="shared" si="419"/>
        <v>46039</v>
      </c>
      <c r="AE1057" s="387"/>
      <c r="AF1057" s="388"/>
      <c r="AG1057" s="388"/>
      <c r="AH1057" s="388"/>
      <c r="AI1057" s="388"/>
      <c r="AJ1057" s="388"/>
      <c r="AK1057" s="388"/>
      <c r="AL1057" s="388"/>
      <c r="AM1057" s="388"/>
      <c r="AN1057" s="388"/>
      <c r="AO1057" s="388"/>
      <c r="AP1057" s="388"/>
      <c r="AQ1057" s="388"/>
      <c r="AR1057" s="388"/>
      <c r="AS1057" s="388"/>
      <c r="AT1057" s="388"/>
      <c r="AU1057" s="388"/>
      <c r="AV1057" s="388"/>
      <c r="AW1057" s="388"/>
      <c r="AX1057" s="388"/>
      <c r="AY1057" s="388"/>
      <c r="AZ1057" s="388"/>
      <c r="BA1057" s="388"/>
      <c r="BB1057" s="389"/>
      <c r="BC1057" s="98">
        <v>1</v>
      </c>
      <c r="BD1057" s="74">
        <v>1</v>
      </c>
      <c r="BE1057" s="75">
        <f t="shared" si="417"/>
        <v>0</v>
      </c>
    </row>
    <row r="1058" spans="1:57" s="1" customFormat="1" ht="18" customHeight="1" x14ac:dyDescent="0.4">
      <c r="A1058" s="37" t="str">
        <f t="shared" si="410"/>
        <v>17Н</v>
      </c>
      <c r="B1058" s="183"/>
      <c r="C1058" s="41"/>
      <c r="D1058" s="184"/>
      <c r="E1058" s="282">
        <f t="shared" si="418"/>
        <v>46039</v>
      </c>
      <c r="F1058" s="335"/>
      <c r="G1058" s="336"/>
      <c r="H1058" s="336"/>
      <c r="I1058" s="336"/>
      <c r="J1058" s="336"/>
      <c r="K1058" s="336"/>
      <c r="L1058" s="336"/>
      <c r="M1058" s="336"/>
      <c r="N1058" s="336"/>
      <c r="O1058" s="336"/>
      <c r="P1058" s="336"/>
      <c r="Q1058" s="336"/>
      <c r="R1058" s="336"/>
      <c r="S1058" s="336"/>
      <c r="T1058" s="336"/>
      <c r="U1058" s="336"/>
      <c r="V1058" s="336"/>
      <c r="W1058" s="336"/>
      <c r="X1058" s="98">
        <v>1</v>
      </c>
      <c r="Y1058" s="74">
        <v>1</v>
      </c>
      <c r="Z1058" s="75">
        <f t="shared" si="416"/>
        <v>0</v>
      </c>
      <c r="AA1058" s="107">
        <f t="shared" si="420"/>
        <v>0</v>
      </c>
      <c r="AB1058" s="41"/>
      <c r="AC1058" s="184"/>
      <c r="AD1058" s="212">
        <f t="shared" si="419"/>
        <v>46039</v>
      </c>
      <c r="AE1058" s="387"/>
      <c r="AF1058" s="388"/>
      <c r="AG1058" s="388"/>
      <c r="AH1058" s="388"/>
      <c r="AI1058" s="388"/>
      <c r="AJ1058" s="388"/>
      <c r="AK1058" s="388"/>
      <c r="AL1058" s="388"/>
      <c r="AM1058" s="388"/>
      <c r="AN1058" s="388"/>
      <c r="AO1058" s="388"/>
      <c r="AP1058" s="388"/>
      <c r="AQ1058" s="388"/>
      <c r="AR1058" s="388"/>
      <c r="AS1058" s="388"/>
      <c r="AT1058" s="388"/>
      <c r="AU1058" s="388"/>
      <c r="AV1058" s="388"/>
      <c r="AW1058" s="388"/>
      <c r="AX1058" s="388"/>
      <c r="AY1058" s="388"/>
      <c r="AZ1058" s="388"/>
      <c r="BA1058" s="388"/>
      <c r="BB1058" s="389"/>
      <c r="BC1058" s="98">
        <v>1</v>
      </c>
      <c r="BD1058" s="74">
        <v>1</v>
      </c>
      <c r="BE1058" s="75">
        <f t="shared" si="417"/>
        <v>0</v>
      </c>
    </row>
    <row r="1059" spans="1:57" s="1" customFormat="1" ht="18" customHeight="1" x14ac:dyDescent="0.4">
      <c r="A1059" s="37" t="str">
        <f t="shared" si="410"/>
        <v>17Н</v>
      </c>
      <c r="B1059" s="183"/>
      <c r="C1059" s="41"/>
      <c r="D1059" s="184"/>
      <c r="E1059" s="282">
        <f t="shared" si="418"/>
        <v>46039</v>
      </c>
      <c r="F1059" s="335"/>
      <c r="G1059" s="336"/>
      <c r="H1059" s="336"/>
      <c r="I1059" s="336"/>
      <c r="J1059" s="336"/>
      <c r="K1059" s="336"/>
      <c r="L1059" s="336"/>
      <c r="M1059" s="336"/>
      <c r="N1059" s="336"/>
      <c r="O1059" s="336"/>
      <c r="P1059" s="336"/>
      <c r="Q1059" s="336"/>
      <c r="R1059" s="336"/>
      <c r="S1059" s="336"/>
      <c r="T1059" s="336"/>
      <c r="U1059" s="336"/>
      <c r="V1059" s="336"/>
      <c r="W1059" s="336"/>
      <c r="X1059" s="98">
        <v>1</v>
      </c>
      <c r="Y1059" s="74">
        <v>1</v>
      </c>
      <c r="Z1059" s="75">
        <f t="shared" si="416"/>
        <v>0</v>
      </c>
      <c r="AA1059" s="107">
        <f t="shared" si="420"/>
        <v>0</v>
      </c>
      <c r="AB1059" s="41"/>
      <c r="AC1059" s="184"/>
      <c r="AD1059" s="212">
        <f t="shared" si="419"/>
        <v>46039</v>
      </c>
      <c r="AE1059" s="387"/>
      <c r="AF1059" s="388"/>
      <c r="AG1059" s="388"/>
      <c r="AH1059" s="388"/>
      <c r="AI1059" s="388"/>
      <c r="AJ1059" s="388"/>
      <c r="AK1059" s="388"/>
      <c r="AL1059" s="388"/>
      <c r="AM1059" s="388"/>
      <c r="AN1059" s="388"/>
      <c r="AO1059" s="388"/>
      <c r="AP1059" s="388"/>
      <c r="AQ1059" s="388"/>
      <c r="AR1059" s="388"/>
      <c r="AS1059" s="388"/>
      <c r="AT1059" s="388"/>
      <c r="AU1059" s="388"/>
      <c r="AV1059" s="388"/>
      <c r="AW1059" s="388"/>
      <c r="AX1059" s="388"/>
      <c r="AY1059" s="388"/>
      <c r="AZ1059" s="388"/>
      <c r="BA1059" s="388"/>
      <c r="BB1059" s="389"/>
      <c r="BC1059" s="98">
        <v>1</v>
      </c>
      <c r="BD1059" s="74">
        <v>1</v>
      </c>
      <c r="BE1059" s="75">
        <f t="shared" si="417"/>
        <v>0</v>
      </c>
    </row>
    <row r="1060" spans="1:57" s="1" customFormat="1" ht="18" customHeight="1" x14ac:dyDescent="0.4">
      <c r="A1060" s="37" t="str">
        <f t="shared" si="410"/>
        <v>17Н</v>
      </c>
      <c r="B1060" s="183"/>
      <c r="C1060" s="41"/>
      <c r="D1060" s="184"/>
      <c r="E1060" s="282">
        <f t="shared" si="418"/>
        <v>46039</v>
      </c>
      <c r="F1060" s="335"/>
      <c r="G1060" s="336"/>
      <c r="H1060" s="336"/>
      <c r="I1060" s="336"/>
      <c r="J1060" s="336"/>
      <c r="K1060" s="336"/>
      <c r="L1060" s="336"/>
      <c r="M1060" s="336"/>
      <c r="N1060" s="336"/>
      <c r="O1060" s="336"/>
      <c r="P1060" s="336"/>
      <c r="Q1060" s="336"/>
      <c r="R1060" s="336"/>
      <c r="S1060" s="336"/>
      <c r="T1060" s="336"/>
      <c r="U1060" s="336"/>
      <c r="V1060" s="336"/>
      <c r="W1060" s="336"/>
      <c r="X1060" s="98">
        <v>1</v>
      </c>
      <c r="Y1060" s="74">
        <v>1</v>
      </c>
      <c r="Z1060" s="75">
        <f t="shared" si="416"/>
        <v>0</v>
      </c>
      <c r="AA1060" s="107">
        <f t="shared" si="420"/>
        <v>0</v>
      </c>
      <c r="AB1060" s="41"/>
      <c r="AC1060" s="184"/>
      <c r="AD1060" s="212">
        <f t="shared" si="419"/>
        <v>46039</v>
      </c>
      <c r="AE1060" s="387"/>
      <c r="AF1060" s="388"/>
      <c r="AG1060" s="388"/>
      <c r="AH1060" s="388"/>
      <c r="AI1060" s="388"/>
      <c r="AJ1060" s="388"/>
      <c r="AK1060" s="388"/>
      <c r="AL1060" s="388"/>
      <c r="AM1060" s="388"/>
      <c r="AN1060" s="388"/>
      <c r="AO1060" s="388"/>
      <c r="AP1060" s="388"/>
      <c r="AQ1060" s="388"/>
      <c r="AR1060" s="388"/>
      <c r="AS1060" s="388"/>
      <c r="AT1060" s="388"/>
      <c r="AU1060" s="388"/>
      <c r="AV1060" s="388"/>
      <c r="AW1060" s="388"/>
      <c r="AX1060" s="388"/>
      <c r="AY1060" s="388"/>
      <c r="AZ1060" s="388"/>
      <c r="BA1060" s="388"/>
      <c r="BB1060" s="389"/>
      <c r="BC1060" s="98">
        <v>1</v>
      </c>
      <c r="BD1060" s="74">
        <v>1</v>
      </c>
      <c r="BE1060" s="75">
        <f t="shared" si="417"/>
        <v>0</v>
      </c>
    </row>
    <row r="1061" spans="1:57" s="1" customFormat="1" ht="18" customHeight="1" x14ac:dyDescent="0.4">
      <c r="A1061" s="37" t="str">
        <f t="shared" si="410"/>
        <v>17Н</v>
      </c>
      <c r="B1061" s="183"/>
      <c r="C1061" s="41"/>
      <c r="D1061" s="184"/>
      <c r="E1061" s="282">
        <f t="shared" si="418"/>
        <v>46039</v>
      </c>
      <c r="F1061" s="335"/>
      <c r="G1061" s="336"/>
      <c r="H1061" s="336"/>
      <c r="I1061" s="336"/>
      <c r="J1061" s="336"/>
      <c r="K1061" s="336"/>
      <c r="L1061" s="336"/>
      <c r="M1061" s="336"/>
      <c r="N1061" s="336"/>
      <c r="O1061" s="336"/>
      <c r="P1061" s="336"/>
      <c r="Q1061" s="336"/>
      <c r="R1061" s="336"/>
      <c r="S1061" s="336"/>
      <c r="T1061" s="336"/>
      <c r="U1061" s="336"/>
      <c r="V1061" s="336"/>
      <c r="W1061" s="336"/>
      <c r="X1061" s="98">
        <v>1</v>
      </c>
      <c r="Y1061" s="74">
        <v>1</v>
      </c>
      <c r="Z1061" s="75">
        <f t="shared" si="416"/>
        <v>0</v>
      </c>
      <c r="AA1061" s="107">
        <f t="shared" si="420"/>
        <v>0</v>
      </c>
      <c r="AB1061" s="41"/>
      <c r="AC1061" s="184"/>
      <c r="AD1061" s="212">
        <f t="shared" si="419"/>
        <v>46039</v>
      </c>
      <c r="AE1061" s="387"/>
      <c r="AF1061" s="388"/>
      <c r="AG1061" s="388"/>
      <c r="AH1061" s="388"/>
      <c r="AI1061" s="388"/>
      <c r="AJ1061" s="388"/>
      <c r="AK1061" s="388"/>
      <c r="AL1061" s="388"/>
      <c r="AM1061" s="388"/>
      <c r="AN1061" s="388"/>
      <c r="AO1061" s="388"/>
      <c r="AP1061" s="388"/>
      <c r="AQ1061" s="388"/>
      <c r="AR1061" s="388"/>
      <c r="AS1061" s="388"/>
      <c r="AT1061" s="388"/>
      <c r="AU1061" s="388"/>
      <c r="AV1061" s="388"/>
      <c r="AW1061" s="388"/>
      <c r="AX1061" s="388"/>
      <c r="AY1061" s="388"/>
      <c r="AZ1061" s="388"/>
      <c r="BA1061" s="388"/>
      <c r="BB1061" s="389"/>
      <c r="BC1061" s="98">
        <v>1</v>
      </c>
      <c r="BD1061" s="74">
        <v>1</v>
      </c>
      <c r="BE1061" s="75">
        <f t="shared" si="417"/>
        <v>0</v>
      </c>
    </row>
    <row r="1062" spans="1:57" s="1" customFormat="1" ht="18" customHeight="1" thickBot="1" x14ac:dyDescent="0.45">
      <c r="A1062" s="37" t="str">
        <f t="shared" si="410"/>
        <v>17Н</v>
      </c>
      <c r="B1062" s="183"/>
      <c r="C1062" s="41"/>
      <c r="D1062" s="184"/>
      <c r="E1062" s="283">
        <f t="shared" si="418"/>
        <v>46039</v>
      </c>
      <c r="F1062" s="339"/>
      <c r="G1062" s="340"/>
      <c r="H1062" s="340"/>
      <c r="I1062" s="340"/>
      <c r="J1062" s="340"/>
      <c r="K1062" s="340"/>
      <c r="L1062" s="340"/>
      <c r="M1062" s="340"/>
      <c r="N1062" s="340"/>
      <c r="O1062" s="340"/>
      <c r="P1062" s="340"/>
      <c r="Q1062" s="340"/>
      <c r="R1062" s="340"/>
      <c r="S1062" s="340"/>
      <c r="T1062" s="340"/>
      <c r="U1062" s="340"/>
      <c r="V1062" s="340"/>
      <c r="W1062" s="340"/>
      <c r="X1062" s="99">
        <v>1</v>
      </c>
      <c r="Y1062" s="76">
        <v>1</v>
      </c>
      <c r="Z1062" s="77">
        <f t="shared" si="416"/>
        <v>0</v>
      </c>
      <c r="AA1062" s="107">
        <f t="shared" si="420"/>
        <v>0</v>
      </c>
      <c r="AB1062" s="41"/>
      <c r="AC1062" s="184"/>
      <c r="AD1062" s="211">
        <f t="shared" si="419"/>
        <v>46039</v>
      </c>
      <c r="AE1062" s="410"/>
      <c r="AF1062" s="411"/>
      <c r="AG1062" s="411"/>
      <c r="AH1062" s="411"/>
      <c r="AI1062" s="411"/>
      <c r="AJ1062" s="411"/>
      <c r="AK1062" s="411"/>
      <c r="AL1062" s="411"/>
      <c r="AM1062" s="411"/>
      <c r="AN1062" s="411"/>
      <c r="AO1062" s="411"/>
      <c r="AP1062" s="411"/>
      <c r="AQ1062" s="411"/>
      <c r="AR1062" s="411"/>
      <c r="AS1062" s="411"/>
      <c r="AT1062" s="411"/>
      <c r="AU1062" s="411"/>
      <c r="AV1062" s="411"/>
      <c r="AW1062" s="411"/>
      <c r="AX1062" s="411"/>
      <c r="AY1062" s="411"/>
      <c r="AZ1062" s="411"/>
      <c r="BA1062" s="411"/>
      <c r="BB1062" s="412"/>
      <c r="BC1062" s="99">
        <v>1</v>
      </c>
      <c r="BD1062" s="76">
        <v>1</v>
      </c>
      <c r="BE1062" s="75">
        <f t="shared" si="417"/>
        <v>0</v>
      </c>
    </row>
    <row r="1063" spans="1:57" s="1" customFormat="1" ht="23.25" customHeight="1" thickBot="1" x14ac:dyDescent="0.45">
      <c r="A1063" s="37" t="str">
        <f t="shared" si="410"/>
        <v>17Н</v>
      </c>
      <c r="B1063" s="193"/>
      <c r="C1063" s="47"/>
      <c r="D1063" s="47"/>
      <c r="E1063" s="47"/>
      <c r="F1063" s="78"/>
      <c r="G1063" s="78"/>
      <c r="H1063" s="78"/>
      <c r="I1063" s="80"/>
      <c r="J1063" s="80"/>
      <c r="K1063" s="80"/>
      <c r="L1063" s="80"/>
      <c r="M1063" s="80"/>
      <c r="N1063" s="80"/>
      <c r="O1063" s="78"/>
      <c r="P1063" s="81"/>
      <c r="Q1063" s="81"/>
      <c r="R1063" s="81"/>
      <c r="S1063" s="81"/>
      <c r="T1063" s="81"/>
      <c r="U1063" s="82"/>
      <c r="V1063" s="82"/>
      <c r="W1063" s="86"/>
      <c r="X1063" s="194"/>
      <c r="Y1063" s="83"/>
      <c r="Z1063" s="83"/>
      <c r="AA1063" s="78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84"/>
      <c r="AN1063" s="47"/>
      <c r="AO1063" s="78"/>
      <c r="AP1063" s="78"/>
      <c r="AQ1063" s="78"/>
      <c r="AR1063" s="84"/>
      <c r="AS1063" s="78"/>
      <c r="AT1063" s="85"/>
      <c r="AU1063" s="78"/>
      <c r="AV1063" s="83"/>
      <c r="AW1063" s="83"/>
      <c r="AX1063" s="78"/>
      <c r="AY1063" s="78"/>
      <c r="AZ1063" s="78"/>
      <c r="BA1063" s="78"/>
      <c r="BB1063" s="78"/>
      <c r="BC1063" s="78"/>
      <c r="BD1063" s="79"/>
      <c r="BE1063" s="79"/>
    </row>
    <row r="1064" spans="1:57" s="1" customFormat="1" ht="21.6" customHeight="1" thickBot="1" x14ac:dyDescent="0.45">
      <c r="A1064" s="37" t="s">
        <v>180</v>
      </c>
      <c r="B1064" s="59"/>
      <c r="C1064" s="51"/>
      <c r="D1064" s="51"/>
      <c r="E1064" s="51"/>
      <c r="F1064" s="158" t="s">
        <v>147</v>
      </c>
      <c r="G1064" s="51"/>
      <c r="H1064" s="51"/>
      <c r="I1064" s="156"/>
      <c r="J1064" s="156"/>
      <c r="K1064" s="156"/>
      <c r="L1064" s="156"/>
      <c r="M1064" s="156"/>
      <c r="N1064" s="156"/>
      <c r="O1064" s="91"/>
      <c r="P1064" s="52"/>
      <c r="Q1064" s="52"/>
      <c r="R1064" s="52"/>
      <c r="S1064" s="52"/>
      <c r="T1064" s="52"/>
      <c r="U1064" s="157"/>
      <c r="V1064" s="157"/>
      <c r="W1064" s="94"/>
      <c r="X1064" s="94"/>
      <c r="Y1064" s="51"/>
      <c r="Z1064" s="51"/>
      <c r="AA1064" s="157">
        <f>AA1047</f>
        <v>1</v>
      </c>
      <c r="AB1064" s="157">
        <f t="shared" ref="AB1064:AF1064" si="421">AB1047</f>
        <v>2</v>
      </c>
      <c r="AC1064" s="157">
        <f t="shared" si="421"/>
        <v>3</v>
      </c>
      <c r="AD1064" s="157">
        <f t="shared" si="421"/>
        <v>4</v>
      </c>
      <c r="AE1064" s="157">
        <f t="shared" si="421"/>
        <v>5</v>
      </c>
      <c r="AF1064" s="157">
        <f t="shared" si="421"/>
        <v>6</v>
      </c>
      <c r="AG1064" s="162" t="s">
        <v>123</v>
      </c>
      <c r="AH1064" s="162" t="s">
        <v>124</v>
      </c>
      <c r="AI1064" s="162" t="s">
        <v>125</v>
      </c>
      <c r="AJ1064" s="91" t="s">
        <v>126</v>
      </c>
      <c r="AK1064" s="198" t="s">
        <v>136</v>
      </c>
      <c r="AL1064" s="198" t="s">
        <v>137</v>
      </c>
      <c r="AM1064" s="198" t="s">
        <v>138</v>
      </c>
      <c r="AN1064" s="91"/>
      <c r="AO1064" s="91"/>
      <c r="AP1064" s="91"/>
      <c r="AQ1064" s="91"/>
      <c r="AR1064" s="91"/>
      <c r="AS1064" s="91"/>
      <c r="AT1064" s="91"/>
      <c r="AU1064" s="91"/>
      <c r="AV1064" s="91"/>
      <c r="AW1064" s="91"/>
      <c r="AX1064" s="91"/>
      <c r="AY1064" s="91"/>
      <c r="AZ1064" s="91"/>
      <c r="BA1064" s="91"/>
      <c r="BB1064" s="91"/>
      <c r="BC1064" s="91"/>
      <c r="BD1064" s="91"/>
      <c r="BE1064" s="91"/>
    </row>
    <row r="1065" spans="1:57" s="1" customFormat="1" ht="21.6" customHeight="1" x14ac:dyDescent="0.4">
      <c r="A1065" s="37" t="str">
        <f>A1064</f>
        <v>18Д</v>
      </c>
      <c r="B1065" s="12">
        <f>B1046+1</f>
        <v>46040</v>
      </c>
      <c r="C1065" s="97"/>
      <c r="D1065" s="97">
        <v>1</v>
      </c>
      <c r="E1065" s="29"/>
      <c r="F1065" s="151" t="str">
        <f>IFERROR(VLOOKUP($G1065,нормы!$A$14:$BC$57,2,0),"")</f>
        <v/>
      </c>
      <c r="G1065" s="93"/>
      <c r="H1065" s="54">
        <f>IF(C1065=1,"Кульков С.А.", IF(C1065=2,"Чудаков А.А.",IF(C1065=3,"Королев В.Н.",IF(C1065=4,"Николашин М.П.",IF(C1065=5," Кульков С.А.",IF(C1065=6,"А.А. Чудаков",IF(C1065=7,"В.Н. Королев",IF(C1065=8,"М.П. Николашин",0))))))))</f>
        <v>0</v>
      </c>
      <c r="I1065" s="88" t="s">
        <v>84</v>
      </c>
      <c r="J1065" s="332"/>
      <c r="K1065" s="30">
        <f>IFERROR(VLOOKUP($G1065,[1]нормы!$A$21:$BC$151,15,0),"")</f>
        <v>0</v>
      </c>
      <c r="L1065" s="31">
        <f>IFERROR(VLOOKUP($G1065,[1]нормы!$A$21:$BC$151,17,0),"")</f>
        <v>0</v>
      </c>
      <c r="M1065" s="310">
        <f>IFERROR(VLOOKUP($G1065,[1]нормы!$A$21:$BC$151,27,0),"")</f>
        <v>0</v>
      </c>
      <c r="N1065" s="311" t="str">
        <f>IFERROR(Y1065/Y1071*(1.1*J1065*I1070),"")</f>
        <v/>
      </c>
      <c r="O1065" s="300">
        <f>IFERROR(VLOOKUP($G1065,[1]нормы!$A$21:$BC$151,21,0),"")</f>
        <v>0</v>
      </c>
      <c r="P1065" s="35">
        <f>IFERROR(VLOOKUP($G1065,[1]нормы!$A$21:$BC$151,19,0),"")</f>
        <v>0</v>
      </c>
      <c r="Q1065" s="35">
        <f>IFERROR(VLOOKUP($G1065,[1]нормы!$A$21:$BC$151,23,0),"")</f>
        <v>0</v>
      </c>
      <c r="R1065" s="231">
        <f>IFERROR(VLOOKUP($G1065,[1]нормы!$A$21:$BC$151,29,0),"")</f>
        <v>0</v>
      </c>
      <c r="S1065" s="35">
        <f>IFERROR(VLOOKUP($G1065,[1]нормы!$A$21:$BC$151,31,0),"")</f>
        <v>0</v>
      </c>
      <c r="T1065" s="32">
        <f>IFERROR(VLOOKUP($G1065,[1]нормы!$A$21:$BC$151,25,0),"")</f>
        <v>0</v>
      </c>
      <c r="U1065" s="232" t="str">
        <f>IFERROR(W1065/(((100*Y1065/Y1071)*I1070)/100),"")</f>
        <v/>
      </c>
      <c r="V1065" s="234" t="str">
        <f>IFERROR(VLOOKUP($G1065,нормы!$A$14:$BC$57,38,0),"")</f>
        <v/>
      </c>
      <c r="W1065" s="136"/>
      <c r="X1065" s="236"/>
      <c r="Y1065" s="152" t="str">
        <f>IFERROR(VLOOKUP($G1065,нормы!$A$14:$BC$57,42,0)*W1065,"")</f>
        <v/>
      </c>
      <c r="Z1065" s="163">
        <f>IFERROR(VLOOKUP($G1065,нормы!$A$14:$BC$57,14,0)*W1065/1000,0)</f>
        <v>0</v>
      </c>
      <c r="AA1065" s="33"/>
      <c r="AB1065" s="36"/>
      <c r="AC1065" s="36"/>
      <c r="AD1065" s="36"/>
      <c r="AE1065" s="34"/>
      <c r="AF1065" s="159"/>
      <c r="AG1065" s="390"/>
      <c r="AH1065" s="393"/>
      <c r="AI1065" s="396"/>
      <c r="AJ1065" s="407">
        <f>AG1065+AH1065</f>
        <v>0</v>
      </c>
      <c r="AK1065" s="359"/>
      <c r="AL1065" s="359"/>
      <c r="AM1065" s="359"/>
      <c r="AN1065" s="287">
        <f>IFERROR(Y1065*AJ1065/Y1071,)</f>
        <v>0</v>
      </c>
      <c r="AO1065" s="197" t="str">
        <f>IFERROR(VLOOKUP($G1065,нормы!$A$14:$BC$57,53,0)*$W1065,"")</f>
        <v/>
      </c>
      <c r="AP1065" s="288">
        <f>IFERROR(Y1065*AI1065/Y1071,)</f>
        <v>0</v>
      </c>
      <c r="AQ1065" s="197" t="str">
        <f>IFERROR(VLOOKUP($G1065,нормы!$A$14:$BC$57,54,0)*$W1065,"")</f>
        <v/>
      </c>
      <c r="AR1065" s="288">
        <f>IFERROR(AS1065/SUM(AS1065:AS1070)*AL1065,0)</f>
        <v>0</v>
      </c>
      <c r="AS1065" s="197" t="str">
        <f>IFERROR(VLOOKUP($G1065,нормы!$A$14:$BC$57,55,0)*W1065,"")</f>
        <v/>
      </c>
      <c r="AT1065" s="288">
        <f>IFERROR(AU1065/SUM(AU1065:AU1070)*AM1065,0)</f>
        <v>0</v>
      </c>
      <c r="AU1065" s="197" t="str">
        <f>IFERROR(VLOOKUP($G1065,нормы!$A$14:$BI$57,56,0)*W1065,"")</f>
        <v/>
      </c>
      <c r="AV1065" s="288">
        <f>IFERROR(AW1065/SUM(AW1065:AW1070)*AK1065,0)</f>
        <v>0</v>
      </c>
      <c r="AW1065" s="202" t="str">
        <f>IFERROR(VLOOKUP($G1065,нормы!$A$14:$BI$57,57,0)*W1065,"")</f>
        <v/>
      </c>
      <c r="AX1065" s="33"/>
      <c r="AY1065" s="203" t="str">
        <f>IFERROR(VLOOKUP($G1065,нормы!$A$14:$BI$57,58,0)*W1065,"")</f>
        <v/>
      </c>
      <c r="AZ1065" s="204"/>
      <c r="BA1065" s="200" t="str">
        <f>IFERROR(VLOOKUP($G1065,нормы!$A$14:$BI$57,61,0)*$W1065,"")</f>
        <v/>
      </c>
      <c r="BB1065" s="33"/>
      <c r="BC1065" s="203" t="str">
        <f>IFERROR(VLOOKUP($G1065,нормы!$A$14:$BI$57,60,0)*W1065,"")</f>
        <v/>
      </c>
      <c r="BD1065" s="200" t="str">
        <f>IFERROR(VLOOKUP($G1065,нормы!$A$14:$BG$57,44,0),"")</f>
        <v/>
      </c>
      <c r="BE1065" s="199" t="str">
        <f>IFERROR(W1065/VLOOKUP($G1065,нормы!$A$14:$BI$57,45,0),"")</f>
        <v/>
      </c>
    </row>
    <row r="1066" spans="1:57" s="1" customFormat="1" ht="21.6" customHeight="1" x14ac:dyDescent="0.4">
      <c r="A1066" s="37" t="str">
        <f t="shared" ref="A1066:A1094" si="422">A1065</f>
        <v>18Д</v>
      </c>
      <c r="B1066" s="12">
        <f t="shared" ref="B1066:D1070" si="423">B1065</f>
        <v>46040</v>
      </c>
      <c r="C1066" s="97">
        <f t="shared" si="423"/>
        <v>0</v>
      </c>
      <c r="D1066" s="97">
        <f t="shared" si="423"/>
        <v>1</v>
      </c>
      <c r="E1066" s="54"/>
      <c r="F1066" s="151" t="str">
        <f>IFERROR(VLOOKUP($G1066,нормы!$A$14:$BC$57,2,0),"")</f>
        <v/>
      </c>
      <c r="G1066" s="93"/>
      <c r="H1066" s="54">
        <f t="shared" ref="H1066:H1070" si="424">IF(C1066=1,"Кульков С.А.", IF(C1066=2,"Чудаков А.А.",IF(C1066=3,"Королев В.Н.",IF(C1066=4,"Николашин М.П.",IF(C1066=5," Кульков С.А.",IF(C1066=6,"А.А. Чудаков",IF(C1066=7,"В.Н. Королев",IF(C1066=8,"М.П. Николашин",0))))))))</f>
        <v>0</v>
      </c>
      <c r="I1066" s="55"/>
      <c r="J1066" s="333"/>
      <c r="K1066" s="30">
        <f>IFERROR(VLOOKUP($G1066,[1]нормы!$A$21:$BC$151,15,0),"")</f>
        <v>0</v>
      </c>
      <c r="L1066" s="31">
        <f>IFERROR(VLOOKUP($G1066,[1]нормы!$A$21:$BC$151,17,0),"")</f>
        <v>0</v>
      </c>
      <c r="M1066" s="306">
        <f>IFERROR(VLOOKUP($G1066,[1]нормы!$A$21:$BC$151,27,0),"")</f>
        <v>0</v>
      </c>
      <c r="N1066" s="307" t="str">
        <f>IFERROR(Y1066/Y1071*(1.1*J1065*I1070),"")</f>
        <v/>
      </c>
      <c r="O1066" s="300">
        <f>IFERROR(VLOOKUP($G1066,[1]нормы!$A$21:$BC$151,21,0),"")</f>
        <v>0</v>
      </c>
      <c r="P1066" s="35">
        <f>IFERROR(VLOOKUP($G1066,[1]нормы!$A$21:$BC$151,19,0),"")</f>
        <v>0</v>
      </c>
      <c r="Q1066" s="35">
        <f>IFERROR(VLOOKUP($G1066,[1]нормы!$A$21:$BC$151,23,0),"")</f>
        <v>0</v>
      </c>
      <c r="R1066" s="231">
        <f>IFERROR(VLOOKUP($G1066,[1]нормы!$A$21:$BC$151,29,0),"")</f>
        <v>0</v>
      </c>
      <c r="S1066" s="35">
        <f>IFERROR(VLOOKUP($G1066,[1]нормы!$A$21:$BC$151,31,0),"")</f>
        <v>0</v>
      </c>
      <c r="T1066" s="32">
        <f>IFERROR(VLOOKUP($G1066,[1]нормы!$A$21:$BC$151,25,0),"")</f>
        <v>0</v>
      </c>
      <c r="U1066" s="233" t="str">
        <f>IFERROR(W1066/(((100*Y1066/Y1071)*I1070)/100),"")</f>
        <v/>
      </c>
      <c r="V1066" s="234" t="str">
        <f>IFERROR(VLOOKUP($G1066,нормы!$A$14:$BC$57,38,0),"")</f>
        <v/>
      </c>
      <c r="W1066" s="136"/>
      <c r="X1066" s="237"/>
      <c r="Y1066" s="152" t="str">
        <f>IFERROR(VLOOKUP($G1066,нормы!$A$14:$BC$57,42,0)*W1066,"")</f>
        <v/>
      </c>
      <c r="Z1066" s="163">
        <f>IFERROR(VLOOKUP($G1066,нормы!$A$14:$BC$57,14,0)*W1066/1000,0)</f>
        <v>0</v>
      </c>
      <c r="AA1066" s="142"/>
      <c r="AB1066" s="35"/>
      <c r="AC1066" s="35"/>
      <c r="AD1066" s="35"/>
      <c r="AE1066" s="31"/>
      <c r="AF1066" s="160"/>
      <c r="AG1066" s="391"/>
      <c r="AH1066" s="394"/>
      <c r="AI1066" s="397"/>
      <c r="AJ1066" s="408"/>
      <c r="AK1066" s="360"/>
      <c r="AL1066" s="360"/>
      <c r="AM1066" s="360"/>
      <c r="AN1066" s="289">
        <f>IFERROR(Y1066*AJ1065/Y1071,)</f>
        <v>0</v>
      </c>
      <c r="AO1066" s="197" t="str">
        <f>IFERROR(VLOOKUP($G1066,нормы!$A$14:$BC$57,53,0)*$W1066,"")</f>
        <v/>
      </c>
      <c r="AP1066" s="290">
        <f>IFERROR(Y1066*AI1065/Y1071,)</f>
        <v>0</v>
      </c>
      <c r="AQ1066" s="197" t="str">
        <f>IFERROR(VLOOKUP($G1066,нормы!$A$14:$BC$57,54,0)*$W1066,"")</f>
        <v/>
      </c>
      <c r="AR1066" s="290">
        <f>IFERROR(AS1066/SUM(AS1065:AS1070)*AL1065,0)</f>
        <v>0</v>
      </c>
      <c r="AS1066" s="197" t="str">
        <f>IFERROR(VLOOKUP($G1066,нормы!$A$14:$BC$57,55,0)*W1066,"")</f>
        <v/>
      </c>
      <c r="AT1066" s="290">
        <f>IFERROR(AU1066/SUM(AU1065:AU1070)*AM1065,0)</f>
        <v>0</v>
      </c>
      <c r="AU1066" s="197" t="str">
        <f>IFERROR(VLOOKUP($G1066,нормы!$A$14:$BI$57,56,0)*W1066,"")</f>
        <v/>
      </c>
      <c r="AV1066" s="290">
        <f>IFERROR(AW1066/SUM(AW1065:AW1070)*AK1065,0)</f>
        <v>0</v>
      </c>
      <c r="AW1066" s="202" t="str">
        <f>IFERROR(VLOOKUP($G1066,нормы!$A$14:$BI$57,57,0)*W1066,"")</f>
        <v/>
      </c>
      <c r="AX1066" s="30"/>
      <c r="AY1066" s="203" t="str">
        <f>IFERROR(VLOOKUP($G1066,нормы!$A$14:$BI$57,58,0)*W1066,"")</f>
        <v/>
      </c>
      <c r="AZ1066" s="205"/>
      <c r="BA1066" s="200" t="str">
        <f>IFERROR(VLOOKUP($G1066,нормы!$A$14:$BI$57,61,0)*$W1066,"")</f>
        <v/>
      </c>
      <c r="BB1066" s="30"/>
      <c r="BC1066" s="203" t="str">
        <f>IFERROR(VLOOKUP($G1066,нормы!$A$14:$BI$57,60,0)*W1066,"")</f>
        <v/>
      </c>
      <c r="BD1066" s="200" t="str">
        <f>IFERROR(VLOOKUP($G1066,нормы!$A$14:$BG$57,44,0),"")</f>
        <v/>
      </c>
      <c r="BE1066" s="199" t="str">
        <f>IFERROR(W1066/VLOOKUP($G1066,нормы!$A$14:$BI$57,45,0),"")</f>
        <v/>
      </c>
    </row>
    <row r="1067" spans="1:57" s="1" customFormat="1" ht="20.25" customHeight="1" x14ac:dyDescent="0.4">
      <c r="A1067" s="37" t="str">
        <f t="shared" si="422"/>
        <v>18Д</v>
      </c>
      <c r="B1067" s="12">
        <f t="shared" si="423"/>
        <v>46040</v>
      </c>
      <c r="C1067" s="97">
        <f t="shared" si="423"/>
        <v>0</v>
      </c>
      <c r="D1067" s="97">
        <f t="shared" si="423"/>
        <v>1</v>
      </c>
      <c r="E1067" s="54"/>
      <c r="F1067" s="151" t="str">
        <f>IFERROR(VLOOKUP($G1067,нормы!$A$14:$BC$57,2,0),"")</f>
        <v/>
      </c>
      <c r="G1067" s="38"/>
      <c r="H1067" s="54">
        <f t="shared" si="424"/>
        <v>0</v>
      </c>
      <c r="I1067" s="89" t="s">
        <v>85</v>
      </c>
      <c r="J1067" s="333"/>
      <c r="K1067" s="30">
        <f>IFERROR(VLOOKUP($G1067,[1]нормы!$A$21:$BC$151,15,0),"")</f>
        <v>0</v>
      </c>
      <c r="L1067" s="31">
        <f>IFERROR(VLOOKUP($G1067,[1]нормы!$A$21:$BC$151,17,0),"")</f>
        <v>0</v>
      </c>
      <c r="M1067" s="306">
        <f>IFERROR(VLOOKUP($G1067,[1]нормы!$A$21:$BC$151,27,0),"")</f>
        <v>0</v>
      </c>
      <c r="N1067" s="307" t="str">
        <f>IFERROR(Y1067/Y1071*(1.1*J1065*I1070),"")</f>
        <v/>
      </c>
      <c r="O1067" s="300">
        <f>IFERROR(VLOOKUP($G1067,[1]нормы!$A$21:$BC$151,21,0),"")</f>
        <v>0</v>
      </c>
      <c r="P1067" s="35">
        <f>IFERROR(VLOOKUP($G1067,[1]нормы!$A$21:$BC$151,19,0),"")</f>
        <v>0</v>
      </c>
      <c r="Q1067" s="35">
        <f>IFERROR(VLOOKUP($G1067,[1]нормы!$A$21:$BC$151,23,0),"")</f>
        <v>0</v>
      </c>
      <c r="R1067" s="231">
        <f>IFERROR(VLOOKUP($G1067,[1]нормы!$A$21:$BC$151,29,0),"")</f>
        <v>0</v>
      </c>
      <c r="S1067" s="35">
        <f>IFERROR(VLOOKUP($G1067,[1]нормы!$A$21:$BC$151,31,0),"")</f>
        <v>0</v>
      </c>
      <c r="T1067" s="32">
        <f>IFERROR(VLOOKUP($G1067,[1]нормы!$A$21:$BC$151,25,0),"")</f>
        <v>0</v>
      </c>
      <c r="U1067" s="233" t="str">
        <f>IFERROR(W1067/(((100*Y1067/Y1071)*I1070)/100),"")</f>
        <v/>
      </c>
      <c r="V1067" s="234" t="str">
        <f>IFERROR(VLOOKUP($G1067,нормы!$A$14:$BC$57,38,0),"")</f>
        <v/>
      </c>
      <c r="W1067" s="136"/>
      <c r="X1067" s="237"/>
      <c r="Y1067" s="152" t="str">
        <f>IFERROR(VLOOKUP($G1067,нормы!$A$14:$BC$57,42,0)*W1067,"")</f>
        <v/>
      </c>
      <c r="Z1067" s="163">
        <f>IFERROR(VLOOKUP($G1067,нормы!$A$14:$BC$57,14,0)*W1067/1000,0)</f>
        <v>0</v>
      </c>
      <c r="AA1067" s="30"/>
      <c r="AB1067" s="35"/>
      <c r="AC1067" s="35"/>
      <c r="AD1067" s="35"/>
      <c r="AE1067" s="31"/>
      <c r="AF1067" s="160"/>
      <c r="AG1067" s="391"/>
      <c r="AH1067" s="394"/>
      <c r="AI1067" s="397"/>
      <c r="AJ1067" s="408"/>
      <c r="AK1067" s="360"/>
      <c r="AL1067" s="360"/>
      <c r="AM1067" s="360"/>
      <c r="AN1067" s="289">
        <f>IFERROR(Y1067*AJ1065/Y1071,)</f>
        <v>0</v>
      </c>
      <c r="AO1067" s="197" t="str">
        <f>IFERROR(VLOOKUP($G1067,нормы!$A$14:$BC$57,53,0)*$W1067,"")</f>
        <v/>
      </c>
      <c r="AP1067" s="290">
        <f>IFERROR(Y1067*AI1065/Y1071,)</f>
        <v>0</v>
      </c>
      <c r="AQ1067" s="197" t="str">
        <f>IFERROR(VLOOKUP($G1067,нормы!$A$14:$BC$57,54,0)*$W1067,"")</f>
        <v/>
      </c>
      <c r="AR1067" s="290">
        <f>IFERROR(AS1067/SUM(AS1065:AS1070)*AL1065,0)</f>
        <v>0</v>
      </c>
      <c r="AS1067" s="197" t="str">
        <f>IFERROR(VLOOKUP($G1067,нормы!$A$14:$BC$57,55,0)*W1067,"")</f>
        <v/>
      </c>
      <c r="AT1067" s="290">
        <f>IFERROR(AU1067/SUM(AU1065:AU1070)*AM1065,0)</f>
        <v>0</v>
      </c>
      <c r="AU1067" s="197" t="str">
        <f>IFERROR(VLOOKUP($G1067,нормы!$A$14:$BI$57,56,0)*W1067,"")</f>
        <v/>
      </c>
      <c r="AV1067" s="290">
        <f>IFERROR(AW1067/SUM(AW1065:AW1070)*AK1065,0)</f>
        <v>0</v>
      </c>
      <c r="AW1067" s="202" t="str">
        <f>IFERROR(VLOOKUP($G1067,нормы!$A$14:$BI$57,57,0)*W1067,"")</f>
        <v/>
      </c>
      <c r="AX1067" s="30"/>
      <c r="AY1067" s="203" t="str">
        <f>IFERROR(VLOOKUP($G1067,нормы!$A$14:$BI$57,58,0)*W1067,"")</f>
        <v/>
      </c>
      <c r="AZ1067" s="205"/>
      <c r="BA1067" s="200" t="str">
        <f>IFERROR(VLOOKUP($G1067,нормы!$A$14:$BI$57,61,0)*$W1067,"")</f>
        <v/>
      </c>
      <c r="BB1067" s="30"/>
      <c r="BC1067" s="203" t="str">
        <f>IFERROR(VLOOKUP($G1067,нормы!$A$14:$BI$57,60,0)*W1067,"")</f>
        <v/>
      </c>
      <c r="BD1067" s="200" t="str">
        <f>IFERROR(VLOOKUP($G1067,нормы!$A$14:$BG$57,44,0),"")</f>
        <v/>
      </c>
      <c r="BE1067" s="199" t="str">
        <f>IFERROR(W1067/VLOOKUP($G1067,нормы!$A$14:$BI$57,45,0),"")</f>
        <v/>
      </c>
    </row>
    <row r="1068" spans="1:57" s="1" customFormat="1" ht="20.25" customHeight="1" x14ac:dyDescent="0.4">
      <c r="A1068" s="37" t="str">
        <f t="shared" si="422"/>
        <v>18Д</v>
      </c>
      <c r="B1068" s="12">
        <f t="shared" si="423"/>
        <v>46040</v>
      </c>
      <c r="C1068" s="97">
        <f t="shared" si="423"/>
        <v>0</v>
      </c>
      <c r="D1068" s="97">
        <f t="shared" si="423"/>
        <v>1</v>
      </c>
      <c r="E1068" s="54"/>
      <c r="F1068" s="151" t="str">
        <f>IFERROR(VLOOKUP($G1068,нормы!$A$14:$BC$57,2,0),"")</f>
        <v/>
      </c>
      <c r="G1068" s="93"/>
      <c r="H1068" s="54">
        <f t="shared" si="424"/>
        <v>0</v>
      </c>
      <c r="I1068" s="55"/>
      <c r="J1068" s="333"/>
      <c r="K1068" s="30">
        <f>IFERROR(VLOOKUP($G1068,[1]нормы!$A$21:$BC$151,15,0),"")</f>
        <v>0</v>
      </c>
      <c r="L1068" s="31">
        <f>IFERROR(VLOOKUP($G1068,[1]нормы!$A$21:$BC$151,17,0),"")</f>
        <v>0</v>
      </c>
      <c r="M1068" s="306">
        <f>IFERROR(VLOOKUP($G1068,[1]нормы!$A$21:$BC$151,27,0),"")</f>
        <v>0</v>
      </c>
      <c r="N1068" s="307" t="str">
        <f>IFERROR(Y1068/Y1071*(1.1*J1065*I1073),"")</f>
        <v/>
      </c>
      <c r="O1068" s="300">
        <f>IFERROR(VLOOKUP($G1068,[1]нормы!$A$21:$BC$151,21,0),"")</f>
        <v>0</v>
      </c>
      <c r="P1068" s="35">
        <f>IFERROR(VLOOKUP($G1068,[1]нормы!$A$21:$BC$151,19,0),"")</f>
        <v>0</v>
      </c>
      <c r="Q1068" s="35">
        <f>IFERROR(VLOOKUP($G1068,[1]нормы!$A$21:$BC$151,23,0),"")</f>
        <v>0</v>
      </c>
      <c r="R1068" s="231">
        <f>IFERROR(VLOOKUP($G1068,[1]нормы!$A$21:$BC$151,29,0),"")</f>
        <v>0</v>
      </c>
      <c r="S1068" s="35">
        <f>IFERROR(VLOOKUP($G1068,[1]нормы!$A$21:$BC$151,31,0),"")</f>
        <v>0</v>
      </c>
      <c r="T1068" s="32">
        <f>IFERROR(VLOOKUP($G1068,[1]нормы!$A$21:$BC$151,25,0),"")</f>
        <v>0</v>
      </c>
      <c r="U1068" s="233" t="str">
        <f>IFERROR(W1068/(((100*Y1068/Y1071)*I1070)/100),"")</f>
        <v/>
      </c>
      <c r="V1068" s="234" t="str">
        <f>IFERROR(VLOOKUP($G1068,нормы!$A$14:$BC$57,38,0),"")</f>
        <v/>
      </c>
      <c r="W1068" s="136"/>
      <c r="X1068" s="237"/>
      <c r="Y1068" s="152" t="str">
        <f>IFERROR(VLOOKUP($G1068,нормы!$A$14:$BC$57,42,0)*W1068,"")</f>
        <v/>
      </c>
      <c r="Z1068" s="163">
        <f>IFERROR(VLOOKUP($G1068,нормы!$A$14:$BC$57,14,0)*W1068/1000,0)</f>
        <v>0</v>
      </c>
      <c r="AA1068" s="30"/>
      <c r="AB1068" s="35"/>
      <c r="AC1068" s="35"/>
      <c r="AD1068" s="35"/>
      <c r="AE1068" s="31"/>
      <c r="AF1068" s="160"/>
      <c r="AG1068" s="391"/>
      <c r="AH1068" s="394"/>
      <c r="AI1068" s="397"/>
      <c r="AJ1068" s="408"/>
      <c r="AK1068" s="360"/>
      <c r="AL1068" s="360"/>
      <c r="AM1068" s="360"/>
      <c r="AN1068" s="289">
        <f>IFERROR(Y1068*AJ1065/Y1071,)</f>
        <v>0</v>
      </c>
      <c r="AO1068" s="197" t="str">
        <f>IFERROR(VLOOKUP($G1068,нормы!$A$14:$BC$57,53,0)*$W1068,"")</f>
        <v/>
      </c>
      <c r="AP1068" s="290">
        <f>IFERROR(Y1068*AI1065/Y1071,)</f>
        <v>0</v>
      </c>
      <c r="AQ1068" s="197" t="str">
        <f>IFERROR(VLOOKUP($G1068,нормы!$A$14:$BC$57,54,0)*$W1068,"")</f>
        <v/>
      </c>
      <c r="AR1068" s="290">
        <f>IFERROR(AS1068/SUM(AS1065:AS1070)*AL1065,0)</f>
        <v>0</v>
      </c>
      <c r="AS1068" s="197" t="str">
        <f>IFERROR(VLOOKUP($G1068,нормы!$A$14:$BC$57,55,0)*W1068,"")</f>
        <v/>
      </c>
      <c r="AT1068" s="290">
        <f>IFERROR(AU1068/SUM(AU1065:AU1070)*AM1065,0)</f>
        <v>0</v>
      </c>
      <c r="AU1068" s="197" t="str">
        <f>IFERROR(VLOOKUP($G1068,нормы!$A$14:$BI$57,56,0)*W1068,"")</f>
        <v/>
      </c>
      <c r="AV1068" s="290">
        <f>IFERROR(AW1068/SUM(AW1065:AW1070)*AK1065,0)</f>
        <v>0</v>
      </c>
      <c r="AW1068" s="202" t="str">
        <f>IFERROR(VLOOKUP($G1068,нормы!$A$14:$BI$57,57,0)*W1068,"")</f>
        <v/>
      </c>
      <c r="AX1068" s="30"/>
      <c r="AY1068" s="203" t="str">
        <f>IFERROR(VLOOKUP($G1068,нормы!$A$14:$BI$57,58,0)*W1068,"")</f>
        <v/>
      </c>
      <c r="AZ1068" s="205"/>
      <c r="BA1068" s="200" t="str">
        <f>IFERROR(VLOOKUP($G1068,нормы!$A$14:$BI$57,61,0)*$W1068,"")</f>
        <v/>
      </c>
      <c r="BB1068" s="30"/>
      <c r="BC1068" s="203" t="str">
        <f>IFERROR(VLOOKUP($G1068,нормы!$A$14:$BI$57,60,0)*W1068,"")</f>
        <v/>
      </c>
      <c r="BD1068" s="200" t="str">
        <f>IFERROR(VLOOKUP($G1068,нормы!$A$14:$BG$57,44,0),"")</f>
        <v/>
      </c>
      <c r="BE1068" s="199" t="str">
        <f>IFERROR(W1068/VLOOKUP($G1068,нормы!$A$14:$BI$57,45,0),"")</f>
        <v/>
      </c>
    </row>
    <row r="1069" spans="1:57" s="1" customFormat="1" ht="20.25" customHeight="1" x14ac:dyDescent="0.4">
      <c r="A1069" s="37" t="str">
        <f t="shared" si="422"/>
        <v>18Д</v>
      </c>
      <c r="B1069" s="12">
        <f t="shared" si="423"/>
        <v>46040</v>
      </c>
      <c r="C1069" s="97">
        <f t="shared" si="423"/>
        <v>0</v>
      </c>
      <c r="D1069" s="97">
        <f t="shared" si="423"/>
        <v>1</v>
      </c>
      <c r="E1069" s="54"/>
      <c r="F1069" s="151" t="str">
        <f>IFERROR(VLOOKUP($G1069,нормы!$A$14:$BC$57,2,0),"")</f>
        <v/>
      </c>
      <c r="G1069" s="38"/>
      <c r="H1069" s="54">
        <f t="shared" si="424"/>
        <v>0</v>
      </c>
      <c r="I1069" s="89" t="s">
        <v>73</v>
      </c>
      <c r="J1069" s="333"/>
      <c r="K1069" s="30">
        <f>IFERROR(VLOOKUP($G1069,[1]нормы!$A$21:$BC$151,15,0),"")</f>
        <v>0</v>
      </c>
      <c r="L1069" s="31">
        <f>IFERROR(VLOOKUP($G1069,[1]нормы!$A$21:$BC$151,17,0),"")</f>
        <v>0</v>
      </c>
      <c r="M1069" s="306">
        <f>IFERROR(VLOOKUP($G1069,[1]нормы!$A$21:$BC$151,27,0),"")</f>
        <v>0</v>
      </c>
      <c r="N1069" s="307" t="str">
        <f>IFERROR(Y1069/Y1071*(1.1*J1065*I1074),"")</f>
        <v/>
      </c>
      <c r="O1069" s="300">
        <f>IFERROR(VLOOKUP($G1069,[1]нормы!$A$21:$BC$151,21,0),"")</f>
        <v>0</v>
      </c>
      <c r="P1069" s="35">
        <f>IFERROR(VLOOKUP($G1069,[1]нормы!$A$21:$BC$151,19,0),"")</f>
        <v>0</v>
      </c>
      <c r="Q1069" s="35">
        <f>IFERROR(VLOOKUP($G1069,[1]нормы!$A$21:$BC$151,23,0),"")</f>
        <v>0</v>
      </c>
      <c r="R1069" s="231">
        <f>IFERROR(VLOOKUP($G1069,[1]нормы!$A$21:$BC$151,29,0),"")</f>
        <v>0</v>
      </c>
      <c r="S1069" s="35">
        <f>IFERROR(VLOOKUP($G1069,[1]нормы!$A$21:$BC$151,31,0),"")</f>
        <v>0</v>
      </c>
      <c r="T1069" s="32">
        <f>IFERROR(VLOOKUP($G1069,[1]нормы!$A$21:$BC$151,25,0),"")</f>
        <v>0</v>
      </c>
      <c r="U1069" s="233" t="str">
        <f>IFERROR(W1069/(((100*Y1069/Y1071)*I1070)/100),"")</f>
        <v/>
      </c>
      <c r="V1069" s="234" t="str">
        <f>IFERROR(VLOOKUP($G1069,нормы!$A$14:$BC$57,38,0),"")</f>
        <v/>
      </c>
      <c r="W1069" s="136"/>
      <c r="X1069" s="237"/>
      <c r="Y1069" s="152" t="str">
        <f>IFERROR(VLOOKUP($G1069,нормы!$A$14:$BC$57,42,0)*W1069,"")</f>
        <v/>
      </c>
      <c r="Z1069" s="163">
        <f>IFERROR(VLOOKUP($G1069,нормы!$A$14:$BC$57,14,0)*W1069/1000,0)</f>
        <v>0</v>
      </c>
      <c r="AA1069" s="30"/>
      <c r="AB1069" s="35"/>
      <c r="AC1069" s="35"/>
      <c r="AD1069" s="35"/>
      <c r="AE1069" s="31"/>
      <c r="AF1069" s="160"/>
      <c r="AG1069" s="391"/>
      <c r="AH1069" s="394"/>
      <c r="AI1069" s="397"/>
      <c r="AJ1069" s="408"/>
      <c r="AK1069" s="360"/>
      <c r="AL1069" s="360"/>
      <c r="AM1069" s="360"/>
      <c r="AN1069" s="289">
        <f>IFERROR(Y1069*AJ1065/Y1071,)</f>
        <v>0</v>
      </c>
      <c r="AO1069" s="197" t="str">
        <f>IFERROR(VLOOKUP($G1069,нормы!$A$14:$BC$57,53,0)*$W1069,"")</f>
        <v/>
      </c>
      <c r="AP1069" s="290">
        <f>IFERROR(Y1069*AI1065/Y1071,)</f>
        <v>0</v>
      </c>
      <c r="AQ1069" s="197" t="str">
        <f>IFERROR(VLOOKUP($G1069,нормы!$A$14:$BC$57,54,0)*$W1069,"")</f>
        <v/>
      </c>
      <c r="AR1069" s="290">
        <f>IFERROR(AS1069/SUM(AS1065:AS1070)*AL1065,0)</f>
        <v>0</v>
      </c>
      <c r="AS1069" s="197" t="str">
        <f>IFERROR(VLOOKUP($G1069,нормы!$A$14:$BC$57,55,0)*W1069,"")</f>
        <v/>
      </c>
      <c r="AT1069" s="290">
        <f>IFERROR(AU1069/SUM(AU1065:AU1070)*AM1065,0)</f>
        <v>0</v>
      </c>
      <c r="AU1069" s="197" t="str">
        <f>IFERROR(VLOOKUP($G1069,нормы!$A$14:$BI$57,56,0)*W1069,"")</f>
        <v/>
      </c>
      <c r="AV1069" s="290">
        <f>IFERROR(AW1069/SUM(AW1065:AW1070)*AK1065,0)</f>
        <v>0</v>
      </c>
      <c r="AW1069" s="202" t="str">
        <f>IFERROR(VLOOKUP($G1069,нормы!$A$14:$BI$57,57,0)*W1069,"")</f>
        <v/>
      </c>
      <c r="AX1069" s="30"/>
      <c r="AY1069" s="203" t="str">
        <f>IFERROR(VLOOKUP($G1069,нормы!$A$14:$BI$57,58,0)*W1069,"")</f>
        <v/>
      </c>
      <c r="AZ1069" s="205"/>
      <c r="BA1069" s="200" t="str">
        <f>IFERROR(VLOOKUP($G1069,нормы!$A$14:$BI$57,61,0)*$W1069,"")</f>
        <v/>
      </c>
      <c r="BB1069" s="30"/>
      <c r="BC1069" s="203" t="str">
        <f>IFERROR(VLOOKUP($G1069,нормы!$A$14:$BI$57,60,0)*W1069,"")</f>
        <v/>
      </c>
      <c r="BD1069" s="200" t="str">
        <f>IFERROR(VLOOKUP($G1069,нормы!$A$14:$BG$57,44,0),"")</f>
        <v/>
      </c>
      <c r="BE1069" s="199" t="str">
        <f>IFERROR(W1069/VLOOKUP($G1069,нормы!$A$14:$BI$57,45,0),"")</f>
        <v/>
      </c>
    </row>
    <row r="1070" spans="1:57" s="1" customFormat="1" ht="21" customHeight="1" thickBot="1" x14ac:dyDescent="0.45">
      <c r="A1070" s="37" t="str">
        <f t="shared" si="422"/>
        <v>18Д</v>
      </c>
      <c r="B1070" s="12">
        <f t="shared" si="423"/>
        <v>46040</v>
      </c>
      <c r="C1070" s="97">
        <f t="shared" si="423"/>
        <v>0</v>
      </c>
      <c r="D1070" s="97">
        <f t="shared" si="423"/>
        <v>1</v>
      </c>
      <c r="E1070" s="54"/>
      <c r="F1070" s="151" t="str">
        <f>IFERROR(VLOOKUP($G1070,нормы!$A$14:$BC$57,2,0),"")</f>
        <v/>
      </c>
      <c r="G1070" s="93"/>
      <c r="H1070" s="63">
        <f t="shared" si="424"/>
        <v>0</v>
      </c>
      <c r="I1070" s="153">
        <f>I1066+I1068</f>
        <v>0</v>
      </c>
      <c r="J1070" s="334"/>
      <c r="K1070" s="30">
        <f>IFERROR(VLOOKUP($G1070,[1]нормы!$A$21:$BC$151,15,0),"")</f>
        <v>0</v>
      </c>
      <c r="L1070" s="31">
        <f>IFERROR(VLOOKUP($G1070,[1]нормы!$A$21:$BC$151,17,0),"")</f>
        <v>0</v>
      </c>
      <c r="M1070" s="308">
        <f>IFERROR(VLOOKUP($G1070,[1]нормы!$A$21:$BC$151,27,0),"")</f>
        <v>0</v>
      </c>
      <c r="N1070" s="309" t="str">
        <f>IFERROR(Y1070/Y1071*(1.1*J1065*I1075),"")</f>
        <v/>
      </c>
      <c r="O1070" s="300">
        <f>IFERROR(VLOOKUP($G1070,[1]нормы!$A$21:$BC$151,21,0),"")</f>
        <v>0</v>
      </c>
      <c r="P1070" s="35">
        <f>IFERROR(VLOOKUP($G1070,[1]нормы!$A$21:$BC$151,19,0),"")</f>
        <v>0</v>
      </c>
      <c r="Q1070" s="35">
        <f>IFERROR(VLOOKUP($G1070,[1]нормы!$A$21:$BC$151,23,0),"")</f>
        <v>0</v>
      </c>
      <c r="R1070" s="231">
        <f>IFERROR(VLOOKUP($G1070,[1]нормы!$A$21:$BC$151,29,0),"")</f>
        <v>0</v>
      </c>
      <c r="S1070" s="35">
        <f>IFERROR(VLOOKUP($G1070,[1]нормы!$A$21:$BC$151,31,0),"")</f>
        <v>0</v>
      </c>
      <c r="T1070" s="32">
        <f>IFERROR(VLOOKUP($G1070,[1]нормы!$A$21:$BC$151,25,0),"")</f>
        <v>0</v>
      </c>
      <c r="U1070" s="235" t="str">
        <f>IFERROR(W1070/(((100*Y1070/Y1071)*I1070)/100),"")</f>
        <v/>
      </c>
      <c r="V1070" s="234" t="str">
        <f>IFERROR(VLOOKUP($G1070,нормы!$A$14:$BC$57,38,0),"")</f>
        <v/>
      </c>
      <c r="W1070" s="154"/>
      <c r="X1070" s="238"/>
      <c r="Y1070" s="152" t="str">
        <f>IFERROR(VLOOKUP($G1070,нормы!$A$14:$BC$57,42,0)*W1070,"")</f>
        <v/>
      </c>
      <c r="Z1070" s="163">
        <f>IFERROR(VLOOKUP($G1070,нормы!$A$14:$BC$57,14,0)*W1070/1000,0)</f>
        <v>0</v>
      </c>
      <c r="AA1070" s="56"/>
      <c r="AB1070" s="58"/>
      <c r="AC1070" s="58"/>
      <c r="AD1070" s="58"/>
      <c r="AE1070" s="57"/>
      <c r="AF1070" s="161"/>
      <c r="AG1070" s="392"/>
      <c r="AH1070" s="395"/>
      <c r="AI1070" s="398"/>
      <c r="AJ1070" s="409"/>
      <c r="AK1070" s="361"/>
      <c r="AL1070" s="361"/>
      <c r="AM1070" s="361"/>
      <c r="AN1070" s="291">
        <f>IFERROR(Y1070*AJ1065/Y1071,)</f>
        <v>0</v>
      </c>
      <c r="AO1070" s="197" t="str">
        <f>IFERROR(VLOOKUP($G1070,нормы!$A$14:$BC$57,53,0)*$W1070,"")</f>
        <v/>
      </c>
      <c r="AP1070" s="292">
        <f>IFERROR(Y1070*AI1065/Y1071,)</f>
        <v>0</v>
      </c>
      <c r="AQ1070" s="197" t="str">
        <f>IFERROR(VLOOKUP($G1070,нормы!$A$14:$BC$57,54,0)*$W1070,"")</f>
        <v/>
      </c>
      <c r="AR1070" s="290">
        <f>IFERROR(AS1070/SUM(AS1065:AS1070)*AL1065,0)</f>
        <v>0</v>
      </c>
      <c r="AS1070" s="197" t="str">
        <f>IFERROR(VLOOKUP($G1070,нормы!$A$14:$BC$57,55,0)*W1070,"")</f>
        <v/>
      </c>
      <c r="AT1070" s="292">
        <f>IFERROR(AU1070/SUM(AU1065:AU1070)*AM1065,0)</f>
        <v>0</v>
      </c>
      <c r="AU1070" s="197" t="str">
        <f>IFERROR(VLOOKUP($G1070,нормы!$A$14:$BI$57,56,0)*W1070,"")</f>
        <v/>
      </c>
      <c r="AV1070" s="292">
        <f>IFERROR(AW1070/SUM(AW1065:AW1070)*AK1065,0)</f>
        <v>0</v>
      </c>
      <c r="AW1070" s="202" t="str">
        <f>IFERROR(VLOOKUP($G1070,нормы!$A$14:$BI$57,57,0)*W1070,"")</f>
        <v/>
      </c>
      <c r="AX1070" s="56"/>
      <c r="AY1070" s="203" t="str">
        <f>IFERROR(VLOOKUP($G1070,нормы!$A$14:$BI$57,58,0)*W1070,"")</f>
        <v/>
      </c>
      <c r="AZ1070" s="206"/>
      <c r="BA1070" s="200" t="str">
        <f>IFERROR(VLOOKUP($G1070,нормы!$A$14:$BI$57,61,0)*$W1070,"")</f>
        <v/>
      </c>
      <c r="BB1070" s="56"/>
      <c r="BC1070" s="203" t="str">
        <f>IFERROR(VLOOKUP($G1070,нормы!$A$14:$BI$57,60,0)*W1070,"")</f>
        <v/>
      </c>
      <c r="BD1070" s="200" t="str">
        <f>IFERROR(VLOOKUP($G1070,нормы!$A$14:$BG$57,44,0),"")</f>
        <v/>
      </c>
      <c r="BE1070" s="199" t="str">
        <f>IFERROR(W1070/VLOOKUP($G1070,нормы!$A$14:$BI$57,45,0),"")</f>
        <v/>
      </c>
    </row>
    <row r="1071" spans="1:57" s="1" customFormat="1" ht="29.4" customHeight="1" thickBot="1" x14ac:dyDescent="0.45">
      <c r="A1071" s="37" t="str">
        <f t="shared" si="422"/>
        <v>18Д</v>
      </c>
      <c r="B1071" s="59"/>
      <c r="C1071" s="51"/>
      <c r="D1071" s="51"/>
      <c r="E1071" s="51"/>
      <c r="F1071" s="295" t="s">
        <v>148</v>
      </c>
      <c r="G1071" s="51"/>
      <c r="H1071" s="51"/>
      <c r="I1071" s="60"/>
      <c r="J1071" s="60"/>
      <c r="K1071" s="319" t="s">
        <v>213</v>
      </c>
      <c r="L1071" s="316"/>
      <c r="M1071" s="303" t="s">
        <v>213</v>
      </c>
      <c r="N1071" s="317">
        <f>SUM(N1065:N1070)</f>
        <v>0</v>
      </c>
      <c r="O1071" s="304" t="s">
        <v>216</v>
      </c>
      <c r="P1071" s="318">
        <f>N1071*8.937/1000</f>
        <v>0</v>
      </c>
      <c r="Q1071" s="305" t="s">
        <v>215</v>
      </c>
      <c r="R1071" s="61"/>
      <c r="S1071" s="61"/>
      <c r="T1071" s="61"/>
      <c r="U1071" s="109"/>
      <c r="V1071" s="109"/>
      <c r="W1071" s="94"/>
      <c r="X1071" s="155"/>
      <c r="Y1071" s="96">
        <f>SUM(Y1065:Y1070)</f>
        <v>0</v>
      </c>
      <c r="Z1071" s="164">
        <f>SUM(Z1065:Z1070)</f>
        <v>0</v>
      </c>
      <c r="AA1071" s="62"/>
      <c r="AB1071" s="62"/>
      <c r="AC1071" s="62"/>
      <c r="AD1071" s="62"/>
      <c r="AE1071" s="62"/>
      <c r="AF1071" s="62"/>
      <c r="AG1071" s="162" t="s">
        <v>140</v>
      </c>
      <c r="AH1071" s="162" t="s">
        <v>141</v>
      </c>
      <c r="AI1071" s="162" t="s">
        <v>142</v>
      </c>
      <c r="AJ1071" s="91" t="s">
        <v>126</v>
      </c>
      <c r="AK1071" s="198" t="s">
        <v>136</v>
      </c>
      <c r="AL1071" s="198" t="s">
        <v>137</v>
      </c>
      <c r="AM1071" s="198" t="s">
        <v>138</v>
      </c>
      <c r="AN1071" s="91"/>
      <c r="AO1071" s="91"/>
      <c r="AP1071" s="91"/>
      <c r="AQ1071" s="91"/>
      <c r="AR1071" s="91"/>
      <c r="AS1071" s="91"/>
      <c r="AT1071" s="91"/>
      <c r="AU1071" s="91"/>
      <c r="AV1071" s="91"/>
      <c r="AW1071" s="91"/>
      <c r="AX1071" s="91"/>
      <c r="AY1071" s="91"/>
      <c r="AZ1071" s="91"/>
      <c r="BA1071" s="91"/>
      <c r="BB1071" s="91"/>
      <c r="BC1071" s="91"/>
      <c r="BD1071" s="91"/>
      <c r="BE1071" s="53" t="str">
        <f>IFERROR(W1071/VLOOKUP($G1071,нормы!$A$14:$BI$15,28,0),"")</f>
        <v/>
      </c>
    </row>
    <row r="1072" spans="1:57" s="1" customFormat="1" ht="21.6" customHeight="1" x14ac:dyDescent="0.4">
      <c r="A1072" s="37" t="str">
        <f t="shared" si="422"/>
        <v>18Д</v>
      </c>
      <c r="B1072" s="12">
        <f>B1070</f>
        <v>46040</v>
      </c>
      <c r="C1072" s="97"/>
      <c r="D1072" s="97">
        <v>2</v>
      </c>
      <c r="E1072" s="29"/>
      <c r="F1072" s="151" t="str">
        <f>IFERROR(VLOOKUP($G1072,нормы!$A$14:$BC$57,2,0),"")</f>
        <v/>
      </c>
      <c r="G1072" s="93"/>
      <c r="H1072" s="54">
        <f>IF(C1072=1,"Кульков С.А.", IF(C1072=2,"Чудаков А.А.",IF(C1072=3,"Королев В.Н.",IF(C1072=4,"Николашин М.П.",IF(C1072=5," Кульков С.А.",IF(C1072=6,"А.А. Чудаков",IF(C1072=7,"В.Н. Королев",IF(C1072=8,"М.П. Николашин",0))))))))</f>
        <v>0</v>
      </c>
      <c r="I1072" s="88" t="s">
        <v>211</v>
      </c>
      <c r="J1072" s="332"/>
      <c r="K1072" s="30">
        <f>IFERROR(VLOOKUP($G1072,[1]нормы!$A$21:$BC$151,15,0),"")</f>
        <v>0</v>
      </c>
      <c r="L1072" s="31">
        <f>IFERROR(VLOOKUP($G1072,[1]нормы!$A$21:$BC$151,17,0),"")</f>
        <v>0</v>
      </c>
      <c r="M1072" s="310">
        <f>IFERROR(VLOOKUP($G1072,[1]нормы!$A$21:$BC$151,27,0),"")</f>
        <v>0</v>
      </c>
      <c r="N1072" s="311" t="str">
        <f>IFERROR(Y1072/Y1078*(1.1*J1072*I1077),"")</f>
        <v/>
      </c>
      <c r="O1072" s="300">
        <f>IFERROR(VLOOKUP($G1072,[1]нормы!$A$21:$BC$151,21,0),"")</f>
        <v>0</v>
      </c>
      <c r="P1072" s="35">
        <f>IFERROR(VLOOKUP($G1072,[1]нормы!$A$21:$BC$151,19,0),"")</f>
        <v>0</v>
      </c>
      <c r="Q1072" s="35">
        <f>IFERROR(VLOOKUP($G1072,[1]нормы!$A$21:$BC$151,23,0),"")</f>
        <v>0</v>
      </c>
      <c r="R1072" s="231">
        <f>IFERROR(VLOOKUP($G1072,[1]нормы!$A$21:$BC$151,29,0),"")</f>
        <v>0</v>
      </c>
      <c r="S1072" s="35">
        <f>IFERROR(VLOOKUP($G1072,[1]нормы!$A$21:$BC$151,31,0),"")</f>
        <v>0</v>
      </c>
      <c r="T1072" s="32">
        <f>IFERROR(VLOOKUP($G1072,[1]нормы!$A$21:$BC$151,25,0),"")</f>
        <v>0</v>
      </c>
      <c r="U1072" s="232" t="str">
        <f>IFERROR(W1072/(((100*Y1072/Y1078)*I1077)/100),"")</f>
        <v/>
      </c>
      <c r="V1072" s="234" t="str">
        <f>IFERROR(VLOOKUP($G1072,нормы!$A$14:$BC$57,38,0),"")</f>
        <v/>
      </c>
      <c r="W1072" s="136"/>
      <c r="X1072" s="236"/>
      <c r="Y1072" s="152" t="str">
        <f>IFERROR(VLOOKUP($G1072,нормы!$A$14:$BC$57,42,0)*W1072,"")</f>
        <v/>
      </c>
      <c r="Z1072" s="163">
        <f>IFERROR(VLOOKUP($G1072,нормы!$A$14:$BC$57,14,0)*W1072/1000,0)</f>
        <v>0</v>
      </c>
      <c r="AA1072" s="33"/>
      <c r="AB1072" s="36"/>
      <c r="AC1072" s="36"/>
      <c r="AD1072" s="36"/>
      <c r="AE1072" s="34"/>
      <c r="AF1072" s="159"/>
      <c r="AG1072" s="390"/>
      <c r="AH1072" s="393"/>
      <c r="AI1072" s="396"/>
      <c r="AJ1072" s="407">
        <f>AG1072+AH1072</f>
        <v>0</v>
      </c>
      <c r="AK1072" s="359"/>
      <c r="AL1072" s="359"/>
      <c r="AM1072" s="359"/>
      <c r="AN1072" s="287">
        <f>IFERROR(Y1072*AJ1072/Y1078,)</f>
        <v>0</v>
      </c>
      <c r="AO1072" s="197" t="str">
        <f>IFERROR(VLOOKUP($G1072,нормы!$A$14:$BC$57,53,0)*$W1072,"")</f>
        <v/>
      </c>
      <c r="AP1072" s="288">
        <f>IFERROR(Y1072*AI1072/Y1078,)</f>
        <v>0</v>
      </c>
      <c r="AQ1072" s="197" t="str">
        <f>IFERROR(VLOOKUP($G1072,нормы!$A$14:$BC$57,54,0)*$W1072,"")</f>
        <v/>
      </c>
      <c r="AR1072" s="288">
        <f>IFERROR(AS1072/SUM(AS1072:AS1077)*AL1072,0)</f>
        <v>0</v>
      </c>
      <c r="AS1072" s="197" t="str">
        <f>IFERROR(VLOOKUP($G1072,нормы!$A$14:$BC$57,55,0)*W1072,"")</f>
        <v/>
      </c>
      <c r="AT1072" s="288">
        <f>IFERROR(AU1072/SUM(AU1072:AU1077)*AM1072,0)</f>
        <v>0</v>
      </c>
      <c r="AU1072" s="197" t="str">
        <f>IFERROR(VLOOKUP($G1072,нормы!$A$14:$BI$57,56,0)*W1072,"")</f>
        <v/>
      </c>
      <c r="AV1072" s="288">
        <f>IFERROR(AW1072/SUM(AW1072:AW1077)*AK1072,0)</f>
        <v>0</v>
      </c>
      <c r="AW1072" s="202" t="str">
        <f>IFERROR(VLOOKUP($G1072,нормы!$A$14:$BI$57,57,0)*W1072,"")</f>
        <v/>
      </c>
      <c r="AX1072" s="33"/>
      <c r="AY1072" s="203" t="str">
        <f>IFERROR(VLOOKUP($G1072,нормы!$A$14:$BI$57,58,0)*W1072,"")</f>
        <v/>
      </c>
      <c r="AZ1072" s="204"/>
      <c r="BA1072" s="200" t="str">
        <f>IFERROR(VLOOKUP($G1072,нормы!$A$14:$BI$57,61,0)*$W1072,"")</f>
        <v/>
      </c>
      <c r="BB1072" s="33"/>
      <c r="BC1072" s="203" t="str">
        <f>IFERROR(VLOOKUP($G1072,нормы!$A$14:$BI$57,60,0)*W1072,"")</f>
        <v/>
      </c>
      <c r="BD1072" s="200" t="str">
        <f>IFERROR(VLOOKUP($G1072,нормы!$A$14:$BG$57,44,0),"")</f>
        <v/>
      </c>
      <c r="BE1072" s="199" t="str">
        <f>IFERROR(W1072/VLOOKUP($G1072,нормы!$A$14:$BI$57,45,0),"")</f>
        <v/>
      </c>
    </row>
    <row r="1073" spans="1:57" s="1" customFormat="1" ht="21.6" customHeight="1" x14ac:dyDescent="0.4">
      <c r="A1073" s="37" t="str">
        <f t="shared" si="422"/>
        <v>18Д</v>
      </c>
      <c r="B1073" s="12">
        <f t="shared" ref="B1073:D1077" si="425">B1072</f>
        <v>46040</v>
      </c>
      <c r="C1073" s="97">
        <f t="shared" si="425"/>
        <v>0</v>
      </c>
      <c r="D1073" s="97">
        <f t="shared" si="425"/>
        <v>2</v>
      </c>
      <c r="E1073" s="54"/>
      <c r="F1073" s="151" t="str">
        <f>IFERROR(VLOOKUP($G1073,нормы!$A$14:$BC$57,2,0),"")</f>
        <v/>
      </c>
      <c r="G1073" s="93"/>
      <c r="H1073" s="54">
        <f t="shared" ref="H1073:H1077" si="426">IF(C1073=1,"Кульков С.А.", IF(C1073=2,"Чудаков А.А.",IF(C1073=3,"Королев В.Н.",IF(C1073=4,"Николашин М.П.",IF(C1073=5," Кульков С.А.",IF(C1073=6,"А.А. Чудаков",IF(C1073=7,"В.Н. Королев",IF(C1073=8,"М.П. Николашин",0))))))))</f>
        <v>0</v>
      </c>
      <c r="I1073" s="55"/>
      <c r="J1073" s="333"/>
      <c r="K1073" s="30">
        <f>IFERROR(VLOOKUP($G1073,[1]нормы!$A$21:$BC$151,15,0),"")</f>
        <v>0</v>
      </c>
      <c r="L1073" s="31">
        <f>IFERROR(VLOOKUP($G1073,[1]нормы!$A$21:$BC$151,17,0),"")</f>
        <v>0</v>
      </c>
      <c r="M1073" s="306">
        <f>IFERROR(VLOOKUP($G1073,[1]нормы!$A$21:$BC$151,27,0),"")</f>
        <v>0</v>
      </c>
      <c r="N1073" s="307" t="str">
        <f>IFERROR(Y1073/Y1078*(1.1*J1072*I1077),"")</f>
        <v/>
      </c>
      <c r="O1073" s="300">
        <f>IFERROR(VLOOKUP($G1073,[1]нормы!$A$21:$BC$151,21,0),"")</f>
        <v>0</v>
      </c>
      <c r="P1073" s="35">
        <f>IFERROR(VLOOKUP($G1073,[1]нормы!$A$21:$BC$151,19,0),"")</f>
        <v>0</v>
      </c>
      <c r="Q1073" s="35">
        <f>IFERROR(VLOOKUP($G1073,[1]нормы!$A$21:$BC$151,23,0),"")</f>
        <v>0</v>
      </c>
      <c r="R1073" s="231">
        <f>IFERROR(VLOOKUP($G1073,[1]нормы!$A$21:$BC$151,29,0),"")</f>
        <v>0</v>
      </c>
      <c r="S1073" s="35">
        <f>IFERROR(VLOOKUP($G1073,[1]нормы!$A$21:$BC$151,31,0),"")</f>
        <v>0</v>
      </c>
      <c r="T1073" s="32">
        <f>IFERROR(VLOOKUP($G1073,[1]нормы!$A$21:$BC$151,25,0),"")</f>
        <v>0</v>
      </c>
      <c r="U1073" s="233" t="str">
        <f>IFERROR(W1073/(((100*Y1073/Y1078)*I1077)/100),"")</f>
        <v/>
      </c>
      <c r="V1073" s="234" t="str">
        <f>IFERROR(VLOOKUP($G1073,нормы!$A$14:$BC$57,38,0),"")</f>
        <v/>
      </c>
      <c r="W1073" s="136"/>
      <c r="X1073" s="237"/>
      <c r="Y1073" s="152" t="str">
        <f>IFERROR(VLOOKUP($G1073,нормы!$A$14:$BC$57,42,0)*W1073,"")</f>
        <v/>
      </c>
      <c r="Z1073" s="163">
        <f>IFERROR(VLOOKUP($G1073,нормы!$A$14:$BC$57,14,0)*W1073/1000,0)</f>
        <v>0</v>
      </c>
      <c r="AA1073" s="142"/>
      <c r="AB1073" s="35"/>
      <c r="AC1073" s="35"/>
      <c r="AD1073" s="35"/>
      <c r="AE1073" s="31"/>
      <c r="AF1073" s="160"/>
      <c r="AG1073" s="391"/>
      <c r="AH1073" s="394"/>
      <c r="AI1073" s="397"/>
      <c r="AJ1073" s="408"/>
      <c r="AK1073" s="360"/>
      <c r="AL1073" s="360"/>
      <c r="AM1073" s="360"/>
      <c r="AN1073" s="289">
        <f>IFERROR(Y1073*AJ1072/Y1078,)</f>
        <v>0</v>
      </c>
      <c r="AO1073" s="197" t="str">
        <f>IFERROR(VLOOKUP($G1073,нормы!$A$14:$BC$57,53,0)*$W1073,"")</f>
        <v/>
      </c>
      <c r="AP1073" s="290">
        <f>IFERROR(Y1073*AI1072/Y1078,)</f>
        <v>0</v>
      </c>
      <c r="AQ1073" s="197" t="str">
        <f>IFERROR(VLOOKUP($G1073,нормы!$A$14:$BC$57,54,0)*$W1073,"")</f>
        <v/>
      </c>
      <c r="AR1073" s="290">
        <f>IFERROR(AS1073/SUM(AS1072:AS1077)*AL1072,0)</f>
        <v>0</v>
      </c>
      <c r="AS1073" s="197" t="str">
        <f>IFERROR(VLOOKUP($G1073,нормы!$A$14:$BC$57,55,0)*W1073,"")</f>
        <v/>
      </c>
      <c r="AT1073" s="290">
        <f>IFERROR(AU1073/SUM(AU1072:AU1077)*AM1072,0)</f>
        <v>0</v>
      </c>
      <c r="AU1073" s="197" t="str">
        <f>IFERROR(VLOOKUP($G1073,нормы!$A$14:$BI$57,56,0)*W1073,"")</f>
        <v/>
      </c>
      <c r="AV1073" s="290">
        <f>IFERROR(AW1073/SUM(AW1072:AW1077)*AK1072,0)</f>
        <v>0</v>
      </c>
      <c r="AW1073" s="202" t="str">
        <f>IFERROR(VLOOKUP($G1073,нормы!$A$14:$BI$57,57,0)*W1073,"")</f>
        <v/>
      </c>
      <c r="AX1073" s="30"/>
      <c r="AY1073" s="203" t="str">
        <f>IFERROR(VLOOKUP($G1073,нормы!$A$14:$BI$57,58,0)*W1073,"")</f>
        <v/>
      </c>
      <c r="AZ1073" s="205"/>
      <c r="BA1073" s="200" t="str">
        <f>IFERROR(VLOOKUP($G1073,нормы!$A$14:$BI$57,61,0)*$W1073,"")</f>
        <v/>
      </c>
      <c r="BB1073" s="30"/>
      <c r="BC1073" s="203" t="str">
        <f>IFERROR(VLOOKUP($G1073,нормы!$A$14:$BI$57,60,0)*W1073,"")</f>
        <v/>
      </c>
      <c r="BD1073" s="200" t="str">
        <f>IFERROR(VLOOKUP($G1073,нормы!$A$14:$BG$57,44,0),"")</f>
        <v/>
      </c>
      <c r="BE1073" s="199" t="str">
        <f>IFERROR(W1073/VLOOKUP($G1073,нормы!$A$14:$BI$57,45,0),"")</f>
        <v/>
      </c>
    </row>
    <row r="1074" spans="1:57" s="1" customFormat="1" ht="20.25" customHeight="1" x14ac:dyDescent="0.4">
      <c r="A1074" s="37" t="str">
        <f t="shared" si="422"/>
        <v>18Д</v>
      </c>
      <c r="B1074" s="12">
        <f t="shared" si="425"/>
        <v>46040</v>
      </c>
      <c r="C1074" s="97">
        <f t="shared" si="425"/>
        <v>0</v>
      </c>
      <c r="D1074" s="97">
        <f t="shared" si="425"/>
        <v>2</v>
      </c>
      <c r="E1074" s="54"/>
      <c r="F1074" s="151" t="str">
        <f>IFERROR(VLOOKUP($G1074,нормы!$A$14:$BC$57,2,0),"")</f>
        <v/>
      </c>
      <c r="G1074" s="38"/>
      <c r="H1074" s="54">
        <f t="shared" si="426"/>
        <v>0</v>
      </c>
      <c r="I1074" s="89" t="s">
        <v>212</v>
      </c>
      <c r="J1074" s="333"/>
      <c r="K1074" s="30">
        <f>IFERROR(VLOOKUP($G1074,[1]нормы!$A$21:$BC$151,15,0),"")</f>
        <v>0</v>
      </c>
      <c r="L1074" s="31">
        <f>IFERROR(VLOOKUP($G1074,[1]нормы!$A$21:$BC$151,17,0),"")</f>
        <v>0</v>
      </c>
      <c r="M1074" s="306">
        <f>IFERROR(VLOOKUP($G1074,[1]нормы!$A$21:$BC$151,27,0),"")</f>
        <v>0</v>
      </c>
      <c r="N1074" s="307" t="str">
        <f>IFERROR(Y1074/Y1078*(1.1*J1072*I1077),"")</f>
        <v/>
      </c>
      <c r="O1074" s="300">
        <f>IFERROR(VLOOKUP($G1074,[1]нормы!$A$21:$BC$151,21,0),"")</f>
        <v>0</v>
      </c>
      <c r="P1074" s="35">
        <f>IFERROR(VLOOKUP($G1074,[1]нормы!$A$21:$BC$151,19,0),"")</f>
        <v>0</v>
      </c>
      <c r="Q1074" s="35">
        <f>IFERROR(VLOOKUP($G1074,[1]нормы!$A$21:$BC$151,23,0),"")</f>
        <v>0</v>
      </c>
      <c r="R1074" s="231">
        <f>IFERROR(VLOOKUP($G1074,[1]нормы!$A$21:$BC$151,29,0),"")</f>
        <v>0</v>
      </c>
      <c r="S1074" s="35">
        <f>IFERROR(VLOOKUP($G1074,[1]нормы!$A$21:$BC$151,31,0),"")</f>
        <v>0</v>
      </c>
      <c r="T1074" s="32">
        <f>IFERROR(VLOOKUP($G1074,[1]нормы!$A$21:$BC$151,25,0),"")</f>
        <v>0</v>
      </c>
      <c r="U1074" s="233" t="str">
        <f>IFERROR(W1074/(((100*Y1074/Y1078)*I1077)/100),"")</f>
        <v/>
      </c>
      <c r="V1074" s="234" t="str">
        <f>IFERROR(VLOOKUP($G1074,нормы!$A$14:$BC$57,38,0),"")</f>
        <v/>
      </c>
      <c r="W1074" s="136"/>
      <c r="X1074" s="237"/>
      <c r="Y1074" s="152" t="str">
        <f>IFERROR(VLOOKUP($G1074,нормы!$A$14:$BC$57,42,0)*W1074,"")</f>
        <v/>
      </c>
      <c r="Z1074" s="163">
        <f>IFERROR(VLOOKUP($G1074,нормы!$A$14:$BC$57,14,0)*W1074/1000,0)</f>
        <v>0</v>
      </c>
      <c r="AA1074" s="30"/>
      <c r="AB1074" s="35"/>
      <c r="AC1074" s="35"/>
      <c r="AD1074" s="35"/>
      <c r="AE1074" s="31"/>
      <c r="AF1074" s="160"/>
      <c r="AG1074" s="391"/>
      <c r="AH1074" s="394"/>
      <c r="AI1074" s="397"/>
      <c r="AJ1074" s="408"/>
      <c r="AK1074" s="360"/>
      <c r="AL1074" s="360"/>
      <c r="AM1074" s="360"/>
      <c r="AN1074" s="289">
        <f>IFERROR(Y1074*AJ1072/Y1078,)</f>
        <v>0</v>
      </c>
      <c r="AO1074" s="197" t="str">
        <f>IFERROR(VLOOKUP($G1074,нормы!$A$14:$BC$57,53,0)*$W1074,"")</f>
        <v/>
      </c>
      <c r="AP1074" s="290">
        <f>IFERROR(Y1074*AI1072/Y1078,)</f>
        <v>0</v>
      </c>
      <c r="AQ1074" s="197" t="str">
        <f>IFERROR(VLOOKUP($G1074,нормы!$A$14:$BC$57,54,0)*$W1074,"")</f>
        <v/>
      </c>
      <c r="AR1074" s="290">
        <f>IFERROR(AS1074/SUM(AS1072:AS1077)*AL1072,0)</f>
        <v>0</v>
      </c>
      <c r="AS1074" s="197" t="str">
        <f>IFERROR(VLOOKUP($G1074,нормы!$A$14:$BC$57,55,0)*W1074,"")</f>
        <v/>
      </c>
      <c r="AT1074" s="290">
        <f>IFERROR(AU1074/SUM(AU1072:AU1077)*AM1072,0)</f>
        <v>0</v>
      </c>
      <c r="AU1074" s="197" t="str">
        <f>IFERROR(VLOOKUP($G1074,нормы!$A$14:$BI$57,56,0)*W1074,"")</f>
        <v/>
      </c>
      <c r="AV1074" s="290">
        <f>IFERROR(AW1074/SUM(AW1072:AW1077)*AK1072,0)</f>
        <v>0</v>
      </c>
      <c r="AW1074" s="202" t="str">
        <f>IFERROR(VLOOKUP($G1074,нормы!$A$14:$BI$57,57,0)*W1074,"")</f>
        <v/>
      </c>
      <c r="AX1074" s="30"/>
      <c r="AY1074" s="203" t="str">
        <f>IFERROR(VLOOKUP($G1074,нормы!$A$14:$BI$57,58,0)*W1074,"")</f>
        <v/>
      </c>
      <c r="AZ1074" s="205"/>
      <c r="BA1074" s="200" t="str">
        <f>IFERROR(VLOOKUP($G1074,нормы!$A$14:$BI$57,61,0)*$W1074,"")</f>
        <v/>
      </c>
      <c r="BB1074" s="30"/>
      <c r="BC1074" s="203" t="str">
        <f>IFERROR(VLOOKUP($G1074,нормы!$A$14:$BI$57,60,0)*W1074,"")</f>
        <v/>
      </c>
      <c r="BD1074" s="200" t="str">
        <f>IFERROR(VLOOKUP($G1074,нормы!$A$14:$BG$57,44,0),"")</f>
        <v/>
      </c>
      <c r="BE1074" s="199" t="str">
        <f>IFERROR(W1074/VLOOKUP($G1074,нормы!$A$14:$BI$57,45,0),"")</f>
        <v/>
      </c>
    </row>
    <row r="1075" spans="1:57" s="1" customFormat="1" ht="20.25" customHeight="1" x14ac:dyDescent="0.4">
      <c r="A1075" s="37" t="str">
        <f t="shared" si="422"/>
        <v>18Д</v>
      </c>
      <c r="B1075" s="12">
        <f t="shared" si="425"/>
        <v>46040</v>
      </c>
      <c r="C1075" s="97">
        <f t="shared" si="425"/>
        <v>0</v>
      </c>
      <c r="D1075" s="97">
        <f t="shared" si="425"/>
        <v>2</v>
      </c>
      <c r="E1075" s="54"/>
      <c r="F1075" s="151" t="str">
        <f>IFERROR(VLOOKUP($G1075,нормы!$A$14:$BC$57,2,0),"")</f>
        <v/>
      </c>
      <c r="G1075" s="93"/>
      <c r="H1075" s="54">
        <f t="shared" si="426"/>
        <v>0</v>
      </c>
      <c r="I1075" s="55"/>
      <c r="J1075" s="333"/>
      <c r="K1075" s="30">
        <f>IFERROR(VLOOKUP($G1075,[1]нормы!$A$21:$BC$151,15,0),"")</f>
        <v>0</v>
      </c>
      <c r="L1075" s="31">
        <f>IFERROR(VLOOKUP($G1075,[1]нормы!$A$21:$BC$151,17,0),"")</f>
        <v>0</v>
      </c>
      <c r="M1075" s="306">
        <f>IFERROR(VLOOKUP($G1075,[1]нормы!$A$21:$BC$151,27,0),"")</f>
        <v>0</v>
      </c>
      <c r="N1075" s="307" t="str">
        <f>IFERROR(Y1075/Y1078*(1.1*J1072*I1080),"")</f>
        <v/>
      </c>
      <c r="O1075" s="300">
        <f>IFERROR(VLOOKUP($G1075,[1]нормы!$A$21:$BC$151,21,0),"")</f>
        <v>0</v>
      </c>
      <c r="P1075" s="35">
        <f>IFERROR(VLOOKUP($G1075,[1]нормы!$A$21:$BC$151,19,0),"")</f>
        <v>0</v>
      </c>
      <c r="Q1075" s="35">
        <f>IFERROR(VLOOKUP($G1075,[1]нормы!$A$21:$BC$151,23,0),"")</f>
        <v>0</v>
      </c>
      <c r="R1075" s="231">
        <f>IFERROR(VLOOKUP($G1075,[1]нормы!$A$21:$BC$151,29,0),"")</f>
        <v>0</v>
      </c>
      <c r="S1075" s="35">
        <f>IFERROR(VLOOKUP($G1075,[1]нормы!$A$21:$BC$151,31,0),"")</f>
        <v>0</v>
      </c>
      <c r="T1075" s="32">
        <f>IFERROR(VLOOKUP($G1075,[1]нормы!$A$21:$BC$151,25,0),"")</f>
        <v>0</v>
      </c>
      <c r="U1075" s="233" t="str">
        <f>IFERROR(W1075/(((100*Y1075/Y1078)*I1077)/100),"")</f>
        <v/>
      </c>
      <c r="V1075" s="234" t="str">
        <f>IFERROR(VLOOKUP($G1075,нормы!$A$14:$BC$57,38,0),"")</f>
        <v/>
      </c>
      <c r="W1075" s="136"/>
      <c r="X1075" s="237"/>
      <c r="Y1075" s="152" t="str">
        <f>IFERROR(VLOOKUP($G1075,нормы!$A$14:$BC$57,42,0)*W1075,"")</f>
        <v/>
      </c>
      <c r="Z1075" s="163">
        <f>IFERROR(VLOOKUP($G1075,нормы!$A$14:$BC$57,14,0)*W1075/1000,0)</f>
        <v>0</v>
      </c>
      <c r="AA1075" s="30"/>
      <c r="AB1075" s="35"/>
      <c r="AC1075" s="35"/>
      <c r="AD1075" s="35"/>
      <c r="AE1075" s="31"/>
      <c r="AF1075" s="160"/>
      <c r="AG1075" s="391"/>
      <c r="AH1075" s="394"/>
      <c r="AI1075" s="397"/>
      <c r="AJ1075" s="408"/>
      <c r="AK1075" s="360"/>
      <c r="AL1075" s="360"/>
      <c r="AM1075" s="360"/>
      <c r="AN1075" s="289">
        <f>IFERROR(Y1075*AJ1072/Y1078,)</f>
        <v>0</v>
      </c>
      <c r="AO1075" s="197" t="str">
        <f>IFERROR(VLOOKUP($G1075,нормы!$A$14:$BC$57,53,0)*$W1075,"")</f>
        <v/>
      </c>
      <c r="AP1075" s="290">
        <f>IFERROR(Y1075*AI1072/Y1078,)</f>
        <v>0</v>
      </c>
      <c r="AQ1075" s="197" t="str">
        <f>IFERROR(VLOOKUP($G1075,нормы!$A$14:$BC$57,54,0)*$W1075,"")</f>
        <v/>
      </c>
      <c r="AR1075" s="290">
        <f>IFERROR(AS1075/SUM(AS1072:AS1077)*AL1072,0)</f>
        <v>0</v>
      </c>
      <c r="AS1075" s="197" t="str">
        <f>IFERROR(VLOOKUP($G1075,нормы!$A$14:$BC$57,55,0)*W1075,"")</f>
        <v/>
      </c>
      <c r="AT1075" s="290">
        <f>IFERROR(AU1075/SUM(AU1072:AU1077)*AM1072,0)</f>
        <v>0</v>
      </c>
      <c r="AU1075" s="197" t="str">
        <f>IFERROR(VLOOKUP($G1075,нормы!$A$14:$BI$57,56,0)*W1075,"")</f>
        <v/>
      </c>
      <c r="AV1075" s="290">
        <f>IFERROR(AW1075/SUM(AW1072:AW1077)*AK1072,0)</f>
        <v>0</v>
      </c>
      <c r="AW1075" s="202" t="str">
        <f>IFERROR(VLOOKUP($G1075,нормы!$A$14:$BI$57,57,0)*W1075,"")</f>
        <v/>
      </c>
      <c r="AX1075" s="30"/>
      <c r="AY1075" s="203" t="str">
        <f>IFERROR(VLOOKUP($G1075,нормы!$A$14:$BI$57,58,0)*W1075,"")</f>
        <v/>
      </c>
      <c r="AZ1075" s="205"/>
      <c r="BA1075" s="200" t="str">
        <f>IFERROR(VLOOKUP($G1075,нормы!$A$14:$BI$57,61,0)*$W1075,"")</f>
        <v/>
      </c>
      <c r="BB1075" s="30"/>
      <c r="BC1075" s="203" t="str">
        <f>IFERROR(VLOOKUP($G1075,нормы!$A$14:$BI$57,60,0)*W1075,"")</f>
        <v/>
      </c>
      <c r="BD1075" s="200" t="str">
        <f>IFERROR(VLOOKUP($G1075,нормы!$A$14:$BG$57,44,0),"")</f>
        <v/>
      </c>
      <c r="BE1075" s="199" t="str">
        <f>IFERROR(W1075/VLOOKUP($G1075,нормы!$A$14:$BI$57,45,0),"")</f>
        <v/>
      </c>
    </row>
    <row r="1076" spans="1:57" s="1" customFormat="1" ht="20.25" customHeight="1" x14ac:dyDescent="0.4">
      <c r="A1076" s="37" t="str">
        <f t="shared" si="422"/>
        <v>18Д</v>
      </c>
      <c r="B1076" s="12">
        <f t="shared" si="425"/>
        <v>46040</v>
      </c>
      <c r="C1076" s="97">
        <f t="shared" si="425"/>
        <v>0</v>
      </c>
      <c r="D1076" s="97">
        <f t="shared" si="425"/>
        <v>2</v>
      </c>
      <c r="E1076" s="54"/>
      <c r="F1076" s="151" t="str">
        <f>IFERROR(VLOOKUP($G1076,нормы!$A$14:$BC$57,2,0),"")</f>
        <v/>
      </c>
      <c r="G1076" s="38"/>
      <c r="H1076" s="54">
        <f t="shared" si="426"/>
        <v>0</v>
      </c>
      <c r="I1076" s="89" t="s">
        <v>73</v>
      </c>
      <c r="J1076" s="333"/>
      <c r="K1076" s="30">
        <f>IFERROR(VLOOKUP($G1076,[1]нормы!$A$21:$BC$151,15,0),"")</f>
        <v>0</v>
      </c>
      <c r="L1076" s="31">
        <f>IFERROR(VLOOKUP($G1076,[1]нормы!$A$21:$BC$151,17,0),"")</f>
        <v>0</v>
      </c>
      <c r="M1076" s="306">
        <f>IFERROR(VLOOKUP($G1076,[1]нормы!$A$21:$BC$151,27,0),"")</f>
        <v>0</v>
      </c>
      <c r="N1076" s="307" t="str">
        <f>IFERROR(Y1076/Y1078*(1.1*J1072*I1081),"")</f>
        <v/>
      </c>
      <c r="O1076" s="300">
        <f>IFERROR(VLOOKUP($G1076,[1]нормы!$A$21:$BC$151,21,0),"")</f>
        <v>0</v>
      </c>
      <c r="P1076" s="35">
        <f>IFERROR(VLOOKUP($G1076,[1]нормы!$A$21:$BC$151,19,0),"")</f>
        <v>0</v>
      </c>
      <c r="Q1076" s="35">
        <f>IFERROR(VLOOKUP($G1076,[1]нормы!$A$21:$BC$151,23,0),"")</f>
        <v>0</v>
      </c>
      <c r="R1076" s="231">
        <f>IFERROR(VLOOKUP($G1076,[1]нормы!$A$21:$BC$151,29,0),"")</f>
        <v>0</v>
      </c>
      <c r="S1076" s="35">
        <f>IFERROR(VLOOKUP($G1076,[1]нормы!$A$21:$BC$151,31,0),"")</f>
        <v>0</v>
      </c>
      <c r="T1076" s="32">
        <f>IFERROR(VLOOKUP($G1076,[1]нормы!$A$21:$BC$151,25,0),"")</f>
        <v>0</v>
      </c>
      <c r="U1076" s="233" t="str">
        <f>IFERROR(W1076/(((100*Y1076/Y1078)*I1077)/100),"")</f>
        <v/>
      </c>
      <c r="V1076" s="234" t="str">
        <f>IFERROR(VLOOKUP($G1076,нормы!$A$14:$BC$57,38,0),"")</f>
        <v/>
      </c>
      <c r="W1076" s="136"/>
      <c r="X1076" s="237"/>
      <c r="Y1076" s="152" t="str">
        <f>IFERROR(VLOOKUP($G1076,нормы!$A$14:$BC$57,42,0)*W1076,"")</f>
        <v/>
      </c>
      <c r="Z1076" s="163">
        <f>IFERROR(VLOOKUP($G1076,нормы!$A$14:$BC$57,14,0)*W1076/1000,0)</f>
        <v>0</v>
      </c>
      <c r="AA1076" s="30"/>
      <c r="AB1076" s="35"/>
      <c r="AC1076" s="35"/>
      <c r="AD1076" s="35"/>
      <c r="AE1076" s="31"/>
      <c r="AF1076" s="160"/>
      <c r="AG1076" s="391"/>
      <c r="AH1076" s="394"/>
      <c r="AI1076" s="397"/>
      <c r="AJ1076" s="408"/>
      <c r="AK1076" s="360"/>
      <c r="AL1076" s="360"/>
      <c r="AM1076" s="360"/>
      <c r="AN1076" s="289">
        <f>IFERROR(Y1076*AJ1072/Y1078,)</f>
        <v>0</v>
      </c>
      <c r="AO1076" s="197" t="str">
        <f>IFERROR(VLOOKUP($G1076,нормы!$A$14:$BC$57,53,0)*$W1076,"")</f>
        <v/>
      </c>
      <c r="AP1076" s="290">
        <f>IFERROR(Y1076*AI1072/Y1078,)</f>
        <v>0</v>
      </c>
      <c r="AQ1076" s="197" t="str">
        <f>IFERROR(VLOOKUP($G1076,нормы!$A$14:$BC$57,54,0)*$W1076,"")</f>
        <v/>
      </c>
      <c r="AR1076" s="290">
        <f>IFERROR(AS1076/SUM(AS1072:AS1077)*AL1072,0)</f>
        <v>0</v>
      </c>
      <c r="AS1076" s="197" t="str">
        <f>IFERROR(VLOOKUP($G1076,нормы!$A$14:$BC$57,55,0)*W1076,"")</f>
        <v/>
      </c>
      <c r="AT1076" s="290">
        <f>IFERROR(AU1076/SUM(AU1072:AU1077)*AM1072,0)</f>
        <v>0</v>
      </c>
      <c r="AU1076" s="197" t="str">
        <f>IFERROR(VLOOKUP($G1076,нормы!$A$14:$BI$57,56,0)*W1076,"")</f>
        <v/>
      </c>
      <c r="AV1076" s="290">
        <f>IFERROR(AW1076/SUM(AW1072:AW1077)*AK1072,0)</f>
        <v>0</v>
      </c>
      <c r="AW1076" s="202" t="str">
        <f>IFERROR(VLOOKUP($G1076,нормы!$A$14:$BI$57,57,0)*W1076,"")</f>
        <v/>
      </c>
      <c r="AX1076" s="30"/>
      <c r="AY1076" s="203" t="str">
        <f>IFERROR(VLOOKUP($G1076,нормы!$A$14:$BI$57,58,0)*W1076,"")</f>
        <v/>
      </c>
      <c r="AZ1076" s="205"/>
      <c r="BA1076" s="200" t="str">
        <f>IFERROR(VLOOKUP($G1076,нормы!$A$14:$BI$57,61,0)*$W1076,"")</f>
        <v/>
      </c>
      <c r="BB1076" s="30"/>
      <c r="BC1076" s="203" t="str">
        <f>IFERROR(VLOOKUP($G1076,нормы!$A$14:$BI$57,60,0)*W1076,"")</f>
        <v/>
      </c>
      <c r="BD1076" s="200" t="str">
        <f>IFERROR(VLOOKUP($G1076,нормы!$A$14:$BG$57,44,0),"")</f>
        <v/>
      </c>
      <c r="BE1076" s="199" t="str">
        <f>IFERROR(W1076/VLOOKUP($G1076,нормы!$A$14:$BI$57,45,0),"")</f>
        <v/>
      </c>
    </row>
    <row r="1077" spans="1:57" s="1" customFormat="1" ht="21" customHeight="1" thickBot="1" x14ac:dyDescent="0.45">
      <c r="A1077" s="37" t="str">
        <f t="shared" si="422"/>
        <v>18Д</v>
      </c>
      <c r="B1077" s="12">
        <f t="shared" si="425"/>
        <v>46040</v>
      </c>
      <c r="C1077" s="97">
        <f t="shared" si="425"/>
        <v>0</v>
      </c>
      <c r="D1077" s="97">
        <f t="shared" si="425"/>
        <v>2</v>
      </c>
      <c r="E1077" s="54"/>
      <c r="F1077" s="151" t="str">
        <f>IFERROR(VLOOKUP($G1077,нормы!$A$14:$BC$57,2,0),"")</f>
        <v/>
      </c>
      <c r="G1077" s="93"/>
      <c r="H1077" s="63">
        <f t="shared" si="426"/>
        <v>0</v>
      </c>
      <c r="I1077" s="153">
        <f>I1073+I1075</f>
        <v>0</v>
      </c>
      <c r="J1077" s="334"/>
      <c r="K1077" s="30">
        <f>IFERROR(VLOOKUP($G1077,[1]нормы!$A$21:$BC$151,15,0),"")</f>
        <v>0</v>
      </c>
      <c r="L1077" s="31">
        <f>IFERROR(VLOOKUP($G1077,[1]нормы!$A$21:$BC$151,17,0),"")</f>
        <v>0</v>
      </c>
      <c r="M1077" s="308">
        <f>IFERROR(VLOOKUP($G1077,[1]нормы!$A$21:$BC$151,27,0),"")</f>
        <v>0</v>
      </c>
      <c r="N1077" s="309" t="str">
        <f>IFERROR(Y1077/Y1078*(1.1*J1072*I1082),"")</f>
        <v/>
      </c>
      <c r="O1077" s="300">
        <f>IFERROR(VLOOKUP($G1077,[1]нормы!$A$21:$BC$151,21,0),"")</f>
        <v>0</v>
      </c>
      <c r="P1077" s="35">
        <f>IFERROR(VLOOKUP($G1077,[1]нормы!$A$21:$BC$151,19,0),"")</f>
        <v>0</v>
      </c>
      <c r="Q1077" s="35">
        <f>IFERROR(VLOOKUP($G1077,[1]нормы!$A$21:$BC$151,23,0),"")</f>
        <v>0</v>
      </c>
      <c r="R1077" s="231">
        <f>IFERROR(VLOOKUP($G1077,[1]нормы!$A$21:$BC$151,29,0),"")</f>
        <v>0</v>
      </c>
      <c r="S1077" s="35">
        <f>IFERROR(VLOOKUP($G1077,[1]нормы!$A$21:$BC$151,31,0),"")</f>
        <v>0</v>
      </c>
      <c r="T1077" s="32">
        <f>IFERROR(VLOOKUP($G1077,[1]нормы!$A$21:$BC$151,25,0),"")</f>
        <v>0</v>
      </c>
      <c r="U1077" s="235" t="str">
        <f>IFERROR(W1077/(((100*Y1077/Y1078)*I1077)/100),"")</f>
        <v/>
      </c>
      <c r="V1077" s="234" t="str">
        <f>IFERROR(VLOOKUP($G1077,нормы!$A$14:$BC$57,38,0),"")</f>
        <v/>
      </c>
      <c r="W1077" s="154"/>
      <c r="X1077" s="238"/>
      <c r="Y1077" s="152" t="str">
        <f>IFERROR(VLOOKUP($G1077,нормы!$A$14:$BC$57,42,0)*W1077,"")</f>
        <v/>
      </c>
      <c r="Z1077" s="163">
        <f>IFERROR(VLOOKUP($G1077,нормы!$A$14:$BC$57,14,0)*W1077/1000,0)</f>
        <v>0</v>
      </c>
      <c r="AA1077" s="56"/>
      <c r="AB1077" s="58"/>
      <c r="AC1077" s="58"/>
      <c r="AD1077" s="58"/>
      <c r="AE1077" s="57"/>
      <c r="AF1077" s="161"/>
      <c r="AG1077" s="392"/>
      <c r="AH1077" s="395"/>
      <c r="AI1077" s="398"/>
      <c r="AJ1077" s="409"/>
      <c r="AK1077" s="361"/>
      <c r="AL1077" s="361"/>
      <c r="AM1077" s="361"/>
      <c r="AN1077" s="291">
        <f>IFERROR(Y1077*AJ1072/Y1078,)</f>
        <v>0</v>
      </c>
      <c r="AO1077" s="197" t="str">
        <f>IFERROR(VLOOKUP($G1077,нормы!$A$14:$BC$57,53,0)*$W1077,"")</f>
        <v/>
      </c>
      <c r="AP1077" s="292">
        <f>IFERROR(Y1077*AI1072/Y1078,)</f>
        <v>0</v>
      </c>
      <c r="AQ1077" s="197" t="str">
        <f>IFERROR(VLOOKUP($G1077,нормы!$A$14:$BC$57,54,0)*$W1077,"")</f>
        <v/>
      </c>
      <c r="AR1077" s="290">
        <f>IFERROR(AS1077/SUM(AS1072:AS1077)*AL1072,0)</f>
        <v>0</v>
      </c>
      <c r="AS1077" s="197" t="str">
        <f>IFERROR(VLOOKUP($G1077,нормы!$A$14:$BC$57,55,0)*W1077,"")</f>
        <v/>
      </c>
      <c r="AT1077" s="292">
        <f>IFERROR(AU1077/SUM(AU1072:AU1077)*AM1072,0)</f>
        <v>0</v>
      </c>
      <c r="AU1077" s="197" t="str">
        <f>IFERROR(VLOOKUP($G1077,нормы!$A$14:$BI$57,56,0)*W1077,"")</f>
        <v/>
      </c>
      <c r="AV1077" s="292">
        <f>IFERROR(AW1077/SUM(AW1072:AW1077)*AK1072,0)</f>
        <v>0</v>
      </c>
      <c r="AW1077" s="202" t="str">
        <f>IFERROR(VLOOKUP($G1077,нормы!$A$14:$BI$57,57,0)*W1077,"")</f>
        <v/>
      </c>
      <c r="AX1077" s="56"/>
      <c r="AY1077" s="203" t="str">
        <f>IFERROR(VLOOKUP($G1077,нормы!$A$14:$BI$57,58,0)*W1077,"")</f>
        <v/>
      </c>
      <c r="AZ1077" s="206"/>
      <c r="BA1077" s="200" t="str">
        <f>IFERROR(VLOOKUP($G1077,нормы!$A$14:$BI$57,61,0)*$W1077,"")</f>
        <v/>
      </c>
      <c r="BB1077" s="56"/>
      <c r="BC1077" s="203" t="str">
        <f>IFERROR(VLOOKUP($G1077,нормы!$A$14:$BI$57,60,0)*W1077,"")</f>
        <v/>
      </c>
      <c r="BD1077" s="200" t="str">
        <f>IFERROR(VLOOKUP($G1077,нормы!$A$14:$BG$57,44,0),"")</f>
        <v/>
      </c>
      <c r="BE1077" s="199" t="str">
        <f>IFERROR(W1077/VLOOKUP($G1077,нормы!$A$14:$BI$57,45,0),"")</f>
        <v/>
      </c>
    </row>
    <row r="1078" spans="1:57" s="1" customFormat="1" ht="29.4" customHeight="1" thickBot="1" x14ac:dyDescent="0.45">
      <c r="A1078" s="37" t="str">
        <f t="shared" si="422"/>
        <v>18Д</v>
      </c>
      <c r="B1078" s="59"/>
      <c r="C1078" s="51"/>
      <c r="D1078" s="51"/>
      <c r="E1078" s="51"/>
      <c r="F1078" s="51"/>
      <c r="G1078" s="51"/>
      <c r="H1078" s="51"/>
      <c r="I1078" s="60"/>
      <c r="J1078" s="60"/>
      <c r="K1078" s="319" t="s">
        <v>213</v>
      </c>
      <c r="L1078" s="316"/>
      <c r="M1078" s="303" t="s">
        <v>213</v>
      </c>
      <c r="N1078" s="317">
        <f>SUM(N1072:N1077)</f>
        <v>0</v>
      </c>
      <c r="O1078" s="304" t="s">
        <v>217</v>
      </c>
      <c r="P1078" s="318">
        <f>N1078*8.937/1000</f>
        <v>0</v>
      </c>
      <c r="Q1078" s="305" t="s">
        <v>215</v>
      </c>
      <c r="R1078" s="61"/>
      <c r="S1078" s="61"/>
      <c r="T1078" s="61"/>
      <c r="U1078" s="109"/>
      <c r="V1078" s="109"/>
      <c r="W1078" s="94"/>
      <c r="X1078" s="155"/>
      <c r="Y1078" s="96">
        <f>SUM(Y1072:Y1077)</f>
        <v>0</v>
      </c>
      <c r="Z1078" s="164">
        <f>SUM(Z1072:Z1077)</f>
        <v>0</v>
      </c>
      <c r="AA1078" s="207">
        <f>(AA1064+AA1065+AA1066+AA1067+AA1068+AA1069+AA1070+AA1072+AA1073+AA1074+AA1075+AA1076+AA1077)-AG1065</f>
        <v>1</v>
      </c>
      <c r="AB1078" s="208">
        <f>(AB1064+AB1065+AB1066+AB1067+AB1068+AB1069+AB1070+AB1072+AB1073+AB1074+AB1075+AB1076+AB1077)-AH1065</f>
        <v>2</v>
      </c>
      <c r="AC1078" s="208">
        <f>(AC1064+AC1065+AC1066+AC1067+AC1068+AC1069+AC1070+AC1072+AC1073+AC1074+AC1075+AC1076+AC1077)-AG1072</f>
        <v>3</v>
      </c>
      <c r="AD1078" s="208">
        <f>(AD1064+AD1065+AD1066+AD1067+AD1068+AD1069+AD1070+AD1072+AD1073+AD1074+AD1075+AD1076+AD1077)-AH1072</f>
        <v>4</v>
      </c>
      <c r="AE1078" s="208">
        <f>(AE1064+AE1065+AE1066+AE1067+AE1068+AE1069+AE1070+AE1072+AE1073+AE1074+AE1075+AE1076+AE1077)-AI1065</f>
        <v>5</v>
      </c>
      <c r="AF1078" s="209">
        <f>(AF1064+AF1065+AF1066+AF1067+AF1068+AF1069+AF1070+AF1072+AF1073+AF1074+AF1075+AF1076+AF1077)-AI1072</f>
        <v>6</v>
      </c>
      <c r="AG1078" s="62"/>
      <c r="AH1078" s="62"/>
      <c r="AI1078" s="62"/>
      <c r="AJ1078" s="62"/>
      <c r="AK1078" s="62"/>
      <c r="AL1078" s="62"/>
      <c r="AM1078" s="62"/>
      <c r="AN1078" s="91">
        <f>SUM(AN1072:AN1077)</f>
        <v>0</v>
      </c>
      <c r="AO1078" s="91">
        <f>SUM(AO1072:AO1077)</f>
        <v>0</v>
      </c>
      <c r="AP1078" s="91"/>
      <c r="AQ1078" s="91"/>
      <c r="AR1078" s="91">
        <f>SUM(AR1072:AR1077)</f>
        <v>0</v>
      </c>
      <c r="AS1078" s="91">
        <f t="shared" ref="AS1078:AW1078" si="427">SUM(AS1072:AS1077)</f>
        <v>0</v>
      </c>
      <c r="AT1078" s="91">
        <f t="shared" si="427"/>
        <v>0</v>
      </c>
      <c r="AU1078" s="91">
        <f t="shared" si="427"/>
        <v>0</v>
      </c>
      <c r="AV1078" s="91">
        <f t="shared" si="427"/>
        <v>0</v>
      </c>
      <c r="AW1078" s="91">
        <f t="shared" si="427"/>
        <v>0</v>
      </c>
      <c r="AX1078" s="91">
        <f>SUM(AX1072:AX1077)</f>
        <v>0</v>
      </c>
      <c r="AY1078" s="91">
        <f>SUM(AY1072:AY1077)</f>
        <v>0</v>
      </c>
      <c r="AZ1078" s="91">
        <f>SUM(AZ1072:AZ1077)</f>
        <v>0</v>
      </c>
      <c r="BA1078" s="91"/>
      <c r="BB1078" s="91"/>
      <c r="BC1078" s="91"/>
      <c r="BD1078" s="91" t="str">
        <f>IFERROR(VLOOKUP($G1078,нормы!$A$14:$BG$15,27,0),"")</f>
        <v/>
      </c>
      <c r="BE1078" s="53" t="str">
        <f>IFERROR(W1078/VLOOKUP($G1078,нормы!$A$14:$BI$15,28,0),"")</f>
        <v/>
      </c>
    </row>
    <row r="1079" spans="1:57" s="1" customFormat="1" ht="29.4" customHeight="1" thickBot="1" x14ac:dyDescent="0.5">
      <c r="A1079" s="37" t="str">
        <f t="shared" si="422"/>
        <v>18Д</v>
      </c>
      <c r="B1079" s="166" t="s">
        <v>130</v>
      </c>
      <c r="C1079" s="167"/>
      <c r="D1079" s="167"/>
      <c r="E1079" s="167"/>
      <c r="F1079" s="165"/>
      <c r="G1079" s="167"/>
      <c r="H1079" s="167"/>
      <c r="I1079" s="168"/>
      <c r="J1079" s="168"/>
      <c r="K1079" s="168"/>
      <c r="L1079" s="168"/>
      <c r="M1079" s="168"/>
      <c r="N1079" s="168"/>
      <c r="O1079" s="167"/>
      <c r="P1079" s="169"/>
      <c r="Q1079" s="169"/>
      <c r="R1079" s="169"/>
      <c r="S1079" s="169"/>
      <c r="T1079" s="169"/>
      <c r="U1079" s="170"/>
      <c r="V1079" s="170"/>
      <c r="W1079" s="171"/>
      <c r="X1079" s="171"/>
      <c r="Y1079" s="172"/>
      <c r="Z1079" s="172"/>
      <c r="AA1079" s="201" t="s">
        <v>144</v>
      </c>
      <c r="AB1079" s="167"/>
      <c r="AC1079" s="167"/>
      <c r="AD1079" s="167"/>
      <c r="AE1079" s="167"/>
      <c r="AF1079" s="167"/>
      <c r="AG1079" s="167"/>
      <c r="AH1079" s="167"/>
      <c r="AI1079" s="167"/>
      <c r="AJ1079" s="167"/>
      <c r="AK1079" s="167"/>
      <c r="AL1079" s="167"/>
      <c r="AM1079" s="64"/>
      <c r="AN1079" s="167"/>
      <c r="AO1079" s="167"/>
      <c r="AP1079" s="167"/>
      <c r="AQ1079" s="167"/>
      <c r="AR1079" s="64"/>
      <c r="AS1079" s="64"/>
      <c r="AT1079" s="65"/>
      <c r="AU1079" s="64"/>
      <c r="AV1079" s="49"/>
      <c r="AW1079" s="49"/>
      <c r="AX1079" s="167"/>
      <c r="AY1079" s="167"/>
      <c r="AZ1079" s="167"/>
      <c r="BA1079" s="167"/>
      <c r="BB1079" s="167"/>
      <c r="BC1079" s="167"/>
      <c r="BD1079" s="66"/>
      <c r="BE1079" s="66"/>
    </row>
    <row r="1080" spans="1:57" s="1" customFormat="1" ht="23.25" customHeight="1" x14ac:dyDescent="0.4">
      <c r="A1080" s="37" t="str">
        <f t="shared" si="422"/>
        <v>18Д</v>
      </c>
      <c r="B1080" s="183"/>
      <c r="C1080" s="100"/>
      <c r="D1080" s="185"/>
      <c r="E1080" s="186" t="s">
        <v>57</v>
      </c>
      <c r="F1080" s="66" t="s">
        <v>87</v>
      </c>
      <c r="G1080" s="66"/>
      <c r="H1080" s="108" t="s">
        <v>131</v>
      </c>
      <c r="I1080" s="101"/>
      <c r="J1080" s="101"/>
      <c r="K1080" s="101"/>
      <c r="L1080" s="101"/>
      <c r="M1080" s="101"/>
      <c r="N1080" s="101"/>
      <c r="O1080" s="67"/>
      <c r="P1080" s="102"/>
      <c r="Q1080" s="102"/>
      <c r="R1080" s="102"/>
      <c r="S1080" s="102"/>
      <c r="T1080" s="102"/>
      <c r="U1080" s="67"/>
      <c r="V1080" s="67"/>
      <c r="W1080" s="103"/>
      <c r="X1080" s="187"/>
      <c r="Y1080" s="68" t="s">
        <v>74</v>
      </c>
      <c r="Z1080" s="69"/>
      <c r="AA1080" s="90"/>
      <c r="AB1080" s="100"/>
      <c r="AC1080" s="100"/>
      <c r="AD1080" s="186" t="s">
        <v>57</v>
      </c>
      <c r="AE1080" s="66"/>
      <c r="AF1080" s="66"/>
      <c r="AG1080" s="66"/>
      <c r="AH1080" s="66"/>
      <c r="AI1080" s="66"/>
      <c r="AJ1080" s="66"/>
      <c r="AK1080" s="66"/>
      <c r="AL1080" s="66"/>
      <c r="AM1080" s="66"/>
      <c r="AN1080" s="66"/>
      <c r="AO1080" s="66"/>
      <c r="AP1080" s="66"/>
      <c r="AQ1080" s="66"/>
      <c r="AR1080" s="66"/>
      <c r="AS1080" s="66"/>
      <c r="AT1080" s="190"/>
      <c r="AU1080" s="66"/>
      <c r="AV1080" s="165"/>
      <c r="AW1080" s="293"/>
      <c r="AX1080" s="66"/>
      <c r="AY1080" s="66"/>
      <c r="AZ1080" s="66"/>
      <c r="BA1080" s="66"/>
      <c r="BB1080" s="66"/>
      <c r="BC1080" s="66"/>
      <c r="BD1080" s="68" t="s">
        <v>74</v>
      </c>
      <c r="BE1080" s="69"/>
    </row>
    <row r="1081" spans="1:57" s="1" customFormat="1" ht="23.25" customHeight="1" thickBot="1" x14ac:dyDescent="0.45">
      <c r="A1081" s="37" t="str">
        <f t="shared" si="422"/>
        <v>18Д</v>
      </c>
      <c r="B1081" s="183"/>
      <c r="C1081" s="41"/>
      <c r="D1081" s="184"/>
      <c r="E1081" s="50"/>
      <c r="F1081" s="70"/>
      <c r="G1081" s="70"/>
      <c r="H1081" s="70"/>
      <c r="I1081" s="104"/>
      <c r="J1081" s="104"/>
      <c r="K1081" s="104"/>
      <c r="L1081" s="104"/>
      <c r="M1081" s="104"/>
      <c r="N1081" s="104"/>
      <c r="O1081" s="71"/>
      <c r="P1081" s="105"/>
      <c r="Q1081" s="105"/>
      <c r="R1081" s="105"/>
      <c r="S1081" s="105"/>
      <c r="T1081" s="105"/>
      <c r="U1081" s="71"/>
      <c r="V1081" s="71"/>
      <c r="W1081" s="106"/>
      <c r="X1081" s="188"/>
      <c r="Y1081" s="72"/>
      <c r="Z1081" s="73"/>
      <c r="AA1081" s="90"/>
      <c r="AB1081" s="41"/>
      <c r="AC1081" s="41"/>
      <c r="AD1081" s="50"/>
      <c r="AE1081" s="47"/>
      <c r="AF1081" s="47"/>
      <c r="AG1081" s="47"/>
      <c r="AH1081" s="47"/>
      <c r="AI1081" s="47"/>
      <c r="AJ1081" s="47"/>
      <c r="AK1081" s="47"/>
      <c r="AL1081" s="47"/>
      <c r="AM1081" s="70"/>
      <c r="AN1081" s="47"/>
      <c r="AO1081" s="70"/>
      <c r="AP1081" s="70"/>
      <c r="AQ1081" s="70"/>
      <c r="AR1081" s="70"/>
      <c r="AS1081" s="70"/>
      <c r="AT1081" s="191"/>
      <c r="AU1081" s="70"/>
      <c r="AV1081" s="192"/>
      <c r="AW1081" s="294"/>
      <c r="AX1081" s="70"/>
      <c r="AY1081" s="70"/>
      <c r="AZ1081" s="70"/>
      <c r="BA1081" s="70"/>
      <c r="BB1081" s="70"/>
      <c r="BC1081" s="70"/>
      <c r="BD1081" s="72"/>
      <c r="BE1081" s="73"/>
    </row>
    <row r="1082" spans="1:57" s="1" customFormat="1" ht="21.9" customHeight="1" x14ac:dyDescent="0.4">
      <c r="A1082" s="37" t="str">
        <f t="shared" si="422"/>
        <v>18Д</v>
      </c>
      <c r="B1082" s="183"/>
      <c r="C1082" s="41"/>
      <c r="D1082" s="184"/>
      <c r="E1082" s="281">
        <f>B1077</f>
        <v>46040</v>
      </c>
      <c r="F1082" s="337"/>
      <c r="G1082" s="338"/>
      <c r="H1082" s="338"/>
      <c r="I1082" s="338"/>
      <c r="J1082" s="338"/>
      <c r="K1082" s="338"/>
      <c r="L1082" s="338"/>
      <c r="M1082" s="338"/>
      <c r="N1082" s="338"/>
      <c r="O1082" s="338"/>
      <c r="P1082" s="338"/>
      <c r="Q1082" s="338"/>
      <c r="R1082" s="338"/>
      <c r="S1082" s="338"/>
      <c r="T1082" s="338"/>
      <c r="U1082" s="338"/>
      <c r="V1082" s="338"/>
      <c r="W1082" s="338"/>
      <c r="X1082" s="98">
        <v>1</v>
      </c>
      <c r="Y1082" s="74">
        <v>1</v>
      </c>
      <c r="Z1082" s="75">
        <f t="shared" ref="Z1082:Z1093" si="428">Y1082-X1082</f>
        <v>0</v>
      </c>
      <c r="AA1082" s="189"/>
      <c r="AB1082" s="41"/>
      <c r="AC1082" s="184"/>
      <c r="AD1082" s="210">
        <f>E1082</f>
        <v>46040</v>
      </c>
      <c r="AE1082" s="387"/>
      <c r="AF1082" s="388"/>
      <c r="AG1082" s="388"/>
      <c r="AH1082" s="388"/>
      <c r="AI1082" s="388"/>
      <c r="AJ1082" s="388"/>
      <c r="AK1082" s="388"/>
      <c r="AL1082" s="388"/>
      <c r="AM1082" s="388"/>
      <c r="AN1082" s="388"/>
      <c r="AO1082" s="388"/>
      <c r="AP1082" s="388"/>
      <c r="AQ1082" s="388"/>
      <c r="AR1082" s="388"/>
      <c r="AS1082" s="388"/>
      <c r="AT1082" s="388"/>
      <c r="AU1082" s="388"/>
      <c r="AV1082" s="388"/>
      <c r="AW1082" s="388"/>
      <c r="AX1082" s="388"/>
      <c r="AY1082" s="388"/>
      <c r="AZ1082" s="388"/>
      <c r="BA1082" s="388"/>
      <c r="BB1082" s="389"/>
      <c r="BC1082" s="98">
        <v>1</v>
      </c>
      <c r="BD1082" s="74">
        <v>1</v>
      </c>
      <c r="BE1082" s="75">
        <f t="shared" ref="BE1082:BE1093" si="429">BD1082-BC1082</f>
        <v>0</v>
      </c>
    </row>
    <row r="1083" spans="1:57" s="1" customFormat="1" ht="21.9" customHeight="1" x14ac:dyDescent="0.4">
      <c r="A1083" s="37" t="str">
        <f t="shared" si="422"/>
        <v>18Д</v>
      </c>
      <c r="B1083" s="183"/>
      <c r="C1083" s="41"/>
      <c r="D1083" s="184"/>
      <c r="E1083" s="282">
        <f>E1082</f>
        <v>46040</v>
      </c>
      <c r="F1083" s="335"/>
      <c r="G1083" s="336"/>
      <c r="H1083" s="336"/>
      <c r="I1083" s="336"/>
      <c r="J1083" s="336"/>
      <c r="K1083" s="336"/>
      <c r="L1083" s="336"/>
      <c r="M1083" s="336"/>
      <c r="N1083" s="336"/>
      <c r="O1083" s="336"/>
      <c r="P1083" s="336"/>
      <c r="Q1083" s="336"/>
      <c r="R1083" s="336"/>
      <c r="S1083" s="336"/>
      <c r="T1083" s="336"/>
      <c r="U1083" s="336"/>
      <c r="V1083" s="336"/>
      <c r="W1083" s="336"/>
      <c r="X1083" s="98">
        <v>1</v>
      </c>
      <c r="Y1083" s="74">
        <v>1</v>
      </c>
      <c r="Z1083" s="75">
        <f t="shared" si="428"/>
        <v>0</v>
      </c>
      <c r="AA1083" s="107">
        <f>AA1082</f>
        <v>0</v>
      </c>
      <c r="AB1083" s="41"/>
      <c r="AC1083" s="184"/>
      <c r="AD1083" s="212">
        <f>AD1082</f>
        <v>46040</v>
      </c>
      <c r="AE1083" s="387"/>
      <c r="AF1083" s="388"/>
      <c r="AG1083" s="388"/>
      <c r="AH1083" s="388"/>
      <c r="AI1083" s="388"/>
      <c r="AJ1083" s="388"/>
      <c r="AK1083" s="388"/>
      <c r="AL1083" s="388"/>
      <c r="AM1083" s="388"/>
      <c r="AN1083" s="388"/>
      <c r="AO1083" s="388"/>
      <c r="AP1083" s="388"/>
      <c r="AQ1083" s="388"/>
      <c r="AR1083" s="388"/>
      <c r="AS1083" s="388"/>
      <c r="AT1083" s="388"/>
      <c r="AU1083" s="388"/>
      <c r="AV1083" s="388"/>
      <c r="AW1083" s="388"/>
      <c r="AX1083" s="388"/>
      <c r="AY1083" s="388"/>
      <c r="AZ1083" s="388"/>
      <c r="BA1083" s="388"/>
      <c r="BB1083" s="389"/>
      <c r="BC1083" s="98">
        <v>1</v>
      </c>
      <c r="BD1083" s="74">
        <v>1</v>
      </c>
      <c r="BE1083" s="75">
        <f t="shared" si="429"/>
        <v>0</v>
      </c>
    </row>
    <row r="1084" spans="1:57" s="1" customFormat="1" ht="49.5" customHeight="1" x14ac:dyDescent="0.4">
      <c r="A1084" s="37" t="str">
        <f t="shared" si="422"/>
        <v>18Д</v>
      </c>
      <c r="B1084" s="183"/>
      <c r="C1084" s="41"/>
      <c r="D1084" s="184"/>
      <c r="E1084" s="282">
        <f t="shared" ref="E1084:E1093" si="430">E1083</f>
        <v>46040</v>
      </c>
      <c r="F1084" s="335"/>
      <c r="G1084" s="336"/>
      <c r="H1084" s="336"/>
      <c r="I1084" s="336"/>
      <c r="J1084" s="336"/>
      <c r="K1084" s="336"/>
      <c r="L1084" s="336"/>
      <c r="M1084" s="336"/>
      <c r="N1084" s="336"/>
      <c r="O1084" s="336"/>
      <c r="P1084" s="336"/>
      <c r="Q1084" s="336"/>
      <c r="R1084" s="336"/>
      <c r="S1084" s="336"/>
      <c r="T1084" s="336"/>
      <c r="U1084" s="336"/>
      <c r="V1084" s="336"/>
      <c r="W1084" s="336"/>
      <c r="X1084" s="98">
        <v>1</v>
      </c>
      <c r="Y1084" s="74">
        <v>1</v>
      </c>
      <c r="Z1084" s="75">
        <f t="shared" si="428"/>
        <v>0</v>
      </c>
      <c r="AA1084" s="107">
        <f>AA1083</f>
        <v>0</v>
      </c>
      <c r="AB1084" s="41"/>
      <c r="AC1084" s="184"/>
      <c r="AD1084" s="212">
        <f t="shared" ref="AD1084:AD1093" si="431">AD1083</f>
        <v>46040</v>
      </c>
      <c r="AE1084" s="387"/>
      <c r="AF1084" s="388"/>
      <c r="AG1084" s="388"/>
      <c r="AH1084" s="388"/>
      <c r="AI1084" s="388"/>
      <c r="AJ1084" s="388"/>
      <c r="AK1084" s="388"/>
      <c r="AL1084" s="388"/>
      <c r="AM1084" s="388"/>
      <c r="AN1084" s="388"/>
      <c r="AO1084" s="388"/>
      <c r="AP1084" s="388"/>
      <c r="AQ1084" s="388"/>
      <c r="AR1084" s="388"/>
      <c r="AS1084" s="388"/>
      <c r="AT1084" s="388"/>
      <c r="AU1084" s="388"/>
      <c r="AV1084" s="388"/>
      <c r="AW1084" s="388"/>
      <c r="AX1084" s="388"/>
      <c r="AY1084" s="388"/>
      <c r="AZ1084" s="388"/>
      <c r="BA1084" s="388"/>
      <c r="BB1084" s="389"/>
      <c r="BC1084" s="98">
        <v>1</v>
      </c>
      <c r="BD1084" s="74">
        <v>1</v>
      </c>
      <c r="BE1084" s="75">
        <f t="shared" si="429"/>
        <v>0</v>
      </c>
    </row>
    <row r="1085" spans="1:57" s="1" customFormat="1" ht="21.9" customHeight="1" x14ac:dyDescent="0.4">
      <c r="A1085" s="37" t="str">
        <f t="shared" si="422"/>
        <v>18Д</v>
      </c>
      <c r="B1085" s="183"/>
      <c r="C1085" s="41"/>
      <c r="D1085" s="184"/>
      <c r="E1085" s="282">
        <f t="shared" si="430"/>
        <v>46040</v>
      </c>
      <c r="F1085" s="335"/>
      <c r="G1085" s="336"/>
      <c r="H1085" s="336"/>
      <c r="I1085" s="336"/>
      <c r="J1085" s="336"/>
      <c r="K1085" s="336"/>
      <c r="L1085" s="336"/>
      <c r="M1085" s="336"/>
      <c r="N1085" s="336"/>
      <c r="O1085" s="336"/>
      <c r="P1085" s="336"/>
      <c r="Q1085" s="336"/>
      <c r="R1085" s="336"/>
      <c r="S1085" s="336"/>
      <c r="T1085" s="336"/>
      <c r="U1085" s="336"/>
      <c r="V1085" s="336"/>
      <c r="W1085" s="336"/>
      <c r="X1085" s="98">
        <v>1</v>
      </c>
      <c r="Y1085" s="74">
        <v>1</v>
      </c>
      <c r="Z1085" s="75">
        <f t="shared" si="428"/>
        <v>0</v>
      </c>
      <c r="AA1085" s="107">
        <f t="shared" ref="AA1085:AA1093" si="432">AA1084</f>
        <v>0</v>
      </c>
      <c r="AB1085" s="41"/>
      <c r="AC1085" s="184"/>
      <c r="AD1085" s="212">
        <f t="shared" si="431"/>
        <v>46040</v>
      </c>
      <c r="AE1085" s="387"/>
      <c r="AF1085" s="388"/>
      <c r="AG1085" s="388"/>
      <c r="AH1085" s="388"/>
      <c r="AI1085" s="388"/>
      <c r="AJ1085" s="388"/>
      <c r="AK1085" s="388"/>
      <c r="AL1085" s="388"/>
      <c r="AM1085" s="388"/>
      <c r="AN1085" s="388"/>
      <c r="AO1085" s="388"/>
      <c r="AP1085" s="388"/>
      <c r="AQ1085" s="388"/>
      <c r="AR1085" s="388"/>
      <c r="AS1085" s="388"/>
      <c r="AT1085" s="388"/>
      <c r="AU1085" s="388"/>
      <c r="AV1085" s="388"/>
      <c r="AW1085" s="388"/>
      <c r="AX1085" s="388"/>
      <c r="AY1085" s="388"/>
      <c r="AZ1085" s="388"/>
      <c r="BA1085" s="388"/>
      <c r="BB1085" s="389"/>
      <c r="BC1085" s="98">
        <v>1</v>
      </c>
      <c r="BD1085" s="74">
        <v>1</v>
      </c>
      <c r="BE1085" s="75">
        <f t="shared" si="429"/>
        <v>0</v>
      </c>
    </row>
    <row r="1086" spans="1:57" s="1" customFormat="1" ht="18" customHeight="1" x14ac:dyDescent="0.4">
      <c r="A1086" s="37" t="str">
        <f t="shared" si="422"/>
        <v>18Д</v>
      </c>
      <c r="B1086" s="183"/>
      <c r="C1086" s="41"/>
      <c r="D1086" s="184"/>
      <c r="E1086" s="282">
        <f t="shared" si="430"/>
        <v>46040</v>
      </c>
      <c r="F1086" s="335"/>
      <c r="G1086" s="336"/>
      <c r="H1086" s="336"/>
      <c r="I1086" s="336"/>
      <c r="J1086" s="336"/>
      <c r="K1086" s="336"/>
      <c r="L1086" s="336"/>
      <c r="M1086" s="336"/>
      <c r="N1086" s="336"/>
      <c r="O1086" s="336"/>
      <c r="P1086" s="336"/>
      <c r="Q1086" s="336"/>
      <c r="R1086" s="336"/>
      <c r="S1086" s="336"/>
      <c r="T1086" s="336"/>
      <c r="U1086" s="336"/>
      <c r="V1086" s="336"/>
      <c r="W1086" s="336"/>
      <c r="X1086" s="98">
        <v>1</v>
      </c>
      <c r="Y1086" s="74">
        <v>1</v>
      </c>
      <c r="Z1086" s="75">
        <f t="shared" si="428"/>
        <v>0</v>
      </c>
      <c r="AA1086" s="107">
        <f t="shared" si="432"/>
        <v>0</v>
      </c>
      <c r="AB1086" s="41"/>
      <c r="AC1086" s="184"/>
      <c r="AD1086" s="212">
        <f t="shared" si="431"/>
        <v>46040</v>
      </c>
      <c r="AE1086" s="387"/>
      <c r="AF1086" s="388"/>
      <c r="AG1086" s="388"/>
      <c r="AH1086" s="388"/>
      <c r="AI1086" s="388"/>
      <c r="AJ1086" s="388"/>
      <c r="AK1086" s="388"/>
      <c r="AL1086" s="388"/>
      <c r="AM1086" s="388"/>
      <c r="AN1086" s="388"/>
      <c r="AO1086" s="388"/>
      <c r="AP1086" s="388"/>
      <c r="AQ1086" s="388"/>
      <c r="AR1086" s="388"/>
      <c r="AS1086" s="388"/>
      <c r="AT1086" s="388"/>
      <c r="AU1086" s="388"/>
      <c r="AV1086" s="388"/>
      <c r="AW1086" s="388"/>
      <c r="AX1086" s="388"/>
      <c r="AY1086" s="388"/>
      <c r="AZ1086" s="388"/>
      <c r="BA1086" s="388"/>
      <c r="BB1086" s="389"/>
      <c r="BC1086" s="98">
        <v>1</v>
      </c>
      <c r="BD1086" s="74">
        <v>1</v>
      </c>
      <c r="BE1086" s="75">
        <f t="shared" si="429"/>
        <v>0</v>
      </c>
    </row>
    <row r="1087" spans="1:57" s="1" customFormat="1" ht="21.9" customHeight="1" x14ac:dyDescent="0.4">
      <c r="A1087" s="37" t="str">
        <f t="shared" si="422"/>
        <v>18Д</v>
      </c>
      <c r="B1087" s="183"/>
      <c r="C1087" s="41"/>
      <c r="D1087" s="184"/>
      <c r="E1087" s="282">
        <f t="shared" si="430"/>
        <v>46040</v>
      </c>
      <c r="F1087" s="335"/>
      <c r="G1087" s="336"/>
      <c r="H1087" s="336"/>
      <c r="I1087" s="336"/>
      <c r="J1087" s="336"/>
      <c r="K1087" s="336"/>
      <c r="L1087" s="336"/>
      <c r="M1087" s="336"/>
      <c r="N1087" s="336"/>
      <c r="O1087" s="336"/>
      <c r="P1087" s="336"/>
      <c r="Q1087" s="336"/>
      <c r="R1087" s="336"/>
      <c r="S1087" s="336"/>
      <c r="T1087" s="336"/>
      <c r="U1087" s="336"/>
      <c r="V1087" s="336"/>
      <c r="W1087" s="336"/>
      <c r="X1087" s="98">
        <v>1</v>
      </c>
      <c r="Y1087" s="74">
        <v>1</v>
      </c>
      <c r="Z1087" s="75">
        <f t="shared" si="428"/>
        <v>0</v>
      </c>
      <c r="AA1087" s="107">
        <f t="shared" si="432"/>
        <v>0</v>
      </c>
      <c r="AB1087" s="41"/>
      <c r="AC1087" s="184"/>
      <c r="AD1087" s="212">
        <f t="shared" si="431"/>
        <v>46040</v>
      </c>
      <c r="AE1087" s="387"/>
      <c r="AF1087" s="388"/>
      <c r="AG1087" s="388"/>
      <c r="AH1087" s="388"/>
      <c r="AI1087" s="388"/>
      <c r="AJ1087" s="388"/>
      <c r="AK1087" s="388"/>
      <c r="AL1087" s="388"/>
      <c r="AM1087" s="388"/>
      <c r="AN1087" s="388"/>
      <c r="AO1087" s="388"/>
      <c r="AP1087" s="388"/>
      <c r="AQ1087" s="388"/>
      <c r="AR1087" s="388"/>
      <c r="AS1087" s="388"/>
      <c r="AT1087" s="388"/>
      <c r="AU1087" s="388"/>
      <c r="AV1087" s="388"/>
      <c r="AW1087" s="388"/>
      <c r="AX1087" s="388"/>
      <c r="AY1087" s="388"/>
      <c r="AZ1087" s="388"/>
      <c r="BA1087" s="388"/>
      <c r="BB1087" s="389"/>
      <c r="BC1087" s="98">
        <v>1</v>
      </c>
      <c r="BD1087" s="74">
        <v>1</v>
      </c>
      <c r="BE1087" s="75">
        <f t="shared" si="429"/>
        <v>0</v>
      </c>
    </row>
    <row r="1088" spans="1:57" s="1" customFormat="1" ht="18" customHeight="1" x14ac:dyDescent="0.4">
      <c r="A1088" s="37" t="str">
        <f t="shared" si="422"/>
        <v>18Д</v>
      </c>
      <c r="B1088" s="183"/>
      <c r="C1088" s="41"/>
      <c r="D1088" s="184"/>
      <c r="E1088" s="282">
        <f t="shared" si="430"/>
        <v>46040</v>
      </c>
      <c r="F1088" s="335"/>
      <c r="G1088" s="336"/>
      <c r="H1088" s="336"/>
      <c r="I1088" s="336"/>
      <c r="J1088" s="336"/>
      <c r="K1088" s="336"/>
      <c r="L1088" s="336"/>
      <c r="M1088" s="336"/>
      <c r="N1088" s="336"/>
      <c r="O1088" s="336"/>
      <c r="P1088" s="336"/>
      <c r="Q1088" s="336"/>
      <c r="R1088" s="336"/>
      <c r="S1088" s="336"/>
      <c r="T1088" s="336"/>
      <c r="U1088" s="336"/>
      <c r="V1088" s="336"/>
      <c r="W1088" s="336"/>
      <c r="X1088" s="98">
        <v>1</v>
      </c>
      <c r="Y1088" s="74">
        <v>1</v>
      </c>
      <c r="Z1088" s="75">
        <f t="shared" si="428"/>
        <v>0</v>
      </c>
      <c r="AA1088" s="107">
        <f t="shared" si="432"/>
        <v>0</v>
      </c>
      <c r="AB1088" s="41"/>
      <c r="AC1088" s="184"/>
      <c r="AD1088" s="212">
        <f t="shared" si="431"/>
        <v>46040</v>
      </c>
      <c r="AE1088" s="387"/>
      <c r="AF1088" s="388"/>
      <c r="AG1088" s="388"/>
      <c r="AH1088" s="388"/>
      <c r="AI1088" s="388"/>
      <c r="AJ1088" s="388"/>
      <c r="AK1088" s="388"/>
      <c r="AL1088" s="388"/>
      <c r="AM1088" s="388"/>
      <c r="AN1088" s="388"/>
      <c r="AO1088" s="388"/>
      <c r="AP1088" s="388"/>
      <c r="AQ1088" s="388"/>
      <c r="AR1088" s="388"/>
      <c r="AS1088" s="388"/>
      <c r="AT1088" s="388"/>
      <c r="AU1088" s="388"/>
      <c r="AV1088" s="388"/>
      <c r="AW1088" s="388"/>
      <c r="AX1088" s="388"/>
      <c r="AY1088" s="388"/>
      <c r="AZ1088" s="388"/>
      <c r="BA1088" s="388"/>
      <c r="BB1088" s="389"/>
      <c r="BC1088" s="98">
        <v>1</v>
      </c>
      <c r="BD1088" s="74">
        <v>1</v>
      </c>
      <c r="BE1088" s="75">
        <f t="shared" si="429"/>
        <v>0</v>
      </c>
    </row>
    <row r="1089" spans="1:57" s="1" customFormat="1" ht="21.9" customHeight="1" x14ac:dyDescent="0.4">
      <c r="A1089" s="37" t="str">
        <f t="shared" si="422"/>
        <v>18Д</v>
      </c>
      <c r="B1089" s="183"/>
      <c r="C1089" s="41"/>
      <c r="D1089" s="184"/>
      <c r="E1089" s="282">
        <f t="shared" si="430"/>
        <v>46040</v>
      </c>
      <c r="F1089" s="335"/>
      <c r="G1089" s="336"/>
      <c r="H1089" s="336"/>
      <c r="I1089" s="336"/>
      <c r="J1089" s="336"/>
      <c r="K1089" s="336"/>
      <c r="L1089" s="336"/>
      <c r="M1089" s="336"/>
      <c r="N1089" s="336"/>
      <c r="O1089" s="336"/>
      <c r="P1089" s="336"/>
      <c r="Q1089" s="336"/>
      <c r="R1089" s="336"/>
      <c r="S1089" s="336"/>
      <c r="T1089" s="336"/>
      <c r="U1089" s="336"/>
      <c r="V1089" s="336"/>
      <c r="W1089" s="336"/>
      <c r="X1089" s="98">
        <v>1</v>
      </c>
      <c r="Y1089" s="74">
        <v>1</v>
      </c>
      <c r="Z1089" s="75">
        <f t="shared" si="428"/>
        <v>0</v>
      </c>
      <c r="AA1089" s="107">
        <f t="shared" si="432"/>
        <v>0</v>
      </c>
      <c r="AB1089" s="41"/>
      <c r="AC1089" s="184"/>
      <c r="AD1089" s="212">
        <f t="shared" si="431"/>
        <v>46040</v>
      </c>
      <c r="AE1089" s="387"/>
      <c r="AF1089" s="388"/>
      <c r="AG1089" s="388"/>
      <c r="AH1089" s="388"/>
      <c r="AI1089" s="388"/>
      <c r="AJ1089" s="388"/>
      <c r="AK1089" s="388"/>
      <c r="AL1089" s="388"/>
      <c r="AM1089" s="388"/>
      <c r="AN1089" s="388"/>
      <c r="AO1089" s="388"/>
      <c r="AP1089" s="388"/>
      <c r="AQ1089" s="388"/>
      <c r="AR1089" s="388"/>
      <c r="AS1089" s="388"/>
      <c r="AT1089" s="388"/>
      <c r="AU1089" s="388"/>
      <c r="AV1089" s="388"/>
      <c r="AW1089" s="388"/>
      <c r="AX1089" s="388"/>
      <c r="AY1089" s="388"/>
      <c r="AZ1089" s="388"/>
      <c r="BA1089" s="388"/>
      <c r="BB1089" s="389"/>
      <c r="BC1089" s="98">
        <v>1</v>
      </c>
      <c r="BD1089" s="74">
        <v>1</v>
      </c>
      <c r="BE1089" s="75">
        <f t="shared" si="429"/>
        <v>0</v>
      </c>
    </row>
    <row r="1090" spans="1:57" s="1" customFormat="1" ht="18" customHeight="1" x14ac:dyDescent="0.4">
      <c r="A1090" s="37" t="str">
        <f t="shared" si="422"/>
        <v>18Д</v>
      </c>
      <c r="B1090" s="183"/>
      <c r="C1090" s="41"/>
      <c r="D1090" s="184"/>
      <c r="E1090" s="282">
        <f t="shared" si="430"/>
        <v>46040</v>
      </c>
      <c r="F1090" s="335"/>
      <c r="G1090" s="336"/>
      <c r="H1090" s="336"/>
      <c r="I1090" s="336"/>
      <c r="J1090" s="336"/>
      <c r="K1090" s="336"/>
      <c r="L1090" s="336"/>
      <c r="M1090" s="336"/>
      <c r="N1090" s="336"/>
      <c r="O1090" s="336"/>
      <c r="P1090" s="336"/>
      <c r="Q1090" s="336"/>
      <c r="R1090" s="336"/>
      <c r="S1090" s="336"/>
      <c r="T1090" s="336"/>
      <c r="U1090" s="336"/>
      <c r="V1090" s="336"/>
      <c r="W1090" s="336"/>
      <c r="X1090" s="98">
        <v>1</v>
      </c>
      <c r="Y1090" s="74">
        <v>1</v>
      </c>
      <c r="Z1090" s="75">
        <f t="shared" si="428"/>
        <v>0</v>
      </c>
      <c r="AA1090" s="107">
        <f t="shared" si="432"/>
        <v>0</v>
      </c>
      <c r="AB1090" s="41"/>
      <c r="AC1090" s="184"/>
      <c r="AD1090" s="212">
        <f t="shared" si="431"/>
        <v>46040</v>
      </c>
      <c r="AE1090" s="387"/>
      <c r="AF1090" s="388"/>
      <c r="AG1090" s="388"/>
      <c r="AH1090" s="388"/>
      <c r="AI1090" s="388"/>
      <c r="AJ1090" s="388"/>
      <c r="AK1090" s="388"/>
      <c r="AL1090" s="388"/>
      <c r="AM1090" s="388"/>
      <c r="AN1090" s="388"/>
      <c r="AO1090" s="388"/>
      <c r="AP1090" s="388"/>
      <c r="AQ1090" s="388"/>
      <c r="AR1090" s="388"/>
      <c r="AS1090" s="388"/>
      <c r="AT1090" s="388"/>
      <c r="AU1090" s="388"/>
      <c r="AV1090" s="388"/>
      <c r="AW1090" s="388"/>
      <c r="AX1090" s="388"/>
      <c r="AY1090" s="388"/>
      <c r="AZ1090" s="388"/>
      <c r="BA1090" s="388"/>
      <c r="BB1090" s="389"/>
      <c r="BC1090" s="98">
        <v>1</v>
      </c>
      <c r="BD1090" s="74">
        <v>1</v>
      </c>
      <c r="BE1090" s="75">
        <f t="shared" si="429"/>
        <v>0</v>
      </c>
    </row>
    <row r="1091" spans="1:57" s="1" customFormat="1" ht="18" customHeight="1" x14ac:dyDescent="0.4">
      <c r="A1091" s="37" t="str">
        <f t="shared" si="422"/>
        <v>18Д</v>
      </c>
      <c r="B1091" s="183"/>
      <c r="C1091" s="41"/>
      <c r="D1091" s="184"/>
      <c r="E1091" s="282">
        <f t="shared" si="430"/>
        <v>46040</v>
      </c>
      <c r="F1091" s="335"/>
      <c r="G1091" s="336"/>
      <c r="H1091" s="336"/>
      <c r="I1091" s="336"/>
      <c r="J1091" s="336"/>
      <c r="K1091" s="336"/>
      <c r="L1091" s="336"/>
      <c r="M1091" s="336"/>
      <c r="N1091" s="336"/>
      <c r="O1091" s="336"/>
      <c r="P1091" s="336"/>
      <c r="Q1091" s="336"/>
      <c r="R1091" s="336"/>
      <c r="S1091" s="336"/>
      <c r="T1091" s="336"/>
      <c r="U1091" s="336"/>
      <c r="V1091" s="336"/>
      <c r="W1091" s="336"/>
      <c r="X1091" s="98">
        <v>1</v>
      </c>
      <c r="Y1091" s="74">
        <v>1</v>
      </c>
      <c r="Z1091" s="75">
        <f t="shared" si="428"/>
        <v>0</v>
      </c>
      <c r="AA1091" s="107">
        <f t="shared" si="432"/>
        <v>0</v>
      </c>
      <c r="AB1091" s="41"/>
      <c r="AC1091" s="184"/>
      <c r="AD1091" s="212">
        <f t="shared" si="431"/>
        <v>46040</v>
      </c>
      <c r="AE1091" s="387"/>
      <c r="AF1091" s="388"/>
      <c r="AG1091" s="388"/>
      <c r="AH1091" s="388"/>
      <c r="AI1091" s="388"/>
      <c r="AJ1091" s="388"/>
      <c r="AK1091" s="388"/>
      <c r="AL1091" s="388"/>
      <c r="AM1091" s="388"/>
      <c r="AN1091" s="388"/>
      <c r="AO1091" s="388"/>
      <c r="AP1091" s="388"/>
      <c r="AQ1091" s="388"/>
      <c r="AR1091" s="388"/>
      <c r="AS1091" s="388"/>
      <c r="AT1091" s="388"/>
      <c r="AU1091" s="388"/>
      <c r="AV1091" s="388"/>
      <c r="AW1091" s="388"/>
      <c r="AX1091" s="388"/>
      <c r="AY1091" s="388"/>
      <c r="AZ1091" s="388"/>
      <c r="BA1091" s="388"/>
      <c r="BB1091" s="389"/>
      <c r="BC1091" s="98">
        <v>1</v>
      </c>
      <c r="BD1091" s="74">
        <v>1</v>
      </c>
      <c r="BE1091" s="75">
        <f t="shared" si="429"/>
        <v>0</v>
      </c>
    </row>
    <row r="1092" spans="1:57" s="1" customFormat="1" ht="18" customHeight="1" x14ac:dyDescent="0.4">
      <c r="A1092" s="37" t="str">
        <f t="shared" si="422"/>
        <v>18Д</v>
      </c>
      <c r="B1092" s="183"/>
      <c r="C1092" s="41"/>
      <c r="D1092" s="184"/>
      <c r="E1092" s="282">
        <f t="shared" si="430"/>
        <v>46040</v>
      </c>
      <c r="F1092" s="335"/>
      <c r="G1092" s="336"/>
      <c r="H1092" s="336"/>
      <c r="I1092" s="336"/>
      <c r="J1092" s="336"/>
      <c r="K1092" s="336"/>
      <c r="L1092" s="336"/>
      <c r="M1092" s="336"/>
      <c r="N1092" s="336"/>
      <c r="O1092" s="336"/>
      <c r="P1092" s="336"/>
      <c r="Q1092" s="336"/>
      <c r="R1092" s="336"/>
      <c r="S1092" s="336"/>
      <c r="T1092" s="336"/>
      <c r="U1092" s="336"/>
      <c r="V1092" s="336"/>
      <c r="W1092" s="336"/>
      <c r="X1092" s="98">
        <v>1</v>
      </c>
      <c r="Y1092" s="74">
        <v>1</v>
      </c>
      <c r="Z1092" s="75">
        <f t="shared" si="428"/>
        <v>0</v>
      </c>
      <c r="AA1092" s="107">
        <f t="shared" si="432"/>
        <v>0</v>
      </c>
      <c r="AB1092" s="41"/>
      <c r="AC1092" s="184"/>
      <c r="AD1092" s="212">
        <f t="shared" si="431"/>
        <v>46040</v>
      </c>
      <c r="AE1092" s="387"/>
      <c r="AF1092" s="388"/>
      <c r="AG1092" s="388"/>
      <c r="AH1092" s="388"/>
      <c r="AI1092" s="388"/>
      <c r="AJ1092" s="388"/>
      <c r="AK1092" s="388"/>
      <c r="AL1092" s="388"/>
      <c r="AM1092" s="388"/>
      <c r="AN1092" s="388"/>
      <c r="AO1092" s="388"/>
      <c r="AP1092" s="388"/>
      <c r="AQ1092" s="388"/>
      <c r="AR1092" s="388"/>
      <c r="AS1092" s="388"/>
      <c r="AT1092" s="388"/>
      <c r="AU1092" s="388"/>
      <c r="AV1092" s="388"/>
      <c r="AW1092" s="388"/>
      <c r="AX1092" s="388"/>
      <c r="AY1092" s="388"/>
      <c r="AZ1092" s="388"/>
      <c r="BA1092" s="388"/>
      <c r="BB1092" s="389"/>
      <c r="BC1092" s="98">
        <v>1</v>
      </c>
      <c r="BD1092" s="74">
        <v>1</v>
      </c>
      <c r="BE1092" s="75">
        <f t="shared" si="429"/>
        <v>0</v>
      </c>
    </row>
    <row r="1093" spans="1:57" s="1" customFormat="1" ht="18" customHeight="1" thickBot="1" x14ac:dyDescent="0.45">
      <c r="A1093" s="37" t="str">
        <f t="shared" si="422"/>
        <v>18Д</v>
      </c>
      <c r="B1093" s="183"/>
      <c r="C1093" s="41"/>
      <c r="D1093" s="184"/>
      <c r="E1093" s="283">
        <f t="shared" si="430"/>
        <v>46040</v>
      </c>
      <c r="F1093" s="339"/>
      <c r="G1093" s="340"/>
      <c r="H1093" s="340"/>
      <c r="I1093" s="340"/>
      <c r="J1093" s="340"/>
      <c r="K1093" s="340"/>
      <c r="L1093" s="340"/>
      <c r="M1093" s="340"/>
      <c r="N1093" s="340"/>
      <c r="O1093" s="340"/>
      <c r="P1093" s="340"/>
      <c r="Q1093" s="340"/>
      <c r="R1093" s="340"/>
      <c r="S1093" s="340"/>
      <c r="T1093" s="340"/>
      <c r="U1093" s="340"/>
      <c r="V1093" s="340"/>
      <c r="W1093" s="340"/>
      <c r="X1093" s="99">
        <v>1</v>
      </c>
      <c r="Y1093" s="76">
        <v>1</v>
      </c>
      <c r="Z1093" s="77">
        <f t="shared" si="428"/>
        <v>0</v>
      </c>
      <c r="AA1093" s="107">
        <f t="shared" si="432"/>
        <v>0</v>
      </c>
      <c r="AB1093" s="41"/>
      <c r="AC1093" s="184"/>
      <c r="AD1093" s="211">
        <f t="shared" si="431"/>
        <v>46040</v>
      </c>
      <c r="AE1093" s="410"/>
      <c r="AF1093" s="411"/>
      <c r="AG1093" s="411"/>
      <c r="AH1093" s="411"/>
      <c r="AI1093" s="411"/>
      <c r="AJ1093" s="411"/>
      <c r="AK1093" s="411"/>
      <c r="AL1093" s="411"/>
      <c r="AM1093" s="411"/>
      <c r="AN1093" s="411"/>
      <c r="AO1093" s="411"/>
      <c r="AP1093" s="411"/>
      <c r="AQ1093" s="411"/>
      <c r="AR1093" s="411"/>
      <c r="AS1093" s="411"/>
      <c r="AT1093" s="411"/>
      <c r="AU1093" s="411"/>
      <c r="AV1093" s="411"/>
      <c r="AW1093" s="411"/>
      <c r="AX1093" s="411"/>
      <c r="AY1093" s="411"/>
      <c r="AZ1093" s="411"/>
      <c r="BA1093" s="411"/>
      <c r="BB1093" s="412"/>
      <c r="BC1093" s="99">
        <v>1</v>
      </c>
      <c r="BD1093" s="76">
        <v>1</v>
      </c>
      <c r="BE1093" s="75">
        <f t="shared" si="429"/>
        <v>0</v>
      </c>
    </row>
    <row r="1094" spans="1:57" s="1" customFormat="1" ht="23.25" customHeight="1" thickBot="1" x14ac:dyDescent="0.45">
      <c r="A1094" s="37" t="str">
        <f t="shared" si="422"/>
        <v>18Д</v>
      </c>
      <c r="B1094" s="193"/>
      <c r="C1094" s="47"/>
      <c r="D1094" s="47"/>
      <c r="E1094" s="47"/>
      <c r="F1094" s="78"/>
      <c r="G1094" s="78"/>
      <c r="H1094" s="78"/>
      <c r="I1094" s="80"/>
      <c r="J1094" s="80"/>
      <c r="K1094" s="80"/>
      <c r="L1094" s="80"/>
      <c r="M1094" s="80"/>
      <c r="N1094" s="80"/>
      <c r="O1094" s="78"/>
      <c r="P1094" s="81"/>
      <c r="Q1094" s="81"/>
      <c r="R1094" s="81"/>
      <c r="S1094" s="81"/>
      <c r="T1094" s="81"/>
      <c r="U1094" s="82"/>
      <c r="V1094" s="82"/>
      <c r="W1094" s="86"/>
      <c r="X1094" s="194"/>
      <c r="Y1094" s="83"/>
      <c r="Z1094" s="83"/>
      <c r="AA1094" s="78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84"/>
      <c r="AN1094" s="47"/>
      <c r="AO1094" s="78"/>
      <c r="AP1094" s="78"/>
      <c r="AQ1094" s="78"/>
      <c r="AR1094" s="84"/>
      <c r="AS1094" s="78"/>
      <c r="AT1094" s="85"/>
      <c r="AU1094" s="78"/>
      <c r="AV1094" s="83"/>
      <c r="AW1094" s="83"/>
      <c r="AX1094" s="78"/>
      <c r="AY1094" s="78"/>
      <c r="AZ1094" s="78"/>
      <c r="BA1094" s="78"/>
      <c r="BB1094" s="78"/>
      <c r="BC1094" s="78"/>
      <c r="BD1094" s="79"/>
      <c r="BE1094" s="79"/>
    </row>
    <row r="1095" spans="1:57" s="1" customFormat="1" ht="21.6" customHeight="1" thickBot="1" x14ac:dyDescent="0.45">
      <c r="A1095" s="37" t="s">
        <v>181</v>
      </c>
      <c r="B1095" s="59"/>
      <c r="C1095" s="51"/>
      <c r="D1095" s="51"/>
      <c r="E1095" s="51"/>
      <c r="F1095" s="158" t="s">
        <v>220</v>
      </c>
      <c r="G1095" s="51"/>
      <c r="H1095" s="51"/>
      <c r="I1095" s="156"/>
      <c r="J1095" s="156"/>
      <c r="K1095" s="156"/>
      <c r="L1095" s="156"/>
      <c r="M1095" s="156"/>
      <c r="N1095" s="156"/>
      <c r="O1095" s="91"/>
      <c r="P1095" s="52"/>
      <c r="Q1095" s="52"/>
      <c r="R1095" s="52"/>
      <c r="S1095" s="52"/>
      <c r="T1095" s="52"/>
      <c r="U1095" s="157"/>
      <c r="V1095" s="157"/>
      <c r="W1095" s="94"/>
      <c r="X1095" s="94"/>
      <c r="Y1095" s="51"/>
      <c r="Z1095" s="51"/>
      <c r="AA1095" s="157">
        <f>AA1078</f>
        <v>1</v>
      </c>
      <c r="AB1095" s="157">
        <f t="shared" ref="AB1095:AF1095" si="433">AB1078</f>
        <v>2</v>
      </c>
      <c r="AC1095" s="157">
        <f t="shared" si="433"/>
        <v>3</v>
      </c>
      <c r="AD1095" s="157">
        <f t="shared" si="433"/>
        <v>4</v>
      </c>
      <c r="AE1095" s="157">
        <f t="shared" si="433"/>
        <v>5</v>
      </c>
      <c r="AF1095" s="157">
        <f t="shared" si="433"/>
        <v>6</v>
      </c>
      <c r="AG1095" s="162" t="s">
        <v>123</v>
      </c>
      <c r="AH1095" s="162" t="s">
        <v>124</v>
      </c>
      <c r="AI1095" s="162" t="s">
        <v>125</v>
      </c>
      <c r="AJ1095" s="91" t="s">
        <v>126</v>
      </c>
      <c r="AK1095" s="198" t="s">
        <v>136</v>
      </c>
      <c r="AL1095" s="198" t="s">
        <v>137</v>
      </c>
      <c r="AM1095" s="198" t="s">
        <v>138</v>
      </c>
      <c r="AN1095" s="91"/>
      <c r="AO1095" s="91"/>
      <c r="AP1095" s="91"/>
      <c r="AQ1095" s="91"/>
      <c r="AR1095" s="91"/>
      <c r="AS1095" s="91"/>
      <c r="AT1095" s="91"/>
      <c r="AU1095" s="91"/>
      <c r="AV1095" s="91"/>
      <c r="AW1095" s="91"/>
      <c r="AX1095" s="91"/>
      <c r="AY1095" s="91"/>
      <c r="AZ1095" s="91"/>
      <c r="BA1095" s="91"/>
      <c r="BB1095" s="91"/>
      <c r="BC1095" s="91"/>
      <c r="BD1095" s="91"/>
      <c r="BE1095" s="91"/>
    </row>
    <row r="1096" spans="1:57" s="1" customFormat="1" ht="21.6" customHeight="1" x14ac:dyDescent="0.4">
      <c r="A1096" s="37" t="str">
        <f>A1095</f>
        <v>18Н</v>
      </c>
      <c r="B1096" s="12">
        <f>B1077</f>
        <v>46040</v>
      </c>
      <c r="C1096" s="97"/>
      <c r="D1096" s="97">
        <v>1</v>
      </c>
      <c r="E1096" s="29"/>
      <c r="F1096" s="151" t="str">
        <f>IFERROR(VLOOKUP($G1096,нормы!$A$14:$BC$57,2,0),"")</f>
        <v/>
      </c>
      <c r="G1096" s="93"/>
      <c r="H1096" s="54">
        <f>IF(C1096=1,"Кульков С.А.", IF(C1096=2,"Чудаков А.А.",IF(C1096=3,"Королев В.Н.",IF(C1096=4,"Николашин М.П.",IF(C1096=5," Кульков С.А.",IF(C1096=6,"А.А. Чудаков",IF(C1096=7,"В.Н. Королев",IF(C1096=8,"М.П. Николашин",0))))))))</f>
        <v>0</v>
      </c>
      <c r="I1096" s="88" t="s">
        <v>84</v>
      </c>
      <c r="J1096" s="332"/>
      <c r="K1096" s="30">
        <f>IFERROR(VLOOKUP($G1096,[1]нормы!$A$21:$BC$151,15,0),"")</f>
        <v>0</v>
      </c>
      <c r="L1096" s="31">
        <f>IFERROR(VLOOKUP($G1096,[1]нормы!$A$21:$BC$151,17,0),"")</f>
        <v>0</v>
      </c>
      <c r="M1096" s="310">
        <f>IFERROR(VLOOKUP($G1096,[1]нормы!$A$21:$BC$151,27,0),"")</f>
        <v>0</v>
      </c>
      <c r="N1096" s="311" t="str">
        <f>IFERROR(Y1096/Y1102*(1.1*J1096*I1101),"")</f>
        <v/>
      </c>
      <c r="O1096" s="300">
        <f>IFERROR(VLOOKUP($G1096,[1]нормы!$A$21:$BC$151,21,0),"")</f>
        <v>0</v>
      </c>
      <c r="P1096" s="35">
        <f>IFERROR(VLOOKUP($G1096,[1]нормы!$A$21:$BC$151,19,0),"")</f>
        <v>0</v>
      </c>
      <c r="Q1096" s="35">
        <f>IFERROR(VLOOKUP($G1096,[1]нормы!$A$21:$BC$151,23,0),"")</f>
        <v>0</v>
      </c>
      <c r="R1096" s="231">
        <f>IFERROR(VLOOKUP($G1096,[1]нормы!$A$21:$BC$151,29,0),"")</f>
        <v>0</v>
      </c>
      <c r="S1096" s="35">
        <f>IFERROR(VLOOKUP($G1096,[1]нормы!$A$21:$BC$151,31,0),"")</f>
        <v>0</v>
      </c>
      <c r="T1096" s="32">
        <f>IFERROR(VLOOKUP($G1096,[1]нормы!$A$21:$BC$151,25,0),"")</f>
        <v>0</v>
      </c>
      <c r="U1096" s="232" t="str">
        <f>IFERROR(W1096/(((100*Y1096/Y1102)*I1101)/100),"")</f>
        <v/>
      </c>
      <c r="V1096" s="234" t="str">
        <f>IFERROR(VLOOKUP($G1096,нормы!$A$14:$BC$57,38,0),"")</f>
        <v/>
      </c>
      <c r="W1096" s="136"/>
      <c r="X1096" s="236"/>
      <c r="Y1096" s="152" t="str">
        <f>IFERROR(VLOOKUP($G1096,нормы!$A$14:$BC$57,42,0)*W1096,"")</f>
        <v/>
      </c>
      <c r="Z1096" s="163">
        <f>IFERROR(VLOOKUP($G1096,нормы!$A$14:$BC$57,14,0)*W1096/1000,0)</f>
        <v>0</v>
      </c>
      <c r="AA1096" s="33"/>
      <c r="AB1096" s="36"/>
      <c r="AC1096" s="36"/>
      <c r="AD1096" s="36"/>
      <c r="AE1096" s="34"/>
      <c r="AF1096" s="159"/>
      <c r="AG1096" s="390"/>
      <c r="AH1096" s="393"/>
      <c r="AI1096" s="396"/>
      <c r="AJ1096" s="407">
        <f>AG1096+AH1096</f>
        <v>0</v>
      </c>
      <c r="AK1096" s="359"/>
      <c r="AL1096" s="359"/>
      <c r="AM1096" s="359"/>
      <c r="AN1096" s="287">
        <f>IFERROR(Y1096*AJ1096/Y1102,)</f>
        <v>0</v>
      </c>
      <c r="AO1096" s="197" t="str">
        <f>IFERROR(VLOOKUP($G1096,нормы!$A$14:$BC$57,53,0)*$W1096,"")</f>
        <v/>
      </c>
      <c r="AP1096" s="288">
        <f>IFERROR(Y1096*AI1096/Y1102,)</f>
        <v>0</v>
      </c>
      <c r="AQ1096" s="197" t="str">
        <f>IFERROR(VLOOKUP($G1096,нормы!$A$14:$BC$57,54,0)*$W1096,"")</f>
        <v/>
      </c>
      <c r="AR1096" s="288">
        <f>IFERROR(AS1096/SUM(AS1096:AS1101)*AL1096,0)</f>
        <v>0</v>
      </c>
      <c r="AS1096" s="197" t="str">
        <f>IFERROR(VLOOKUP($G1096,нормы!$A$14:$BC$57,55,0)*W1096,"")</f>
        <v/>
      </c>
      <c r="AT1096" s="288">
        <f>IFERROR(AU1096/SUM(AU1096:AU1101)*AM1096,0)</f>
        <v>0</v>
      </c>
      <c r="AU1096" s="197" t="str">
        <f>IFERROR(VLOOKUP($G1096,нормы!$A$14:$BI$57,56,0)*W1096,"")</f>
        <v/>
      </c>
      <c r="AV1096" s="288">
        <f>IFERROR(AW1096/SUM(AW1096:AW1101)*AK1096,0)</f>
        <v>0</v>
      </c>
      <c r="AW1096" s="202" t="str">
        <f>IFERROR(VLOOKUP($G1096,нормы!$A$14:$BI$57,57,0)*W1096,"")</f>
        <v/>
      </c>
      <c r="AX1096" s="33"/>
      <c r="AY1096" s="203" t="str">
        <f>IFERROR(VLOOKUP($G1096,нормы!$A$14:$BI$57,58,0)*W1096,"")</f>
        <v/>
      </c>
      <c r="AZ1096" s="204"/>
      <c r="BA1096" s="200" t="str">
        <f>IFERROR(VLOOKUP($G1096,нормы!$A$14:$BI$57,61,0)*$W1096,"")</f>
        <v/>
      </c>
      <c r="BB1096" s="33"/>
      <c r="BC1096" s="203" t="str">
        <f>IFERROR(VLOOKUP($G1096,нормы!$A$14:$BI$57,60,0)*W1096,"")</f>
        <v/>
      </c>
      <c r="BD1096" s="200" t="str">
        <f>IFERROR(VLOOKUP($G1096,нормы!$A$14:$BG$57,44,0),"")</f>
        <v/>
      </c>
      <c r="BE1096" s="199" t="str">
        <f>IFERROR(W1096/VLOOKUP($G1096,нормы!$A$14:$BI$57,45,0),"")</f>
        <v/>
      </c>
    </row>
    <row r="1097" spans="1:57" s="1" customFormat="1" ht="21.6" customHeight="1" x14ac:dyDescent="0.4">
      <c r="A1097" s="37" t="str">
        <f t="shared" ref="A1097:A1125" si="434">A1096</f>
        <v>18Н</v>
      </c>
      <c r="B1097" s="12">
        <f t="shared" ref="B1097:D1101" si="435">B1096</f>
        <v>46040</v>
      </c>
      <c r="C1097" s="97">
        <f t="shared" si="435"/>
        <v>0</v>
      </c>
      <c r="D1097" s="97">
        <f t="shared" si="435"/>
        <v>1</v>
      </c>
      <c r="E1097" s="54"/>
      <c r="F1097" s="151" t="str">
        <f>IFERROR(VLOOKUP($G1097,нормы!$A$14:$BC$57,2,0),"")</f>
        <v/>
      </c>
      <c r="G1097" s="93"/>
      <c r="H1097" s="54">
        <f t="shared" ref="H1097:H1101" si="436">IF(C1097=1,"Кульков С.А.", IF(C1097=2,"Чудаков А.А.",IF(C1097=3,"Королев В.Н.",IF(C1097=4,"Николашин М.П.",IF(C1097=5," Кульков С.А.",IF(C1097=6,"А.А. Чудаков",IF(C1097=7,"В.Н. Королев",IF(C1097=8,"М.П. Николашин",0))))))))</f>
        <v>0</v>
      </c>
      <c r="I1097" s="55"/>
      <c r="J1097" s="333"/>
      <c r="K1097" s="30">
        <f>IFERROR(VLOOKUP($G1097,[1]нормы!$A$21:$BC$151,15,0),"")</f>
        <v>0</v>
      </c>
      <c r="L1097" s="31">
        <f>IFERROR(VLOOKUP($G1097,[1]нормы!$A$21:$BC$151,17,0),"")</f>
        <v>0</v>
      </c>
      <c r="M1097" s="306">
        <f>IFERROR(VLOOKUP($G1097,[1]нормы!$A$21:$BC$151,27,0),"")</f>
        <v>0</v>
      </c>
      <c r="N1097" s="307" t="str">
        <f>IFERROR(Y1097/Y1102*(1.1*J1096*I1101),"")</f>
        <v/>
      </c>
      <c r="O1097" s="300">
        <f>IFERROR(VLOOKUP($G1097,[1]нормы!$A$21:$BC$151,21,0),"")</f>
        <v>0</v>
      </c>
      <c r="P1097" s="35">
        <f>IFERROR(VLOOKUP($G1097,[1]нормы!$A$21:$BC$151,19,0),"")</f>
        <v>0</v>
      </c>
      <c r="Q1097" s="35">
        <f>IFERROR(VLOOKUP($G1097,[1]нормы!$A$21:$BC$151,23,0),"")</f>
        <v>0</v>
      </c>
      <c r="R1097" s="231">
        <f>IFERROR(VLOOKUP($G1097,[1]нормы!$A$21:$BC$151,29,0),"")</f>
        <v>0</v>
      </c>
      <c r="S1097" s="35">
        <f>IFERROR(VLOOKUP($G1097,[1]нормы!$A$21:$BC$151,31,0),"")</f>
        <v>0</v>
      </c>
      <c r="T1097" s="32">
        <f>IFERROR(VLOOKUP($G1097,[1]нормы!$A$21:$BC$151,25,0),"")</f>
        <v>0</v>
      </c>
      <c r="U1097" s="233" t="str">
        <f>IFERROR(W1097/(((100*Y1097/Y1102)*I1101)/100),"")</f>
        <v/>
      </c>
      <c r="V1097" s="234" t="str">
        <f>IFERROR(VLOOKUP($G1097,нормы!$A$14:$BC$57,38,0),"")</f>
        <v/>
      </c>
      <c r="W1097" s="136"/>
      <c r="X1097" s="237"/>
      <c r="Y1097" s="152" t="str">
        <f>IFERROR(VLOOKUP($G1097,нормы!$A$14:$BC$57,42,0)*W1097,"")</f>
        <v/>
      </c>
      <c r="Z1097" s="163">
        <f>IFERROR(VLOOKUP($G1097,нормы!$A$14:$BC$57,14,0)*W1097/1000,0)</f>
        <v>0</v>
      </c>
      <c r="AA1097" s="142"/>
      <c r="AB1097" s="35"/>
      <c r="AC1097" s="35"/>
      <c r="AD1097" s="35"/>
      <c r="AE1097" s="31"/>
      <c r="AF1097" s="160"/>
      <c r="AG1097" s="391"/>
      <c r="AH1097" s="394"/>
      <c r="AI1097" s="397"/>
      <c r="AJ1097" s="408"/>
      <c r="AK1097" s="360"/>
      <c r="AL1097" s="360"/>
      <c r="AM1097" s="360"/>
      <c r="AN1097" s="289">
        <f>IFERROR(Y1097*AJ1096/Y1102,)</f>
        <v>0</v>
      </c>
      <c r="AO1097" s="197" t="str">
        <f>IFERROR(VLOOKUP($G1097,нормы!$A$14:$BC$57,53,0)*$W1097,"")</f>
        <v/>
      </c>
      <c r="AP1097" s="290">
        <f>IFERROR(Y1097*AI1096/Y1102,)</f>
        <v>0</v>
      </c>
      <c r="AQ1097" s="197" t="str">
        <f>IFERROR(VLOOKUP($G1097,нормы!$A$14:$BC$57,54,0)*$W1097,"")</f>
        <v/>
      </c>
      <c r="AR1097" s="290">
        <f>IFERROR(AS1097/SUM(AS1096:AS1101)*AL1096,0)</f>
        <v>0</v>
      </c>
      <c r="AS1097" s="197" t="str">
        <f>IFERROR(VLOOKUP($G1097,нормы!$A$14:$BC$57,55,0)*W1097,"")</f>
        <v/>
      </c>
      <c r="AT1097" s="290">
        <f>IFERROR(AU1097/SUM(AU1096:AU1101)*AM1096,0)</f>
        <v>0</v>
      </c>
      <c r="AU1097" s="197" t="str">
        <f>IFERROR(VLOOKUP($G1097,нормы!$A$14:$BI$57,56,0)*W1097,"")</f>
        <v/>
      </c>
      <c r="AV1097" s="290">
        <f>IFERROR(AW1097/SUM(AW1096:AW1101)*AK1096,0)</f>
        <v>0</v>
      </c>
      <c r="AW1097" s="202" t="str">
        <f>IFERROR(VLOOKUP($G1097,нормы!$A$14:$BI$57,57,0)*W1097,"")</f>
        <v/>
      </c>
      <c r="AX1097" s="30"/>
      <c r="AY1097" s="203" t="str">
        <f>IFERROR(VLOOKUP($G1097,нормы!$A$14:$BI$57,58,0)*W1097,"")</f>
        <v/>
      </c>
      <c r="AZ1097" s="205"/>
      <c r="BA1097" s="200" t="str">
        <f>IFERROR(VLOOKUP($G1097,нормы!$A$14:$BI$57,61,0)*$W1097,"")</f>
        <v/>
      </c>
      <c r="BB1097" s="30"/>
      <c r="BC1097" s="203" t="str">
        <f>IFERROR(VLOOKUP($G1097,нормы!$A$14:$BI$57,60,0)*W1097,"")</f>
        <v/>
      </c>
      <c r="BD1097" s="200" t="str">
        <f>IFERROR(VLOOKUP($G1097,нормы!$A$14:$BG$57,44,0),"")</f>
        <v/>
      </c>
      <c r="BE1097" s="199" t="str">
        <f>IFERROR(W1097/VLOOKUP($G1097,нормы!$A$14:$BI$57,45,0),"")</f>
        <v/>
      </c>
    </row>
    <row r="1098" spans="1:57" s="1" customFormat="1" ht="20.25" customHeight="1" x14ac:dyDescent="0.4">
      <c r="A1098" s="37" t="str">
        <f t="shared" si="434"/>
        <v>18Н</v>
      </c>
      <c r="B1098" s="12">
        <f t="shared" si="435"/>
        <v>46040</v>
      </c>
      <c r="C1098" s="97">
        <f t="shared" si="435"/>
        <v>0</v>
      </c>
      <c r="D1098" s="97">
        <f t="shared" si="435"/>
        <v>1</v>
      </c>
      <c r="E1098" s="54"/>
      <c r="F1098" s="151" t="str">
        <f>IFERROR(VLOOKUP($G1098,нормы!$A$14:$BC$57,2,0),"")</f>
        <v/>
      </c>
      <c r="G1098" s="38"/>
      <c r="H1098" s="54">
        <f t="shared" si="436"/>
        <v>0</v>
      </c>
      <c r="I1098" s="89" t="s">
        <v>85</v>
      </c>
      <c r="J1098" s="333"/>
      <c r="K1098" s="30">
        <f>IFERROR(VLOOKUP($G1098,[1]нормы!$A$21:$BC$151,15,0),"")</f>
        <v>0</v>
      </c>
      <c r="L1098" s="31">
        <f>IFERROR(VLOOKUP($G1098,[1]нормы!$A$21:$BC$151,17,0),"")</f>
        <v>0</v>
      </c>
      <c r="M1098" s="306">
        <f>IFERROR(VLOOKUP($G1098,[1]нормы!$A$21:$BC$151,27,0),"")</f>
        <v>0</v>
      </c>
      <c r="N1098" s="307" t="str">
        <f>IFERROR(Y1098/Y1102*(1.1*J1096*I1101),"")</f>
        <v/>
      </c>
      <c r="O1098" s="300">
        <f>IFERROR(VLOOKUP($G1098,[1]нормы!$A$21:$BC$151,21,0),"")</f>
        <v>0</v>
      </c>
      <c r="P1098" s="35">
        <f>IFERROR(VLOOKUP($G1098,[1]нормы!$A$21:$BC$151,19,0),"")</f>
        <v>0</v>
      </c>
      <c r="Q1098" s="35">
        <f>IFERROR(VLOOKUP($G1098,[1]нормы!$A$21:$BC$151,23,0),"")</f>
        <v>0</v>
      </c>
      <c r="R1098" s="231">
        <f>IFERROR(VLOOKUP($G1098,[1]нормы!$A$21:$BC$151,29,0),"")</f>
        <v>0</v>
      </c>
      <c r="S1098" s="35">
        <f>IFERROR(VLOOKUP($G1098,[1]нормы!$A$21:$BC$151,31,0),"")</f>
        <v>0</v>
      </c>
      <c r="T1098" s="32">
        <f>IFERROR(VLOOKUP($G1098,[1]нормы!$A$21:$BC$151,25,0),"")</f>
        <v>0</v>
      </c>
      <c r="U1098" s="233" t="str">
        <f>IFERROR(W1098/(((100*Y1098/Y1102)*I1101)/100),"")</f>
        <v/>
      </c>
      <c r="V1098" s="234" t="str">
        <f>IFERROR(VLOOKUP($G1098,нормы!$A$14:$BC$57,38,0),"")</f>
        <v/>
      </c>
      <c r="W1098" s="136"/>
      <c r="X1098" s="237"/>
      <c r="Y1098" s="152" t="str">
        <f>IFERROR(VLOOKUP($G1098,нормы!$A$14:$BC$57,42,0)*W1098,"")</f>
        <v/>
      </c>
      <c r="Z1098" s="163">
        <f>IFERROR(VLOOKUP($G1098,нормы!$A$14:$BC$57,14,0)*W1098/1000,0)</f>
        <v>0</v>
      </c>
      <c r="AA1098" s="30"/>
      <c r="AB1098" s="35"/>
      <c r="AC1098" s="35"/>
      <c r="AD1098" s="35"/>
      <c r="AE1098" s="31"/>
      <c r="AF1098" s="160"/>
      <c r="AG1098" s="391"/>
      <c r="AH1098" s="394"/>
      <c r="AI1098" s="397"/>
      <c r="AJ1098" s="408"/>
      <c r="AK1098" s="360"/>
      <c r="AL1098" s="360"/>
      <c r="AM1098" s="360"/>
      <c r="AN1098" s="289">
        <f>IFERROR(Y1098*AJ1096/Y1102,)</f>
        <v>0</v>
      </c>
      <c r="AO1098" s="197" t="str">
        <f>IFERROR(VLOOKUP($G1098,нормы!$A$14:$BC$57,53,0)*$W1098,"")</f>
        <v/>
      </c>
      <c r="AP1098" s="290">
        <f>IFERROR(Y1098*AI1096/Y1102,)</f>
        <v>0</v>
      </c>
      <c r="AQ1098" s="197" t="str">
        <f>IFERROR(VLOOKUP($G1098,нормы!$A$14:$BC$57,54,0)*$W1098,"")</f>
        <v/>
      </c>
      <c r="AR1098" s="290">
        <f>IFERROR(AS1098/SUM(AS1096:AS1101)*AL1096,0)</f>
        <v>0</v>
      </c>
      <c r="AS1098" s="197" t="str">
        <f>IFERROR(VLOOKUP($G1098,нормы!$A$14:$BC$57,55,0)*W1098,"")</f>
        <v/>
      </c>
      <c r="AT1098" s="290">
        <f>IFERROR(AU1098/SUM(AU1096:AU1101)*AM1096,0)</f>
        <v>0</v>
      </c>
      <c r="AU1098" s="197" t="str">
        <f>IFERROR(VLOOKUP($G1098,нормы!$A$14:$BI$57,56,0)*W1098,"")</f>
        <v/>
      </c>
      <c r="AV1098" s="290">
        <f>IFERROR(AW1098/SUM(AW1096:AW1101)*AK1096,0)</f>
        <v>0</v>
      </c>
      <c r="AW1098" s="202" t="str">
        <f>IFERROR(VLOOKUP($G1098,нормы!$A$14:$BI$57,57,0)*W1098,"")</f>
        <v/>
      </c>
      <c r="AX1098" s="30"/>
      <c r="AY1098" s="203" t="str">
        <f>IFERROR(VLOOKUP($G1098,нормы!$A$14:$BI$57,58,0)*W1098,"")</f>
        <v/>
      </c>
      <c r="AZ1098" s="205"/>
      <c r="BA1098" s="200" t="str">
        <f>IFERROR(VLOOKUP($G1098,нормы!$A$14:$BI$57,61,0)*$W1098,"")</f>
        <v/>
      </c>
      <c r="BB1098" s="30"/>
      <c r="BC1098" s="203" t="str">
        <f>IFERROR(VLOOKUP($G1098,нормы!$A$14:$BI$57,60,0)*W1098,"")</f>
        <v/>
      </c>
      <c r="BD1098" s="200" t="str">
        <f>IFERROR(VLOOKUP($G1098,нормы!$A$14:$BG$57,44,0),"")</f>
        <v/>
      </c>
      <c r="BE1098" s="199" t="str">
        <f>IFERROR(W1098/VLOOKUP($G1098,нормы!$A$14:$BI$57,45,0),"")</f>
        <v/>
      </c>
    </row>
    <row r="1099" spans="1:57" s="1" customFormat="1" ht="20.25" customHeight="1" x14ac:dyDescent="0.4">
      <c r="A1099" s="37" t="str">
        <f t="shared" si="434"/>
        <v>18Н</v>
      </c>
      <c r="B1099" s="12">
        <f t="shared" si="435"/>
        <v>46040</v>
      </c>
      <c r="C1099" s="97">
        <f t="shared" si="435"/>
        <v>0</v>
      </c>
      <c r="D1099" s="97">
        <f t="shared" si="435"/>
        <v>1</v>
      </c>
      <c r="E1099" s="54"/>
      <c r="F1099" s="151" t="str">
        <f>IFERROR(VLOOKUP($G1099,нормы!$A$14:$BC$57,2,0),"")</f>
        <v/>
      </c>
      <c r="G1099" s="93"/>
      <c r="H1099" s="54">
        <f t="shared" si="436"/>
        <v>0</v>
      </c>
      <c r="I1099" s="55"/>
      <c r="J1099" s="333"/>
      <c r="K1099" s="30">
        <f>IFERROR(VLOOKUP($G1099,[1]нормы!$A$21:$BC$151,15,0),"")</f>
        <v>0</v>
      </c>
      <c r="L1099" s="31">
        <f>IFERROR(VLOOKUP($G1099,[1]нормы!$A$21:$BC$151,17,0),"")</f>
        <v>0</v>
      </c>
      <c r="M1099" s="306">
        <f>IFERROR(VLOOKUP($G1099,[1]нормы!$A$21:$BC$151,27,0),"")</f>
        <v>0</v>
      </c>
      <c r="N1099" s="307" t="str">
        <f>IFERROR(Y1099/Y1102*(1.1*J1096*I1104),"")</f>
        <v/>
      </c>
      <c r="O1099" s="300">
        <f>IFERROR(VLOOKUP($G1099,[1]нормы!$A$21:$BC$151,21,0),"")</f>
        <v>0</v>
      </c>
      <c r="P1099" s="35">
        <f>IFERROR(VLOOKUP($G1099,[1]нормы!$A$21:$BC$151,19,0),"")</f>
        <v>0</v>
      </c>
      <c r="Q1099" s="35">
        <f>IFERROR(VLOOKUP($G1099,[1]нормы!$A$21:$BC$151,23,0),"")</f>
        <v>0</v>
      </c>
      <c r="R1099" s="231">
        <f>IFERROR(VLOOKUP($G1099,[1]нормы!$A$21:$BC$151,29,0),"")</f>
        <v>0</v>
      </c>
      <c r="S1099" s="35">
        <f>IFERROR(VLOOKUP($G1099,[1]нормы!$A$21:$BC$151,31,0),"")</f>
        <v>0</v>
      </c>
      <c r="T1099" s="32">
        <f>IFERROR(VLOOKUP($G1099,[1]нормы!$A$21:$BC$151,25,0),"")</f>
        <v>0</v>
      </c>
      <c r="U1099" s="233" t="str">
        <f>IFERROR(W1099/(((100*Y1099/Y1102)*I1101)/100),"")</f>
        <v/>
      </c>
      <c r="V1099" s="234" t="str">
        <f>IFERROR(VLOOKUP($G1099,нормы!$A$14:$BC$57,38,0),"")</f>
        <v/>
      </c>
      <c r="W1099" s="136"/>
      <c r="X1099" s="237"/>
      <c r="Y1099" s="152" t="str">
        <f>IFERROR(VLOOKUP($G1099,нормы!$A$14:$BC$57,42,0)*W1099,"")</f>
        <v/>
      </c>
      <c r="Z1099" s="163">
        <f>IFERROR(VLOOKUP($G1099,нормы!$A$14:$BC$57,14,0)*W1099/1000,0)</f>
        <v>0</v>
      </c>
      <c r="AA1099" s="30"/>
      <c r="AB1099" s="35"/>
      <c r="AC1099" s="35"/>
      <c r="AD1099" s="35"/>
      <c r="AE1099" s="31"/>
      <c r="AF1099" s="160"/>
      <c r="AG1099" s="391"/>
      <c r="AH1099" s="394"/>
      <c r="AI1099" s="397"/>
      <c r="AJ1099" s="408"/>
      <c r="AK1099" s="360"/>
      <c r="AL1099" s="360"/>
      <c r="AM1099" s="360"/>
      <c r="AN1099" s="289">
        <f>IFERROR(Y1099*AJ1096/Y1102,)</f>
        <v>0</v>
      </c>
      <c r="AO1099" s="197" t="str">
        <f>IFERROR(VLOOKUP($G1099,нормы!$A$14:$BC$57,53,0)*$W1099,"")</f>
        <v/>
      </c>
      <c r="AP1099" s="290">
        <f>IFERROR(Y1099*AI1096/Y1102,)</f>
        <v>0</v>
      </c>
      <c r="AQ1099" s="197" t="str">
        <f>IFERROR(VLOOKUP($G1099,нормы!$A$14:$BC$57,54,0)*$W1099,"")</f>
        <v/>
      </c>
      <c r="AR1099" s="290">
        <f>IFERROR(AS1099/SUM(AS1096:AS1101)*AL1096,0)</f>
        <v>0</v>
      </c>
      <c r="AS1099" s="197" t="str">
        <f>IFERROR(VLOOKUP($G1099,нормы!$A$14:$BC$57,55,0)*W1099,"")</f>
        <v/>
      </c>
      <c r="AT1099" s="290">
        <f>IFERROR(AU1099/SUM(AU1096:AU1101)*AM1096,0)</f>
        <v>0</v>
      </c>
      <c r="AU1099" s="197" t="str">
        <f>IFERROR(VLOOKUP($G1099,нормы!$A$14:$BI$57,56,0)*W1099,"")</f>
        <v/>
      </c>
      <c r="AV1099" s="290">
        <f>IFERROR(AW1099/SUM(AW1096:AW1101)*AK1096,0)</f>
        <v>0</v>
      </c>
      <c r="AW1099" s="202" t="str">
        <f>IFERROR(VLOOKUP($G1099,нормы!$A$14:$BI$57,57,0)*W1099,"")</f>
        <v/>
      </c>
      <c r="AX1099" s="30"/>
      <c r="AY1099" s="203" t="str">
        <f>IFERROR(VLOOKUP($G1099,нормы!$A$14:$BI$57,58,0)*W1099,"")</f>
        <v/>
      </c>
      <c r="AZ1099" s="205"/>
      <c r="BA1099" s="200" t="str">
        <f>IFERROR(VLOOKUP($G1099,нормы!$A$14:$BI$57,61,0)*$W1099,"")</f>
        <v/>
      </c>
      <c r="BB1099" s="30"/>
      <c r="BC1099" s="203" t="str">
        <f>IFERROR(VLOOKUP($G1099,нормы!$A$14:$BI$57,60,0)*W1099,"")</f>
        <v/>
      </c>
      <c r="BD1099" s="200" t="str">
        <f>IFERROR(VLOOKUP($G1099,нормы!$A$14:$BG$57,44,0),"")</f>
        <v/>
      </c>
      <c r="BE1099" s="199" t="str">
        <f>IFERROR(W1099/VLOOKUP($G1099,нормы!$A$14:$BI$57,45,0),"")</f>
        <v/>
      </c>
    </row>
    <row r="1100" spans="1:57" s="1" customFormat="1" ht="20.25" customHeight="1" x14ac:dyDescent="0.4">
      <c r="A1100" s="37" t="str">
        <f t="shared" si="434"/>
        <v>18Н</v>
      </c>
      <c r="B1100" s="12">
        <f t="shared" si="435"/>
        <v>46040</v>
      </c>
      <c r="C1100" s="97">
        <f t="shared" si="435"/>
        <v>0</v>
      </c>
      <c r="D1100" s="97">
        <f t="shared" si="435"/>
        <v>1</v>
      </c>
      <c r="E1100" s="54"/>
      <c r="F1100" s="151" t="str">
        <f>IFERROR(VLOOKUP($G1100,нормы!$A$14:$BC$57,2,0),"")</f>
        <v/>
      </c>
      <c r="G1100" s="38"/>
      <c r="H1100" s="54">
        <f t="shared" si="436"/>
        <v>0</v>
      </c>
      <c r="I1100" s="89" t="s">
        <v>73</v>
      </c>
      <c r="J1100" s="333"/>
      <c r="K1100" s="30">
        <f>IFERROR(VLOOKUP($G1100,[1]нормы!$A$21:$BC$151,15,0),"")</f>
        <v>0</v>
      </c>
      <c r="L1100" s="31">
        <f>IFERROR(VLOOKUP($G1100,[1]нормы!$A$21:$BC$151,17,0),"")</f>
        <v>0</v>
      </c>
      <c r="M1100" s="306">
        <f>IFERROR(VLOOKUP($G1100,[1]нормы!$A$21:$BC$151,27,0),"")</f>
        <v>0</v>
      </c>
      <c r="N1100" s="307" t="str">
        <f>IFERROR(Y1100/Y1102*(1.1*J1096*I1105),"")</f>
        <v/>
      </c>
      <c r="O1100" s="300">
        <f>IFERROR(VLOOKUP($G1100,[1]нормы!$A$21:$BC$151,21,0),"")</f>
        <v>0</v>
      </c>
      <c r="P1100" s="35">
        <f>IFERROR(VLOOKUP($G1100,[1]нормы!$A$21:$BC$151,19,0),"")</f>
        <v>0</v>
      </c>
      <c r="Q1100" s="35">
        <f>IFERROR(VLOOKUP($G1100,[1]нормы!$A$21:$BC$151,23,0),"")</f>
        <v>0</v>
      </c>
      <c r="R1100" s="231">
        <f>IFERROR(VLOOKUP($G1100,[1]нормы!$A$21:$BC$151,29,0),"")</f>
        <v>0</v>
      </c>
      <c r="S1100" s="35">
        <f>IFERROR(VLOOKUP($G1100,[1]нормы!$A$21:$BC$151,31,0),"")</f>
        <v>0</v>
      </c>
      <c r="T1100" s="32">
        <f>IFERROR(VLOOKUP($G1100,[1]нормы!$A$21:$BC$151,25,0),"")</f>
        <v>0</v>
      </c>
      <c r="U1100" s="233" t="str">
        <f>IFERROR(W1100/(((100*Y1100/Y1102)*I1101)/100),"")</f>
        <v/>
      </c>
      <c r="V1100" s="234" t="str">
        <f>IFERROR(VLOOKUP($G1100,нормы!$A$14:$BC$57,38,0),"")</f>
        <v/>
      </c>
      <c r="W1100" s="136"/>
      <c r="X1100" s="237"/>
      <c r="Y1100" s="152" t="str">
        <f>IFERROR(VLOOKUP($G1100,нормы!$A$14:$BC$57,42,0)*W1100,"")</f>
        <v/>
      </c>
      <c r="Z1100" s="163">
        <f>IFERROR(VLOOKUP($G1100,нормы!$A$14:$BC$57,14,0)*W1100/1000,0)</f>
        <v>0</v>
      </c>
      <c r="AA1100" s="30"/>
      <c r="AB1100" s="35"/>
      <c r="AC1100" s="35"/>
      <c r="AD1100" s="35"/>
      <c r="AE1100" s="31"/>
      <c r="AF1100" s="160"/>
      <c r="AG1100" s="391"/>
      <c r="AH1100" s="394"/>
      <c r="AI1100" s="397"/>
      <c r="AJ1100" s="408"/>
      <c r="AK1100" s="360"/>
      <c r="AL1100" s="360"/>
      <c r="AM1100" s="360"/>
      <c r="AN1100" s="289">
        <f>IFERROR(Y1100*AJ1096/Y1102,)</f>
        <v>0</v>
      </c>
      <c r="AO1100" s="197" t="str">
        <f>IFERROR(VLOOKUP($G1100,нормы!$A$14:$BC$57,53,0)*$W1100,"")</f>
        <v/>
      </c>
      <c r="AP1100" s="290">
        <f>IFERROR(Y1100*AI1096/Y1102,)</f>
        <v>0</v>
      </c>
      <c r="AQ1100" s="197" t="str">
        <f>IFERROR(VLOOKUP($G1100,нормы!$A$14:$BC$57,54,0)*$W1100,"")</f>
        <v/>
      </c>
      <c r="AR1100" s="290">
        <f>IFERROR(AS1100/SUM(AS1096:AS1101)*AL1096,0)</f>
        <v>0</v>
      </c>
      <c r="AS1100" s="197" t="str">
        <f>IFERROR(VLOOKUP($G1100,нормы!$A$14:$BC$57,55,0)*W1100,"")</f>
        <v/>
      </c>
      <c r="AT1100" s="290">
        <f>IFERROR(AU1100/SUM(AU1096:AU1101)*AM1096,0)</f>
        <v>0</v>
      </c>
      <c r="AU1100" s="197" t="str">
        <f>IFERROR(VLOOKUP($G1100,нормы!$A$14:$BI$57,56,0)*W1100,"")</f>
        <v/>
      </c>
      <c r="AV1100" s="290">
        <f>IFERROR(AW1100/SUM(AW1096:AW1101)*AK1096,0)</f>
        <v>0</v>
      </c>
      <c r="AW1100" s="202" t="str">
        <f>IFERROR(VLOOKUP($G1100,нормы!$A$14:$BI$57,57,0)*W1100,"")</f>
        <v/>
      </c>
      <c r="AX1100" s="30"/>
      <c r="AY1100" s="203" t="str">
        <f>IFERROR(VLOOKUP($G1100,нормы!$A$14:$BI$57,58,0)*W1100,"")</f>
        <v/>
      </c>
      <c r="AZ1100" s="205"/>
      <c r="BA1100" s="200" t="str">
        <f>IFERROR(VLOOKUP($G1100,нормы!$A$14:$BI$57,61,0)*$W1100,"")</f>
        <v/>
      </c>
      <c r="BB1100" s="30"/>
      <c r="BC1100" s="203" t="str">
        <f>IFERROR(VLOOKUP($G1100,нормы!$A$14:$BI$57,60,0)*W1100,"")</f>
        <v/>
      </c>
      <c r="BD1100" s="200" t="str">
        <f>IFERROR(VLOOKUP($G1100,нормы!$A$14:$BG$57,44,0),"")</f>
        <v/>
      </c>
      <c r="BE1100" s="199" t="str">
        <f>IFERROR(W1100/VLOOKUP($G1100,нормы!$A$14:$BI$57,45,0),"")</f>
        <v/>
      </c>
    </row>
    <row r="1101" spans="1:57" s="1" customFormat="1" ht="21" customHeight="1" thickBot="1" x14ac:dyDescent="0.45">
      <c r="A1101" s="37" t="str">
        <f t="shared" si="434"/>
        <v>18Н</v>
      </c>
      <c r="B1101" s="12">
        <f t="shared" si="435"/>
        <v>46040</v>
      </c>
      <c r="C1101" s="97">
        <f t="shared" si="435"/>
        <v>0</v>
      </c>
      <c r="D1101" s="97">
        <f t="shared" si="435"/>
        <v>1</v>
      </c>
      <c r="E1101" s="54"/>
      <c r="F1101" s="151" t="str">
        <f>IFERROR(VLOOKUP($G1101,нормы!$A$14:$BC$57,2,0),"")</f>
        <v/>
      </c>
      <c r="G1101" s="93"/>
      <c r="H1101" s="63">
        <f t="shared" si="436"/>
        <v>0</v>
      </c>
      <c r="I1101" s="153">
        <f>I1097+I1099</f>
        <v>0</v>
      </c>
      <c r="J1101" s="334"/>
      <c r="K1101" s="30">
        <f>IFERROR(VLOOKUP($G1101,[1]нормы!$A$21:$BC$151,15,0),"")</f>
        <v>0</v>
      </c>
      <c r="L1101" s="31">
        <f>IFERROR(VLOOKUP($G1101,[1]нормы!$A$21:$BC$151,17,0),"")</f>
        <v>0</v>
      </c>
      <c r="M1101" s="308">
        <f>IFERROR(VLOOKUP($G1101,[1]нормы!$A$21:$BC$151,27,0),"")</f>
        <v>0</v>
      </c>
      <c r="N1101" s="309" t="str">
        <f>IFERROR(Y1101/Y1102*(1.1*J1096*I1106),"")</f>
        <v/>
      </c>
      <c r="O1101" s="300">
        <f>IFERROR(VLOOKUP($G1101,[1]нормы!$A$21:$BC$151,21,0),"")</f>
        <v>0</v>
      </c>
      <c r="P1101" s="35">
        <f>IFERROR(VLOOKUP($G1101,[1]нормы!$A$21:$BC$151,19,0),"")</f>
        <v>0</v>
      </c>
      <c r="Q1101" s="35">
        <f>IFERROR(VLOOKUP($G1101,[1]нормы!$A$21:$BC$151,23,0),"")</f>
        <v>0</v>
      </c>
      <c r="R1101" s="231">
        <f>IFERROR(VLOOKUP($G1101,[1]нормы!$A$21:$BC$151,29,0),"")</f>
        <v>0</v>
      </c>
      <c r="S1101" s="35">
        <f>IFERROR(VLOOKUP($G1101,[1]нормы!$A$21:$BC$151,31,0),"")</f>
        <v>0</v>
      </c>
      <c r="T1101" s="32">
        <f>IFERROR(VLOOKUP($G1101,[1]нормы!$A$21:$BC$151,25,0),"")</f>
        <v>0</v>
      </c>
      <c r="U1101" s="235" t="str">
        <f>IFERROR(W1101/(((100*Y1101/Y1102)*I1101)/100),"")</f>
        <v/>
      </c>
      <c r="V1101" s="234" t="str">
        <f>IFERROR(VLOOKUP($G1101,нормы!$A$14:$BC$57,38,0),"")</f>
        <v/>
      </c>
      <c r="W1101" s="154"/>
      <c r="X1101" s="238"/>
      <c r="Y1101" s="152" t="str">
        <f>IFERROR(VLOOKUP($G1101,нормы!$A$14:$BC$57,42,0)*W1101,"")</f>
        <v/>
      </c>
      <c r="Z1101" s="163">
        <f>IFERROR(VLOOKUP($G1101,нормы!$A$14:$BC$57,14,0)*W1101/1000,0)</f>
        <v>0</v>
      </c>
      <c r="AA1101" s="56"/>
      <c r="AB1101" s="58"/>
      <c r="AC1101" s="58"/>
      <c r="AD1101" s="58"/>
      <c r="AE1101" s="57"/>
      <c r="AF1101" s="161"/>
      <c r="AG1101" s="392"/>
      <c r="AH1101" s="395"/>
      <c r="AI1101" s="398"/>
      <c r="AJ1101" s="409"/>
      <c r="AK1101" s="361"/>
      <c r="AL1101" s="361"/>
      <c r="AM1101" s="361"/>
      <c r="AN1101" s="291">
        <f>IFERROR(Y1101*AJ1096/Y1102,)</f>
        <v>0</v>
      </c>
      <c r="AO1101" s="197" t="str">
        <f>IFERROR(VLOOKUP($G1101,нормы!$A$14:$BC$57,53,0)*$W1101,"")</f>
        <v/>
      </c>
      <c r="AP1101" s="292">
        <f>IFERROR(Y1101*AI1096/Y1102,)</f>
        <v>0</v>
      </c>
      <c r="AQ1101" s="197" t="str">
        <f>IFERROR(VLOOKUP($G1101,нормы!$A$14:$BC$57,54,0)*$W1101,"")</f>
        <v/>
      </c>
      <c r="AR1101" s="290">
        <f>IFERROR(AS1101/SUM(AS1096:AS1101)*AL1096,0)</f>
        <v>0</v>
      </c>
      <c r="AS1101" s="197" t="str">
        <f>IFERROR(VLOOKUP($G1101,нормы!$A$14:$BC$57,55,0)*W1101,"")</f>
        <v/>
      </c>
      <c r="AT1101" s="292">
        <f>IFERROR(AU1101/SUM(AU1096:AU1101)*AM1096,0)</f>
        <v>0</v>
      </c>
      <c r="AU1101" s="197" t="str">
        <f>IFERROR(VLOOKUP($G1101,нормы!$A$14:$BI$57,56,0)*W1101,"")</f>
        <v/>
      </c>
      <c r="AV1101" s="292">
        <f>IFERROR(AW1101/SUM(AW1096:AW1101)*AK1096,0)</f>
        <v>0</v>
      </c>
      <c r="AW1101" s="202" t="str">
        <f>IFERROR(VLOOKUP($G1101,нормы!$A$14:$BI$57,57,0)*W1101,"")</f>
        <v/>
      </c>
      <c r="AX1101" s="56"/>
      <c r="AY1101" s="203" t="str">
        <f>IFERROR(VLOOKUP($G1101,нормы!$A$14:$BI$57,58,0)*W1101,"")</f>
        <v/>
      </c>
      <c r="AZ1101" s="206"/>
      <c r="BA1101" s="200" t="str">
        <f>IFERROR(VLOOKUP($G1101,нормы!$A$14:$BI$57,61,0)*$W1101,"")</f>
        <v/>
      </c>
      <c r="BB1101" s="56"/>
      <c r="BC1101" s="203" t="str">
        <f>IFERROR(VLOOKUP($G1101,нормы!$A$14:$BI$57,60,0)*W1101,"")</f>
        <v/>
      </c>
      <c r="BD1101" s="200" t="str">
        <f>IFERROR(VLOOKUP($G1101,нормы!$A$14:$BG$57,44,0),"")</f>
        <v/>
      </c>
      <c r="BE1101" s="199" t="str">
        <f>IFERROR(W1101/VLOOKUP($G1101,нормы!$A$14:$BI$57,45,0),"")</f>
        <v/>
      </c>
    </row>
    <row r="1102" spans="1:57" s="1" customFormat="1" ht="29.4" customHeight="1" thickBot="1" x14ac:dyDescent="0.45">
      <c r="A1102" s="37" t="str">
        <f t="shared" si="434"/>
        <v>18Н</v>
      </c>
      <c r="B1102" s="59"/>
      <c r="C1102" s="51"/>
      <c r="D1102" s="51"/>
      <c r="E1102" s="51"/>
      <c r="F1102" s="295" t="s">
        <v>149</v>
      </c>
      <c r="G1102" s="51"/>
      <c r="H1102" s="51"/>
      <c r="I1102" s="60"/>
      <c r="J1102" s="60"/>
      <c r="K1102" s="319" t="s">
        <v>213</v>
      </c>
      <c r="L1102" s="316"/>
      <c r="M1102" s="303" t="s">
        <v>213</v>
      </c>
      <c r="N1102" s="317">
        <f>SUM(N1096:N1101)</f>
        <v>0</v>
      </c>
      <c r="O1102" s="304" t="s">
        <v>216</v>
      </c>
      <c r="P1102" s="318">
        <f>N1102*8.937/1000</f>
        <v>0</v>
      </c>
      <c r="Q1102" s="305" t="s">
        <v>215</v>
      </c>
      <c r="R1102" s="61"/>
      <c r="S1102" s="61"/>
      <c r="T1102" s="61"/>
      <c r="U1102" s="109"/>
      <c r="V1102" s="109"/>
      <c r="W1102" s="94"/>
      <c r="X1102" s="155"/>
      <c r="Y1102" s="96">
        <f>SUM(Y1096:Y1101)</f>
        <v>0</v>
      </c>
      <c r="Z1102" s="164">
        <f>SUM(Z1096:Z1101)</f>
        <v>0</v>
      </c>
      <c r="AA1102" s="62"/>
      <c r="AB1102" s="62"/>
      <c r="AC1102" s="62"/>
      <c r="AD1102" s="62"/>
      <c r="AE1102" s="62"/>
      <c r="AF1102" s="62"/>
      <c r="AG1102" s="162" t="s">
        <v>140</v>
      </c>
      <c r="AH1102" s="162" t="s">
        <v>141</v>
      </c>
      <c r="AI1102" s="162" t="s">
        <v>142</v>
      </c>
      <c r="AJ1102" s="91" t="s">
        <v>126</v>
      </c>
      <c r="AK1102" s="198" t="s">
        <v>136</v>
      </c>
      <c r="AL1102" s="198" t="s">
        <v>137</v>
      </c>
      <c r="AM1102" s="198" t="s">
        <v>138</v>
      </c>
      <c r="AN1102" s="91"/>
      <c r="AO1102" s="91"/>
      <c r="AP1102" s="91"/>
      <c r="AQ1102" s="91"/>
      <c r="AR1102" s="91"/>
      <c r="AS1102" s="91"/>
      <c r="AT1102" s="91"/>
      <c r="AU1102" s="91"/>
      <c r="AV1102" s="91"/>
      <c r="AW1102" s="91"/>
      <c r="AX1102" s="91"/>
      <c r="AY1102" s="91"/>
      <c r="AZ1102" s="91"/>
      <c r="BA1102" s="91"/>
      <c r="BB1102" s="91"/>
      <c r="BC1102" s="91"/>
      <c r="BD1102" s="91"/>
      <c r="BE1102" s="53" t="str">
        <f>IFERROR(W1102/VLOOKUP($G1102,нормы!$A$14:$BI$15,28,0),"")</f>
        <v/>
      </c>
    </row>
    <row r="1103" spans="1:57" s="1" customFormat="1" ht="21.6" customHeight="1" x14ac:dyDescent="0.4">
      <c r="A1103" s="37" t="str">
        <f t="shared" si="434"/>
        <v>18Н</v>
      </c>
      <c r="B1103" s="12">
        <f>B1101</f>
        <v>46040</v>
      </c>
      <c r="C1103" s="97"/>
      <c r="D1103" s="97">
        <v>2</v>
      </c>
      <c r="E1103" s="29"/>
      <c r="F1103" s="151" t="str">
        <f>IFERROR(VLOOKUP($G1103,нормы!$A$14:$BC$57,2,0),"")</f>
        <v/>
      </c>
      <c r="G1103" s="93"/>
      <c r="H1103" s="54">
        <f>IF(C1103=1,"Кульков С.А.", IF(C1103=2,"Чудаков А.А.",IF(C1103=3,"Королев В.Н.",IF(C1103=4,"Николашин М.П.",IF(C1103=5," Кульков С.А.",IF(C1103=6,"А.А. Чудаков",IF(C1103=7,"В.Н. Королев",IF(C1103=8,"М.П. Николашин",0))))))))</f>
        <v>0</v>
      </c>
      <c r="I1103" s="88" t="s">
        <v>211</v>
      </c>
      <c r="J1103" s="332"/>
      <c r="K1103" s="30">
        <f>IFERROR(VLOOKUP($G1103,[1]нормы!$A$21:$BC$151,15,0),"")</f>
        <v>0</v>
      </c>
      <c r="L1103" s="31">
        <f>IFERROR(VLOOKUP($G1103,[1]нормы!$A$21:$BC$151,17,0),"")</f>
        <v>0</v>
      </c>
      <c r="M1103" s="310">
        <f>IFERROR(VLOOKUP($G1103,[1]нормы!$A$21:$BC$151,27,0),"")</f>
        <v>0</v>
      </c>
      <c r="N1103" s="311" t="str">
        <f>IFERROR(Y1103/Y1109*(1.1*J1103*I1108),"")</f>
        <v/>
      </c>
      <c r="O1103" s="300">
        <f>IFERROR(VLOOKUP($G1103,[1]нормы!$A$21:$BC$151,21,0),"")</f>
        <v>0</v>
      </c>
      <c r="P1103" s="35">
        <f>IFERROR(VLOOKUP($G1103,[1]нормы!$A$21:$BC$151,19,0),"")</f>
        <v>0</v>
      </c>
      <c r="Q1103" s="35">
        <f>IFERROR(VLOOKUP($G1103,[1]нормы!$A$21:$BC$151,23,0),"")</f>
        <v>0</v>
      </c>
      <c r="R1103" s="231">
        <f>IFERROR(VLOOKUP($G1103,[1]нормы!$A$21:$BC$151,29,0),"")</f>
        <v>0</v>
      </c>
      <c r="S1103" s="35">
        <f>IFERROR(VLOOKUP($G1103,[1]нормы!$A$21:$BC$151,31,0),"")</f>
        <v>0</v>
      </c>
      <c r="T1103" s="32">
        <f>IFERROR(VLOOKUP($G1103,[1]нормы!$A$21:$BC$151,25,0),"")</f>
        <v>0</v>
      </c>
      <c r="U1103" s="232" t="str">
        <f>IFERROR(W1103/(((100*Y1103/Y1109)*I1108)/100),"")</f>
        <v/>
      </c>
      <c r="V1103" s="234" t="str">
        <f>IFERROR(VLOOKUP($G1103,нормы!$A$14:$BC$57,38,0),"")</f>
        <v/>
      </c>
      <c r="W1103" s="136"/>
      <c r="X1103" s="236"/>
      <c r="Y1103" s="152" t="str">
        <f>IFERROR(VLOOKUP($G1103,нормы!$A$14:$BC$57,42,0)*W1103,"")</f>
        <v/>
      </c>
      <c r="Z1103" s="163">
        <f>IFERROR(VLOOKUP($G1103,нормы!$A$14:$BC$57,14,0)*W1103/1000,0)</f>
        <v>0</v>
      </c>
      <c r="AA1103" s="33"/>
      <c r="AB1103" s="36"/>
      <c r="AC1103" s="36"/>
      <c r="AD1103" s="36"/>
      <c r="AE1103" s="34"/>
      <c r="AF1103" s="159"/>
      <c r="AG1103" s="390"/>
      <c r="AH1103" s="393"/>
      <c r="AI1103" s="396"/>
      <c r="AJ1103" s="407">
        <f>AG1103+AH1103</f>
        <v>0</v>
      </c>
      <c r="AK1103" s="359"/>
      <c r="AL1103" s="359"/>
      <c r="AM1103" s="359"/>
      <c r="AN1103" s="287">
        <f>IFERROR(Y1103*AJ1103/Y1109,)</f>
        <v>0</v>
      </c>
      <c r="AO1103" s="197" t="str">
        <f>IFERROR(VLOOKUP($G1103,нормы!$A$14:$BC$57,53,0)*$W1103,"")</f>
        <v/>
      </c>
      <c r="AP1103" s="288">
        <f>IFERROR(Y1103*AI1103/Y1109,)</f>
        <v>0</v>
      </c>
      <c r="AQ1103" s="197" t="str">
        <f>IFERROR(VLOOKUP($G1103,нормы!$A$14:$BC$57,54,0)*$W1103,"")</f>
        <v/>
      </c>
      <c r="AR1103" s="288">
        <f>IFERROR(AS1103/SUM(AS1103:AS1108)*AL1103,0)</f>
        <v>0</v>
      </c>
      <c r="AS1103" s="197" t="str">
        <f>IFERROR(VLOOKUP($G1103,нормы!$A$14:$BC$57,55,0)*W1103,"")</f>
        <v/>
      </c>
      <c r="AT1103" s="288">
        <f>IFERROR(AU1103/SUM(AU1103:AU1108)*AM1103,0)</f>
        <v>0</v>
      </c>
      <c r="AU1103" s="197" t="str">
        <f>IFERROR(VLOOKUP($G1103,нормы!$A$14:$BI$57,56,0)*W1103,"")</f>
        <v/>
      </c>
      <c r="AV1103" s="288">
        <f>IFERROR(AW1103/SUM(AW1103:AW1108)*AK1103,0)</f>
        <v>0</v>
      </c>
      <c r="AW1103" s="202" t="str">
        <f>IFERROR(VLOOKUP($G1103,нормы!$A$14:$BI$57,57,0)*W1103,"")</f>
        <v/>
      </c>
      <c r="AX1103" s="33"/>
      <c r="AY1103" s="203" t="str">
        <f>IFERROR(VLOOKUP($G1103,нормы!$A$14:$BI$57,58,0)*W1103,"")</f>
        <v/>
      </c>
      <c r="AZ1103" s="204"/>
      <c r="BA1103" s="200" t="str">
        <f>IFERROR(VLOOKUP($G1103,нормы!$A$14:$BI$57,61,0)*$W1103,"")</f>
        <v/>
      </c>
      <c r="BB1103" s="33"/>
      <c r="BC1103" s="203" t="str">
        <f>IFERROR(VLOOKUP($G1103,нормы!$A$14:$BI$57,60,0)*W1103,"")</f>
        <v/>
      </c>
      <c r="BD1103" s="200" t="str">
        <f>IFERROR(VLOOKUP($G1103,нормы!$A$14:$BG$57,44,0),"")</f>
        <v/>
      </c>
      <c r="BE1103" s="199" t="str">
        <f>IFERROR(W1103/VLOOKUP($G1103,нормы!$A$14:$BI$57,45,0),"")</f>
        <v/>
      </c>
    </row>
    <row r="1104" spans="1:57" s="1" customFormat="1" ht="21.6" customHeight="1" x14ac:dyDescent="0.4">
      <c r="A1104" s="37" t="str">
        <f t="shared" si="434"/>
        <v>18Н</v>
      </c>
      <c r="B1104" s="12">
        <f t="shared" ref="B1104:D1108" si="437">B1103</f>
        <v>46040</v>
      </c>
      <c r="C1104" s="97">
        <f t="shared" si="437"/>
        <v>0</v>
      </c>
      <c r="D1104" s="97">
        <f t="shared" si="437"/>
        <v>2</v>
      </c>
      <c r="E1104" s="54"/>
      <c r="F1104" s="151" t="str">
        <f>IFERROR(VLOOKUP($G1104,нормы!$A$14:$BC$57,2,0),"")</f>
        <v/>
      </c>
      <c r="G1104" s="93"/>
      <c r="H1104" s="54">
        <f t="shared" ref="H1104:H1108" si="438">IF(C1104=1,"Кульков С.А.", IF(C1104=2,"Чудаков А.А.",IF(C1104=3,"Королев В.Н.",IF(C1104=4,"Николашин М.П.",IF(C1104=5," Кульков С.А.",IF(C1104=6,"А.А. Чудаков",IF(C1104=7,"В.Н. Королев",IF(C1104=8,"М.П. Николашин",0))))))))</f>
        <v>0</v>
      </c>
      <c r="I1104" s="55"/>
      <c r="J1104" s="333"/>
      <c r="K1104" s="30">
        <f>IFERROR(VLOOKUP($G1104,[1]нормы!$A$21:$BC$151,15,0),"")</f>
        <v>0</v>
      </c>
      <c r="L1104" s="31">
        <f>IFERROR(VLOOKUP($G1104,[1]нормы!$A$21:$BC$151,17,0),"")</f>
        <v>0</v>
      </c>
      <c r="M1104" s="306">
        <f>IFERROR(VLOOKUP($G1104,[1]нормы!$A$21:$BC$151,27,0),"")</f>
        <v>0</v>
      </c>
      <c r="N1104" s="307" t="str">
        <f>IFERROR(Y1104/Y1109*(1.1*J1103*I1108),"")</f>
        <v/>
      </c>
      <c r="O1104" s="300">
        <f>IFERROR(VLOOKUP($G1104,[1]нормы!$A$21:$BC$151,21,0),"")</f>
        <v>0</v>
      </c>
      <c r="P1104" s="35">
        <f>IFERROR(VLOOKUP($G1104,[1]нормы!$A$21:$BC$151,19,0),"")</f>
        <v>0</v>
      </c>
      <c r="Q1104" s="35">
        <f>IFERROR(VLOOKUP($G1104,[1]нормы!$A$21:$BC$151,23,0),"")</f>
        <v>0</v>
      </c>
      <c r="R1104" s="231">
        <f>IFERROR(VLOOKUP($G1104,[1]нормы!$A$21:$BC$151,29,0),"")</f>
        <v>0</v>
      </c>
      <c r="S1104" s="35">
        <f>IFERROR(VLOOKUP($G1104,[1]нормы!$A$21:$BC$151,31,0),"")</f>
        <v>0</v>
      </c>
      <c r="T1104" s="32">
        <f>IFERROR(VLOOKUP($G1104,[1]нормы!$A$21:$BC$151,25,0),"")</f>
        <v>0</v>
      </c>
      <c r="U1104" s="233" t="str">
        <f>IFERROR(W1104/(((100*Y1104/Y1109)*I1108)/100),"")</f>
        <v/>
      </c>
      <c r="V1104" s="234" t="str">
        <f>IFERROR(VLOOKUP($G1104,нормы!$A$14:$BC$57,38,0),"")</f>
        <v/>
      </c>
      <c r="W1104" s="136"/>
      <c r="X1104" s="237"/>
      <c r="Y1104" s="152" t="str">
        <f>IFERROR(VLOOKUP($G1104,нормы!$A$14:$BC$57,42,0)*W1104,"")</f>
        <v/>
      </c>
      <c r="Z1104" s="163">
        <f>IFERROR(VLOOKUP($G1104,нормы!$A$14:$BC$57,14,0)*W1104/1000,0)</f>
        <v>0</v>
      </c>
      <c r="AA1104" s="142"/>
      <c r="AB1104" s="35"/>
      <c r="AC1104" s="35"/>
      <c r="AD1104" s="35"/>
      <c r="AE1104" s="31"/>
      <c r="AF1104" s="160"/>
      <c r="AG1104" s="391"/>
      <c r="AH1104" s="394"/>
      <c r="AI1104" s="397"/>
      <c r="AJ1104" s="408"/>
      <c r="AK1104" s="360"/>
      <c r="AL1104" s="360"/>
      <c r="AM1104" s="360"/>
      <c r="AN1104" s="289">
        <f>IFERROR(Y1104*AJ1103/Y1109,)</f>
        <v>0</v>
      </c>
      <c r="AO1104" s="197" t="str">
        <f>IFERROR(VLOOKUP($G1104,нормы!$A$14:$BC$57,53,0)*$W1104,"")</f>
        <v/>
      </c>
      <c r="AP1104" s="290">
        <f>IFERROR(Y1104*AI1103/Y1109,)</f>
        <v>0</v>
      </c>
      <c r="AQ1104" s="197" t="str">
        <f>IFERROR(VLOOKUP($G1104,нормы!$A$14:$BC$57,54,0)*$W1104,"")</f>
        <v/>
      </c>
      <c r="AR1104" s="290">
        <f>IFERROR(AS1104/SUM(AS1103:AS1108)*AL1103,0)</f>
        <v>0</v>
      </c>
      <c r="AS1104" s="197" t="str">
        <f>IFERROR(VLOOKUP($G1104,нормы!$A$14:$BC$57,55,0)*W1104,"")</f>
        <v/>
      </c>
      <c r="AT1104" s="290">
        <f>IFERROR(AU1104/SUM(AU1103:AU1108)*AM1103,0)</f>
        <v>0</v>
      </c>
      <c r="AU1104" s="197" t="str">
        <f>IFERROR(VLOOKUP($G1104,нормы!$A$14:$BI$57,56,0)*W1104,"")</f>
        <v/>
      </c>
      <c r="AV1104" s="290">
        <f>IFERROR(AW1104/SUM(AW1103:AW1108)*AK1103,0)</f>
        <v>0</v>
      </c>
      <c r="AW1104" s="202" t="str">
        <f>IFERROR(VLOOKUP($G1104,нормы!$A$14:$BI$57,57,0)*W1104,"")</f>
        <v/>
      </c>
      <c r="AX1104" s="30"/>
      <c r="AY1104" s="203" t="str">
        <f>IFERROR(VLOOKUP($G1104,нормы!$A$14:$BI$57,58,0)*W1104,"")</f>
        <v/>
      </c>
      <c r="AZ1104" s="205"/>
      <c r="BA1104" s="200" t="str">
        <f>IFERROR(VLOOKUP($G1104,нормы!$A$14:$BI$57,61,0)*$W1104,"")</f>
        <v/>
      </c>
      <c r="BB1104" s="30"/>
      <c r="BC1104" s="203" t="str">
        <f>IFERROR(VLOOKUP($G1104,нормы!$A$14:$BI$57,60,0)*W1104,"")</f>
        <v/>
      </c>
      <c r="BD1104" s="200" t="str">
        <f>IFERROR(VLOOKUP($G1104,нормы!$A$14:$BG$57,44,0),"")</f>
        <v/>
      </c>
      <c r="BE1104" s="199" t="str">
        <f>IFERROR(W1104/VLOOKUP($G1104,нормы!$A$14:$BI$57,45,0),"")</f>
        <v/>
      </c>
    </row>
    <row r="1105" spans="1:57" s="1" customFormat="1" ht="20.25" customHeight="1" x14ac:dyDescent="0.4">
      <c r="A1105" s="37" t="str">
        <f t="shared" si="434"/>
        <v>18Н</v>
      </c>
      <c r="B1105" s="12">
        <f t="shared" si="437"/>
        <v>46040</v>
      </c>
      <c r="C1105" s="97">
        <f t="shared" si="437"/>
        <v>0</v>
      </c>
      <c r="D1105" s="97">
        <f t="shared" si="437"/>
        <v>2</v>
      </c>
      <c r="E1105" s="54"/>
      <c r="F1105" s="151" t="str">
        <f>IFERROR(VLOOKUP($G1105,нормы!$A$14:$BC$57,2,0),"")</f>
        <v/>
      </c>
      <c r="G1105" s="38"/>
      <c r="H1105" s="54">
        <f t="shared" si="438"/>
        <v>0</v>
      </c>
      <c r="I1105" s="89" t="s">
        <v>212</v>
      </c>
      <c r="J1105" s="333"/>
      <c r="K1105" s="30">
        <f>IFERROR(VLOOKUP($G1105,[1]нормы!$A$21:$BC$151,15,0),"")</f>
        <v>0</v>
      </c>
      <c r="L1105" s="31">
        <f>IFERROR(VLOOKUP($G1105,[1]нормы!$A$21:$BC$151,17,0),"")</f>
        <v>0</v>
      </c>
      <c r="M1105" s="306">
        <f>IFERROR(VLOOKUP($G1105,[1]нормы!$A$21:$BC$151,27,0),"")</f>
        <v>0</v>
      </c>
      <c r="N1105" s="307" t="str">
        <f>IFERROR(Y1105/Y1109*(1.1*J1103*I1108),"")</f>
        <v/>
      </c>
      <c r="O1105" s="300">
        <f>IFERROR(VLOOKUP($G1105,[1]нормы!$A$21:$BC$151,21,0),"")</f>
        <v>0</v>
      </c>
      <c r="P1105" s="35">
        <f>IFERROR(VLOOKUP($G1105,[1]нормы!$A$21:$BC$151,19,0),"")</f>
        <v>0</v>
      </c>
      <c r="Q1105" s="35">
        <f>IFERROR(VLOOKUP($G1105,[1]нормы!$A$21:$BC$151,23,0),"")</f>
        <v>0</v>
      </c>
      <c r="R1105" s="231">
        <f>IFERROR(VLOOKUP($G1105,[1]нормы!$A$21:$BC$151,29,0),"")</f>
        <v>0</v>
      </c>
      <c r="S1105" s="35">
        <f>IFERROR(VLOOKUP($G1105,[1]нормы!$A$21:$BC$151,31,0),"")</f>
        <v>0</v>
      </c>
      <c r="T1105" s="32">
        <f>IFERROR(VLOOKUP($G1105,[1]нормы!$A$21:$BC$151,25,0),"")</f>
        <v>0</v>
      </c>
      <c r="U1105" s="233" t="str">
        <f>IFERROR(W1105/(((100*Y1105/Y1109)*I1108)/100),"")</f>
        <v/>
      </c>
      <c r="V1105" s="234" t="str">
        <f>IFERROR(VLOOKUP($G1105,нормы!$A$14:$BC$57,38,0),"")</f>
        <v/>
      </c>
      <c r="W1105" s="136"/>
      <c r="X1105" s="237"/>
      <c r="Y1105" s="152" t="str">
        <f>IFERROR(VLOOKUP($G1105,нормы!$A$14:$BC$57,42,0)*W1105,"")</f>
        <v/>
      </c>
      <c r="Z1105" s="163">
        <f>IFERROR(VLOOKUP($G1105,нормы!$A$14:$BC$57,14,0)*W1105/1000,0)</f>
        <v>0</v>
      </c>
      <c r="AA1105" s="30"/>
      <c r="AB1105" s="35"/>
      <c r="AC1105" s="35"/>
      <c r="AD1105" s="35"/>
      <c r="AE1105" s="31"/>
      <c r="AF1105" s="160"/>
      <c r="AG1105" s="391"/>
      <c r="AH1105" s="394"/>
      <c r="AI1105" s="397"/>
      <c r="AJ1105" s="408"/>
      <c r="AK1105" s="360"/>
      <c r="AL1105" s="360"/>
      <c r="AM1105" s="360"/>
      <c r="AN1105" s="289">
        <f>IFERROR(Y1105*AJ1103/Y1109,)</f>
        <v>0</v>
      </c>
      <c r="AO1105" s="197" t="str">
        <f>IFERROR(VLOOKUP($G1105,нормы!$A$14:$BC$57,53,0)*$W1105,"")</f>
        <v/>
      </c>
      <c r="AP1105" s="290">
        <f>IFERROR(Y1105*AI1103/Y1109,)</f>
        <v>0</v>
      </c>
      <c r="AQ1105" s="197" t="str">
        <f>IFERROR(VLOOKUP($G1105,нормы!$A$14:$BC$57,54,0)*$W1105,"")</f>
        <v/>
      </c>
      <c r="AR1105" s="290">
        <f>IFERROR(AS1105/SUM(AS1103:AS1108)*AL1103,0)</f>
        <v>0</v>
      </c>
      <c r="AS1105" s="197" t="str">
        <f>IFERROR(VLOOKUP($G1105,нормы!$A$14:$BC$57,55,0)*W1105,"")</f>
        <v/>
      </c>
      <c r="AT1105" s="290">
        <f>IFERROR(AU1105/SUM(AU1103:AU1108)*AM1103,0)</f>
        <v>0</v>
      </c>
      <c r="AU1105" s="197" t="str">
        <f>IFERROR(VLOOKUP($G1105,нормы!$A$14:$BI$57,56,0)*W1105,"")</f>
        <v/>
      </c>
      <c r="AV1105" s="290">
        <f>IFERROR(AW1105/SUM(AW1103:AW1108)*AK1103,0)</f>
        <v>0</v>
      </c>
      <c r="AW1105" s="202" t="str">
        <f>IFERROR(VLOOKUP($G1105,нормы!$A$14:$BI$57,57,0)*W1105,"")</f>
        <v/>
      </c>
      <c r="AX1105" s="30"/>
      <c r="AY1105" s="203" t="str">
        <f>IFERROR(VLOOKUP($G1105,нормы!$A$14:$BI$57,58,0)*W1105,"")</f>
        <v/>
      </c>
      <c r="AZ1105" s="205"/>
      <c r="BA1105" s="200" t="str">
        <f>IFERROR(VLOOKUP($G1105,нормы!$A$14:$BI$57,61,0)*$W1105,"")</f>
        <v/>
      </c>
      <c r="BB1105" s="30"/>
      <c r="BC1105" s="203" t="str">
        <f>IFERROR(VLOOKUP($G1105,нормы!$A$14:$BI$57,60,0)*W1105,"")</f>
        <v/>
      </c>
      <c r="BD1105" s="200" t="str">
        <f>IFERROR(VLOOKUP($G1105,нормы!$A$14:$BG$57,44,0),"")</f>
        <v/>
      </c>
      <c r="BE1105" s="199" t="str">
        <f>IFERROR(W1105/VLOOKUP($G1105,нормы!$A$14:$BI$57,45,0),"")</f>
        <v/>
      </c>
    </row>
    <row r="1106" spans="1:57" s="1" customFormat="1" ht="20.25" customHeight="1" x14ac:dyDescent="0.4">
      <c r="A1106" s="37" t="str">
        <f t="shared" si="434"/>
        <v>18Н</v>
      </c>
      <c r="B1106" s="12">
        <f t="shared" si="437"/>
        <v>46040</v>
      </c>
      <c r="C1106" s="97">
        <f t="shared" si="437"/>
        <v>0</v>
      </c>
      <c r="D1106" s="97">
        <f t="shared" si="437"/>
        <v>2</v>
      </c>
      <c r="E1106" s="54"/>
      <c r="F1106" s="151" t="str">
        <f>IFERROR(VLOOKUP($G1106,нормы!$A$14:$BC$57,2,0),"")</f>
        <v/>
      </c>
      <c r="G1106" s="93"/>
      <c r="H1106" s="54">
        <f t="shared" si="438"/>
        <v>0</v>
      </c>
      <c r="I1106" s="55"/>
      <c r="J1106" s="333"/>
      <c r="K1106" s="30">
        <f>IFERROR(VLOOKUP($G1106,[1]нормы!$A$21:$BC$151,15,0),"")</f>
        <v>0</v>
      </c>
      <c r="L1106" s="31">
        <f>IFERROR(VLOOKUP($G1106,[1]нормы!$A$21:$BC$151,17,0),"")</f>
        <v>0</v>
      </c>
      <c r="M1106" s="306">
        <f>IFERROR(VLOOKUP($G1106,[1]нормы!$A$21:$BC$151,27,0),"")</f>
        <v>0</v>
      </c>
      <c r="N1106" s="307" t="str">
        <f>IFERROR(Y1106/Y1109*(1.1*J1103*I1111),"")</f>
        <v/>
      </c>
      <c r="O1106" s="300">
        <f>IFERROR(VLOOKUP($G1106,[1]нормы!$A$21:$BC$151,21,0),"")</f>
        <v>0</v>
      </c>
      <c r="P1106" s="35">
        <f>IFERROR(VLOOKUP($G1106,[1]нормы!$A$21:$BC$151,19,0),"")</f>
        <v>0</v>
      </c>
      <c r="Q1106" s="35">
        <f>IFERROR(VLOOKUP($G1106,[1]нормы!$A$21:$BC$151,23,0),"")</f>
        <v>0</v>
      </c>
      <c r="R1106" s="231">
        <f>IFERROR(VLOOKUP($G1106,[1]нормы!$A$21:$BC$151,29,0),"")</f>
        <v>0</v>
      </c>
      <c r="S1106" s="35">
        <f>IFERROR(VLOOKUP($G1106,[1]нормы!$A$21:$BC$151,31,0),"")</f>
        <v>0</v>
      </c>
      <c r="T1106" s="32">
        <f>IFERROR(VLOOKUP($G1106,[1]нормы!$A$21:$BC$151,25,0),"")</f>
        <v>0</v>
      </c>
      <c r="U1106" s="233" t="str">
        <f>IFERROR(W1106/(((100*Y1106/Y1109)*I1108)/100),"")</f>
        <v/>
      </c>
      <c r="V1106" s="234" t="str">
        <f>IFERROR(VLOOKUP($G1106,нормы!$A$14:$BC$57,38,0),"")</f>
        <v/>
      </c>
      <c r="W1106" s="136"/>
      <c r="X1106" s="237"/>
      <c r="Y1106" s="152" t="str">
        <f>IFERROR(VLOOKUP($G1106,нормы!$A$14:$BC$57,42,0)*W1106,"")</f>
        <v/>
      </c>
      <c r="Z1106" s="163">
        <f>IFERROR(VLOOKUP($G1106,нормы!$A$14:$BC$57,14,0)*W1106/1000,0)</f>
        <v>0</v>
      </c>
      <c r="AA1106" s="30"/>
      <c r="AB1106" s="35"/>
      <c r="AC1106" s="35"/>
      <c r="AD1106" s="35"/>
      <c r="AE1106" s="31"/>
      <c r="AF1106" s="160"/>
      <c r="AG1106" s="391"/>
      <c r="AH1106" s="394"/>
      <c r="AI1106" s="397"/>
      <c r="AJ1106" s="408"/>
      <c r="AK1106" s="360"/>
      <c r="AL1106" s="360"/>
      <c r="AM1106" s="360"/>
      <c r="AN1106" s="289">
        <f>IFERROR(Y1106*AJ1103/Y1109,)</f>
        <v>0</v>
      </c>
      <c r="AO1106" s="197" t="str">
        <f>IFERROR(VLOOKUP($G1106,нормы!$A$14:$BC$57,53,0)*$W1106,"")</f>
        <v/>
      </c>
      <c r="AP1106" s="290">
        <f>IFERROR(Y1106*AI1103/Y1109,)</f>
        <v>0</v>
      </c>
      <c r="AQ1106" s="197" t="str">
        <f>IFERROR(VLOOKUP($G1106,нормы!$A$14:$BC$57,54,0)*$W1106,"")</f>
        <v/>
      </c>
      <c r="AR1106" s="290">
        <f>IFERROR(AS1106/SUM(AS1103:AS1108)*AL1103,0)</f>
        <v>0</v>
      </c>
      <c r="AS1106" s="197" t="str">
        <f>IFERROR(VLOOKUP($G1106,нормы!$A$14:$BC$57,55,0)*W1106,"")</f>
        <v/>
      </c>
      <c r="AT1106" s="290">
        <f>IFERROR(AU1106/SUM(AU1103:AU1108)*AM1103,0)</f>
        <v>0</v>
      </c>
      <c r="AU1106" s="197" t="str">
        <f>IFERROR(VLOOKUP($G1106,нормы!$A$14:$BI$57,56,0)*W1106,"")</f>
        <v/>
      </c>
      <c r="AV1106" s="290">
        <f>IFERROR(AW1106/SUM(AW1103:AW1108)*AK1103,0)</f>
        <v>0</v>
      </c>
      <c r="AW1106" s="202" t="str">
        <f>IFERROR(VLOOKUP($G1106,нормы!$A$14:$BI$57,57,0)*W1106,"")</f>
        <v/>
      </c>
      <c r="AX1106" s="30"/>
      <c r="AY1106" s="203" t="str">
        <f>IFERROR(VLOOKUP($G1106,нормы!$A$14:$BI$57,58,0)*W1106,"")</f>
        <v/>
      </c>
      <c r="AZ1106" s="205"/>
      <c r="BA1106" s="200" t="str">
        <f>IFERROR(VLOOKUP($G1106,нормы!$A$14:$BI$57,61,0)*$W1106,"")</f>
        <v/>
      </c>
      <c r="BB1106" s="30"/>
      <c r="BC1106" s="203" t="str">
        <f>IFERROR(VLOOKUP($G1106,нормы!$A$14:$BI$57,60,0)*W1106,"")</f>
        <v/>
      </c>
      <c r="BD1106" s="200" t="str">
        <f>IFERROR(VLOOKUP($G1106,нормы!$A$14:$BG$57,44,0),"")</f>
        <v/>
      </c>
      <c r="BE1106" s="199" t="str">
        <f>IFERROR(W1106/VLOOKUP($G1106,нормы!$A$14:$BI$57,45,0),"")</f>
        <v/>
      </c>
    </row>
    <row r="1107" spans="1:57" s="1" customFormat="1" ht="20.25" customHeight="1" x14ac:dyDescent="0.4">
      <c r="A1107" s="37" t="str">
        <f t="shared" si="434"/>
        <v>18Н</v>
      </c>
      <c r="B1107" s="12">
        <f t="shared" si="437"/>
        <v>46040</v>
      </c>
      <c r="C1107" s="97">
        <f t="shared" si="437"/>
        <v>0</v>
      </c>
      <c r="D1107" s="97">
        <f t="shared" si="437"/>
        <v>2</v>
      </c>
      <c r="E1107" s="54"/>
      <c r="F1107" s="151" t="str">
        <f>IFERROR(VLOOKUP($G1107,нормы!$A$14:$BC$57,2,0),"")</f>
        <v/>
      </c>
      <c r="G1107" s="38"/>
      <c r="H1107" s="54">
        <f t="shared" si="438"/>
        <v>0</v>
      </c>
      <c r="I1107" s="89" t="s">
        <v>73</v>
      </c>
      <c r="J1107" s="333"/>
      <c r="K1107" s="30">
        <f>IFERROR(VLOOKUP($G1107,[1]нормы!$A$21:$BC$151,15,0),"")</f>
        <v>0</v>
      </c>
      <c r="L1107" s="31">
        <f>IFERROR(VLOOKUP($G1107,[1]нормы!$A$21:$BC$151,17,0),"")</f>
        <v>0</v>
      </c>
      <c r="M1107" s="306">
        <f>IFERROR(VLOOKUP($G1107,[1]нормы!$A$21:$BC$151,27,0),"")</f>
        <v>0</v>
      </c>
      <c r="N1107" s="307" t="str">
        <f>IFERROR(Y1107/Y1109*(1.1*J1103*I1112),"")</f>
        <v/>
      </c>
      <c r="O1107" s="300">
        <f>IFERROR(VLOOKUP($G1107,[1]нормы!$A$21:$BC$151,21,0),"")</f>
        <v>0</v>
      </c>
      <c r="P1107" s="35">
        <f>IFERROR(VLOOKUP($G1107,[1]нормы!$A$21:$BC$151,19,0),"")</f>
        <v>0</v>
      </c>
      <c r="Q1107" s="35">
        <f>IFERROR(VLOOKUP($G1107,[1]нормы!$A$21:$BC$151,23,0),"")</f>
        <v>0</v>
      </c>
      <c r="R1107" s="231">
        <f>IFERROR(VLOOKUP($G1107,[1]нормы!$A$21:$BC$151,29,0),"")</f>
        <v>0</v>
      </c>
      <c r="S1107" s="35">
        <f>IFERROR(VLOOKUP($G1107,[1]нормы!$A$21:$BC$151,31,0),"")</f>
        <v>0</v>
      </c>
      <c r="T1107" s="32">
        <f>IFERROR(VLOOKUP($G1107,[1]нормы!$A$21:$BC$151,25,0),"")</f>
        <v>0</v>
      </c>
      <c r="U1107" s="233" t="str">
        <f>IFERROR(W1107/(((100*Y1107/Y1109)*I1108)/100),"")</f>
        <v/>
      </c>
      <c r="V1107" s="234" t="str">
        <f>IFERROR(VLOOKUP($G1107,нормы!$A$14:$BC$57,38,0),"")</f>
        <v/>
      </c>
      <c r="W1107" s="136"/>
      <c r="X1107" s="237"/>
      <c r="Y1107" s="152" t="str">
        <f>IFERROR(VLOOKUP($G1107,нормы!$A$14:$BC$57,42,0)*W1107,"")</f>
        <v/>
      </c>
      <c r="Z1107" s="163">
        <f>IFERROR(VLOOKUP($G1107,нормы!$A$14:$BC$57,14,0)*W1107/1000,0)</f>
        <v>0</v>
      </c>
      <c r="AA1107" s="30"/>
      <c r="AB1107" s="35"/>
      <c r="AC1107" s="35"/>
      <c r="AD1107" s="35"/>
      <c r="AE1107" s="31"/>
      <c r="AF1107" s="160"/>
      <c r="AG1107" s="391"/>
      <c r="AH1107" s="394"/>
      <c r="AI1107" s="397"/>
      <c r="AJ1107" s="408"/>
      <c r="AK1107" s="360"/>
      <c r="AL1107" s="360"/>
      <c r="AM1107" s="360"/>
      <c r="AN1107" s="289">
        <f>IFERROR(Y1107*AJ1103/Y1109,)</f>
        <v>0</v>
      </c>
      <c r="AO1107" s="197" t="str">
        <f>IFERROR(VLOOKUP($G1107,нормы!$A$14:$BC$57,53,0)*$W1107,"")</f>
        <v/>
      </c>
      <c r="AP1107" s="290">
        <f>IFERROR(Y1107*AI1103/Y1109,)</f>
        <v>0</v>
      </c>
      <c r="AQ1107" s="197" t="str">
        <f>IFERROR(VLOOKUP($G1107,нормы!$A$14:$BC$57,54,0)*$W1107,"")</f>
        <v/>
      </c>
      <c r="AR1107" s="290">
        <f>IFERROR(AS1107/SUM(AS1103:AS1108)*AL1103,0)</f>
        <v>0</v>
      </c>
      <c r="AS1107" s="197" t="str">
        <f>IFERROR(VLOOKUP($G1107,нормы!$A$14:$BC$57,55,0)*W1107,"")</f>
        <v/>
      </c>
      <c r="AT1107" s="290">
        <f>IFERROR(AU1107/SUM(AU1103:AU1108)*AM1103,0)</f>
        <v>0</v>
      </c>
      <c r="AU1107" s="197" t="str">
        <f>IFERROR(VLOOKUP($G1107,нормы!$A$14:$BI$57,56,0)*W1107,"")</f>
        <v/>
      </c>
      <c r="AV1107" s="290">
        <f>IFERROR(AW1107/SUM(AW1103:AW1108)*AK1103,0)</f>
        <v>0</v>
      </c>
      <c r="AW1107" s="202" t="str">
        <f>IFERROR(VLOOKUP($G1107,нормы!$A$14:$BI$57,57,0)*W1107,"")</f>
        <v/>
      </c>
      <c r="AX1107" s="30"/>
      <c r="AY1107" s="203" t="str">
        <f>IFERROR(VLOOKUP($G1107,нормы!$A$14:$BI$57,58,0)*W1107,"")</f>
        <v/>
      </c>
      <c r="AZ1107" s="205"/>
      <c r="BA1107" s="200" t="str">
        <f>IFERROR(VLOOKUP($G1107,нормы!$A$14:$BI$57,61,0)*$W1107,"")</f>
        <v/>
      </c>
      <c r="BB1107" s="30"/>
      <c r="BC1107" s="203" t="str">
        <f>IFERROR(VLOOKUP($G1107,нормы!$A$14:$BI$57,60,0)*W1107,"")</f>
        <v/>
      </c>
      <c r="BD1107" s="200" t="str">
        <f>IFERROR(VLOOKUP($G1107,нормы!$A$14:$BG$57,44,0),"")</f>
        <v/>
      </c>
      <c r="BE1107" s="199" t="str">
        <f>IFERROR(W1107/VLOOKUP($G1107,нормы!$A$14:$BI$57,45,0),"")</f>
        <v/>
      </c>
    </row>
    <row r="1108" spans="1:57" s="1" customFormat="1" ht="21" customHeight="1" thickBot="1" x14ac:dyDescent="0.45">
      <c r="A1108" s="37" t="str">
        <f t="shared" si="434"/>
        <v>18Н</v>
      </c>
      <c r="B1108" s="12">
        <f t="shared" si="437"/>
        <v>46040</v>
      </c>
      <c r="C1108" s="97">
        <f t="shared" si="437"/>
        <v>0</v>
      </c>
      <c r="D1108" s="97">
        <f t="shared" si="437"/>
        <v>2</v>
      </c>
      <c r="E1108" s="54"/>
      <c r="F1108" s="151" t="str">
        <f>IFERROR(VLOOKUP($G1108,нормы!$A$14:$BC$57,2,0),"")</f>
        <v/>
      </c>
      <c r="G1108" s="93"/>
      <c r="H1108" s="63">
        <f t="shared" si="438"/>
        <v>0</v>
      </c>
      <c r="I1108" s="153">
        <f>I1104+I1106</f>
        <v>0</v>
      </c>
      <c r="J1108" s="334"/>
      <c r="K1108" s="30">
        <f>IFERROR(VLOOKUP($G1108,[1]нормы!$A$21:$BC$151,15,0),"")</f>
        <v>0</v>
      </c>
      <c r="L1108" s="31">
        <f>IFERROR(VLOOKUP($G1108,[1]нормы!$A$21:$BC$151,17,0),"")</f>
        <v>0</v>
      </c>
      <c r="M1108" s="308">
        <f>IFERROR(VLOOKUP($G1108,[1]нормы!$A$21:$BC$151,27,0),"")</f>
        <v>0</v>
      </c>
      <c r="N1108" s="309" t="str">
        <f>IFERROR(Y1108/Y1109*(1.1*J1103*I1113),"")</f>
        <v/>
      </c>
      <c r="O1108" s="300">
        <f>IFERROR(VLOOKUP($G1108,[1]нормы!$A$21:$BC$151,21,0),"")</f>
        <v>0</v>
      </c>
      <c r="P1108" s="35">
        <f>IFERROR(VLOOKUP($G1108,[1]нормы!$A$21:$BC$151,19,0),"")</f>
        <v>0</v>
      </c>
      <c r="Q1108" s="35">
        <f>IFERROR(VLOOKUP($G1108,[1]нормы!$A$21:$BC$151,23,0),"")</f>
        <v>0</v>
      </c>
      <c r="R1108" s="231">
        <f>IFERROR(VLOOKUP($G1108,[1]нормы!$A$21:$BC$151,29,0),"")</f>
        <v>0</v>
      </c>
      <c r="S1108" s="35">
        <f>IFERROR(VLOOKUP($G1108,[1]нормы!$A$21:$BC$151,31,0),"")</f>
        <v>0</v>
      </c>
      <c r="T1108" s="32">
        <f>IFERROR(VLOOKUP($G1108,[1]нормы!$A$21:$BC$151,25,0),"")</f>
        <v>0</v>
      </c>
      <c r="U1108" s="235" t="str">
        <f>IFERROR(W1108/(((100*Y1108/Y1109)*I1108)/100),"")</f>
        <v/>
      </c>
      <c r="V1108" s="234" t="str">
        <f>IFERROR(VLOOKUP($G1108,нормы!$A$14:$BC$57,38,0),"")</f>
        <v/>
      </c>
      <c r="W1108" s="154"/>
      <c r="X1108" s="238"/>
      <c r="Y1108" s="152" t="str">
        <f>IFERROR(VLOOKUP($G1108,нормы!$A$14:$BC$57,42,0)*W1108,"")</f>
        <v/>
      </c>
      <c r="Z1108" s="163">
        <f>IFERROR(VLOOKUP($G1108,нормы!$A$14:$BC$57,14,0)*W1108/1000,0)</f>
        <v>0</v>
      </c>
      <c r="AA1108" s="56"/>
      <c r="AB1108" s="58"/>
      <c r="AC1108" s="58"/>
      <c r="AD1108" s="58"/>
      <c r="AE1108" s="57"/>
      <c r="AF1108" s="161"/>
      <c r="AG1108" s="392"/>
      <c r="AH1108" s="395"/>
      <c r="AI1108" s="398"/>
      <c r="AJ1108" s="409"/>
      <c r="AK1108" s="361"/>
      <c r="AL1108" s="361"/>
      <c r="AM1108" s="361"/>
      <c r="AN1108" s="291">
        <f>IFERROR(Y1108*AJ1103/Y1109,)</f>
        <v>0</v>
      </c>
      <c r="AO1108" s="197" t="str">
        <f>IFERROR(VLOOKUP($G1108,нормы!$A$14:$BC$57,53,0)*$W1108,"")</f>
        <v/>
      </c>
      <c r="AP1108" s="292">
        <f>IFERROR(Y1108*AI1103/Y1109,)</f>
        <v>0</v>
      </c>
      <c r="AQ1108" s="197" t="str">
        <f>IFERROR(VLOOKUP($G1108,нормы!$A$14:$BC$57,54,0)*$W1108,"")</f>
        <v/>
      </c>
      <c r="AR1108" s="290">
        <f>IFERROR(AS1108/SUM(AS1103:AS1108)*AL1103,0)</f>
        <v>0</v>
      </c>
      <c r="AS1108" s="197" t="str">
        <f>IFERROR(VLOOKUP($G1108,нормы!$A$14:$BC$57,55,0)*W1108,"")</f>
        <v/>
      </c>
      <c r="AT1108" s="292">
        <f>IFERROR(AU1108/SUM(AU1103:AU1108)*AM1103,0)</f>
        <v>0</v>
      </c>
      <c r="AU1108" s="197" t="str">
        <f>IFERROR(VLOOKUP($G1108,нормы!$A$14:$BI$57,56,0)*W1108,"")</f>
        <v/>
      </c>
      <c r="AV1108" s="292">
        <f>IFERROR(AW1108/SUM(AW1103:AW1108)*AK1103,0)</f>
        <v>0</v>
      </c>
      <c r="AW1108" s="202" t="str">
        <f>IFERROR(VLOOKUP($G1108,нормы!$A$14:$BI$57,57,0)*W1108,"")</f>
        <v/>
      </c>
      <c r="AX1108" s="56"/>
      <c r="AY1108" s="203" t="str">
        <f>IFERROR(VLOOKUP($G1108,нормы!$A$14:$BI$57,58,0)*W1108,"")</f>
        <v/>
      </c>
      <c r="AZ1108" s="206"/>
      <c r="BA1108" s="200" t="str">
        <f>IFERROR(VLOOKUP($G1108,нормы!$A$14:$BI$57,61,0)*$W1108,"")</f>
        <v/>
      </c>
      <c r="BB1108" s="56"/>
      <c r="BC1108" s="203" t="str">
        <f>IFERROR(VLOOKUP($G1108,нормы!$A$14:$BI$57,60,0)*W1108,"")</f>
        <v/>
      </c>
      <c r="BD1108" s="200" t="str">
        <f>IFERROR(VLOOKUP($G1108,нормы!$A$14:$BG$57,44,0),"")</f>
        <v/>
      </c>
      <c r="BE1108" s="199" t="str">
        <f>IFERROR(W1108/VLOOKUP($G1108,нормы!$A$14:$BI$57,45,0),"")</f>
        <v/>
      </c>
    </row>
    <row r="1109" spans="1:57" s="1" customFormat="1" ht="29.4" customHeight="1" thickBot="1" x14ac:dyDescent="0.45">
      <c r="A1109" s="37" t="str">
        <f t="shared" si="434"/>
        <v>18Н</v>
      </c>
      <c r="B1109" s="59"/>
      <c r="C1109" s="51"/>
      <c r="D1109" s="51"/>
      <c r="E1109" s="51"/>
      <c r="F1109" s="51"/>
      <c r="G1109" s="51"/>
      <c r="H1109" s="51"/>
      <c r="I1109" s="60"/>
      <c r="J1109" s="60"/>
      <c r="K1109" s="319" t="s">
        <v>213</v>
      </c>
      <c r="L1109" s="316"/>
      <c r="M1109" s="303" t="s">
        <v>213</v>
      </c>
      <c r="N1109" s="317">
        <f>SUM(N1103:N1108)</f>
        <v>0</v>
      </c>
      <c r="O1109" s="304" t="s">
        <v>217</v>
      </c>
      <c r="P1109" s="318">
        <f>N1109*8.937/1000</f>
        <v>0</v>
      </c>
      <c r="Q1109" s="305" t="s">
        <v>215</v>
      </c>
      <c r="R1109" s="61"/>
      <c r="S1109" s="61"/>
      <c r="T1109" s="61"/>
      <c r="U1109" s="109"/>
      <c r="V1109" s="109"/>
      <c r="W1109" s="94"/>
      <c r="X1109" s="155"/>
      <c r="Y1109" s="96">
        <f>SUM(Y1103:Y1108)</f>
        <v>0</v>
      </c>
      <c r="Z1109" s="164">
        <f>SUM(Z1103:Z1108)</f>
        <v>0</v>
      </c>
      <c r="AA1109" s="207">
        <f>(AA1095+AA1096+AA1097+AA1098+AA1099+AA1100+AA1101+AA1103+AA1104+AA1105+AA1106+AA1107+AA1108)-AG1096</f>
        <v>1</v>
      </c>
      <c r="AB1109" s="208">
        <f>(AB1095+AB1096+AB1097+AB1098+AB1099+AB1100+AB1101+AB1103+AB1104+AB1105+AB1106+AB1107+AB1108)-AH1096</f>
        <v>2</v>
      </c>
      <c r="AC1109" s="208">
        <f>(AC1095+AC1096+AC1097+AC1098+AC1099+AC1100+AC1101+AC1103+AC1104+AC1105+AC1106+AC1107+AC1108)-AG1103</f>
        <v>3</v>
      </c>
      <c r="AD1109" s="208">
        <f>(AD1095+AD1096+AD1097+AD1098+AD1099+AD1100+AD1101+AD1103+AD1104+AD1105+AD1106+AD1107+AD1108)-AH1103</f>
        <v>4</v>
      </c>
      <c r="AE1109" s="208">
        <f>(AE1095+AE1096+AE1097+AE1098+AE1099+AE1100+AE1101+AE1103+AE1104+AE1105+AE1106+AE1107+AE1108)-AI1096</f>
        <v>5</v>
      </c>
      <c r="AF1109" s="209">
        <f>(AF1095+AF1096+AF1097+AF1098+AF1099+AF1100+AF1101+AF1103+AF1104+AF1105+AF1106+AF1107+AF1108)-AI1103</f>
        <v>6</v>
      </c>
      <c r="AG1109" s="62"/>
      <c r="AH1109" s="62"/>
      <c r="AI1109" s="62"/>
      <c r="AJ1109" s="62"/>
      <c r="AK1109" s="62"/>
      <c r="AL1109" s="62"/>
      <c r="AM1109" s="62"/>
      <c r="AN1109" s="91">
        <f>SUM(AN1103:AN1108)</f>
        <v>0</v>
      </c>
      <c r="AO1109" s="91">
        <f>SUM(AO1103:AO1108)</f>
        <v>0</v>
      </c>
      <c r="AP1109" s="91"/>
      <c r="AQ1109" s="91"/>
      <c r="AR1109" s="91">
        <f>SUM(AR1103:AR1108)</f>
        <v>0</v>
      </c>
      <c r="AS1109" s="91">
        <f t="shared" ref="AS1109:AW1109" si="439">SUM(AS1103:AS1108)</f>
        <v>0</v>
      </c>
      <c r="AT1109" s="91">
        <f t="shared" si="439"/>
        <v>0</v>
      </c>
      <c r="AU1109" s="91">
        <f t="shared" si="439"/>
        <v>0</v>
      </c>
      <c r="AV1109" s="91">
        <f t="shared" si="439"/>
        <v>0</v>
      </c>
      <c r="AW1109" s="91">
        <f t="shared" si="439"/>
        <v>0</v>
      </c>
      <c r="AX1109" s="91">
        <f>SUM(AX1103:AX1108)</f>
        <v>0</v>
      </c>
      <c r="AY1109" s="91">
        <f>SUM(AY1103:AY1108)</f>
        <v>0</v>
      </c>
      <c r="AZ1109" s="91">
        <f>SUM(AZ1103:AZ1108)</f>
        <v>0</v>
      </c>
      <c r="BA1109" s="91"/>
      <c r="BB1109" s="91"/>
      <c r="BC1109" s="91"/>
      <c r="BD1109" s="91" t="str">
        <f>IFERROR(VLOOKUP($G1109,нормы!$A$14:$BG$15,27,0),"")</f>
        <v/>
      </c>
      <c r="BE1109" s="53" t="str">
        <f>IFERROR(W1109/VLOOKUP($G1109,нормы!$A$14:$BI$15,28,0),"")</f>
        <v/>
      </c>
    </row>
    <row r="1110" spans="1:57" s="1" customFormat="1" ht="29.4" customHeight="1" thickBot="1" x14ac:dyDescent="0.5">
      <c r="A1110" s="37" t="str">
        <f t="shared" si="434"/>
        <v>18Н</v>
      </c>
      <c r="B1110" s="166" t="s">
        <v>130</v>
      </c>
      <c r="C1110" s="167"/>
      <c r="D1110" s="167"/>
      <c r="E1110" s="167"/>
      <c r="F1110" s="165"/>
      <c r="G1110" s="167"/>
      <c r="H1110" s="167"/>
      <c r="I1110" s="168"/>
      <c r="J1110" s="168"/>
      <c r="K1110" s="168"/>
      <c r="L1110" s="168"/>
      <c r="M1110" s="168"/>
      <c r="N1110" s="168"/>
      <c r="O1110" s="167"/>
      <c r="P1110" s="169"/>
      <c r="Q1110" s="169"/>
      <c r="R1110" s="169"/>
      <c r="S1110" s="169"/>
      <c r="T1110" s="169"/>
      <c r="U1110" s="170"/>
      <c r="V1110" s="170"/>
      <c r="W1110" s="171"/>
      <c r="X1110" s="171"/>
      <c r="Y1110" s="172"/>
      <c r="Z1110" s="172"/>
      <c r="AA1110" s="201" t="s">
        <v>144</v>
      </c>
      <c r="AB1110" s="167"/>
      <c r="AC1110" s="167"/>
      <c r="AD1110" s="167"/>
      <c r="AE1110" s="167"/>
      <c r="AF1110" s="167"/>
      <c r="AG1110" s="167"/>
      <c r="AH1110" s="167"/>
      <c r="AI1110" s="167"/>
      <c r="AJ1110" s="167"/>
      <c r="AK1110" s="167"/>
      <c r="AL1110" s="167"/>
      <c r="AM1110" s="64"/>
      <c r="AN1110" s="167"/>
      <c r="AO1110" s="167"/>
      <c r="AP1110" s="167"/>
      <c r="AQ1110" s="167"/>
      <c r="AR1110" s="64"/>
      <c r="AS1110" s="64"/>
      <c r="AT1110" s="65"/>
      <c r="AU1110" s="64"/>
      <c r="AV1110" s="49"/>
      <c r="AW1110" s="49"/>
      <c r="AX1110" s="167"/>
      <c r="AY1110" s="167"/>
      <c r="AZ1110" s="167"/>
      <c r="BA1110" s="167"/>
      <c r="BB1110" s="167"/>
      <c r="BC1110" s="167"/>
      <c r="BD1110" s="66"/>
      <c r="BE1110" s="66"/>
    </row>
    <row r="1111" spans="1:57" s="1" customFormat="1" ht="23.25" customHeight="1" x14ac:dyDescent="0.4">
      <c r="A1111" s="37" t="str">
        <f t="shared" si="434"/>
        <v>18Н</v>
      </c>
      <c r="B1111" s="183"/>
      <c r="C1111" s="100"/>
      <c r="D1111" s="185"/>
      <c r="E1111" s="186" t="s">
        <v>57</v>
      </c>
      <c r="F1111" s="66" t="s">
        <v>87</v>
      </c>
      <c r="G1111" s="66"/>
      <c r="H1111" s="108" t="s">
        <v>131</v>
      </c>
      <c r="I1111" s="101"/>
      <c r="J1111" s="101"/>
      <c r="K1111" s="101"/>
      <c r="L1111" s="101"/>
      <c r="M1111" s="101"/>
      <c r="N1111" s="101"/>
      <c r="O1111" s="67"/>
      <c r="P1111" s="102"/>
      <c r="Q1111" s="102"/>
      <c r="R1111" s="102"/>
      <c r="S1111" s="102"/>
      <c r="T1111" s="102"/>
      <c r="U1111" s="67"/>
      <c r="V1111" s="67"/>
      <c r="W1111" s="103"/>
      <c r="X1111" s="187"/>
      <c r="Y1111" s="68" t="s">
        <v>74</v>
      </c>
      <c r="Z1111" s="69"/>
      <c r="AA1111" s="90"/>
      <c r="AB1111" s="100"/>
      <c r="AC1111" s="100"/>
      <c r="AD1111" s="186" t="s">
        <v>57</v>
      </c>
      <c r="AE1111" s="66"/>
      <c r="AF1111" s="66"/>
      <c r="AG1111" s="66"/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6"/>
      <c r="AS1111" s="66"/>
      <c r="AT1111" s="190"/>
      <c r="AU1111" s="66"/>
      <c r="AV1111" s="165"/>
      <c r="AW1111" s="293"/>
      <c r="AX1111" s="66"/>
      <c r="AY1111" s="66"/>
      <c r="AZ1111" s="66"/>
      <c r="BA1111" s="66"/>
      <c r="BB1111" s="66"/>
      <c r="BC1111" s="66"/>
      <c r="BD1111" s="68" t="s">
        <v>74</v>
      </c>
      <c r="BE1111" s="69"/>
    </row>
    <row r="1112" spans="1:57" s="1" customFormat="1" ht="23.25" customHeight="1" thickBot="1" x14ac:dyDescent="0.45">
      <c r="A1112" s="37" t="str">
        <f t="shared" si="434"/>
        <v>18Н</v>
      </c>
      <c r="B1112" s="183"/>
      <c r="C1112" s="41"/>
      <c r="D1112" s="184"/>
      <c r="E1112" s="50"/>
      <c r="F1112" s="70"/>
      <c r="G1112" s="70"/>
      <c r="H1112" s="70"/>
      <c r="I1112" s="104"/>
      <c r="J1112" s="104"/>
      <c r="K1112" s="104"/>
      <c r="L1112" s="104"/>
      <c r="M1112" s="104"/>
      <c r="N1112" s="104"/>
      <c r="O1112" s="71"/>
      <c r="P1112" s="105"/>
      <c r="Q1112" s="105"/>
      <c r="R1112" s="105"/>
      <c r="S1112" s="105"/>
      <c r="T1112" s="105"/>
      <c r="U1112" s="71"/>
      <c r="V1112" s="71"/>
      <c r="W1112" s="106"/>
      <c r="X1112" s="188"/>
      <c r="Y1112" s="72"/>
      <c r="Z1112" s="73"/>
      <c r="AA1112" s="90"/>
      <c r="AB1112" s="41"/>
      <c r="AC1112" s="41"/>
      <c r="AD1112" s="50"/>
      <c r="AE1112" s="47"/>
      <c r="AF1112" s="47"/>
      <c r="AG1112" s="47"/>
      <c r="AH1112" s="47"/>
      <c r="AI1112" s="47"/>
      <c r="AJ1112" s="47"/>
      <c r="AK1112" s="47"/>
      <c r="AL1112" s="47"/>
      <c r="AM1112" s="70"/>
      <c r="AN1112" s="47"/>
      <c r="AO1112" s="70"/>
      <c r="AP1112" s="70"/>
      <c r="AQ1112" s="70"/>
      <c r="AR1112" s="70"/>
      <c r="AS1112" s="70"/>
      <c r="AT1112" s="191"/>
      <c r="AU1112" s="70"/>
      <c r="AV1112" s="192"/>
      <c r="AW1112" s="294"/>
      <c r="AX1112" s="70"/>
      <c r="AY1112" s="70"/>
      <c r="AZ1112" s="70"/>
      <c r="BA1112" s="70"/>
      <c r="BB1112" s="70"/>
      <c r="BC1112" s="70"/>
      <c r="BD1112" s="72"/>
      <c r="BE1112" s="73"/>
    </row>
    <row r="1113" spans="1:57" s="1" customFormat="1" ht="28.5" customHeight="1" x14ac:dyDescent="0.4">
      <c r="A1113" s="37" t="str">
        <f t="shared" si="434"/>
        <v>18Н</v>
      </c>
      <c r="B1113" s="183"/>
      <c r="C1113" s="41"/>
      <c r="D1113" s="184"/>
      <c r="E1113" s="281">
        <f>B1108</f>
        <v>46040</v>
      </c>
      <c r="F1113" s="337"/>
      <c r="G1113" s="338"/>
      <c r="H1113" s="338"/>
      <c r="I1113" s="338"/>
      <c r="J1113" s="338"/>
      <c r="K1113" s="338"/>
      <c r="L1113" s="338"/>
      <c r="M1113" s="338"/>
      <c r="N1113" s="338"/>
      <c r="O1113" s="338"/>
      <c r="P1113" s="338"/>
      <c r="Q1113" s="338"/>
      <c r="R1113" s="338"/>
      <c r="S1113" s="338"/>
      <c r="T1113" s="338"/>
      <c r="U1113" s="338"/>
      <c r="V1113" s="338"/>
      <c r="W1113" s="338"/>
      <c r="X1113" s="98">
        <v>1</v>
      </c>
      <c r="Y1113" s="74">
        <v>1</v>
      </c>
      <c r="Z1113" s="75">
        <f t="shared" ref="Z1113:Z1124" si="440">Y1113-X1113</f>
        <v>0</v>
      </c>
      <c r="AA1113" s="189"/>
      <c r="AB1113" s="41"/>
      <c r="AC1113" s="184"/>
      <c r="AD1113" s="210">
        <f>E1113</f>
        <v>46040</v>
      </c>
      <c r="AE1113" s="387"/>
      <c r="AF1113" s="388"/>
      <c r="AG1113" s="388"/>
      <c r="AH1113" s="388"/>
      <c r="AI1113" s="388"/>
      <c r="AJ1113" s="388"/>
      <c r="AK1113" s="388"/>
      <c r="AL1113" s="388"/>
      <c r="AM1113" s="388"/>
      <c r="AN1113" s="388"/>
      <c r="AO1113" s="388"/>
      <c r="AP1113" s="388"/>
      <c r="AQ1113" s="388"/>
      <c r="AR1113" s="388"/>
      <c r="AS1113" s="388"/>
      <c r="AT1113" s="388"/>
      <c r="AU1113" s="388"/>
      <c r="AV1113" s="388"/>
      <c r="AW1113" s="388"/>
      <c r="AX1113" s="388"/>
      <c r="AY1113" s="388"/>
      <c r="AZ1113" s="388"/>
      <c r="BA1113" s="388"/>
      <c r="BB1113" s="389"/>
      <c r="BC1113" s="98">
        <v>1</v>
      </c>
      <c r="BD1113" s="74">
        <v>1</v>
      </c>
      <c r="BE1113" s="75">
        <f t="shared" ref="BE1113:BE1124" si="441">BD1113-BC1113</f>
        <v>0</v>
      </c>
    </row>
    <row r="1114" spans="1:57" s="1" customFormat="1" ht="24" customHeight="1" x14ac:dyDescent="0.4">
      <c r="A1114" s="37" t="str">
        <f t="shared" si="434"/>
        <v>18Н</v>
      </c>
      <c r="B1114" s="183"/>
      <c r="C1114" s="41"/>
      <c r="D1114" s="184"/>
      <c r="E1114" s="282">
        <f>E1113</f>
        <v>46040</v>
      </c>
      <c r="F1114" s="335"/>
      <c r="G1114" s="336"/>
      <c r="H1114" s="336"/>
      <c r="I1114" s="336"/>
      <c r="J1114" s="336"/>
      <c r="K1114" s="336"/>
      <c r="L1114" s="336"/>
      <c r="M1114" s="336"/>
      <c r="N1114" s="336"/>
      <c r="O1114" s="336"/>
      <c r="P1114" s="336"/>
      <c r="Q1114" s="336"/>
      <c r="R1114" s="336"/>
      <c r="S1114" s="336"/>
      <c r="T1114" s="336"/>
      <c r="U1114" s="336"/>
      <c r="V1114" s="336"/>
      <c r="W1114" s="336"/>
      <c r="X1114" s="98">
        <v>1</v>
      </c>
      <c r="Y1114" s="74">
        <v>1</v>
      </c>
      <c r="Z1114" s="75">
        <f t="shared" si="440"/>
        <v>0</v>
      </c>
      <c r="AA1114" s="107">
        <f>AA1113</f>
        <v>0</v>
      </c>
      <c r="AB1114" s="41"/>
      <c r="AC1114" s="184"/>
      <c r="AD1114" s="212">
        <f>AD1113</f>
        <v>46040</v>
      </c>
      <c r="AE1114" s="387"/>
      <c r="AF1114" s="388"/>
      <c r="AG1114" s="388"/>
      <c r="AH1114" s="388"/>
      <c r="AI1114" s="388"/>
      <c r="AJ1114" s="388"/>
      <c r="AK1114" s="388"/>
      <c r="AL1114" s="388"/>
      <c r="AM1114" s="388"/>
      <c r="AN1114" s="388"/>
      <c r="AO1114" s="388"/>
      <c r="AP1114" s="388"/>
      <c r="AQ1114" s="388"/>
      <c r="AR1114" s="388"/>
      <c r="AS1114" s="388"/>
      <c r="AT1114" s="388"/>
      <c r="AU1114" s="388"/>
      <c r="AV1114" s="388"/>
      <c r="AW1114" s="388"/>
      <c r="AX1114" s="388"/>
      <c r="AY1114" s="388"/>
      <c r="AZ1114" s="388"/>
      <c r="BA1114" s="388"/>
      <c r="BB1114" s="389"/>
      <c r="BC1114" s="98">
        <v>1</v>
      </c>
      <c r="BD1114" s="74">
        <v>1</v>
      </c>
      <c r="BE1114" s="75">
        <f t="shared" si="441"/>
        <v>0</v>
      </c>
    </row>
    <row r="1115" spans="1:57" s="1" customFormat="1" ht="21.9" customHeight="1" x14ac:dyDescent="0.4">
      <c r="A1115" s="37" t="str">
        <f t="shared" si="434"/>
        <v>18Н</v>
      </c>
      <c r="B1115" s="183"/>
      <c r="C1115" s="41"/>
      <c r="D1115" s="184"/>
      <c r="E1115" s="282">
        <f t="shared" ref="E1115:E1124" si="442">E1114</f>
        <v>46040</v>
      </c>
      <c r="F1115" s="335"/>
      <c r="G1115" s="336"/>
      <c r="H1115" s="336"/>
      <c r="I1115" s="336"/>
      <c r="J1115" s="336"/>
      <c r="K1115" s="336"/>
      <c r="L1115" s="336"/>
      <c r="M1115" s="336"/>
      <c r="N1115" s="336"/>
      <c r="O1115" s="336"/>
      <c r="P1115" s="336"/>
      <c r="Q1115" s="336"/>
      <c r="R1115" s="336"/>
      <c r="S1115" s="336"/>
      <c r="T1115" s="336"/>
      <c r="U1115" s="336"/>
      <c r="V1115" s="336"/>
      <c r="W1115" s="336"/>
      <c r="X1115" s="98">
        <v>1</v>
      </c>
      <c r="Y1115" s="74">
        <v>1</v>
      </c>
      <c r="Z1115" s="75">
        <f t="shared" si="440"/>
        <v>0</v>
      </c>
      <c r="AA1115" s="107">
        <f>AA1114</f>
        <v>0</v>
      </c>
      <c r="AB1115" s="41"/>
      <c r="AC1115" s="184"/>
      <c r="AD1115" s="212">
        <f t="shared" ref="AD1115:AD1124" si="443">AD1114</f>
        <v>46040</v>
      </c>
      <c r="AE1115" s="387"/>
      <c r="AF1115" s="388"/>
      <c r="AG1115" s="388"/>
      <c r="AH1115" s="388"/>
      <c r="AI1115" s="388"/>
      <c r="AJ1115" s="388"/>
      <c r="AK1115" s="388"/>
      <c r="AL1115" s="388"/>
      <c r="AM1115" s="388"/>
      <c r="AN1115" s="388"/>
      <c r="AO1115" s="388"/>
      <c r="AP1115" s="388"/>
      <c r="AQ1115" s="388"/>
      <c r="AR1115" s="388"/>
      <c r="AS1115" s="388"/>
      <c r="AT1115" s="388"/>
      <c r="AU1115" s="388"/>
      <c r="AV1115" s="388"/>
      <c r="AW1115" s="388"/>
      <c r="AX1115" s="388"/>
      <c r="AY1115" s="388"/>
      <c r="AZ1115" s="388"/>
      <c r="BA1115" s="388"/>
      <c r="BB1115" s="389"/>
      <c r="BC1115" s="98">
        <v>1</v>
      </c>
      <c r="BD1115" s="74">
        <v>1</v>
      </c>
      <c r="BE1115" s="75">
        <f t="shared" si="441"/>
        <v>0</v>
      </c>
    </row>
    <row r="1116" spans="1:57" s="1" customFormat="1" ht="18" customHeight="1" x14ac:dyDescent="0.4">
      <c r="A1116" s="37" t="str">
        <f t="shared" si="434"/>
        <v>18Н</v>
      </c>
      <c r="B1116" s="183"/>
      <c r="C1116" s="41"/>
      <c r="D1116" s="184"/>
      <c r="E1116" s="282">
        <f t="shared" si="442"/>
        <v>46040</v>
      </c>
      <c r="F1116" s="335"/>
      <c r="G1116" s="336"/>
      <c r="H1116" s="336"/>
      <c r="I1116" s="336"/>
      <c r="J1116" s="336"/>
      <c r="K1116" s="336"/>
      <c r="L1116" s="336"/>
      <c r="M1116" s="336"/>
      <c r="N1116" s="336"/>
      <c r="O1116" s="336"/>
      <c r="P1116" s="336"/>
      <c r="Q1116" s="336"/>
      <c r="R1116" s="336"/>
      <c r="S1116" s="336"/>
      <c r="T1116" s="336"/>
      <c r="U1116" s="336"/>
      <c r="V1116" s="336"/>
      <c r="W1116" s="336"/>
      <c r="X1116" s="98">
        <v>1</v>
      </c>
      <c r="Y1116" s="74">
        <v>1</v>
      </c>
      <c r="Z1116" s="75">
        <f t="shared" si="440"/>
        <v>0</v>
      </c>
      <c r="AA1116" s="107">
        <f t="shared" ref="AA1116:AA1124" si="444">AA1115</f>
        <v>0</v>
      </c>
      <c r="AB1116" s="41"/>
      <c r="AC1116" s="184"/>
      <c r="AD1116" s="212">
        <f t="shared" si="443"/>
        <v>46040</v>
      </c>
      <c r="AE1116" s="387"/>
      <c r="AF1116" s="388"/>
      <c r="AG1116" s="388"/>
      <c r="AH1116" s="388"/>
      <c r="AI1116" s="388"/>
      <c r="AJ1116" s="388"/>
      <c r="AK1116" s="388"/>
      <c r="AL1116" s="388"/>
      <c r="AM1116" s="388"/>
      <c r="AN1116" s="388"/>
      <c r="AO1116" s="388"/>
      <c r="AP1116" s="388"/>
      <c r="AQ1116" s="388"/>
      <c r="AR1116" s="388"/>
      <c r="AS1116" s="388"/>
      <c r="AT1116" s="388"/>
      <c r="AU1116" s="388"/>
      <c r="AV1116" s="388"/>
      <c r="AW1116" s="388"/>
      <c r="AX1116" s="388"/>
      <c r="AY1116" s="388"/>
      <c r="AZ1116" s="388"/>
      <c r="BA1116" s="388"/>
      <c r="BB1116" s="389"/>
      <c r="BC1116" s="98">
        <v>1</v>
      </c>
      <c r="BD1116" s="74">
        <v>1</v>
      </c>
      <c r="BE1116" s="75">
        <f t="shared" si="441"/>
        <v>0</v>
      </c>
    </row>
    <row r="1117" spans="1:57" s="1" customFormat="1" ht="18" customHeight="1" x14ac:dyDescent="0.4">
      <c r="A1117" s="37" t="str">
        <f t="shared" si="434"/>
        <v>18Н</v>
      </c>
      <c r="B1117" s="183"/>
      <c r="C1117" s="41"/>
      <c r="D1117" s="184"/>
      <c r="E1117" s="282">
        <f t="shared" si="442"/>
        <v>46040</v>
      </c>
      <c r="F1117" s="335"/>
      <c r="G1117" s="336"/>
      <c r="H1117" s="336"/>
      <c r="I1117" s="336"/>
      <c r="J1117" s="336"/>
      <c r="K1117" s="336"/>
      <c r="L1117" s="336"/>
      <c r="M1117" s="336"/>
      <c r="N1117" s="336"/>
      <c r="O1117" s="336"/>
      <c r="P1117" s="336"/>
      <c r="Q1117" s="336"/>
      <c r="R1117" s="336"/>
      <c r="S1117" s="336"/>
      <c r="T1117" s="336"/>
      <c r="U1117" s="336"/>
      <c r="V1117" s="336"/>
      <c r="W1117" s="336"/>
      <c r="X1117" s="98">
        <v>1</v>
      </c>
      <c r="Y1117" s="74">
        <v>1</v>
      </c>
      <c r="Z1117" s="75">
        <f t="shared" si="440"/>
        <v>0</v>
      </c>
      <c r="AA1117" s="107">
        <f t="shared" si="444"/>
        <v>0</v>
      </c>
      <c r="AB1117" s="41"/>
      <c r="AC1117" s="184"/>
      <c r="AD1117" s="212">
        <f t="shared" si="443"/>
        <v>46040</v>
      </c>
      <c r="AE1117" s="387"/>
      <c r="AF1117" s="388"/>
      <c r="AG1117" s="388"/>
      <c r="AH1117" s="388"/>
      <c r="AI1117" s="388"/>
      <c r="AJ1117" s="388"/>
      <c r="AK1117" s="388"/>
      <c r="AL1117" s="388"/>
      <c r="AM1117" s="388"/>
      <c r="AN1117" s="388"/>
      <c r="AO1117" s="388"/>
      <c r="AP1117" s="388"/>
      <c r="AQ1117" s="388"/>
      <c r="AR1117" s="388"/>
      <c r="AS1117" s="388"/>
      <c r="AT1117" s="388"/>
      <c r="AU1117" s="388"/>
      <c r="AV1117" s="388"/>
      <c r="AW1117" s="388"/>
      <c r="AX1117" s="388"/>
      <c r="AY1117" s="388"/>
      <c r="AZ1117" s="388"/>
      <c r="BA1117" s="388"/>
      <c r="BB1117" s="389"/>
      <c r="BC1117" s="98">
        <v>1</v>
      </c>
      <c r="BD1117" s="74">
        <v>1</v>
      </c>
      <c r="BE1117" s="75">
        <f t="shared" si="441"/>
        <v>0</v>
      </c>
    </row>
    <row r="1118" spans="1:57" s="1" customFormat="1" ht="18" customHeight="1" x14ac:dyDescent="0.4">
      <c r="A1118" s="37" t="str">
        <f t="shared" si="434"/>
        <v>18Н</v>
      </c>
      <c r="B1118" s="183"/>
      <c r="C1118" s="41"/>
      <c r="D1118" s="184"/>
      <c r="E1118" s="282">
        <f t="shared" si="442"/>
        <v>46040</v>
      </c>
      <c r="F1118" s="335"/>
      <c r="G1118" s="336"/>
      <c r="H1118" s="336"/>
      <c r="I1118" s="336"/>
      <c r="J1118" s="336"/>
      <c r="K1118" s="336"/>
      <c r="L1118" s="336"/>
      <c r="M1118" s="336"/>
      <c r="N1118" s="336"/>
      <c r="O1118" s="336"/>
      <c r="P1118" s="336"/>
      <c r="Q1118" s="336"/>
      <c r="R1118" s="336"/>
      <c r="S1118" s="336"/>
      <c r="T1118" s="336"/>
      <c r="U1118" s="336"/>
      <c r="V1118" s="336"/>
      <c r="W1118" s="336"/>
      <c r="X1118" s="98">
        <v>1</v>
      </c>
      <c r="Y1118" s="74">
        <v>1</v>
      </c>
      <c r="Z1118" s="75">
        <f t="shared" si="440"/>
        <v>0</v>
      </c>
      <c r="AA1118" s="107">
        <f t="shared" si="444"/>
        <v>0</v>
      </c>
      <c r="AB1118" s="41"/>
      <c r="AC1118" s="184"/>
      <c r="AD1118" s="212">
        <f t="shared" si="443"/>
        <v>46040</v>
      </c>
      <c r="AE1118" s="387"/>
      <c r="AF1118" s="388"/>
      <c r="AG1118" s="388"/>
      <c r="AH1118" s="388"/>
      <c r="AI1118" s="388"/>
      <c r="AJ1118" s="388"/>
      <c r="AK1118" s="388"/>
      <c r="AL1118" s="388"/>
      <c r="AM1118" s="388"/>
      <c r="AN1118" s="388"/>
      <c r="AO1118" s="388"/>
      <c r="AP1118" s="388"/>
      <c r="AQ1118" s="388"/>
      <c r="AR1118" s="388"/>
      <c r="AS1118" s="388"/>
      <c r="AT1118" s="388"/>
      <c r="AU1118" s="388"/>
      <c r="AV1118" s="388"/>
      <c r="AW1118" s="388"/>
      <c r="AX1118" s="388"/>
      <c r="AY1118" s="388"/>
      <c r="AZ1118" s="388"/>
      <c r="BA1118" s="388"/>
      <c r="BB1118" s="389"/>
      <c r="BC1118" s="98">
        <v>1</v>
      </c>
      <c r="BD1118" s="74">
        <v>1</v>
      </c>
      <c r="BE1118" s="75">
        <f t="shared" si="441"/>
        <v>0</v>
      </c>
    </row>
    <row r="1119" spans="1:57" s="1" customFormat="1" ht="18" customHeight="1" x14ac:dyDescent="0.4">
      <c r="A1119" s="37" t="str">
        <f t="shared" si="434"/>
        <v>18Н</v>
      </c>
      <c r="B1119" s="183"/>
      <c r="C1119" s="41"/>
      <c r="D1119" s="184"/>
      <c r="E1119" s="282">
        <f t="shared" si="442"/>
        <v>46040</v>
      </c>
      <c r="F1119" s="335"/>
      <c r="G1119" s="336"/>
      <c r="H1119" s="336"/>
      <c r="I1119" s="336"/>
      <c r="J1119" s="336"/>
      <c r="K1119" s="336"/>
      <c r="L1119" s="336"/>
      <c r="M1119" s="336"/>
      <c r="N1119" s="336"/>
      <c r="O1119" s="336"/>
      <c r="P1119" s="336"/>
      <c r="Q1119" s="336"/>
      <c r="R1119" s="336"/>
      <c r="S1119" s="336"/>
      <c r="T1119" s="336"/>
      <c r="U1119" s="336"/>
      <c r="V1119" s="336"/>
      <c r="W1119" s="336"/>
      <c r="X1119" s="98">
        <v>1</v>
      </c>
      <c r="Y1119" s="74">
        <v>1</v>
      </c>
      <c r="Z1119" s="75">
        <f t="shared" si="440"/>
        <v>0</v>
      </c>
      <c r="AA1119" s="107">
        <f t="shared" si="444"/>
        <v>0</v>
      </c>
      <c r="AB1119" s="41"/>
      <c r="AC1119" s="184"/>
      <c r="AD1119" s="212">
        <f t="shared" si="443"/>
        <v>46040</v>
      </c>
      <c r="AE1119" s="387"/>
      <c r="AF1119" s="388"/>
      <c r="AG1119" s="388"/>
      <c r="AH1119" s="388"/>
      <c r="AI1119" s="388"/>
      <c r="AJ1119" s="388"/>
      <c r="AK1119" s="388"/>
      <c r="AL1119" s="388"/>
      <c r="AM1119" s="388"/>
      <c r="AN1119" s="388"/>
      <c r="AO1119" s="388"/>
      <c r="AP1119" s="388"/>
      <c r="AQ1119" s="388"/>
      <c r="AR1119" s="388"/>
      <c r="AS1119" s="388"/>
      <c r="AT1119" s="388"/>
      <c r="AU1119" s="388"/>
      <c r="AV1119" s="388"/>
      <c r="AW1119" s="388"/>
      <c r="AX1119" s="388"/>
      <c r="AY1119" s="388"/>
      <c r="AZ1119" s="388"/>
      <c r="BA1119" s="388"/>
      <c r="BB1119" s="389"/>
      <c r="BC1119" s="98">
        <v>1</v>
      </c>
      <c r="BD1119" s="74">
        <v>1</v>
      </c>
      <c r="BE1119" s="75">
        <f t="shared" si="441"/>
        <v>0</v>
      </c>
    </row>
    <row r="1120" spans="1:57" s="1" customFormat="1" ht="18" customHeight="1" x14ac:dyDescent="0.4">
      <c r="A1120" s="37" t="str">
        <f t="shared" si="434"/>
        <v>18Н</v>
      </c>
      <c r="B1120" s="183"/>
      <c r="C1120" s="41"/>
      <c r="D1120" s="184"/>
      <c r="E1120" s="282">
        <f t="shared" si="442"/>
        <v>46040</v>
      </c>
      <c r="F1120" s="335"/>
      <c r="G1120" s="336"/>
      <c r="H1120" s="336"/>
      <c r="I1120" s="336"/>
      <c r="J1120" s="336"/>
      <c r="K1120" s="336"/>
      <c r="L1120" s="336"/>
      <c r="M1120" s="336"/>
      <c r="N1120" s="336"/>
      <c r="O1120" s="336"/>
      <c r="P1120" s="336"/>
      <c r="Q1120" s="336"/>
      <c r="R1120" s="336"/>
      <c r="S1120" s="336"/>
      <c r="T1120" s="336"/>
      <c r="U1120" s="336"/>
      <c r="V1120" s="336"/>
      <c r="W1120" s="336"/>
      <c r="X1120" s="98">
        <v>1</v>
      </c>
      <c r="Y1120" s="74">
        <v>1</v>
      </c>
      <c r="Z1120" s="75">
        <f t="shared" si="440"/>
        <v>0</v>
      </c>
      <c r="AA1120" s="107">
        <f t="shared" si="444"/>
        <v>0</v>
      </c>
      <c r="AB1120" s="41"/>
      <c r="AC1120" s="184"/>
      <c r="AD1120" s="212">
        <f t="shared" si="443"/>
        <v>46040</v>
      </c>
      <c r="AE1120" s="387"/>
      <c r="AF1120" s="388"/>
      <c r="AG1120" s="388"/>
      <c r="AH1120" s="388"/>
      <c r="AI1120" s="388"/>
      <c r="AJ1120" s="388"/>
      <c r="AK1120" s="388"/>
      <c r="AL1120" s="388"/>
      <c r="AM1120" s="388"/>
      <c r="AN1120" s="388"/>
      <c r="AO1120" s="388"/>
      <c r="AP1120" s="388"/>
      <c r="AQ1120" s="388"/>
      <c r="AR1120" s="388"/>
      <c r="AS1120" s="388"/>
      <c r="AT1120" s="388"/>
      <c r="AU1120" s="388"/>
      <c r="AV1120" s="388"/>
      <c r="AW1120" s="388"/>
      <c r="AX1120" s="388"/>
      <c r="AY1120" s="388"/>
      <c r="AZ1120" s="388"/>
      <c r="BA1120" s="388"/>
      <c r="BB1120" s="389"/>
      <c r="BC1120" s="98">
        <v>1</v>
      </c>
      <c r="BD1120" s="74">
        <v>1</v>
      </c>
      <c r="BE1120" s="75">
        <f t="shared" si="441"/>
        <v>0</v>
      </c>
    </row>
    <row r="1121" spans="1:57" s="1" customFormat="1" ht="18" customHeight="1" x14ac:dyDescent="0.4">
      <c r="A1121" s="37" t="str">
        <f t="shared" si="434"/>
        <v>18Н</v>
      </c>
      <c r="B1121" s="183"/>
      <c r="C1121" s="41"/>
      <c r="D1121" s="184"/>
      <c r="E1121" s="282">
        <f t="shared" si="442"/>
        <v>46040</v>
      </c>
      <c r="F1121" s="335"/>
      <c r="G1121" s="336"/>
      <c r="H1121" s="336"/>
      <c r="I1121" s="336"/>
      <c r="J1121" s="336"/>
      <c r="K1121" s="336"/>
      <c r="L1121" s="336"/>
      <c r="M1121" s="336"/>
      <c r="N1121" s="336"/>
      <c r="O1121" s="336"/>
      <c r="P1121" s="336"/>
      <c r="Q1121" s="336"/>
      <c r="R1121" s="336"/>
      <c r="S1121" s="336"/>
      <c r="T1121" s="336"/>
      <c r="U1121" s="336"/>
      <c r="V1121" s="336"/>
      <c r="W1121" s="336"/>
      <c r="X1121" s="98">
        <v>1</v>
      </c>
      <c r="Y1121" s="74">
        <v>1</v>
      </c>
      <c r="Z1121" s="75">
        <f t="shared" si="440"/>
        <v>0</v>
      </c>
      <c r="AA1121" s="107">
        <f t="shared" si="444"/>
        <v>0</v>
      </c>
      <c r="AB1121" s="41"/>
      <c r="AC1121" s="184"/>
      <c r="AD1121" s="212">
        <f t="shared" si="443"/>
        <v>46040</v>
      </c>
      <c r="AE1121" s="387"/>
      <c r="AF1121" s="388"/>
      <c r="AG1121" s="388"/>
      <c r="AH1121" s="388"/>
      <c r="AI1121" s="388"/>
      <c r="AJ1121" s="388"/>
      <c r="AK1121" s="388"/>
      <c r="AL1121" s="388"/>
      <c r="AM1121" s="388"/>
      <c r="AN1121" s="388"/>
      <c r="AO1121" s="388"/>
      <c r="AP1121" s="388"/>
      <c r="AQ1121" s="388"/>
      <c r="AR1121" s="388"/>
      <c r="AS1121" s="388"/>
      <c r="AT1121" s="388"/>
      <c r="AU1121" s="388"/>
      <c r="AV1121" s="388"/>
      <c r="AW1121" s="388"/>
      <c r="AX1121" s="388"/>
      <c r="AY1121" s="388"/>
      <c r="AZ1121" s="388"/>
      <c r="BA1121" s="388"/>
      <c r="BB1121" s="389"/>
      <c r="BC1121" s="98">
        <v>1</v>
      </c>
      <c r="BD1121" s="74">
        <v>1</v>
      </c>
      <c r="BE1121" s="75">
        <f t="shared" si="441"/>
        <v>0</v>
      </c>
    </row>
    <row r="1122" spans="1:57" s="1" customFormat="1" ht="18" customHeight="1" x14ac:dyDescent="0.4">
      <c r="A1122" s="37" t="str">
        <f t="shared" si="434"/>
        <v>18Н</v>
      </c>
      <c r="B1122" s="183"/>
      <c r="C1122" s="41"/>
      <c r="D1122" s="184"/>
      <c r="E1122" s="282">
        <f t="shared" si="442"/>
        <v>46040</v>
      </c>
      <c r="F1122" s="335"/>
      <c r="G1122" s="336"/>
      <c r="H1122" s="336"/>
      <c r="I1122" s="336"/>
      <c r="J1122" s="336"/>
      <c r="K1122" s="336"/>
      <c r="L1122" s="336"/>
      <c r="M1122" s="336"/>
      <c r="N1122" s="336"/>
      <c r="O1122" s="336"/>
      <c r="P1122" s="336"/>
      <c r="Q1122" s="336"/>
      <c r="R1122" s="336"/>
      <c r="S1122" s="336"/>
      <c r="T1122" s="336"/>
      <c r="U1122" s="336"/>
      <c r="V1122" s="336"/>
      <c r="W1122" s="336"/>
      <c r="X1122" s="98">
        <v>1</v>
      </c>
      <c r="Y1122" s="74">
        <v>1</v>
      </c>
      <c r="Z1122" s="75">
        <f t="shared" si="440"/>
        <v>0</v>
      </c>
      <c r="AA1122" s="107">
        <f t="shared" si="444"/>
        <v>0</v>
      </c>
      <c r="AB1122" s="41"/>
      <c r="AC1122" s="184"/>
      <c r="AD1122" s="212">
        <f t="shared" si="443"/>
        <v>46040</v>
      </c>
      <c r="AE1122" s="387"/>
      <c r="AF1122" s="388"/>
      <c r="AG1122" s="388"/>
      <c r="AH1122" s="388"/>
      <c r="AI1122" s="388"/>
      <c r="AJ1122" s="388"/>
      <c r="AK1122" s="388"/>
      <c r="AL1122" s="388"/>
      <c r="AM1122" s="388"/>
      <c r="AN1122" s="388"/>
      <c r="AO1122" s="388"/>
      <c r="AP1122" s="388"/>
      <c r="AQ1122" s="388"/>
      <c r="AR1122" s="388"/>
      <c r="AS1122" s="388"/>
      <c r="AT1122" s="388"/>
      <c r="AU1122" s="388"/>
      <c r="AV1122" s="388"/>
      <c r="AW1122" s="388"/>
      <c r="AX1122" s="388"/>
      <c r="AY1122" s="388"/>
      <c r="AZ1122" s="388"/>
      <c r="BA1122" s="388"/>
      <c r="BB1122" s="389"/>
      <c r="BC1122" s="98">
        <v>1</v>
      </c>
      <c r="BD1122" s="74">
        <v>1</v>
      </c>
      <c r="BE1122" s="75">
        <f t="shared" si="441"/>
        <v>0</v>
      </c>
    </row>
    <row r="1123" spans="1:57" s="1" customFormat="1" ht="18" customHeight="1" x14ac:dyDescent="0.4">
      <c r="A1123" s="37" t="str">
        <f t="shared" si="434"/>
        <v>18Н</v>
      </c>
      <c r="B1123" s="183"/>
      <c r="C1123" s="41"/>
      <c r="D1123" s="184"/>
      <c r="E1123" s="282">
        <f t="shared" si="442"/>
        <v>46040</v>
      </c>
      <c r="F1123" s="335"/>
      <c r="G1123" s="336"/>
      <c r="H1123" s="336"/>
      <c r="I1123" s="336"/>
      <c r="J1123" s="336"/>
      <c r="K1123" s="336"/>
      <c r="L1123" s="336"/>
      <c r="M1123" s="336"/>
      <c r="N1123" s="336"/>
      <c r="O1123" s="336"/>
      <c r="P1123" s="336"/>
      <c r="Q1123" s="336"/>
      <c r="R1123" s="336"/>
      <c r="S1123" s="336"/>
      <c r="T1123" s="336"/>
      <c r="U1123" s="336"/>
      <c r="V1123" s="336"/>
      <c r="W1123" s="336"/>
      <c r="X1123" s="98">
        <v>1</v>
      </c>
      <c r="Y1123" s="74">
        <v>1</v>
      </c>
      <c r="Z1123" s="75">
        <f t="shared" si="440"/>
        <v>0</v>
      </c>
      <c r="AA1123" s="107">
        <f t="shared" si="444"/>
        <v>0</v>
      </c>
      <c r="AB1123" s="41"/>
      <c r="AC1123" s="184"/>
      <c r="AD1123" s="212">
        <f t="shared" si="443"/>
        <v>46040</v>
      </c>
      <c r="AE1123" s="387"/>
      <c r="AF1123" s="388"/>
      <c r="AG1123" s="388"/>
      <c r="AH1123" s="388"/>
      <c r="AI1123" s="388"/>
      <c r="AJ1123" s="388"/>
      <c r="AK1123" s="388"/>
      <c r="AL1123" s="388"/>
      <c r="AM1123" s="388"/>
      <c r="AN1123" s="388"/>
      <c r="AO1123" s="388"/>
      <c r="AP1123" s="388"/>
      <c r="AQ1123" s="388"/>
      <c r="AR1123" s="388"/>
      <c r="AS1123" s="388"/>
      <c r="AT1123" s="388"/>
      <c r="AU1123" s="388"/>
      <c r="AV1123" s="388"/>
      <c r="AW1123" s="388"/>
      <c r="AX1123" s="388"/>
      <c r="AY1123" s="388"/>
      <c r="AZ1123" s="388"/>
      <c r="BA1123" s="388"/>
      <c r="BB1123" s="389"/>
      <c r="BC1123" s="98">
        <v>1</v>
      </c>
      <c r="BD1123" s="74">
        <v>1</v>
      </c>
      <c r="BE1123" s="75">
        <f t="shared" si="441"/>
        <v>0</v>
      </c>
    </row>
    <row r="1124" spans="1:57" s="1" customFormat="1" ht="18" customHeight="1" thickBot="1" x14ac:dyDescent="0.45">
      <c r="A1124" s="37" t="str">
        <f t="shared" si="434"/>
        <v>18Н</v>
      </c>
      <c r="B1124" s="183"/>
      <c r="C1124" s="41"/>
      <c r="D1124" s="184"/>
      <c r="E1124" s="283">
        <f t="shared" si="442"/>
        <v>46040</v>
      </c>
      <c r="F1124" s="339"/>
      <c r="G1124" s="340"/>
      <c r="H1124" s="340"/>
      <c r="I1124" s="340"/>
      <c r="J1124" s="340"/>
      <c r="K1124" s="340"/>
      <c r="L1124" s="340"/>
      <c r="M1124" s="340"/>
      <c r="N1124" s="340"/>
      <c r="O1124" s="340"/>
      <c r="P1124" s="340"/>
      <c r="Q1124" s="340"/>
      <c r="R1124" s="340"/>
      <c r="S1124" s="340"/>
      <c r="T1124" s="340"/>
      <c r="U1124" s="340"/>
      <c r="V1124" s="340"/>
      <c r="W1124" s="340"/>
      <c r="X1124" s="99">
        <v>1</v>
      </c>
      <c r="Y1124" s="76">
        <v>1</v>
      </c>
      <c r="Z1124" s="77">
        <f t="shared" si="440"/>
        <v>0</v>
      </c>
      <c r="AA1124" s="107">
        <f t="shared" si="444"/>
        <v>0</v>
      </c>
      <c r="AB1124" s="41"/>
      <c r="AC1124" s="184"/>
      <c r="AD1124" s="211">
        <f t="shared" si="443"/>
        <v>46040</v>
      </c>
      <c r="AE1124" s="410"/>
      <c r="AF1124" s="411"/>
      <c r="AG1124" s="411"/>
      <c r="AH1124" s="411"/>
      <c r="AI1124" s="411"/>
      <c r="AJ1124" s="411"/>
      <c r="AK1124" s="411"/>
      <c r="AL1124" s="411"/>
      <c r="AM1124" s="411"/>
      <c r="AN1124" s="411"/>
      <c r="AO1124" s="411"/>
      <c r="AP1124" s="411"/>
      <c r="AQ1124" s="411"/>
      <c r="AR1124" s="411"/>
      <c r="AS1124" s="411"/>
      <c r="AT1124" s="411"/>
      <c r="AU1124" s="411"/>
      <c r="AV1124" s="411"/>
      <c r="AW1124" s="411"/>
      <c r="AX1124" s="411"/>
      <c r="AY1124" s="411"/>
      <c r="AZ1124" s="411"/>
      <c r="BA1124" s="411"/>
      <c r="BB1124" s="412"/>
      <c r="BC1124" s="99">
        <v>1</v>
      </c>
      <c r="BD1124" s="76">
        <v>1</v>
      </c>
      <c r="BE1124" s="75">
        <f t="shared" si="441"/>
        <v>0</v>
      </c>
    </row>
    <row r="1125" spans="1:57" s="1" customFormat="1" ht="23.25" customHeight="1" thickBot="1" x14ac:dyDescent="0.45">
      <c r="A1125" s="37" t="str">
        <f t="shared" si="434"/>
        <v>18Н</v>
      </c>
      <c r="B1125" s="193"/>
      <c r="C1125" s="47"/>
      <c r="D1125" s="47"/>
      <c r="E1125" s="47"/>
      <c r="F1125" s="78"/>
      <c r="G1125" s="78"/>
      <c r="H1125" s="78"/>
      <c r="I1125" s="80"/>
      <c r="J1125" s="80"/>
      <c r="K1125" s="80"/>
      <c r="L1125" s="80"/>
      <c r="M1125" s="80"/>
      <c r="N1125" s="80"/>
      <c r="O1125" s="78"/>
      <c r="P1125" s="81"/>
      <c r="Q1125" s="81"/>
      <c r="R1125" s="81"/>
      <c r="S1125" s="81"/>
      <c r="T1125" s="81"/>
      <c r="U1125" s="82"/>
      <c r="V1125" s="82"/>
      <c r="W1125" s="86"/>
      <c r="X1125" s="194"/>
      <c r="Y1125" s="83"/>
      <c r="Z1125" s="83"/>
      <c r="AA1125" s="78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84"/>
      <c r="AN1125" s="47"/>
      <c r="AO1125" s="78"/>
      <c r="AP1125" s="78"/>
      <c r="AQ1125" s="78"/>
      <c r="AR1125" s="84"/>
      <c r="AS1125" s="78"/>
      <c r="AT1125" s="85"/>
      <c r="AU1125" s="78"/>
      <c r="AV1125" s="83"/>
      <c r="AW1125" s="83"/>
      <c r="AX1125" s="78"/>
      <c r="AY1125" s="78"/>
      <c r="AZ1125" s="78"/>
      <c r="BA1125" s="78"/>
      <c r="BB1125" s="78"/>
      <c r="BC1125" s="78"/>
      <c r="BD1125" s="79"/>
      <c r="BE1125" s="79"/>
    </row>
    <row r="1126" spans="1:57" s="1" customFormat="1" ht="21.6" customHeight="1" thickBot="1" x14ac:dyDescent="0.45">
      <c r="A1126" s="37" t="s">
        <v>182</v>
      </c>
      <c r="B1126" s="59"/>
      <c r="C1126" s="51"/>
      <c r="D1126" s="51"/>
      <c r="E1126" s="51"/>
      <c r="F1126" s="158" t="s">
        <v>147</v>
      </c>
      <c r="G1126" s="51"/>
      <c r="H1126" s="51"/>
      <c r="I1126" s="156"/>
      <c r="J1126" s="156"/>
      <c r="K1126" s="156"/>
      <c r="L1126" s="156"/>
      <c r="M1126" s="156"/>
      <c r="N1126" s="156"/>
      <c r="O1126" s="91"/>
      <c r="P1126" s="52"/>
      <c r="Q1126" s="52"/>
      <c r="R1126" s="52"/>
      <c r="S1126" s="52"/>
      <c r="T1126" s="52"/>
      <c r="U1126" s="157"/>
      <c r="V1126" s="157"/>
      <c r="W1126" s="94"/>
      <c r="X1126" s="94"/>
      <c r="Y1126" s="51"/>
      <c r="Z1126" s="51"/>
      <c r="AA1126" s="157">
        <f>AA1109</f>
        <v>1</v>
      </c>
      <c r="AB1126" s="157">
        <f t="shared" ref="AB1126:AF1126" si="445">AB1109</f>
        <v>2</v>
      </c>
      <c r="AC1126" s="157">
        <f t="shared" si="445"/>
        <v>3</v>
      </c>
      <c r="AD1126" s="157">
        <f t="shared" si="445"/>
        <v>4</v>
      </c>
      <c r="AE1126" s="157">
        <f t="shared" si="445"/>
        <v>5</v>
      </c>
      <c r="AF1126" s="157">
        <f t="shared" si="445"/>
        <v>6</v>
      </c>
      <c r="AG1126" s="162" t="s">
        <v>123</v>
      </c>
      <c r="AH1126" s="162" t="s">
        <v>124</v>
      </c>
      <c r="AI1126" s="162" t="s">
        <v>125</v>
      </c>
      <c r="AJ1126" s="91" t="s">
        <v>126</v>
      </c>
      <c r="AK1126" s="198" t="s">
        <v>136</v>
      </c>
      <c r="AL1126" s="198" t="s">
        <v>137</v>
      </c>
      <c r="AM1126" s="198" t="s">
        <v>138</v>
      </c>
      <c r="AN1126" s="91"/>
      <c r="AO1126" s="91"/>
      <c r="AP1126" s="91"/>
      <c r="AQ1126" s="91"/>
      <c r="AR1126" s="91"/>
      <c r="AS1126" s="91"/>
      <c r="AT1126" s="91"/>
      <c r="AU1126" s="91"/>
      <c r="AV1126" s="91"/>
      <c r="AW1126" s="91"/>
      <c r="AX1126" s="91"/>
      <c r="AY1126" s="91"/>
      <c r="AZ1126" s="91"/>
      <c r="BA1126" s="91"/>
      <c r="BB1126" s="91"/>
      <c r="BC1126" s="91"/>
      <c r="BD1126" s="91"/>
      <c r="BE1126" s="91"/>
    </row>
    <row r="1127" spans="1:57" s="1" customFormat="1" ht="21.6" customHeight="1" x14ac:dyDescent="0.4">
      <c r="A1127" s="37" t="str">
        <f>A1126</f>
        <v>19Д</v>
      </c>
      <c r="B1127" s="12">
        <f>B1108+1</f>
        <v>46041</v>
      </c>
      <c r="C1127" s="97"/>
      <c r="D1127" s="97">
        <v>1</v>
      </c>
      <c r="E1127" s="29"/>
      <c r="F1127" s="151" t="str">
        <f>IFERROR(VLOOKUP($G1127,нормы!$A$14:$BC$57,2,0),"")</f>
        <v/>
      </c>
      <c r="G1127" s="93"/>
      <c r="H1127" s="54">
        <f>IF(C1127=1,"Кульков С.А.", IF(C1127=2,"Чудаков А.А.",IF(C1127=3,"Королев В.Н.",IF(C1127=4,"Николашин М.П.",IF(C1127=5," Кульков С.А.",IF(C1127=6,"А.А. Чудаков",IF(C1127=7,"В.Н. Королев",IF(C1127=8,"М.П. Николашин",0))))))))</f>
        <v>0</v>
      </c>
      <c r="I1127" s="88" t="s">
        <v>84</v>
      </c>
      <c r="J1127" s="332"/>
      <c r="K1127" s="30">
        <f>IFERROR(VLOOKUP($G1127,[1]нормы!$A$21:$BC$151,15,0),"")</f>
        <v>0</v>
      </c>
      <c r="L1127" s="31">
        <f>IFERROR(VLOOKUP($G1127,[1]нормы!$A$21:$BC$151,17,0),"")</f>
        <v>0</v>
      </c>
      <c r="M1127" s="310">
        <f>IFERROR(VLOOKUP($G1127,[1]нормы!$A$21:$BC$151,27,0),"")</f>
        <v>0</v>
      </c>
      <c r="N1127" s="311" t="str">
        <f>IFERROR(Y1127/Y1133*(1.1*J1127*I1132),"")</f>
        <v/>
      </c>
      <c r="O1127" s="300">
        <f>IFERROR(VLOOKUP($G1127,[1]нормы!$A$21:$BC$151,21,0),"")</f>
        <v>0</v>
      </c>
      <c r="P1127" s="35">
        <f>IFERROR(VLOOKUP($G1127,[1]нормы!$A$21:$BC$151,19,0),"")</f>
        <v>0</v>
      </c>
      <c r="Q1127" s="35">
        <f>IFERROR(VLOOKUP($G1127,[1]нормы!$A$21:$BC$151,23,0),"")</f>
        <v>0</v>
      </c>
      <c r="R1127" s="231">
        <f>IFERROR(VLOOKUP($G1127,[1]нормы!$A$21:$BC$151,29,0),"")</f>
        <v>0</v>
      </c>
      <c r="S1127" s="35">
        <f>IFERROR(VLOOKUP($G1127,[1]нормы!$A$21:$BC$151,31,0),"")</f>
        <v>0</v>
      </c>
      <c r="T1127" s="32">
        <f>IFERROR(VLOOKUP($G1127,[1]нормы!$A$21:$BC$151,25,0),"")</f>
        <v>0</v>
      </c>
      <c r="U1127" s="232" t="str">
        <f>IFERROR(W1127/(((100*Y1127/Y1133)*I1132)/100),"")</f>
        <v/>
      </c>
      <c r="V1127" s="234" t="str">
        <f>IFERROR(VLOOKUP($G1127,нормы!$A$14:$BC$57,38,0),"")</f>
        <v/>
      </c>
      <c r="W1127" s="136"/>
      <c r="X1127" s="236"/>
      <c r="Y1127" s="152" t="str">
        <f>IFERROR(VLOOKUP($G1127,нормы!$A$14:$BC$57,42,0)*W1127,"")</f>
        <v/>
      </c>
      <c r="Z1127" s="163">
        <f>IFERROR(VLOOKUP($G1127,нормы!$A$14:$BC$57,14,0)*W1127/1000,0)</f>
        <v>0</v>
      </c>
      <c r="AA1127" s="33"/>
      <c r="AB1127" s="36"/>
      <c r="AC1127" s="36"/>
      <c r="AD1127" s="36"/>
      <c r="AE1127" s="34"/>
      <c r="AF1127" s="159"/>
      <c r="AG1127" s="390"/>
      <c r="AH1127" s="393"/>
      <c r="AI1127" s="396"/>
      <c r="AJ1127" s="407">
        <f>AG1127+AH1127</f>
        <v>0</v>
      </c>
      <c r="AK1127" s="359"/>
      <c r="AL1127" s="359"/>
      <c r="AM1127" s="359"/>
      <c r="AN1127" s="287">
        <f>IFERROR(Y1127*AJ1127/Y1133,)</f>
        <v>0</v>
      </c>
      <c r="AO1127" s="197" t="str">
        <f>IFERROR(VLOOKUP($G1127,нормы!$A$14:$BC$57,53,0)*$W1127,"")</f>
        <v/>
      </c>
      <c r="AP1127" s="288">
        <f>IFERROR(Y1127*AI1127/Y1133,)</f>
        <v>0</v>
      </c>
      <c r="AQ1127" s="197" t="str">
        <f>IFERROR(VLOOKUP($G1127,нормы!$A$14:$BC$57,54,0)*$W1127,"")</f>
        <v/>
      </c>
      <c r="AR1127" s="288">
        <f>IFERROR(AS1127/SUM(AS1127:AS1132)*AL1127,0)</f>
        <v>0</v>
      </c>
      <c r="AS1127" s="197" t="str">
        <f>IFERROR(VLOOKUP($G1127,нормы!$A$14:$BC$57,55,0)*W1127,"")</f>
        <v/>
      </c>
      <c r="AT1127" s="288">
        <f>IFERROR(AU1127/SUM(AU1127:AU1132)*AM1127,0)</f>
        <v>0</v>
      </c>
      <c r="AU1127" s="197" t="str">
        <f>IFERROR(VLOOKUP($G1127,нормы!$A$14:$BI$57,56,0)*W1127,"")</f>
        <v/>
      </c>
      <c r="AV1127" s="288">
        <f>IFERROR(AW1127/SUM(AW1127:AW1132)*AK1127,0)</f>
        <v>0</v>
      </c>
      <c r="AW1127" s="202" t="str">
        <f>IFERROR(VLOOKUP($G1127,нормы!$A$14:$BI$57,57,0)*W1127,"")</f>
        <v/>
      </c>
      <c r="AX1127" s="33"/>
      <c r="AY1127" s="203" t="str">
        <f>IFERROR(VLOOKUP($G1127,нормы!$A$14:$BI$57,58,0)*W1127,"")</f>
        <v/>
      </c>
      <c r="AZ1127" s="204"/>
      <c r="BA1127" s="200" t="str">
        <f>IFERROR(VLOOKUP($G1127,нормы!$A$14:$BI$57,61,0)*$W1127,"")</f>
        <v/>
      </c>
      <c r="BB1127" s="33"/>
      <c r="BC1127" s="203" t="str">
        <f>IFERROR(VLOOKUP($G1127,нормы!$A$14:$BI$57,60,0)*W1127,"")</f>
        <v/>
      </c>
      <c r="BD1127" s="200" t="str">
        <f>IFERROR(VLOOKUP($G1127,нормы!$A$14:$BG$57,44,0),"")</f>
        <v/>
      </c>
      <c r="BE1127" s="199" t="str">
        <f>IFERROR(W1127/VLOOKUP($G1127,нормы!$A$14:$BI$57,45,0),"")</f>
        <v/>
      </c>
    </row>
    <row r="1128" spans="1:57" s="1" customFormat="1" ht="21.6" customHeight="1" x14ac:dyDescent="0.4">
      <c r="A1128" s="37" t="str">
        <f t="shared" ref="A1128:A1156" si="446">A1127</f>
        <v>19Д</v>
      </c>
      <c r="B1128" s="12">
        <f t="shared" ref="B1128:D1132" si="447">B1127</f>
        <v>46041</v>
      </c>
      <c r="C1128" s="97">
        <f t="shared" si="447"/>
        <v>0</v>
      </c>
      <c r="D1128" s="97">
        <f t="shared" si="447"/>
        <v>1</v>
      </c>
      <c r="E1128" s="54"/>
      <c r="F1128" s="151" t="str">
        <f>IFERROR(VLOOKUP($G1128,нормы!$A$14:$BC$57,2,0),"")</f>
        <v/>
      </c>
      <c r="G1128" s="93"/>
      <c r="H1128" s="54">
        <f t="shared" ref="H1128:H1132" si="448">IF(C1128=1,"Кульков С.А.", IF(C1128=2,"Чудаков А.А.",IF(C1128=3,"Королев В.Н.",IF(C1128=4,"Николашин М.П.",IF(C1128=5," Кульков С.А.",IF(C1128=6,"А.А. Чудаков",IF(C1128=7,"В.Н. Королев",IF(C1128=8,"М.П. Николашин",0))))))))</f>
        <v>0</v>
      </c>
      <c r="I1128" s="55"/>
      <c r="J1128" s="333"/>
      <c r="K1128" s="30">
        <f>IFERROR(VLOOKUP($G1128,[1]нормы!$A$21:$BC$151,15,0),"")</f>
        <v>0</v>
      </c>
      <c r="L1128" s="31">
        <f>IFERROR(VLOOKUP($G1128,[1]нормы!$A$21:$BC$151,17,0),"")</f>
        <v>0</v>
      </c>
      <c r="M1128" s="306">
        <f>IFERROR(VLOOKUP($G1128,[1]нормы!$A$21:$BC$151,27,0),"")</f>
        <v>0</v>
      </c>
      <c r="N1128" s="307" t="str">
        <f>IFERROR(Y1128/Y1133*(1.1*J1127*I1132),"")</f>
        <v/>
      </c>
      <c r="O1128" s="300">
        <f>IFERROR(VLOOKUP($G1128,[1]нормы!$A$21:$BC$151,21,0),"")</f>
        <v>0</v>
      </c>
      <c r="P1128" s="35">
        <f>IFERROR(VLOOKUP($G1128,[1]нормы!$A$21:$BC$151,19,0),"")</f>
        <v>0</v>
      </c>
      <c r="Q1128" s="35">
        <f>IFERROR(VLOOKUP($G1128,[1]нормы!$A$21:$BC$151,23,0),"")</f>
        <v>0</v>
      </c>
      <c r="R1128" s="231">
        <f>IFERROR(VLOOKUP($G1128,[1]нормы!$A$21:$BC$151,29,0),"")</f>
        <v>0</v>
      </c>
      <c r="S1128" s="35">
        <f>IFERROR(VLOOKUP($G1128,[1]нормы!$A$21:$BC$151,31,0),"")</f>
        <v>0</v>
      </c>
      <c r="T1128" s="32">
        <f>IFERROR(VLOOKUP($G1128,[1]нормы!$A$21:$BC$151,25,0),"")</f>
        <v>0</v>
      </c>
      <c r="U1128" s="233" t="str">
        <f>IFERROR(W1128/(((100*Y1128/Y1133)*I1132)/100),"")</f>
        <v/>
      </c>
      <c r="V1128" s="234" t="str">
        <f>IFERROR(VLOOKUP($G1128,нормы!$A$14:$BC$57,38,0),"")</f>
        <v/>
      </c>
      <c r="W1128" s="136"/>
      <c r="X1128" s="237"/>
      <c r="Y1128" s="152" t="str">
        <f>IFERROR(VLOOKUP($G1128,нормы!$A$14:$BC$57,42,0)*W1128,"")</f>
        <v/>
      </c>
      <c r="Z1128" s="163">
        <f>IFERROR(VLOOKUP($G1128,нормы!$A$14:$BC$57,14,0)*W1128/1000,0)</f>
        <v>0</v>
      </c>
      <c r="AA1128" s="142"/>
      <c r="AB1128" s="35"/>
      <c r="AC1128" s="35"/>
      <c r="AD1128" s="35"/>
      <c r="AE1128" s="31"/>
      <c r="AF1128" s="160"/>
      <c r="AG1128" s="391"/>
      <c r="AH1128" s="394"/>
      <c r="AI1128" s="397"/>
      <c r="AJ1128" s="408"/>
      <c r="AK1128" s="360"/>
      <c r="AL1128" s="360"/>
      <c r="AM1128" s="360"/>
      <c r="AN1128" s="289">
        <f>IFERROR(Y1128*AJ1127/Y1133,)</f>
        <v>0</v>
      </c>
      <c r="AO1128" s="197" t="str">
        <f>IFERROR(VLOOKUP($G1128,нормы!$A$14:$BC$57,53,0)*$W1128,"")</f>
        <v/>
      </c>
      <c r="AP1128" s="290">
        <f>IFERROR(Y1128*AI1127/Y1133,)</f>
        <v>0</v>
      </c>
      <c r="AQ1128" s="197" t="str">
        <f>IFERROR(VLOOKUP($G1128,нормы!$A$14:$BC$57,54,0)*$W1128,"")</f>
        <v/>
      </c>
      <c r="AR1128" s="290">
        <f>IFERROR(AS1128/SUM(AS1127:AS1132)*AL1127,0)</f>
        <v>0</v>
      </c>
      <c r="AS1128" s="197" t="str">
        <f>IFERROR(VLOOKUP($G1128,нормы!$A$14:$BC$57,55,0)*W1128,"")</f>
        <v/>
      </c>
      <c r="AT1128" s="290">
        <f>IFERROR(AU1128/SUM(AU1127:AU1132)*AM1127,0)</f>
        <v>0</v>
      </c>
      <c r="AU1128" s="197" t="str">
        <f>IFERROR(VLOOKUP($G1128,нормы!$A$14:$BI$57,56,0)*W1128,"")</f>
        <v/>
      </c>
      <c r="AV1128" s="290">
        <f>IFERROR(AW1128/SUM(AW1127:AW1132)*AK1127,0)</f>
        <v>0</v>
      </c>
      <c r="AW1128" s="202" t="str">
        <f>IFERROR(VLOOKUP($G1128,нормы!$A$14:$BI$57,57,0)*W1128,"")</f>
        <v/>
      </c>
      <c r="AX1128" s="30"/>
      <c r="AY1128" s="203" t="str">
        <f>IFERROR(VLOOKUP($G1128,нормы!$A$14:$BI$57,58,0)*W1128,"")</f>
        <v/>
      </c>
      <c r="AZ1128" s="205"/>
      <c r="BA1128" s="200" t="str">
        <f>IFERROR(VLOOKUP($G1128,нормы!$A$14:$BI$57,61,0)*$W1128,"")</f>
        <v/>
      </c>
      <c r="BB1128" s="30"/>
      <c r="BC1128" s="203" t="str">
        <f>IFERROR(VLOOKUP($G1128,нормы!$A$14:$BI$57,60,0)*W1128,"")</f>
        <v/>
      </c>
      <c r="BD1128" s="200" t="str">
        <f>IFERROR(VLOOKUP($G1128,нормы!$A$14:$BG$57,44,0),"")</f>
        <v/>
      </c>
      <c r="BE1128" s="199" t="str">
        <f>IFERROR(W1128/VLOOKUP($G1128,нормы!$A$14:$BI$57,45,0),"")</f>
        <v/>
      </c>
    </row>
    <row r="1129" spans="1:57" s="1" customFormat="1" ht="20.25" customHeight="1" x14ac:dyDescent="0.4">
      <c r="A1129" s="37" t="str">
        <f t="shared" si="446"/>
        <v>19Д</v>
      </c>
      <c r="B1129" s="12">
        <f t="shared" si="447"/>
        <v>46041</v>
      </c>
      <c r="C1129" s="97">
        <f t="shared" si="447"/>
        <v>0</v>
      </c>
      <c r="D1129" s="97">
        <f t="shared" si="447"/>
        <v>1</v>
      </c>
      <c r="E1129" s="54"/>
      <c r="F1129" s="151" t="str">
        <f>IFERROR(VLOOKUP($G1129,нормы!$A$14:$BC$57,2,0),"")</f>
        <v/>
      </c>
      <c r="G1129" s="38"/>
      <c r="H1129" s="54">
        <f t="shared" si="448"/>
        <v>0</v>
      </c>
      <c r="I1129" s="89" t="s">
        <v>85</v>
      </c>
      <c r="J1129" s="333"/>
      <c r="K1129" s="30">
        <f>IFERROR(VLOOKUP($G1129,[1]нормы!$A$21:$BC$151,15,0),"")</f>
        <v>0</v>
      </c>
      <c r="L1129" s="31">
        <f>IFERROR(VLOOKUP($G1129,[1]нормы!$A$21:$BC$151,17,0),"")</f>
        <v>0</v>
      </c>
      <c r="M1129" s="306">
        <f>IFERROR(VLOOKUP($G1129,[1]нормы!$A$21:$BC$151,27,0),"")</f>
        <v>0</v>
      </c>
      <c r="N1129" s="307" t="str">
        <f>IFERROR(Y1129/Y1133*(1.1*J1127*I1132),"")</f>
        <v/>
      </c>
      <c r="O1129" s="300">
        <f>IFERROR(VLOOKUP($G1129,[1]нормы!$A$21:$BC$151,21,0),"")</f>
        <v>0</v>
      </c>
      <c r="P1129" s="35">
        <f>IFERROR(VLOOKUP($G1129,[1]нормы!$A$21:$BC$151,19,0),"")</f>
        <v>0</v>
      </c>
      <c r="Q1129" s="35">
        <f>IFERROR(VLOOKUP($G1129,[1]нормы!$A$21:$BC$151,23,0),"")</f>
        <v>0</v>
      </c>
      <c r="R1129" s="231">
        <f>IFERROR(VLOOKUP($G1129,[1]нормы!$A$21:$BC$151,29,0),"")</f>
        <v>0</v>
      </c>
      <c r="S1129" s="35">
        <f>IFERROR(VLOOKUP($G1129,[1]нормы!$A$21:$BC$151,31,0),"")</f>
        <v>0</v>
      </c>
      <c r="T1129" s="32">
        <f>IFERROR(VLOOKUP($G1129,[1]нормы!$A$21:$BC$151,25,0),"")</f>
        <v>0</v>
      </c>
      <c r="U1129" s="233" t="str">
        <f>IFERROR(W1129/(((100*Y1129/Y1133)*I1132)/100),"")</f>
        <v/>
      </c>
      <c r="V1129" s="234" t="str">
        <f>IFERROR(VLOOKUP($G1129,нормы!$A$14:$BC$57,38,0),"")</f>
        <v/>
      </c>
      <c r="W1129" s="136"/>
      <c r="X1129" s="237"/>
      <c r="Y1129" s="152" t="str">
        <f>IFERROR(VLOOKUP($G1129,нормы!$A$14:$BC$57,42,0)*W1129,"")</f>
        <v/>
      </c>
      <c r="Z1129" s="163">
        <f>IFERROR(VLOOKUP($G1129,нормы!$A$14:$BC$57,14,0)*W1129/1000,0)</f>
        <v>0</v>
      </c>
      <c r="AA1129" s="30"/>
      <c r="AB1129" s="35"/>
      <c r="AC1129" s="35"/>
      <c r="AD1129" s="35"/>
      <c r="AE1129" s="31"/>
      <c r="AF1129" s="160"/>
      <c r="AG1129" s="391"/>
      <c r="AH1129" s="394"/>
      <c r="AI1129" s="397"/>
      <c r="AJ1129" s="408"/>
      <c r="AK1129" s="360"/>
      <c r="AL1129" s="360"/>
      <c r="AM1129" s="360"/>
      <c r="AN1129" s="289">
        <f>IFERROR(Y1129*AJ1127/Y1133,)</f>
        <v>0</v>
      </c>
      <c r="AO1129" s="197" t="str">
        <f>IFERROR(VLOOKUP($G1129,нормы!$A$14:$BC$57,53,0)*$W1129,"")</f>
        <v/>
      </c>
      <c r="AP1129" s="290">
        <f>IFERROR(Y1129*AI1127/Y1133,)</f>
        <v>0</v>
      </c>
      <c r="AQ1129" s="197" t="str">
        <f>IFERROR(VLOOKUP($G1129,нормы!$A$14:$BC$57,54,0)*$W1129,"")</f>
        <v/>
      </c>
      <c r="AR1129" s="290">
        <f>IFERROR(AS1129/SUM(AS1127:AS1132)*AL1127,0)</f>
        <v>0</v>
      </c>
      <c r="AS1129" s="197" t="str">
        <f>IFERROR(VLOOKUP($G1129,нормы!$A$14:$BC$57,55,0)*W1129,"")</f>
        <v/>
      </c>
      <c r="AT1129" s="290">
        <f>IFERROR(AU1129/SUM(AU1127:AU1132)*AM1127,0)</f>
        <v>0</v>
      </c>
      <c r="AU1129" s="197" t="str">
        <f>IFERROR(VLOOKUP($G1129,нормы!$A$14:$BI$57,56,0)*W1129,"")</f>
        <v/>
      </c>
      <c r="AV1129" s="290">
        <f>IFERROR(AW1129/SUM(AW1127:AW1132)*AK1127,0)</f>
        <v>0</v>
      </c>
      <c r="AW1129" s="202" t="str">
        <f>IFERROR(VLOOKUP($G1129,нормы!$A$14:$BI$57,57,0)*W1129,"")</f>
        <v/>
      </c>
      <c r="AX1129" s="30"/>
      <c r="AY1129" s="203" t="str">
        <f>IFERROR(VLOOKUP($G1129,нормы!$A$14:$BI$57,58,0)*W1129,"")</f>
        <v/>
      </c>
      <c r="AZ1129" s="205"/>
      <c r="BA1129" s="200" t="str">
        <f>IFERROR(VLOOKUP($G1129,нормы!$A$14:$BI$57,61,0)*$W1129,"")</f>
        <v/>
      </c>
      <c r="BB1129" s="30"/>
      <c r="BC1129" s="203" t="str">
        <f>IFERROR(VLOOKUP($G1129,нормы!$A$14:$BI$57,60,0)*W1129,"")</f>
        <v/>
      </c>
      <c r="BD1129" s="200" t="str">
        <f>IFERROR(VLOOKUP($G1129,нормы!$A$14:$BG$57,44,0),"")</f>
        <v/>
      </c>
      <c r="BE1129" s="199" t="str">
        <f>IFERROR(W1129/VLOOKUP($G1129,нормы!$A$14:$BI$57,45,0),"")</f>
        <v/>
      </c>
    </row>
    <row r="1130" spans="1:57" s="1" customFormat="1" ht="20.25" customHeight="1" x14ac:dyDescent="0.4">
      <c r="A1130" s="37" t="str">
        <f t="shared" si="446"/>
        <v>19Д</v>
      </c>
      <c r="B1130" s="12">
        <f t="shared" si="447"/>
        <v>46041</v>
      </c>
      <c r="C1130" s="97">
        <f t="shared" si="447"/>
        <v>0</v>
      </c>
      <c r="D1130" s="97">
        <f t="shared" si="447"/>
        <v>1</v>
      </c>
      <c r="E1130" s="54"/>
      <c r="F1130" s="151" t="str">
        <f>IFERROR(VLOOKUP($G1130,нормы!$A$14:$BC$57,2,0),"")</f>
        <v/>
      </c>
      <c r="G1130" s="93"/>
      <c r="H1130" s="54">
        <f t="shared" si="448"/>
        <v>0</v>
      </c>
      <c r="I1130" s="55"/>
      <c r="J1130" s="333"/>
      <c r="K1130" s="30">
        <f>IFERROR(VLOOKUP($G1130,[1]нормы!$A$21:$BC$151,15,0),"")</f>
        <v>0</v>
      </c>
      <c r="L1130" s="31">
        <f>IFERROR(VLOOKUP($G1130,[1]нормы!$A$21:$BC$151,17,0),"")</f>
        <v>0</v>
      </c>
      <c r="M1130" s="306">
        <f>IFERROR(VLOOKUP($G1130,[1]нормы!$A$21:$BC$151,27,0),"")</f>
        <v>0</v>
      </c>
      <c r="N1130" s="307" t="str">
        <f>IFERROR(Y1130/Y1133*(1.1*J1127*I1135),"")</f>
        <v/>
      </c>
      <c r="O1130" s="300">
        <f>IFERROR(VLOOKUP($G1130,[1]нормы!$A$21:$BC$151,21,0),"")</f>
        <v>0</v>
      </c>
      <c r="P1130" s="35">
        <f>IFERROR(VLOOKUP($G1130,[1]нормы!$A$21:$BC$151,19,0),"")</f>
        <v>0</v>
      </c>
      <c r="Q1130" s="35">
        <f>IFERROR(VLOOKUP($G1130,[1]нормы!$A$21:$BC$151,23,0),"")</f>
        <v>0</v>
      </c>
      <c r="R1130" s="231">
        <f>IFERROR(VLOOKUP($G1130,[1]нормы!$A$21:$BC$151,29,0),"")</f>
        <v>0</v>
      </c>
      <c r="S1130" s="35">
        <f>IFERROR(VLOOKUP($G1130,[1]нормы!$A$21:$BC$151,31,0),"")</f>
        <v>0</v>
      </c>
      <c r="T1130" s="32">
        <f>IFERROR(VLOOKUP($G1130,[1]нормы!$A$21:$BC$151,25,0),"")</f>
        <v>0</v>
      </c>
      <c r="U1130" s="233" t="str">
        <f>IFERROR(W1130/(((100*Y1130/Y1133)*I1132)/100),"")</f>
        <v/>
      </c>
      <c r="V1130" s="234" t="str">
        <f>IFERROR(VLOOKUP($G1130,нормы!$A$14:$BC$57,38,0),"")</f>
        <v/>
      </c>
      <c r="W1130" s="136"/>
      <c r="X1130" s="237"/>
      <c r="Y1130" s="152" t="str">
        <f>IFERROR(VLOOKUP($G1130,нормы!$A$14:$BC$57,42,0)*W1130,"")</f>
        <v/>
      </c>
      <c r="Z1130" s="163">
        <f>IFERROR(VLOOKUP($G1130,нормы!$A$14:$BC$57,14,0)*W1130/1000,0)</f>
        <v>0</v>
      </c>
      <c r="AA1130" s="30"/>
      <c r="AB1130" s="35"/>
      <c r="AC1130" s="35"/>
      <c r="AD1130" s="35"/>
      <c r="AE1130" s="31"/>
      <c r="AF1130" s="160"/>
      <c r="AG1130" s="391"/>
      <c r="AH1130" s="394"/>
      <c r="AI1130" s="397"/>
      <c r="AJ1130" s="408"/>
      <c r="AK1130" s="360"/>
      <c r="AL1130" s="360"/>
      <c r="AM1130" s="360"/>
      <c r="AN1130" s="289">
        <f>IFERROR(Y1130*AJ1127/Y1133,)</f>
        <v>0</v>
      </c>
      <c r="AO1130" s="197" t="str">
        <f>IFERROR(VLOOKUP($G1130,нормы!$A$14:$BC$57,53,0)*$W1130,"")</f>
        <v/>
      </c>
      <c r="AP1130" s="290">
        <f>IFERROR(Y1130*AI1127/Y1133,)</f>
        <v>0</v>
      </c>
      <c r="AQ1130" s="197" t="str">
        <f>IFERROR(VLOOKUP($G1130,нормы!$A$14:$BC$57,54,0)*$W1130,"")</f>
        <v/>
      </c>
      <c r="AR1130" s="290">
        <f>IFERROR(AS1130/SUM(AS1127:AS1132)*AL1127,0)</f>
        <v>0</v>
      </c>
      <c r="AS1130" s="197" t="str">
        <f>IFERROR(VLOOKUP($G1130,нормы!$A$14:$BC$57,55,0)*W1130,"")</f>
        <v/>
      </c>
      <c r="AT1130" s="290">
        <f>IFERROR(AU1130/SUM(AU1127:AU1132)*AM1127,0)</f>
        <v>0</v>
      </c>
      <c r="AU1130" s="197" t="str">
        <f>IFERROR(VLOOKUP($G1130,нормы!$A$14:$BI$57,56,0)*W1130,"")</f>
        <v/>
      </c>
      <c r="AV1130" s="290">
        <f>IFERROR(AW1130/SUM(AW1127:AW1132)*AK1127,0)</f>
        <v>0</v>
      </c>
      <c r="AW1130" s="202" t="str">
        <f>IFERROR(VLOOKUP($G1130,нормы!$A$14:$BI$57,57,0)*W1130,"")</f>
        <v/>
      </c>
      <c r="AX1130" s="30"/>
      <c r="AY1130" s="203" t="str">
        <f>IFERROR(VLOOKUP($G1130,нормы!$A$14:$BI$57,58,0)*W1130,"")</f>
        <v/>
      </c>
      <c r="AZ1130" s="205"/>
      <c r="BA1130" s="200" t="str">
        <f>IFERROR(VLOOKUP($G1130,нормы!$A$14:$BI$57,61,0)*$W1130,"")</f>
        <v/>
      </c>
      <c r="BB1130" s="30"/>
      <c r="BC1130" s="203" t="str">
        <f>IFERROR(VLOOKUP($G1130,нормы!$A$14:$BI$57,60,0)*W1130,"")</f>
        <v/>
      </c>
      <c r="BD1130" s="200" t="str">
        <f>IFERROR(VLOOKUP($G1130,нормы!$A$14:$BG$57,44,0),"")</f>
        <v/>
      </c>
      <c r="BE1130" s="199" t="str">
        <f>IFERROR(W1130/VLOOKUP($G1130,нормы!$A$14:$BI$57,45,0),"")</f>
        <v/>
      </c>
    </row>
    <row r="1131" spans="1:57" s="1" customFormat="1" ht="20.25" customHeight="1" x14ac:dyDescent="0.4">
      <c r="A1131" s="37" t="str">
        <f t="shared" si="446"/>
        <v>19Д</v>
      </c>
      <c r="B1131" s="12">
        <f t="shared" si="447"/>
        <v>46041</v>
      </c>
      <c r="C1131" s="97">
        <f t="shared" si="447"/>
        <v>0</v>
      </c>
      <c r="D1131" s="97">
        <f t="shared" si="447"/>
        <v>1</v>
      </c>
      <c r="E1131" s="54"/>
      <c r="F1131" s="151" t="str">
        <f>IFERROR(VLOOKUP($G1131,нормы!$A$14:$BC$57,2,0),"")</f>
        <v/>
      </c>
      <c r="G1131" s="38"/>
      <c r="H1131" s="54">
        <f t="shared" si="448"/>
        <v>0</v>
      </c>
      <c r="I1131" s="89" t="s">
        <v>73</v>
      </c>
      <c r="J1131" s="333"/>
      <c r="K1131" s="30">
        <f>IFERROR(VLOOKUP($G1131,[1]нормы!$A$21:$BC$151,15,0),"")</f>
        <v>0</v>
      </c>
      <c r="L1131" s="31">
        <f>IFERROR(VLOOKUP($G1131,[1]нормы!$A$21:$BC$151,17,0),"")</f>
        <v>0</v>
      </c>
      <c r="M1131" s="306">
        <f>IFERROR(VLOOKUP($G1131,[1]нормы!$A$21:$BC$151,27,0),"")</f>
        <v>0</v>
      </c>
      <c r="N1131" s="307" t="str">
        <f>IFERROR(Y1131/Y1133*(1.1*J1127*I1136),"")</f>
        <v/>
      </c>
      <c r="O1131" s="300">
        <f>IFERROR(VLOOKUP($G1131,[1]нормы!$A$21:$BC$151,21,0),"")</f>
        <v>0</v>
      </c>
      <c r="P1131" s="35">
        <f>IFERROR(VLOOKUP($G1131,[1]нормы!$A$21:$BC$151,19,0),"")</f>
        <v>0</v>
      </c>
      <c r="Q1131" s="35">
        <f>IFERROR(VLOOKUP($G1131,[1]нормы!$A$21:$BC$151,23,0),"")</f>
        <v>0</v>
      </c>
      <c r="R1131" s="231">
        <f>IFERROR(VLOOKUP($G1131,[1]нормы!$A$21:$BC$151,29,0),"")</f>
        <v>0</v>
      </c>
      <c r="S1131" s="35">
        <f>IFERROR(VLOOKUP($G1131,[1]нормы!$A$21:$BC$151,31,0),"")</f>
        <v>0</v>
      </c>
      <c r="T1131" s="32">
        <f>IFERROR(VLOOKUP($G1131,[1]нормы!$A$21:$BC$151,25,0),"")</f>
        <v>0</v>
      </c>
      <c r="U1131" s="233" t="str">
        <f>IFERROR(W1131/(((100*Y1131/Y1133)*I1132)/100),"")</f>
        <v/>
      </c>
      <c r="V1131" s="234" t="str">
        <f>IFERROR(VLOOKUP($G1131,нормы!$A$14:$BC$57,38,0),"")</f>
        <v/>
      </c>
      <c r="W1131" s="136"/>
      <c r="X1131" s="237"/>
      <c r="Y1131" s="152" t="str">
        <f>IFERROR(VLOOKUP($G1131,нормы!$A$14:$BC$57,42,0)*W1131,"")</f>
        <v/>
      </c>
      <c r="Z1131" s="163">
        <f>IFERROR(VLOOKUP($G1131,нормы!$A$14:$BC$57,14,0)*W1131/1000,0)</f>
        <v>0</v>
      </c>
      <c r="AA1131" s="30"/>
      <c r="AB1131" s="35"/>
      <c r="AC1131" s="35"/>
      <c r="AD1131" s="35"/>
      <c r="AE1131" s="31"/>
      <c r="AF1131" s="160"/>
      <c r="AG1131" s="391"/>
      <c r="AH1131" s="394"/>
      <c r="AI1131" s="397"/>
      <c r="AJ1131" s="408"/>
      <c r="AK1131" s="360"/>
      <c r="AL1131" s="360"/>
      <c r="AM1131" s="360"/>
      <c r="AN1131" s="289">
        <f>IFERROR(Y1131*AJ1127/Y1133,)</f>
        <v>0</v>
      </c>
      <c r="AO1131" s="197" t="str">
        <f>IFERROR(VLOOKUP($G1131,нормы!$A$14:$BC$57,53,0)*$W1131,"")</f>
        <v/>
      </c>
      <c r="AP1131" s="290">
        <f>IFERROR(Y1131*AI1127/Y1133,)</f>
        <v>0</v>
      </c>
      <c r="AQ1131" s="197" t="str">
        <f>IFERROR(VLOOKUP($G1131,нормы!$A$14:$BC$57,54,0)*$W1131,"")</f>
        <v/>
      </c>
      <c r="AR1131" s="290">
        <f>IFERROR(AS1131/SUM(AS1127:AS1132)*AL1127,0)</f>
        <v>0</v>
      </c>
      <c r="AS1131" s="197" t="str">
        <f>IFERROR(VLOOKUP($G1131,нормы!$A$14:$BC$57,55,0)*W1131,"")</f>
        <v/>
      </c>
      <c r="AT1131" s="290">
        <f>IFERROR(AU1131/SUM(AU1127:AU1132)*AM1127,0)</f>
        <v>0</v>
      </c>
      <c r="AU1131" s="197" t="str">
        <f>IFERROR(VLOOKUP($G1131,нормы!$A$14:$BI$57,56,0)*W1131,"")</f>
        <v/>
      </c>
      <c r="AV1131" s="290">
        <f>IFERROR(AW1131/SUM(AW1127:AW1132)*AK1127,0)</f>
        <v>0</v>
      </c>
      <c r="AW1131" s="202" t="str">
        <f>IFERROR(VLOOKUP($G1131,нормы!$A$14:$BI$57,57,0)*W1131,"")</f>
        <v/>
      </c>
      <c r="AX1131" s="30"/>
      <c r="AY1131" s="203" t="str">
        <f>IFERROR(VLOOKUP($G1131,нормы!$A$14:$BI$57,58,0)*W1131,"")</f>
        <v/>
      </c>
      <c r="AZ1131" s="205"/>
      <c r="BA1131" s="200" t="str">
        <f>IFERROR(VLOOKUP($G1131,нормы!$A$14:$BI$57,61,0)*$W1131,"")</f>
        <v/>
      </c>
      <c r="BB1131" s="30"/>
      <c r="BC1131" s="203" t="str">
        <f>IFERROR(VLOOKUP($G1131,нормы!$A$14:$BI$57,60,0)*W1131,"")</f>
        <v/>
      </c>
      <c r="BD1131" s="200" t="str">
        <f>IFERROR(VLOOKUP($G1131,нормы!$A$14:$BG$57,44,0),"")</f>
        <v/>
      </c>
      <c r="BE1131" s="199" t="str">
        <f>IFERROR(W1131/VLOOKUP($G1131,нормы!$A$14:$BI$57,45,0),"")</f>
        <v/>
      </c>
    </row>
    <row r="1132" spans="1:57" s="1" customFormat="1" ht="21" customHeight="1" thickBot="1" x14ac:dyDescent="0.45">
      <c r="A1132" s="37" t="str">
        <f t="shared" si="446"/>
        <v>19Д</v>
      </c>
      <c r="B1132" s="12">
        <f t="shared" si="447"/>
        <v>46041</v>
      </c>
      <c r="C1132" s="97">
        <f t="shared" si="447"/>
        <v>0</v>
      </c>
      <c r="D1132" s="97">
        <f t="shared" si="447"/>
        <v>1</v>
      </c>
      <c r="E1132" s="54"/>
      <c r="F1132" s="151" t="str">
        <f>IFERROR(VLOOKUP($G1132,нормы!$A$14:$BC$57,2,0),"")</f>
        <v/>
      </c>
      <c r="G1132" s="93"/>
      <c r="H1132" s="63">
        <f t="shared" si="448"/>
        <v>0</v>
      </c>
      <c r="I1132" s="153">
        <f>I1128+I1130</f>
        <v>0</v>
      </c>
      <c r="J1132" s="334"/>
      <c r="K1132" s="30">
        <f>IFERROR(VLOOKUP($G1132,[1]нормы!$A$21:$BC$151,15,0),"")</f>
        <v>0</v>
      </c>
      <c r="L1132" s="31">
        <f>IFERROR(VLOOKUP($G1132,[1]нормы!$A$21:$BC$151,17,0),"")</f>
        <v>0</v>
      </c>
      <c r="M1132" s="308">
        <f>IFERROR(VLOOKUP($G1132,[1]нормы!$A$21:$BC$151,27,0),"")</f>
        <v>0</v>
      </c>
      <c r="N1132" s="309" t="str">
        <f>IFERROR(Y1132/Y1133*(1.1*J1127*I1137),"")</f>
        <v/>
      </c>
      <c r="O1132" s="300">
        <f>IFERROR(VLOOKUP($G1132,[1]нормы!$A$21:$BC$151,21,0),"")</f>
        <v>0</v>
      </c>
      <c r="P1132" s="35">
        <f>IFERROR(VLOOKUP($G1132,[1]нормы!$A$21:$BC$151,19,0),"")</f>
        <v>0</v>
      </c>
      <c r="Q1132" s="35">
        <f>IFERROR(VLOOKUP($G1132,[1]нормы!$A$21:$BC$151,23,0),"")</f>
        <v>0</v>
      </c>
      <c r="R1132" s="231">
        <f>IFERROR(VLOOKUP($G1132,[1]нормы!$A$21:$BC$151,29,0),"")</f>
        <v>0</v>
      </c>
      <c r="S1132" s="35">
        <f>IFERROR(VLOOKUP($G1132,[1]нормы!$A$21:$BC$151,31,0),"")</f>
        <v>0</v>
      </c>
      <c r="T1132" s="32">
        <f>IFERROR(VLOOKUP($G1132,[1]нормы!$A$21:$BC$151,25,0),"")</f>
        <v>0</v>
      </c>
      <c r="U1132" s="235" t="str">
        <f>IFERROR(W1132/(((100*Y1132/Y1133)*I1132)/100),"")</f>
        <v/>
      </c>
      <c r="V1132" s="234" t="str">
        <f>IFERROR(VLOOKUP($G1132,нормы!$A$14:$BC$57,38,0),"")</f>
        <v/>
      </c>
      <c r="W1132" s="154"/>
      <c r="X1132" s="238"/>
      <c r="Y1132" s="152" t="str">
        <f>IFERROR(VLOOKUP($G1132,нормы!$A$14:$BC$57,42,0)*W1132,"")</f>
        <v/>
      </c>
      <c r="Z1132" s="163">
        <f>IFERROR(VLOOKUP($G1132,нормы!$A$14:$BC$57,14,0)*W1132/1000,0)</f>
        <v>0</v>
      </c>
      <c r="AA1132" s="56"/>
      <c r="AB1132" s="58"/>
      <c r="AC1132" s="58"/>
      <c r="AD1132" s="58"/>
      <c r="AE1132" s="57"/>
      <c r="AF1132" s="161"/>
      <c r="AG1132" s="392"/>
      <c r="AH1132" s="395"/>
      <c r="AI1132" s="398"/>
      <c r="AJ1132" s="409"/>
      <c r="AK1132" s="361"/>
      <c r="AL1132" s="361"/>
      <c r="AM1132" s="361"/>
      <c r="AN1132" s="291">
        <f>IFERROR(Y1132*AJ1127/Y1133,)</f>
        <v>0</v>
      </c>
      <c r="AO1132" s="197" t="str">
        <f>IFERROR(VLOOKUP($G1132,нормы!$A$14:$BC$57,53,0)*$W1132,"")</f>
        <v/>
      </c>
      <c r="AP1132" s="292">
        <f>IFERROR(Y1132*AI1127/Y1133,)</f>
        <v>0</v>
      </c>
      <c r="AQ1132" s="197" t="str">
        <f>IFERROR(VLOOKUP($G1132,нормы!$A$14:$BC$57,54,0)*$W1132,"")</f>
        <v/>
      </c>
      <c r="AR1132" s="290">
        <f>IFERROR(AS1132/SUM(AS1127:AS1132)*AL1127,0)</f>
        <v>0</v>
      </c>
      <c r="AS1132" s="197" t="str">
        <f>IFERROR(VLOOKUP($G1132,нормы!$A$14:$BC$57,55,0)*W1132,"")</f>
        <v/>
      </c>
      <c r="AT1132" s="292">
        <f>IFERROR(AU1132/SUM(AU1127:AU1132)*AM1127,0)</f>
        <v>0</v>
      </c>
      <c r="AU1132" s="197" t="str">
        <f>IFERROR(VLOOKUP($G1132,нормы!$A$14:$BI$57,56,0)*W1132,"")</f>
        <v/>
      </c>
      <c r="AV1132" s="292">
        <f>IFERROR(AW1132/SUM(AW1127:AW1132)*AK1127,0)</f>
        <v>0</v>
      </c>
      <c r="AW1132" s="202" t="str">
        <f>IFERROR(VLOOKUP($G1132,нормы!$A$14:$BI$57,57,0)*W1132,"")</f>
        <v/>
      </c>
      <c r="AX1132" s="56"/>
      <c r="AY1132" s="203" t="str">
        <f>IFERROR(VLOOKUP($G1132,нормы!$A$14:$BI$57,58,0)*W1132,"")</f>
        <v/>
      </c>
      <c r="AZ1132" s="206"/>
      <c r="BA1132" s="200" t="str">
        <f>IFERROR(VLOOKUP($G1132,нормы!$A$14:$BI$57,61,0)*$W1132,"")</f>
        <v/>
      </c>
      <c r="BB1132" s="56"/>
      <c r="BC1132" s="203" t="str">
        <f>IFERROR(VLOOKUP($G1132,нормы!$A$14:$BI$57,60,0)*W1132,"")</f>
        <v/>
      </c>
      <c r="BD1132" s="200" t="str">
        <f>IFERROR(VLOOKUP($G1132,нормы!$A$14:$BG$57,44,0),"")</f>
        <v/>
      </c>
      <c r="BE1132" s="199" t="str">
        <f>IFERROR(W1132/VLOOKUP($G1132,нормы!$A$14:$BI$57,45,0),"")</f>
        <v/>
      </c>
    </row>
    <row r="1133" spans="1:57" s="1" customFormat="1" ht="29.4" customHeight="1" thickBot="1" x14ac:dyDescent="0.45">
      <c r="A1133" s="37" t="str">
        <f t="shared" si="446"/>
        <v>19Д</v>
      </c>
      <c r="B1133" s="59"/>
      <c r="C1133" s="51"/>
      <c r="D1133" s="51"/>
      <c r="E1133" s="51"/>
      <c r="F1133" s="295" t="s">
        <v>148</v>
      </c>
      <c r="G1133" s="51"/>
      <c r="H1133" s="51"/>
      <c r="I1133" s="60"/>
      <c r="J1133" s="60"/>
      <c r="K1133" s="319" t="s">
        <v>213</v>
      </c>
      <c r="L1133" s="316"/>
      <c r="M1133" s="303" t="s">
        <v>213</v>
      </c>
      <c r="N1133" s="317">
        <f>SUM(N1127:N1132)</f>
        <v>0</v>
      </c>
      <c r="O1133" s="304" t="s">
        <v>216</v>
      </c>
      <c r="P1133" s="318">
        <f>N1133*8.937/1000</f>
        <v>0</v>
      </c>
      <c r="Q1133" s="305" t="s">
        <v>215</v>
      </c>
      <c r="R1133" s="61"/>
      <c r="S1133" s="61"/>
      <c r="T1133" s="61"/>
      <c r="U1133" s="109"/>
      <c r="V1133" s="109"/>
      <c r="W1133" s="94"/>
      <c r="X1133" s="155"/>
      <c r="Y1133" s="96">
        <f>SUM(Y1127:Y1132)</f>
        <v>0</v>
      </c>
      <c r="Z1133" s="164">
        <f>SUM(Z1127:Z1132)</f>
        <v>0</v>
      </c>
      <c r="AA1133" s="62"/>
      <c r="AB1133" s="62"/>
      <c r="AC1133" s="62"/>
      <c r="AD1133" s="62"/>
      <c r="AE1133" s="62"/>
      <c r="AF1133" s="62"/>
      <c r="AG1133" s="162" t="s">
        <v>140</v>
      </c>
      <c r="AH1133" s="162" t="s">
        <v>141</v>
      </c>
      <c r="AI1133" s="162" t="s">
        <v>142</v>
      </c>
      <c r="AJ1133" s="91" t="s">
        <v>126</v>
      </c>
      <c r="AK1133" s="198" t="s">
        <v>136</v>
      </c>
      <c r="AL1133" s="198" t="s">
        <v>137</v>
      </c>
      <c r="AM1133" s="198" t="s">
        <v>138</v>
      </c>
      <c r="AN1133" s="91"/>
      <c r="AO1133" s="91"/>
      <c r="AP1133" s="91"/>
      <c r="AQ1133" s="91"/>
      <c r="AR1133" s="91"/>
      <c r="AS1133" s="91"/>
      <c r="AT1133" s="91"/>
      <c r="AU1133" s="91"/>
      <c r="AV1133" s="91"/>
      <c r="AW1133" s="91"/>
      <c r="AX1133" s="91"/>
      <c r="AY1133" s="91"/>
      <c r="AZ1133" s="91"/>
      <c r="BA1133" s="91"/>
      <c r="BB1133" s="91"/>
      <c r="BC1133" s="91"/>
      <c r="BD1133" s="91"/>
      <c r="BE1133" s="53" t="str">
        <f>IFERROR(W1133/VLOOKUP($G1133,нормы!$A$14:$BI$15,28,0),"")</f>
        <v/>
      </c>
    </row>
    <row r="1134" spans="1:57" s="1" customFormat="1" ht="21.6" customHeight="1" x14ac:dyDescent="0.4">
      <c r="A1134" s="37" t="str">
        <f t="shared" si="446"/>
        <v>19Д</v>
      </c>
      <c r="B1134" s="12">
        <f>B1132</f>
        <v>46041</v>
      </c>
      <c r="C1134" s="97"/>
      <c r="D1134" s="97">
        <v>2</v>
      </c>
      <c r="E1134" s="29"/>
      <c r="F1134" s="151" t="str">
        <f>IFERROR(VLOOKUP($G1134,нормы!$A$14:$BC$57,2,0),"")</f>
        <v/>
      </c>
      <c r="G1134" s="93"/>
      <c r="H1134" s="54">
        <f>IF(C1134=1,"Кульков С.А.", IF(C1134=2,"Чудаков А.А.",IF(C1134=3,"Королев В.Н.",IF(C1134=4,"Николашин М.П.",IF(C1134=5," Кульков С.А.",IF(C1134=6,"А.А. Чудаков",IF(C1134=7,"В.Н. Королев",IF(C1134=8,"М.П. Николашин",0))))))))</f>
        <v>0</v>
      </c>
      <c r="I1134" s="88" t="s">
        <v>211</v>
      </c>
      <c r="J1134" s="332"/>
      <c r="K1134" s="30">
        <f>IFERROR(VLOOKUP($G1134,[1]нормы!$A$21:$BC$151,15,0),"")</f>
        <v>0</v>
      </c>
      <c r="L1134" s="31">
        <f>IFERROR(VLOOKUP($G1134,[1]нормы!$A$21:$BC$151,17,0),"")</f>
        <v>0</v>
      </c>
      <c r="M1134" s="310">
        <f>IFERROR(VLOOKUP($G1134,[1]нормы!$A$21:$BC$151,27,0),"")</f>
        <v>0</v>
      </c>
      <c r="N1134" s="311" t="str">
        <f>IFERROR(Y1134/Y1140*(1.1*J1134*I1139),"")</f>
        <v/>
      </c>
      <c r="O1134" s="300">
        <f>IFERROR(VLOOKUP($G1134,[1]нормы!$A$21:$BC$151,21,0),"")</f>
        <v>0</v>
      </c>
      <c r="P1134" s="35">
        <f>IFERROR(VLOOKUP($G1134,[1]нормы!$A$21:$BC$151,19,0),"")</f>
        <v>0</v>
      </c>
      <c r="Q1134" s="35">
        <f>IFERROR(VLOOKUP($G1134,[1]нормы!$A$21:$BC$151,23,0),"")</f>
        <v>0</v>
      </c>
      <c r="R1134" s="231">
        <f>IFERROR(VLOOKUP($G1134,[1]нормы!$A$21:$BC$151,29,0),"")</f>
        <v>0</v>
      </c>
      <c r="S1134" s="35">
        <f>IFERROR(VLOOKUP($G1134,[1]нормы!$A$21:$BC$151,31,0),"")</f>
        <v>0</v>
      </c>
      <c r="T1134" s="32">
        <f>IFERROR(VLOOKUP($G1134,[1]нормы!$A$21:$BC$151,25,0),"")</f>
        <v>0</v>
      </c>
      <c r="U1134" s="232" t="str">
        <f>IFERROR(W1134/(((100*Y1134/Y1140)*I1139)/100),"")</f>
        <v/>
      </c>
      <c r="V1134" s="234" t="str">
        <f>IFERROR(VLOOKUP($G1134,нормы!$A$14:$BC$57,38,0),"")</f>
        <v/>
      </c>
      <c r="W1134" s="136"/>
      <c r="X1134" s="236"/>
      <c r="Y1134" s="152" t="str">
        <f>IFERROR(VLOOKUP($G1134,нормы!$A$14:$BC$57,42,0)*W1134,"")</f>
        <v/>
      </c>
      <c r="Z1134" s="163">
        <f>IFERROR(VLOOKUP($G1134,нормы!$A$14:$BC$57,14,0)*W1134/1000,0)</f>
        <v>0</v>
      </c>
      <c r="AA1134" s="33"/>
      <c r="AB1134" s="36"/>
      <c r="AC1134" s="36"/>
      <c r="AD1134" s="36"/>
      <c r="AE1134" s="34"/>
      <c r="AF1134" s="159"/>
      <c r="AG1134" s="390"/>
      <c r="AH1134" s="393"/>
      <c r="AI1134" s="396"/>
      <c r="AJ1134" s="407">
        <f>AG1134+AH1134</f>
        <v>0</v>
      </c>
      <c r="AK1134" s="359"/>
      <c r="AL1134" s="359"/>
      <c r="AM1134" s="359"/>
      <c r="AN1134" s="287">
        <f>IFERROR(Y1134*AJ1134/Y1140,)</f>
        <v>0</v>
      </c>
      <c r="AO1134" s="197" t="str">
        <f>IFERROR(VLOOKUP($G1134,нормы!$A$14:$BC$57,53,0)*$W1134,"")</f>
        <v/>
      </c>
      <c r="AP1134" s="288">
        <f>IFERROR(Y1134*AI1134/Y1140,)</f>
        <v>0</v>
      </c>
      <c r="AQ1134" s="197" t="str">
        <f>IFERROR(VLOOKUP($G1134,нормы!$A$14:$BC$57,54,0)*$W1134,"")</f>
        <v/>
      </c>
      <c r="AR1134" s="288">
        <f>IFERROR(AS1134/SUM(AS1134:AS1139)*AL1134,0)</f>
        <v>0</v>
      </c>
      <c r="AS1134" s="197" t="str">
        <f>IFERROR(VLOOKUP($G1134,нормы!$A$14:$BC$57,55,0)*W1134,"")</f>
        <v/>
      </c>
      <c r="AT1134" s="288">
        <f>IFERROR(AU1134/SUM(AU1134:AU1139)*AM1134,0)</f>
        <v>0</v>
      </c>
      <c r="AU1134" s="197" t="str">
        <f>IFERROR(VLOOKUP($G1134,нормы!$A$14:$BI$57,56,0)*W1134,"")</f>
        <v/>
      </c>
      <c r="AV1134" s="288">
        <f>IFERROR(AW1134/SUM(AW1134:AW1139)*AK1134,0)</f>
        <v>0</v>
      </c>
      <c r="AW1134" s="202" t="str">
        <f>IFERROR(VLOOKUP($G1134,нормы!$A$14:$BI$57,57,0)*W1134,"")</f>
        <v/>
      </c>
      <c r="AX1134" s="33"/>
      <c r="AY1134" s="203" t="str">
        <f>IFERROR(VLOOKUP($G1134,нормы!$A$14:$BI$57,58,0)*W1134,"")</f>
        <v/>
      </c>
      <c r="AZ1134" s="204"/>
      <c r="BA1134" s="200" t="str">
        <f>IFERROR(VLOOKUP($G1134,нормы!$A$14:$BI$57,61,0)*$W1134,"")</f>
        <v/>
      </c>
      <c r="BB1134" s="33"/>
      <c r="BC1134" s="203" t="str">
        <f>IFERROR(VLOOKUP($G1134,нормы!$A$14:$BI$57,60,0)*W1134,"")</f>
        <v/>
      </c>
      <c r="BD1134" s="200" t="str">
        <f>IFERROR(VLOOKUP($G1134,нормы!$A$14:$BG$57,44,0),"")</f>
        <v/>
      </c>
      <c r="BE1134" s="199" t="str">
        <f>IFERROR(W1134/VLOOKUP($G1134,нормы!$A$14:$BI$57,45,0),"")</f>
        <v/>
      </c>
    </row>
    <row r="1135" spans="1:57" s="1" customFormat="1" ht="21.6" customHeight="1" x14ac:dyDescent="0.4">
      <c r="A1135" s="37" t="str">
        <f t="shared" si="446"/>
        <v>19Д</v>
      </c>
      <c r="B1135" s="12">
        <f t="shared" ref="B1135:D1139" si="449">B1134</f>
        <v>46041</v>
      </c>
      <c r="C1135" s="97">
        <f t="shared" si="449"/>
        <v>0</v>
      </c>
      <c r="D1135" s="97">
        <f t="shared" si="449"/>
        <v>2</v>
      </c>
      <c r="E1135" s="54"/>
      <c r="F1135" s="151" t="str">
        <f>IFERROR(VLOOKUP($G1135,нормы!$A$14:$BC$57,2,0),"")</f>
        <v/>
      </c>
      <c r="G1135" s="93"/>
      <c r="H1135" s="54">
        <f t="shared" ref="H1135:H1139" si="450">IF(C1135=1,"Кульков С.А.", IF(C1135=2,"Чудаков А.А.",IF(C1135=3,"Королев В.Н.",IF(C1135=4,"Николашин М.П.",IF(C1135=5," Кульков С.А.",IF(C1135=6,"А.А. Чудаков",IF(C1135=7,"В.Н. Королев",IF(C1135=8,"М.П. Николашин",0))))))))</f>
        <v>0</v>
      </c>
      <c r="I1135" s="55"/>
      <c r="J1135" s="333"/>
      <c r="K1135" s="30">
        <f>IFERROR(VLOOKUP($G1135,[1]нормы!$A$21:$BC$151,15,0),"")</f>
        <v>0</v>
      </c>
      <c r="L1135" s="31">
        <f>IFERROR(VLOOKUP($G1135,[1]нормы!$A$21:$BC$151,17,0),"")</f>
        <v>0</v>
      </c>
      <c r="M1135" s="306">
        <f>IFERROR(VLOOKUP($G1135,[1]нормы!$A$21:$BC$151,27,0),"")</f>
        <v>0</v>
      </c>
      <c r="N1135" s="307" t="str">
        <f>IFERROR(Y1135/Y1140*(1.1*J1134*I1139),"")</f>
        <v/>
      </c>
      <c r="O1135" s="300">
        <f>IFERROR(VLOOKUP($G1135,[1]нормы!$A$21:$BC$151,21,0),"")</f>
        <v>0</v>
      </c>
      <c r="P1135" s="35">
        <f>IFERROR(VLOOKUP($G1135,[1]нормы!$A$21:$BC$151,19,0),"")</f>
        <v>0</v>
      </c>
      <c r="Q1135" s="35">
        <f>IFERROR(VLOOKUP($G1135,[1]нормы!$A$21:$BC$151,23,0),"")</f>
        <v>0</v>
      </c>
      <c r="R1135" s="231">
        <f>IFERROR(VLOOKUP($G1135,[1]нормы!$A$21:$BC$151,29,0),"")</f>
        <v>0</v>
      </c>
      <c r="S1135" s="35">
        <f>IFERROR(VLOOKUP($G1135,[1]нормы!$A$21:$BC$151,31,0),"")</f>
        <v>0</v>
      </c>
      <c r="T1135" s="32">
        <f>IFERROR(VLOOKUP($G1135,[1]нормы!$A$21:$BC$151,25,0),"")</f>
        <v>0</v>
      </c>
      <c r="U1135" s="233" t="str">
        <f>IFERROR(W1135/(((100*Y1135/Y1140)*I1139)/100),"")</f>
        <v/>
      </c>
      <c r="V1135" s="234" t="str">
        <f>IFERROR(VLOOKUP($G1135,нормы!$A$14:$BC$57,38,0),"")</f>
        <v/>
      </c>
      <c r="W1135" s="136"/>
      <c r="X1135" s="237"/>
      <c r="Y1135" s="152" t="str">
        <f>IFERROR(VLOOKUP($G1135,нормы!$A$14:$BC$57,42,0)*W1135,"")</f>
        <v/>
      </c>
      <c r="Z1135" s="163">
        <f>IFERROR(VLOOKUP($G1135,нормы!$A$14:$BC$57,14,0)*W1135/1000,0)</f>
        <v>0</v>
      </c>
      <c r="AA1135" s="142"/>
      <c r="AB1135" s="35"/>
      <c r="AC1135" s="35"/>
      <c r="AD1135" s="35"/>
      <c r="AE1135" s="31"/>
      <c r="AF1135" s="160"/>
      <c r="AG1135" s="391"/>
      <c r="AH1135" s="394"/>
      <c r="AI1135" s="397"/>
      <c r="AJ1135" s="408"/>
      <c r="AK1135" s="360"/>
      <c r="AL1135" s="360"/>
      <c r="AM1135" s="360"/>
      <c r="AN1135" s="289">
        <f>IFERROR(Y1135*AJ1134/Y1140,)</f>
        <v>0</v>
      </c>
      <c r="AO1135" s="197" t="str">
        <f>IFERROR(VLOOKUP($G1135,нормы!$A$14:$BC$57,53,0)*$W1135,"")</f>
        <v/>
      </c>
      <c r="AP1135" s="290">
        <f>IFERROR(Y1135*AI1134/Y1140,)</f>
        <v>0</v>
      </c>
      <c r="AQ1135" s="197" t="str">
        <f>IFERROR(VLOOKUP($G1135,нормы!$A$14:$BC$57,54,0)*$W1135,"")</f>
        <v/>
      </c>
      <c r="AR1135" s="290">
        <f>IFERROR(AS1135/SUM(AS1134:AS1139)*AL1134,0)</f>
        <v>0</v>
      </c>
      <c r="AS1135" s="197" t="str">
        <f>IFERROR(VLOOKUP($G1135,нормы!$A$14:$BC$57,55,0)*W1135,"")</f>
        <v/>
      </c>
      <c r="AT1135" s="290">
        <f>IFERROR(AU1135/SUM(AU1134:AU1139)*AM1134,0)</f>
        <v>0</v>
      </c>
      <c r="AU1135" s="197" t="str">
        <f>IFERROR(VLOOKUP($G1135,нормы!$A$14:$BI$57,56,0)*W1135,"")</f>
        <v/>
      </c>
      <c r="AV1135" s="290">
        <f>IFERROR(AW1135/SUM(AW1134:AW1139)*AK1134,0)</f>
        <v>0</v>
      </c>
      <c r="AW1135" s="202" t="str">
        <f>IFERROR(VLOOKUP($G1135,нормы!$A$14:$BI$57,57,0)*W1135,"")</f>
        <v/>
      </c>
      <c r="AX1135" s="30"/>
      <c r="AY1135" s="203" t="str">
        <f>IFERROR(VLOOKUP($G1135,нормы!$A$14:$BI$57,58,0)*W1135,"")</f>
        <v/>
      </c>
      <c r="AZ1135" s="205"/>
      <c r="BA1135" s="200" t="str">
        <f>IFERROR(VLOOKUP($G1135,нормы!$A$14:$BI$57,61,0)*$W1135,"")</f>
        <v/>
      </c>
      <c r="BB1135" s="30"/>
      <c r="BC1135" s="203" t="str">
        <f>IFERROR(VLOOKUP($G1135,нормы!$A$14:$BI$57,60,0)*W1135,"")</f>
        <v/>
      </c>
      <c r="BD1135" s="200" t="str">
        <f>IFERROR(VLOOKUP($G1135,нормы!$A$14:$BG$57,44,0),"")</f>
        <v/>
      </c>
      <c r="BE1135" s="199" t="str">
        <f>IFERROR(W1135/VLOOKUP($G1135,нормы!$A$14:$BI$57,45,0),"")</f>
        <v/>
      </c>
    </row>
    <row r="1136" spans="1:57" s="1" customFormat="1" ht="20.25" customHeight="1" x14ac:dyDescent="0.4">
      <c r="A1136" s="37" t="str">
        <f t="shared" si="446"/>
        <v>19Д</v>
      </c>
      <c r="B1136" s="12">
        <f t="shared" si="449"/>
        <v>46041</v>
      </c>
      <c r="C1136" s="97">
        <f t="shared" si="449"/>
        <v>0</v>
      </c>
      <c r="D1136" s="97">
        <f t="shared" si="449"/>
        <v>2</v>
      </c>
      <c r="E1136" s="54"/>
      <c r="F1136" s="151" t="str">
        <f>IFERROR(VLOOKUP($G1136,нормы!$A$14:$BC$57,2,0),"")</f>
        <v/>
      </c>
      <c r="G1136" s="38"/>
      <c r="H1136" s="54">
        <f t="shared" si="450"/>
        <v>0</v>
      </c>
      <c r="I1136" s="89" t="s">
        <v>212</v>
      </c>
      <c r="J1136" s="333"/>
      <c r="K1136" s="30">
        <f>IFERROR(VLOOKUP($G1136,[1]нормы!$A$21:$BC$151,15,0),"")</f>
        <v>0</v>
      </c>
      <c r="L1136" s="31">
        <f>IFERROR(VLOOKUP($G1136,[1]нормы!$A$21:$BC$151,17,0),"")</f>
        <v>0</v>
      </c>
      <c r="M1136" s="306">
        <f>IFERROR(VLOOKUP($G1136,[1]нормы!$A$21:$BC$151,27,0),"")</f>
        <v>0</v>
      </c>
      <c r="N1136" s="307" t="str">
        <f>IFERROR(Y1136/Y1140*(1.1*J1134*I1139),"")</f>
        <v/>
      </c>
      <c r="O1136" s="300">
        <f>IFERROR(VLOOKUP($G1136,[1]нормы!$A$21:$BC$151,21,0),"")</f>
        <v>0</v>
      </c>
      <c r="P1136" s="35">
        <f>IFERROR(VLOOKUP($G1136,[1]нормы!$A$21:$BC$151,19,0),"")</f>
        <v>0</v>
      </c>
      <c r="Q1136" s="35">
        <f>IFERROR(VLOOKUP($G1136,[1]нормы!$A$21:$BC$151,23,0),"")</f>
        <v>0</v>
      </c>
      <c r="R1136" s="231">
        <f>IFERROR(VLOOKUP($G1136,[1]нормы!$A$21:$BC$151,29,0),"")</f>
        <v>0</v>
      </c>
      <c r="S1136" s="35">
        <f>IFERROR(VLOOKUP($G1136,[1]нормы!$A$21:$BC$151,31,0),"")</f>
        <v>0</v>
      </c>
      <c r="T1136" s="32">
        <f>IFERROR(VLOOKUP($G1136,[1]нормы!$A$21:$BC$151,25,0),"")</f>
        <v>0</v>
      </c>
      <c r="U1136" s="233" t="str">
        <f>IFERROR(W1136/(((100*Y1136/Y1140)*I1139)/100),"")</f>
        <v/>
      </c>
      <c r="V1136" s="234" t="str">
        <f>IFERROR(VLOOKUP($G1136,нормы!$A$14:$BC$57,38,0),"")</f>
        <v/>
      </c>
      <c r="W1136" s="136"/>
      <c r="X1136" s="237"/>
      <c r="Y1136" s="152" t="str">
        <f>IFERROR(VLOOKUP($G1136,нормы!$A$14:$BC$57,42,0)*W1136,"")</f>
        <v/>
      </c>
      <c r="Z1136" s="163">
        <f>IFERROR(VLOOKUP($G1136,нормы!$A$14:$BC$57,14,0)*W1136/1000,0)</f>
        <v>0</v>
      </c>
      <c r="AA1136" s="30"/>
      <c r="AB1136" s="35"/>
      <c r="AC1136" s="35"/>
      <c r="AD1136" s="35"/>
      <c r="AE1136" s="31"/>
      <c r="AF1136" s="160"/>
      <c r="AG1136" s="391"/>
      <c r="AH1136" s="394"/>
      <c r="AI1136" s="397"/>
      <c r="AJ1136" s="408"/>
      <c r="AK1136" s="360"/>
      <c r="AL1136" s="360"/>
      <c r="AM1136" s="360"/>
      <c r="AN1136" s="289">
        <f>IFERROR(Y1136*AJ1134/Y1140,)</f>
        <v>0</v>
      </c>
      <c r="AO1136" s="197" t="str">
        <f>IFERROR(VLOOKUP($G1136,нормы!$A$14:$BC$57,53,0)*$W1136,"")</f>
        <v/>
      </c>
      <c r="AP1136" s="290">
        <f>IFERROR(Y1136*AI1134/Y1140,)</f>
        <v>0</v>
      </c>
      <c r="AQ1136" s="197" t="str">
        <f>IFERROR(VLOOKUP($G1136,нормы!$A$14:$BC$57,54,0)*$W1136,"")</f>
        <v/>
      </c>
      <c r="AR1136" s="290">
        <f>IFERROR(AS1136/SUM(AS1134:AS1139)*AL1134,0)</f>
        <v>0</v>
      </c>
      <c r="AS1136" s="197" t="str">
        <f>IFERROR(VLOOKUP($G1136,нормы!$A$14:$BC$57,55,0)*W1136,"")</f>
        <v/>
      </c>
      <c r="AT1136" s="290">
        <f>IFERROR(AU1136/SUM(AU1134:AU1139)*AM1134,0)</f>
        <v>0</v>
      </c>
      <c r="AU1136" s="197" t="str">
        <f>IFERROR(VLOOKUP($G1136,нормы!$A$14:$BI$57,56,0)*W1136,"")</f>
        <v/>
      </c>
      <c r="AV1136" s="290">
        <f>IFERROR(AW1136/SUM(AW1134:AW1139)*AK1134,0)</f>
        <v>0</v>
      </c>
      <c r="AW1136" s="202" t="str">
        <f>IFERROR(VLOOKUP($G1136,нормы!$A$14:$BI$57,57,0)*W1136,"")</f>
        <v/>
      </c>
      <c r="AX1136" s="30"/>
      <c r="AY1136" s="203" t="str">
        <f>IFERROR(VLOOKUP($G1136,нормы!$A$14:$BI$57,58,0)*W1136,"")</f>
        <v/>
      </c>
      <c r="AZ1136" s="205"/>
      <c r="BA1136" s="200" t="str">
        <f>IFERROR(VLOOKUP($G1136,нормы!$A$14:$BI$57,61,0)*$W1136,"")</f>
        <v/>
      </c>
      <c r="BB1136" s="30"/>
      <c r="BC1136" s="203" t="str">
        <f>IFERROR(VLOOKUP($G1136,нормы!$A$14:$BI$57,60,0)*W1136,"")</f>
        <v/>
      </c>
      <c r="BD1136" s="200" t="str">
        <f>IFERROR(VLOOKUP($G1136,нормы!$A$14:$BG$57,44,0),"")</f>
        <v/>
      </c>
      <c r="BE1136" s="199" t="str">
        <f>IFERROR(W1136/VLOOKUP($G1136,нормы!$A$14:$BI$57,45,0),"")</f>
        <v/>
      </c>
    </row>
    <row r="1137" spans="1:57" s="1" customFormat="1" ht="20.25" customHeight="1" x14ac:dyDescent="0.4">
      <c r="A1137" s="37" t="str">
        <f t="shared" si="446"/>
        <v>19Д</v>
      </c>
      <c r="B1137" s="12">
        <f t="shared" si="449"/>
        <v>46041</v>
      </c>
      <c r="C1137" s="97">
        <f t="shared" si="449"/>
        <v>0</v>
      </c>
      <c r="D1137" s="97">
        <f t="shared" si="449"/>
        <v>2</v>
      </c>
      <c r="E1137" s="54"/>
      <c r="F1137" s="151" t="str">
        <f>IFERROR(VLOOKUP($G1137,нормы!$A$14:$BC$57,2,0),"")</f>
        <v/>
      </c>
      <c r="G1137" s="93"/>
      <c r="H1137" s="54">
        <f t="shared" si="450"/>
        <v>0</v>
      </c>
      <c r="I1137" s="55"/>
      <c r="J1137" s="333"/>
      <c r="K1137" s="30">
        <f>IFERROR(VLOOKUP($G1137,[1]нормы!$A$21:$BC$151,15,0),"")</f>
        <v>0</v>
      </c>
      <c r="L1137" s="31">
        <f>IFERROR(VLOOKUP($G1137,[1]нормы!$A$21:$BC$151,17,0),"")</f>
        <v>0</v>
      </c>
      <c r="M1137" s="306">
        <f>IFERROR(VLOOKUP($G1137,[1]нормы!$A$21:$BC$151,27,0),"")</f>
        <v>0</v>
      </c>
      <c r="N1137" s="307" t="str">
        <f>IFERROR(Y1137/Y1140*(1.1*J1134*I1142),"")</f>
        <v/>
      </c>
      <c r="O1137" s="300">
        <f>IFERROR(VLOOKUP($G1137,[1]нормы!$A$21:$BC$151,21,0),"")</f>
        <v>0</v>
      </c>
      <c r="P1137" s="35">
        <f>IFERROR(VLOOKUP($G1137,[1]нормы!$A$21:$BC$151,19,0),"")</f>
        <v>0</v>
      </c>
      <c r="Q1137" s="35">
        <f>IFERROR(VLOOKUP($G1137,[1]нормы!$A$21:$BC$151,23,0),"")</f>
        <v>0</v>
      </c>
      <c r="R1137" s="231">
        <f>IFERROR(VLOOKUP($G1137,[1]нормы!$A$21:$BC$151,29,0),"")</f>
        <v>0</v>
      </c>
      <c r="S1137" s="35">
        <f>IFERROR(VLOOKUP($G1137,[1]нормы!$A$21:$BC$151,31,0),"")</f>
        <v>0</v>
      </c>
      <c r="T1137" s="32">
        <f>IFERROR(VLOOKUP($G1137,[1]нормы!$A$21:$BC$151,25,0),"")</f>
        <v>0</v>
      </c>
      <c r="U1137" s="233" t="str">
        <f>IFERROR(W1137/(((100*Y1137/Y1140)*I1139)/100),"")</f>
        <v/>
      </c>
      <c r="V1137" s="234" t="str">
        <f>IFERROR(VLOOKUP($G1137,нормы!$A$14:$BC$57,38,0),"")</f>
        <v/>
      </c>
      <c r="W1137" s="136"/>
      <c r="X1137" s="237"/>
      <c r="Y1137" s="152" t="str">
        <f>IFERROR(VLOOKUP($G1137,нормы!$A$14:$BC$57,42,0)*W1137,"")</f>
        <v/>
      </c>
      <c r="Z1137" s="163">
        <f>IFERROR(VLOOKUP($G1137,нормы!$A$14:$BC$57,14,0)*W1137/1000,0)</f>
        <v>0</v>
      </c>
      <c r="AA1137" s="30"/>
      <c r="AB1137" s="35"/>
      <c r="AC1137" s="35"/>
      <c r="AD1137" s="35"/>
      <c r="AE1137" s="31"/>
      <c r="AF1137" s="160"/>
      <c r="AG1137" s="391"/>
      <c r="AH1137" s="394"/>
      <c r="AI1137" s="397"/>
      <c r="AJ1137" s="408"/>
      <c r="AK1137" s="360"/>
      <c r="AL1137" s="360"/>
      <c r="AM1137" s="360"/>
      <c r="AN1137" s="289">
        <f>IFERROR(Y1137*AJ1134/Y1140,)</f>
        <v>0</v>
      </c>
      <c r="AO1137" s="197" t="str">
        <f>IFERROR(VLOOKUP($G1137,нормы!$A$14:$BC$57,53,0)*$W1137,"")</f>
        <v/>
      </c>
      <c r="AP1137" s="290">
        <f>IFERROR(Y1137*AI1134/Y1140,)</f>
        <v>0</v>
      </c>
      <c r="AQ1137" s="197" t="str">
        <f>IFERROR(VLOOKUP($G1137,нормы!$A$14:$BC$57,54,0)*$W1137,"")</f>
        <v/>
      </c>
      <c r="AR1137" s="290">
        <f>IFERROR(AS1137/SUM(AS1134:AS1139)*AL1134,0)</f>
        <v>0</v>
      </c>
      <c r="AS1137" s="197" t="str">
        <f>IFERROR(VLOOKUP($G1137,нормы!$A$14:$BC$57,55,0)*W1137,"")</f>
        <v/>
      </c>
      <c r="AT1137" s="290">
        <f>IFERROR(AU1137/SUM(AU1134:AU1139)*AM1134,0)</f>
        <v>0</v>
      </c>
      <c r="AU1137" s="197" t="str">
        <f>IFERROR(VLOOKUP($G1137,нормы!$A$14:$BI$57,56,0)*W1137,"")</f>
        <v/>
      </c>
      <c r="AV1137" s="290">
        <f>IFERROR(AW1137/SUM(AW1134:AW1139)*AK1134,0)</f>
        <v>0</v>
      </c>
      <c r="AW1137" s="202" t="str">
        <f>IFERROR(VLOOKUP($G1137,нормы!$A$14:$BI$57,57,0)*W1137,"")</f>
        <v/>
      </c>
      <c r="AX1137" s="30"/>
      <c r="AY1137" s="203" t="str">
        <f>IFERROR(VLOOKUP($G1137,нормы!$A$14:$BI$57,58,0)*W1137,"")</f>
        <v/>
      </c>
      <c r="AZ1137" s="205"/>
      <c r="BA1137" s="200" t="str">
        <f>IFERROR(VLOOKUP($G1137,нормы!$A$14:$BI$57,61,0)*$W1137,"")</f>
        <v/>
      </c>
      <c r="BB1137" s="30"/>
      <c r="BC1137" s="203" t="str">
        <f>IFERROR(VLOOKUP($G1137,нормы!$A$14:$BI$57,60,0)*W1137,"")</f>
        <v/>
      </c>
      <c r="BD1137" s="200" t="str">
        <f>IFERROR(VLOOKUP($G1137,нормы!$A$14:$BG$57,44,0),"")</f>
        <v/>
      </c>
      <c r="BE1137" s="199" t="str">
        <f>IFERROR(W1137/VLOOKUP($G1137,нормы!$A$14:$BI$57,45,0),"")</f>
        <v/>
      </c>
    </row>
    <row r="1138" spans="1:57" s="1" customFormat="1" ht="20.25" customHeight="1" x14ac:dyDescent="0.4">
      <c r="A1138" s="37" t="str">
        <f t="shared" si="446"/>
        <v>19Д</v>
      </c>
      <c r="B1138" s="12">
        <f t="shared" si="449"/>
        <v>46041</v>
      </c>
      <c r="C1138" s="97">
        <f t="shared" si="449"/>
        <v>0</v>
      </c>
      <c r="D1138" s="97">
        <f t="shared" si="449"/>
        <v>2</v>
      </c>
      <c r="E1138" s="54"/>
      <c r="F1138" s="151" t="str">
        <f>IFERROR(VLOOKUP($G1138,нормы!$A$14:$BC$57,2,0),"")</f>
        <v/>
      </c>
      <c r="G1138" s="38"/>
      <c r="H1138" s="54">
        <f t="shared" si="450"/>
        <v>0</v>
      </c>
      <c r="I1138" s="89" t="s">
        <v>73</v>
      </c>
      <c r="J1138" s="333"/>
      <c r="K1138" s="30">
        <f>IFERROR(VLOOKUP($G1138,[1]нормы!$A$21:$BC$151,15,0),"")</f>
        <v>0</v>
      </c>
      <c r="L1138" s="31">
        <f>IFERROR(VLOOKUP($G1138,[1]нормы!$A$21:$BC$151,17,0),"")</f>
        <v>0</v>
      </c>
      <c r="M1138" s="306">
        <f>IFERROR(VLOOKUP($G1138,[1]нормы!$A$21:$BC$151,27,0),"")</f>
        <v>0</v>
      </c>
      <c r="N1138" s="307" t="str">
        <f>IFERROR(Y1138/Y1140*(1.1*J1134*I1143),"")</f>
        <v/>
      </c>
      <c r="O1138" s="300">
        <f>IFERROR(VLOOKUP($G1138,[1]нормы!$A$21:$BC$151,21,0),"")</f>
        <v>0</v>
      </c>
      <c r="P1138" s="35">
        <f>IFERROR(VLOOKUP($G1138,[1]нормы!$A$21:$BC$151,19,0),"")</f>
        <v>0</v>
      </c>
      <c r="Q1138" s="35">
        <f>IFERROR(VLOOKUP($G1138,[1]нормы!$A$21:$BC$151,23,0),"")</f>
        <v>0</v>
      </c>
      <c r="R1138" s="231">
        <f>IFERROR(VLOOKUP($G1138,[1]нормы!$A$21:$BC$151,29,0),"")</f>
        <v>0</v>
      </c>
      <c r="S1138" s="35">
        <f>IFERROR(VLOOKUP($G1138,[1]нормы!$A$21:$BC$151,31,0),"")</f>
        <v>0</v>
      </c>
      <c r="T1138" s="32">
        <f>IFERROR(VLOOKUP($G1138,[1]нормы!$A$21:$BC$151,25,0),"")</f>
        <v>0</v>
      </c>
      <c r="U1138" s="233" t="str">
        <f>IFERROR(W1138/(((100*Y1138/Y1140)*I1139)/100),"")</f>
        <v/>
      </c>
      <c r="V1138" s="234" t="str">
        <f>IFERROR(VLOOKUP($G1138,нормы!$A$14:$BC$57,38,0),"")</f>
        <v/>
      </c>
      <c r="W1138" s="136"/>
      <c r="X1138" s="237"/>
      <c r="Y1138" s="152" t="str">
        <f>IFERROR(VLOOKUP($G1138,нормы!$A$14:$BC$57,42,0)*W1138,"")</f>
        <v/>
      </c>
      <c r="Z1138" s="163">
        <f>IFERROR(VLOOKUP($G1138,нормы!$A$14:$BC$57,14,0)*W1138/1000,0)</f>
        <v>0</v>
      </c>
      <c r="AA1138" s="30"/>
      <c r="AB1138" s="35"/>
      <c r="AC1138" s="35"/>
      <c r="AD1138" s="35"/>
      <c r="AE1138" s="31"/>
      <c r="AF1138" s="160"/>
      <c r="AG1138" s="391"/>
      <c r="AH1138" s="394"/>
      <c r="AI1138" s="397"/>
      <c r="AJ1138" s="408"/>
      <c r="AK1138" s="360"/>
      <c r="AL1138" s="360"/>
      <c r="AM1138" s="360"/>
      <c r="AN1138" s="289">
        <f>IFERROR(Y1138*AJ1134/Y1140,)</f>
        <v>0</v>
      </c>
      <c r="AO1138" s="197" t="str">
        <f>IFERROR(VLOOKUP($G1138,нормы!$A$14:$BC$57,53,0)*$W1138,"")</f>
        <v/>
      </c>
      <c r="AP1138" s="290">
        <f>IFERROR(Y1138*AI1134/Y1140,)</f>
        <v>0</v>
      </c>
      <c r="AQ1138" s="197" t="str">
        <f>IFERROR(VLOOKUP($G1138,нормы!$A$14:$BC$57,54,0)*$W1138,"")</f>
        <v/>
      </c>
      <c r="AR1138" s="290">
        <f>IFERROR(AS1138/SUM(AS1134:AS1139)*AL1134,0)</f>
        <v>0</v>
      </c>
      <c r="AS1138" s="197" t="str">
        <f>IFERROR(VLOOKUP($G1138,нормы!$A$14:$BC$57,55,0)*W1138,"")</f>
        <v/>
      </c>
      <c r="AT1138" s="290">
        <f>IFERROR(AU1138/SUM(AU1134:AU1139)*AM1134,0)</f>
        <v>0</v>
      </c>
      <c r="AU1138" s="197" t="str">
        <f>IFERROR(VLOOKUP($G1138,нормы!$A$14:$BI$57,56,0)*W1138,"")</f>
        <v/>
      </c>
      <c r="AV1138" s="290">
        <f>IFERROR(AW1138/SUM(AW1134:AW1139)*AK1134,0)</f>
        <v>0</v>
      </c>
      <c r="AW1138" s="202" t="str">
        <f>IFERROR(VLOOKUP($G1138,нормы!$A$14:$BI$57,57,0)*W1138,"")</f>
        <v/>
      </c>
      <c r="AX1138" s="30"/>
      <c r="AY1138" s="203" t="str">
        <f>IFERROR(VLOOKUP($G1138,нормы!$A$14:$BI$57,58,0)*W1138,"")</f>
        <v/>
      </c>
      <c r="AZ1138" s="205"/>
      <c r="BA1138" s="200" t="str">
        <f>IFERROR(VLOOKUP($G1138,нормы!$A$14:$BI$57,61,0)*$W1138,"")</f>
        <v/>
      </c>
      <c r="BB1138" s="30"/>
      <c r="BC1138" s="203" t="str">
        <f>IFERROR(VLOOKUP($G1138,нормы!$A$14:$BI$57,60,0)*W1138,"")</f>
        <v/>
      </c>
      <c r="BD1138" s="200" t="str">
        <f>IFERROR(VLOOKUP($G1138,нормы!$A$14:$BG$57,44,0),"")</f>
        <v/>
      </c>
      <c r="BE1138" s="199" t="str">
        <f>IFERROR(W1138/VLOOKUP($G1138,нормы!$A$14:$BI$57,45,0),"")</f>
        <v/>
      </c>
    </row>
    <row r="1139" spans="1:57" s="1" customFormat="1" ht="21" customHeight="1" thickBot="1" x14ac:dyDescent="0.45">
      <c r="A1139" s="37" t="str">
        <f t="shared" si="446"/>
        <v>19Д</v>
      </c>
      <c r="B1139" s="12">
        <f t="shared" si="449"/>
        <v>46041</v>
      </c>
      <c r="C1139" s="97">
        <f t="shared" si="449"/>
        <v>0</v>
      </c>
      <c r="D1139" s="97">
        <f t="shared" si="449"/>
        <v>2</v>
      </c>
      <c r="E1139" s="54"/>
      <c r="F1139" s="151" t="str">
        <f>IFERROR(VLOOKUP($G1139,нормы!$A$14:$BC$57,2,0),"")</f>
        <v/>
      </c>
      <c r="G1139" s="93"/>
      <c r="H1139" s="63">
        <f t="shared" si="450"/>
        <v>0</v>
      </c>
      <c r="I1139" s="153">
        <f>I1135+I1137</f>
        <v>0</v>
      </c>
      <c r="J1139" s="334"/>
      <c r="K1139" s="30">
        <f>IFERROR(VLOOKUP($G1139,[1]нормы!$A$21:$BC$151,15,0),"")</f>
        <v>0</v>
      </c>
      <c r="L1139" s="31">
        <f>IFERROR(VLOOKUP($G1139,[1]нормы!$A$21:$BC$151,17,0),"")</f>
        <v>0</v>
      </c>
      <c r="M1139" s="308">
        <f>IFERROR(VLOOKUP($G1139,[1]нормы!$A$21:$BC$151,27,0),"")</f>
        <v>0</v>
      </c>
      <c r="N1139" s="309" t="str">
        <f>IFERROR(Y1139/Y1140*(1.1*J1134*I1144),"")</f>
        <v/>
      </c>
      <c r="O1139" s="300">
        <f>IFERROR(VLOOKUP($G1139,[1]нормы!$A$21:$BC$151,21,0),"")</f>
        <v>0</v>
      </c>
      <c r="P1139" s="35">
        <f>IFERROR(VLOOKUP($G1139,[1]нормы!$A$21:$BC$151,19,0),"")</f>
        <v>0</v>
      </c>
      <c r="Q1139" s="35">
        <f>IFERROR(VLOOKUP($G1139,[1]нормы!$A$21:$BC$151,23,0),"")</f>
        <v>0</v>
      </c>
      <c r="R1139" s="231">
        <f>IFERROR(VLOOKUP($G1139,[1]нормы!$A$21:$BC$151,29,0),"")</f>
        <v>0</v>
      </c>
      <c r="S1139" s="35">
        <f>IFERROR(VLOOKUP($G1139,[1]нормы!$A$21:$BC$151,31,0),"")</f>
        <v>0</v>
      </c>
      <c r="T1139" s="32">
        <f>IFERROR(VLOOKUP($G1139,[1]нормы!$A$21:$BC$151,25,0),"")</f>
        <v>0</v>
      </c>
      <c r="U1139" s="235" t="str">
        <f>IFERROR(W1139/(((100*Y1139/Y1140)*I1139)/100),"")</f>
        <v/>
      </c>
      <c r="V1139" s="234" t="str">
        <f>IFERROR(VLOOKUP($G1139,нормы!$A$14:$BC$57,38,0),"")</f>
        <v/>
      </c>
      <c r="W1139" s="154"/>
      <c r="X1139" s="238"/>
      <c r="Y1139" s="152" t="str">
        <f>IFERROR(VLOOKUP($G1139,нормы!$A$14:$BC$57,42,0)*W1139,"")</f>
        <v/>
      </c>
      <c r="Z1139" s="163">
        <f>IFERROR(VLOOKUP($G1139,нормы!$A$14:$BC$57,14,0)*W1139/1000,0)</f>
        <v>0</v>
      </c>
      <c r="AA1139" s="56"/>
      <c r="AB1139" s="58"/>
      <c r="AC1139" s="58"/>
      <c r="AD1139" s="58"/>
      <c r="AE1139" s="57"/>
      <c r="AF1139" s="161"/>
      <c r="AG1139" s="392"/>
      <c r="AH1139" s="395"/>
      <c r="AI1139" s="398"/>
      <c r="AJ1139" s="409"/>
      <c r="AK1139" s="361"/>
      <c r="AL1139" s="361"/>
      <c r="AM1139" s="361"/>
      <c r="AN1139" s="291">
        <f>IFERROR(Y1139*AJ1134/Y1140,)</f>
        <v>0</v>
      </c>
      <c r="AO1139" s="197" t="str">
        <f>IFERROR(VLOOKUP($G1139,нормы!$A$14:$BC$57,53,0)*$W1139,"")</f>
        <v/>
      </c>
      <c r="AP1139" s="292">
        <f>IFERROR(Y1139*AI1134/Y1140,)</f>
        <v>0</v>
      </c>
      <c r="AQ1139" s="197" t="str">
        <f>IFERROR(VLOOKUP($G1139,нормы!$A$14:$BC$57,54,0)*$W1139,"")</f>
        <v/>
      </c>
      <c r="AR1139" s="290">
        <f>IFERROR(AS1139/SUM(AS1134:AS1139)*AL1134,0)</f>
        <v>0</v>
      </c>
      <c r="AS1139" s="197" t="str">
        <f>IFERROR(VLOOKUP($G1139,нормы!$A$14:$BC$57,55,0)*W1139,"")</f>
        <v/>
      </c>
      <c r="AT1139" s="292">
        <f>IFERROR(AU1139/SUM(AU1134:AU1139)*AM1134,0)</f>
        <v>0</v>
      </c>
      <c r="AU1139" s="197" t="str">
        <f>IFERROR(VLOOKUP($G1139,нормы!$A$14:$BI$57,56,0)*W1139,"")</f>
        <v/>
      </c>
      <c r="AV1139" s="292">
        <f>IFERROR(AW1139/SUM(AW1134:AW1139)*AK1134,0)</f>
        <v>0</v>
      </c>
      <c r="AW1139" s="202" t="str">
        <f>IFERROR(VLOOKUP($G1139,нормы!$A$14:$BI$57,57,0)*W1139,"")</f>
        <v/>
      </c>
      <c r="AX1139" s="56"/>
      <c r="AY1139" s="203" t="str">
        <f>IFERROR(VLOOKUP($G1139,нормы!$A$14:$BI$57,58,0)*W1139,"")</f>
        <v/>
      </c>
      <c r="AZ1139" s="206"/>
      <c r="BA1139" s="200" t="str">
        <f>IFERROR(VLOOKUP($G1139,нормы!$A$14:$BI$57,61,0)*$W1139,"")</f>
        <v/>
      </c>
      <c r="BB1139" s="56"/>
      <c r="BC1139" s="203" t="str">
        <f>IFERROR(VLOOKUP($G1139,нормы!$A$14:$BI$57,60,0)*W1139,"")</f>
        <v/>
      </c>
      <c r="BD1139" s="200" t="str">
        <f>IFERROR(VLOOKUP($G1139,нормы!$A$14:$BG$57,44,0),"")</f>
        <v/>
      </c>
      <c r="BE1139" s="199" t="str">
        <f>IFERROR(W1139/VLOOKUP($G1139,нормы!$A$14:$BI$57,45,0),"")</f>
        <v/>
      </c>
    </row>
    <row r="1140" spans="1:57" s="1" customFormat="1" ht="29.4" customHeight="1" thickBot="1" x14ac:dyDescent="0.45">
      <c r="A1140" s="37" t="str">
        <f t="shared" si="446"/>
        <v>19Д</v>
      </c>
      <c r="B1140" s="59"/>
      <c r="C1140" s="51"/>
      <c r="D1140" s="51"/>
      <c r="E1140" s="51"/>
      <c r="F1140" s="51"/>
      <c r="G1140" s="51"/>
      <c r="H1140" s="51"/>
      <c r="I1140" s="60"/>
      <c r="J1140" s="60"/>
      <c r="K1140" s="319" t="s">
        <v>213</v>
      </c>
      <c r="L1140" s="316"/>
      <c r="M1140" s="303" t="s">
        <v>213</v>
      </c>
      <c r="N1140" s="317">
        <f>SUM(N1134:N1139)</f>
        <v>0</v>
      </c>
      <c r="O1140" s="304" t="s">
        <v>217</v>
      </c>
      <c r="P1140" s="318">
        <f>N1140*8.937/1000</f>
        <v>0</v>
      </c>
      <c r="Q1140" s="305" t="s">
        <v>215</v>
      </c>
      <c r="R1140" s="61"/>
      <c r="S1140" s="61"/>
      <c r="T1140" s="61"/>
      <c r="U1140" s="109"/>
      <c r="V1140" s="109"/>
      <c r="W1140" s="94"/>
      <c r="X1140" s="155"/>
      <c r="Y1140" s="96">
        <f>SUM(Y1134:Y1139)</f>
        <v>0</v>
      </c>
      <c r="Z1140" s="164">
        <f>SUM(Z1134:Z1139)</f>
        <v>0</v>
      </c>
      <c r="AA1140" s="207">
        <f>(AA1126+AA1127+AA1128+AA1129+AA1130+AA1131+AA1132+AA1134+AA1135+AA1136+AA1137+AA1138+AA1139)-AG1127</f>
        <v>1</v>
      </c>
      <c r="AB1140" s="208">
        <f>(AB1126+AB1127+AB1128+AB1129+AB1130+AB1131+AB1132+AB1134+AB1135+AB1136+AB1137+AB1138+AB1139)-AH1127</f>
        <v>2</v>
      </c>
      <c r="AC1140" s="208">
        <f>(AC1126+AC1127+AC1128+AC1129+AC1130+AC1131+AC1132+AC1134+AC1135+AC1136+AC1137+AC1138+AC1139)-AG1134</f>
        <v>3</v>
      </c>
      <c r="AD1140" s="208">
        <f>(AD1126+AD1127+AD1128+AD1129+AD1130+AD1131+AD1132+AD1134+AD1135+AD1136+AD1137+AD1138+AD1139)-AH1134</f>
        <v>4</v>
      </c>
      <c r="AE1140" s="208">
        <f>(AE1126+AE1127+AE1128+AE1129+AE1130+AE1131+AE1132+AE1134+AE1135+AE1136+AE1137+AE1138+AE1139)-AI1127</f>
        <v>5</v>
      </c>
      <c r="AF1140" s="209">
        <f>(AF1126+AF1127+AF1128+AF1129+AF1130+AF1131+AF1132+AF1134+AF1135+AF1136+AF1137+AF1138+AF1139)-AI1134</f>
        <v>6</v>
      </c>
      <c r="AG1140" s="62"/>
      <c r="AH1140" s="62"/>
      <c r="AI1140" s="62"/>
      <c r="AJ1140" s="62"/>
      <c r="AK1140" s="62"/>
      <c r="AL1140" s="62"/>
      <c r="AM1140" s="62"/>
      <c r="AN1140" s="91">
        <f>SUM(AN1134:AN1139)</f>
        <v>0</v>
      </c>
      <c r="AO1140" s="91">
        <f>SUM(AO1134:AO1139)</f>
        <v>0</v>
      </c>
      <c r="AP1140" s="91"/>
      <c r="AQ1140" s="91"/>
      <c r="AR1140" s="91">
        <f>SUM(AR1134:AR1139)</f>
        <v>0</v>
      </c>
      <c r="AS1140" s="91">
        <f t="shared" ref="AS1140:AW1140" si="451">SUM(AS1134:AS1139)</f>
        <v>0</v>
      </c>
      <c r="AT1140" s="91">
        <f t="shared" si="451"/>
        <v>0</v>
      </c>
      <c r="AU1140" s="91">
        <f t="shared" si="451"/>
        <v>0</v>
      </c>
      <c r="AV1140" s="91">
        <f t="shared" si="451"/>
        <v>0</v>
      </c>
      <c r="AW1140" s="91">
        <f t="shared" si="451"/>
        <v>0</v>
      </c>
      <c r="AX1140" s="91">
        <f>SUM(AX1134:AX1139)</f>
        <v>0</v>
      </c>
      <c r="AY1140" s="91">
        <f>SUM(AY1134:AY1139)</f>
        <v>0</v>
      </c>
      <c r="AZ1140" s="91">
        <f>SUM(AZ1134:AZ1139)</f>
        <v>0</v>
      </c>
      <c r="BA1140" s="91"/>
      <c r="BB1140" s="91"/>
      <c r="BC1140" s="91"/>
      <c r="BD1140" s="91" t="str">
        <f>IFERROR(VLOOKUP($G1140,нормы!$A$14:$BG$15,27,0),"")</f>
        <v/>
      </c>
      <c r="BE1140" s="53" t="str">
        <f>IFERROR(W1140/VLOOKUP($G1140,нормы!$A$14:$BI$15,28,0),"")</f>
        <v/>
      </c>
    </row>
    <row r="1141" spans="1:57" s="1" customFormat="1" ht="29.4" customHeight="1" thickBot="1" x14ac:dyDescent="0.5">
      <c r="A1141" s="37" t="str">
        <f t="shared" si="446"/>
        <v>19Д</v>
      </c>
      <c r="B1141" s="166" t="s">
        <v>130</v>
      </c>
      <c r="C1141" s="167"/>
      <c r="D1141" s="167"/>
      <c r="E1141" s="167"/>
      <c r="F1141" s="165"/>
      <c r="G1141" s="167"/>
      <c r="H1141" s="167"/>
      <c r="I1141" s="168"/>
      <c r="J1141" s="168"/>
      <c r="K1141" s="168"/>
      <c r="L1141" s="168"/>
      <c r="M1141" s="168"/>
      <c r="N1141" s="168"/>
      <c r="O1141" s="167"/>
      <c r="P1141" s="169"/>
      <c r="Q1141" s="169"/>
      <c r="R1141" s="169"/>
      <c r="S1141" s="169"/>
      <c r="T1141" s="169"/>
      <c r="U1141" s="170"/>
      <c r="V1141" s="170"/>
      <c r="W1141" s="171"/>
      <c r="X1141" s="171"/>
      <c r="Y1141" s="172"/>
      <c r="Z1141" s="172"/>
      <c r="AA1141" s="201" t="s">
        <v>144</v>
      </c>
      <c r="AB1141" s="167"/>
      <c r="AC1141" s="167"/>
      <c r="AD1141" s="167"/>
      <c r="AE1141" s="167"/>
      <c r="AF1141" s="167"/>
      <c r="AG1141" s="167"/>
      <c r="AH1141" s="167"/>
      <c r="AI1141" s="167"/>
      <c r="AJ1141" s="167"/>
      <c r="AK1141" s="167"/>
      <c r="AL1141" s="167"/>
      <c r="AM1141" s="64"/>
      <c r="AN1141" s="167"/>
      <c r="AO1141" s="167"/>
      <c r="AP1141" s="167"/>
      <c r="AQ1141" s="167"/>
      <c r="AR1141" s="64"/>
      <c r="AS1141" s="64"/>
      <c r="AT1141" s="65"/>
      <c r="AU1141" s="64"/>
      <c r="AV1141" s="49"/>
      <c r="AW1141" s="49"/>
      <c r="AX1141" s="167"/>
      <c r="AY1141" s="167"/>
      <c r="AZ1141" s="167"/>
      <c r="BA1141" s="167"/>
      <c r="BB1141" s="167"/>
      <c r="BC1141" s="167"/>
      <c r="BD1141" s="66"/>
      <c r="BE1141" s="66"/>
    </row>
    <row r="1142" spans="1:57" s="1" customFormat="1" ht="23.25" customHeight="1" x14ac:dyDescent="0.4">
      <c r="A1142" s="37" t="str">
        <f t="shared" si="446"/>
        <v>19Д</v>
      </c>
      <c r="B1142" s="183"/>
      <c r="C1142" s="100"/>
      <c r="D1142" s="185"/>
      <c r="E1142" s="186" t="s">
        <v>57</v>
      </c>
      <c r="F1142" s="66" t="s">
        <v>87</v>
      </c>
      <c r="G1142" s="66"/>
      <c r="H1142" s="108" t="s">
        <v>131</v>
      </c>
      <c r="I1142" s="101"/>
      <c r="J1142" s="101"/>
      <c r="K1142" s="101"/>
      <c r="L1142" s="101"/>
      <c r="M1142" s="101"/>
      <c r="N1142" s="101"/>
      <c r="O1142" s="67"/>
      <c r="P1142" s="102"/>
      <c r="Q1142" s="102"/>
      <c r="R1142" s="102"/>
      <c r="S1142" s="102"/>
      <c r="T1142" s="102"/>
      <c r="U1142" s="67"/>
      <c r="V1142" s="67"/>
      <c r="W1142" s="103"/>
      <c r="X1142" s="187"/>
      <c r="Y1142" s="68" t="s">
        <v>74</v>
      </c>
      <c r="Z1142" s="69"/>
      <c r="AA1142" s="90"/>
      <c r="AB1142" s="100"/>
      <c r="AC1142" s="100"/>
      <c r="AD1142" s="186" t="s">
        <v>57</v>
      </c>
      <c r="AE1142" s="66"/>
      <c r="AF1142" s="66"/>
      <c r="AG1142" s="66"/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190"/>
      <c r="AU1142" s="66"/>
      <c r="AV1142" s="165"/>
      <c r="AW1142" s="293"/>
      <c r="AX1142" s="66"/>
      <c r="AY1142" s="66"/>
      <c r="AZ1142" s="66"/>
      <c r="BA1142" s="66"/>
      <c r="BB1142" s="66"/>
      <c r="BC1142" s="66"/>
      <c r="BD1142" s="68" t="s">
        <v>74</v>
      </c>
      <c r="BE1142" s="69"/>
    </row>
    <row r="1143" spans="1:57" s="1" customFormat="1" ht="23.25" customHeight="1" thickBot="1" x14ac:dyDescent="0.45">
      <c r="A1143" s="37" t="str">
        <f t="shared" si="446"/>
        <v>19Д</v>
      </c>
      <c r="B1143" s="183"/>
      <c r="C1143" s="41"/>
      <c r="D1143" s="184"/>
      <c r="E1143" s="50"/>
      <c r="F1143" s="70"/>
      <c r="G1143" s="70"/>
      <c r="H1143" s="70"/>
      <c r="I1143" s="104"/>
      <c r="J1143" s="104"/>
      <c r="K1143" s="104"/>
      <c r="L1143" s="104"/>
      <c r="M1143" s="104"/>
      <c r="N1143" s="104"/>
      <c r="O1143" s="71"/>
      <c r="P1143" s="105"/>
      <c r="Q1143" s="105"/>
      <c r="R1143" s="105"/>
      <c r="S1143" s="105"/>
      <c r="T1143" s="105"/>
      <c r="U1143" s="71"/>
      <c r="V1143" s="71"/>
      <c r="W1143" s="106"/>
      <c r="X1143" s="188"/>
      <c r="Y1143" s="72"/>
      <c r="Z1143" s="73"/>
      <c r="AA1143" s="90"/>
      <c r="AB1143" s="41"/>
      <c r="AC1143" s="41"/>
      <c r="AD1143" s="50"/>
      <c r="AE1143" s="47"/>
      <c r="AF1143" s="47"/>
      <c r="AG1143" s="47"/>
      <c r="AH1143" s="47"/>
      <c r="AI1143" s="47"/>
      <c r="AJ1143" s="47"/>
      <c r="AK1143" s="47"/>
      <c r="AL1143" s="47"/>
      <c r="AM1143" s="70"/>
      <c r="AN1143" s="47"/>
      <c r="AO1143" s="70"/>
      <c r="AP1143" s="70"/>
      <c r="AQ1143" s="70"/>
      <c r="AR1143" s="70"/>
      <c r="AS1143" s="70"/>
      <c r="AT1143" s="191"/>
      <c r="AU1143" s="70"/>
      <c r="AV1143" s="192"/>
      <c r="AW1143" s="294"/>
      <c r="AX1143" s="70"/>
      <c r="AY1143" s="70"/>
      <c r="AZ1143" s="70"/>
      <c r="BA1143" s="70"/>
      <c r="BB1143" s="70"/>
      <c r="BC1143" s="70"/>
      <c r="BD1143" s="72"/>
      <c r="BE1143" s="73"/>
    </row>
    <row r="1144" spans="1:57" s="1" customFormat="1" ht="58.5" customHeight="1" x14ac:dyDescent="0.4">
      <c r="A1144" s="37" t="str">
        <f t="shared" si="446"/>
        <v>19Д</v>
      </c>
      <c r="B1144" s="183"/>
      <c r="C1144" s="41"/>
      <c r="D1144" s="184"/>
      <c r="E1144" s="281">
        <f>B1139</f>
        <v>46041</v>
      </c>
      <c r="F1144" s="337"/>
      <c r="G1144" s="338"/>
      <c r="H1144" s="338"/>
      <c r="I1144" s="338"/>
      <c r="J1144" s="338"/>
      <c r="K1144" s="338"/>
      <c r="L1144" s="338"/>
      <c r="M1144" s="338"/>
      <c r="N1144" s="338"/>
      <c r="O1144" s="338"/>
      <c r="P1144" s="338"/>
      <c r="Q1144" s="338"/>
      <c r="R1144" s="338"/>
      <c r="S1144" s="338"/>
      <c r="T1144" s="338"/>
      <c r="U1144" s="338"/>
      <c r="V1144" s="338"/>
      <c r="W1144" s="338"/>
      <c r="X1144" s="98">
        <v>1</v>
      </c>
      <c r="Y1144" s="74">
        <v>1</v>
      </c>
      <c r="Z1144" s="75">
        <f t="shared" ref="Z1144:Z1155" si="452">Y1144-X1144</f>
        <v>0</v>
      </c>
      <c r="AA1144" s="189"/>
      <c r="AB1144" s="41"/>
      <c r="AC1144" s="184"/>
      <c r="AD1144" s="210">
        <f>E1144</f>
        <v>46041</v>
      </c>
      <c r="AE1144" s="387"/>
      <c r="AF1144" s="388"/>
      <c r="AG1144" s="388"/>
      <c r="AH1144" s="388"/>
      <c r="AI1144" s="388"/>
      <c r="AJ1144" s="388"/>
      <c r="AK1144" s="388"/>
      <c r="AL1144" s="388"/>
      <c r="AM1144" s="388"/>
      <c r="AN1144" s="388"/>
      <c r="AO1144" s="388"/>
      <c r="AP1144" s="388"/>
      <c r="AQ1144" s="388"/>
      <c r="AR1144" s="388"/>
      <c r="AS1144" s="388"/>
      <c r="AT1144" s="388"/>
      <c r="AU1144" s="388"/>
      <c r="AV1144" s="388"/>
      <c r="AW1144" s="388"/>
      <c r="AX1144" s="388"/>
      <c r="AY1144" s="388"/>
      <c r="AZ1144" s="388"/>
      <c r="BA1144" s="388"/>
      <c r="BB1144" s="389"/>
      <c r="BC1144" s="98">
        <v>1</v>
      </c>
      <c r="BD1144" s="74">
        <v>1</v>
      </c>
      <c r="BE1144" s="75">
        <f t="shared" ref="BE1144:BE1155" si="453">BD1144-BC1144</f>
        <v>0</v>
      </c>
    </row>
    <row r="1145" spans="1:57" s="1" customFormat="1" ht="21.9" customHeight="1" x14ac:dyDescent="0.4">
      <c r="A1145" s="37" t="str">
        <f t="shared" si="446"/>
        <v>19Д</v>
      </c>
      <c r="B1145" s="183"/>
      <c r="C1145" s="41"/>
      <c r="D1145" s="184"/>
      <c r="E1145" s="282">
        <f>E1144</f>
        <v>46041</v>
      </c>
      <c r="F1145" s="335"/>
      <c r="G1145" s="336"/>
      <c r="H1145" s="336"/>
      <c r="I1145" s="336"/>
      <c r="J1145" s="336"/>
      <c r="K1145" s="336"/>
      <c r="L1145" s="336"/>
      <c r="M1145" s="336"/>
      <c r="N1145" s="336"/>
      <c r="O1145" s="336"/>
      <c r="P1145" s="336"/>
      <c r="Q1145" s="336"/>
      <c r="R1145" s="336"/>
      <c r="S1145" s="336"/>
      <c r="T1145" s="336"/>
      <c r="U1145" s="336"/>
      <c r="V1145" s="336"/>
      <c r="W1145" s="336"/>
      <c r="X1145" s="98">
        <v>1</v>
      </c>
      <c r="Y1145" s="74">
        <v>1</v>
      </c>
      <c r="Z1145" s="75">
        <f t="shared" si="452"/>
        <v>0</v>
      </c>
      <c r="AA1145" s="107">
        <f>AA1144</f>
        <v>0</v>
      </c>
      <c r="AB1145" s="41"/>
      <c r="AC1145" s="184"/>
      <c r="AD1145" s="212">
        <f>AD1144</f>
        <v>46041</v>
      </c>
      <c r="AE1145" s="387"/>
      <c r="AF1145" s="388"/>
      <c r="AG1145" s="388"/>
      <c r="AH1145" s="388"/>
      <c r="AI1145" s="388"/>
      <c r="AJ1145" s="388"/>
      <c r="AK1145" s="388"/>
      <c r="AL1145" s="388"/>
      <c r="AM1145" s="388"/>
      <c r="AN1145" s="388"/>
      <c r="AO1145" s="388"/>
      <c r="AP1145" s="388"/>
      <c r="AQ1145" s="388"/>
      <c r="AR1145" s="388"/>
      <c r="AS1145" s="388"/>
      <c r="AT1145" s="388"/>
      <c r="AU1145" s="388"/>
      <c r="AV1145" s="388"/>
      <c r="AW1145" s="388"/>
      <c r="AX1145" s="388"/>
      <c r="AY1145" s="388"/>
      <c r="AZ1145" s="388"/>
      <c r="BA1145" s="388"/>
      <c r="BB1145" s="389"/>
      <c r="BC1145" s="98">
        <v>1</v>
      </c>
      <c r="BD1145" s="74">
        <v>1</v>
      </c>
      <c r="BE1145" s="75">
        <f t="shared" si="453"/>
        <v>0</v>
      </c>
    </row>
    <row r="1146" spans="1:57" s="1" customFormat="1" ht="21.9" customHeight="1" x14ac:dyDescent="0.4">
      <c r="A1146" s="37" t="str">
        <f t="shared" si="446"/>
        <v>19Д</v>
      </c>
      <c r="B1146" s="183"/>
      <c r="C1146" s="41"/>
      <c r="D1146" s="184"/>
      <c r="E1146" s="282">
        <f t="shared" ref="E1146:E1155" si="454">E1145</f>
        <v>46041</v>
      </c>
      <c r="F1146" s="335"/>
      <c r="G1146" s="336"/>
      <c r="H1146" s="336"/>
      <c r="I1146" s="336"/>
      <c r="J1146" s="336"/>
      <c r="K1146" s="336"/>
      <c r="L1146" s="336"/>
      <c r="M1146" s="336"/>
      <c r="N1146" s="336"/>
      <c r="O1146" s="336"/>
      <c r="P1146" s="336"/>
      <c r="Q1146" s="336"/>
      <c r="R1146" s="336"/>
      <c r="S1146" s="336"/>
      <c r="T1146" s="336"/>
      <c r="U1146" s="336"/>
      <c r="V1146" s="336"/>
      <c r="W1146" s="336"/>
      <c r="X1146" s="98">
        <v>1</v>
      </c>
      <c r="Y1146" s="74">
        <v>1</v>
      </c>
      <c r="Z1146" s="75">
        <f t="shared" si="452"/>
        <v>0</v>
      </c>
      <c r="AA1146" s="107">
        <f>AA1145</f>
        <v>0</v>
      </c>
      <c r="AB1146" s="41"/>
      <c r="AC1146" s="184"/>
      <c r="AD1146" s="212">
        <f t="shared" ref="AD1146:AD1155" si="455">AD1145</f>
        <v>46041</v>
      </c>
      <c r="AE1146" s="387"/>
      <c r="AF1146" s="388"/>
      <c r="AG1146" s="388"/>
      <c r="AH1146" s="388"/>
      <c r="AI1146" s="388"/>
      <c r="AJ1146" s="388"/>
      <c r="AK1146" s="388"/>
      <c r="AL1146" s="388"/>
      <c r="AM1146" s="388"/>
      <c r="AN1146" s="388"/>
      <c r="AO1146" s="388"/>
      <c r="AP1146" s="388"/>
      <c r="AQ1146" s="388"/>
      <c r="AR1146" s="388"/>
      <c r="AS1146" s="388"/>
      <c r="AT1146" s="388"/>
      <c r="AU1146" s="388"/>
      <c r="AV1146" s="388"/>
      <c r="AW1146" s="388"/>
      <c r="AX1146" s="388"/>
      <c r="AY1146" s="388"/>
      <c r="AZ1146" s="388"/>
      <c r="BA1146" s="388"/>
      <c r="BB1146" s="389"/>
      <c r="BC1146" s="98">
        <v>1</v>
      </c>
      <c r="BD1146" s="74">
        <v>1</v>
      </c>
      <c r="BE1146" s="75">
        <f t="shared" si="453"/>
        <v>0</v>
      </c>
    </row>
    <row r="1147" spans="1:57" s="1" customFormat="1" ht="21.9" customHeight="1" x14ac:dyDescent="0.4">
      <c r="A1147" s="37" t="str">
        <f t="shared" si="446"/>
        <v>19Д</v>
      </c>
      <c r="B1147" s="183"/>
      <c r="C1147" s="41"/>
      <c r="D1147" s="184"/>
      <c r="E1147" s="282">
        <f t="shared" si="454"/>
        <v>46041</v>
      </c>
      <c r="F1147" s="335"/>
      <c r="G1147" s="336"/>
      <c r="H1147" s="336"/>
      <c r="I1147" s="336"/>
      <c r="J1147" s="336"/>
      <c r="K1147" s="336"/>
      <c r="L1147" s="336"/>
      <c r="M1147" s="336"/>
      <c r="N1147" s="336"/>
      <c r="O1147" s="336"/>
      <c r="P1147" s="336"/>
      <c r="Q1147" s="336"/>
      <c r="R1147" s="336"/>
      <c r="S1147" s="336"/>
      <c r="T1147" s="336"/>
      <c r="U1147" s="336"/>
      <c r="V1147" s="336"/>
      <c r="W1147" s="336"/>
      <c r="X1147" s="98">
        <v>1</v>
      </c>
      <c r="Y1147" s="74">
        <v>1</v>
      </c>
      <c r="Z1147" s="75">
        <f t="shared" si="452"/>
        <v>0</v>
      </c>
      <c r="AA1147" s="107">
        <f t="shared" ref="AA1147:AA1155" si="456">AA1146</f>
        <v>0</v>
      </c>
      <c r="AB1147" s="41"/>
      <c r="AC1147" s="184"/>
      <c r="AD1147" s="212">
        <f t="shared" si="455"/>
        <v>46041</v>
      </c>
      <c r="AE1147" s="387"/>
      <c r="AF1147" s="388"/>
      <c r="AG1147" s="388"/>
      <c r="AH1147" s="388"/>
      <c r="AI1147" s="388"/>
      <c r="AJ1147" s="388"/>
      <c r="AK1147" s="388"/>
      <c r="AL1147" s="388"/>
      <c r="AM1147" s="388"/>
      <c r="AN1147" s="388"/>
      <c r="AO1147" s="388"/>
      <c r="AP1147" s="388"/>
      <c r="AQ1147" s="388"/>
      <c r="AR1147" s="388"/>
      <c r="AS1147" s="388"/>
      <c r="AT1147" s="388"/>
      <c r="AU1147" s="388"/>
      <c r="AV1147" s="388"/>
      <c r="AW1147" s="388"/>
      <c r="AX1147" s="388"/>
      <c r="AY1147" s="388"/>
      <c r="AZ1147" s="388"/>
      <c r="BA1147" s="388"/>
      <c r="BB1147" s="389"/>
      <c r="BC1147" s="98">
        <v>1</v>
      </c>
      <c r="BD1147" s="74">
        <v>1</v>
      </c>
      <c r="BE1147" s="75">
        <f t="shared" si="453"/>
        <v>0</v>
      </c>
    </row>
    <row r="1148" spans="1:57" s="1" customFormat="1" ht="18" customHeight="1" x14ac:dyDescent="0.4">
      <c r="A1148" s="37" t="str">
        <f t="shared" si="446"/>
        <v>19Д</v>
      </c>
      <c r="B1148" s="183"/>
      <c r="C1148" s="41"/>
      <c r="D1148" s="184"/>
      <c r="E1148" s="282">
        <f t="shared" si="454"/>
        <v>46041</v>
      </c>
      <c r="F1148" s="335"/>
      <c r="G1148" s="336"/>
      <c r="H1148" s="336"/>
      <c r="I1148" s="336"/>
      <c r="J1148" s="336"/>
      <c r="K1148" s="336"/>
      <c r="L1148" s="336"/>
      <c r="M1148" s="336"/>
      <c r="N1148" s="336"/>
      <c r="O1148" s="336"/>
      <c r="P1148" s="336"/>
      <c r="Q1148" s="336"/>
      <c r="R1148" s="336"/>
      <c r="S1148" s="336"/>
      <c r="T1148" s="336"/>
      <c r="U1148" s="336"/>
      <c r="V1148" s="336"/>
      <c r="W1148" s="336"/>
      <c r="X1148" s="98">
        <v>1</v>
      </c>
      <c r="Y1148" s="74">
        <v>1</v>
      </c>
      <c r="Z1148" s="75">
        <f t="shared" si="452"/>
        <v>0</v>
      </c>
      <c r="AA1148" s="107">
        <f t="shared" si="456"/>
        <v>0</v>
      </c>
      <c r="AB1148" s="41"/>
      <c r="AC1148" s="184"/>
      <c r="AD1148" s="212">
        <f t="shared" si="455"/>
        <v>46041</v>
      </c>
      <c r="AE1148" s="387"/>
      <c r="AF1148" s="388"/>
      <c r="AG1148" s="388"/>
      <c r="AH1148" s="388"/>
      <c r="AI1148" s="388"/>
      <c r="AJ1148" s="388"/>
      <c r="AK1148" s="388"/>
      <c r="AL1148" s="388"/>
      <c r="AM1148" s="388"/>
      <c r="AN1148" s="388"/>
      <c r="AO1148" s="388"/>
      <c r="AP1148" s="388"/>
      <c r="AQ1148" s="388"/>
      <c r="AR1148" s="388"/>
      <c r="AS1148" s="388"/>
      <c r="AT1148" s="388"/>
      <c r="AU1148" s="388"/>
      <c r="AV1148" s="388"/>
      <c r="AW1148" s="388"/>
      <c r="AX1148" s="388"/>
      <c r="AY1148" s="388"/>
      <c r="AZ1148" s="388"/>
      <c r="BA1148" s="388"/>
      <c r="BB1148" s="389"/>
      <c r="BC1148" s="98">
        <v>1</v>
      </c>
      <c r="BD1148" s="74">
        <v>1</v>
      </c>
      <c r="BE1148" s="75">
        <f t="shared" si="453"/>
        <v>0</v>
      </c>
    </row>
    <row r="1149" spans="1:57" s="1" customFormat="1" ht="18" customHeight="1" x14ac:dyDescent="0.4">
      <c r="A1149" s="37" t="str">
        <f t="shared" si="446"/>
        <v>19Д</v>
      </c>
      <c r="B1149" s="183"/>
      <c r="C1149" s="41"/>
      <c r="D1149" s="184"/>
      <c r="E1149" s="282">
        <f t="shared" si="454"/>
        <v>46041</v>
      </c>
      <c r="F1149" s="335"/>
      <c r="G1149" s="336"/>
      <c r="H1149" s="336"/>
      <c r="I1149" s="336"/>
      <c r="J1149" s="336"/>
      <c r="K1149" s="336"/>
      <c r="L1149" s="336"/>
      <c r="M1149" s="336"/>
      <c r="N1149" s="336"/>
      <c r="O1149" s="336"/>
      <c r="P1149" s="336"/>
      <c r="Q1149" s="336"/>
      <c r="R1149" s="336"/>
      <c r="S1149" s="336"/>
      <c r="T1149" s="336"/>
      <c r="U1149" s="336"/>
      <c r="V1149" s="336"/>
      <c r="W1149" s="336"/>
      <c r="X1149" s="98">
        <v>1</v>
      </c>
      <c r="Y1149" s="74">
        <v>1</v>
      </c>
      <c r="Z1149" s="75">
        <f t="shared" si="452"/>
        <v>0</v>
      </c>
      <c r="AA1149" s="107">
        <f t="shared" si="456"/>
        <v>0</v>
      </c>
      <c r="AB1149" s="41"/>
      <c r="AC1149" s="184"/>
      <c r="AD1149" s="212">
        <f t="shared" si="455"/>
        <v>46041</v>
      </c>
      <c r="AE1149" s="387"/>
      <c r="AF1149" s="388"/>
      <c r="AG1149" s="388"/>
      <c r="AH1149" s="388"/>
      <c r="AI1149" s="388"/>
      <c r="AJ1149" s="388"/>
      <c r="AK1149" s="388"/>
      <c r="AL1149" s="388"/>
      <c r="AM1149" s="388"/>
      <c r="AN1149" s="388"/>
      <c r="AO1149" s="388"/>
      <c r="AP1149" s="388"/>
      <c r="AQ1149" s="388"/>
      <c r="AR1149" s="388"/>
      <c r="AS1149" s="388"/>
      <c r="AT1149" s="388"/>
      <c r="AU1149" s="388"/>
      <c r="AV1149" s="388"/>
      <c r="AW1149" s="388"/>
      <c r="AX1149" s="388"/>
      <c r="AY1149" s="388"/>
      <c r="AZ1149" s="388"/>
      <c r="BA1149" s="388"/>
      <c r="BB1149" s="389"/>
      <c r="BC1149" s="98">
        <v>1</v>
      </c>
      <c r="BD1149" s="74">
        <v>1</v>
      </c>
      <c r="BE1149" s="75">
        <f t="shared" si="453"/>
        <v>0</v>
      </c>
    </row>
    <row r="1150" spans="1:57" s="1" customFormat="1" ht="18" customHeight="1" x14ac:dyDescent="0.4">
      <c r="A1150" s="37" t="str">
        <f t="shared" si="446"/>
        <v>19Д</v>
      </c>
      <c r="B1150" s="183"/>
      <c r="C1150" s="41"/>
      <c r="D1150" s="184"/>
      <c r="E1150" s="282">
        <f t="shared" si="454"/>
        <v>46041</v>
      </c>
      <c r="F1150" s="335"/>
      <c r="G1150" s="336"/>
      <c r="H1150" s="336"/>
      <c r="I1150" s="336"/>
      <c r="J1150" s="336"/>
      <c r="K1150" s="336"/>
      <c r="L1150" s="336"/>
      <c r="M1150" s="336"/>
      <c r="N1150" s="336"/>
      <c r="O1150" s="336"/>
      <c r="P1150" s="336"/>
      <c r="Q1150" s="336"/>
      <c r="R1150" s="336"/>
      <c r="S1150" s="336"/>
      <c r="T1150" s="336"/>
      <c r="U1150" s="336"/>
      <c r="V1150" s="336"/>
      <c r="W1150" s="336"/>
      <c r="X1150" s="98">
        <v>1</v>
      </c>
      <c r="Y1150" s="74">
        <v>1</v>
      </c>
      <c r="Z1150" s="75">
        <f t="shared" si="452"/>
        <v>0</v>
      </c>
      <c r="AA1150" s="107">
        <f t="shared" si="456"/>
        <v>0</v>
      </c>
      <c r="AB1150" s="41"/>
      <c r="AC1150" s="184"/>
      <c r="AD1150" s="212">
        <f t="shared" si="455"/>
        <v>46041</v>
      </c>
      <c r="AE1150" s="387"/>
      <c r="AF1150" s="388"/>
      <c r="AG1150" s="388"/>
      <c r="AH1150" s="388"/>
      <c r="AI1150" s="388"/>
      <c r="AJ1150" s="388"/>
      <c r="AK1150" s="388"/>
      <c r="AL1150" s="388"/>
      <c r="AM1150" s="388"/>
      <c r="AN1150" s="388"/>
      <c r="AO1150" s="388"/>
      <c r="AP1150" s="388"/>
      <c r="AQ1150" s="388"/>
      <c r="AR1150" s="388"/>
      <c r="AS1150" s="388"/>
      <c r="AT1150" s="388"/>
      <c r="AU1150" s="388"/>
      <c r="AV1150" s="388"/>
      <c r="AW1150" s="388"/>
      <c r="AX1150" s="388"/>
      <c r="AY1150" s="388"/>
      <c r="AZ1150" s="388"/>
      <c r="BA1150" s="388"/>
      <c r="BB1150" s="389"/>
      <c r="BC1150" s="98">
        <v>1</v>
      </c>
      <c r="BD1150" s="74">
        <v>1</v>
      </c>
      <c r="BE1150" s="75">
        <f t="shared" si="453"/>
        <v>0</v>
      </c>
    </row>
    <row r="1151" spans="1:57" s="1" customFormat="1" ht="18" customHeight="1" x14ac:dyDescent="0.4">
      <c r="A1151" s="37" t="str">
        <f t="shared" si="446"/>
        <v>19Д</v>
      </c>
      <c r="B1151" s="183"/>
      <c r="C1151" s="41"/>
      <c r="D1151" s="184"/>
      <c r="E1151" s="282">
        <f t="shared" si="454"/>
        <v>46041</v>
      </c>
      <c r="F1151" s="335"/>
      <c r="G1151" s="336"/>
      <c r="H1151" s="336"/>
      <c r="I1151" s="336"/>
      <c r="J1151" s="336"/>
      <c r="K1151" s="336"/>
      <c r="L1151" s="336"/>
      <c r="M1151" s="336"/>
      <c r="N1151" s="336"/>
      <c r="O1151" s="336"/>
      <c r="P1151" s="336"/>
      <c r="Q1151" s="336"/>
      <c r="R1151" s="336"/>
      <c r="S1151" s="336"/>
      <c r="T1151" s="336"/>
      <c r="U1151" s="336"/>
      <c r="V1151" s="336"/>
      <c r="W1151" s="336"/>
      <c r="X1151" s="98">
        <v>1</v>
      </c>
      <c r="Y1151" s="74">
        <v>1</v>
      </c>
      <c r="Z1151" s="75">
        <f t="shared" si="452"/>
        <v>0</v>
      </c>
      <c r="AA1151" s="107">
        <f t="shared" si="456"/>
        <v>0</v>
      </c>
      <c r="AB1151" s="41"/>
      <c r="AC1151" s="184"/>
      <c r="AD1151" s="212">
        <f t="shared" si="455"/>
        <v>46041</v>
      </c>
      <c r="AE1151" s="387"/>
      <c r="AF1151" s="388"/>
      <c r="AG1151" s="388"/>
      <c r="AH1151" s="388"/>
      <c r="AI1151" s="388"/>
      <c r="AJ1151" s="388"/>
      <c r="AK1151" s="388"/>
      <c r="AL1151" s="388"/>
      <c r="AM1151" s="388"/>
      <c r="AN1151" s="388"/>
      <c r="AO1151" s="388"/>
      <c r="AP1151" s="388"/>
      <c r="AQ1151" s="388"/>
      <c r="AR1151" s="388"/>
      <c r="AS1151" s="388"/>
      <c r="AT1151" s="388"/>
      <c r="AU1151" s="388"/>
      <c r="AV1151" s="388"/>
      <c r="AW1151" s="388"/>
      <c r="AX1151" s="388"/>
      <c r="AY1151" s="388"/>
      <c r="AZ1151" s="388"/>
      <c r="BA1151" s="388"/>
      <c r="BB1151" s="389"/>
      <c r="BC1151" s="98">
        <v>1</v>
      </c>
      <c r="BD1151" s="74">
        <v>1</v>
      </c>
      <c r="BE1151" s="75">
        <f t="shared" si="453"/>
        <v>0</v>
      </c>
    </row>
    <row r="1152" spans="1:57" s="1" customFormat="1" ht="18" customHeight="1" x14ac:dyDescent="0.4">
      <c r="A1152" s="37" t="str">
        <f t="shared" si="446"/>
        <v>19Д</v>
      </c>
      <c r="B1152" s="183"/>
      <c r="C1152" s="41"/>
      <c r="D1152" s="184"/>
      <c r="E1152" s="282">
        <f t="shared" si="454"/>
        <v>46041</v>
      </c>
      <c r="F1152" s="335"/>
      <c r="G1152" s="336"/>
      <c r="H1152" s="336"/>
      <c r="I1152" s="336"/>
      <c r="J1152" s="336"/>
      <c r="K1152" s="336"/>
      <c r="L1152" s="336"/>
      <c r="M1152" s="336"/>
      <c r="N1152" s="336"/>
      <c r="O1152" s="336"/>
      <c r="P1152" s="336"/>
      <c r="Q1152" s="336"/>
      <c r="R1152" s="336"/>
      <c r="S1152" s="336"/>
      <c r="T1152" s="336"/>
      <c r="U1152" s="336"/>
      <c r="V1152" s="336"/>
      <c r="W1152" s="336"/>
      <c r="X1152" s="98">
        <v>1</v>
      </c>
      <c r="Y1152" s="74">
        <v>1</v>
      </c>
      <c r="Z1152" s="75">
        <f t="shared" si="452"/>
        <v>0</v>
      </c>
      <c r="AA1152" s="107">
        <f t="shared" si="456"/>
        <v>0</v>
      </c>
      <c r="AB1152" s="41"/>
      <c r="AC1152" s="184"/>
      <c r="AD1152" s="212">
        <f t="shared" si="455"/>
        <v>46041</v>
      </c>
      <c r="AE1152" s="387"/>
      <c r="AF1152" s="388"/>
      <c r="AG1152" s="388"/>
      <c r="AH1152" s="388"/>
      <c r="AI1152" s="388"/>
      <c r="AJ1152" s="388"/>
      <c r="AK1152" s="388"/>
      <c r="AL1152" s="388"/>
      <c r="AM1152" s="388"/>
      <c r="AN1152" s="388"/>
      <c r="AO1152" s="388"/>
      <c r="AP1152" s="388"/>
      <c r="AQ1152" s="388"/>
      <c r="AR1152" s="388"/>
      <c r="AS1152" s="388"/>
      <c r="AT1152" s="388"/>
      <c r="AU1152" s="388"/>
      <c r="AV1152" s="388"/>
      <c r="AW1152" s="388"/>
      <c r="AX1152" s="388"/>
      <c r="AY1152" s="388"/>
      <c r="AZ1152" s="388"/>
      <c r="BA1152" s="388"/>
      <c r="BB1152" s="389"/>
      <c r="BC1152" s="98">
        <v>1</v>
      </c>
      <c r="BD1152" s="74">
        <v>1</v>
      </c>
      <c r="BE1152" s="75">
        <f t="shared" si="453"/>
        <v>0</v>
      </c>
    </row>
    <row r="1153" spans="1:57" s="1" customFormat="1" ht="18" customHeight="1" x14ac:dyDescent="0.4">
      <c r="A1153" s="37" t="str">
        <f t="shared" si="446"/>
        <v>19Д</v>
      </c>
      <c r="B1153" s="183"/>
      <c r="C1153" s="41"/>
      <c r="D1153" s="184"/>
      <c r="E1153" s="282">
        <f t="shared" si="454"/>
        <v>46041</v>
      </c>
      <c r="F1153" s="335"/>
      <c r="G1153" s="336"/>
      <c r="H1153" s="336"/>
      <c r="I1153" s="336"/>
      <c r="J1153" s="336"/>
      <c r="K1153" s="336"/>
      <c r="L1153" s="336"/>
      <c r="M1153" s="336"/>
      <c r="N1153" s="336"/>
      <c r="O1153" s="336"/>
      <c r="P1153" s="336"/>
      <c r="Q1153" s="336"/>
      <c r="R1153" s="336"/>
      <c r="S1153" s="336"/>
      <c r="T1153" s="336"/>
      <c r="U1153" s="336"/>
      <c r="V1153" s="336"/>
      <c r="W1153" s="336"/>
      <c r="X1153" s="98">
        <v>1</v>
      </c>
      <c r="Y1153" s="74">
        <v>1</v>
      </c>
      <c r="Z1153" s="75">
        <f t="shared" si="452"/>
        <v>0</v>
      </c>
      <c r="AA1153" s="107">
        <f t="shared" si="456"/>
        <v>0</v>
      </c>
      <c r="AB1153" s="41"/>
      <c r="AC1153" s="184"/>
      <c r="AD1153" s="212">
        <f t="shared" si="455"/>
        <v>46041</v>
      </c>
      <c r="AE1153" s="387"/>
      <c r="AF1153" s="388"/>
      <c r="AG1153" s="388"/>
      <c r="AH1153" s="388"/>
      <c r="AI1153" s="388"/>
      <c r="AJ1153" s="388"/>
      <c r="AK1153" s="388"/>
      <c r="AL1153" s="388"/>
      <c r="AM1153" s="388"/>
      <c r="AN1153" s="388"/>
      <c r="AO1153" s="388"/>
      <c r="AP1153" s="388"/>
      <c r="AQ1153" s="388"/>
      <c r="AR1153" s="388"/>
      <c r="AS1153" s="388"/>
      <c r="AT1153" s="388"/>
      <c r="AU1153" s="388"/>
      <c r="AV1153" s="388"/>
      <c r="AW1153" s="388"/>
      <c r="AX1153" s="388"/>
      <c r="AY1153" s="388"/>
      <c r="AZ1153" s="388"/>
      <c r="BA1153" s="388"/>
      <c r="BB1153" s="389"/>
      <c r="BC1153" s="98">
        <v>1</v>
      </c>
      <c r="BD1153" s="74">
        <v>1</v>
      </c>
      <c r="BE1153" s="75">
        <f t="shared" si="453"/>
        <v>0</v>
      </c>
    </row>
    <row r="1154" spans="1:57" s="1" customFormat="1" ht="18" customHeight="1" x14ac:dyDescent="0.4">
      <c r="A1154" s="37" t="str">
        <f t="shared" si="446"/>
        <v>19Д</v>
      </c>
      <c r="B1154" s="183"/>
      <c r="C1154" s="41"/>
      <c r="D1154" s="184"/>
      <c r="E1154" s="282">
        <f t="shared" si="454"/>
        <v>46041</v>
      </c>
      <c r="F1154" s="335"/>
      <c r="G1154" s="336"/>
      <c r="H1154" s="336"/>
      <c r="I1154" s="336"/>
      <c r="J1154" s="336"/>
      <c r="K1154" s="336"/>
      <c r="L1154" s="336"/>
      <c r="M1154" s="336"/>
      <c r="N1154" s="336"/>
      <c r="O1154" s="336"/>
      <c r="P1154" s="336"/>
      <c r="Q1154" s="336"/>
      <c r="R1154" s="336"/>
      <c r="S1154" s="336"/>
      <c r="T1154" s="336"/>
      <c r="U1154" s="336"/>
      <c r="V1154" s="336"/>
      <c r="W1154" s="336"/>
      <c r="X1154" s="98">
        <v>1</v>
      </c>
      <c r="Y1154" s="74">
        <v>1</v>
      </c>
      <c r="Z1154" s="75">
        <f t="shared" si="452"/>
        <v>0</v>
      </c>
      <c r="AA1154" s="107">
        <f t="shared" si="456"/>
        <v>0</v>
      </c>
      <c r="AB1154" s="41"/>
      <c r="AC1154" s="184"/>
      <c r="AD1154" s="212">
        <f t="shared" si="455"/>
        <v>46041</v>
      </c>
      <c r="AE1154" s="387"/>
      <c r="AF1154" s="388"/>
      <c r="AG1154" s="388"/>
      <c r="AH1154" s="388"/>
      <c r="AI1154" s="388"/>
      <c r="AJ1154" s="388"/>
      <c r="AK1154" s="388"/>
      <c r="AL1154" s="388"/>
      <c r="AM1154" s="388"/>
      <c r="AN1154" s="388"/>
      <c r="AO1154" s="388"/>
      <c r="AP1154" s="388"/>
      <c r="AQ1154" s="388"/>
      <c r="AR1154" s="388"/>
      <c r="AS1154" s="388"/>
      <c r="AT1154" s="388"/>
      <c r="AU1154" s="388"/>
      <c r="AV1154" s="388"/>
      <c r="AW1154" s="388"/>
      <c r="AX1154" s="388"/>
      <c r="AY1154" s="388"/>
      <c r="AZ1154" s="388"/>
      <c r="BA1154" s="388"/>
      <c r="BB1154" s="389"/>
      <c r="BC1154" s="98">
        <v>1</v>
      </c>
      <c r="BD1154" s="74">
        <v>1</v>
      </c>
      <c r="BE1154" s="75">
        <f t="shared" si="453"/>
        <v>0</v>
      </c>
    </row>
    <row r="1155" spans="1:57" s="1" customFormat="1" ht="18" customHeight="1" thickBot="1" x14ac:dyDescent="0.45">
      <c r="A1155" s="37" t="str">
        <f t="shared" si="446"/>
        <v>19Д</v>
      </c>
      <c r="B1155" s="183"/>
      <c r="C1155" s="41"/>
      <c r="D1155" s="184"/>
      <c r="E1155" s="283">
        <f t="shared" si="454"/>
        <v>46041</v>
      </c>
      <c r="F1155" s="339"/>
      <c r="G1155" s="340"/>
      <c r="H1155" s="340"/>
      <c r="I1155" s="340"/>
      <c r="J1155" s="340"/>
      <c r="K1155" s="340"/>
      <c r="L1155" s="340"/>
      <c r="M1155" s="340"/>
      <c r="N1155" s="340"/>
      <c r="O1155" s="340"/>
      <c r="P1155" s="340"/>
      <c r="Q1155" s="340"/>
      <c r="R1155" s="340"/>
      <c r="S1155" s="340"/>
      <c r="T1155" s="340"/>
      <c r="U1155" s="340"/>
      <c r="V1155" s="340"/>
      <c r="W1155" s="340"/>
      <c r="X1155" s="99">
        <v>1</v>
      </c>
      <c r="Y1155" s="76">
        <v>1</v>
      </c>
      <c r="Z1155" s="77">
        <f t="shared" si="452"/>
        <v>0</v>
      </c>
      <c r="AA1155" s="107">
        <f t="shared" si="456"/>
        <v>0</v>
      </c>
      <c r="AB1155" s="41"/>
      <c r="AC1155" s="184"/>
      <c r="AD1155" s="211">
        <f t="shared" si="455"/>
        <v>46041</v>
      </c>
      <c r="AE1155" s="410"/>
      <c r="AF1155" s="411"/>
      <c r="AG1155" s="411"/>
      <c r="AH1155" s="411"/>
      <c r="AI1155" s="411"/>
      <c r="AJ1155" s="411"/>
      <c r="AK1155" s="411"/>
      <c r="AL1155" s="411"/>
      <c r="AM1155" s="411"/>
      <c r="AN1155" s="411"/>
      <c r="AO1155" s="411"/>
      <c r="AP1155" s="411"/>
      <c r="AQ1155" s="411"/>
      <c r="AR1155" s="411"/>
      <c r="AS1155" s="411"/>
      <c r="AT1155" s="411"/>
      <c r="AU1155" s="411"/>
      <c r="AV1155" s="411"/>
      <c r="AW1155" s="411"/>
      <c r="AX1155" s="411"/>
      <c r="AY1155" s="411"/>
      <c r="AZ1155" s="411"/>
      <c r="BA1155" s="411"/>
      <c r="BB1155" s="412"/>
      <c r="BC1155" s="99">
        <v>1</v>
      </c>
      <c r="BD1155" s="76">
        <v>1</v>
      </c>
      <c r="BE1155" s="75">
        <f t="shared" si="453"/>
        <v>0</v>
      </c>
    </row>
    <row r="1156" spans="1:57" s="1" customFormat="1" ht="23.25" customHeight="1" thickBot="1" x14ac:dyDescent="0.45">
      <c r="A1156" s="37" t="str">
        <f t="shared" si="446"/>
        <v>19Д</v>
      </c>
      <c r="B1156" s="193"/>
      <c r="C1156" s="47"/>
      <c r="D1156" s="47"/>
      <c r="E1156" s="47"/>
      <c r="F1156" s="78"/>
      <c r="G1156" s="78"/>
      <c r="H1156" s="78"/>
      <c r="I1156" s="80"/>
      <c r="J1156" s="80"/>
      <c r="K1156" s="80"/>
      <c r="L1156" s="80"/>
      <c r="M1156" s="80"/>
      <c r="N1156" s="80"/>
      <c r="O1156" s="78"/>
      <c r="P1156" s="81"/>
      <c r="Q1156" s="81"/>
      <c r="R1156" s="81"/>
      <c r="S1156" s="81"/>
      <c r="T1156" s="81"/>
      <c r="U1156" s="82"/>
      <c r="V1156" s="82"/>
      <c r="W1156" s="86"/>
      <c r="X1156" s="194"/>
      <c r="Y1156" s="83"/>
      <c r="Z1156" s="83"/>
      <c r="AA1156" s="78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84"/>
      <c r="AN1156" s="47"/>
      <c r="AO1156" s="78"/>
      <c r="AP1156" s="78"/>
      <c r="AQ1156" s="78"/>
      <c r="AR1156" s="84"/>
      <c r="AS1156" s="78"/>
      <c r="AT1156" s="85"/>
      <c r="AU1156" s="78"/>
      <c r="AV1156" s="83"/>
      <c r="AW1156" s="83"/>
      <c r="AX1156" s="78"/>
      <c r="AY1156" s="78"/>
      <c r="AZ1156" s="78"/>
      <c r="BA1156" s="78"/>
      <c r="BB1156" s="78"/>
      <c r="BC1156" s="78"/>
      <c r="BD1156" s="79"/>
      <c r="BE1156" s="79"/>
    </row>
    <row r="1157" spans="1:57" s="1" customFormat="1" ht="21.6" customHeight="1" thickBot="1" x14ac:dyDescent="0.45">
      <c r="A1157" s="37" t="s">
        <v>183</v>
      </c>
      <c r="B1157" s="59"/>
      <c r="C1157" s="51"/>
      <c r="D1157" s="51"/>
      <c r="E1157" s="51"/>
      <c r="F1157" s="158" t="s">
        <v>220</v>
      </c>
      <c r="G1157" s="51"/>
      <c r="H1157" s="51"/>
      <c r="I1157" s="156"/>
      <c r="J1157" s="156"/>
      <c r="K1157" s="156"/>
      <c r="L1157" s="156"/>
      <c r="M1157" s="156"/>
      <c r="N1157" s="156"/>
      <c r="O1157" s="91"/>
      <c r="P1157" s="52"/>
      <c r="Q1157" s="52"/>
      <c r="R1157" s="52"/>
      <c r="S1157" s="52"/>
      <c r="T1157" s="52"/>
      <c r="U1157" s="157"/>
      <c r="V1157" s="157"/>
      <c r="W1157" s="94"/>
      <c r="X1157" s="94"/>
      <c r="Y1157" s="51"/>
      <c r="Z1157" s="51"/>
      <c r="AA1157" s="157">
        <f>AA1140</f>
        <v>1</v>
      </c>
      <c r="AB1157" s="157">
        <f t="shared" ref="AB1157:AF1157" si="457">AB1140</f>
        <v>2</v>
      </c>
      <c r="AC1157" s="157">
        <f t="shared" si="457"/>
        <v>3</v>
      </c>
      <c r="AD1157" s="157">
        <f t="shared" si="457"/>
        <v>4</v>
      </c>
      <c r="AE1157" s="157">
        <f t="shared" si="457"/>
        <v>5</v>
      </c>
      <c r="AF1157" s="157">
        <f t="shared" si="457"/>
        <v>6</v>
      </c>
      <c r="AG1157" s="162" t="s">
        <v>123</v>
      </c>
      <c r="AH1157" s="162" t="s">
        <v>124</v>
      </c>
      <c r="AI1157" s="162" t="s">
        <v>125</v>
      </c>
      <c r="AJ1157" s="91" t="s">
        <v>126</v>
      </c>
      <c r="AK1157" s="198" t="s">
        <v>136</v>
      </c>
      <c r="AL1157" s="198" t="s">
        <v>137</v>
      </c>
      <c r="AM1157" s="198" t="s">
        <v>138</v>
      </c>
      <c r="AN1157" s="91"/>
      <c r="AO1157" s="91"/>
      <c r="AP1157" s="91"/>
      <c r="AQ1157" s="91"/>
      <c r="AR1157" s="91"/>
      <c r="AS1157" s="91"/>
      <c r="AT1157" s="91"/>
      <c r="AU1157" s="91"/>
      <c r="AV1157" s="91"/>
      <c r="AW1157" s="91"/>
      <c r="AX1157" s="91"/>
      <c r="AY1157" s="91"/>
      <c r="AZ1157" s="91"/>
      <c r="BA1157" s="91"/>
      <c r="BB1157" s="91"/>
      <c r="BC1157" s="91"/>
      <c r="BD1157" s="91"/>
      <c r="BE1157" s="91"/>
    </row>
    <row r="1158" spans="1:57" s="1" customFormat="1" ht="21.6" customHeight="1" x14ac:dyDescent="0.4">
      <c r="A1158" s="37" t="str">
        <f>A1157</f>
        <v>19Н</v>
      </c>
      <c r="B1158" s="12">
        <v>19</v>
      </c>
      <c r="C1158" s="97"/>
      <c r="D1158" s="97">
        <v>1</v>
      </c>
      <c r="E1158" s="29"/>
      <c r="F1158" s="151" t="str">
        <f>IFERROR(VLOOKUP($G1158,нормы!$A$14:$BC$57,2,0),"")</f>
        <v/>
      </c>
      <c r="G1158" s="93"/>
      <c r="H1158" s="54">
        <f>IF(C1158=1,"Кульков С.А.", IF(C1158=2,"Чудаков А.А.",IF(C1158=3,"Королев В.Н.",IF(C1158=4,"Николашин М.П.",IF(C1158=5," Кульков С.А.",IF(C1158=6,"А.А. Чудаков",IF(C1158=7,"В.Н. Королев",IF(C1158=8,"М.П. Николашин",0))))))))</f>
        <v>0</v>
      </c>
      <c r="I1158" s="88" t="s">
        <v>84</v>
      </c>
      <c r="J1158" s="332"/>
      <c r="K1158" s="30">
        <f>IFERROR(VLOOKUP($G1158,[1]нормы!$A$21:$BC$151,15,0),"")</f>
        <v>0</v>
      </c>
      <c r="L1158" s="31">
        <f>IFERROR(VLOOKUP($G1158,[1]нормы!$A$21:$BC$151,17,0),"")</f>
        <v>0</v>
      </c>
      <c r="M1158" s="310">
        <f>IFERROR(VLOOKUP($G1158,[1]нормы!$A$21:$BC$151,27,0),"")</f>
        <v>0</v>
      </c>
      <c r="N1158" s="311" t="str">
        <f>IFERROR(Y1158/Y1164*(1.1*J1158*I1163),"")</f>
        <v/>
      </c>
      <c r="O1158" s="300">
        <f>IFERROR(VLOOKUP($G1158,[1]нормы!$A$21:$BC$151,21,0),"")</f>
        <v>0</v>
      </c>
      <c r="P1158" s="35">
        <f>IFERROR(VLOOKUP($G1158,[1]нормы!$A$21:$BC$151,19,0),"")</f>
        <v>0</v>
      </c>
      <c r="Q1158" s="35">
        <f>IFERROR(VLOOKUP($G1158,[1]нормы!$A$21:$BC$151,23,0),"")</f>
        <v>0</v>
      </c>
      <c r="R1158" s="231">
        <f>IFERROR(VLOOKUP($G1158,[1]нормы!$A$21:$BC$151,29,0),"")</f>
        <v>0</v>
      </c>
      <c r="S1158" s="35">
        <f>IFERROR(VLOOKUP($G1158,[1]нормы!$A$21:$BC$151,31,0),"")</f>
        <v>0</v>
      </c>
      <c r="T1158" s="32">
        <f>IFERROR(VLOOKUP($G1158,[1]нормы!$A$21:$BC$151,25,0),"")</f>
        <v>0</v>
      </c>
      <c r="U1158" s="232" t="str">
        <f>IFERROR(W1158/(((100*Y1158/Y1164)*I1163)/100),"")</f>
        <v/>
      </c>
      <c r="V1158" s="234" t="str">
        <f>IFERROR(VLOOKUP($G1158,нормы!$A$14:$BC$57,38,0),"")</f>
        <v/>
      </c>
      <c r="W1158" s="136"/>
      <c r="X1158" s="236"/>
      <c r="Y1158" s="152" t="str">
        <f>IFERROR(VLOOKUP($G1158,нормы!$A$14:$BC$57,42,0)*W1158,"")</f>
        <v/>
      </c>
      <c r="Z1158" s="163">
        <f>IFERROR(VLOOKUP($G1158,нормы!$A$14:$BC$57,14,0)*W1158/1000,0)</f>
        <v>0</v>
      </c>
      <c r="AA1158" s="33"/>
      <c r="AB1158" s="36"/>
      <c r="AC1158" s="36"/>
      <c r="AD1158" s="36"/>
      <c r="AE1158" s="34"/>
      <c r="AF1158" s="159"/>
      <c r="AG1158" s="390"/>
      <c r="AH1158" s="393"/>
      <c r="AI1158" s="396"/>
      <c r="AJ1158" s="407">
        <f>AG1158+AH1158</f>
        <v>0</v>
      </c>
      <c r="AK1158" s="359"/>
      <c r="AL1158" s="359"/>
      <c r="AM1158" s="359"/>
      <c r="AN1158" s="287">
        <f>IFERROR(Y1158*AJ1158/Y1164,)</f>
        <v>0</v>
      </c>
      <c r="AO1158" s="197" t="str">
        <f>IFERROR(VLOOKUP($G1158,нормы!$A$14:$BC$57,53,0)*$W1158,"")</f>
        <v/>
      </c>
      <c r="AP1158" s="288">
        <f>IFERROR(Y1158*AI1158/Y1164,)</f>
        <v>0</v>
      </c>
      <c r="AQ1158" s="197" t="str">
        <f>IFERROR(VLOOKUP($G1158,нормы!$A$14:$BC$57,54,0)*$W1158,"")</f>
        <v/>
      </c>
      <c r="AR1158" s="288">
        <f>IFERROR(AS1158/SUM(AS1158:AS1163)*AL1158,0)</f>
        <v>0</v>
      </c>
      <c r="AS1158" s="197" t="str">
        <f>IFERROR(VLOOKUP($G1158,нормы!$A$14:$BC$57,55,0)*W1158,"")</f>
        <v/>
      </c>
      <c r="AT1158" s="288">
        <f>IFERROR(AU1158/SUM(AU1158:AU1163)*AM1158,0)</f>
        <v>0</v>
      </c>
      <c r="AU1158" s="197" t="str">
        <f>IFERROR(VLOOKUP($G1158,нормы!$A$14:$BI$57,56,0)*W1158,"")</f>
        <v/>
      </c>
      <c r="AV1158" s="288">
        <f>IFERROR(AW1158/SUM(AW1158:AW1163)*AK1158,0)</f>
        <v>0</v>
      </c>
      <c r="AW1158" s="202" t="str">
        <f>IFERROR(VLOOKUP($G1158,нормы!$A$14:$BI$57,57,0)*W1158,"")</f>
        <v/>
      </c>
      <c r="AX1158" s="33"/>
      <c r="AY1158" s="203" t="str">
        <f>IFERROR(VLOOKUP($G1158,нормы!$A$14:$BI$57,58,0)*W1158,"")</f>
        <v/>
      </c>
      <c r="AZ1158" s="204"/>
      <c r="BA1158" s="200" t="str">
        <f>IFERROR(VLOOKUP($G1158,нормы!$A$14:$BI$57,61,0)*$W1158,"")</f>
        <v/>
      </c>
      <c r="BB1158" s="33"/>
      <c r="BC1158" s="203" t="str">
        <f>IFERROR(VLOOKUP($G1158,нормы!$A$14:$BI$57,60,0)*W1158,"")</f>
        <v/>
      </c>
      <c r="BD1158" s="200" t="str">
        <f>IFERROR(VLOOKUP($G1158,нормы!$A$14:$BG$57,44,0),"")</f>
        <v/>
      </c>
      <c r="BE1158" s="199" t="str">
        <f>IFERROR(W1158/VLOOKUP($G1158,нормы!$A$14:$BI$57,45,0),"")</f>
        <v/>
      </c>
    </row>
    <row r="1159" spans="1:57" s="1" customFormat="1" ht="21.6" customHeight="1" x14ac:dyDescent="0.4">
      <c r="A1159" s="37" t="str">
        <f t="shared" ref="A1159:A1187" si="458">A1158</f>
        <v>19Н</v>
      </c>
      <c r="B1159" s="12">
        <f t="shared" ref="B1159:D1163" si="459">B1158</f>
        <v>19</v>
      </c>
      <c r="C1159" s="97">
        <f t="shared" si="459"/>
        <v>0</v>
      </c>
      <c r="D1159" s="97">
        <f t="shared" si="459"/>
        <v>1</v>
      </c>
      <c r="E1159" s="54"/>
      <c r="F1159" s="151" t="str">
        <f>IFERROR(VLOOKUP($G1159,нормы!$A$14:$BC$57,2,0),"")</f>
        <v/>
      </c>
      <c r="G1159" s="93"/>
      <c r="H1159" s="54">
        <f t="shared" ref="H1159:H1163" si="460">IF(C1159=1,"Кульков С.А.", IF(C1159=2,"Чудаков А.А.",IF(C1159=3,"Королев В.Н.",IF(C1159=4,"Николашин М.П.",IF(C1159=5," Кульков С.А.",IF(C1159=6,"А.А. Чудаков",IF(C1159=7,"В.Н. Королев",IF(C1159=8,"М.П. Николашин",0))))))))</f>
        <v>0</v>
      </c>
      <c r="I1159" s="55"/>
      <c r="J1159" s="333"/>
      <c r="K1159" s="30">
        <f>IFERROR(VLOOKUP($G1159,[1]нормы!$A$21:$BC$151,15,0),"")</f>
        <v>0</v>
      </c>
      <c r="L1159" s="31">
        <f>IFERROR(VLOOKUP($G1159,[1]нормы!$A$21:$BC$151,17,0),"")</f>
        <v>0</v>
      </c>
      <c r="M1159" s="306">
        <f>IFERROR(VLOOKUP($G1159,[1]нормы!$A$21:$BC$151,27,0),"")</f>
        <v>0</v>
      </c>
      <c r="N1159" s="307" t="str">
        <f>IFERROR(Y1159/Y1164*(1.1*J1158*I1163),"")</f>
        <v/>
      </c>
      <c r="O1159" s="300">
        <f>IFERROR(VLOOKUP($G1159,[1]нормы!$A$21:$BC$151,21,0),"")</f>
        <v>0</v>
      </c>
      <c r="P1159" s="35">
        <f>IFERROR(VLOOKUP($G1159,[1]нормы!$A$21:$BC$151,19,0),"")</f>
        <v>0</v>
      </c>
      <c r="Q1159" s="35">
        <f>IFERROR(VLOOKUP($G1159,[1]нормы!$A$21:$BC$151,23,0),"")</f>
        <v>0</v>
      </c>
      <c r="R1159" s="231">
        <f>IFERROR(VLOOKUP($G1159,[1]нормы!$A$21:$BC$151,29,0),"")</f>
        <v>0</v>
      </c>
      <c r="S1159" s="35">
        <f>IFERROR(VLOOKUP($G1159,[1]нормы!$A$21:$BC$151,31,0),"")</f>
        <v>0</v>
      </c>
      <c r="T1159" s="32">
        <f>IFERROR(VLOOKUP($G1159,[1]нормы!$A$21:$BC$151,25,0),"")</f>
        <v>0</v>
      </c>
      <c r="U1159" s="233" t="str">
        <f>IFERROR(W1159/(((100*Y1159/Y1164)*I1163)/100),"")</f>
        <v/>
      </c>
      <c r="V1159" s="234" t="str">
        <f>IFERROR(VLOOKUP($G1159,нормы!$A$14:$BC$57,38,0),"")</f>
        <v/>
      </c>
      <c r="W1159" s="136"/>
      <c r="X1159" s="237"/>
      <c r="Y1159" s="152" t="str">
        <f>IFERROR(VLOOKUP($G1159,нормы!$A$14:$BC$57,42,0)*W1159,"")</f>
        <v/>
      </c>
      <c r="Z1159" s="163">
        <f>IFERROR(VLOOKUP($G1159,нормы!$A$14:$BC$57,14,0)*W1159/1000,0)</f>
        <v>0</v>
      </c>
      <c r="AA1159" s="142"/>
      <c r="AB1159" s="35"/>
      <c r="AC1159" s="35"/>
      <c r="AD1159" s="35"/>
      <c r="AE1159" s="31"/>
      <c r="AF1159" s="160"/>
      <c r="AG1159" s="391"/>
      <c r="AH1159" s="394"/>
      <c r="AI1159" s="397"/>
      <c r="AJ1159" s="408"/>
      <c r="AK1159" s="360"/>
      <c r="AL1159" s="360"/>
      <c r="AM1159" s="360"/>
      <c r="AN1159" s="289">
        <f>IFERROR(Y1159*AJ1158/Y1164,)</f>
        <v>0</v>
      </c>
      <c r="AO1159" s="197" t="str">
        <f>IFERROR(VLOOKUP($G1159,нормы!$A$14:$BC$57,53,0)*$W1159,"")</f>
        <v/>
      </c>
      <c r="AP1159" s="290">
        <f>IFERROR(Y1159*AI1158/Y1164,)</f>
        <v>0</v>
      </c>
      <c r="AQ1159" s="197" t="str">
        <f>IFERROR(VLOOKUP($G1159,нормы!$A$14:$BC$57,54,0)*$W1159,"")</f>
        <v/>
      </c>
      <c r="AR1159" s="290">
        <f>IFERROR(AS1159/SUM(AS1158:AS1163)*AL1158,0)</f>
        <v>0</v>
      </c>
      <c r="AS1159" s="197" t="str">
        <f>IFERROR(VLOOKUP($G1159,нормы!$A$14:$BC$57,55,0)*W1159,"")</f>
        <v/>
      </c>
      <c r="AT1159" s="290">
        <f>IFERROR(AU1159/SUM(AU1158:AU1163)*AM1158,0)</f>
        <v>0</v>
      </c>
      <c r="AU1159" s="197" t="str">
        <f>IFERROR(VLOOKUP($G1159,нормы!$A$14:$BI$57,56,0)*W1159,"")</f>
        <v/>
      </c>
      <c r="AV1159" s="290">
        <f>IFERROR(AW1159/SUM(AW1158:AW1163)*AK1158,0)</f>
        <v>0</v>
      </c>
      <c r="AW1159" s="202" t="str">
        <f>IFERROR(VLOOKUP($G1159,нормы!$A$14:$BI$57,57,0)*W1159,"")</f>
        <v/>
      </c>
      <c r="AX1159" s="30"/>
      <c r="AY1159" s="203" t="str">
        <f>IFERROR(VLOOKUP($G1159,нормы!$A$14:$BI$57,58,0)*W1159,"")</f>
        <v/>
      </c>
      <c r="AZ1159" s="205"/>
      <c r="BA1159" s="200" t="str">
        <f>IFERROR(VLOOKUP($G1159,нормы!$A$14:$BI$57,61,0)*$W1159,"")</f>
        <v/>
      </c>
      <c r="BB1159" s="30"/>
      <c r="BC1159" s="203" t="str">
        <f>IFERROR(VLOOKUP($G1159,нормы!$A$14:$BI$57,60,0)*W1159,"")</f>
        <v/>
      </c>
      <c r="BD1159" s="200" t="str">
        <f>IFERROR(VLOOKUP($G1159,нормы!$A$14:$BG$57,44,0),"")</f>
        <v/>
      </c>
      <c r="BE1159" s="199" t="str">
        <f>IFERROR(W1159/VLOOKUP($G1159,нормы!$A$14:$BI$57,45,0),"")</f>
        <v/>
      </c>
    </row>
    <row r="1160" spans="1:57" s="1" customFormat="1" ht="20.25" customHeight="1" x14ac:dyDescent="0.4">
      <c r="A1160" s="37" t="str">
        <f t="shared" si="458"/>
        <v>19Н</v>
      </c>
      <c r="B1160" s="12">
        <f t="shared" si="459"/>
        <v>19</v>
      </c>
      <c r="C1160" s="97">
        <f t="shared" si="459"/>
        <v>0</v>
      </c>
      <c r="D1160" s="97">
        <f t="shared" si="459"/>
        <v>1</v>
      </c>
      <c r="E1160" s="54"/>
      <c r="F1160" s="151" t="str">
        <f>IFERROR(VLOOKUP($G1160,нормы!$A$14:$BC$57,2,0),"")</f>
        <v/>
      </c>
      <c r="G1160" s="38"/>
      <c r="H1160" s="54">
        <f t="shared" si="460"/>
        <v>0</v>
      </c>
      <c r="I1160" s="89" t="s">
        <v>85</v>
      </c>
      <c r="J1160" s="333"/>
      <c r="K1160" s="30">
        <f>IFERROR(VLOOKUP($G1160,[1]нормы!$A$21:$BC$151,15,0),"")</f>
        <v>0</v>
      </c>
      <c r="L1160" s="31">
        <f>IFERROR(VLOOKUP($G1160,[1]нормы!$A$21:$BC$151,17,0),"")</f>
        <v>0</v>
      </c>
      <c r="M1160" s="306">
        <f>IFERROR(VLOOKUP($G1160,[1]нормы!$A$21:$BC$151,27,0),"")</f>
        <v>0</v>
      </c>
      <c r="N1160" s="307" t="str">
        <f>IFERROR(Y1160/Y1164*(1.1*J1158*I1163),"")</f>
        <v/>
      </c>
      <c r="O1160" s="300">
        <f>IFERROR(VLOOKUP($G1160,[1]нормы!$A$21:$BC$151,21,0),"")</f>
        <v>0</v>
      </c>
      <c r="P1160" s="35">
        <f>IFERROR(VLOOKUP($G1160,[1]нормы!$A$21:$BC$151,19,0),"")</f>
        <v>0</v>
      </c>
      <c r="Q1160" s="35">
        <f>IFERROR(VLOOKUP($G1160,[1]нормы!$A$21:$BC$151,23,0),"")</f>
        <v>0</v>
      </c>
      <c r="R1160" s="231">
        <f>IFERROR(VLOOKUP($G1160,[1]нормы!$A$21:$BC$151,29,0),"")</f>
        <v>0</v>
      </c>
      <c r="S1160" s="35">
        <f>IFERROR(VLOOKUP($G1160,[1]нормы!$A$21:$BC$151,31,0),"")</f>
        <v>0</v>
      </c>
      <c r="T1160" s="32">
        <f>IFERROR(VLOOKUP($G1160,[1]нормы!$A$21:$BC$151,25,0),"")</f>
        <v>0</v>
      </c>
      <c r="U1160" s="233" t="str">
        <f>IFERROR(W1160/(((100*Y1160/Y1164)*I1163)/100),"")</f>
        <v/>
      </c>
      <c r="V1160" s="234" t="str">
        <f>IFERROR(VLOOKUP($G1160,нормы!$A$14:$BC$57,38,0),"")</f>
        <v/>
      </c>
      <c r="W1160" s="136"/>
      <c r="X1160" s="237"/>
      <c r="Y1160" s="152" t="str">
        <f>IFERROR(VLOOKUP($G1160,нормы!$A$14:$BC$57,42,0)*W1160,"")</f>
        <v/>
      </c>
      <c r="Z1160" s="163">
        <f>IFERROR(VLOOKUP($G1160,нормы!$A$14:$BC$57,14,0)*W1160/1000,0)</f>
        <v>0</v>
      </c>
      <c r="AA1160" s="30"/>
      <c r="AB1160" s="35"/>
      <c r="AC1160" s="35"/>
      <c r="AD1160" s="35"/>
      <c r="AE1160" s="31"/>
      <c r="AF1160" s="160"/>
      <c r="AG1160" s="391"/>
      <c r="AH1160" s="394"/>
      <c r="AI1160" s="397"/>
      <c r="AJ1160" s="408"/>
      <c r="AK1160" s="360"/>
      <c r="AL1160" s="360"/>
      <c r="AM1160" s="360"/>
      <c r="AN1160" s="289">
        <f>IFERROR(Y1160*AJ1158/Y1164,)</f>
        <v>0</v>
      </c>
      <c r="AO1160" s="197" t="str">
        <f>IFERROR(VLOOKUP($G1160,нормы!$A$14:$BC$57,53,0)*$W1160,"")</f>
        <v/>
      </c>
      <c r="AP1160" s="290">
        <f>IFERROR(Y1160*AI1158/Y1164,)</f>
        <v>0</v>
      </c>
      <c r="AQ1160" s="197" t="str">
        <f>IFERROR(VLOOKUP($G1160,нормы!$A$14:$BC$57,54,0)*$W1160,"")</f>
        <v/>
      </c>
      <c r="AR1160" s="290">
        <f>IFERROR(AS1160/SUM(AS1158:AS1163)*AL1158,0)</f>
        <v>0</v>
      </c>
      <c r="AS1160" s="197" t="str">
        <f>IFERROR(VLOOKUP($G1160,нормы!$A$14:$BC$57,55,0)*W1160,"")</f>
        <v/>
      </c>
      <c r="AT1160" s="290">
        <f>IFERROR(AU1160/SUM(AU1158:AU1163)*AM1158,0)</f>
        <v>0</v>
      </c>
      <c r="AU1160" s="197" t="str">
        <f>IFERROR(VLOOKUP($G1160,нормы!$A$14:$BI$57,56,0)*W1160,"")</f>
        <v/>
      </c>
      <c r="AV1160" s="290">
        <f>IFERROR(AW1160/SUM(AW1158:AW1163)*AK1158,0)</f>
        <v>0</v>
      </c>
      <c r="AW1160" s="202" t="str">
        <f>IFERROR(VLOOKUP($G1160,нормы!$A$14:$BI$57,57,0)*W1160,"")</f>
        <v/>
      </c>
      <c r="AX1160" s="30"/>
      <c r="AY1160" s="203" t="str">
        <f>IFERROR(VLOOKUP($G1160,нормы!$A$14:$BI$57,58,0)*W1160,"")</f>
        <v/>
      </c>
      <c r="AZ1160" s="205"/>
      <c r="BA1160" s="200" t="str">
        <f>IFERROR(VLOOKUP($G1160,нормы!$A$14:$BI$57,61,0)*$W1160,"")</f>
        <v/>
      </c>
      <c r="BB1160" s="30"/>
      <c r="BC1160" s="203" t="str">
        <f>IFERROR(VLOOKUP($G1160,нормы!$A$14:$BI$57,60,0)*W1160,"")</f>
        <v/>
      </c>
      <c r="BD1160" s="200" t="str">
        <f>IFERROR(VLOOKUP($G1160,нормы!$A$14:$BG$57,44,0),"")</f>
        <v/>
      </c>
      <c r="BE1160" s="199" t="str">
        <f>IFERROR(W1160/VLOOKUP($G1160,нормы!$A$14:$BI$57,45,0),"")</f>
        <v/>
      </c>
    </row>
    <row r="1161" spans="1:57" s="1" customFormat="1" ht="20.25" customHeight="1" x14ac:dyDescent="0.4">
      <c r="A1161" s="37" t="str">
        <f t="shared" si="458"/>
        <v>19Н</v>
      </c>
      <c r="B1161" s="12">
        <f t="shared" si="459"/>
        <v>19</v>
      </c>
      <c r="C1161" s="97">
        <f t="shared" si="459"/>
        <v>0</v>
      </c>
      <c r="D1161" s="97">
        <f t="shared" si="459"/>
        <v>1</v>
      </c>
      <c r="E1161" s="54"/>
      <c r="F1161" s="151" t="str">
        <f>IFERROR(VLOOKUP($G1161,нормы!$A$14:$BC$57,2,0),"")</f>
        <v/>
      </c>
      <c r="G1161" s="93"/>
      <c r="H1161" s="54">
        <f t="shared" si="460"/>
        <v>0</v>
      </c>
      <c r="I1161" s="55"/>
      <c r="J1161" s="333"/>
      <c r="K1161" s="30">
        <f>IFERROR(VLOOKUP($G1161,[1]нормы!$A$21:$BC$151,15,0),"")</f>
        <v>0</v>
      </c>
      <c r="L1161" s="31">
        <f>IFERROR(VLOOKUP($G1161,[1]нормы!$A$21:$BC$151,17,0),"")</f>
        <v>0</v>
      </c>
      <c r="M1161" s="306">
        <f>IFERROR(VLOOKUP($G1161,[1]нормы!$A$21:$BC$151,27,0),"")</f>
        <v>0</v>
      </c>
      <c r="N1161" s="307" t="str">
        <f>IFERROR(Y1161/Y1164*(1.1*J1158*I1166),"")</f>
        <v/>
      </c>
      <c r="O1161" s="300">
        <f>IFERROR(VLOOKUP($G1161,[1]нормы!$A$21:$BC$151,21,0),"")</f>
        <v>0</v>
      </c>
      <c r="P1161" s="35">
        <f>IFERROR(VLOOKUP($G1161,[1]нормы!$A$21:$BC$151,19,0),"")</f>
        <v>0</v>
      </c>
      <c r="Q1161" s="35">
        <f>IFERROR(VLOOKUP($G1161,[1]нормы!$A$21:$BC$151,23,0),"")</f>
        <v>0</v>
      </c>
      <c r="R1161" s="231">
        <f>IFERROR(VLOOKUP($G1161,[1]нормы!$A$21:$BC$151,29,0),"")</f>
        <v>0</v>
      </c>
      <c r="S1161" s="35">
        <f>IFERROR(VLOOKUP($G1161,[1]нормы!$A$21:$BC$151,31,0),"")</f>
        <v>0</v>
      </c>
      <c r="T1161" s="32">
        <f>IFERROR(VLOOKUP($G1161,[1]нормы!$A$21:$BC$151,25,0),"")</f>
        <v>0</v>
      </c>
      <c r="U1161" s="233" t="str">
        <f>IFERROR(W1161/(((100*Y1161/Y1164)*I1163)/100),"")</f>
        <v/>
      </c>
      <c r="V1161" s="234" t="str">
        <f>IFERROR(VLOOKUP($G1161,нормы!$A$14:$BC$57,38,0),"")</f>
        <v/>
      </c>
      <c r="W1161" s="136"/>
      <c r="X1161" s="237"/>
      <c r="Y1161" s="152" t="str">
        <f>IFERROR(VLOOKUP($G1161,нормы!$A$14:$BC$57,42,0)*W1161,"")</f>
        <v/>
      </c>
      <c r="Z1161" s="163">
        <f>IFERROR(VLOOKUP($G1161,нормы!$A$14:$BC$57,14,0)*W1161/1000,0)</f>
        <v>0</v>
      </c>
      <c r="AA1161" s="30"/>
      <c r="AB1161" s="35"/>
      <c r="AC1161" s="35"/>
      <c r="AD1161" s="35"/>
      <c r="AE1161" s="31"/>
      <c r="AF1161" s="160"/>
      <c r="AG1161" s="391"/>
      <c r="AH1161" s="394"/>
      <c r="AI1161" s="397"/>
      <c r="AJ1161" s="408"/>
      <c r="AK1161" s="360"/>
      <c r="AL1161" s="360"/>
      <c r="AM1161" s="360"/>
      <c r="AN1161" s="289">
        <f>IFERROR(Y1161*AJ1158/Y1164,)</f>
        <v>0</v>
      </c>
      <c r="AO1161" s="197" t="str">
        <f>IFERROR(VLOOKUP($G1161,нормы!$A$14:$BC$57,53,0)*$W1161,"")</f>
        <v/>
      </c>
      <c r="AP1161" s="290">
        <f>IFERROR(Y1161*AI1158/Y1164,)</f>
        <v>0</v>
      </c>
      <c r="AQ1161" s="197" t="str">
        <f>IFERROR(VLOOKUP($G1161,нормы!$A$14:$BC$57,54,0)*$W1161,"")</f>
        <v/>
      </c>
      <c r="AR1161" s="290">
        <f>IFERROR(AS1161/SUM(AS1158:AS1163)*AL1158,0)</f>
        <v>0</v>
      </c>
      <c r="AS1161" s="197" t="str">
        <f>IFERROR(VLOOKUP($G1161,нормы!$A$14:$BC$57,55,0)*W1161,"")</f>
        <v/>
      </c>
      <c r="AT1161" s="290">
        <f>IFERROR(AU1161/SUM(AU1158:AU1163)*AM1158,0)</f>
        <v>0</v>
      </c>
      <c r="AU1161" s="197" t="str">
        <f>IFERROR(VLOOKUP($G1161,нормы!$A$14:$BI$57,56,0)*W1161,"")</f>
        <v/>
      </c>
      <c r="AV1161" s="290">
        <f>IFERROR(AW1161/SUM(AW1158:AW1163)*AK1158,0)</f>
        <v>0</v>
      </c>
      <c r="AW1161" s="202" t="str">
        <f>IFERROR(VLOOKUP($G1161,нормы!$A$14:$BI$57,57,0)*W1161,"")</f>
        <v/>
      </c>
      <c r="AX1161" s="30"/>
      <c r="AY1161" s="203" t="str">
        <f>IFERROR(VLOOKUP($G1161,нормы!$A$14:$BI$57,58,0)*W1161,"")</f>
        <v/>
      </c>
      <c r="AZ1161" s="205"/>
      <c r="BA1161" s="200" t="str">
        <f>IFERROR(VLOOKUP($G1161,нормы!$A$14:$BI$57,61,0)*$W1161,"")</f>
        <v/>
      </c>
      <c r="BB1161" s="30"/>
      <c r="BC1161" s="203" t="str">
        <f>IFERROR(VLOOKUP($G1161,нормы!$A$14:$BI$57,60,0)*W1161,"")</f>
        <v/>
      </c>
      <c r="BD1161" s="200" t="str">
        <f>IFERROR(VLOOKUP($G1161,нормы!$A$14:$BG$57,44,0),"")</f>
        <v/>
      </c>
      <c r="BE1161" s="199" t="str">
        <f>IFERROR(W1161/VLOOKUP($G1161,нормы!$A$14:$BI$57,45,0),"")</f>
        <v/>
      </c>
    </row>
    <row r="1162" spans="1:57" s="1" customFormat="1" ht="20.25" customHeight="1" x14ac:dyDescent="0.4">
      <c r="A1162" s="37" t="str">
        <f t="shared" si="458"/>
        <v>19Н</v>
      </c>
      <c r="B1162" s="12">
        <f t="shared" si="459"/>
        <v>19</v>
      </c>
      <c r="C1162" s="97">
        <f t="shared" si="459"/>
        <v>0</v>
      </c>
      <c r="D1162" s="97">
        <f t="shared" si="459"/>
        <v>1</v>
      </c>
      <c r="E1162" s="54"/>
      <c r="F1162" s="151" t="str">
        <f>IFERROR(VLOOKUP($G1162,нормы!$A$14:$BC$57,2,0),"")</f>
        <v/>
      </c>
      <c r="G1162" s="38"/>
      <c r="H1162" s="54">
        <f t="shared" si="460"/>
        <v>0</v>
      </c>
      <c r="I1162" s="89" t="s">
        <v>73</v>
      </c>
      <c r="J1162" s="333"/>
      <c r="K1162" s="30">
        <f>IFERROR(VLOOKUP($G1162,[1]нормы!$A$21:$BC$151,15,0),"")</f>
        <v>0</v>
      </c>
      <c r="L1162" s="31">
        <f>IFERROR(VLOOKUP($G1162,[1]нормы!$A$21:$BC$151,17,0),"")</f>
        <v>0</v>
      </c>
      <c r="M1162" s="306">
        <f>IFERROR(VLOOKUP($G1162,[1]нормы!$A$21:$BC$151,27,0),"")</f>
        <v>0</v>
      </c>
      <c r="N1162" s="307" t="str">
        <f>IFERROR(Y1162/Y1164*(1.1*J1158*I1167),"")</f>
        <v/>
      </c>
      <c r="O1162" s="300">
        <f>IFERROR(VLOOKUP($G1162,[1]нормы!$A$21:$BC$151,21,0),"")</f>
        <v>0</v>
      </c>
      <c r="P1162" s="35">
        <f>IFERROR(VLOOKUP($G1162,[1]нормы!$A$21:$BC$151,19,0),"")</f>
        <v>0</v>
      </c>
      <c r="Q1162" s="35">
        <f>IFERROR(VLOOKUP($G1162,[1]нормы!$A$21:$BC$151,23,0),"")</f>
        <v>0</v>
      </c>
      <c r="R1162" s="231">
        <f>IFERROR(VLOOKUP($G1162,[1]нормы!$A$21:$BC$151,29,0),"")</f>
        <v>0</v>
      </c>
      <c r="S1162" s="35">
        <f>IFERROR(VLOOKUP($G1162,[1]нормы!$A$21:$BC$151,31,0),"")</f>
        <v>0</v>
      </c>
      <c r="T1162" s="32">
        <f>IFERROR(VLOOKUP($G1162,[1]нормы!$A$21:$BC$151,25,0),"")</f>
        <v>0</v>
      </c>
      <c r="U1162" s="233" t="str">
        <f>IFERROR(W1162/(((100*Y1162/Y1164)*I1163)/100),"")</f>
        <v/>
      </c>
      <c r="V1162" s="234" t="str">
        <f>IFERROR(VLOOKUP($G1162,нормы!$A$14:$BC$57,38,0),"")</f>
        <v/>
      </c>
      <c r="W1162" s="136"/>
      <c r="X1162" s="237"/>
      <c r="Y1162" s="152" t="str">
        <f>IFERROR(VLOOKUP($G1162,нормы!$A$14:$BC$57,42,0)*W1162,"")</f>
        <v/>
      </c>
      <c r="Z1162" s="163">
        <f>IFERROR(VLOOKUP($G1162,нормы!$A$14:$BC$57,14,0)*W1162/1000,0)</f>
        <v>0</v>
      </c>
      <c r="AA1162" s="30"/>
      <c r="AB1162" s="35"/>
      <c r="AC1162" s="35"/>
      <c r="AD1162" s="35"/>
      <c r="AE1162" s="31"/>
      <c r="AF1162" s="160"/>
      <c r="AG1162" s="391"/>
      <c r="AH1162" s="394"/>
      <c r="AI1162" s="397"/>
      <c r="AJ1162" s="408"/>
      <c r="AK1162" s="360"/>
      <c r="AL1162" s="360"/>
      <c r="AM1162" s="360"/>
      <c r="AN1162" s="289">
        <f>IFERROR(Y1162*AJ1158/Y1164,)</f>
        <v>0</v>
      </c>
      <c r="AO1162" s="197" t="str">
        <f>IFERROR(VLOOKUP($G1162,нормы!$A$14:$BC$57,53,0)*$W1162,"")</f>
        <v/>
      </c>
      <c r="AP1162" s="290">
        <f>IFERROR(Y1162*AI1158/Y1164,)</f>
        <v>0</v>
      </c>
      <c r="AQ1162" s="197" t="str">
        <f>IFERROR(VLOOKUP($G1162,нормы!$A$14:$BC$57,54,0)*$W1162,"")</f>
        <v/>
      </c>
      <c r="AR1162" s="290">
        <f>IFERROR(AS1162/SUM(AS1158:AS1163)*AL1158,0)</f>
        <v>0</v>
      </c>
      <c r="AS1162" s="197" t="str">
        <f>IFERROR(VLOOKUP($G1162,нормы!$A$14:$BC$57,55,0)*W1162,"")</f>
        <v/>
      </c>
      <c r="AT1162" s="290">
        <f>IFERROR(AU1162/SUM(AU1158:AU1163)*AM1158,0)</f>
        <v>0</v>
      </c>
      <c r="AU1162" s="197" t="str">
        <f>IFERROR(VLOOKUP($G1162,нормы!$A$14:$BI$57,56,0)*W1162,"")</f>
        <v/>
      </c>
      <c r="AV1162" s="290">
        <f>IFERROR(AW1162/SUM(AW1158:AW1163)*AK1158,0)</f>
        <v>0</v>
      </c>
      <c r="AW1162" s="202" t="str">
        <f>IFERROR(VLOOKUP($G1162,нормы!$A$14:$BI$57,57,0)*W1162,"")</f>
        <v/>
      </c>
      <c r="AX1162" s="30"/>
      <c r="AY1162" s="203" t="str">
        <f>IFERROR(VLOOKUP($G1162,нормы!$A$14:$BI$57,58,0)*W1162,"")</f>
        <v/>
      </c>
      <c r="AZ1162" s="205"/>
      <c r="BA1162" s="200" t="str">
        <f>IFERROR(VLOOKUP($G1162,нормы!$A$14:$BI$57,61,0)*$W1162,"")</f>
        <v/>
      </c>
      <c r="BB1162" s="30"/>
      <c r="BC1162" s="203" t="str">
        <f>IFERROR(VLOOKUP($G1162,нормы!$A$14:$BI$57,60,0)*W1162,"")</f>
        <v/>
      </c>
      <c r="BD1162" s="200" t="str">
        <f>IFERROR(VLOOKUP($G1162,нормы!$A$14:$BG$57,44,0),"")</f>
        <v/>
      </c>
      <c r="BE1162" s="199" t="str">
        <f>IFERROR(W1162/VLOOKUP($G1162,нормы!$A$14:$BI$57,45,0),"")</f>
        <v/>
      </c>
    </row>
    <row r="1163" spans="1:57" s="1" customFormat="1" ht="21" customHeight="1" thickBot="1" x14ac:dyDescent="0.45">
      <c r="A1163" s="37" t="str">
        <f t="shared" si="458"/>
        <v>19Н</v>
      </c>
      <c r="B1163" s="12">
        <f t="shared" si="459"/>
        <v>19</v>
      </c>
      <c r="C1163" s="97">
        <f t="shared" si="459"/>
        <v>0</v>
      </c>
      <c r="D1163" s="97">
        <f t="shared" si="459"/>
        <v>1</v>
      </c>
      <c r="E1163" s="54"/>
      <c r="F1163" s="151" t="str">
        <f>IFERROR(VLOOKUP($G1163,нормы!$A$14:$BC$57,2,0),"")</f>
        <v/>
      </c>
      <c r="G1163" s="93"/>
      <c r="H1163" s="63">
        <f t="shared" si="460"/>
        <v>0</v>
      </c>
      <c r="I1163" s="153">
        <f>I1159+I1161</f>
        <v>0</v>
      </c>
      <c r="J1163" s="334"/>
      <c r="K1163" s="30">
        <f>IFERROR(VLOOKUP($G1163,[1]нормы!$A$21:$BC$151,15,0),"")</f>
        <v>0</v>
      </c>
      <c r="L1163" s="31">
        <f>IFERROR(VLOOKUP($G1163,[1]нормы!$A$21:$BC$151,17,0),"")</f>
        <v>0</v>
      </c>
      <c r="M1163" s="308">
        <f>IFERROR(VLOOKUP($G1163,[1]нормы!$A$21:$BC$151,27,0),"")</f>
        <v>0</v>
      </c>
      <c r="N1163" s="309" t="str">
        <f>IFERROR(Y1163/Y1164*(1.1*J1158*I1168),"")</f>
        <v/>
      </c>
      <c r="O1163" s="300">
        <f>IFERROR(VLOOKUP($G1163,[1]нормы!$A$21:$BC$151,21,0),"")</f>
        <v>0</v>
      </c>
      <c r="P1163" s="35">
        <f>IFERROR(VLOOKUP($G1163,[1]нормы!$A$21:$BC$151,19,0),"")</f>
        <v>0</v>
      </c>
      <c r="Q1163" s="35">
        <f>IFERROR(VLOOKUP($G1163,[1]нормы!$A$21:$BC$151,23,0),"")</f>
        <v>0</v>
      </c>
      <c r="R1163" s="231">
        <f>IFERROR(VLOOKUP($G1163,[1]нормы!$A$21:$BC$151,29,0),"")</f>
        <v>0</v>
      </c>
      <c r="S1163" s="35">
        <f>IFERROR(VLOOKUP($G1163,[1]нормы!$A$21:$BC$151,31,0),"")</f>
        <v>0</v>
      </c>
      <c r="T1163" s="32">
        <f>IFERROR(VLOOKUP($G1163,[1]нормы!$A$21:$BC$151,25,0),"")</f>
        <v>0</v>
      </c>
      <c r="U1163" s="235" t="str">
        <f>IFERROR(W1163/(((100*Y1163/Y1164)*I1163)/100),"")</f>
        <v/>
      </c>
      <c r="V1163" s="234" t="str">
        <f>IFERROR(VLOOKUP($G1163,нормы!$A$14:$BC$57,38,0),"")</f>
        <v/>
      </c>
      <c r="W1163" s="154"/>
      <c r="X1163" s="238"/>
      <c r="Y1163" s="152" t="str">
        <f>IFERROR(VLOOKUP($G1163,нормы!$A$14:$BC$57,42,0)*W1163,"")</f>
        <v/>
      </c>
      <c r="Z1163" s="163">
        <f>IFERROR(VLOOKUP($G1163,нормы!$A$14:$BC$57,14,0)*W1163/1000,0)</f>
        <v>0</v>
      </c>
      <c r="AA1163" s="56"/>
      <c r="AB1163" s="58"/>
      <c r="AC1163" s="58"/>
      <c r="AD1163" s="58"/>
      <c r="AE1163" s="57"/>
      <c r="AF1163" s="161"/>
      <c r="AG1163" s="392"/>
      <c r="AH1163" s="395"/>
      <c r="AI1163" s="398"/>
      <c r="AJ1163" s="409"/>
      <c r="AK1163" s="361"/>
      <c r="AL1163" s="361"/>
      <c r="AM1163" s="361"/>
      <c r="AN1163" s="291">
        <f>IFERROR(Y1163*AJ1158/Y1164,)</f>
        <v>0</v>
      </c>
      <c r="AO1163" s="197" t="str">
        <f>IFERROR(VLOOKUP($G1163,нормы!$A$14:$BC$57,53,0)*$W1163,"")</f>
        <v/>
      </c>
      <c r="AP1163" s="292">
        <f>IFERROR(Y1163*AI1158/Y1164,)</f>
        <v>0</v>
      </c>
      <c r="AQ1163" s="197" t="str">
        <f>IFERROR(VLOOKUP($G1163,нормы!$A$14:$BC$57,54,0)*$W1163,"")</f>
        <v/>
      </c>
      <c r="AR1163" s="290">
        <f>IFERROR(AS1163/SUM(AS1158:AS1163)*AL1158,0)</f>
        <v>0</v>
      </c>
      <c r="AS1163" s="197" t="str">
        <f>IFERROR(VLOOKUP($G1163,нормы!$A$14:$BC$57,55,0)*W1163,"")</f>
        <v/>
      </c>
      <c r="AT1163" s="292">
        <f>IFERROR(AU1163/SUM(AU1158:AU1163)*AM1158,0)</f>
        <v>0</v>
      </c>
      <c r="AU1163" s="197" t="str">
        <f>IFERROR(VLOOKUP($G1163,нормы!$A$14:$BI$57,56,0)*W1163,"")</f>
        <v/>
      </c>
      <c r="AV1163" s="292">
        <f>IFERROR(AW1163/SUM(AW1158:AW1163)*AK1158,0)</f>
        <v>0</v>
      </c>
      <c r="AW1163" s="202" t="str">
        <f>IFERROR(VLOOKUP($G1163,нормы!$A$14:$BI$57,57,0)*W1163,"")</f>
        <v/>
      </c>
      <c r="AX1163" s="56"/>
      <c r="AY1163" s="203" t="str">
        <f>IFERROR(VLOOKUP($G1163,нормы!$A$14:$BI$57,58,0)*W1163,"")</f>
        <v/>
      </c>
      <c r="AZ1163" s="206"/>
      <c r="BA1163" s="200" t="str">
        <f>IFERROR(VLOOKUP($G1163,нормы!$A$14:$BI$57,61,0)*$W1163,"")</f>
        <v/>
      </c>
      <c r="BB1163" s="56"/>
      <c r="BC1163" s="203" t="str">
        <f>IFERROR(VLOOKUP($G1163,нормы!$A$14:$BI$57,60,0)*W1163,"")</f>
        <v/>
      </c>
      <c r="BD1163" s="200" t="str">
        <f>IFERROR(VLOOKUP($G1163,нормы!$A$14:$BG$57,44,0),"")</f>
        <v/>
      </c>
      <c r="BE1163" s="199" t="str">
        <f>IFERROR(W1163/VLOOKUP($G1163,нормы!$A$14:$BI$57,45,0),"")</f>
        <v/>
      </c>
    </row>
    <row r="1164" spans="1:57" s="1" customFormat="1" ht="29.4" customHeight="1" thickBot="1" x14ac:dyDescent="0.45">
      <c r="A1164" s="37" t="str">
        <f t="shared" si="458"/>
        <v>19Н</v>
      </c>
      <c r="B1164" s="59"/>
      <c r="C1164" s="51"/>
      <c r="D1164" s="51"/>
      <c r="E1164" s="51"/>
      <c r="F1164" s="295" t="s">
        <v>149</v>
      </c>
      <c r="G1164" s="51"/>
      <c r="H1164" s="51"/>
      <c r="I1164" s="60"/>
      <c r="J1164" s="60"/>
      <c r="K1164" s="319" t="s">
        <v>213</v>
      </c>
      <c r="L1164" s="316"/>
      <c r="M1164" s="303" t="s">
        <v>213</v>
      </c>
      <c r="N1164" s="317">
        <f>SUM(N1158:N1163)</f>
        <v>0</v>
      </c>
      <c r="O1164" s="304" t="s">
        <v>216</v>
      </c>
      <c r="P1164" s="318">
        <f>N1164*8.937/1000</f>
        <v>0</v>
      </c>
      <c r="Q1164" s="305" t="s">
        <v>215</v>
      </c>
      <c r="R1164" s="61"/>
      <c r="S1164" s="61"/>
      <c r="T1164" s="61"/>
      <c r="U1164" s="109"/>
      <c r="V1164" s="109"/>
      <c r="W1164" s="94"/>
      <c r="X1164" s="155"/>
      <c r="Y1164" s="96">
        <f>SUM(Y1158:Y1163)</f>
        <v>0</v>
      </c>
      <c r="Z1164" s="164">
        <f>SUM(Z1158:Z1163)</f>
        <v>0</v>
      </c>
      <c r="AA1164" s="62"/>
      <c r="AB1164" s="62"/>
      <c r="AC1164" s="62"/>
      <c r="AD1164" s="62"/>
      <c r="AE1164" s="62"/>
      <c r="AF1164" s="62"/>
      <c r="AG1164" s="162" t="s">
        <v>140</v>
      </c>
      <c r="AH1164" s="162" t="s">
        <v>141</v>
      </c>
      <c r="AI1164" s="162" t="s">
        <v>142</v>
      </c>
      <c r="AJ1164" s="91" t="s">
        <v>126</v>
      </c>
      <c r="AK1164" s="198" t="s">
        <v>136</v>
      </c>
      <c r="AL1164" s="198" t="s">
        <v>137</v>
      </c>
      <c r="AM1164" s="198" t="s">
        <v>138</v>
      </c>
      <c r="AN1164" s="91"/>
      <c r="AO1164" s="91"/>
      <c r="AP1164" s="91"/>
      <c r="AQ1164" s="91"/>
      <c r="AR1164" s="91"/>
      <c r="AS1164" s="91"/>
      <c r="AT1164" s="91"/>
      <c r="AU1164" s="91"/>
      <c r="AV1164" s="91"/>
      <c r="AW1164" s="91"/>
      <c r="AX1164" s="91"/>
      <c r="AY1164" s="91"/>
      <c r="AZ1164" s="91"/>
      <c r="BA1164" s="91"/>
      <c r="BB1164" s="91"/>
      <c r="BC1164" s="91"/>
      <c r="BD1164" s="91"/>
      <c r="BE1164" s="53" t="str">
        <f>IFERROR(W1164/VLOOKUP($G1164,нормы!$A$14:$BI$15,28,0),"")</f>
        <v/>
      </c>
    </row>
    <row r="1165" spans="1:57" s="1" customFormat="1" ht="21.6" customHeight="1" x14ac:dyDescent="0.4">
      <c r="A1165" s="37" t="str">
        <f t="shared" si="458"/>
        <v>19Н</v>
      </c>
      <c r="B1165" s="12">
        <f>B1163</f>
        <v>19</v>
      </c>
      <c r="C1165" s="97"/>
      <c r="D1165" s="97">
        <v>2</v>
      </c>
      <c r="E1165" s="29"/>
      <c r="F1165" s="151" t="str">
        <f>IFERROR(VLOOKUP($G1165,нормы!$A$14:$BC$57,2,0),"")</f>
        <v/>
      </c>
      <c r="G1165" s="93"/>
      <c r="H1165" s="54">
        <f>IF(C1165=1,"Кульков С.А.", IF(C1165=2,"Чудаков А.А.",IF(C1165=3,"Королев В.Н.",IF(C1165=4,"Николашин М.П.",IF(C1165=5," Кульков С.А.",IF(C1165=6,"А.А. Чудаков",IF(C1165=7,"В.Н. Королев",IF(C1165=8,"М.П. Николашин",0))))))))</f>
        <v>0</v>
      </c>
      <c r="I1165" s="88" t="s">
        <v>211</v>
      </c>
      <c r="J1165" s="332"/>
      <c r="K1165" s="30">
        <f>IFERROR(VLOOKUP($G1165,[1]нормы!$A$21:$BC$151,15,0),"")</f>
        <v>0</v>
      </c>
      <c r="L1165" s="31">
        <f>IFERROR(VLOOKUP($G1165,[1]нормы!$A$21:$BC$151,17,0),"")</f>
        <v>0</v>
      </c>
      <c r="M1165" s="310">
        <f>IFERROR(VLOOKUP($G1165,[1]нормы!$A$21:$BC$151,27,0),"")</f>
        <v>0</v>
      </c>
      <c r="N1165" s="311" t="str">
        <f>IFERROR(Y1165/Y1171*(1.1*J1165*I1170),"")</f>
        <v/>
      </c>
      <c r="O1165" s="300">
        <f>IFERROR(VLOOKUP($G1165,[1]нормы!$A$21:$BC$151,21,0),"")</f>
        <v>0</v>
      </c>
      <c r="P1165" s="35">
        <f>IFERROR(VLOOKUP($G1165,[1]нормы!$A$21:$BC$151,19,0),"")</f>
        <v>0</v>
      </c>
      <c r="Q1165" s="35">
        <f>IFERROR(VLOOKUP($G1165,[1]нормы!$A$21:$BC$151,23,0),"")</f>
        <v>0</v>
      </c>
      <c r="R1165" s="231">
        <f>IFERROR(VLOOKUP($G1165,[1]нормы!$A$21:$BC$151,29,0),"")</f>
        <v>0</v>
      </c>
      <c r="S1165" s="35">
        <f>IFERROR(VLOOKUP($G1165,[1]нормы!$A$21:$BC$151,31,0),"")</f>
        <v>0</v>
      </c>
      <c r="T1165" s="32">
        <f>IFERROR(VLOOKUP($G1165,[1]нормы!$A$21:$BC$151,25,0),"")</f>
        <v>0</v>
      </c>
      <c r="U1165" s="232" t="str">
        <f>IFERROR(W1165/(((100*Y1165/Y1171)*I1170)/100),"")</f>
        <v/>
      </c>
      <c r="V1165" s="234" t="str">
        <f>IFERROR(VLOOKUP($G1165,нормы!$A$14:$BC$57,38,0),"")</f>
        <v/>
      </c>
      <c r="W1165" s="136"/>
      <c r="X1165" s="236"/>
      <c r="Y1165" s="152" t="str">
        <f>IFERROR(VLOOKUP($G1165,нормы!$A$14:$BC$57,42,0)*W1165,"")</f>
        <v/>
      </c>
      <c r="Z1165" s="163">
        <f>IFERROR(VLOOKUP($G1165,нормы!$A$14:$BC$57,14,0)*W1165/1000,0)</f>
        <v>0</v>
      </c>
      <c r="AA1165" s="33"/>
      <c r="AB1165" s="36"/>
      <c r="AC1165" s="36"/>
      <c r="AD1165" s="36"/>
      <c r="AE1165" s="34"/>
      <c r="AF1165" s="159"/>
      <c r="AG1165" s="390"/>
      <c r="AH1165" s="393"/>
      <c r="AI1165" s="396"/>
      <c r="AJ1165" s="407">
        <f>AG1165+AH1165</f>
        <v>0</v>
      </c>
      <c r="AK1165" s="359"/>
      <c r="AL1165" s="359"/>
      <c r="AM1165" s="359"/>
      <c r="AN1165" s="287">
        <f>IFERROR(Y1165*AJ1165/Y1171,)</f>
        <v>0</v>
      </c>
      <c r="AO1165" s="197" t="str">
        <f>IFERROR(VLOOKUP($G1165,нормы!$A$14:$BC$57,53,0)*$W1165,"")</f>
        <v/>
      </c>
      <c r="AP1165" s="288">
        <f>IFERROR(Y1165*AI1165/Y1171,)</f>
        <v>0</v>
      </c>
      <c r="AQ1165" s="197" t="str">
        <f>IFERROR(VLOOKUP($G1165,нормы!$A$14:$BC$57,54,0)*$W1165,"")</f>
        <v/>
      </c>
      <c r="AR1165" s="288">
        <f>IFERROR(AS1165/SUM(AS1165:AS1170)*AL1165,0)</f>
        <v>0</v>
      </c>
      <c r="AS1165" s="197" t="str">
        <f>IFERROR(VLOOKUP($G1165,нормы!$A$14:$BC$57,55,0)*W1165,"")</f>
        <v/>
      </c>
      <c r="AT1165" s="288">
        <f>IFERROR(AU1165/SUM(AU1165:AU1170)*AM1165,0)</f>
        <v>0</v>
      </c>
      <c r="AU1165" s="197" t="str">
        <f>IFERROR(VLOOKUP($G1165,нормы!$A$14:$BI$57,56,0)*W1165,"")</f>
        <v/>
      </c>
      <c r="AV1165" s="288">
        <f>IFERROR(AW1165/SUM(AW1165:AW1170)*AK1165,0)</f>
        <v>0</v>
      </c>
      <c r="AW1165" s="202" t="str">
        <f>IFERROR(VLOOKUP($G1165,нормы!$A$14:$BI$57,57,0)*W1165,"")</f>
        <v/>
      </c>
      <c r="AX1165" s="33"/>
      <c r="AY1165" s="203" t="str">
        <f>IFERROR(VLOOKUP($G1165,нормы!$A$14:$BI$57,58,0)*W1165,"")</f>
        <v/>
      </c>
      <c r="AZ1165" s="204"/>
      <c r="BA1165" s="200" t="str">
        <f>IFERROR(VLOOKUP($G1165,нормы!$A$14:$BI$57,61,0)*$W1165,"")</f>
        <v/>
      </c>
      <c r="BB1165" s="33"/>
      <c r="BC1165" s="203" t="str">
        <f>IFERROR(VLOOKUP($G1165,нормы!$A$14:$BI$57,60,0)*W1165,"")</f>
        <v/>
      </c>
      <c r="BD1165" s="200" t="str">
        <f>IFERROR(VLOOKUP($G1165,нормы!$A$14:$BG$57,44,0),"")</f>
        <v/>
      </c>
      <c r="BE1165" s="199" t="str">
        <f>IFERROR(W1165/VLOOKUP($G1165,нормы!$A$14:$BI$57,45,0),"")</f>
        <v/>
      </c>
    </row>
    <row r="1166" spans="1:57" s="1" customFormat="1" ht="21.6" customHeight="1" x14ac:dyDescent="0.4">
      <c r="A1166" s="37" t="str">
        <f t="shared" si="458"/>
        <v>19Н</v>
      </c>
      <c r="B1166" s="12">
        <f t="shared" ref="B1166:D1170" si="461">B1165</f>
        <v>19</v>
      </c>
      <c r="C1166" s="97">
        <f t="shared" si="461"/>
        <v>0</v>
      </c>
      <c r="D1166" s="97">
        <f t="shared" si="461"/>
        <v>2</v>
      </c>
      <c r="E1166" s="54"/>
      <c r="F1166" s="151" t="str">
        <f>IFERROR(VLOOKUP($G1166,нормы!$A$14:$BC$57,2,0),"")</f>
        <v/>
      </c>
      <c r="G1166" s="93"/>
      <c r="H1166" s="54">
        <f t="shared" ref="H1166:H1170" si="462">IF(C1166=1,"Кульков С.А.", IF(C1166=2,"Чудаков А.А.",IF(C1166=3,"Королев В.Н.",IF(C1166=4,"Николашин М.П.",IF(C1166=5," Кульков С.А.",IF(C1166=6,"А.А. Чудаков",IF(C1166=7,"В.Н. Королев",IF(C1166=8,"М.П. Николашин",0))))))))</f>
        <v>0</v>
      </c>
      <c r="I1166" s="55"/>
      <c r="J1166" s="333"/>
      <c r="K1166" s="30">
        <f>IFERROR(VLOOKUP($G1166,[1]нормы!$A$21:$BC$151,15,0),"")</f>
        <v>0</v>
      </c>
      <c r="L1166" s="31">
        <f>IFERROR(VLOOKUP($G1166,[1]нормы!$A$21:$BC$151,17,0),"")</f>
        <v>0</v>
      </c>
      <c r="M1166" s="306">
        <f>IFERROR(VLOOKUP($G1166,[1]нормы!$A$21:$BC$151,27,0),"")</f>
        <v>0</v>
      </c>
      <c r="N1166" s="307" t="str">
        <f>IFERROR(Y1166/Y1171*(1.1*J1165*I1170),"")</f>
        <v/>
      </c>
      <c r="O1166" s="300">
        <f>IFERROR(VLOOKUP($G1166,[1]нормы!$A$21:$BC$151,21,0),"")</f>
        <v>0</v>
      </c>
      <c r="P1166" s="35">
        <f>IFERROR(VLOOKUP($G1166,[1]нормы!$A$21:$BC$151,19,0),"")</f>
        <v>0</v>
      </c>
      <c r="Q1166" s="35">
        <f>IFERROR(VLOOKUP($G1166,[1]нормы!$A$21:$BC$151,23,0),"")</f>
        <v>0</v>
      </c>
      <c r="R1166" s="231">
        <f>IFERROR(VLOOKUP($G1166,[1]нормы!$A$21:$BC$151,29,0),"")</f>
        <v>0</v>
      </c>
      <c r="S1166" s="35">
        <f>IFERROR(VLOOKUP($G1166,[1]нормы!$A$21:$BC$151,31,0),"")</f>
        <v>0</v>
      </c>
      <c r="T1166" s="32">
        <f>IFERROR(VLOOKUP($G1166,[1]нормы!$A$21:$BC$151,25,0),"")</f>
        <v>0</v>
      </c>
      <c r="U1166" s="233" t="str">
        <f>IFERROR(W1166/(((100*Y1166/Y1171)*I1170)/100),"")</f>
        <v/>
      </c>
      <c r="V1166" s="234" t="str">
        <f>IFERROR(VLOOKUP($G1166,нормы!$A$14:$BC$57,38,0),"")</f>
        <v/>
      </c>
      <c r="W1166" s="136"/>
      <c r="X1166" s="237"/>
      <c r="Y1166" s="152" t="str">
        <f>IFERROR(VLOOKUP($G1166,нормы!$A$14:$BC$57,42,0)*W1166,"")</f>
        <v/>
      </c>
      <c r="Z1166" s="163">
        <f>IFERROR(VLOOKUP($G1166,нормы!$A$14:$BC$57,14,0)*W1166/1000,0)</f>
        <v>0</v>
      </c>
      <c r="AA1166" s="142"/>
      <c r="AB1166" s="35"/>
      <c r="AC1166" s="35"/>
      <c r="AD1166" s="35"/>
      <c r="AE1166" s="31"/>
      <c r="AF1166" s="160"/>
      <c r="AG1166" s="391"/>
      <c r="AH1166" s="394"/>
      <c r="AI1166" s="397"/>
      <c r="AJ1166" s="408"/>
      <c r="AK1166" s="360"/>
      <c r="AL1166" s="360"/>
      <c r="AM1166" s="360"/>
      <c r="AN1166" s="289">
        <f>IFERROR(Y1166*AJ1165/Y1171,)</f>
        <v>0</v>
      </c>
      <c r="AO1166" s="197" t="str">
        <f>IFERROR(VLOOKUP($G1166,нормы!$A$14:$BC$57,53,0)*$W1166,"")</f>
        <v/>
      </c>
      <c r="AP1166" s="290">
        <f>IFERROR(Y1166*AI1165/Y1171,)</f>
        <v>0</v>
      </c>
      <c r="AQ1166" s="197" t="str">
        <f>IFERROR(VLOOKUP($G1166,нормы!$A$14:$BC$57,54,0)*$W1166,"")</f>
        <v/>
      </c>
      <c r="AR1166" s="290">
        <f>IFERROR(AS1166/SUM(AS1165:AS1170)*AL1165,0)</f>
        <v>0</v>
      </c>
      <c r="AS1166" s="197" t="str">
        <f>IFERROR(VLOOKUP($G1166,нормы!$A$14:$BC$57,55,0)*W1166,"")</f>
        <v/>
      </c>
      <c r="AT1166" s="290">
        <f>IFERROR(AU1166/SUM(AU1165:AU1170)*AM1165,0)</f>
        <v>0</v>
      </c>
      <c r="AU1166" s="197" t="str">
        <f>IFERROR(VLOOKUP($G1166,нормы!$A$14:$BI$57,56,0)*W1166,"")</f>
        <v/>
      </c>
      <c r="AV1166" s="290">
        <f>IFERROR(AW1166/SUM(AW1165:AW1170)*AK1165,0)</f>
        <v>0</v>
      </c>
      <c r="AW1166" s="202" t="str">
        <f>IFERROR(VLOOKUP($G1166,нормы!$A$14:$BI$57,57,0)*W1166,"")</f>
        <v/>
      </c>
      <c r="AX1166" s="30"/>
      <c r="AY1166" s="203" t="str">
        <f>IFERROR(VLOOKUP($G1166,нормы!$A$14:$BI$57,58,0)*W1166,"")</f>
        <v/>
      </c>
      <c r="AZ1166" s="205"/>
      <c r="BA1166" s="200" t="str">
        <f>IFERROR(VLOOKUP($G1166,нормы!$A$14:$BI$57,61,0)*$W1166,"")</f>
        <v/>
      </c>
      <c r="BB1166" s="30"/>
      <c r="BC1166" s="203" t="str">
        <f>IFERROR(VLOOKUP($G1166,нормы!$A$14:$BI$57,60,0)*W1166,"")</f>
        <v/>
      </c>
      <c r="BD1166" s="200" t="str">
        <f>IFERROR(VLOOKUP($G1166,нормы!$A$14:$BG$57,44,0),"")</f>
        <v/>
      </c>
      <c r="BE1166" s="199" t="str">
        <f>IFERROR(W1166/VLOOKUP($G1166,нормы!$A$14:$BI$57,45,0),"")</f>
        <v/>
      </c>
    </row>
    <row r="1167" spans="1:57" s="1" customFormat="1" ht="20.25" customHeight="1" x14ac:dyDescent="0.4">
      <c r="A1167" s="37" t="str">
        <f t="shared" si="458"/>
        <v>19Н</v>
      </c>
      <c r="B1167" s="12">
        <f t="shared" si="461"/>
        <v>19</v>
      </c>
      <c r="C1167" s="97">
        <f t="shared" si="461"/>
        <v>0</v>
      </c>
      <c r="D1167" s="97">
        <f t="shared" si="461"/>
        <v>2</v>
      </c>
      <c r="E1167" s="54"/>
      <c r="F1167" s="151" t="str">
        <f>IFERROR(VLOOKUP($G1167,нормы!$A$14:$BC$57,2,0),"")</f>
        <v/>
      </c>
      <c r="G1167" s="38"/>
      <c r="H1167" s="54">
        <f t="shared" si="462"/>
        <v>0</v>
      </c>
      <c r="I1167" s="89" t="s">
        <v>212</v>
      </c>
      <c r="J1167" s="333"/>
      <c r="K1167" s="30">
        <f>IFERROR(VLOOKUP($G1167,[1]нормы!$A$21:$BC$151,15,0),"")</f>
        <v>0</v>
      </c>
      <c r="L1167" s="31">
        <f>IFERROR(VLOOKUP($G1167,[1]нормы!$A$21:$BC$151,17,0),"")</f>
        <v>0</v>
      </c>
      <c r="M1167" s="306">
        <f>IFERROR(VLOOKUP($G1167,[1]нормы!$A$21:$BC$151,27,0),"")</f>
        <v>0</v>
      </c>
      <c r="N1167" s="307" t="str">
        <f>IFERROR(Y1167/Y1171*(1.1*J1165*I1170),"")</f>
        <v/>
      </c>
      <c r="O1167" s="300">
        <f>IFERROR(VLOOKUP($G1167,[1]нормы!$A$21:$BC$151,21,0),"")</f>
        <v>0</v>
      </c>
      <c r="P1167" s="35">
        <f>IFERROR(VLOOKUP($G1167,[1]нормы!$A$21:$BC$151,19,0),"")</f>
        <v>0</v>
      </c>
      <c r="Q1167" s="35">
        <f>IFERROR(VLOOKUP($G1167,[1]нормы!$A$21:$BC$151,23,0),"")</f>
        <v>0</v>
      </c>
      <c r="R1167" s="231">
        <f>IFERROR(VLOOKUP($G1167,[1]нормы!$A$21:$BC$151,29,0),"")</f>
        <v>0</v>
      </c>
      <c r="S1167" s="35">
        <f>IFERROR(VLOOKUP($G1167,[1]нормы!$A$21:$BC$151,31,0),"")</f>
        <v>0</v>
      </c>
      <c r="T1167" s="32">
        <f>IFERROR(VLOOKUP($G1167,[1]нормы!$A$21:$BC$151,25,0),"")</f>
        <v>0</v>
      </c>
      <c r="U1167" s="233" t="str">
        <f>IFERROR(W1167/(((100*Y1167/Y1171)*I1170)/100),"")</f>
        <v/>
      </c>
      <c r="V1167" s="234" t="str">
        <f>IFERROR(VLOOKUP($G1167,нормы!$A$14:$BC$57,38,0),"")</f>
        <v/>
      </c>
      <c r="W1167" s="136"/>
      <c r="X1167" s="237"/>
      <c r="Y1167" s="152" t="str">
        <f>IFERROR(VLOOKUP($G1167,нормы!$A$14:$BC$57,42,0)*W1167,"")</f>
        <v/>
      </c>
      <c r="Z1167" s="163">
        <f>IFERROR(VLOOKUP($G1167,нормы!$A$14:$BC$57,14,0)*W1167/1000,0)</f>
        <v>0</v>
      </c>
      <c r="AA1167" s="30"/>
      <c r="AB1167" s="35"/>
      <c r="AC1167" s="35"/>
      <c r="AD1167" s="35"/>
      <c r="AE1167" s="31"/>
      <c r="AF1167" s="160"/>
      <c r="AG1167" s="391"/>
      <c r="AH1167" s="394"/>
      <c r="AI1167" s="397"/>
      <c r="AJ1167" s="408"/>
      <c r="AK1167" s="360"/>
      <c r="AL1167" s="360"/>
      <c r="AM1167" s="360"/>
      <c r="AN1167" s="289">
        <f>IFERROR(Y1167*AJ1165/Y1171,)</f>
        <v>0</v>
      </c>
      <c r="AO1167" s="197" t="str">
        <f>IFERROR(VLOOKUP($G1167,нормы!$A$14:$BC$57,53,0)*$W1167,"")</f>
        <v/>
      </c>
      <c r="AP1167" s="290">
        <f>IFERROR(Y1167*AI1165/Y1171,)</f>
        <v>0</v>
      </c>
      <c r="AQ1167" s="197" t="str">
        <f>IFERROR(VLOOKUP($G1167,нормы!$A$14:$BC$57,54,0)*$W1167,"")</f>
        <v/>
      </c>
      <c r="AR1167" s="290">
        <f>IFERROR(AS1167/SUM(AS1165:AS1170)*AL1165,0)</f>
        <v>0</v>
      </c>
      <c r="AS1167" s="197" t="str">
        <f>IFERROR(VLOOKUP($G1167,нормы!$A$14:$BC$57,55,0)*W1167,"")</f>
        <v/>
      </c>
      <c r="AT1167" s="290">
        <f>IFERROR(AU1167/SUM(AU1165:AU1170)*AM1165,0)</f>
        <v>0</v>
      </c>
      <c r="AU1167" s="197" t="str">
        <f>IFERROR(VLOOKUP($G1167,нормы!$A$14:$BI$57,56,0)*W1167,"")</f>
        <v/>
      </c>
      <c r="AV1167" s="290">
        <f>IFERROR(AW1167/SUM(AW1165:AW1170)*AK1165,0)</f>
        <v>0</v>
      </c>
      <c r="AW1167" s="202" t="str">
        <f>IFERROR(VLOOKUP($G1167,нормы!$A$14:$BI$57,57,0)*W1167,"")</f>
        <v/>
      </c>
      <c r="AX1167" s="30"/>
      <c r="AY1167" s="203" t="str">
        <f>IFERROR(VLOOKUP($G1167,нормы!$A$14:$BI$57,58,0)*W1167,"")</f>
        <v/>
      </c>
      <c r="AZ1167" s="205"/>
      <c r="BA1167" s="200" t="str">
        <f>IFERROR(VLOOKUP($G1167,нормы!$A$14:$BI$57,61,0)*$W1167,"")</f>
        <v/>
      </c>
      <c r="BB1167" s="30"/>
      <c r="BC1167" s="203" t="str">
        <f>IFERROR(VLOOKUP($G1167,нормы!$A$14:$BI$57,60,0)*W1167,"")</f>
        <v/>
      </c>
      <c r="BD1167" s="200" t="str">
        <f>IFERROR(VLOOKUP($G1167,нормы!$A$14:$BG$57,44,0),"")</f>
        <v/>
      </c>
      <c r="BE1167" s="199" t="str">
        <f>IFERROR(W1167/VLOOKUP($G1167,нормы!$A$14:$BI$57,45,0),"")</f>
        <v/>
      </c>
    </row>
    <row r="1168" spans="1:57" s="1" customFormat="1" ht="20.25" customHeight="1" x14ac:dyDescent="0.4">
      <c r="A1168" s="37" t="str">
        <f t="shared" si="458"/>
        <v>19Н</v>
      </c>
      <c r="B1168" s="12">
        <f t="shared" si="461"/>
        <v>19</v>
      </c>
      <c r="C1168" s="97">
        <f t="shared" si="461"/>
        <v>0</v>
      </c>
      <c r="D1168" s="97">
        <f t="shared" si="461"/>
        <v>2</v>
      </c>
      <c r="E1168" s="54"/>
      <c r="F1168" s="151" t="str">
        <f>IFERROR(VLOOKUP($G1168,нормы!$A$14:$BC$57,2,0),"")</f>
        <v/>
      </c>
      <c r="G1168" s="93"/>
      <c r="H1168" s="54">
        <f t="shared" si="462"/>
        <v>0</v>
      </c>
      <c r="I1168" s="55"/>
      <c r="J1168" s="333"/>
      <c r="K1168" s="30">
        <f>IFERROR(VLOOKUP($G1168,[1]нормы!$A$21:$BC$151,15,0),"")</f>
        <v>0</v>
      </c>
      <c r="L1168" s="31">
        <f>IFERROR(VLOOKUP($G1168,[1]нормы!$A$21:$BC$151,17,0),"")</f>
        <v>0</v>
      </c>
      <c r="M1168" s="306">
        <f>IFERROR(VLOOKUP($G1168,[1]нормы!$A$21:$BC$151,27,0),"")</f>
        <v>0</v>
      </c>
      <c r="N1168" s="307" t="str">
        <f>IFERROR(Y1168/Y1171*(1.1*J1165*I1173),"")</f>
        <v/>
      </c>
      <c r="O1168" s="300">
        <f>IFERROR(VLOOKUP($G1168,[1]нормы!$A$21:$BC$151,21,0),"")</f>
        <v>0</v>
      </c>
      <c r="P1168" s="35">
        <f>IFERROR(VLOOKUP($G1168,[1]нормы!$A$21:$BC$151,19,0),"")</f>
        <v>0</v>
      </c>
      <c r="Q1168" s="35">
        <f>IFERROR(VLOOKUP($G1168,[1]нормы!$A$21:$BC$151,23,0),"")</f>
        <v>0</v>
      </c>
      <c r="R1168" s="231">
        <f>IFERROR(VLOOKUP($G1168,[1]нормы!$A$21:$BC$151,29,0),"")</f>
        <v>0</v>
      </c>
      <c r="S1168" s="35">
        <f>IFERROR(VLOOKUP($G1168,[1]нормы!$A$21:$BC$151,31,0),"")</f>
        <v>0</v>
      </c>
      <c r="T1168" s="32">
        <f>IFERROR(VLOOKUP($G1168,[1]нормы!$A$21:$BC$151,25,0),"")</f>
        <v>0</v>
      </c>
      <c r="U1168" s="233" t="str">
        <f>IFERROR(W1168/(((100*Y1168/Y1171)*I1170)/100),"")</f>
        <v/>
      </c>
      <c r="V1168" s="234" t="str">
        <f>IFERROR(VLOOKUP($G1168,нормы!$A$14:$BC$57,38,0),"")</f>
        <v/>
      </c>
      <c r="W1168" s="136"/>
      <c r="X1168" s="237"/>
      <c r="Y1168" s="152" t="str">
        <f>IFERROR(VLOOKUP($G1168,нормы!$A$14:$BC$57,42,0)*W1168,"")</f>
        <v/>
      </c>
      <c r="Z1168" s="163">
        <f>IFERROR(VLOOKUP($G1168,нормы!$A$14:$BC$57,14,0)*W1168/1000,0)</f>
        <v>0</v>
      </c>
      <c r="AA1168" s="30"/>
      <c r="AB1168" s="35"/>
      <c r="AC1168" s="35"/>
      <c r="AD1168" s="35"/>
      <c r="AE1168" s="31"/>
      <c r="AF1168" s="160"/>
      <c r="AG1168" s="391"/>
      <c r="AH1168" s="394"/>
      <c r="AI1168" s="397"/>
      <c r="AJ1168" s="408"/>
      <c r="AK1168" s="360"/>
      <c r="AL1168" s="360"/>
      <c r="AM1168" s="360"/>
      <c r="AN1168" s="289">
        <f>IFERROR(Y1168*AJ1165/Y1171,)</f>
        <v>0</v>
      </c>
      <c r="AO1168" s="197" t="str">
        <f>IFERROR(VLOOKUP($G1168,нормы!$A$14:$BC$57,53,0)*$W1168,"")</f>
        <v/>
      </c>
      <c r="AP1168" s="290">
        <f>IFERROR(Y1168*AI1165/Y1171,)</f>
        <v>0</v>
      </c>
      <c r="AQ1168" s="197" t="str">
        <f>IFERROR(VLOOKUP($G1168,нормы!$A$14:$BC$57,54,0)*$W1168,"")</f>
        <v/>
      </c>
      <c r="AR1168" s="290">
        <f>IFERROR(AS1168/SUM(AS1165:AS1170)*AL1165,0)</f>
        <v>0</v>
      </c>
      <c r="AS1168" s="197" t="str">
        <f>IFERROR(VLOOKUP($G1168,нормы!$A$14:$BC$57,55,0)*W1168,"")</f>
        <v/>
      </c>
      <c r="AT1168" s="290">
        <f>IFERROR(AU1168/SUM(AU1165:AU1170)*AM1165,0)</f>
        <v>0</v>
      </c>
      <c r="AU1168" s="197" t="str">
        <f>IFERROR(VLOOKUP($G1168,нормы!$A$14:$BI$57,56,0)*W1168,"")</f>
        <v/>
      </c>
      <c r="AV1168" s="290">
        <f>IFERROR(AW1168/SUM(AW1165:AW1170)*AK1165,0)</f>
        <v>0</v>
      </c>
      <c r="AW1168" s="202" t="str">
        <f>IFERROR(VLOOKUP($G1168,нормы!$A$14:$BI$57,57,0)*W1168,"")</f>
        <v/>
      </c>
      <c r="AX1168" s="30"/>
      <c r="AY1168" s="203" t="str">
        <f>IFERROR(VLOOKUP($G1168,нормы!$A$14:$BI$57,58,0)*W1168,"")</f>
        <v/>
      </c>
      <c r="AZ1168" s="205"/>
      <c r="BA1168" s="200" t="str">
        <f>IFERROR(VLOOKUP($G1168,нормы!$A$14:$BI$57,61,0)*$W1168,"")</f>
        <v/>
      </c>
      <c r="BB1168" s="30"/>
      <c r="BC1168" s="203" t="str">
        <f>IFERROR(VLOOKUP($G1168,нормы!$A$14:$BI$57,60,0)*W1168,"")</f>
        <v/>
      </c>
      <c r="BD1168" s="200" t="str">
        <f>IFERROR(VLOOKUP($G1168,нормы!$A$14:$BG$57,44,0),"")</f>
        <v/>
      </c>
      <c r="BE1168" s="199" t="str">
        <f>IFERROR(W1168/VLOOKUP($G1168,нормы!$A$14:$BI$57,45,0),"")</f>
        <v/>
      </c>
    </row>
    <row r="1169" spans="1:57" s="1" customFormat="1" ht="20.25" customHeight="1" x14ac:dyDescent="0.4">
      <c r="A1169" s="37" t="str">
        <f t="shared" si="458"/>
        <v>19Н</v>
      </c>
      <c r="B1169" s="12">
        <f t="shared" si="461"/>
        <v>19</v>
      </c>
      <c r="C1169" s="97">
        <f t="shared" si="461"/>
        <v>0</v>
      </c>
      <c r="D1169" s="97">
        <f t="shared" si="461"/>
        <v>2</v>
      </c>
      <c r="E1169" s="54"/>
      <c r="F1169" s="151" t="str">
        <f>IFERROR(VLOOKUP($G1169,нормы!$A$14:$BC$57,2,0),"")</f>
        <v/>
      </c>
      <c r="G1169" s="38"/>
      <c r="H1169" s="54">
        <f t="shared" si="462"/>
        <v>0</v>
      </c>
      <c r="I1169" s="89" t="s">
        <v>73</v>
      </c>
      <c r="J1169" s="333"/>
      <c r="K1169" s="30">
        <f>IFERROR(VLOOKUP($G1169,[1]нормы!$A$21:$BC$151,15,0),"")</f>
        <v>0</v>
      </c>
      <c r="L1169" s="31">
        <f>IFERROR(VLOOKUP($G1169,[1]нормы!$A$21:$BC$151,17,0),"")</f>
        <v>0</v>
      </c>
      <c r="M1169" s="306">
        <f>IFERROR(VLOOKUP($G1169,[1]нормы!$A$21:$BC$151,27,0),"")</f>
        <v>0</v>
      </c>
      <c r="N1169" s="307" t="str">
        <f>IFERROR(Y1169/Y1171*(1.1*J1165*I1174),"")</f>
        <v/>
      </c>
      <c r="O1169" s="300">
        <f>IFERROR(VLOOKUP($G1169,[1]нормы!$A$21:$BC$151,21,0),"")</f>
        <v>0</v>
      </c>
      <c r="P1169" s="35">
        <f>IFERROR(VLOOKUP($G1169,[1]нормы!$A$21:$BC$151,19,0),"")</f>
        <v>0</v>
      </c>
      <c r="Q1169" s="35">
        <f>IFERROR(VLOOKUP($G1169,[1]нормы!$A$21:$BC$151,23,0),"")</f>
        <v>0</v>
      </c>
      <c r="R1169" s="231">
        <f>IFERROR(VLOOKUP($G1169,[1]нормы!$A$21:$BC$151,29,0),"")</f>
        <v>0</v>
      </c>
      <c r="S1169" s="35">
        <f>IFERROR(VLOOKUP($G1169,[1]нормы!$A$21:$BC$151,31,0),"")</f>
        <v>0</v>
      </c>
      <c r="T1169" s="32">
        <f>IFERROR(VLOOKUP($G1169,[1]нормы!$A$21:$BC$151,25,0),"")</f>
        <v>0</v>
      </c>
      <c r="U1169" s="233" t="str">
        <f>IFERROR(W1169/(((100*Y1169/Y1171)*I1170)/100),"")</f>
        <v/>
      </c>
      <c r="V1169" s="234" t="str">
        <f>IFERROR(VLOOKUP($G1169,нормы!$A$14:$BC$57,38,0),"")</f>
        <v/>
      </c>
      <c r="W1169" s="136"/>
      <c r="X1169" s="237"/>
      <c r="Y1169" s="152" t="str">
        <f>IFERROR(VLOOKUP($G1169,нормы!$A$14:$BC$57,42,0)*W1169,"")</f>
        <v/>
      </c>
      <c r="Z1169" s="163">
        <f>IFERROR(VLOOKUP($G1169,нормы!$A$14:$BC$57,14,0)*W1169/1000,0)</f>
        <v>0</v>
      </c>
      <c r="AA1169" s="30"/>
      <c r="AB1169" s="35"/>
      <c r="AC1169" s="35"/>
      <c r="AD1169" s="35"/>
      <c r="AE1169" s="31"/>
      <c r="AF1169" s="160"/>
      <c r="AG1169" s="391"/>
      <c r="AH1169" s="394"/>
      <c r="AI1169" s="397"/>
      <c r="AJ1169" s="408"/>
      <c r="AK1169" s="360"/>
      <c r="AL1169" s="360"/>
      <c r="AM1169" s="360"/>
      <c r="AN1169" s="289">
        <f>IFERROR(Y1169*AJ1165/Y1171,)</f>
        <v>0</v>
      </c>
      <c r="AO1169" s="197" t="str">
        <f>IFERROR(VLOOKUP($G1169,нормы!$A$14:$BC$57,53,0)*$W1169,"")</f>
        <v/>
      </c>
      <c r="AP1169" s="290">
        <f>IFERROR(Y1169*AI1165/Y1171,)</f>
        <v>0</v>
      </c>
      <c r="AQ1169" s="197" t="str">
        <f>IFERROR(VLOOKUP($G1169,нормы!$A$14:$BC$57,54,0)*$W1169,"")</f>
        <v/>
      </c>
      <c r="AR1169" s="290">
        <f>IFERROR(AS1169/SUM(AS1165:AS1170)*AL1165,0)</f>
        <v>0</v>
      </c>
      <c r="AS1169" s="197" t="str">
        <f>IFERROR(VLOOKUP($G1169,нормы!$A$14:$BC$57,55,0)*W1169,"")</f>
        <v/>
      </c>
      <c r="AT1169" s="290">
        <f>IFERROR(AU1169/SUM(AU1165:AU1170)*AM1165,0)</f>
        <v>0</v>
      </c>
      <c r="AU1169" s="197" t="str">
        <f>IFERROR(VLOOKUP($G1169,нормы!$A$14:$BI$57,56,0)*W1169,"")</f>
        <v/>
      </c>
      <c r="AV1169" s="290">
        <f>IFERROR(AW1169/SUM(AW1165:AW1170)*AK1165,0)</f>
        <v>0</v>
      </c>
      <c r="AW1169" s="202" t="str">
        <f>IFERROR(VLOOKUP($G1169,нормы!$A$14:$BI$57,57,0)*W1169,"")</f>
        <v/>
      </c>
      <c r="AX1169" s="30"/>
      <c r="AY1169" s="203" t="str">
        <f>IFERROR(VLOOKUP($G1169,нормы!$A$14:$BI$57,58,0)*W1169,"")</f>
        <v/>
      </c>
      <c r="AZ1169" s="205"/>
      <c r="BA1169" s="200" t="str">
        <f>IFERROR(VLOOKUP($G1169,нормы!$A$14:$BI$57,61,0)*$W1169,"")</f>
        <v/>
      </c>
      <c r="BB1169" s="30"/>
      <c r="BC1169" s="203" t="str">
        <f>IFERROR(VLOOKUP($G1169,нормы!$A$14:$BI$57,60,0)*W1169,"")</f>
        <v/>
      </c>
      <c r="BD1169" s="200" t="str">
        <f>IFERROR(VLOOKUP($G1169,нормы!$A$14:$BG$57,44,0),"")</f>
        <v/>
      </c>
      <c r="BE1169" s="199" t="str">
        <f>IFERROR(W1169/VLOOKUP($G1169,нормы!$A$14:$BI$57,45,0),"")</f>
        <v/>
      </c>
    </row>
    <row r="1170" spans="1:57" s="1" customFormat="1" ht="21" customHeight="1" thickBot="1" x14ac:dyDescent="0.45">
      <c r="A1170" s="37" t="str">
        <f t="shared" si="458"/>
        <v>19Н</v>
      </c>
      <c r="B1170" s="12">
        <f t="shared" si="461"/>
        <v>19</v>
      </c>
      <c r="C1170" s="97">
        <f t="shared" si="461"/>
        <v>0</v>
      </c>
      <c r="D1170" s="97">
        <f t="shared" si="461"/>
        <v>2</v>
      </c>
      <c r="E1170" s="54"/>
      <c r="F1170" s="151" t="str">
        <f>IFERROR(VLOOKUP($G1170,нормы!$A$14:$BC$57,2,0),"")</f>
        <v/>
      </c>
      <c r="G1170" s="93"/>
      <c r="H1170" s="63">
        <f t="shared" si="462"/>
        <v>0</v>
      </c>
      <c r="I1170" s="153">
        <f>I1166+I1168</f>
        <v>0</v>
      </c>
      <c r="J1170" s="334"/>
      <c r="K1170" s="30">
        <f>IFERROR(VLOOKUP($G1170,[1]нормы!$A$21:$BC$151,15,0),"")</f>
        <v>0</v>
      </c>
      <c r="L1170" s="31">
        <f>IFERROR(VLOOKUP($G1170,[1]нормы!$A$21:$BC$151,17,0),"")</f>
        <v>0</v>
      </c>
      <c r="M1170" s="308">
        <f>IFERROR(VLOOKUP($G1170,[1]нормы!$A$21:$BC$151,27,0),"")</f>
        <v>0</v>
      </c>
      <c r="N1170" s="309" t="str">
        <f>IFERROR(Y1170/Y1171*(1.1*J1165*I1175),"")</f>
        <v/>
      </c>
      <c r="O1170" s="300">
        <f>IFERROR(VLOOKUP($G1170,[1]нормы!$A$21:$BC$151,21,0),"")</f>
        <v>0</v>
      </c>
      <c r="P1170" s="35">
        <f>IFERROR(VLOOKUP($G1170,[1]нормы!$A$21:$BC$151,19,0),"")</f>
        <v>0</v>
      </c>
      <c r="Q1170" s="35">
        <f>IFERROR(VLOOKUP($G1170,[1]нормы!$A$21:$BC$151,23,0),"")</f>
        <v>0</v>
      </c>
      <c r="R1170" s="231">
        <f>IFERROR(VLOOKUP($G1170,[1]нормы!$A$21:$BC$151,29,0),"")</f>
        <v>0</v>
      </c>
      <c r="S1170" s="35">
        <f>IFERROR(VLOOKUP($G1170,[1]нормы!$A$21:$BC$151,31,0),"")</f>
        <v>0</v>
      </c>
      <c r="T1170" s="32">
        <f>IFERROR(VLOOKUP($G1170,[1]нормы!$A$21:$BC$151,25,0),"")</f>
        <v>0</v>
      </c>
      <c r="U1170" s="235" t="str">
        <f>IFERROR(W1170/(((100*Y1170/Y1171)*I1170)/100),"")</f>
        <v/>
      </c>
      <c r="V1170" s="234" t="str">
        <f>IFERROR(VLOOKUP($G1170,нормы!$A$14:$BC$57,38,0),"")</f>
        <v/>
      </c>
      <c r="W1170" s="154"/>
      <c r="X1170" s="238"/>
      <c r="Y1170" s="152" t="str">
        <f>IFERROR(VLOOKUP($G1170,нормы!$A$14:$BC$57,42,0)*W1170,"")</f>
        <v/>
      </c>
      <c r="Z1170" s="163">
        <f>IFERROR(VLOOKUP($G1170,нормы!$A$14:$BC$57,14,0)*W1170/1000,0)</f>
        <v>0</v>
      </c>
      <c r="AA1170" s="56"/>
      <c r="AB1170" s="58"/>
      <c r="AC1170" s="58"/>
      <c r="AD1170" s="58"/>
      <c r="AE1170" s="57"/>
      <c r="AF1170" s="161"/>
      <c r="AG1170" s="392"/>
      <c r="AH1170" s="395"/>
      <c r="AI1170" s="398"/>
      <c r="AJ1170" s="409"/>
      <c r="AK1170" s="361"/>
      <c r="AL1170" s="361"/>
      <c r="AM1170" s="361"/>
      <c r="AN1170" s="291">
        <f>IFERROR(Y1170*AJ1165/Y1171,)</f>
        <v>0</v>
      </c>
      <c r="AO1170" s="197" t="str">
        <f>IFERROR(VLOOKUP($G1170,нормы!$A$14:$BC$57,53,0)*$W1170,"")</f>
        <v/>
      </c>
      <c r="AP1170" s="292">
        <f>IFERROR(Y1170*AI1165/Y1171,)</f>
        <v>0</v>
      </c>
      <c r="AQ1170" s="197" t="str">
        <f>IFERROR(VLOOKUP($G1170,нормы!$A$14:$BC$57,54,0)*$W1170,"")</f>
        <v/>
      </c>
      <c r="AR1170" s="290">
        <f>IFERROR(AS1170/SUM(AS1165:AS1170)*AL1165,0)</f>
        <v>0</v>
      </c>
      <c r="AS1170" s="197" t="str">
        <f>IFERROR(VLOOKUP($G1170,нормы!$A$14:$BC$57,55,0)*W1170,"")</f>
        <v/>
      </c>
      <c r="AT1170" s="292">
        <f>IFERROR(AU1170/SUM(AU1165:AU1170)*AM1165,0)</f>
        <v>0</v>
      </c>
      <c r="AU1170" s="197" t="str">
        <f>IFERROR(VLOOKUP($G1170,нормы!$A$14:$BI$57,56,0)*W1170,"")</f>
        <v/>
      </c>
      <c r="AV1170" s="292">
        <f>IFERROR(AW1170/SUM(AW1165:AW1170)*AK1165,0)</f>
        <v>0</v>
      </c>
      <c r="AW1170" s="202" t="str">
        <f>IFERROR(VLOOKUP($G1170,нормы!$A$14:$BI$57,57,0)*W1170,"")</f>
        <v/>
      </c>
      <c r="AX1170" s="56"/>
      <c r="AY1170" s="203" t="str">
        <f>IFERROR(VLOOKUP($G1170,нормы!$A$14:$BI$57,58,0)*W1170,"")</f>
        <v/>
      </c>
      <c r="AZ1170" s="206"/>
      <c r="BA1170" s="200" t="str">
        <f>IFERROR(VLOOKUP($G1170,нормы!$A$14:$BI$57,61,0)*$W1170,"")</f>
        <v/>
      </c>
      <c r="BB1170" s="56"/>
      <c r="BC1170" s="203" t="str">
        <f>IFERROR(VLOOKUP($G1170,нормы!$A$14:$BI$57,60,0)*W1170,"")</f>
        <v/>
      </c>
      <c r="BD1170" s="200" t="str">
        <f>IFERROR(VLOOKUP($G1170,нормы!$A$14:$BG$57,44,0),"")</f>
        <v/>
      </c>
      <c r="BE1170" s="199" t="str">
        <f>IFERROR(W1170/VLOOKUP($G1170,нормы!$A$14:$BI$57,45,0),"")</f>
        <v/>
      </c>
    </row>
    <row r="1171" spans="1:57" s="1" customFormat="1" ht="29.4" customHeight="1" thickBot="1" x14ac:dyDescent="0.45">
      <c r="A1171" s="37" t="str">
        <f t="shared" si="458"/>
        <v>19Н</v>
      </c>
      <c r="B1171" s="59"/>
      <c r="C1171" s="51"/>
      <c r="D1171" s="51"/>
      <c r="E1171" s="51"/>
      <c r="F1171" s="51"/>
      <c r="G1171" s="51"/>
      <c r="H1171" s="51"/>
      <c r="I1171" s="60"/>
      <c r="J1171" s="60"/>
      <c r="K1171" s="319" t="s">
        <v>213</v>
      </c>
      <c r="L1171" s="316"/>
      <c r="M1171" s="303" t="s">
        <v>213</v>
      </c>
      <c r="N1171" s="317">
        <f>SUM(N1165:N1170)</f>
        <v>0</v>
      </c>
      <c r="O1171" s="304" t="s">
        <v>217</v>
      </c>
      <c r="P1171" s="318">
        <f>N1171*8.937/1000</f>
        <v>0</v>
      </c>
      <c r="Q1171" s="305" t="s">
        <v>215</v>
      </c>
      <c r="R1171" s="61"/>
      <c r="S1171" s="61"/>
      <c r="T1171" s="61"/>
      <c r="U1171" s="109"/>
      <c r="V1171" s="109"/>
      <c r="W1171" s="94"/>
      <c r="X1171" s="155"/>
      <c r="Y1171" s="96">
        <f>SUM(Y1165:Y1170)</f>
        <v>0</v>
      </c>
      <c r="Z1171" s="164">
        <f>SUM(Z1165:Z1170)</f>
        <v>0</v>
      </c>
      <c r="AA1171" s="207">
        <f>(AA1157+AA1158+AA1159+AA1160+AA1161+AA1162+AA1163+AA1165+AA1166+AA1167+AA1168+AA1169+AA1170)-AG1158</f>
        <v>1</v>
      </c>
      <c r="AB1171" s="208">
        <f>(AB1157+AB1158+AB1159+AB1160+AB1161+AB1162+AB1163+AB1165+AB1166+AB1167+AB1168+AB1169+AB1170)-AH1158</f>
        <v>2</v>
      </c>
      <c r="AC1171" s="208">
        <f>(AC1157+AC1158+AC1159+AC1160+AC1161+AC1162+AC1163+AC1165+AC1166+AC1167+AC1168+AC1169+AC1170)-AG1165</f>
        <v>3</v>
      </c>
      <c r="AD1171" s="208">
        <f>(AD1157+AD1158+AD1159+AD1160+AD1161+AD1162+AD1163+AD1165+AD1166+AD1167+AD1168+AD1169+AD1170)-AH1165</f>
        <v>4</v>
      </c>
      <c r="AE1171" s="208">
        <f>(AE1157+AE1158+AE1159+AE1160+AE1161+AE1162+AE1163+AE1165+AE1166+AE1167+AE1168+AE1169+AE1170)-AI1158</f>
        <v>5</v>
      </c>
      <c r="AF1171" s="209">
        <f>(AF1157+AF1158+AF1159+AF1160+AF1161+AF1162+AF1163+AF1165+AF1166+AF1167+AF1168+AF1169+AF1170)-AI1165</f>
        <v>6</v>
      </c>
      <c r="AG1171" s="62"/>
      <c r="AH1171" s="62"/>
      <c r="AI1171" s="62"/>
      <c r="AJ1171" s="62"/>
      <c r="AK1171" s="62"/>
      <c r="AL1171" s="62"/>
      <c r="AM1171" s="62"/>
      <c r="AN1171" s="91">
        <f>SUM(AN1165:AN1170)</f>
        <v>0</v>
      </c>
      <c r="AO1171" s="91">
        <f>SUM(AO1165:AO1170)</f>
        <v>0</v>
      </c>
      <c r="AP1171" s="91"/>
      <c r="AQ1171" s="91"/>
      <c r="AR1171" s="91">
        <f>SUM(AR1165:AR1170)</f>
        <v>0</v>
      </c>
      <c r="AS1171" s="91">
        <f t="shared" ref="AS1171:AW1171" si="463">SUM(AS1165:AS1170)</f>
        <v>0</v>
      </c>
      <c r="AT1171" s="91">
        <f t="shared" si="463"/>
        <v>0</v>
      </c>
      <c r="AU1171" s="91">
        <f t="shared" si="463"/>
        <v>0</v>
      </c>
      <c r="AV1171" s="91">
        <f t="shared" si="463"/>
        <v>0</v>
      </c>
      <c r="AW1171" s="91">
        <f t="shared" si="463"/>
        <v>0</v>
      </c>
      <c r="AX1171" s="91">
        <f>SUM(AX1165:AX1170)</f>
        <v>0</v>
      </c>
      <c r="AY1171" s="91">
        <f>SUM(AY1165:AY1170)</f>
        <v>0</v>
      </c>
      <c r="AZ1171" s="91">
        <f>SUM(AZ1165:AZ1170)</f>
        <v>0</v>
      </c>
      <c r="BA1171" s="91"/>
      <c r="BB1171" s="91"/>
      <c r="BC1171" s="91"/>
      <c r="BD1171" s="91" t="str">
        <f>IFERROR(VLOOKUP($G1171,нормы!$A$14:$BG$15,27,0),"")</f>
        <v/>
      </c>
      <c r="BE1171" s="53" t="str">
        <f>IFERROR(W1171/VLOOKUP($G1171,нормы!$A$14:$BI$15,28,0),"")</f>
        <v/>
      </c>
    </row>
    <row r="1172" spans="1:57" s="1" customFormat="1" ht="29.4" customHeight="1" thickBot="1" x14ac:dyDescent="0.5">
      <c r="A1172" s="37" t="str">
        <f t="shared" si="458"/>
        <v>19Н</v>
      </c>
      <c r="B1172" s="166" t="s">
        <v>130</v>
      </c>
      <c r="C1172" s="167"/>
      <c r="D1172" s="167"/>
      <c r="E1172" s="167"/>
      <c r="F1172" s="165"/>
      <c r="G1172" s="167"/>
      <c r="H1172" s="167"/>
      <c r="I1172" s="168"/>
      <c r="J1172" s="168"/>
      <c r="K1172" s="168"/>
      <c r="L1172" s="168"/>
      <c r="M1172" s="168"/>
      <c r="N1172" s="168"/>
      <c r="O1172" s="167"/>
      <c r="P1172" s="169"/>
      <c r="Q1172" s="169"/>
      <c r="R1172" s="169"/>
      <c r="S1172" s="169"/>
      <c r="T1172" s="169"/>
      <c r="U1172" s="170"/>
      <c r="V1172" s="170"/>
      <c r="W1172" s="171"/>
      <c r="X1172" s="171"/>
      <c r="Y1172" s="172"/>
      <c r="Z1172" s="172"/>
      <c r="AA1172" s="201" t="s">
        <v>144</v>
      </c>
      <c r="AB1172" s="167"/>
      <c r="AC1172" s="167"/>
      <c r="AD1172" s="167"/>
      <c r="AE1172" s="167"/>
      <c r="AF1172" s="167"/>
      <c r="AG1172" s="167"/>
      <c r="AH1172" s="167"/>
      <c r="AI1172" s="167"/>
      <c r="AJ1172" s="167"/>
      <c r="AK1172" s="167"/>
      <c r="AL1172" s="167"/>
      <c r="AM1172" s="64"/>
      <c r="AN1172" s="167"/>
      <c r="AO1172" s="167"/>
      <c r="AP1172" s="167"/>
      <c r="AQ1172" s="167"/>
      <c r="AR1172" s="64"/>
      <c r="AS1172" s="64"/>
      <c r="AT1172" s="65"/>
      <c r="AU1172" s="64"/>
      <c r="AV1172" s="49"/>
      <c r="AW1172" s="49"/>
      <c r="AX1172" s="167"/>
      <c r="AY1172" s="167"/>
      <c r="AZ1172" s="167"/>
      <c r="BA1172" s="167"/>
      <c r="BB1172" s="167"/>
      <c r="BC1172" s="167"/>
      <c r="BD1172" s="66"/>
      <c r="BE1172" s="66"/>
    </row>
    <row r="1173" spans="1:57" s="1" customFormat="1" ht="23.25" customHeight="1" x14ac:dyDescent="0.4">
      <c r="A1173" s="37" t="str">
        <f t="shared" si="458"/>
        <v>19Н</v>
      </c>
      <c r="B1173" s="183"/>
      <c r="C1173" s="100"/>
      <c r="D1173" s="185"/>
      <c r="E1173" s="186" t="s">
        <v>57</v>
      </c>
      <c r="F1173" s="66" t="s">
        <v>87</v>
      </c>
      <c r="G1173" s="66"/>
      <c r="H1173" s="108" t="s">
        <v>131</v>
      </c>
      <c r="I1173" s="101"/>
      <c r="J1173" s="101"/>
      <c r="K1173" s="101"/>
      <c r="L1173" s="101"/>
      <c r="M1173" s="101"/>
      <c r="N1173" s="101"/>
      <c r="O1173" s="67"/>
      <c r="P1173" s="102"/>
      <c r="Q1173" s="102"/>
      <c r="R1173" s="102"/>
      <c r="S1173" s="102"/>
      <c r="T1173" s="102"/>
      <c r="U1173" s="67"/>
      <c r="V1173" s="67"/>
      <c r="W1173" s="103"/>
      <c r="X1173" s="187"/>
      <c r="Y1173" s="68" t="s">
        <v>74</v>
      </c>
      <c r="Z1173" s="69"/>
      <c r="AA1173" s="90"/>
      <c r="AB1173" s="100"/>
      <c r="AC1173" s="100"/>
      <c r="AD1173" s="186" t="s">
        <v>57</v>
      </c>
      <c r="AE1173" s="66"/>
      <c r="AF1173" s="66"/>
      <c r="AG1173" s="66"/>
      <c r="AH1173" s="66"/>
      <c r="AI1173" s="66"/>
      <c r="AJ1173" s="66"/>
      <c r="AK1173" s="66"/>
      <c r="AL1173" s="66"/>
      <c r="AM1173" s="66"/>
      <c r="AN1173" s="66"/>
      <c r="AO1173" s="66"/>
      <c r="AP1173" s="66"/>
      <c r="AQ1173" s="66"/>
      <c r="AR1173" s="66"/>
      <c r="AS1173" s="66"/>
      <c r="AT1173" s="190"/>
      <c r="AU1173" s="66"/>
      <c r="AV1173" s="165"/>
      <c r="AW1173" s="293"/>
      <c r="AX1173" s="66"/>
      <c r="AY1173" s="66"/>
      <c r="AZ1173" s="66"/>
      <c r="BA1173" s="66"/>
      <c r="BB1173" s="66"/>
      <c r="BC1173" s="66"/>
      <c r="BD1173" s="68" t="s">
        <v>74</v>
      </c>
      <c r="BE1173" s="69"/>
    </row>
    <row r="1174" spans="1:57" s="1" customFormat="1" ht="23.25" customHeight="1" thickBot="1" x14ac:dyDescent="0.45">
      <c r="A1174" s="37" t="str">
        <f t="shared" si="458"/>
        <v>19Н</v>
      </c>
      <c r="B1174" s="183"/>
      <c r="C1174" s="41"/>
      <c r="D1174" s="184"/>
      <c r="E1174" s="50"/>
      <c r="F1174" s="70"/>
      <c r="G1174" s="70"/>
      <c r="H1174" s="70"/>
      <c r="I1174" s="104"/>
      <c r="J1174" s="104"/>
      <c r="K1174" s="104"/>
      <c r="L1174" s="104"/>
      <c r="M1174" s="104"/>
      <c r="N1174" s="104"/>
      <c r="O1174" s="71"/>
      <c r="P1174" s="105"/>
      <c r="Q1174" s="105"/>
      <c r="R1174" s="105"/>
      <c r="S1174" s="105"/>
      <c r="T1174" s="105"/>
      <c r="U1174" s="71"/>
      <c r="V1174" s="71"/>
      <c r="W1174" s="106"/>
      <c r="X1174" s="188"/>
      <c r="Y1174" s="72"/>
      <c r="Z1174" s="73"/>
      <c r="AA1174" s="90"/>
      <c r="AB1174" s="41"/>
      <c r="AC1174" s="41"/>
      <c r="AD1174" s="50"/>
      <c r="AE1174" s="47"/>
      <c r="AF1174" s="47"/>
      <c r="AG1174" s="47"/>
      <c r="AH1174" s="47"/>
      <c r="AI1174" s="47"/>
      <c r="AJ1174" s="47"/>
      <c r="AK1174" s="47"/>
      <c r="AL1174" s="47"/>
      <c r="AM1174" s="70"/>
      <c r="AN1174" s="47"/>
      <c r="AO1174" s="70"/>
      <c r="AP1174" s="70"/>
      <c r="AQ1174" s="70"/>
      <c r="AR1174" s="70"/>
      <c r="AS1174" s="70"/>
      <c r="AT1174" s="191"/>
      <c r="AU1174" s="70"/>
      <c r="AV1174" s="192"/>
      <c r="AW1174" s="294"/>
      <c r="AX1174" s="70"/>
      <c r="AY1174" s="70"/>
      <c r="AZ1174" s="70"/>
      <c r="BA1174" s="70"/>
      <c r="BB1174" s="70"/>
      <c r="BC1174" s="70"/>
      <c r="BD1174" s="72"/>
      <c r="BE1174" s="73"/>
    </row>
    <row r="1175" spans="1:57" s="1" customFormat="1" ht="21.9" customHeight="1" x14ac:dyDescent="0.4">
      <c r="A1175" s="37" t="str">
        <f t="shared" si="458"/>
        <v>19Н</v>
      </c>
      <c r="B1175" s="183"/>
      <c r="C1175" s="41"/>
      <c r="D1175" s="184"/>
      <c r="E1175" s="281">
        <f>B1170</f>
        <v>19</v>
      </c>
      <c r="F1175" s="337"/>
      <c r="G1175" s="338"/>
      <c r="H1175" s="338"/>
      <c r="I1175" s="338"/>
      <c r="J1175" s="338"/>
      <c r="K1175" s="338"/>
      <c r="L1175" s="338"/>
      <c r="M1175" s="338"/>
      <c r="N1175" s="338"/>
      <c r="O1175" s="338"/>
      <c r="P1175" s="338"/>
      <c r="Q1175" s="338"/>
      <c r="R1175" s="338"/>
      <c r="S1175" s="338"/>
      <c r="T1175" s="338"/>
      <c r="U1175" s="338"/>
      <c r="V1175" s="338"/>
      <c r="W1175" s="338"/>
      <c r="X1175" s="98">
        <v>1</v>
      </c>
      <c r="Y1175" s="74">
        <v>1</v>
      </c>
      <c r="Z1175" s="75">
        <f t="shared" ref="Z1175:Z1186" si="464">Y1175-X1175</f>
        <v>0</v>
      </c>
      <c r="AA1175" s="189"/>
      <c r="AB1175" s="41"/>
      <c r="AC1175" s="184"/>
      <c r="AD1175" s="210">
        <f>E1175</f>
        <v>19</v>
      </c>
      <c r="AE1175" s="387"/>
      <c r="AF1175" s="388"/>
      <c r="AG1175" s="388"/>
      <c r="AH1175" s="388"/>
      <c r="AI1175" s="388"/>
      <c r="AJ1175" s="388"/>
      <c r="AK1175" s="388"/>
      <c r="AL1175" s="388"/>
      <c r="AM1175" s="388"/>
      <c r="AN1175" s="388"/>
      <c r="AO1175" s="388"/>
      <c r="AP1175" s="388"/>
      <c r="AQ1175" s="388"/>
      <c r="AR1175" s="388"/>
      <c r="AS1175" s="388"/>
      <c r="AT1175" s="388"/>
      <c r="AU1175" s="388"/>
      <c r="AV1175" s="388"/>
      <c r="AW1175" s="388"/>
      <c r="AX1175" s="388"/>
      <c r="AY1175" s="388"/>
      <c r="AZ1175" s="388"/>
      <c r="BA1175" s="388"/>
      <c r="BB1175" s="389"/>
      <c r="BC1175" s="98">
        <v>1</v>
      </c>
      <c r="BD1175" s="74">
        <v>1</v>
      </c>
      <c r="BE1175" s="75">
        <f t="shared" ref="BE1175:BE1186" si="465">BD1175-BC1175</f>
        <v>0</v>
      </c>
    </row>
    <row r="1176" spans="1:57" s="1" customFormat="1" ht="21.9" customHeight="1" x14ac:dyDescent="0.4">
      <c r="A1176" s="37" t="str">
        <f t="shared" si="458"/>
        <v>19Н</v>
      </c>
      <c r="B1176" s="183"/>
      <c r="C1176" s="41"/>
      <c r="D1176" s="184"/>
      <c r="E1176" s="282">
        <f>E1175</f>
        <v>19</v>
      </c>
      <c r="F1176" s="335"/>
      <c r="G1176" s="336"/>
      <c r="H1176" s="336"/>
      <c r="I1176" s="336"/>
      <c r="J1176" s="336"/>
      <c r="K1176" s="336"/>
      <c r="L1176" s="336"/>
      <c r="M1176" s="336"/>
      <c r="N1176" s="336"/>
      <c r="O1176" s="336"/>
      <c r="P1176" s="336"/>
      <c r="Q1176" s="336"/>
      <c r="R1176" s="336"/>
      <c r="S1176" s="336"/>
      <c r="T1176" s="336"/>
      <c r="U1176" s="336"/>
      <c r="V1176" s="336"/>
      <c r="W1176" s="336"/>
      <c r="X1176" s="98">
        <v>1</v>
      </c>
      <c r="Y1176" s="74">
        <v>1</v>
      </c>
      <c r="Z1176" s="75">
        <f t="shared" si="464"/>
        <v>0</v>
      </c>
      <c r="AA1176" s="107">
        <f>AA1175</f>
        <v>0</v>
      </c>
      <c r="AB1176" s="41"/>
      <c r="AC1176" s="184"/>
      <c r="AD1176" s="212">
        <f>AD1175</f>
        <v>19</v>
      </c>
      <c r="AE1176" s="387"/>
      <c r="AF1176" s="388"/>
      <c r="AG1176" s="388"/>
      <c r="AH1176" s="388"/>
      <c r="AI1176" s="388"/>
      <c r="AJ1176" s="388"/>
      <c r="AK1176" s="388"/>
      <c r="AL1176" s="388"/>
      <c r="AM1176" s="388"/>
      <c r="AN1176" s="388"/>
      <c r="AO1176" s="388"/>
      <c r="AP1176" s="388"/>
      <c r="AQ1176" s="388"/>
      <c r="AR1176" s="388"/>
      <c r="AS1176" s="388"/>
      <c r="AT1176" s="388"/>
      <c r="AU1176" s="388"/>
      <c r="AV1176" s="388"/>
      <c r="AW1176" s="388"/>
      <c r="AX1176" s="388"/>
      <c r="AY1176" s="388"/>
      <c r="AZ1176" s="388"/>
      <c r="BA1176" s="388"/>
      <c r="BB1176" s="389"/>
      <c r="BC1176" s="98">
        <v>1</v>
      </c>
      <c r="BD1176" s="74">
        <v>1</v>
      </c>
      <c r="BE1176" s="75">
        <f t="shared" si="465"/>
        <v>0</v>
      </c>
    </row>
    <row r="1177" spans="1:57" s="1" customFormat="1" ht="21.9" customHeight="1" x14ac:dyDescent="0.4">
      <c r="A1177" s="37" t="str">
        <f t="shared" si="458"/>
        <v>19Н</v>
      </c>
      <c r="B1177" s="183"/>
      <c r="C1177" s="41"/>
      <c r="D1177" s="184"/>
      <c r="E1177" s="282">
        <f t="shared" ref="E1177:E1186" si="466">E1176</f>
        <v>19</v>
      </c>
      <c r="F1177" s="335"/>
      <c r="G1177" s="336"/>
      <c r="H1177" s="336"/>
      <c r="I1177" s="336"/>
      <c r="J1177" s="336"/>
      <c r="K1177" s="336"/>
      <c r="L1177" s="336"/>
      <c r="M1177" s="336"/>
      <c r="N1177" s="336"/>
      <c r="O1177" s="336"/>
      <c r="P1177" s="336"/>
      <c r="Q1177" s="336"/>
      <c r="R1177" s="336"/>
      <c r="S1177" s="336"/>
      <c r="T1177" s="336"/>
      <c r="U1177" s="336"/>
      <c r="V1177" s="336"/>
      <c r="W1177" s="336"/>
      <c r="X1177" s="98">
        <v>1</v>
      </c>
      <c r="Y1177" s="74">
        <v>1</v>
      </c>
      <c r="Z1177" s="75">
        <f t="shared" si="464"/>
        <v>0</v>
      </c>
      <c r="AA1177" s="107">
        <f>AA1176</f>
        <v>0</v>
      </c>
      <c r="AB1177" s="41"/>
      <c r="AC1177" s="184"/>
      <c r="AD1177" s="212">
        <f t="shared" ref="AD1177:AD1186" si="467">AD1176</f>
        <v>19</v>
      </c>
      <c r="AE1177" s="387"/>
      <c r="AF1177" s="388"/>
      <c r="AG1177" s="388"/>
      <c r="AH1177" s="388"/>
      <c r="AI1177" s="388"/>
      <c r="AJ1177" s="388"/>
      <c r="AK1177" s="388"/>
      <c r="AL1177" s="388"/>
      <c r="AM1177" s="388"/>
      <c r="AN1177" s="388"/>
      <c r="AO1177" s="388"/>
      <c r="AP1177" s="388"/>
      <c r="AQ1177" s="388"/>
      <c r="AR1177" s="388"/>
      <c r="AS1177" s="388"/>
      <c r="AT1177" s="388"/>
      <c r="AU1177" s="388"/>
      <c r="AV1177" s="388"/>
      <c r="AW1177" s="388"/>
      <c r="AX1177" s="388"/>
      <c r="AY1177" s="388"/>
      <c r="AZ1177" s="388"/>
      <c r="BA1177" s="388"/>
      <c r="BB1177" s="389"/>
      <c r="BC1177" s="98">
        <v>1</v>
      </c>
      <c r="BD1177" s="74">
        <v>1</v>
      </c>
      <c r="BE1177" s="75">
        <f t="shared" si="465"/>
        <v>0</v>
      </c>
    </row>
    <row r="1178" spans="1:57" s="1" customFormat="1" ht="21.9" customHeight="1" x14ac:dyDescent="0.4">
      <c r="A1178" s="37" t="str">
        <f t="shared" si="458"/>
        <v>19Н</v>
      </c>
      <c r="B1178" s="183"/>
      <c r="C1178" s="41"/>
      <c r="D1178" s="184"/>
      <c r="E1178" s="282">
        <f t="shared" si="466"/>
        <v>19</v>
      </c>
      <c r="F1178" s="335"/>
      <c r="G1178" s="336"/>
      <c r="H1178" s="336"/>
      <c r="I1178" s="336"/>
      <c r="J1178" s="336"/>
      <c r="K1178" s="336"/>
      <c r="L1178" s="336"/>
      <c r="M1178" s="336"/>
      <c r="N1178" s="336"/>
      <c r="O1178" s="336"/>
      <c r="P1178" s="336"/>
      <c r="Q1178" s="336"/>
      <c r="R1178" s="336"/>
      <c r="S1178" s="336"/>
      <c r="T1178" s="336"/>
      <c r="U1178" s="336"/>
      <c r="V1178" s="336"/>
      <c r="W1178" s="336"/>
      <c r="X1178" s="98">
        <v>1</v>
      </c>
      <c r="Y1178" s="74">
        <v>1</v>
      </c>
      <c r="Z1178" s="75">
        <f t="shared" si="464"/>
        <v>0</v>
      </c>
      <c r="AA1178" s="107">
        <f t="shared" ref="AA1178:AA1186" si="468">AA1177</f>
        <v>0</v>
      </c>
      <c r="AB1178" s="41"/>
      <c r="AC1178" s="184"/>
      <c r="AD1178" s="212">
        <f t="shared" si="467"/>
        <v>19</v>
      </c>
      <c r="AE1178" s="387"/>
      <c r="AF1178" s="388"/>
      <c r="AG1178" s="388"/>
      <c r="AH1178" s="388"/>
      <c r="AI1178" s="388"/>
      <c r="AJ1178" s="388"/>
      <c r="AK1178" s="388"/>
      <c r="AL1178" s="388"/>
      <c r="AM1178" s="388"/>
      <c r="AN1178" s="388"/>
      <c r="AO1178" s="388"/>
      <c r="AP1178" s="388"/>
      <c r="AQ1178" s="388"/>
      <c r="AR1178" s="388"/>
      <c r="AS1178" s="388"/>
      <c r="AT1178" s="388"/>
      <c r="AU1178" s="388"/>
      <c r="AV1178" s="388"/>
      <c r="AW1178" s="388"/>
      <c r="AX1178" s="388"/>
      <c r="AY1178" s="388"/>
      <c r="AZ1178" s="388"/>
      <c r="BA1178" s="388"/>
      <c r="BB1178" s="389"/>
      <c r="BC1178" s="98">
        <v>1</v>
      </c>
      <c r="BD1178" s="74">
        <v>1</v>
      </c>
      <c r="BE1178" s="75">
        <f t="shared" si="465"/>
        <v>0</v>
      </c>
    </row>
    <row r="1179" spans="1:57" s="1" customFormat="1" ht="18" customHeight="1" x14ac:dyDescent="0.4">
      <c r="A1179" s="37" t="str">
        <f t="shared" si="458"/>
        <v>19Н</v>
      </c>
      <c r="B1179" s="183"/>
      <c r="C1179" s="41"/>
      <c r="D1179" s="184"/>
      <c r="E1179" s="282">
        <f t="shared" si="466"/>
        <v>19</v>
      </c>
      <c r="F1179" s="335"/>
      <c r="G1179" s="336"/>
      <c r="H1179" s="336"/>
      <c r="I1179" s="336"/>
      <c r="J1179" s="336"/>
      <c r="K1179" s="336"/>
      <c r="L1179" s="336"/>
      <c r="M1179" s="336"/>
      <c r="N1179" s="336"/>
      <c r="O1179" s="336"/>
      <c r="P1179" s="336"/>
      <c r="Q1179" s="336"/>
      <c r="R1179" s="336"/>
      <c r="S1179" s="336"/>
      <c r="T1179" s="336"/>
      <c r="U1179" s="336"/>
      <c r="V1179" s="336"/>
      <c r="W1179" s="336"/>
      <c r="X1179" s="98">
        <v>1</v>
      </c>
      <c r="Y1179" s="74">
        <v>1</v>
      </c>
      <c r="Z1179" s="75">
        <f t="shared" si="464"/>
        <v>0</v>
      </c>
      <c r="AA1179" s="107">
        <f t="shared" si="468"/>
        <v>0</v>
      </c>
      <c r="AB1179" s="41"/>
      <c r="AC1179" s="184"/>
      <c r="AD1179" s="212">
        <f t="shared" si="467"/>
        <v>19</v>
      </c>
      <c r="AE1179" s="387"/>
      <c r="AF1179" s="388"/>
      <c r="AG1179" s="388"/>
      <c r="AH1179" s="388"/>
      <c r="AI1179" s="388"/>
      <c r="AJ1179" s="388"/>
      <c r="AK1179" s="388"/>
      <c r="AL1179" s="388"/>
      <c r="AM1179" s="388"/>
      <c r="AN1179" s="388"/>
      <c r="AO1179" s="388"/>
      <c r="AP1179" s="388"/>
      <c r="AQ1179" s="388"/>
      <c r="AR1179" s="388"/>
      <c r="AS1179" s="388"/>
      <c r="AT1179" s="388"/>
      <c r="AU1179" s="388"/>
      <c r="AV1179" s="388"/>
      <c r="AW1179" s="388"/>
      <c r="AX1179" s="388"/>
      <c r="AY1179" s="388"/>
      <c r="AZ1179" s="388"/>
      <c r="BA1179" s="388"/>
      <c r="BB1179" s="389"/>
      <c r="BC1179" s="98">
        <v>1</v>
      </c>
      <c r="BD1179" s="74">
        <v>1</v>
      </c>
      <c r="BE1179" s="75">
        <f t="shared" si="465"/>
        <v>0</v>
      </c>
    </row>
    <row r="1180" spans="1:57" s="1" customFormat="1" ht="18" customHeight="1" x14ac:dyDescent="0.4">
      <c r="A1180" s="37" t="str">
        <f t="shared" si="458"/>
        <v>19Н</v>
      </c>
      <c r="B1180" s="183"/>
      <c r="C1180" s="41"/>
      <c r="D1180" s="184"/>
      <c r="E1180" s="282">
        <f t="shared" si="466"/>
        <v>19</v>
      </c>
      <c r="F1180" s="335"/>
      <c r="G1180" s="336"/>
      <c r="H1180" s="336"/>
      <c r="I1180" s="336"/>
      <c r="J1180" s="336"/>
      <c r="K1180" s="336"/>
      <c r="L1180" s="336"/>
      <c r="M1180" s="336"/>
      <c r="N1180" s="336"/>
      <c r="O1180" s="336"/>
      <c r="P1180" s="336"/>
      <c r="Q1180" s="336"/>
      <c r="R1180" s="336"/>
      <c r="S1180" s="336"/>
      <c r="T1180" s="336"/>
      <c r="U1180" s="336"/>
      <c r="V1180" s="336"/>
      <c r="W1180" s="336"/>
      <c r="X1180" s="98">
        <v>1</v>
      </c>
      <c r="Y1180" s="74">
        <v>1</v>
      </c>
      <c r="Z1180" s="75">
        <f t="shared" si="464"/>
        <v>0</v>
      </c>
      <c r="AA1180" s="107">
        <f t="shared" si="468"/>
        <v>0</v>
      </c>
      <c r="AB1180" s="41"/>
      <c r="AC1180" s="184"/>
      <c r="AD1180" s="212">
        <f t="shared" si="467"/>
        <v>19</v>
      </c>
      <c r="AE1180" s="387"/>
      <c r="AF1180" s="388"/>
      <c r="AG1180" s="388"/>
      <c r="AH1180" s="388"/>
      <c r="AI1180" s="388"/>
      <c r="AJ1180" s="388"/>
      <c r="AK1180" s="388"/>
      <c r="AL1180" s="388"/>
      <c r="AM1180" s="388"/>
      <c r="AN1180" s="388"/>
      <c r="AO1180" s="388"/>
      <c r="AP1180" s="388"/>
      <c r="AQ1180" s="388"/>
      <c r="AR1180" s="388"/>
      <c r="AS1180" s="388"/>
      <c r="AT1180" s="388"/>
      <c r="AU1180" s="388"/>
      <c r="AV1180" s="388"/>
      <c r="AW1180" s="388"/>
      <c r="AX1180" s="388"/>
      <c r="AY1180" s="388"/>
      <c r="AZ1180" s="388"/>
      <c r="BA1180" s="388"/>
      <c r="BB1180" s="389"/>
      <c r="BC1180" s="98">
        <v>1</v>
      </c>
      <c r="BD1180" s="74">
        <v>1</v>
      </c>
      <c r="BE1180" s="75">
        <f t="shared" si="465"/>
        <v>0</v>
      </c>
    </row>
    <row r="1181" spans="1:57" s="1" customFormat="1" ht="18" customHeight="1" x14ac:dyDescent="0.4">
      <c r="A1181" s="37" t="str">
        <f t="shared" si="458"/>
        <v>19Н</v>
      </c>
      <c r="B1181" s="183"/>
      <c r="C1181" s="41"/>
      <c r="D1181" s="184"/>
      <c r="E1181" s="282">
        <f t="shared" si="466"/>
        <v>19</v>
      </c>
      <c r="F1181" s="335"/>
      <c r="G1181" s="336"/>
      <c r="H1181" s="336"/>
      <c r="I1181" s="336"/>
      <c r="J1181" s="336"/>
      <c r="K1181" s="336"/>
      <c r="L1181" s="336"/>
      <c r="M1181" s="336"/>
      <c r="N1181" s="336"/>
      <c r="O1181" s="336"/>
      <c r="P1181" s="336"/>
      <c r="Q1181" s="336"/>
      <c r="R1181" s="336"/>
      <c r="S1181" s="336"/>
      <c r="T1181" s="336"/>
      <c r="U1181" s="336"/>
      <c r="V1181" s="336"/>
      <c r="W1181" s="336"/>
      <c r="X1181" s="98">
        <v>1</v>
      </c>
      <c r="Y1181" s="74">
        <v>1</v>
      </c>
      <c r="Z1181" s="75">
        <f t="shared" si="464"/>
        <v>0</v>
      </c>
      <c r="AA1181" s="107">
        <f t="shared" si="468"/>
        <v>0</v>
      </c>
      <c r="AB1181" s="41"/>
      <c r="AC1181" s="184"/>
      <c r="AD1181" s="212">
        <f t="shared" si="467"/>
        <v>19</v>
      </c>
      <c r="AE1181" s="387"/>
      <c r="AF1181" s="388"/>
      <c r="AG1181" s="388"/>
      <c r="AH1181" s="388"/>
      <c r="AI1181" s="388"/>
      <c r="AJ1181" s="388"/>
      <c r="AK1181" s="388"/>
      <c r="AL1181" s="388"/>
      <c r="AM1181" s="388"/>
      <c r="AN1181" s="388"/>
      <c r="AO1181" s="388"/>
      <c r="AP1181" s="388"/>
      <c r="AQ1181" s="388"/>
      <c r="AR1181" s="388"/>
      <c r="AS1181" s="388"/>
      <c r="AT1181" s="388"/>
      <c r="AU1181" s="388"/>
      <c r="AV1181" s="388"/>
      <c r="AW1181" s="388"/>
      <c r="AX1181" s="388"/>
      <c r="AY1181" s="388"/>
      <c r="AZ1181" s="388"/>
      <c r="BA1181" s="388"/>
      <c r="BB1181" s="389"/>
      <c r="BC1181" s="98">
        <v>1</v>
      </c>
      <c r="BD1181" s="74">
        <v>1</v>
      </c>
      <c r="BE1181" s="75">
        <f t="shared" si="465"/>
        <v>0</v>
      </c>
    </row>
    <row r="1182" spans="1:57" s="1" customFormat="1" ht="18" customHeight="1" x14ac:dyDescent="0.4">
      <c r="A1182" s="37" t="str">
        <f t="shared" si="458"/>
        <v>19Н</v>
      </c>
      <c r="B1182" s="183"/>
      <c r="C1182" s="41"/>
      <c r="D1182" s="184"/>
      <c r="E1182" s="282">
        <f t="shared" si="466"/>
        <v>19</v>
      </c>
      <c r="F1182" s="335"/>
      <c r="G1182" s="336"/>
      <c r="H1182" s="336"/>
      <c r="I1182" s="336"/>
      <c r="J1182" s="336"/>
      <c r="K1182" s="336"/>
      <c r="L1182" s="336"/>
      <c r="M1182" s="336"/>
      <c r="N1182" s="336"/>
      <c r="O1182" s="336"/>
      <c r="P1182" s="336"/>
      <c r="Q1182" s="336"/>
      <c r="R1182" s="336"/>
      <c r="S1182" s="336"/>
      <c r="T1182" s="336"/>
      <c r="U1182" s="336"/>
      <c r="V1182" s="336"/>
      <c r="W1182" s="336"/>
      <c r="X1182" s="98">
        <v>1</v>
      </c>
      <c r="Y1182" s="74">
        <v>1</v>
      </c>
      <c r="Z1182" s="75">
        <f t="shared" si="464"/>
        <v>0</v>
      </c>
      <c r="AA1182" s="107">
        <f t="shared" si="468"/>
        <v>0</v>
      </c>
      <c r="AB1182" s="41"/>
      <c r="AC1182" s="184"/>
      <c r="AD1182" s="212">
        <f t="shared" si="467"/>
        <v>19</v>
      </c>
      <c r="AE1182" s="387"/>
      <c r="AF1182" s="388"/>
      <c r="AG1182" s="388"/>
      <c r="AH1182" s="388"/>
      <c r="AI1182" s="388"/>
      <c r="AJ1182" s="388"/>
      <c r="AK1182" s="388"/>
      <c r="AL1182" s="388"/>
      <c r="AM1182" s="388"/>
      <c r="AN1182" s="388"/>
      <c r="AO1182" s="388"/>
      <c r="AP1182" s="388"/>
      <c r="AQ1182" s="388"/>
      <c r="AR1182" s="388"/>
      <c r="AS1182" s="388"/>
      <c r="AT1182" s="388"/>
      <c r="AU1182" s="388"/>
      <c r="AV1182" s="388"/>
      <c r="AW1182" s="388"/>
      <c r="AX1182" s="388"/>
      <c r="AY1182" s="388"/>
      <c r="AZ1182" s="388"/>
      <c r="BA1182" s="388"/>
      <c r="BB1182" s="389"/>
      <c r="BC1182" s="98">
        <v>1</v>
      </c>
      <c r="BD1182" s="74">
        <v>1</v>
      </c>
      <c r="BE1182" s="75">
        <f t="shared" si="465"/>
        <v>0</v>
      </c>
    </row>
    <row r="1183" spans="1:57" s="1" customFormat="1" ht="18" customHeight="1" x14ac:dyDescent="0.4">
      <c r="A1183" s="37" t="str">
        <f t="shared" si="458"/>
        <v>19Н</v>
      </c>
      <c r="B1183" s="183"/>
      <c r="C1183" s="41"/>
      <c r="D1183" s="184"/>
      <c r="E1183" s="282">
        <f t="shared" si="466"/>
        <v>19</v>
      </c>
      <c r="F1183" s="335"/>
      <c r="G1183" s="336"/>
      <c r="H1183" s="336"/>
      <c r="I1183" s="336"/>
      <c r="J1183" s="336"/>
      <c r="K1183" s="336"/>
      <c r="L1183" s="336"/>
      <c r="M1183" s="336"/>
      <c r="N1183" s="336"/>
      <c r="O1183" s="336"/>
      <c r="P1183" s="336"/>
      <c r="Q1183" s="336"/>
      <c r="R1183" s="336"/>
      <c r="S1183" s="336"/>
      <c r="T1183" s="336"/>
      <c r="U1183" s="336"/>
      <c r="V1183" s="336"/>
      <c r="W1183" s="336"/>
      <c r="X1183" s="98">
        <v>1</v>
      </c>
      <c r="Y1183" s="74">
        <v>1</v>
      </c>
      <c r="Z1183" s="75">
        <f t="shared" si="464"/>
        <v>0</v>
      </c>
      <c r="AA1183" s="107">
        <f t="shared" si="468"/>
        <v>0</v>
      </c>
      <c r="AB1183" s="41"/>
      <c r="AC1183" s="184"/>
      <c r="AD1183" s="212">
        <f t="shared" si="467"/>
        <v>19</v>
      </c>
      <c r="AE1183" s="387"/>
      <c r="AF1183" s="388"/>
      <c r="AG1183" s="388"/>
      <c r="AH1183" s="388"/>
      <c r="AI1183" s="388"/>
      <c r="AJ1183" s="388"/>
      <c r="AK1183" s="388"/>
      <c r="AL1183" s="388"/>
      <c r="AM1183" s="388"/>
      <c r="AN1183" s="388"/>
      <c r="AO1183" s="388"/>
      <c r="AP1183" s="388"/>
      <c r="AQ1183" s="388"/>
      <c r="AR1183" s="388"/>
      <c r="AS1183" s="388"/>
      <c r="AT1183" s="388"/>
      <c r="AU1183" s="388"/>
      <c r="AV1183" s="388"/>
      <c r="AW1183" s="388"/>
      <c r="AX1183" s="388"/>
      <c r="AY1183" s="388"/>
      <c r="AZ1183" s="388"/>
      <c r="BA1183" s="388"/>
      <c r="BB1183" s="389"/>
      <c r="BC1183" s="98">
        <v>1</v>
      </c>
      <c r="BD1183" s="74">
        <v>1</v>
      </c>
      <c r="BE1183" s="75">
        <f t="shared" si="465"/>
        <v>0</v>
      </c>
    </row>
    <row r="1184" spans="1:57" s="1" customFormat="1" ht="18" customHeight="1" x14ac:dyDescent="0.4">
      <c r="A1184" s="37" t="str">
        <f t="shared" si="458"/>
        <v>19Н</v>
      </c>
      <c r="B1184" s="183"/>
      <c r="C1184" s="41"/>
      <c r="D1184" s="184"/>
      <c r="E1184" s="282">
        <f t="shared" si="466"/>
        <v>19</v>
      </c>
      <c r="F1184" s="335"/>
      <c r="G1184" s="336"/>
      <c r="H1184" s="336"/>
      <c r="I1184" s="336"/>
      <c r="J1184" s="336"/>
      <c r="K1184" s="336"/>
      <c r="L1184" s="336"/>
      <c r="M1184" s="336"/>
      <c r="N1184" s="336"/>
      <c r="O1184" s="336"/>
      <c r="P1184" s="336"/>
      <c r="Q1184" s="336"/>
      <c r="R1184" s="336"/>
      <c r="S1184" s="336"/>
      <c r="T1184" s="336"/>
      <c r="U1184" s="336"/>
      <c r="V1184" s="336"/>
      <c r="W1184" s="336"/>
      <c r="X1184" s="98">
        <v>1</v>
      </c>
      <c r="Y1184" s="74">
        <v>1</v>
      </c>
      <c r="Z1184" s="75">
        <f t="shared" si="464"/>
        <v>0</v>
      </c>
      <c r="AA1184" s="107">
        <f t="shared" si="468"/>
        <v>0</v>
      </c>
      <c r="AB1184" s="41"/>
      <c r="AC1184" s="184"/>
      <c r="AD1184" s="212">
        <f t="shared" si="467"/>
        <v>19</v>
      </c>
      <c r="AE1184" s="387"/>
      <c r="AF1184" s="388"/>
      <c r="AG1184" s="388"/>
      <c r="AH1184" s="388"/>
      <c r="AI1184" s="388"/>
      <c r="AJ1184" s="388"/>
      <c r="AK1184" s="388"/>
      <c r="AL1184" s="388"/>
      <c r="AM1184" s="388"/>
      <c r="AN1184" s="388"/>
      <c r="AO1184" s="388"/>
      <c r="AP1184" s="388"/>
      <c r="AQ1184" s="388"/>
      <c r="AR1184" s="388"/>
      <c r="AS1184" s="388"/>
      <c r="AT1184" s="388"/>
      <c r="AU1184" s="388"/>
      <c r="AV1184" s="388"/>
      <c r="AW1184" s="388"/>
      <c r="AX1184" s="388"/>
      <c r="AY1184" s="388"/>
      <c r="AZ1184" s="388"/>
      <c r="BA1184" s="388"/>
      <c r="BB1184" s="389"/>
      <c r="BC1184" s="98">
        <v>1</v>
      </c>
      <c r="BD1184" s="74">
        <v>1</v>
      </c>
      <c r="BE1184" s="75">
        <f t="shared" si="465"/>
        <v>0</v>
      </c>
    </row>
    <row r="1185" spans="1:57" s="1" customFormat="1" ht="18" customHeight="1" x14ac:dyDescent="0.4">
      <c r="A1185" s="37" t="str">
        <f t="shared" si="458"/>
        <v>19Н</v>
      </c>
      <c r="B1185" s="183"/>
      <c r="C1185" s="41"/>
      <c r="D1185" s="184"/>
      <c r="E1185" s="282">
        <f t="shared" si="466"/>
        <v>19</v>
      </c>
      <c r="F1185" s="335"/>
      <c r="G1185" s="336"/>
      <c r="H1185" s="336"/>
      <c r="I1185" s="336"/>
      <c r="J1185" s="336"/>
      <c r="K1185" s="336"/>
      <c r="L1185" s="336"/>
      <c r="M1185" s="336"/>
      <c r="N1185" s="336"/>
      <c r="O1185" s="336"/>
      <c r="P1185" s="336"/>
      <c r="Q1185" s="336"/>
      <c r="R1185" s="336"/>
      <c r="S1185" s="336"/>
      <c r="T1185" s="336"/>
      <c r="U1185" s="336"/>
      <c r="V1185" s="336"/>
      <c r="W1185" s="336"/>
      <c r="X1185" s="98">
        <v>1</v>
      </c>
      <c r="Y1185" s="74">
        <v>1</v>
      </c>
      <c r="Z1185" s="75">
        <f t="shared" si="464"/>
        <v>0</v>
      </c>
      <c r="AA1185" s="107">
        <f t="shared" si="468"/>
        <v>0</v>
      </c>
      <c r="AB1185" s="41"/>
      <c r="AC1185" s="184"/>
      <c r="AD1185" s="212">
        <f t="shared" si="467"/>
        <v>19</v>
      </c>
      <c r="AE1185" s="387"/>
      <c r="AF1185" s="388"/>
      <c r="AG1185" s="388"/>
      <c r="AH1185" s="388"/>
      <c r="AI1185" s="388"/>
      <c r="AJ1185" s="388"/>
      <c r="AK1185" s="388"/>
      <c r="AL1185" s="388"/>
      <c r="AM1185" s="388"/>
      <c r="AN1185" s="388"/>
      <c r="AO1185" s="388"/>
      <c r="AP1185" s="388"/>
      <c r="AQ1185" s="388"/>
      <c r="AR1185" s="388"/>
      <c r="AS1185" s="388"/>
      <c r="AT1185" s="388"/>
      <c r="AU1185" s="388"/>
      <c r="AV1185" s="388"/>
      <c r="AW1185" s="388"/>
      <c r="AX1185" s="388"/>
      <c r="AY1185" s="388"/>
      <c r="AZ1185" s="388"/>
      <c r="BA1185" s="388"/>
      <c r="BB1185" s="389"/>
      <c r="BC1185" s="98">
        <v>1</v>
      </c>
      <c r="BD1185" s="74">
        <v>1</v>
      </c>
      <c r="BE1185" s="75">
        <f t="shared" si="465"/>
        <v>0</v>
      </c>
    </row>
    <row r="1186" spans="1:57" s="1" customFormat="1" ht="18" customHeight="1" thickBot="1" x14ac:dyDescent="0.45">
      <c r="A1186" s="37" t="str">
        <f t="shared" si="458"/>
        <v>19Н</v>
      </c>
      <c r="B1186" s="183"/>
      <c r="C1186" s="41"/>
      <c r="D1186" s="184"/>
      <c r="E1186" s="283">
        <f t="shared" si="466"/>
        <v>19</v>
      </c>
      <c r="F1186" s="339"/>
      <c r="G1186" s="340"/>
      <c r="H1186" s="340"/>
      <c r="I1186" s="340"/>
      <c r="J1186" s="340"/>
      <c r="K1186" s="340"/>
      <c r="L1186" s="340"/>
      <c r="M1186" s="340"/>
      <c r="N1186" s="340"/>
      <c r="O1186" s="340"/>
      <c r="P1186" s="340"/>
      <c r="Q1186" s="340"/>
      <c r="R1186" s="340"/>
      <c r="S1186" s="340"/>
      <c r="T1186" s="340"/>
      <c r="U1186" s="340"/>
      <c r="V1186" s="340"/>
      <c r="W1186" s="340"/>
      <c r="X1186" s="99">
        <v>1</v>
      </c>
      <c r="Y1186" s="76">
        <v>1</v>
      </c>
      <c r="Z1186" s="77">
        <f t="shared" si="464"/>
        <v>0</v>
      </c>
      <c r="AA1186" s="107">
        <f t="shared" si="468"/>
        <v>0</v>
      </c>
      <c r="AB1186" s="41"/>
      <c r="AC1186" s="184"/>
      <c r="AD1186" s="211">
        <f t="shared" si="467"/>
        <v>19</v>
      </c>
      <c r="AE1186" s="410"/>
      <c r="AF1186" s="411"/>
      <c r="AG1186" s="411"/>
      <c r="AH1186" s="411"/>
      <c r="AI1186" s="411"/>
      <c r="AJ1186" s="411"/>
      <c r="AK1186" s="411"/>
      <c r="AL1186" s="411"/>
      <c r="AM1186" s="411"/>
      <c r="AN1186" s="411"/>
      <c r="AO1186" s="411"/>
      <c r="AP1186" s="411"/>
      <c r="AQ1186" s="411"/>
      <c r="AR1186" s="411"/>
      <c r="AS1186" s="411"/>
      <c r="AT1186" s="411"/>
      <c r="AU1186" s="411"/>
      <c r="AV1186" s="411"/>
      <c r="AW1186" s="411"/>
      <c r="AX1186" s="411"/>
      <c r="AY1186" s="411"/>
      <c r="AZ1186" s="411"/>
      <c r="BA1186" s="411"/>
      <c r="BB1186" s="412"/>
      <c r="BC1186" s="99">
        <v>1</v>
      </c>
      <c r="BD1186" s="76">
        <v>1</v>
      </c>
      <c r="BE1186" s="75">
        <f t="shared" si="465"/>
        <v>0</v>
      </c>
    </row>
    <row r="1187" spans="1:57" s="1" customFormat="1" ht="23.25" customHeight="1" thickBot="1" x14ac:dyDescent="0.45">
      <c r="A1187" s="37" t="str">
        <f t="shared" si="458"/>
        <v>19Н</v>
      </c>
      <c r="B1187" s="193"/>
      <c r="C1187" s="47"/>
      <c r="D1187" s="47"/>
      <c r="E1187" s="47"/>
      <c r="F1187" s="78"/>
      <c r="G1187" s="78"/>
      <c r="H1187" s="78"/>
      <c r="I1187" s="80"/>
      <c r="J1187" s="80"/>
      <c r="K1187" s="80"/>
      <c r="L1187" s="80"/>
      <c r="M1187" s="80"/>
      <c r="N1187" s="80"/>
      <c r="O1187" s="78"/>
      <c r="P1187" s="81"/>
      <c r="Q1187" s="81"/>
      <c r="R1187" s="81"/>
      <c r="S1187" s="81"/>
      <c r="T1187" s="81"/>
      <c r="U1187" s="82"/>
      <c r="V1187" s="82"/>
      <c r="W1187" s="86"/>
      <c r="X1187" s="194"/>
      <c r="Y1187" s="83"/>
      <c r="Z1187" s="83"/>
      <c r="AA1187" s="78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84"/>
      <c r="AN1187" s="47"/>
      <c r="AO1187" s="78"/>
      <c r="AP1187" s="78"/>
      <c r="AQ1187" s="78"/>
      <c r="AR1187" s="84"/>
      <c r="AS1187" s="78"/>
      <c r="AT1187" s="85"/>
      <c r="AU1187" s="78"/>
      <c r="AV1187" s="83"/>
      <c r="AW1187" s="83"/>
      <c r="AX1187" s="78"/>
      <c r="AY1187" s="78"/>
      <c r="AZ1187" s="78"/>
      <c r="BA1187" s="78"/>
      <c r="BB1187" s="78"/>
      <c r="BC1187" s="78"/>
      <c r="BD1187" s="79"/>
      <c r="BE1187" s="79"/>
    </row>
    <row r="1188" spans="1:57" s="1" customFormat="1" ht="21.6" customHeight="1" thickBot="1" x14ac:dyDescent="0.45">
      <c r="A1188" s="37" t="s">
        <v>184</v>
      </c>
      <c r="B1188" s="59"/>
      <c r="C1188" s="51"/>
      <c r="D1188" s="51"/>
      <c r="E1188" s="51"/>
      <c r="F1188" s="158" t="s">
        <v>147</v>
      </c>
      <c r="G1188" s="51"/>
      <c r="H1188" s="51"/>
      <c r="I1188" s="156"/>
      <c r="J1188" s="156"/>
      <c r="K1188" s="156"/>
      <c r="L1188" s="156"/>
      <c r="M1188" s="156"/>
      <c r="N1188" s="156"/>
      <c r="O1188" s="91"/>
      <c r="P1188" s="52"/>
      <c r="Q1188" s="52"/>
      <c r="R1188" s="52"/>
      <c r="S1188" s="52"/>
      <c r="T1188" s="52"/>
      <c r="U1188" s="157"/>
      <c r="V1188" s="157"/>
      <c r="W1188" s="94"/>
      <c r="X1188" s="94"/>
      <c r="Y1188" s="51"/>
      <c r="Z1188" s="51"/>
      <c r="AA1188" s="157">
        <f>AA1171</f>
        <v>1</v>
      </c>
      <c r="AB1188" s="157">
        <f t="shared" ref="AB1188:AF1188" si="469">AB1171</f>
        <v>2</v>
      </c>
      <c r="AC1188" s="157">
        <f t="shared" si="469"/>
        <v>3</v>
      </c>
      <c r="AD1188" s="157">
        <f t="shared" si="469"/>
        <v>4</v>
      </c>
      <c r="AE1188" s="157">
        <f t="shared" si="469"/>
        <v>5</v>
      </c>
      <c r="AF1188" s="157">
        <f t="shared" si="469"/>
        <v>6</v>
      </c>
      <c r="AG1188" s="162" t="s">
        <v>123</v>
      </c>
      <c r="AH1188" s="162" t="s">
        <v>124</v>
      </c>
      <c r="AI1188" s="162" t="s">
        <v>125</v>
      </c>
      <c r="AJ1188" s="91" t="s">
        <v>126</v>
      </c>
      <c r="AK1188" s="198" t="s">
        <v>136</v>
      </c>
      <c r="AL1188" s="198" t="s">
        <v>137</v>
      </c>
      <c r="AM1188" s="198" t="s">
        <v>138</v>
      </c>
      <c r="AN1188" s="91"/>
      <c r="AO1188" s="91"/>
      <c r="AP1188" s="91"/>
      <c r="AQ1188" s="91"/>
      <c r="AR1188" s="91"/>
      <c r="AS1188" s="91"/>
      <c r="AT1188" s="91"/>
      <c r="AU1188" s="91"/>
      <c r="AV1188" s="91"/>
      <c r="AW1188" s="91"/>
      <c r="AX1188" s="91"/>
      <c r="AY1188" s="91"/>
      <c r="AZ1188" s="91"/>
      <c r="BA1188" s="91"/>
      <c r="BB1188" s="91"/>
      <c r="BC1188" s="91"/>
      <c r="BD1188" s="91"/>
      <c r="BE1188" s="91"/>
    </row>
    <row r="1189" spans="1:57" s="1" customFormat="1" ht="21.6" customHeight="1" x14ac:dyDescent="0.4">
      <c r="A1189" s="37" t="str">
        <f>A1188</f>
        <v>20Д</v>
      </c>
      <c r="B1189" s="12">
        <f>B1170+1</f>
        <v>20</v>
      </c>
      <c r="C1189" s="97"/>
      <c r="D1189" s="97">
        <v>1</v>
      </c>
      <c r="E1189" s="29"/>
      <c r="F1189" s="151" t="str">
        <f>IFERROR(VLOOKUP($G1189,нормы!$A$14:$BC$57,2,0),"")</f>
        <v/>
      </c>
      <c r="G1189" s="93"/>
      <c r="H1189" s="54">
        <f>IF(C1189=1,"Кульков С.А.", IF(C1189=2,"Чудаков А.А.",IF(C1189=3,"Королев В.Н.",IF(C1189=4,"Николашин М.П.",IF(C1189=5," Кульков С.А.",IF(C1189=6,"А.А. Чудаков",IF(C1189=7,"В.Н. Королев",IF(C1189=8,"М.П. Николашин",0))))))))</f>
        <v>0</v>
      </c>
      <c r="I1189" s="88" t="s">
        <v>84</v>
      </c>
      <c r="J1189" s="332"/>
      <c r="K1189" s="30">
        <f>IFERROR(VLOOKUP($G1189,[1]нормы!$A$21:$BC$151,15,0),"")</f>
        <v>0</v>
      </c>
      <c r="L1189" s="31">
        <f>IFERROR(VLOOKUP($G1189,[1]нормы!$A$21:$BC$151,17,0),"")</f>
        <v>0</v>
      </c>
      <c r="M1189" s="310">
        <f>IFERROR(VLOOKUP($G1189,[1]нормы!$A$21:$BC$151,27,0),"")</f>
        <v>0</v>
      </c>
      <c r="N1189" s="311" t="str">
        <f>IFERROR(Y1189/Y1195*(1.1*J1189*I1194),"")</f>
        <v/>
      </c>
      <c r="O1189" s="300">
        <f>IFERROR(VLOOKUP($G1189,[1]нормы!$A$21:$BC$151,21,0),"")</f>
        <v>0</v>
      </c>
      <c r="P1189" s="35">
        <f>IFERROR(VLOOKUP($G1189,[1]нормы!$A$21:$BC$151,19,0),"")</f>
        <v>0</v>
      </c>
      <c r="Q1189" s="35">
        <f>IFERROR(VLOOKUP($G1189,[1]нормы!$A$21:$BC$151,23,0),"")</f>
        <v>0</v>
      </c>
      <c r="R1189" s="231">
        <f>IFERROR(VLOOKUP($G1189,[1]нормы!$A$21:$BC$151,29,0),"")</f>
        <v>0</v>
      </c>
      <c r="S1189" s="35">
        <f>IFERROR(VLOOKUP($G1189,[1]нормы!$A$21:$BC$151,31,0),"")</f>
        <v>0</v>
      </c>
      <c r="T1189" s="32">
        <f>IFERROR(VLOOKUP($G1189,[1]нормы!$A$21:$BC$151,25,0),"")</f>
        <v>0</v>
      </c>
      <c r="U1189" s="232" t="str">
        <f>IFERROR(W1189/(((100*Y1189/Y1195)*I1194)/100),"")</f>
        <v/>
      </c>
      <c r="V1189" s="234" t="str">
        <f>IFERROR(VLOOKUP($G1189,нормы!$A$14:$BC$57,38,0),"")</f>
        <v/>
      </c>
      <c r="W1189" s="136"/>
      <c r="X1189" s="236"/>
      <c r="Y1189" s="152" t="str">
        <f>IFERROR(VLOOKUP($G1189,нормы!$A$14:$BC$57,42,0)*W1189,"")</f>
        <v/>
      </c>
      <c r="Z1189" s="163">
        <f>IFERROR(VLOOKUP($G1189,нормы!$A$14:$BC$57,14,0)*W1189/1000,0)</f>
        <v>0</v>
      </c>
      <c r="AA1189" s="33"/>
      <c r="AB1189" s="36"/>
      <c r="AC1189" s="36"/>
      <c r="AD1189" s="36"/>
      <c r="AE1189" s="34"/>
      <c r="AF1189" s="159"/>
      <c r="AG1189" s="390"/>
      <c r="AH1189" s="393"/>
      <c r="AI1189" s="396"/>
      <c r="AJ1189" s="407">
        <f>AG1189+AH1189</f>
        <v>0</v>
      </c>
      <c r="AK1189" s="359"/>
      <c r="AL1189" s="359"/>
      <c r="AM1189" s="359"/>
      <c r="AN1189" s="287">
        <f>IFERROR(Y1189*AJ1189/Y1195,)</f>
        <v>0</v>
      </c>
      <c r="AO1189" s="197" t="str">
        <f>IFERROR(VLOOKUP($G1189,нормы!$A$14:$BC$57,53,0)*$W1189,"")</f>
        <v/>
      </c>
      <c r="AP1189" s="288">
        <f>IFERROR(Y1189*AI1189/Y1195,)</f>
        <v>0</v>
      </c>
      <c r="AQ1189" s="197" t="str">
        <f>IFERROR(VLOOKUP($G1189,нормы!$A$14:$BC$57,54,0)*$W1189,"")</f>
        <v/>
      </c>
      <c r="AR1189" s="288">
        <f>IFERROR(AS1189/SUM(AS1189:AS1194)*AL1189,0)</f>
        <v>0</v>
      </c>
      <c r="AS1189" s="197" t="str">
        <f>IFERROR(VLOOKUP($G1189,нормы!$A$14:$BC$57,55,0)*W1189,"")</f>
        <v/>
      </c>
      <c r="AT1189" s="288">
        <f>IFERROR(AU1189/SUM(AU1189:AU1194)*AM1189,0)</f>
        <v>0</v>
      </c>
      <c r="AU1189" s="197" t="str">
        <f>IFERROR(VLOOKUP($G1189,нормы!$A$14:$BI$57,56,0)*W1189,"")</f>
        <v/>
      </c>
      <c r="AV1189" s="288">
        <f>IFERROR(AW1189/SUM(AW1189:AW1194)*AK1189,0)</f>
        <v>0</v>
      </c>
      <c r="AW1189" s="202" t="str">
        <f>IFERROR(VLOOKUP($G1189,нормы!$A$14:$BI$57,57,0)*W1189,"")</f>
        <v/>
      </c>
      <c r="AX1189" s="33"/>
      <c r="AY1189" s="203" t="str">
        <f>IFERROR(VLOOKUP($G1189,нормы!$A$14:$BI$57,58,0)*W1189,"")</f>
        <v/>
      </c>
      <c r="AZ1189" s="204"/>
      <c r="BA1189" s="200" t="str">
        <f>IFERROR(VLOOKUP($G1189,нормы!$A$14:$BI$57,61,0)*$W1189,"")</f>
        <v/>
      </c>
      <c r="BB1189" s="33"/>
      <c r="BC1189" s="203" t="str">
        <f>IFERROR(VLOOKUP($G1189,нормы!$A$14:$BI$57,60,0)*W1189,"")</f>
        <v/>
      </c>
      <c r="BD1189" s="200" t="str">
        <f>IFERROR(VLOOKUP($G1189,нормы!$A$14:$BG$57,44,0),"")</f>
        <v/>
      </c>
      <c r="BE1189" s="199" t="str">
        <f>IFERROR(W1189/VLOOKUP($G1189,нормы!$A$14:$BI$57,45,0),"")</f>
        <v/>
      </c>
    </row>
    <row r="1190" spans="1:57" s="1" customFormat="1" ht="21.6" customHeight="1" x14ac:dyDescent="0.4">
      <c r="A1190" s="37" t="str">
        <f t="shared" ref="A1190:A1218" si="470">A1189</f>
        <v>20Д</v>
      </c>
      <c r="B1190" s="12">
        <f t="shared" ref="B1190:D1194" si="471">B1189</f>
        <v>20</v>
      </c>
      <c r="C1190" s="97">
        <f t="shared" si="471"/>
        <v>0</v>
      </c>
      <c r="D1190" s="97">
        <f t="shared" si="471"/>
        <v>1</v>
      </c>
      <c r="E1190" s="54"/>
      <c r="F1190" s="151" t="str">
        <f>IFERROR(VLOOKUP($G1190,нормы!$A$14:$BC$57,2,0),"")</f>
        <v/>
      </c>
      <c r="G1190" s="93"/>
      <c r="H1190" s="54">
        <f t="shared" ref="H1190:H1194" si="472">IF(C1190=1,"Кульков С.А.", IF(C1190=2,"Чудаков А.А.",IF(C1190=3,"Королев В.Н.",IF(C1190=4,"Николашин М.П.",IF(C1190=5," Кульков С.А.",IF(C1190=6,"А.А. Чудаков",IF(C1190=7,"В.Н. Королев",IF(C1190=8,"М.П. Николашин",0))))))))</f>
        <v>0</v>
      </c>
      <c r="I1190" s="55"/>
      <c r="J1190" s="333"/>
      <c r="K1190" s="30">
        <f>IFERROR(VLOOKUP($G1190,[1]нормы!$A$21:$BC$151,15,0),"")</f>
        <v>0</v>
      </c>
      <c r="L1190" s="31">
        <f>IFERROR(VLOOKUP($G1190,[1]нормы!$A$21:$BC$151,17,0),"")</f>
        <v>0</v>
      </c>
      <c r="M1190" s="306">
        <f>IFERROR(VLOOKUP($G1190,[1]нормы!$A$21:$BC$151,27,0),"")</f>
        <v>0</v>
      </c>
      <c r="N1190" s="307" t="str">
        <f>IFERROR(Y1190/Y1195*(1.1*J1189*I1194),"")</f>
        <v/>
      </c>
      <c r="O1190" s="300">
        <f>IFERROR(VLOOKUP($G1190,[1]нормы!$A$21:$BC$151,21,0),"")</f>
        <v>0</v>
      </c>
      <c r="P1190" s="35">
        <f>IFERROR(VLOOKUP($G1190,[1]нормы!$A$21:$BC$151,19,0),"")</f>
        <v>0</v>
      </c>
      <c r="Q1190" s="35">
        <f>IFERROR(VLOOKUP($G1190,[1]нормы!$A$21:$BC$151,23,0),"")</f>
        <v>0</v>
      </c>
      <c r="R1190" s="231">
        <f>IFERROR(VLOOKUP($G1190,[1]нормы!$A$21:$BC$151,29,0),"")</f>
        <v>0</v>
      </c>
      <c r="S1190" s="35">
        <f>IFERROR(VLOOKUP($G1190,[1]нормы!$A$21:$BC$151,31,0),"")</f>
        <v>0</v>
      </c>
      <c r="T1190" s="32">
        <f>IFERROR(VLOOKUP($G1190,[1]нормы!$A$21:$BC$151,25,0),"")</f>
        <v>0</v>
      </c>
      <c r="U1190" s="233" t="str">
        <f>IFERROR(W1190/(((100*Y1190/Y1195)*I1194)/100),"")</f>
        <v/>
      </c>
      <c r="V1190" s="234" t="str">
        <f>IFERROR(VLOOKUP($G1190,нормы!$A$14:$BC$57,38,0),"")</f>
        <v/>
      </c>
      <c r="W1190" s="136"/>
      <c r="X1190" s="237"/>
      <c r="Y1190" s="152" t="str">
        <f>IFERROR(VLOOKUP($G1190,нормы!$A$14:$BC$57,42,0)*W1190,"")</f>
        <v/>
      </c>
      <c r="Z1190" s="163">
        <f>IFERROR(VLOOKUP($G1190,нормы!$A$14:$BC$57,14,0)*W1190/1000,0)</f>
        <v>0</v>
      </c>
      <c r="AA1190" s="142"/>
      <c r="AB1190" s="35"/>
      <c r="AC1190" s="35"/>
      <c r="AD1190" s="35"/>
      <c r="AE1190" s="31"/>
      <c r="AF1190" s="160"/>
      <c r="AG1190" s="391"/>
      <c r="AH1190" s="394"/>
      <c r="AI1190" s="397"/>
      <c r="AJ1190" s="408"/>
      <c r="AK1190" s="360"/>
      <c r="AL1190" s="360"/>
      <c r="AM1190" s="360"/>
      <c r="AN1190" s="289">
        <f>IFERROR(Y1190*AJ1189/Y1195,)</f>
        <v>0</v>
      </c>
      <c r="AO1190" s="197" t="str">
        <f>IFERROR(VLOOKUP($G1190,нормы!$A$14:$BC$57,53,0)*$W1190,"")</f>
        <v/>
      </c>
      <c r="AP1190" s="290">
        <f>IFERROR(Y1190*AI1189/Y1195,)</f>
        <v>0</v>
      </c>
      <c r="AQ1190" s="197" t="str">
        <f>IFERROR(VLOOKUP($G1190,нормы!$A$14:$BC$57,54,0)*$W1190,"")</f>
        <v/>
      </c>
      <c r="AR1190" s="290">
        <f>IFERROR(AS1190/SUM(AS1189:AS1194)*AL1189,0)</f>
        <v>0</v>
      </c>
      <c r="AS1190" s="197" t="str">
        <f>IFERROR(VLOOKUP($G1190,нормы!$A$14:$BC$57,55,0)*W1190,"")</f>
        <v/>
      </c>
      <c r="AT1190" s="290">
        <f>IFERROR(AU1190/SUM(AU1189:AU1194)*AM1189,0)</f>
        <v>0</v>
      </c>
      <c r="AU1190" s="197" t="str">
        <f>IFERROR(VLOOKUP($G1190,нормы!$A$14:$BI$57,56,0)*W1190,"")</f>
        <v/>
      </c>
      <c r="AV1190" s="290">
        <f>IFERROR(AW1190/SUM(AW1189:AW1194)*AK1189,0)</f>
        <v>0</v>
      </c>
      <c r="AW1190" s="202" t="str">
        <f>IFERROR(VLOOKUP($G1190,нормы!$A$14:$BI$57,57,0)*W1190,"")</f>
        <v/>
      </c>
      <c r="AX1190" s="30"/>
      <c r="AY1190" s="203" t="str">
        <f>IFERROR(VLOOKUP($G1190,нормы!$A$14:$BI$57,58,0)*W1190,"")</f>
        <v/>
      </c>
      <c r="AZ1190" s="205"/>
      <c r="BA1190" s="200" t="str">
        <f>IFERROR(VLOOKUP($G1190,нормы!$A$14:$BI$57,61,0)*$W1190,"")</f>
        <v/>
      </c>
      <c r="BB1190" s="30"/>
      <c r="BC1190" s="203" t="str">
        <f>IFERROR(VLOOKUP($G1190,нормы!$A$14:$BI$57,60,0)*W1190,"")</f>
        <v/>
      </c>
      <c r="BD1190" s="200" t="str">
        <f>IFERROR(VLOOKUP($G1190,нормы!$A$14:$BG$57,44,0),"")</f>
        <v/>
      </c>
      <c r="BE1190" s="199" t="str">
        <f>IFERROR(W1190/VLOOKUP($G1190,нормы!$A$14:$BI$57,45,0),"")</f>
        <v/>
      </c>
    </row>
    <row r="1191" spans="1:57" s="1" customFormat="1" ht="20.25" customHeight="1" x14ac:dyDescent="0.4">
      <c r="A1191" s="37" t="str">
        <f t="shared" si="470"/>
        <v>20Д</v>
      </c>
      <c r="B1191" s="12">
        <f t="shared" si="471"/>
        <v>20</v>
      </c>
      <c r="C1191" s="97">
        <f t="shared" si="471"/>
        <v>0</v>
      </c>
      <c r="D1191" s="97">
        <f t="shared" si="471"/>
        <v>1</v>
      </c>
      <c r="E1191" s="54"/>
      <c r="F1191" s="151" t="str">
        <f>IFERROR(VLOOKUP($G1191,нормы!$A$14:$BC$57,2,0),"")</f>
        <v/>
      </c>
      <c r="G1191" s="38"/>
      <c r="H1191" s="54">
        <f t="shared" si="472"/>
        <v>0</v>
      </c>
      <c r="I1191" s="89" t="s">
        <v>85</v>
      </c>
      <c r="J1191" s="333"/>
      <c r="K1191" s="30">
        <f>IFERROR(VLOOKUP($G1191,[1]нормы!$A$21:$BC$151,15,0),"")</f>
        <v>0</v>
      </c>
      <c r="L1191" s="31">
        <f>IFERROR(VLOOKUP($G1191,[1]нормы!$A$21:$BC$151,17,0),"")</f>
        <v>0</v>
      </c>
      <c r="M1191" s="306">
        <f>IFERROR(VLOOKUP($G1191,[1]нормы!$A$21:$BC$151,27,0),"")</f>
        <v>0</v>
      </c>
      <c r="N1191" s="307" t="str">
        <f>IFERROR(Y1191/Y1195*(1.1*J1189*I1194),"")</f>
        <v/>
      </c>
      <c r="O1191" s="300">
        <f>IFERROR(VLOOKUP($G1191,[1]нормы!$A$21:$BC$151,21,0),"")</f>
        <v>0</v>
      </c>
      <c r="P1191" s="35">
        <f>IFERROR(VLOOKUP($G1191,[1]нормы!$A$21:$BC$151,19,0),"")</f>
        <v>0</v>
      </c>
      <c r="Q1191" s="35">
        <f>IFERROR(VLOOKUP($G1191,[1]нормы!$A$21:$BC$151,23,0),"")</f>
        <v>0</v>
      </c>
      <c r="R1191" s="231">
        <f>IFERROR(VLOOKUP($G1191,[1]нормы!$A$21:$BC$151,29,0),"")</f>
        <v>0</v>
      </c>
      <c r="S1191" s="35">
        <f>IFERROR(VLOOKUP($G1191,[1]нормы!$A$21:$BC$151,31,0),"")</f>
        <v>0</v>
      </c>
      <c r="T1191" s="32">
        <f>IFERROR(VLOOKUP($G1191,[1]нормы!$A$21:$BC$151,25,0),"")</f>
        <v>0</v>
      </c>
      <c r="U1191" s="233" t="str">
        <f>IFERROR(W1191/(((100*Y1191/Y1195)*I1194)/100),"")</f>
        <v/>
      </c>
      <c r="V1191" s="234" t="str">
        <f>IFERROR(VLOOKUP($G1191,нормы!$A$14:$BC$57,38,0),"")</f>
        <v/>
      </c>
      <c r="W1191" s="136"/>
      <c r="X1191" s="237"/>
      <c r="Y1191" s="152" t="str">
        <f>IFERROR(VLOOKUP($G1191,нормы!$A$14:$BC$57,42,0)*W1191,"")</f>
        <v/>
      </c>
      <c r="Z1191" s="163">
        <f>IFERROR(VLOOKUP($G1191,нормы!$A$14:$BC$57,14,0)*W1191/1000,0)</f>
        <v>0</v>
      </c>
      <c r="AA1191" s="30"/>
      <c r="AB1191" s="35"/>
      <c r="AC1191" s="35"/>
      <c r="AD1191" s="35"/>
      <c r="AE1191" s="31"/>
      <c r="AF1191" s="160"/>
      <c r="AG1191" s="391"/>
      <c r="AH1191" s="394"/>
      <c r="AI1191" s="397"/>
      <c r="AJ1191" s="408"/>
      <c r="AK1191" s="360"/>
      <c r="AL1191" s="360"/>
      <c r="AM1191" s="360"/>
      <c r="AN1191" s="289">
        <f>IFERROR(Y1191*AJ1189/Y1195,)</f>
        <v>0</v>
      </c>
      <c r="AO1191" s="197" t="str">
        <f>IFERROR(VLOOKUP($G1191,нормы!$A$14:$BC$57,53,0)*$W1191,"")</f>
        <v/>
      </c>
      <c r="AP1191" s="290">
        <f>IFERROR(Y1191*AI1189/Y1195,)</f>
        <v>0</v>
      </c>
      <c r="AQ1191" s="197" t="str">
        <f>IFERROR(VLOOKUP($G1191,нормы!$A$14:$BC$57,54,0)*$W1191,"")</f>
        <v/>
      </c>
      <c r="AR1191" s="290">
        <f>IFERROR(AS1191/SUM(AS1189:AS1194)*AL1189,0)</f>
        <v>0</v>
      </c>
      <c r="AS1191" s="197" t="str">
        <f>IFERROR(VLOOKUP($G1191,нормы!$A$14:$BC$57,55,0)*W1191,"")</f>
        <v/>
      </c>
      <c r="AT1191" s="290">
        <f>IFERROR(AU1191/SUM(AU1189:AU1194)*AM1189,0)</f>
        <v>0</v>
      </c>
      <c r="AU1191" s="197" t="str">
        <f>IFERROR(VLOOKUP($G1191,нормы!$A$14:$BI$57,56,0)*W1191,"")</f>
        <v/>
      </c>
      <c r="AV1191" s="290">
        <f>IFERROR(AW1191/SUM(AW1189:AW1194)*AK1189,0)</f>
        <v>0</v>
      </c>
      <c r="AW1191" s="202" t="str">
        <f>IFERROR(VLOOKUP($G1191,нормы!$A$14:$BI$57,57,0)*W1191,"")</f>
        <v/>
      </c>
      <c r="AX1191" s="30"/>
      <c r="AY1191" s="203" t="str">
        <f>IFERROR(VLOOKUP($G1191,нормы!$A$14:$BI$57,58,0)*W1191,"")</f>
        <v/>
      </c>
      <c r="AZ1191" s="205"/>
      <c r="BA1191" s="200" t="str">
        <f>IFERROR(VLOOKUP($G1191,нормы!$A$14:$BI$57,61,0)*$W1191,"")</f>
        <v/>
      </c>
      <c r="BB1191" s="30"/>
      <c r="BC1191" s="203" t="str">
        <f>IFERROR(VLOOKUP($G1191,нормы!$A$14:$BI$57,60,0)*W1191,"")</f>
        <v/>
      </c>
      <c r="BD1191" s="200" t="str">
        <f>IFERROR(VLOOKUP($G1191,нормы!$A$14:$BG$57,44,0),"")</f>
        <v/>
      </c>
      <c r="BE1191" s="199" t="str">
        <f>IFERROR(W1191/VLOOKUP($G1191,нормы!$A$14:$BI$57,45,0),"")</f>
        <v/>
      </c>
    </row>
    <row r="1192" spans="1:57" s="1" customFormat="1" ht="20.25" customHeight="1" x14ac:dyDescent="0.4">
      <c r="A1192" s="37" t="str">
        <f t="shared" si="470"/>
        <v>20Д</v>
      </c>
      <c r="B1192" s="12">
        <f t="shared" si="471"/>
        <v>20</v>
      </c>
      <c r="C1192" s="97">
        <f t="shared" si="471"/>
        <v>0</v>
      </c>
      <c r="D1192" s="97">
        <f t="shared" si="471"/>
        <v>1</v>
      </c>
      <c r="E1192" s="54"/>
      <c r="F1192" s="151" t="str">
        <f>IFERROR(VLOOKUP($G1192,нормы!$A$14:$BC$57,2,0),"")</f>
        <v/>
      </c>
      <c r="G1192" s="93"/>
      <c r="H1192" s="54">
        <f t="shared" si="472"/>
        <v>0</v>
      </c>
      <c r="I1192" s="55"/>
      <c r="J1192" s="333"/>
      <c r="K1192" s="30">
        <f>IFERROR(VLOOKUP($G1192,[1]нормы!$A$21:$BC$151,15,0),"")</f>
        <v>0</v>
      </c>
      <c r="L1192" s="31">
        <f>IFERROR(VLOOKUP($G1192,[1]нормы!$A$21:$BC$151,17,0),"")</f>
        <v>0</v>
      </c>
      <c r="M1192" s="306">
        <f>IFERROR(VLOOKUP($G1192,[1]нормы!$A$21:$BC$151,27,0),"")</f>
        <v>0</v>
      </c>
      <c r="N1192" s="307" t="str">
        <f>IFERROR(Y1192/Y1195*(1.1*J1189*I1197),"")</f>
        <v/>
      </c>
      <c r="O1192" s="300">
        <f>IFERROR(VLOOKUP($G1192,[1]нормы!$A$21:$BC$151,21,0),"")</f>
        <v>0</v>
      </c>
      <c r="P1192" s="35">
        <f>IFERROR(VLOOKUP($G1192,[1]нормы!$A$21:$BC$151,19,0),"")</f>
        <v>0</v>
      </c>
      <c r="Q1192" s="35">
        <f>IFERROR(VLOOKUP($G1192,[1]нормы!$A$21:$BC$151,23,0),"")</f>
        <v>0</v>
      </c>
      <c r="R1192" s="231">
        <f>IFERROR(VLOOKUP($G1192,[1]нормы!$A$21:$BC$151,29,0),"")</f>
        <v>0</v>
      </c>
      <c r="S1192" s="35">
        <f>IFERROR(VLOOKUP($G1192,[1]нормы!$A$21:$BC$151,31,0),"")</f>
        <v>0</v>
      </c>
      <c r="T1192" s="32">
        <f>IFERROR(VLOOKUP($G1192,[1]нормы!$A$21:$BC$151,25,0),"")</f>
        <v>0</v>
      </c>
      <c r="U1192" s="233" t="str">
        <f>IFERROR(W1192/(((100*Y1192/Y1195)*I1194)/100),"")</f>
        <v/>
      </c>
      <c r="V1192" s="234" t="str">
        <f>IFERROR(VLOOKUP($G1192,нормы!$A$14:$BC$57,38,0),"")</f>
        <v/>
      </c>
      <c r="W1192" s="136"/>
      <c r="X1192" s="237"/>
      <c r="Y1192" s="152" t="str">
        <f>IFERROR(VLOOKUP($G1192,нормы!$A$14:$BC$57,42,0)*W1192,"")</f>
        <v/>
      </c>
      <c r="Z1192" s="163">
        <f>IFERROR(VLOOKUP($G1192,нормы!$A$14:$BC$57,14,0)*W1192/1000,0)</f>
        <v>0</v>
      </c>
      <c r="AA1192" s="30"/>
      <c r="AB1192" s="35"/>
      <c r="AC1192" s="35"/>
      <c r="AD1192" s="35"/>
      <c r="AE1192" s="31"/>
      <c r="AF1192" s="160"/>
      <c r="AG1192" s="391"/>
      <c r="AH1192" s="394"/>
      <c r="AI1192" s="397"/>
      <c r="AJ1192" s="408"/>
      <c r="AK1192" s="360"/>
      <c r="AL1192" s="360"/>
      <c r="AM1192" s="360"/>
      <c r="AN1192" s="289">
        <f>IFERROR(Y1192*AJ1189/Y1195,)</f>
        <v>0</v>
      </c>
      <c r="AO1192" s="197" t="str">
        <f>IFERROR(VLOOKUP($G1192,нормы!$A$14:$BC$57,53,0)*$W1192,"")</f>
        <v/>
      </c>
      <c r="AP1192" s="290">
        <f>IFERROR(Y1192*AI1189/Y1195,)</f>
        <v>0</v>
      </c>
      <c r="AQ1192" s="197" t="str">
        <f>IFERROR(VLOOKUP($G1192,нормы!$A$14:$BC$57,54,0)*$W1192,"")</f>
        <v/>
      </c>
      <c r="AR1192" s="290">
        <f>IFERROR(AS1192/SUM(AS1189:AS1194)*AL1189,0)</f>
        <v>0</v>
      </c>
      <c r="AS1192" s="197" t="str">
        <f>IFERROR(VLOOKUP($G1192,нормы!$A$14:$BC$57,55,0)*W1192,"")</f>
        <v/>
      </c>
      <c r="AT1192" s="290">
        <f>IFERROR(AU1192/SUM(AU1189:AU1194)*AM1189,0)</f>
        <v>0</v>
      </c>
      <c r="AU1192" s="197" t="str">
        <f>IFERROR(VLOOKUP($G1192,нормы!$A$14:$BI$57,56,0)*W1192,"")</f>
        <v/>
      </c>
      <c r="AV1192" s="290">
        <f>IFERROR(AW1192/SUM(AW1189:AW1194)*AK1189,0)</f>
        <v>0</v>
      </c>
      <c r="AW1192" s="202" t="str">
        <f>IFERROR(VLOOKUP($G1192,нормы!$A$14:$BI$57,57,0)*W1192,"")</f>
        <v/>
      </c>
      <c r="AX1192" s="30"/>
      <c r="AY1192" s="203" t="str">
        <f>IFERROR(VLOOKUP($G1192,нормы!$A$14:$BI$57,58,0)*W1192,"")</f>
        <v/>
      </c>
      <c r="AZ1192" s="205"/>
      <c r="BA1192" s="200" t="str">
        <f>IFERROR(VLOOKUP($G1192,нормы!$A$14:$BI$57,61,0)*$W1192,"")</f>
        <v/>
      </c>
      <c r="BB1192" s="30"/>
      <c r="BC1192" s="203" t="str">
        <f>IFERROR(VLOOKUP($G1192,нормы!$A$14:$BI$57,60,0)*W1192,"")</f>
        <v/>
      </c>
      <c r="BD1192" s="200" t="str">
        <f>IFERROR(VLOOKUP($G1192,нормы!$A$14:$BG$57,44,0),"")</f>
        <v/>
      </c>
      <c r="BE1192" s="199" t="str">
        <f>IFERROR(W1192/VLOOKUP($G1192,нормы!$A$14:$BI$57,45,0),"")</f>
        <v/>
      </c>
    </row>
    <row r="1193" spans="1:57" s="1" customFormat="1" ht="20.25" customHeight="1" x14ac:dyDescent="0.4">
      <c r="A1193" s="37" t="str">
        <f t="shared" si="470"/>
        <v>20Д</v>
      </c>
      <c r="B1193" s="12">
        <f t="shared" si="471"/>
        <v>20</v>
      </c>
      <c r="C1193" s="97">
        <f t="shared" si="471"/>
        <v>0</v>
      </c>
      <c r="D1193" s="97">
        <f t="shared" si="471"/>
        <v>1</v>
      </c>
      <c r="E1193" s="54"/>
      <c r="F1193" s="151" t="str">
        <f>IFERROR(VLOOKUP($G1193,нормы!$A$14:$BC$57,2,0),"")</f>
        <v/>
      </c>
      <c r="G1193" s="38"/>
      <c r="H1193" s="54">
        <f t="shared" si="472"/>
        <v>0</v>
      </c>
      <c r="I1193" s="89" t="s">
        <v>73</v>
      </c>
      <c r="J1193" s="333"/>
      <c r="K1193" s="30">
        <f>IFERROR(VLOOKUP($G1193,[1]нормы!$A$21:$BC$151,15,0),"")</f>
        <v>0</v>
      </c>
      <c r="L1193" s="31">
        <f>IFERROR(VLOOKUP($G1193,[1]нормы!$A$21:$BC$151,17,0),"")</f>
        <v>0</v>
      </c>
      <c r="M1193" s="306">
        <f>IFERROR(VLOOKUP($G1193,[1]нормы!$A$21:$BC$151,27,0),"")</f>
        <v>0</v>
      </c>
      <c r="N1193" s="307" t="str">
        <f>IFERROR(Y1193/Y1195*(1.1*J1189*I1198),"")</f>
        <v/>
      </c>
      <c r="O1193" s="300">
        <f>IFERROR(VLOOKUP($G1193,[1]нормы!$A$21:$BC$151,21,0),"")</f>
        <v>0</v>
      </c>
      <c r="P1193" s="35">
        <f>IFERROR(VLOOKUP($G1193,[1]нормы!$A$21:$BC$151,19,0),"")</f>
        <v>0</v>
      </c>
      <c r="Q1193" s="35">
        <f>IFERROR(VLOOKUP($G1193,[1]нормы!$A$21:$BC$151,23,0),"")</f>
        <v>0</v>
      </c>
      <c r="R1193" s="231">
        <f>IFERROR(VLOOKUP($G1193,[1]нормы!$A$21:$BC$151,29,0),"")</f>
        <v>0</v>
      </c>
      <c r="S1193" s="35">
        <f>IFERROR(VLOOKUP($G1193,[1]нормы!$A$21:$BC$151,31,0),"")</f>
        <v>0</v>
      </c>
      <c r="T1193" s="32">
        <f>IFERROR(VLOOKUP($G1193,[1]нормы!$A$21:$BC$151,25,0),"")</f>
        <v>0</v>
      </c>
      <c r="U1193" s="233" t="str">
        <f>IFERROR(W1193/(((100*Y1193/Y1195)*I1194)/100),"")</f>
        <v/>
      </c>
      <c r="V1193" s="234" t="str">
        <f>IFERROR(VLOOKUP($G1193,нормы!$A$14:$BC$57,38,0),"")</f>
        <v/>
      </c>
      <c r="W1193" s="136"/>
      <c r="X1193" s="237"/>
      <c r="Y1193" s="152" t="str">
        <f>IFERROR(VLOOKUP($G1193,нормы!$A$14:$BC$57,42,0)*W1193,"")</f>
        <v/>
      </c>
      <c r="Z1193" s="163">
        <f>IFERROR(VLOOKUP($G1193,нормы!$A$14:$BC$57,14,0)*W1193/1000,0)</f>
        <v>0</v>
      </c>
      <c r="AA1193" s="30"/>
      <c r="AB1193" s="35"/>
      <c r="AC1193" s="35"/>
      <c r="AD1193" s="35"/>
      <c r="AE1193" s="31"/>
      <c r="AF1193" s="160"/>
      <c r="AG1193" s="391"/>
      <c r="AH1193" s="394"/>
      <c r="AI1193" s="397"/>
      <c r="AJ1193" s="408"/>
      <c r="AK1193" s="360"/>
      <c r="AL1193" s="360"/>
      <c r="AM1193" s="360"/>
      <c r="AN1193" s="289">
        <f>IFERROR(Y1193*AJ1189/Y1195,)</f>
        <v>0</v>
      </c>
      <c r="AO1193" s="197" t="str">
        <f>IFERROR(VLOOKUP($G1193,нормы!$A$14:$BC$57,53,0)*$W1193,"")</f>
        <v/>
      </c>
      <c r="AP1193" s="290">
        <f>IFERROR(Y1193*AI1189/Y1195,)</f>
        <v>0</v>
      </c>
      <c r="AQ1193" s="197" t="str">
        <f>IFERROR(VLOOKUP($G1193,нормы!$A$14:$BC$57,54,0)*$W1193,"")</f>
        <v/>
      </c>
      <c r="AR1193" s="290">
        <f>IFERROR(AS1193/SUM(AS1189:AS1194)*AL1189,0)</f>
        <v>0</v>
      </c>
      <c r="AS1193" s="197" t="str">
        <f>IFERROR(VLOOKUP($G1193,нормы!$A$14:$BC$57,55,0)*W1193,"")</f>
        <v/>
      </c>
      <c r="AT1193" s="290">
        <f>IFERROR(AU1193/SUM(AU1189:AU1194)*AM1189,0)</f>
        <v>0</v>
      </c>
      <c r="AU1193" s="197" t="str">
        <f>IFERROR(VLOOKUP($G1193,нормы!$A$14:$BI$57,56,0)*W1193,"")</f>
        <v/>
      </c>
      <c r="AV1193" s="290">
        <f>IFERROR(AW1193/SUM(AW1189:AW1194)*AK1189,0)</f>
        <v>0</v>
      </c>
      <c r="AW1193" s="202" t="str">
        <f>IFERROR(VLOOKUP($G1193,нормы!$A$14:$BI$57,57,0)*W1193,"")</f>
        <v/>
      </c>
      <c r="AX1193" s="30"/>
      <c r="AY1193" s="203" t="str">
        <f>IFERROR(VLOOKUP($G1193,нормы!$A$14:$BI$57,58,0)*W1193,"")</f>
        <v/>
      </c>
      <c r="AZ1193" s="205"/>
      <c r="BA1193" s="200" t="str">
        <f>IFERROR(VLOOKUP($G1193,нормы!$A$14:$BI$57,61,0)*$W1193,"")</f>
        <v/>
      </c>
      <c r="BB1193" s="30"/>
      <c r="BC1193" s="203" t="str">
        <f>IFERROR(VLOOKUP($G1193,нормы!$A$14:$BI$57,60,0)*W1193,"")</f>
        <v/>
      </c>
      <c r="BD1193" s="200" t="str">
        <f>IFERROR(VLOOKUP($G1193,нормы!$A$14:$BG$57,44,0),"")</f>
        <v/>
      </c>
      <c r="BE1193" s="199" t="str">
        <f>IFERROR(W1193/VLOOKUP($G1193,нормы!$A$14:$BI$57,45,0),"")</f>
        <v/>
      </c>
    </row>
    <row r="1194" spans="1:57" s="1" customFormat="1" ht="21" customHeight="1" thickBot="1" x14ac:dyDescent="0.45">
      <c r="A1194" s="37" t="str">
        <f t="shared" si="470"/>
        <v>20Д</v>
      </c>
      <c r="B1194" s="12">
        <f t="shared" si="471"/>
        <v>20</v>
      </c>
      <c r="C1194" s="97">
        <f t="shared" si="471"/>
        <v>0</v>
      </c>
      <c r="D1194" s="97">
        <f t="shared" si="471"/>
        <v>1</v>
      </c>
      <c r="E1194" s="54"/>
      <c r="F1194" s="151" t="str">
        <f>IFERROR(VLOOKUP($G1194,нормы!$A$14:$BC$57,2,0),"")</f>
        <v/>
      </c>
      <c r="G1194" s="93"/>
      <c r="H1194" s="63">
        <f t="shared" si="472"/>
        <v>0</v>
      </c>
      <c r="I1194" s="153">
        <f>I1190+I1192</f>
        <v>0</v>
      </c>
      <c r="J1194" s="334"/>
      <c r="K1194" s="30">
        <f>IFERROR(VLOOKUP($G1194,[1]нормы!$A$21:$BC$151,15,0),"")</f>
        <v>0</v>
      </c>
      <c r="L1194" s="31">
        <f>IFERROR(VLOOKUP($G1194,[1]нормы!$A$21:$BC$151,17,0),"")</f>
        <v>0</v>
      </c>
      <c r="M1194" s="308">
        <f>IFERROR(VLOOKUP($G1194,[1]нормы!$A$21:$BC$151,27,0),"")</f>
        <v>0</v>
      </c>
      <c r="N1194" s="309" t="str">
        <f>IFERROR(Y1194/Y1195*(1.1*J1189*I1199),"")</f>
        <v/>
      </c>
      <c r="O1194" s="300">
        <f>IFERROR(VLOOKUP($G1194,[1]нормы!$A$21:$BC$151,21,0),"")</f>
        <v>0</v>
      </c>
      <c r="P1194" s="35">
        <f>IFERROR(VLOOKUP($G1194,[1]нормы!$A$21:$BC$151,19,0),"")</f>
        <v>0</v>
      </c>
      <c r="Q1194" s="35">
        <f>IFERROR(VLOOKUP($G1194,[1]нормы!$A$21:$BC$151,23,0),"")</f>
        <v>0</v>
      </c>
      <c r="R1194" s="231">
        <f>IFERROR(VLOOKUP($G1194,[1]нормы!$A$21:$BC$151,29,0),"")</f>
        <v>0</v>
      </c>
      <c r="S1194" s="35">
        <f>IFERROR(VLOOKUP($G1194,[1]нормы!$A$21:$BC$151,31,0),"")</f>
        <v>0</v>
      </c>
      <c r="T1194" s="32">
        <f>IFERROR(VLOOKUP($G1194,[1]нормы!$A$21:$BC$151,25,0),"")</f>
        <v>0</v>
      </c>
      <c r="U1194" s="235" t="str">
        <f>IFERROR(W1194/(((100*Y1194/Y1195)*I1194)/100),"")</f>
        <v/>
      </c>
      <c r="V1194" s="234" t="str">
        <f>IFERROR(VLOOKUP($G1194,нормы!$A$14:$BC$57,38,0),"")</f>
        <v/>
      </c>
      <c r="W1194" s="154"/>
      <c r="X1194" s="238"/>
      <c r="Y1194" s="152" t="str">
        <f>IFERROR(VLOOKUP($G1194,нормы!$A$14:$BC$57,42,0)*W1194,"")</f>
        <v/>
      </c>
      <c r="Z1194" s="163">
        <f>IFERROR(VLOOKUP($G1194,нормы!$A$14:$BC$57,14,0)*W1194/1000,0)</f>
        <v>0</v>
      </c>
      <c r="AA1194" s="56"/>
      <c r="AB1194" s="58"/>
      <c r="AC1194" s="58"/>
      <c r="AD1194" s="58"/>
      <c r="AE1194" s="57"/>
      <c r="AF1194" s="161"/>
      <c r="AG1194" s="392"/>
      <c r="AH1194" s="395"/>
      <c r="AI1194" s="398"/>
      <c r="AJ1194" s="409"/>
      <c r="AK1194" s="361"/>
      <c r="AL1194" s="361"/>
      <c r="AM1194" s="361"/>
      <c r="AN1194" s="291">
        <f>IFERROR(Y1194*AJ1189/Y1195,)</f>
        <v>0</v>
      </c>
      <c r="AO1194" s="197" t="str">
        <f>IFERROR(VLOOKUP($G1194,нормы!$A$14:$BC$57,53,0)*$W1194,"")</f>
        <v/>
      </c>
      <c r="AP1194" s="292">
        <f>IFERROR(Y1194*AI1189/Y1195,)</f>
        <v>0</v>
      </c>
      <c r="AQ1194" s="197" t="str">
        <f>IFERROR(VLOOKUP($G1194,нормы!$A$14:$BC$57,54,0)*$W1194,"")</f>
        <v/>
      </c>
      <c r="AR1194" s="290">
        <f>IFERROR(AS1194/SUM(AS1189:AS1194)*AL1189,0)</f>
        <v>0</v>
      </c>
      <c r="AS1194" s="197" t="str">
        <f>IFERROR(VLOOKUP($G1194,нормы!$A$14:$BC$57,55,0)*W1194,"")</f>
        <v/>
      </c>
      <c r="AT1194" s="292">
        <f>IFERROR(AU1194/SUM(AU1189:AU1194)*AM1189,0)</f>
        <v>0</v>
      </c>
      <c r="AU1194" s="197" t="str">
        <f>IFERROR(VLOOKUP($G1194,нормы!$A$14:$BI$57,56,0)*W1194,"")</f>
        <v/>
      </c>
      <c r="AV1194" s="292">
        <f>IFERROR(AW1194/SUM(AW1189:AW1194)*AK1189,0)</f>
        <v>0</v>
      </c>
      <c r="AW1194" s="202" t="str">
        <f>IFERROR(VLOOKUP($G1194,нормы!$A$14:$BI$57,57,0)*W1194,"")</f>
        <v/>
      </c>
      <c r="AX1194" s="56"/>
      <c r="AY1194" s="203" t="str">
        <f>IFERROR(VLOOKUP($G1194,нормы!$A$14:$BI$57,58,0)*W1194,"")</f>
        <v/>
      </c>
      <c r="AZ1194" s="206"/>
      <c r="BA1194" s="200" t="str">
        <f>IFERROR(VLOOKUP($G1194,нормы!$A$14:$BI$57,61,0)*$W1194,"")</f>
        <v/>
      </c>
      <c r="BB1194" s="56"/>
      <c r="BC1194" s="203" t="str">
        <f>IFERROR(VLOOKUP($G1194,нормы!$A$14:$BI$57,60,0)*W1194,"")</f>
        <v/>
      </c>
      <c r="BD1194" s="200" t="str">
        <f>IFERROR(VLOOKUP($G1194,нормы!$A$14:$BG$57,44,0),"")</f>
        <v/>
      </c>
      <c r="BE1194" s="199" t="str">
        <f>IFERROR(W1194/VLOOKUP($G1194,нормы!$A$14:$BI$57,45,0),"")</f>
        <v/>
      </c>
    </row>
    <row r="1195" spans="1:57" s="1" customFormat="1" ht="29.4" customHeight="1" thickBot="1" x14ac:dyDescent="0.45">
      <c r="A1195" s="37" t="str">
        <f t="shared" si="470"/>
        <v>20Д</v>
      </c>
      <c r="B1195" s="59"/>
      <c r="C1195" s="51"/>
      <c r="D1195" s="51"/>
      <c r="E1195" s="51"/>
      <c r="F1195" s="295" t="s">
        <v>148</v>
      </c>
      <c r="G1195" s="51"/>
      <c r="H1195" s="51"/>
      <c r="I1195" s="60"/>
      <c r="J1195" s="60"/>
      <c r="K1195" s="319" t="s">
        <v>213</v>
      </c>
      <c r="L1195" s="316"/>
      <c r="M1195" s="303" t="s">
        <v>213</v>
      </c>
      <c r="N1195" s="317">
        <f>SUM(N1189:N1194)</f>
        <v>0</v>
      </c>
      <c r="O1195" s="304" t="s">
        <v>216</v>
      </c>
      <c r="P1195" s="318">
        <f>N1195*8.937/1000</f>
        <v>0</v>
      </c>
      <c r="Q1195" s="305" t="s">
        <v>215</v>
      </c>
      <c r="R1195" s="61"/>
      <c r="S1195" s="61"/>
      <c r="T1195" s="61"/>
      <c r="U1195" s="109"/>
      <c r="V1195" s="109"/>
      <c r="W1195" s="94"/>
      <c r="X1195" s="155"/>
      <c r="Y1195" s="96">
        <f>SUM(Y1189:Y1194)</f>
        <v>0</v>
      </c>
      <c r="Z1195" s="164">
        <f>SUM(Z1189:Z1194)</f>
        <v>0</v>
      </c>
      <c r="AA1195" s="62"/>
      <c r="AB1195" s="62"/>
      <c r="AC1195" s="62"/>
      <c r="AD1195" s="62"/>
      <c r="AE1195" s="62"/>
      <c r="AF1195" s="62"/>
      <c r="AG1195" s="162" t="s">
        <v>140</v>
      </c>
      <c r="AH1195" s="162" t="s">
        <v>141</v>
      </c>
      <c r="AI1195" s="162" t="s">
        <v>142</v>
      </c>
      <c r="AJ1195" s="91" t="s">
        <v>126</v>
      </c>
      <c r="AK1195" s="198" t="s">
        <v>136</v>
      </c>
      <c r="AL1195" s="198" t="s">
        <v>137</v>
      </c>
      <c r="AM1195" s="198" t="s">
        <v>138</v>
      </c>
      <c r="AN1195" s="91"/>
      <c r="AO1195" s="91"/>
      <c r="AP1195" s="91"/>
      <c r="AQ1195" s="91"/>
      <c r="AR1195" s="91"/>
      <c r="AS1195" s="91"/>
      <c r="AT1195" s="91"/>
      <c r="AU1195" s="91"/>
      <c r="AV1195" s="91"/>
      <c r="AW1195" s="91"/>
      <c r="AX1195" s="91"/>
      <c r="AY1195" s="91"/>
      <c r="AZ1195" s="91"/>
      <c r="BA1195" s="91"/>
      <c r="BB1195" s="91"/>
      <c r="BC1195" s="91"/>
      <c r="BD1195" s="91"/>
      <c r="BE1195" s="53" t="str">
        <f>IFERROR(W1195/VLOOKUP($G1195,нормы!$A$14:$BI$15,28,0),"")</f>
        <v/>
      </c>
    </row>
    <row r="1196" spans="1:57" s="1" customFormat="1" ht="21.6" customHeight="1" x14ac:dyDescent="0.4">
      <c r="A1196" s="37" t="str">
        <f t="shared" si="470"/>
        <v>20Д</v>
      </c>
      <c r="B1196" s="12">
        <f>B1194</f>
        <v>20</v>
      </c>
      <c r="C1196" s="97"/>
      <c r="D1196" s="97">
        <v>2</v>
      </c>
      <c r="E1196" s="29"/>
      <c r="F1196" s="151" t="str">
        <f>IFERROR(VLOOKUP($G1196,нормы!$A$14:$BC$57,2,0),"")</f>
        <v/>
      </c>
      <c r="G1196" s="93"/>
      <c r="H1196" s="54">
        <f>IF(C1196=1,"Кульков С.А.", IF(C1196=2,"Чудаков А.А.",IF(C1196=3,"Королев В.Н.",IF(C1196=4,"Николашин М.П.",IF(C1196=5," Кульков С.А.",IF(C1196=6,"А.А. Чудаков",IF(C1196=7,"В.Н. Королев",IF(C1196=8,"М.П. Николашин",0))))))))</f>
        <v>0</v>
      </c>
      <c r="I1196" s="88" t="s">
        <v>211</v>
      </c>
      <c r="J1196" s="332"/>
      <c r="K1196" s="30">
        <f>IFERROR(VLOOKUP($G1196,[1]нормы!$A$21:$BC$151,15,0),"")</f>
        <v>0</v>
      </c>
      <c r="L1196" s="31">
        <f>IFERROR(VLOOKUP($G1196,[1]нормы!$A$21:$BC$151,17,0),"")</f>
        <v>0</v>
      </c>
      <c r="M1196" s="310">
        <f>IFERROR(VLOOKUP($G1196,[1]нормы!$A$21:$BC$151,27,0),"")</f>
        <v>0</v>
      </c>
      <c r="N1196" s="311" t="str">
        <f>IFERROR(Y1196/Y1202*(1.1*J1196*I1201),"")</f>
        <v/>
      </c>
      <c r="O1196" s="300">
        <f>IFERROR(VLOOKUP($G1196,[1]нормы!$A$21:$BC$151,21,0),"")</f>
        <v>0</v>
      </c>
      <c r="P1196" s="35">
        <f>IFERROR(VLOOKUP($G1196,[1]нормы!$A$21:$BC$151,19,0),"")</f>
        <v>0</v>
      </c>
      <c r="Q1196" s="35">
        <f>IFERROR(VLOOKUP($G1196,[1]нормы!$A$21:$BC$151,23,0),"")</f>
        <v>0</v>
      </c>
      <c r="R1196" s="231">
        <f>IFERROR(VLOOKUP($G1196,[1]нормы!$A$21:$BC$151,29,0),"")</f>
        <v>0</v>
      </c>
      <c r="S1196" s="35">
        <f>IFERROR(VLOOKUP($G1196,[1]нормы!$A$21:$BC$151,31,0),"")</f>
        <v>0</v>
      </c>
      <c r="T1196" s="32">
        <f>IFERROR(VLOOKUP($G1196,[1]нормы!$A$21:$BC$151,25,0),"")</f>
        <v>0</v>
      </c>
      <c r="U1196" s="232" t="str">
        <f>IFERROR(W1196/(((100*Y1196/Y1202)*I1201)/100),"")</f>
        <v/>
      </c>
      <c r="V1196" s="234" t="str">
        <f>IFERROR(VLOOKUP($G1196,нормы!$A$14:$BC$57,38,0),"")</f>
        <v/>
      </c>
      <c r="W1196" s="136"/>
      <c r="X1196" s="236"/>
      <c r="Y1196" s="152" t="str">
        <f>IFERROR(VLOOKUP($G1196,нормы!$A$14:$BC$57,42,0)*W1196,"")</f>
        <v/>
      </c>
      <c r="Z1196" s="163">
        <f>IFERROR(VLOOKUP($G1196,нормы!$A$14:$BC$57,14,0)*W1196/1000,0)</f>
        <v>0</v>
      </c>
      <c r="AA1196" s="33"/>
      <c r="AB1196" s="36"/>
      <c r="AC1196" s="36"/>
      <c r="AD1196" s="36"/>
      <c r="AE1196" s="34"/>
      <c r="AF1196" s="159"/>
      <c r="AG1196" s="390"/>
      <c r="AH1196" s="393"/>
      <c r="AI1196" s="396"/>
      <c r="AJ1196" s="407">
        <f>AG1196+AH1196</f>
        <v>0</v>
      </c>
      <c r="AK1196" s="359"/>
      <c r="AL1196" s="359"/>
      <c r="AM1196" s="359"/>
      <c r="AN1196" s="287">
        <f>IFERROR(Y1196*AJ1196/Y1202,)</f>
        <v>0</v>
      </c>
      <c r="AO1196" s="197" t="str">
        <f>IFERROR(VLOOKUP($G1196,нормы!$A$14:$BC$57,53,0)*$W1196,"")</f>
        <v/>
      </c>
      <c r="AP1196" s="288">
        <f>IFERROR(Y1196*AI1196/Y1202,)</f>
        <v>0</v>
      </c>
      <c r="AQ1196" s="197" t="str">
        <f>IFERROR(VLOOKUP($G1196,нормы!$A$14:$BC$57,54,0)*$W1196,"")</f>
        <v/>
      </c>
      <c r="AR1196" s="288">
        <f>IFERROR(AS1196/SUM(AS1196:AS1201)*AL1196,0)</f>
        <v>0</v>
      </c>
      <c r="AS1196" s="197" t="str">
        <f>IFERROR(VLOOKUP($G1196,нормы!$A$14:$BC$57,55,0)*W1196,"")</f>
        <v/>
      </c>
      <c r="AT1196" s="288">
        <f>IFERROR(AU1196/SUM(AU1196:AU1201)*AM1196,0)</f>
        <v>0</v>
      </c>
      <c r="AU1196" s="197" t="str">
        <f>IFERROR(VLOOKUP($G1196,нормы!$A$14:$BI$57,56,0)*W1196,"")</f>
        <v/>
      </c>
      <c r="AV1196" s="288">
        <f>IFERROR(AW1196/SUM(AW1196:AW1201)*AK1196,0)</f>
        <v>0</v>
      </c>
      <c r="AW1196" s="202" t="str">
        <f>IFERROR(VLOOKUP($G1196,нормы!$A$14:$BI$57,57,0)*W1196,"")</f>
        <v/>
      </c>
      <c r="AX1196" s="33"/>
      <c r="AY1196" s="203" t="str">
        <f>IFERROR(VLOOKUP($G1196,нормы!$A$14:$BI$57,58,0)*W1196,"")</f>
        <v/>
      </c>
      <c r="AZ1196" s="204"/>
      <c r="BA1196" s="200" t="str">
        <f>IFERROR(VLOOKUP($G1196,нормы!$A$14:$BI$57,61,0)*$W1196,"")</f>
        <v/>
      </c>
      <c r="BB1196" s="33"/>
      <c r="BC1196" s="203" t="str">
        <f>IFERROR(VLOOKUP($G1196,нормы!$A$14:$BI$57,60,0)*W1196,"")</f>
        <v/>
      </c>
      <c r="BD1196" s="200" t="str">
        <f>IFERROR(VLOOKUP($G1196,нормы!$A$14:$BG$57,44,0),"")</f>
        <v/>
      </c>
      <c r="BE1196" s="199" t="str">
        <f>IFERROR(W1196/VLOOKUP($G1196,нормы!$A$14:$BI$57,45,0),"")</f>
        <v/>
      </c>
    </row>
    <row r="1197" spans="1:57" s="1" customFormat="1" ht="21.6" customHeight="1" x14ac:dyDescent="0.4">
      <c r="A1197" s="37" t="str">
        <f t="shared" si="470"/>
        <v>20Д</v>
      </c>
      <c r="B1197" s="12">
        <f t="shared" ref="B1197:D1201" si="473">B1196</f>
        <v>20</v>
      </c>
      <c r="C1197" s="97">
        <f t="shared" si="473"/>
        <v>0</v>
      </c>
      <c r="D1197" s="97">
        <f t="shared" si="473"/>
        <v>2</v>
      </c>
      <c r="E1197" s="54"/>
      <c r="F1197" s="151" t="str">
        <f>IFERROR(VLOOKUP($G1197,нормы!$A$14:$BC$57,2,0),"")</f>
        <v/>
      </c>
      <c r="G1197" s="93"/>
      <c r="H1197" s="54">
        <f t="shared" ref="H1197:H1201" si="474">IF(C1197=1,"Кульков С.А.", IF(C1197=2,"Чудаков А.А.",IF(C1197=3,"Королев В.Н.",IF(C1197=4,"Николашин М.П.",IF(C1197=5," Кульков С.А.",IF(C1197=6,"А.А. Чудаков",IF(C1197=7,"В.Н. Королев",IF(C1197=8,"М.П. Николашин",0))))))))</f>
        <v>0</v>
      </c>
      <c r="I1197" s="55"/>
      <c r="J1197" s="333"/>
      <c r="K1197" s="30">
        <f>IFERROR(VLOOKUP($G1197,[1]нормы!$A$21:$BC$151,15,0),"")</f>
        <v>0</v>
      </c>
      <c r="L1197" s="31">
        <f>IFERROR(VLOOKUP($G1197,[1]нормы!$A$21:$BC$151,17,0),"")</f>
        <v>0</v>
      </c>
      <c r="M1197" s="306">
        <f>IFERROR(VLOOKUP($G1197,[1]нормы!$A$21:$BC$151,27,0),"")</f>
        <v>0</v>
      </c>
      <c r="N1197" s="307" t="str">
        <f>IFERROR(Y1197/Y1202*(1.1*J1196*I1201),"")</f>
        <v/>
      </c>
      <c r="O1197" s="300">
        <f>IFERROR(VLOOKUP($G1197,[1]нормы!$A$21:$BC$151,21,0),"")</f>
        <v>0</v>
      </c>
      <c r="P1197" s="35">
        <f>IFERROR(VLOOKUP($G1197,[1]нормы!$A$21:$BC$151,19,0),"")</f>
        <v>0</v>
      </c>
      <c r="Q1197" s="35">
        <f>IFERROR(VLOOKUP($G1197,[1]нормы!$A$21:$BC$151,23,0),"")</f>
        <v>0</v>
      </c>
      <c r="R1197" s="231">
        <f>IFERROR(VLOOKUP($G1197,[1]нормы!$A$21:$BC$151,29,0),"")</f>
        <v>0</v>
      </c>
      <c r="S1197" s="35">
        <f>IFERROR(VLOOKUP($G1197,[1]нормы!$A$21:$BC$151,31,0),"")</f>
        <v>0</v>
      </c>
      <c r="T1197" s="32">
        <f>IFERROR(VLOOKUP($G1197,[1]нормы!$A$21:$BC$151,25,0),"")</f>
        <v>0</v>
      </c>
      <c r="U1197" s="233" t="str">
        <f>IFERROR(W1197/(((100*Y1197/Y1202)*I1201)/100),"")</f>
        <v/>
      </c>
      <c r="V1197" s="234" t="str">
        <f>IFERROR(VLOOKUP($G1197,нормы!$A$14:$BC$57,38,0),"")</f>
        <v/>
      </c>
      <c r="W1197" s="136"/>
      <c r="X1197" s="237"/>
      <c r="Y1197" s="152" t="str">
        <f>IFERROR(VLOOKUP($G1197,нормы!$A$14:$BC$57,42,0)*W1197,"")</f>
        <v/>
      </c>
      <c r="Z1197" s="163">
        <f>IFERROR(VLOOKUP($G1197,нормы!$A$14:$BC$57,14,0)*W1197/1000,0)</f>
        <v>0</v>
      </c>
      <c r="AA1197" s="142"/>
      <c r="AB1197" s="35"/>
      <c r="AC1197" s="35"/>
      <c r="AD1197" s="35"/>
      <c r="AE1197" s="31"/>
      <c r="AF1197" s="160"/>
      <c r="AG1197" s="391"/>
      <c r="AH1197" s="394"/>
      <c r="AI1197" s="397"/>
      <c r="AJ1197" s="408"/>
      <c r="AK1197" s="360"/>
      <c r="AL1197" s="360"/>
      <c r="AM1197" s="360"/>
      <c r="AN1197" s="289">
        <f>IFERROR(Y1197*AJ1196/Y1202,)</f>
        <v>0</v>
      </c>
      <c r="AO1197" s="197" t="str">
        <f>IFERROR(VLOOKUP($G1197,нормы!$A$14:$BC$57,53,0)*$W1197,"")</f>
        <v/>
      </c>
      <c r="AP1197" s="290">
        <f>IFERROR(Y1197*AI1196/Y1202,)</f>
        <v>0</v>
      </c>
      <c r="AQ1197" s="197" t="str">
        <f>IFERROR(VLOOKUP($G1197,нормы!$A$14:$BC$57,54,0)*$W1197,"")</f>
        <v/>
      </c>
      <c r="AR1197" s="290">
        <f>IFERROR(AS1197/SUM(AS1196:AS1201)*AL1196,0)</f>
        <v>0</v>
      </c>
      <c r="AS1197" s="197" t="str">
        <f>IFERROR(VLOOKUP($G1197,нормы!$A$14:$BC$57,55,0)*W1197,"")</f>
        <v/>
      </c>
      <c r="AT1197" s="290">
        <f>IFERROR(AU1197/SUM(AU1196:AU1201)*AM1196,0)</f>
        <v>0</v>
      </c>
      <c r="AU1197" s="197" t="str">
        <f>IFERROR(VLOOKUP($G1197,нормы!$A$14:$BI$57,56,0)*W1197,"")</f>
        <v/>
      </c>
      <c r="AV1197" s="290">
        <f>IFERROR(AW1197/SUM(AW1196:AW1201)*AK1196,0)</f>
        <v>0</v>
      </c>
      <c r="AW1197" s="202" t="str">
        <f>IFERROR(VLOOKUP($G1197,нормы!$A$14:$BI$57,57,0)*W1197,"")</f>
        <v/>
      </c>
      <c r="AX1197" s="30"/>
      <c r="AY1197" s="203" t="str">
        <f>IFERROR(VLOOKUP($G1197,нормы!$A$14:$BI$57,58,0)*W1197,"")</f>
        <v/>
      </c>
      <c r="AZ1197" s="205"/>
      <c r="BA1197" s="200" t="str">
        <f>IFERROR(VLOOKUP($G1197,нормы!$A$14:$BI$57,61,0)*$W1197,"")</f>
        <v/>
      </c>
      <c r="BB1197" s="30"/>
      <c r="BC1197" s="203" t="str">
        <f>IFERROR(VLOOKUP($G1197,нормы!$A$14:$BI$57,60,0)*W1197,"")</f>
        <v/>
      </c>
      <c r="BD1197" s="200" t="str">
        <f>IFERROR(VLOOKUP($G1197,нормы!$A$14:$BG$57,44,0),"")</f>
        <v/>
      </c>
      <c r="BE1197" s="199" t="str">
        <f>IFERROR(W1197/VLOOKUP($G1197,нормы!$A$14:$BI$57,45,0),"")</f>
        <v/>
      </c>
    </row>
    <row r="1198" spans="1:57" s="1" customFormat="1" ht="20.25" customHeight="1" x14ac:dyDescent="0.4">
      <c r="A1198" s="37" t="str">
        <f t="shared" si="470"/>
        <v>20Д</v>
      </c>
      <c r="B1198" s="12">
        <f t="shared" si="473"/>
        <v>20</v>
      </c>
      <c r="C1198" s="97">
        <f t="shared" si="473"/>
        <v>0</v>
      </c>
      <c r="D1198" s="97">
        <f t="shared" si="473"/>
        <v>2</v>
      </c>
      <c r="E1198" s="54"/>
      <c r="F1198" s="151" t="str">
        <f>IFERROR(VLOOKUP($G1198,нормы!$A$14:$BC$57,2,0),"")</f>
        <v/>
      </c>
      <c r="G1198" s="38"/>
      <c r="H1198" s="54">
        <f t="shared" si="474"/>
        <v>0</v>
      </c>
      <c r="I1198" s="89" t="s">
        <v>212</v>
      </c>
      <c r="J1198" s="333"/>
      <c r="K1198" s="30">
        <f>IFERROR(VLOOKUP($G1198,[1]нормы!$A$21:$BC$151,15,0),"")</f>
        <v>0</v>
      </c>
      <c r="L1198" s="31">
        <f>IFERROR(VLOOKUP($G1198,[1]нормы!$A$21:$BC$151,17,0),"")</f>
        <v>0</v>
      </c>
      <c r="M1198" s="306">
        <f>IFERROR(VLOOKUP($G1198,[1]нормы!$A$21:$BC$151,27,0),"")</f>
        <v>0</v>
      </c>
      <c r="N1198" s="307" t="str">
        <f>IFERROR(Y1198/Y1202*(1.1*J1196*I1201),"")</f>
        <v/>
      </c>
      <c r="O1198" s="300">
        <f>IFERROR(VLOOKUP($G1198,[1]нормы!$A$21:$BC$151,21,0),"")</f>
        <v>0</v>
      </c>
      <c r="P1198" s="35">
        <f>IFERROR(VLOOKUP($G1198,[1]нормы!$A$21:$BC$151,19,0),"")</f>
        <v>0</v>
      </c>
      <c r="Q1198" s="35">
        <f>IFERROR(VLOOKUP($G1198,[1]нормы!$A$21:$BC$151,23,0),"")</f>
        <v>0</v>
      </c>
      <c r="R1198" s="231">
        <f>IFERROR(VLOOKUP($G1198,[1]нормы!$A$21:$BC$151,29,0),"")</f>
        <v>0</v>
      </c>
      <c r="S1198" s="35">
        <f>IFERROR(VLOOKUP($G1198,[1]нормы!$A$21:$BC$151,31,0),"")</f>
        <v>0</v>
      </c>
      <c r="T1198" s="32">
        <f>IFERROR(VLOOKUP($G1198,[1]нормы!$A$21:$BC$151,25,0),"")</f>
        <v>0</v>
      </c>
      <c r="U1198" s="233" t="str">
        <f>IFERROR(W1198/(((100*Y1198/Y1202)*I1201)/100),"")</f>
        <v/>
      </c>
      <c r="V1198" s="234" t="str">
        <f>IFERROR(VLOOKUP($G1198,нормы!$A$14:$BC$57,38,0),"")</f>
        <v/>
      </c>
      <c r="W1198" s="136"/>
      <c r="X1198" s="237"/>
      <c r="Y1198" s="152" t="str">
        <f>IFERROR(VLOOKUP($G1198,нормы!$A$14:$BC$57,42,0)*W1198,"")</f>
        <v/>
      </c>
      <c r="Z1198" s="163">
        <f>IFERROR(VLOOKUP($G1198,нормы!$A$14:$BC$57,14,0)*W1198/1000,0)</f>
        <v>0</v>
      </c>
      <c r="AA1198" s="30"/>
      <c r="AB1198" s="35"/>
      <c r="AC1198" s="35"/>
      <c r="AD1198" s="35"/>
      <c r="AE1198" s="31"/>
      <c r="AF1198" s="160"/>
      <c r="AG1198" s="391"/>
      <c r="AH1198" s="394"/>
      <c r="AI1198" s="397"/>
      <c r="AJ1198" s="408"/>
      <c r="AK1198" s="360"/>
      <c r="AL1198" s="360"/>
      <c r="AM1198" s="360"/>
      <c r="AN1198" s="289">
        <f>IFERROR(Y1198*AJ1196/Y1202,)</f>
        <v>0</v>
      </c>
      <c r="AO1198" s="197" t="str">
        <f>IFERROR(VLOOKUP($G1198,нормы!$A$14:$BC$57,53,0)*$W1198,"")</f>
        <v/>
      </c>
      <c r="AP1198" s="290">
        <f>IFERROR(Y1198*AI1196/Y1202,)</f>
        <v>0</v>
      </c>
      <c r="AQ1198" s="197" t="str">
        <f>IFERROR(VLOOKUP($G1198,нормы!$A$14:$BC$57,54,0)*$W1198,"")</f>
        <v/>
      </c>
      <c r="AR1198" s="290">
        <f>IFERROR(AS1198/SUM(AS1196:AS1201)*AL1196,0)</f>
        <v>0</v>
      </c>
      <c r="AS1198" s="197" t="str">
        <f>IFERROR(VLOOKUP($G1198,нормы!$A$14:$BC$57,55,0)*W1198,"")</f>
        <v/>
      </c>
      <c r="AT1198" s="290">
        <f>IFERROR(AU1198/SUM(AU1196:AU1201)*AM1196,0)</f>
        <v>0</v>
      </c>
      <c r="AU1198" s="197" t="str">
        <f>IFERROR(VLOOKUP($G1198,нормы!$A$14:$BI$57,56,0)*W1198,"")</f>
        <v/>
      </c>
      <c r="AV1198" s="290">
        <f>IFERROR(AW1198/SUM(AW1196:AW1201)*AK1196,0)</f>
        <v>0</v>
      </c>
      <c r="AW1198" s="202" t="str">
        <f>IFERROR(VLOOKUP($G1198,нормы!$A$14:$BI$57,57,0)*W1198,"")</f>
        <v/>
      </c>
      <c r="AX1198" s="30"/>
      <c r="AY1198" s="203" t="str">
        <f>IFERROR(VLOOKUP($G1198,нормы!$A$14:$BI$57,58,0)*W1198,"")</f>
        <v/>
      </c>
      <c r="AZ1198" s="205"/>
      <c r="BA1198" s="200" t="str">
        <f>IFERROR(VLOOKUP($G1198,нормы!$A$14:$BI$57,61,0)*$W1198,"")</f>
        <v/>
      </c>
      <c r="BB1198" s="30"/>
      <c r="BC1198" s="203" t="str">
        <f>IFERROR(VLOOKUP($G1198,нормы!$A$14:$BI$57,60,0)*W1198,"")</f>
        <v/>
      </c>
      <c r="BD1198" s="200" t="str">
        <f>IFERROR(VLOOKUP($G1198,нормы!$A$14:$BG$57,44,0),"")</f>
        <v/>
      </c>
      <c r="BE1198" s="199" t="str">
        <f>IFERROR(W1198/VLOOKUP($G1198,нормы!$A$14:$BI$57,45,0),"")</f>
        <v/>
      </c>
    </row>
    <row r="1199" spans="1:57" s="1" customFormat="1" ht="20.25" customHeight="1" x14ac:dyDescent="0.4">
      <c r="A1199" s="37" t="str">
        <f t="shared" si="470"/>
        <v>20Д</v>
      </c>
      <c r="B1199" s="12">
        <f t="shared" si="473"/>
        <v>20</v>
      </c>
      <c r="C1199" s="97">
        <f t="shared" si="473"/>
        <v>0</v>
      </c>
      <c r="D1199" s="97">
        <f t="shared" si="473"/>
        <v>2</v>
      </c>
      <c r="E1199" s="54"/>
      <c r="F1199" s="151" t="str">
        <f>IFERROR(VLOOKUP($G1199,нормы!$A$14:$BC$57,2,0),"")</f>
        <v/>
      </c>
      <c r="G1199" s="93"/>
      <c r="H1199" s="54">
        <f t="shared" si="474"/>
        <v>0</v>
      </c>
      <c r="I1199" s="55"/>
      <c r="J1199" s="333"/>
      <c r="K1199" s="30">
        <f>IFERROR(VLOOKUP($G1199,[1]нормы!$A$21:$BC$151,15,0),"")</f>
        <v>0</v>
      </c>
      <c r="L1199" s="31">
        <f>IFERROR(VLOOKUP($G1199,[1]нормы!$A$21:$BC$151,17,0),"")</f>
        <v>0</v>
      </c>
      <c r="M1199" s="306">
        <f>IFERROR(VLOOKUP($G1199,[1]нормы!$A$21:$BC$151,27,0),"")</f>
        <v>0</v>
      </c>
      <c r="N1199" s="307" t="str">
        <f>IFERROR(Y1199/Y1202*(1.1*J1196*I1204),"")</f>
        <v/>
      </c>
      <c r="O1199" s="300">
        <f>IFERROR(VLOOKUP($G1199,[1]нормы!$A$21:$BC$151,21,0),"")</f>
        <v>0</v>
      </c>
      <c r="P1199" s="35">
        <f>IFERROR(VLOOKUP($G1199,[1]нормы!$A$21:$BC$151,19,0),"")</f>
        <v>0</v>
      </c>
      <c r="Q1199" s="35">
        <f>IFERROR(VLOOKUP($G1199,[1]нормы!$A$21:$BC$151,23,0),"")</f>
        <v>0</v>
      </c>
      <c r="R1199" s="231">
        <f>IFERROR(VLOOKUP($G1199,[1]нормы!$A$21:$BC$151,29,0),"")</f>
        <v>0</v>
      </c>
      <c r="S1199" s="35">
        <f>IFERROR(VLOOKUP($G1199,[1]нормы!$A$21:$BC$151,31,0),"")</f>
        <v>0</v>
      </c>
      <c r="T1199" s="32">
        <f>IFERROR(VLOOKUP($G1199,[1]нормы!$A$21:$BC$151,25,0),"")</f>
        <v>0</v>
      </c>
      <c r="U1199" s="233" t="str">
        <f>IFERROR(W1199/(((100*Y1199/Y1202)*I1201)/100),"")</f>
        <v/>
      </c>
      <c r="V1199" s="234" t="str">
        <f>IFERROR(VLOOKUP($G1199,нормы!$A$14:$BC$57,38,0),"")</f>
        <v/>
      </c>
      <c r="W1199" s="136"/>
      <c r="X1199" s="237"/>
      <c r="Y1199" s="152" t="str">
        <f>IFERROR(VLOOKUP($G1199,нормы!$A$14:$BC$57,42,0)*W1199,"")</f>
        <v/>
      </c>
      <c r="Z1199" s="163">
        <f>IFERROR(VLOOKUP($G1199,нормы!$A$14:$BC$57,14,0)*W1199/1000,0)</f>
        <v>0</v>
      </c>
      <c r="AA1199" s="30"/>
      <c r="AB1199" s="35"/>
      <c r="AC1199" s="35"/>
      <c r="AD1199" s="35"/>
      <c r="AE1199" s="31"/>
      <c r="AF1199" s="160"/>
      <c r="AG1199" s="391"/>
      <c r="AH1199" s="394"/>
      <c r="AI1199" s="397"/>
      <c r="AJ1199" s="408"/>
      <c r="AK1199" s="360"/>
      <c r="AL1199" s="360"/>
      <c r="AM1199" s="360"/>
      <c r="AN1199" s="289">
        <f>IFERROR(Y1199*AJ1196/Y1202,)</f>
        <v>0</v>
      </c>
      <c r="AO1199" s="197" t="str">
        <f>IFERROR(VLOOKUP($G1199,нормы!$A$14:$BC$57,53,0)*$W1199,"")</f>
        <v/>
      </c>
      <c r="AP1199" s="290">
        <f>IFERROR(Y1199*AI1196/Y1202,)</f>
        <v>0</v>
      </c>
      <c r="AQ1199" s="197" t="str">
        <f>IFERROR(VLOOKUP($G1199,нормы!$A$14:$BC$57,54,0)*$W1199,"")</f>
        <v/>
      </c>
      <c r="AR1199" s="290">
        <f>IFERROR(AS1199/SUM(AS1196:AS1201)*AL1196,0)</f>
        <v>0</v>
      </c>
      <c r="AS1199" s="197" t="str">
        <f>IFERROR(VLOOKUP($G1199,нормы!$A$14:$BC$57,55,0)*W1199,"")</f>
        <v/>
      </c>
      <c r="AT1199" s="290">
        <f>IFERROR(AU1199/SUM(AU1196:AU1201)*AM1196,0)</f>
        <v>0</v>
      </c>
      <c r="AU1199" s="197" t="str">
        <f>IFERROR(VLOOKUP($G1199,нормы!$A$14:$BI$57,56,0)*W1199,"")</f>
        <v/>
      </c>
      <c r="AV1199" s="290">
        <f>IFERROR(AW1199/SUM(AW1196:AW1201)*AK1196,0)</f>
        <v>0</v>
      </c>
      <c r="AW1199" s="202" t="str">
        <f>IFERROR(VLOOKUP($G1199,нормы!$A$14:$BI$57,57,0)*W1199,"")</f>
        <v/>
      </c>
      <c r="AX1199" s="30"/>
      <c r="AY1199" s="203" t="str">
        <f>IFERROR(VLOOKUP($G1199,нормы!$A$14:$BI$57,58,0)*W1199,"")</f>
        <v/>
      </c>
      <c r="AZ1199" s="205"/>
      <c r="BA1199" s="200" t="str">
        <f>IFERROR(VLOOKUP($G1199,нормы!$A$14:$BI$57,61,0)*$W1199,"")</f>
        <v/>
      </c>
      <c r="BB1199" s="30"/>
      <c r="BC1199" s="203" t="str">
        <f>IFERROR(VLOOKUP($G1199,нормы!$A$14:$BI$57,60,0)*W1199,"")</f>
        <v/>
      </c>
      <c r="BD1199" s="200" t="str">
        <f>IFERROR(VLOOKUP($G1199,нормы!$A$14:$BG$57,44,0),"")</f>
        <v/>
      </c>
      <c r="BE1199" s="199" t="str">
        <f>IFERROR(W1199/VLOOKUP($G1199,нормы!$A$14:$BI$57,45,0),"")</f>
        <v/>
      </c>
    </row>
    <row r="1200" spans="1:57" s="1" customFormat="1" ht="20.25" customHeight="1" x14ac:dyDescent="0.4">
      <c r="A1200" s="37" t="str">
        <f t="shared" si="470"/>
        <v>20Д</v>
      </c>
      <c r="B1200" s="12">
        <f t="shared" si="473"/>
        <v>20</v>
      </c>
      <c r="C1200" s="97">
        <f t="shared" si="473"/>
        <v>0</v>
      </c>
      <c r="D1200" s="97">
        <f t="shared" si="473"/>
        <v>2</v>
      </c>
      <c r="E1200" s="54"/>
      <c r="F1200" s="151" t="str">
        <f>IFERROR(VLOOKUP($G1200,нормы!$A$14:$BC$57,2,0),"")</f>
        <v/>
      </c>
      <c r="G1200" s="38"/>
      <c r="H1200" s="54">
        <f t="shared" si="474"/>
        <v>0</v>
      </c>
      <c r="I1200" s="89" t="s">
        <v>73</v>
      </c>
      <c r="J1200" s="333"/>
      <c r="K1200" s="30">
        <f>IFERROR(VLOOKUP($G1200,[1]нормы!$A$21:$BC$151,15,0),"")</f>
        <v>0</v>
      </c>
      <c r="L1200" s="31">
        <f>IFERROR(VLOOKUP($G1200,[1]нормы!$A$21:$BC$151,17,0),"")</f>
        <v>0</v>
      </c>
      <c r="M1200" s="306">
        <f>IFERROR(VLOOKUP($G1200,[1]нормы!$A$21:$BC$151,27,0),"")</f>
        <v>0</v>
      </c>
      <c r="N1200" s="307" t="str">
        <f>IFERROR(Y1200/Y1202*(1.1*J1196*I1205),"")</f>
        <v/>
      </c>
      <c r="O1200" s="300">
        <f>IFERROR(VLOOKUP($G1200,[1]нормы!$A$21:$BC$151,21,0),"")</f>
        <v>0</v>
      </c>
      <c r="P1200" s="35">
        <f>IFERROR(VLOOKUP($G1200,[1]нормы!$A$21:$BC$151,19,0),"")</f>
        <v>0</v>
      </c>
      <c r="Q1200" s="35">
        <f>IFERROR(VLOOKUP($G1200,[1]нормы!$A$21:$BC$151,23,0),"")</f>
        <v>0</v>
      </c>
      <c r="R1200" s="231">
        <f>IFERROR(VLOOKUP($G1200,[1]нормы!$A$21:$BC$151,29,0),"")</f>
        <v>0</v>
      </c>
      <c r="S1200" s="35">
        <f>IFERROR(VLOOKUP($G1200,[1]нормы!$A$21:$BC$151,31,0),"")</f>
        <v>0</v>
      </c>
      <c r="T1200" s="32">
        <f>IFERROR(VLOOKUP($G1200,[1]нормы!$A$21:$BC$151,25,0),"")</f>
        <v>0</v>
      </c>
      <c r="U1200" s="233" t="str">
        <f>IFERROR(W1200/(((100*Y1200/Y1202)*I1201)/100),"")</f>
        <v/>
      </c>
      <c r="V1200" s="234" t="str">
        <f>IFERROR(VLOOKUP($G1200,нормы!$A$14:$BC$57,38,0),"")</f>
        <v/>
      </c>
      <c r="W1200" s="136"/>
      <c r="X1200" s="237"/>
      <c r="Y1200" s="152" t="str">
        <f>IFERROR(VLOOKUP($G1200,нормы!$A$14:$BC$57,42,0)*W1200,"")</f>
        <v/>
      </c>
      <c r="Z1200" s="163">
        <f>IFERROR(VLOOKUP($G1200,нормы!$A$14:$BC$57,14,0)*W1200/1000,0)</f>
        <v>0</v>
      </c>
      <c r="AA1200" s="30"/>
      <c r="AB1200" s="35"/>
      <c r="AC1200" s="35"/>
      <c r="AD1200" s="35"/>
      <c r="AE1200" s="31"/>
      <c r="AF1200" s="160"/>
      <c r="AG1200" s="391"/>
      <c r="AH1200" s="394"/>
      <c r="AI1200" s="397"/>
      <c r="AJ1200" s="408"/>
      <c r="AK1200" s="360"/>
      <c r="AL1200" s="360"/>
      <c r="AM1200" s="360"/>
      <c r="AN1200" s="289">
        <f>IFERROR(Y1200*AJ1196/Y1202,)</f>
        <v>0</v>
      </c>
      <c r="AO1200" s="197" t="str">
        <f>IFERROR(VLOOKUP($G1200,нормы!$A$14:$BC$57,53,0)*$W1200,"")</f>
        <v/>
      </c>
      <c r="AP1200" s="290">
        <f>IFERROR(Y1200*AI1196/Y1202,)</f>
        <v>0</v>
      </c>
      <c r="AQ1200" s="197" t="str">
        <f>IFERROR(VLOOKUP($G1200,нормы!$A$14:$BC$57,54,0)*$W1200,"")</f>
        <v/>
      </c>
      <c r="AR1200" s="290">
        <f>IFERROR(AS1200/SUM(AS1196:AS1201)*AL1196,0)</f>
        <v>0</v>
      </c>
      <c r="AS1200" s="197" t="str">
        <f>IFERROR(VLOOKUP($G1200,нормы!$A$14:$BC$57,55,0)*W1200,"")</f>
        <v/>
      </c>
      <c r="AT1200" s="290">
        <f>IFERROR(AU1200/SUM(AU1196:AU1201)*AM1196,0)</f>
        <v>0</v>
      </c>
      <c r="AU1200" s="197" t="str">
        <f>IFERROR(VLOOKUP($G1200,нормы!$A$14:$BI$57,56,0)*W1200,"")</f>
        <v/>
      </c>
      <c r="AV1200" s="290">
        <f>IFERROR(AW1200/SUM(AW1196:AW1201)*AK1196,0)</f>
        <v>0</v>
      </c>
      <c r="AW1200" s="202" t="str">
        <f>IFERROR(VLOOKUP($G1200,нормы!$A$14:$BI$57,57,0)*W1200,"")</f>
        <v/>
      </c>
      <c r="AX1200" s="30"/>
      <c r="AY1200" s="203" t="str">
        <f>IFERROR(VLOOKUP($G1200,нормы!$A$14:$BI$57,58,0)*W1200,"")</f>
        <v/>
      </c>
      <c r="AZ1200" s="205"/>
      <c r="BA1200" s="200" t="str">
        <f>IFERROR(VLOOKUP($G1200,нормы!$A$14:$BI$57,61,0)*$W1200,"")</f>
        <v/>
      </c>
      <c r="BB1200" s="30"/>
      <c r="BC1200" s="203" t="str">
        <f>IFERROR(VLOOKUP($G1200,нормы!$A$14:$BI$57,60,0)*W1200,"")</f>
        <v/>
      </c>
      <c r="BD1200" s="200" t="str">
        <f>IFERROR(VLOOKUP($G1200,нормы!$A$14:$BG$57,44,0),"")</f>
        <v/>
      </c>
      <c r="BE1200" s="199" t="str">
        <f>IFERROR(W1200/VLOOKUP($G1200,нормы!$A$14:$BI$57,45,0),"")</f>
        <v/>
      </c>
    </row>
    <row r="1201" spans="1:57" s="1" customFormat="1" ht="21" customHeight="1" thickBot="1" x14ac:dyDescent="0.45">
      <c r="A1201" s="37" t="str">
        <f t="shared" si="470"/>
        <v>20Д</v>
      </c>
      <c r="B1201" s="12">
        <f t="shared" si="473"/>
        <v>20</v>
      </c>
      <c r="C1201" s="97">
        <f t="shared" si="473"/>
        <v>0</v>
      </c>
      <c r="D1201" s="97">
        <f t="shared" si="473"/>
        <v>2</v>
      </c>
      <c r="E1201" s="54"/>
      <c r="F1201" s="151" t="str">
        <f>IFERROR(VLOOKUP($G1201,нормы!$A$14:$BC$57,2,0),"")</f>
        <v/>
      </c>
      <c r="G1201" s="93"/>
      <c r="H1201" s="63">
        <f t="shared" si="474"/>
        <v>0</v>
      </c>
      <c r="I1201" s="153">
        <f>I1197+I1199</f>
        <v>0</v>
      </c>
      <c r="J1201" s="334"/>
      <c r="K1201" s="30">
        <f>IFERROR(VLOOKUP($G1201,[1]нормы!$A$21:$BC$151,15,0),"")</f>
        <v>0</v>
      </c>
      <c r="L1201" s="31">
        <f>IFERROR(VLOOKUP($G1201,[1]нормы!$A$21:$BC$151,17,0),"")</f>
        <v>0</v>
      </c>
      <c r="M1201" s="308">
        <f>IFERROR(VLOOKUP($G1201,[1]нормы!$A$21:$BC$151,27,0),"")</f>
        <v>0</v>
      </c>
      <c r="N1201" s="309" t="str">
        <f>IFERROR(Y1201/Y1202*(1.1*J1196*I1206),"")</f>
        <v/>
      </c>
      <c r="O1201" s="300">
        <f>IFERROR(VLOOKUP($G1201,[1]нормы!$A$21:$BC$151,21,0),"")</f>
        <v>0</v>
      </c>
      <c r="P1201" s="35">
        <f>IFERROR(VLOOKUP($G1201,[1]нормы!$A$21:$BC$151,19,0),"")</f>
        <v>0</v>
      </c>
      <c r="Q1201" s="35">
        <f>IFERROR(VLOOKUP($G1201,[1]нормы!$A$21:$BC$151,23,0),"")</f>
        <v>0</v>
      </c>
      <c r="R1201" s="231">
        <f>IFERROR(VLOOKUP($G1201,[1]нормы!$A$21:$BC$151,29,0),"")</f>
        <v>0</v>
      </c>
      <c r="S1201" s="35">
        <f>IFERROR(VLOOKUP($G1201,[1]нормы!$A$21:$BC$151,31,0),"")</f>
        <v>0</v>
      </c>
      <c r="T1201" s="32">
        <f>IFERROR(VLOOKUP($G1201,[1]нормы!$A$21:$BC$151,25,0),"")</f>
        <v>0</v>
      </c>
      <c r="U1201" s="235" t="str">
        <f>IFERROR(W1201/(((100*Y1201/Y1202)*I1201)/100),"")</f>
        <v/>
      </c>
      <c r="V1201" s="234" t="str">
        <f>IFERROR(VLOOKUP($G1201,нормы!$A$14:$BC$57,38,0),"")</f>
        <v/>
      </c>
      <c r="W1201" s="154"/>
      <c r="X1201" s="238"/>
      <c r="Y1201" s="152" t="str">
        <f>IFERROR(VLOOKUP($G1201,нормы!$A$14:$BC$57,42,0)*W1201,"")</f>
        <v/>
      </c>
      <c r="Z1201" s="163">
        <f>IFERROR(VLOOKUP($G1201,нормы!$A$14:$BC$57,14,0)*W1201/1000,0)</f>
        <v>0</v>
      </c>
      <c r="AA1201" s="56"/>
      <c r="AB1201" s="58"/>
      <c r="AC1201" s="58"/>
      <c r="AD1201" s="58"/>
      <c r="AE1201" s="57"/>
      <c r="AF1201" s="161"/>
      <c r="AG1201" s="392"/>
      <c r="AH1201" s="395"/>
      <c r="AI1201" s="398"/>
      <c r="AJ1201" s="409"/>
      <c r="AK1201" s="361"/>
      <c r="AL1201" s="361"/>
      <c r="AM1201" s="361"/>
      <c r="AN1201" s="291">
        <f>IFERROR(Y1201*AJ1196/Y1202,)</f>
        <v>0</v>
      </c>
      <c r="AO1201" s="197" t="str">
        <f>IFERROR(VLOOKUP($G1201,нормы!$A$14:$BC$57,53,0)*$W1201,"")</f>
        <v/>
      </c>
      <c r="AP1201" s="292">
        <f>IFERROR(Y1201*AI1196/Y1202,)</f>
        <v>0</v>
      </c>
      <c r="AQ1201" s="197" t="str">
        <f>IFERROR(VLOOKUP($G1201,нормы!$A$14:$BC$57,54,0)*$W1201,"")</f>
        <v/>
      </c>
      <c r="AR1201" s="290">
        <f>IFERROR(AS1201/SUM(AS1196:AS1201)*AL1196,0)</f>
        <v>0</v>
      </c>
      <c r="AS1201" s="197" t="str">
        <f>IFERROR(VLOOKUP($G1201,нормы!$A$14:$BC$57,55,0)*W1201,"")</f>
        <v/>
      </c>
      <c r="AT1201" s="292">
        <f>IFERROR(AU1201/SUM(AU1196:AU1201)*AM1196,0)</f>
        <v>0</v>
      </c>
      <c r="AU1201" s="197" t="str">
        <f>IFERROR(VLOOKUP($G1201,нормы!$A$14:$BI$57,56,0)*W1201,"")</f>
        <v/>
      </c>
      <c r="AV1201" s="292">
        <f>IFERROR(AW1201/SUM(AW1196:AW1201)*AK1196,0)</f>
        <v>0</v>
      </c>
      <c r="AW1201" s="202" t="str">
        <f>IFERROR(VLOOKUP($G1201,нормы!$A$14:$BI$57,57,0)*W1201,"")</f>
        <v/>
      </c>
      <c r="AX1201" s="56"/>
      <c r="AY1201" s="203" t="str">
        <f>IFERROR(VLOOKUP($G1201,нормы!$A$14:$BI$57,58,0)*W1201,"")</f>
        <v/>
      </c>
      <c r="AZ1201" s="206"/>
      <c r="BA1201" s="200" t="str">
        <f>IFERROR(VLOOKUP($G1201,нормы!$A$14:$BI$57,61,0)*$W1201,"")</f>
        <v/>
      </c>
      <c r="BB1201" s="56"/>
      <c r="BC1201" s="203" t="str">
        <f>IFERROR(VLOOKUP($G1201,нормы!$A$14:$BI$57,60,0)*W1201,"")</f>
        <v/>
      </c>
      <c r="BD1201" s="200" t="str">
        <f>IFERROR(VLOOKUP($G1201,нормы!$A$14:$BG$57,44,0),"")</f>
        <v/>
      </c>
      <c r="BE1201" s="199" t="str">
        <f>IFERROR(W1201/VLOOKUP($G1201,нормы!$A$14:$BI$57,45,0),"")</f>
        <v/>
      </c>
    </row>
    <row r="1202" spans="1:57" s="1" customFormat="1" ht="29.4" customHeight="1" thickBot="1" x14ac:dyDescent="0.45">
      <c r="A1202" s="37" t="str">
        <f t="shared" si="470"/>
        <v>20Д</v>
      </c>
      <c r="B1202" s="59"/>
      <c r="C1202" s="51"/>
      <c r="D1202" s="51"/>
      <c r="E1202" s="51"/>
      <c r="F1202" s="51"/>
      <c r="G1202" s="51"/>
      <c r="H1202" s="51"/>
      <c r="I1202" s="60"/>
      <c r="J1202" s="60"/>
      <c r="K1202" s="319" t="s">
        <v>213</v>
      </c>
      <c r="L1202" s="316"/>
      <c r="M1202" s="303" t="s">
        <v>213</v>
      </c>
      <c r="N1202" s="317">
        <f>SUM(N1196:N1201)</f>
        <v>0</v>
      </c>
      <c r="O1202" s="304" t="s">
        <v>217</v>
      </c>
      <c r="P1202" s="318">
        <f>N1202*8.937/1000</f>
        <v>0</v>
      </c>
      <c r="Q1202" s="305" t="s">
        <v>215</v>
      </c>
      <c r="R1202" s="61"/>
      <c r="S1202" s="61"/>
      <c r="T1202" s="61"/>
      <c r="U1202" s="109"/>
      <c r="V1202" s="109"/>
      <c r="W1202" s="94"/>
      <c r="X1202" s="155"/>
      <c r="Y1202" s="96">
        <f>SUM(Y1196:Y1201)</f>
        <v>0</v>
      </c>
      <c r="Z1202" s="164">
        <f>SUM(Z1196:Z1201)</f>
        <v>0</v>
      </c>
      <c r="AA1202" s="207">
        <f>(AA1188+AA1189+AA1190+AA1191+AA1192+AA1193+AA1194+AA1196+AA1197+AA1198+AA1199+AA1200+AA1201)-AG1189</f>
        <v>1</v>
      </c>
      <c r="AB1202" s="208">
        <f>(AB1188+AB1189+AB1190+AB1191+AB1192+AB1193+AB1194+AB1196+AB1197+AB1198+AB1199+AB1200+AB1201)-AH1189</f>
        <v>2</v>
      </c>
      <c r="AC1202" s="208">
        <f>(AC1188+AC1189+AC1190+AC1191+AC1192+AC1193+AC1194+AC1196+AC1197+AC1198+AC1199+AC1200+AC1201)-AG1196</f>
        <v>3</v>
      </c>
      <c r="AD1202" s="208">
        <f>(AD1188+AD1189+AD1190+AD1191+AD1192+AD1193+AD1194+AD1196+AD1197+AD1198+AD1199+AD1200+AD1201)-AH1196</f>
        <v>4</v>
      </c>
      <c r="AE1202" s="208">
        <f>(AE1188+AE1189+AE1190+AE1191+AE1192+AE1193+AE1194+AE1196+AE1197+AE1198+AE1199+AE1200+AE1201)-AI1189</f>
        <v>5</v>
      </c>
      <c r="AF1202" s="209">
        <f>(AF1188+AF1189+AF1190+AF1191+AF1192+AF1193+AF1194+AF1196+AF1197+AF1198+AF1199+AF1200+AF1201)-AI1196</f>
        <v>6</v>
      </c>
      <c r="AG1202" s="62"/>
      <c r="AH1202" s="62"/>
      <c r="AI1202" s="62"/>
      <c r="AJ1202" s="62"/>
      <c r="AK1202" s="62"/>
      <c r="AL1202" s="62"/>
      <c r="AM1202" s="62"/>
      <c r="AN1202" s="91">
        <f>SUM(AN1196:AN1201)</f>
        <v>0</v>
      </c>
      <c r="AO1202" s="91">
        <f>SUM(AO1196:AO1201)</f>
        <v>0</v>
      </c>
      <c r="AP1202" s="91"/>
      <c r="AQ1202" s="91"/>
      <c r="AR1202" s="91">
        <f>SUM(AR1196:AR1201)</f>
        <v>0</v>
      </c>
      <c r="AS1202" s="91">
        <f t="shared" ref="AS1202:AW1202" si="475">SUM(AS1196:AS1201)</f>
        <v>0</v>
      </c>
      <c r="AT1202" s="91">
        <f t="shared" si="475"/>
        <v>0</v>
      </c>
      <c r="AU1202" s="91">
        <f t="shared" si="475"/>
        <v>0</v>
      </c>
      <c r="AV1202" s="91">
        <f t="shared" si="475"/>
        <v>0</v>
      </c>
      <c r="AW1202" s="91">
        <f t="shared" si="475"/>
        <v>0</v>
      </c>
      <c r="AX1202" s="91">
        <f>SUM(AX1196:AX1201)</f>
        <v>0</v>
      </c>
      <c r="AY1202" s="91">
        <f>SUM(AY1196:AY1201)</f>
        <v>0</v>
      </c>
      <c r="AZ1202" s="91">
        <f>SUM(AZ1196:AZ1201)</f>
        <v>0</v>
      </c>
      <c r="BA1202" s="91"/>
      <c r="BB1202" s="91"/>
      <c r="BC1202" s="91"/>
      <c r="BD1202" s="91" t="str">
        <f>IFERROR(VLOOKUP($G1202,нормы!$A$14:$BG$15,27,0),"")</f>
        <v/>
      </c>
      <c r="BE1202" s="53" t="str">
        <f>IFERROR(W1202/VLOOKUP($G1202,нормы!$A$14:$BI$15,28,0),"")</f>
        <v/>
      </c>
    </row>
    <row r="1203" spans="1:57" s="1" customFormat="1" ht="29.4" customHeight="1" thickBot="1" x14ac:dyDescent="0.5">
      <c r="A1203" s="37" t="str">
        <f t="shared" si="470"/>
        <v>20Д</v>
      </c>
      <c r="B1203" s="166" t="s">
        <v>130</v>
      </c>
      <c r="C1203" s="167"/>
      <c r="D1203" s="167"/>
      <c r="E1203" s="167"/>
      <c r="F1203" s="165"/>
      <c r="G1203" s="167"/>
      <c r="H1203" s="167"/>
      <c r="I1203" s="168"/>
      <c r="J1203" s="168"/>
      <c r="K1203" s="168"/>
      <c r="L1203" s="168"/>
      <c r="M1203" s="168"/>
      <c r="N1203" s="168"/>
      <c r="O1203" s="167"/>
      <c r="P1203" s="169"/>
      <c r="Q1203" s="169"/>
      <c r="R1203" s="169"/>
      <c r="S1203" s="169"/>
      <c r="T1203" s="169"/>
      <c r="U1203" s="170"/>
      <c r="V1203" s="170"/>
      <c r="W1203" s="171"/>
      <c r="X1203" s="171"/>
      <c r="Y1203" s="172"/>
      <c r="Z1203" s="172"/>
      <c r="AA1203" s="201" t="s">
        <v>144</v>
      </c>
      <c r="AB1203" s="167"/>
      <c r="AC1203" s="167"/>
      <c r="AD1203" s="167"/>
      <c r="AE1203" s="167"/>
      <c r="AF1203" s="167"/>
      <c r="AG1203" s="167"/>
      <c r="AH1203" s="167"/>
      <c r="AI1203" s="167"/>
      <c r="AJ1203" s="167"/>
      <c r="AK1203" s="167"/>
      <c r="AL1203" s="167"/>
      <c r="AM1203" s="64"/>
      <c r="AN1203" s="167"/>
      <c r="AO1203" s="167"/>
      <c r="AP1203" s="167"/>
      <c r="AQ1203" s="167"/>
      <c r="AR1203" s="64"/>
      <c r="AS1203" s="64"/>
      <c r="AT1203" s="65"/>
      <c r="AU1203" s="64"/>
      <c r="AV1203" s="49"/>
      <c r="AW1203" s="49"/>
      <c r="AX1203" s="167"/>
      <c r="AY1203" s="167"/>
      <c r="AZ1203" s="167"/>
      <c r="BA1203" s="167"/>
      <c r="BB1203" s="167"/>
      <c r="BC1203" s="167"/>
      <c r="BD1203" s="66"/>
      <c r="BE1203" s="66"/>
    </row>
    <row r="1204" spans="1:57" s="1" customFormat="1" ht="23.25" customHeight="1" x14ac:dyDescent="0.4">
      <c r="A1204" s="37" t="str">
        <f t="shared" si="470"/>
        <v>20Д</v>
      </c>
      <c r="B1204" s="183"/>
      <c r="C1204" s="100"/>
      <c r="D1204" s="185"/>
      <c r="E1204" s="186" t="s">
        <v>57</v>
      </c>
      <c r="F1204" s="66" t="s">
        <v>87</v>
      </c>
      <c r="G1204" s="66"/>
      <c r="H1204" s="108" t="s">
        <v>131</v>
      </c>
      <c r="I1204" s="101"/>
      <c r="J1204" s="101"/>
      <c r="K1204" s="101"/>
      <c r="L1204" s="101"/>
      <c r="M1204" s="101"/>
      <c r="N1204" s="101"/>
      <c r="O1204" s="67"/>
      <c r="P1204" s="102"/>
      <c r="Q1204" s="102"/>
      <c r="R1204" s="102"/>
      <c r="S1204" s="102"/>
      <c r="T1204" s="102"/>
      <c r="U1204" s="67"/>
      <c r="V1204" s="67"/>
      <c r="W1204" s="103"/>
      <c r="X1204" s="187"/>
      <c r="Y1204" s="68" t="s">
        <v>74</v>
      </c>
      <c r="Z1204" s="69"/>
      <c r="AA1204" s="90"/>
      <c r="AB1204" s="100"/>
      <c r="AC1204" s="100"/>
      <c r="AD1204" s="186" t="s">
        <v>57</v>
      </c>
      <c r="AE1204" s="66"/>
      <c r="AF1204" s="66"/>
      <c r="AG1204" s="66"/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6"/>
      <c r="AS1204" s="66"/>
      <c r="AT1204" s="190"/>
      <c r="AU1204" s="66"/>
      <c r="AV1204" s="165"/>
      <c r="AW1204" s="293"/>
      <c r="AX1204" s="66"/>
      <c r="AY1204" s="66"/>
      <c r="AZ1204" s="66"/>
      <c r="BA1204" s="66"/>
      <c r="BB1204" s="66"/>
      <c r="BC1204" s="66"/>
      <c r="BD1204" s="68" t="s">
        <v>74</v>
      </c>
      <c r="BE1204" s="69"/>
    </row>
    <row r="1205" spans="1:57" s="1" customFormat="1" ht="23.25" customHeight="1" thickBot="1" x14ac:dyDescent="0.45">
      <c r="A1205" s="37" t="str">
        <f t="shared" si="470"/>
        <v>20Д</v>
      </c>
      <c r="B1205" s="183"/>
      <c r="C1205" s="41"/>
      <c r="D1205" s="184"/>
      <c r="E1205" s="50"/>
      <c r="F1205" s="70"/>
      <c r="G1205" s="70"/>
      <c r="H1205" s="70"/>
      <c r="I1205" s="104"/>
      <c r="J1205" s="104"/>
      <c r="K1205" s="104"/>
      <c r="L1205" s="104"/>
      <c r="M1205" s="104"/>
      <c r="N1205" s="104"/>
      <c r="O1205" s="71"/>
      <c r="P1205" s="105"/>
      <c r="Q1205" s="105"/>
      <c r="R1205" s="105"/>
      <c r="S1205" s="105"/>
      <c r="T1205" s="105"/>
      <c r="U1205" s="71"/>
      <c r="V1205" s="71"/>
      <c r="W1205" s="106"/>
      <c r="X1205" s="188"/>
      <c r="Y1205" s="72"/>
      <c r="Z1205" s="73"/>
      <c r="AA1205" s="90"/>
      <c r="AB1205" s="41"/>
      <c r="AC1205" s="41"/>
      <c r="AD1205" s="50"/>
      <c r="AE1205" s="47"/>
      <c r="AF1205" s="47"/>
      <c r="AG1205" s="47"/>
      <c r="AH1205" s="47"/>
      <c r="AI1205" s="47"/>
      <c r="AJ1205" s="47"/>
      <c r="AK1205" s="47"/>
      <c r="AL1205" s="47"/>
      <c r="AM1205" s="70"/>
      <c r="AN1205" s="47"/>
      <c r="AO1205" s="70"/>
      <c r="AP1205" s="70"/>
      <c r="AQ1205" s="70"/>
      <c r="AR1205" s="70"/>
      <c r="AS1205" s="70"/>
      <c r="AT1205" s="191"/>
      <c r="AU1205" s="70"/>
      <c r="AV1205" s="192"/>
      <c r="AW1205" s="294"/>
      <c r="AX1205" s="70"/>
      <c r="AY1205" s="70"/>
      <c r="AZ1205" s="70"/>
      <c r="BA1205" s="70"/>
      <c r="BB1205" s="70"/>
      <c r="BC1205" s="70"/>
      <c r="BD1205" s="72"/>
      <c r="BE1205" s="73"/>
    </row>
    <row r="1206" spans="1:57" s="1" customFormat="1" ht="25.5" customHeight="1" x14ac:dyDescent="0.4">
      <c r="A1206" s="37" t="str">
        <f t="shared" si="470"/>
        <v>20Д</v>
      </c>
      <c r="B1206" s="183"/>
      <c r="C1206" s="41"/>
      <c r="D1206" s="184"/>
      <c r="E1206" s="281">
        <f>B1201</f>
        <v>20</v>
      </c>
      <c r="F1206" s="337"/>
      <c r="G1206" s="338"/>
      <c r="H1206" s="338"/>
      <c r="I1206" s="338"/>
      <c r="J1206" s="338"/>
      <c r="K1206" s="338"/>
      <c r="L1206" s="338"/>
      <c r="M1206" s="338"/>
      <c r="N1206" s="338"/>
      <c r="O1206" s="338"/>
      <c r="P1206" s="338"/>
      <c r="Q1206" s="338"/>
      <c r="R1206" s="338"/>
      <c r="S1206" s="338"/>
      <c r="T1206" s="338"/>
      <c r="U1206" s="338"/>
      <c r="V1206" s="338"/>
      <c r="W1206" s="338"/>
      <c r="X1206" s="98">
        <v>1</v>
      </c>
      <c r="Y1206" s="74">
        <v>1</v>
      </c>
      <c r="Z1206" s="75">
        <f t="shared" ref="Z1206:Z1217" si="476">Y1206-X1206</f>
        <v>0</v>
      </c>
      <c r="AA1206" s="189"/>
      <c r="AB1206" s="41"/>
      <c r="AC1206" s="184"/>
      <c r="AD1206" s="210">
        <f>E1206</f>
        <v>20</v>
      </c>
      <c r="AE1206" s="387"/>
      <c r="AF1206" s="388"/>
      <c r="AG1206" s="388"/>
      <c r="AH1206" s="388"/>
      <c r="AI1206" s="388"/>
      <c r="AJ1206" s="388"/>
      <c r="AK1206" s="388"/>
      <c r="AL1206" s="388"/>
      <c r="AM1206" s="388"/>
      <c r="AN1206" s="388"/>
      <c r="AO1206" s="388"/>
      <c r="AP1206" s="388"/>
      <c r="AQ1206" s="388"/>
      <c r="AR1206" s="388"/>
      <c r="AS1206" s="388"/>
      <c r="AT1206" s="388"/>
      <c r="AU1206" s="388"/>
      <c r="AV1206" s="388"/>
      <c r="AW1206" s="388"/>
      <c r="AX1206" s="388"/>
      <c r="AY1206" s="388"/>
      <c r="AZ1206" s="388"/>
      <c r="BA1206" s="388"/>
      <c r="BB1206" s="389"/>
      <c r="BC1206" s="98">
        <v>1</v>
      </c>
      <c r="BD1206" s="74">
        <v>1</v>
      </c>
      <c r="BE1206" s="75">
        <f t="shared" ref="BE1206:BE1217" si="477">BD1206-BC1206</f>
        <v>0</v>
      </c>
    </row>
    <row r="1207" spans="1:57" s="1" customFormat="1" ht="25.5" customHeight="1" x14ac:dyDescent="0.4">
      <c r="A1207" s="37" t="str">
        <f t="shared" si="470"/>
        <v>20Д</v>
      </c>
      <c r="B1207" s="183"/>
      <c r="C1207" s="41"/>
      <c r="D1207" s="184"/>
      <c r="E1207" s="282">
        <f>E1206</f>
        <v>20</v>
      </c>
      <c r="F1207" s="335"/>
      <c r="G1207" s="336"/>
      <c r="H1207" s="336"/>
      <c r="I1207" s="336"/>
      <c r="J1207" s="336"/>
      <c r="K1207" s="336"/>
      <c r="L1207" s="336"/>
      <c r="M1207" s="336"/>
      <c r="N1207" s="336"/>
      <c r="O1207" s="336"/>
      <c r="P1207" s="336"/>
      <c r="Q1207" s="336"/>
      <c r="R1207" s="336"/>
      <c r="S1207" s="336"/>
      <c r="T1207" s="336"/>
      <c r="U1207" s="336"/>
      <c r="V1207" s="336"/>
      <c r="W1207" s="336"/>
      <c r="X1207" s="98">
        <v>1</v>
      </c>
      <c r="Y1207" s="74">
        <v>1</v>
      </c>
      <c r="Z1207" s="75">
        <f t="shared" si="476"/>
        <v>0</v>
      </c>
      <c r="AA1207" s="107">
        <f>AA1206</f>
        <v>0</v>
      </c>
      <c r="AB1207" s="41"/>
      <c r="AC1207" s="184"/>
      <c r="AD1207" s="212">
        <f>AD1206</f>
        <v>20</v>
      </c>
      <c r="AE1207" s="387"/>
      <c r="AF1207" s="388"/>
      <c r="AG1207" s="388"/>
      <c r="AH1207" s="388"/>
      <c r="AI1207" s="388"/>
      <c r="AJ1207" s="388"/>
      <c r="AK1207" s="388"/>
      <c r="AL1207" s="388"/>
      <c r="AM1207" s="388"/>
      <c r="AN1207" s="388"/>
      <c r="AO1207" s="388"/>
      <c r="AP1207" s="388"/>
      <c r="AQ1207" s="388"/>
      <c r="AR1207" s="388"/>
      <c r="AS1207" s="388"/>
      <c r="AT1207" s="388"/>
      <c r="AU1207" s="388"/>
      <c r="AV1207" s="388"/>
      <c r="AW1207" s="388"/>
      <c r="AX1207" s="388"/>
      <c r="AY1207" s="388"/>
      <c r="AZ1207" s="388"/>
      <c r="BA1207" s="388"/>
      <c r="BB1207" s="389"/>
      <c r="BC1207" s="98">
        <v>1</v>
      </c>
      <c r="BD1207" s="74">
        <v>1</v>
      </c>
      <c r="BE1207" s="75">
        <f t="shared" si="477"/>
        <v>0</v>
      </c>
    </row>
    <row r="1208" spans="1:57" s="1" customFormat="1" ht="33" customHeight="1" x14ac:dyDescent="0.4">
      <c r="A1208" s="37" t="str">
        <f t="shared" si="470"/>
        <v>20Д</v>
      </c>
      <c r="B1208" s="183"/>
      <c r="C1208" s="41"/>
      <c r="D1208" s="184"/>
      <c r="E1208" s="282">
        <f t="shared" ref="E1208:E1217" si="478">E1207</f>
        <v>20</v>
      </c>
      <c r="F1208" s="335"/>
      <c r="G1208" s="336"/>
      <c r="H1208" s="336"/>
      <c r="I1208" s="336"/>
      <c r="J1208" s="336"/>
      <c r="K1208" s="336"/>
      <c r="L1208" s="336"/>
      <c r="M1208" s="336"/>
      <c r="N1208" s="336"/>
      <c r="O1208" s="336"/>
      <c r="P1208" s="336"/>
      <c r="Q1208" s="336"/>
      <c r="R1208" s="336"/>
      <c r="S1208" s="336"/>
      <c r="T1208" s="336"/>
      <c r="U1208" s="336"/>
      <c r="V1208" s="336"/>
      <c r="W1208" s="336"/>
      <c r="X1208" s="98">
        <v>1</v>
      </c>
      <c r="Y1208" s="74">
        <v>1</v>
      </c>
      <c r="Z1208" s="75">
        <f t="shared" si="476"/>
        <v>0</v>
      </c>
      <c r="AA1208" s="107">
        <f>AA1207</f>
        <v>0</v>
      </c>
      <c r="AB1208" s="41"/>
      <c r="AC1208" s="184"/>
      <c r="AD1208" s="212">
        <f t="shared" ref="AD1208:AD1217" si="479">AD1207</f>
        <v>20</v>
      </c>
      <c r="AE1208" s="387"/>
      <c r="AF1208" s="388"/>
      <c r="AG1208" s="388"/>
      <c r="AH1208" s="388"/>
      <c r="AI1208" s="388"/>
      <c r="AJ1208" s="388"/>
      <c r="AK1208" s="388"/>
      <c r="AL1208" s="388"/>
      <c r="AM1208" s="388"/>
      <c r="AN1208" s="388"/>
      <c r="AO1208" s="388"/>
      <c r="AP1208" s="388"/>
      <c r="AQ1208" s="388"/>
      <c r="AR1208" s="388"/>
      <c r="AS1208" s="388"/>
      <c r="AT1208" s="388"/>
      <c r="AU1208" s="388"/>
      <c r="AV1208" s="388"/>
      <c r="AW1208" s="388"/>
      <c r="AX1208" s="388"/>
      <c r="AY1208" s="388"/>
      <c r="AZ1208" s="388"/>
      <c r="BA1208" s="388"/>
      <c r="BB1208" s="389"/>
      <c r="BC1208" s="98">
        <v>1</v>
      </c>
      <c r="BD1208" s="74">
        <v>1</v>
      </c>
      <c r="BE1208" s="75">
        <f t="shared" si="477"/>
        <v>0</v>
      </c>
    </row>
    <row r="1209" spans="1:57" s="1" customFormat="1" ht="18" customHeight="1" x14ac:dyDescent="0.4">
      <c r="A1209" s="37" t="str">
        <f t="shared" si="470"/>
        <v>20Д</v>
      </c>
      <c r="B1209" s="183"/>
      <c r="C1209" s="41"/>
      <c r="D1209" s="184"/>
      <c r="E1209" s="282">
        <f t="shared" si="478"/>
        <v>20</v>
      </c>
      <c r="F1209" s="335"/>
      <c r="G1209" s="336"/>
      <c r="H1209" s="336"/>
      <c r="I1209" s="336"/>
      <c r="J1209" s="336"/>
      <c r="K1209" s="336"/>
      <c r="L1209" s="336"/>
      <c r="M1209" s="336"/>
      <c r="N1209" s="336"/>
      <c r="O1209" s="336"/>
      <c r="P1209" s="336"/>
      <c r="Q1209" s="336"/>
      <c r="R1209" s="336"/>
      <c r="S1209" s="336"/>
      <c r="T1209" s="336"/>
      <c r="U1209" s="336"/>
      <c r="V1209" s="336"/>
      <c r="W1209" s="336"/>
      <c r="X1209" s="98">
        <v>1</v>
      </c>
      <c r="Y1209" s="74">
        <v>1</v>
      </c>
      <c r="Z1209" s="75">
        <f t="shared" si="476"/>
        <v>0</v>
      </c>
      <c r="AA1209" s="107">
        <f t="shared" ref="AA1209:AA1217" si="480">AA1208</f>
        <v>0</v>
      </c>
      <c r="AB1209" s="41"/>
      <c r="AC1209" s="184"/>
      <c r="AD1209" s="212">
        <f t="shared" si="479"/>
        <v>20</v>
      </c>
      <c r="AE1209" s="387"/>
      <c r="AF1209" s="388"/>
      <c r="AG1209" s="388"/>
      <c r="AH1209" s="388"/>
      <c r="AI1209" s="388"/>
      <c r="AJ1209" s="388"/>
      <c r="AK1209" s="388"/>
      <c r="AL1209" s="388"/>
      <c r="AM1209" s="388"/>
      <c r="AN1209" s="388"/>
      <c r="AO1209" s="388"/>
      <c r="AP1209" s="388"/>
      <c r="AQ1209" s="388"/>
      <c r="AR1209" s="388"/>
      <c r="AS1209" s="388"/>
      <c r="AT1209" s="388"/>
      <c r="AU1209" s="388"/>
      <c r="AV1209" s="388"/>
      <c r="AW1209" s="388"/>
      <c r="AX1209" s="388"/>
      <c r="AY1209" s="388"/>
      <c r="AZ1209" s="388"/>
      <c r="BA1209" s="388"/>
      <c r="BB1209" s="389"/>
      <c r="BC1209" s="98">
        <v>1</v>
      </c>
      <c r="BD1209" s="74">
        <v>1</v>
      </c>
      <c r="BE1209" s="75">
        <f t="shared" si="477"/>
        <v>0</v>
      </c>
    </row>
    <row r="1210" spans="1:57" s="1" customFormat="1" ht="18" customHeight="1" x14ac:dyDescent="0.4">
      <c r="A1210" s="37" t="str">
        <f t="shared" si="470"/>
        <v>20Д</v>
      </c>
      <c r="B1210" s="183"/>
      <c r="C1210" s="41"/>
      <c r="D1210" s="184"/>
      <c r="E1210" s="282">
        <f t="shared" si="478"/>
        <v>20</v>
      </c>
      <c r="F1210" s="335"/>
      <c r="G1210" s="336"/>
      <c r="H1210" s="336"/>
      <c r="I1210" s="336"/>
      <c r="J1210" s="336"/>
      <c r="K1210" s="336"/>
      <c r="L1210" s="336"/>
      <c r="M1210" s="336"/>
      <c r="N1210" s="336"/>
      <c r="O1210" s="336"/>
      <c r="P1210" s="336"/>
      <c r="Q1210" s="336"/>
      <c r="R1210" s="336"/>
      <c r="S1210" s="336"/>
      <c r="T1210" s="336"/>
      <c r="U1210" s="336"/>
      <c r="V1210" s="336"/>
      <c r="W1210" s="336"/>
      <c r="X1210" s="98">
        <v>1</v>
      </c>
      <c r="Y1210" s="74">
        <v>1</v>
      </c>
      <c r="Z1210" s="75">
        <f t="shared" si="476"/>
        <v>0</v>
      </c>
      <c r="AA1210" s="107">
        <f t="shared" si="480"/>
        <v>0</v>
      </c>
      <c r="AB1210" s="41"/>
      <c r="AC1210" s="184"/>
      <c r="AD1210" s="212">
        <f t="shared" si="479"/>
        <v>20</v>
      </c>
      <c r="AE1210" s="387"/>
      <c r="AF1210" s="388"/>
      <c r="AG1210" s="388"/>
      <c r="AH1210" s="388"/>
      <c r="AI1210" s="388"/>
      <c r="AJ1210" s="388"/>
      <c r="AK1210" s="388"/>
      <c r="AL1210" s="388"/>
      <c r="AM1210" s="388"/>
      <c r="AN1210" s="388"/>
      <c r="AO1210" s="388"/>
      <c r="AP1210" s="388"/>
      <c r="AQ1210" s="388"/>
      <c r="AR1210" s="388"/>
      <c r="AS1210" s="388"/>
      <c r="AT1210" s="388"/>
      <c r="AU1210" s="388"/>
      <c r="AV1210" s="388"/>
      <c r="AW1210" s="388"/>
      <c r="AX1210" s="388"/>
      <c r="AY1210" s="388"/>
      <c r="AZ1210" s="388"/>
      <c r="BA1210" s="388"/>
      <c r="BB1210" s="389"/>
      <c r="BC1210" s="98">
        <v>1</v>
      </c>
      <c r="BD1210" s="74">
        <v>1</v>
      </c>
      <c r="BE1210" s="75">
        <f t="shared" si="477"/>
        <v>0</v>
      </c>
    </row>
    <row r="1211" spans="1:57" s="1" customFormat="1" ht="18" customHeight="1" x14ac:dyDescent="0.4">
      <c r="A1211" s="37" t="str">
        <f t="shared" si="470"/>
        <v>20Д</v>
      </c>
      <c r="B1211" s="183"/>
      <c r="C1211" s="41"/>
      <c r="D1211" s="184"/>
      <c r="E1211" s="282">
        <f t="shared" si="478"/>
        <v>20</v>
      </c>
      <c r="F1211" s="335"/>
      <c r="G1211" s="336"/>
      <c r="H1211" s="336"/>
      <c r="I1211" s="336"/>
      <c r="J1211" s="336"/>
      <c r="K1211" s="336"/>
      <c r="L1211" s="336"/>
      <c r="M1211" s="336"/>
      <c r="N1211" s="336"/>
      <c r="O1211" s="336"/>
      <c r="P1211" s="336"/>
      <c r="Q1211" s="336"/>
      <c r="R1211" s="336"/>
      <c r="S1211" s="336"/>
      <c r="T1211" s="336"/>
      <c r="U1211" s="336"/>
      <c r="V1211" s="336"/>
      <c r="W1211" s="336"/>
      <c r="X1211" s="98">
        <v>1</v>
      </c>
      <c r="Y1211" s="74">
        <v>1</v>
      </c>
      <c r="Z1211" s="75">
        <f t="shared" si="476"/>
        <v>0</v>
      </c>
      <c r="AA1211" s="107">
        <f t="shared" si="480"/>
        <v>0</v>
      </c>
      <c r="AB1211" s="41"/>
      <c r="AC1211" s="184"/>
      <c r="AD1211" s="212">
        <f t="shared" si="479"/>
        <v>20</v>
      </c>
      <c r="AE1211" s="387"/>
      <c r="AF1211" s="388"/>
      <c r="AG1211" s="388"/>
      <c r="AH1211" s="388"/>
      <c r="AI1211" s="388"/>
      <c r="AJ1211" s="388"/>
      <c r="AK1211" s="388"/>
      <c r="AL1211" s="388"/>
      <c r="AM1211" s="388"/>
      <c r="AN1211" s="388"/>
      <c r="AO1211" s="388"/>
      <c r="AP1211" s="388"/>
      <c r="AQ1211" s="388"/>
      <c r="AR1211" s="388"/>
      <c r="AS1211" s="388"/>
      <c r="AT1211" s="388"/>
      <c r="AU1211" s="388"/>
      <c r="AV1211" s="388"/>
      <c r="AW1211" s="388"/>
      <c r="AX1211" s="388"/>
      <c r="AY1211" s="388"/>
      <c r="AZ1211" s="388"/>
      <c r="BA1211" s="388"/>
      <c r="BB1211" s="389"/>
      <c r="BC1211" s="98">
        <v>1</v>
      </c>
      <c r="BD1211" s="74">
        <v>1</v>
      </c>
      <c r="BE1211" s="75">
        <f t="shared" si="477"/>
        <v>0</v>
      </c>
    </row>
    <row r="1212" spans="1:57" s="1" customFormat="1" ht="18" customHeight="1" x14ac:dyDescent="0.4">
      <c r="A1212" s="37" t="str">
        <f t="shared" si="470"/>
        <v>20Д</v>
      </c>
      <c r="B1212" s="183"/>
      <c r="C1212" s="41"/>
      <c r="D1212" s="184"/>
      <c r="E1212" s="282">
        <f t="shared" si="478"/>
        <v>20</v>
      </c>
      <c r="F1212" s="335"/>
      <c r="G1212" s="336"/>
      <c r="H1212" s="336"/>
      <c r="I1212" s="336"/>
      <c r="J1212" s="336"/>
      <c r="K1212" s="336"/>
      <c r="L1212" s="336"/>
      <c r="M1212" s="336"/>
      <c r="N1212" s="336"/>
      <c r="O1212" s="336"/>
      <c r="P1212" s="336"/>
      <c r="Q1212" s="336"/>
      <c r="R1212" s="336"/>
      <c r="S1212" s="336"/>
      <c r="T1212" s="336"/>
      <c r="U1212" s="336"/>
      <c r="V1212" s="336"/>
      <c r="W1212" s="336"/>
      <c r="X1212" s="98">
        <v>1</v>
      </c>
      <c r="Y1212" s="74">
        <v>1</v>
      </c>
      <c r="Z1212" s="75">
        <f t="shared" si="476"/>
        <v>0</v>
      </c>
      <c r="AA1212" s="107">
        <f t="shared" si="480"/>
        <v>0</v>
      </c>
      <c r="AB1212" s="41"/>
      <c r="AC1212" s="184"/>
      <c r="AD1212" s="212">
        <f t="shared" si="479"/>
        <v>20</v>
      </c>
      <c r="AE1212" s="387"/>
      <c r="AF1212" s="388"/>
      <c r="AG1212" s="388"/>
      <c r="AH1212" s="388"/>
      <c r="AI1212" s="388"/>
      <c r="AJ1212" s="388"/>
      <c r="AK1212" s="388"/>
      <c r="AL1212" s="388"/>
      <c r="AM1212" s="388"/>
      <c r="AN1212" s="388"/>
      <c r="AO1212" s="388"/>
      <c r="AP1212" s="388"/>
      <c r="AQ1212" s="388"/>
      <c r="AR1212" s="388"/>
      <c r="AS1212" s="388"/>
      <c r="AT1212" s="388"/>
      <c r="AU1212" s="388"/>
      <c r="AV1212" s="388"/>
      <c r="AW1212" s="388"/>
      <c r="AX1212" s="388"/>
      <c r="AY1212" s="388"/>
      <c r="AZ1212" s="388"/>
      <c r="BA1212" s="388"/>
      <c r="BB1212" s="389"/>
      <c r="BC1212" s="98">
        <v>1</v>
      </c>
      <c r="BD1212" s="74">
        <v>1</v>
      </c>
      <c r="BE1212" s="75">
        <f t="shared" si="477"/>
        <v>0</v>
      </c>
    </row>
    <row r="1213" spans="1:57" s="1" customFormat="1" ht="18" customHeight="1" x14ac:dyDescent="0.4">
      <c r="A1213" s="37" t="str">
        <f t="shared" si="470"/>
        <v>20Д</v>
      </c>
      <c r="B1213" s="183"/>
      <c r="C1213" s="41"/>
      <c r="D1213" s="184"/>
      <c r="E1213" s="282">
        <f t="shared" si="478"/>
        <v>20</v>
      </c>
      <c r="F1213" s="335"/>
      <c r="G1213" s="336"/>
      <c r="H1213" s="336"/>
      <c r="I1213" s="336"/>
      <c r="J1213" s="336"/>
      <c r="K1213" s="336"/>
      <c r="L1213" s="336"/>
      <c r="M1213" s="336"/>
      <c r="N1213" s="336"/>
      <c r="O1213" s="336"/>
      <c r="P1213" s="336"/>
      <c r="Q1213" s="336"/>
      <c r="R1213" s="336"/>
      <c r="S1213" s="336"/>
      <c r="T1213" s="336"/>
      <c r="U1213" s="336"/>
      <c r="V1213" s="336"/>
      <c r="W1213" s="336"/>
      <c r="X1213" s="98">
        <v>1</v>
      </c>
      <c r="Y1213" s="74">
        <v>1</v>
      </c>
      <c r="Z1213" s="75">
        <f t="shared" si="476"/>
        <v>0</v>
      </c>
      <c r="AA1213" s="107">
        <f t="shared" si="480"/>
        <v>0</v>
      </c>
      <c r="AB1213" s="41"/>
      <c r="AC1213" s="184"/>
      <c r="AD1213" s="212">
        <f t="shared" si="479"/>
        <v>20</v>
      </c>
      <c r="AE1213" s="387"/>
      <c r="AF1213" s="388"/>
      <c r="AG1213" s="388"/>
      <c r="AH1213" s="388"/>
      <c r="AI1213" s="388"/>
      <c r="AJ1213" s="388"/>
      <c r="AK1213" s="388"/>
      <c r="AL1213" s="388"/>
      <c r="AM1213" s="388"/>
      <c r="AN1213" s="388"/>
      <c r="AO1213" s="388"/>
      <c r="AP1213" s="388"/>
      <c r="AQ1213" s="388"/>
      <c r="AR1213" s="388"/>
      <c r="AS1213" s="388"/>
      <c r="AT1213" s="388"/>
      <c r="AU1213" s="388"/>
      <c r="AV1213" s="388"/>
      <c r="AW1213" s="388"/>
      <c r="AX1213" s="388"/>
      <c r="AY1213" s="388"/>
      <c r="AZ1213" s="388"/>
      <c r="BA1213" s="388"/>
      <c r="BB1213" s="389"/>
      <c r="BC1213" s="98">
        <v>1</v>
      </c>
      <c r="BD1213" s="74">
        <v>1</v>
      </c>
      <c r="BE1213" s="75">
        <f t="shared" si="477"/>
        <v>0</v>
      </c>
    </row>
    <row r="1214" spans="1:57" s="1" customFormat="1" ht="18" customHeight="1" x14ac:dyDescent="0.4">
      <c r="A1214" s="37" t="str">
        <f t="shared" si="470"/>
        <v>20Д</v>
      </c>
      <c r="B1214" s="183"/>
      <c r="C1214" s="41"/>
      <c r="D1214" s="184"/>
      <c r="E1214" s="282">
        <f t="shared" si="478"/>
        <v>20</v>
      </c>
      <c r="F1214" s="335"/>
      <c r="G1214" s="336"/>
      <c r="H1214" s="336"/>
      <c r="I1214" s="336"/>
      <c r="J1214" s="336"/>
      <c r="K1214" s="336"/>
      <c r="L1214" s="336"/>
      <c r="M1214" s="336"/>
      <c r="N1214" s="336"/>
      <c r="O1214" s="336"/>
      <c r="P1214" s="336"/>
      <c r="Q1214" s="336"/>
      <c r="R1214" s="336"/>
      <c r="S1214" s="336"/>
      <c r="T1214" s="336"/>
      <c r="U1214" s="336"/>
      <c r="V1214" s="336"/>
      <c r="W1214" s="336"/>
      <c r="X1214" s="98">
        <v>1</v>
      </c>
      <c r="Y1214" s="74">
        <v>1</v>
      </c>
      <c r="Z1214" s="75">
        <f t="shared" si="476"/>
        <v>0</v>
      </c>
      <c r="AA1214" s="107">
        <f t="shared" si="480"/>
        <v>0</v>
      </c>
      <c r="AB1214" s="41"/>
      <c r="AC1214" s="184"/>
      <c r="AD1214" s="212">
        <f t="shared" si="479"/>
        <v>20</v>
      </c>
      <c r="AE1214" s="387"/>
      <c r="AF1214" s="388"/>
      <c r="AG1214" s="388"/>
      <c r="AH1214" s="388"/>
      <c r="AI1214" s="388"/>
      <c r="AJ1214" s="388"/>
      <c r="AK1214" s="388"/>
      <c r="AL1214" s="388"/>
      <c r="AM1214" s="388"/>
      <c r="AN1214" s="388"/>
      <c r="AO1214" s="388"/>
      <c r="AP1214" s="388"/>
      <c r="AQ1214" s="388"/>
      <c r="AR1214" s="388"/>
      <c r="AS1214" s="388"/>
      <c r="AT1214" s="388"/>
      <c r="AU1214" s="388"/>
      <c r="AV1214" s="388"/>
      <c r="AW1214" s="388"/>
      <c r="AX1214" s="388"/>
      <c r="AY1214" s="388"/>
      <c r="AZ1214" s="388"/>
      <c r="BA1214" s="388"/>
      <c r="BB1214" s="389"/>
      <c r="BC1214" s="98">
        <v>1</v>
      </c>
      <c r="BD1214" s="74">
        <v>1</v>
      </c>
      <c r="BE1214" s="75">
        <f t="shared" si="477"/>
        <v>0</v>
      </c>
    </row>
    <row r="1215" spans="1:57" s="1" customFormat="1" ht="18" customHeight="1" x14ac:dyDescent="0.4">
      <c r="A1215" s="37" t="str">
        <f t="shared" si="470"/>
        <v>20Д</v>
      </c>
      <c r="B1215" s="183"/>
      <c r="C1215" s="41"/>
      <c r="D1215" s="184"/>
      <c r="E1215" s="282">
        <f t="shared" si="478"/>
        <v>20</v>
      </c>
      <c r="F1215" s="335"/>
      <c r="G1215" s="336"/>
      <c r="H1215" s="336"/>
      <c r="I1215" s="336"/>
      <c r="J1215" s="336"/>
      <c r="K1215" s="336"/>
      <c r="L1215" s="336"/>
      <c r="M1215" s="336"/>
      <c r="N1215" s="336"/>
      <c r="O1215" s="336"/>
      <c r="P1215" s="336"/>
      <c r="Q1215" s="336"/>
      <c r="R1215" s="336"/>
      <c r="S1215" s="336"/>
      <c r="T1215" s="336"/>
      <c r="U1215" s="336"/>
      <c r="V1215" s="336"/>
      <c r="W1215" s="336"/>
      <c r="X1215" s="98">
        <v>1</v>
      </c>
      <c r="Y1215" s="74">
        <v>1</v>
      </c>
      <c r="Z1215" s="75">
        <f t="shared" si="476"/>
        <v>0</v>
      </c>
      <c r="AA1215" s="107">
        <f t="shared" si="480"/>
        <v>0</v>
      </c>
      <c r="AB1215" s="41"/>
      <c r="AC1215" s="184"/>
      <c r="AD1215" s="212">
        <f t="shared" si="479"/>
        <v>20</v>
      </c>
      <c r="AE1215" s="387"/>
      <c r="AF1215" s="388"/>
      <c r="AG1215" s="388"/>
      <c r="AH1215" s="388"/>
      <c r="AI1215" s="388"/>
      <c r="AJ1215" s="388"/>
      <c r="AK1215" s="388"/>
      <c r="AL1215" s="388"/>
      <c r="AM1215" s="388"/>
      <c r="AN1215" s="388"/>
      <c r="AO1215" s="388"/>
      <c r="AP1215" s="388"/>
      <c r="AQ1215" s="388"/>
      <c r="AR1215" s="388"/>
      <c r="AS1215" s="388"/>
      <c r="AT1215" s="388"/>
      <c r="AU1215" s="388"/>
      <c r="AV1215" s="388"/>
      <c r="AW1215" s="388"/>
      <c r="AX1215" s="388"/>
      <c r="AY1215" s="388"/>
      <c r="AZ1215" s="388"/>
      <c r="BA1215" s="388"/>
      <c r="BB1215" s="389"/>
      <c r="BC1215" s="98">
        <v>1</v>
      </c>
      <c r="BD1215" s="74">
        <v>1</v>
      </c>
      <c r="BE1215" s="75">
        <f t="shared" si="477"/>
        <v>0</v>
      </c>
    </row>
    <row r="1216" spans="1:57" s="1" customFormat="1" ht="18" customHeight="1" x14ac:dyDescent="0.4">
      <c r="A1216" s="37" t="str">
        <f t="shared" si="470"/>
        <v>20Д</v>
      </c>
      <c r="B1216" s="183"/>
      <c r="C1216" s="41"/>
      <c r="D1216" s="184"/>
      <c r="E1216" s="282">
        <f t="shared" si="478"/>
        <v>20</v>
      </c>
      <c r="F1216" s="335"/>
      <c r="G1216" s="336"/>
      <c r="H1216" s="336"/>
      <c r="I1216" s="336"/>
      <c r="J1216" s="336"/>
      <c r="K1216" s="336"/>
      <c r="L1216" s="336"/>
      <c r="M1216" s="336"/>
      <c r="N1216" s="336"/>
      <c r="O1216" s="336"/>
      <c r="P1216" s="336"/>
      <c r="Q1216" s="336"/>
      <c r="R1216" s="336"/>
      <c r="S1216" s="336"/>
      <c r="T1216" s="336"/>
      <c r="U1216" s="336"/>
      <c r="V1216" s="336"/>
      <c r="W1216" s="336"/>
      <c r="X1216" s="98">
        <v>1</v>
      </c>
      <c r="Y1216" s="74">
        <v>1</v>
      </c>
      <c r="Z1216" s="75">
        <f t="shared" si="476"/>
        <v>0</v>
      </c>
      <c r="AA1216" s="107">
        <f t="shared" si="480"/>
        <v>0</v>
      </c>
      <c r="AB1216" s="41"/>
      <c r="AC1216" s="184"/>
      <c r="AD1216" s="212">
        <f t="shared" si="479"/>
        <v>20</v>
      </c>
      <c r="AE1216" s="387"/>
      <c r="AF1216" s="388"/>
      <c r="AG1216" s="388"/>
      <c r="AH1216" s="388"/>
      <c r="AI1216" s="388"/>
      <c r="AJ1216" s="388"/>
      <c r="AK1216" s="388"/>
      <c r="AL1216" s="388"/>
      <c r="AM1216" s="388"/>
      <c r="AN1216" s="388"/>
      <c r="AO1216" s="388"/>
      <c r="AP1216" s="388"/>
      <c r="AQ1216" s="388"/>
      <c r="AR1216" s="388"/>
      <c r="AS1216" s="388"/>
      <c r="AT1216" s="388"/>
      <c r="AU1216" s="388"/>
      <c r="AV1216" s="388"/>
      <c r="AW1216" s="388"/>
      <c r="AX1216" s="388"/>
      <c r="AY1216" s="388"/>
      <c r="AZ1216" s="388"/>
      <c r="BA1216" s="388"/>
      <c r="BB1216" s="389"/>
      <c r="BC1216" s="98">
        <v>1</v>
      </c>
      <c r="BD1216" s="74">
        <v>1</v>
      </c>
      <c r="BE1216" s="75">
        <f t="shared" si="477"/>
        <v>0</v>
      </c>
    </row>
    <row r="1217" spans="1:57" s="1" customFormat="1" ht="18" customHeight="1" thickBot="1" x14ac:dyDescent="0.45">
      <c r="A1217" s="37" t="str">
        <f t="shared" si="470"/>
        <v>20Д</v>
      </c>
      <c r="B1217" s="183"/>
      <c r="C1217" s="41"/>
      <c r="D1217" s="184"/>
      <c r="E1217" s="283">
        <f t="shared" si="478"/>
        <v>20</v>
      </c>
      <c r="F1217" s="339"/>
      <c r="G1217" s="340"/>
      <c r="H1217" s="340"/>
      <c r="I1217" s="340"/>
      <c r="J1217" s="340"/>
      <c r="K1217" s="340"/>
      <c r="L1217" s="340"/>
      <c r="M1217" s="340"/>
      <c r="N1217" s="340"/>
      <c r="O1217" s="340"/>
      <c r="P1217" s="340"/>
      <c r="Q1217" s="340"/>
      <c r="R1217" s="340"/>
      <c r="S1217" s="340"/>
      <c r="T1217" s="340"/>
      <c r="U1217" s="340"/>
      <c r="V1217" s="340"/>
      <c r="W1217" s="340"/>
      <c r="X1217" s="99">
        <v>1</v>
      </c>
      <c r="Y1217" s="76">
        <v>1</v>
      </c>
      <c r="Z1217" s="77">
        <f t="shared" si="476"/>
        <v>0</v>
      </c>
      <c r="AA1217" s="107">
        <f t="shared" si="480"/>
        <v>0</v>
      </c>
      <c r="AB1217" s="41"/>
      <c r="AC1217" s="184"/>
      <c r="AD1217" s="211">
        <f t="shared" si="479"/>
        <v>20</v>
      </c>
      <c r="AE1217" s="410"/>
      <c r="AF1217" s="411"/>
      <c r="AG1217" s="411"/>
      <c r="AH1217" s="411"/>
      <c r="AI1217" s="411"/>
      <c r="AJ1217" s="411"/>
      <c r="AK1217" s="411"/>
      <c r="AL1217" s="411"/>
      <c r="AM1217" s="411"/>
      <c r="AN1217" s="411"/>
      <c r="AO1217" s="411"/>
      <c r="AP1217" s="411"/>
      <c r="AQ1217" s="411"/>
      <c r="AR1217" s="411"/>
      <c r="AS1217" s="411"/>
      <c r="AT1217" s="411"/>
      <c r="AU1217" s="411"/>
      <c r="AV1217" s="411"/>
      <c r="AW1217" s="411"/>
      <c r="AX1217" s="411"/>
      <c r="AY1217" s="411"/>
      <c r="AZ1217" s="411"/>
      <c r="BA1217" s="411"/>
      <c r="BB1217" s="412"/>
      <c r="BC1217" s="99">
        <v>1</v>
      </c>
      <c r="BD1217" s="76">
        <v>1</v>
      </c>
      <c r="BE1217" s="75">
        <f t="shared" si="477"/>
        <v>0</v>
      </c>
    </row>
    <row r="1218" spans="1:57" s="1" customFormat="1" ht="23.25" customHeight="1" thickBot="1" x14ac:dyDescent="0.45">
      <c r="A1218" s="37" t="str">
        <f t="shared" si="470"/>
        <v>20Д</v>
      </c>
      <c r="B1218" s="193"/>
      <c r="C1218" s="47"/>
      <c r="D1218" s="47"/>
      <c r="E1218" s="47"/>
      <c r="F1218" s="78"/>
      <c r="G1218" s="78"/>
      <c r="H1218" s="78"/>
      <c r="I1218" s="80"/>
      <c r="J1218" s="80"/>
      <c r="K1218" s="80"/>
      <c r="L1218" s="80"/>
      <c r="M1218" s="80"/>
      <c r="N1218" s="80"/>
      <c r="O1218" s="78"/>
      <c r="P1218" s="81"/>
      <c r="Q1218" s="81"/>
      <c r="R1218" s="81"/>
      <c r="S1218" s="81"/>
      <c r="T1218" s="81"/>
      <c r="U1218" s="82"/>
      <c r="V1218" s="82"/>
      <c r="W1218" s="86"/>
      <c r="X1218" s="194"/>
      <c r="Y1218" s="83"/>
      <c r="Z1218" s="83"/>
      <c r="AA1218" s="78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84"/>
      <c r="AN1218" s="47"/>
      <c r="AO1218" s="78"/>
      <c r="AP1218" s="78"/>
      <c r="AQ1218" s="78"/>
      <c r="AR1218" s="84"/>
      <c r="AS1218" s="78"/>
      <c r="AT1218" s="85"/>
      <c r="AU1218" s="78"/>
      <c r="AV1218" s="83"/>
      <c r="AW1218" s="83"/>
      <c r="AX1218" s="78"/>
      <c r="AY1218" s="78"/>
      <c r="AZ1218" s="78"/>
      <c r="BA1218" s="78"/>
      <c r="BB1218" s="78"/>
      <c r="BC1218" s="78"/>
      <c r="BD1218" s="79"/>
      <c r="BE1218" s="79"/>
    </row>
    <row r="1219" spans="1:57" s="1" customFormat="1" ht="21.6" customHeight="1" thickBot="1" x14ac:dyDescent="0.45">
      <c r="A1219" s="37" t="s">
        <v>185</v>
      </c>
      <c r="B1219" s="59"/>
      <c r="C1219" s="51"/>
      <c r="D1219" s="51"/>
      <c r="E1219" s="51"/>
      <c r="F1219" s="158" t="s">
        <v>220</v>
      </c>
      <c r="G1219" s="51"/>
      <c r="H1219" s="51"/>
      <c r="I1219" s="156"/>
      <c r="J1219" s="156"/>
      <c r="K1219" s="156"/>
      <c r="L1219" s="156"/>
      <c r="M1219" s="156"/>
      <c r="N1219" s="156"/>
      <c r="O1219" s="91"/>
      <c r="P1219" s="52"/>
      <c r="Q1219" s="52"/>
      <c r="R1219" s="52"/>
      <c r="S1219" s="52"/>
      <c r="T1219" s="52"/>
      <c r="U1219" s="157"/>
      <c r="V1219" s="157"/>
      <c r="W1219" s="94"/>
      <c r="X1219" s="94"/>
      <c r="Y1219" s="51"/>
      <c r="Z1219" s="51"/>
      <c r="AA1219" s="157">
        <f>AA1202</f>
        <v>1</v>
      </c>
      <c r="AB1219" s="157">
        <f t="shared" ref="AB1219:AF1219" si="481">AB1202</f>
        <v>2</v>
      </c>
      <c r="AC1219" s="157">
        <f t="shared" si="481"/>
        <v>3</v>
      </c>
      <c r="AD1219" s="157">
        <f t="shared" si="481"/>
        <v>4</v>
      </c>
      <c r="AE1219" s="157">
        <f t="shared" si="481"/>
        <v>5</v>
      </c>
      <c r="AF1219" s="157">
        <f t="shared" si="481"/>
        <v>6</v>
      </c>
      <c r="AG1219" s="162" t="s">
        <v>123</v>
      </c>
      <c r="AH1219" s="162" t="s">
        <v>124</v>
      </c>
      <c r="AI1219" s="162" t="s">
        <v>125</v>
      </c>
      <c r="AJ1219" s="91" t="s">
        <v>126</v>
      </c>
      <c r="AK1219" s="198" t="s">
        <v>136</v>
      </c>
      <c r="AL1219" s="198" t="s">
        <v>137</v>
      </c>
      <c r="AM1219" s="198" t="s">
        <v>138</v>
      </c>
      <c r="AN1219" s="91"/>
      <c r="AO1219" s="91"/>
      <c r="AP1219" s="91"/>
      <c r="AQ1219" s="91"/>
      <c r="AR1219" s="91"/>
      <c r="AS1219" s="91"/>
      <c r="AT1219" s="91"/>
      <c r="AU1219" s="91"/>
      <c r="AV1219" s="91"/>
      <c r="AW1219" s="91"/>
      <c r="AX1219" s="91"/>
      <c r="AY1219" s="91"/>
      <c r="AZ1219" s="91"/>
      <c r="BA1219" s="91"/>
      <c r="BB1219" s="91"/>
      <c r="BC1219" s="91"/>
      <c r="BD1219" s="91"/>
      <c r="BE1219" s="91"/>
    </row>
    <row r="1220" spans="1:57" s="1" customFormat="1" ht="21.6" customHeight="1" x14ac:dyDescent="0.4">
      <c r="A1220" s="37" t="str">
        <f>A1219</f>
        <v>20Н</v>
      </c>
      <c r="B1220" s="12">
        <f>B1201</f>
        <v>20</v>
      </c>
      <c r="C1220" s="97"/>
      <c r="D1220" s="97">
        <v>1</v>
      </c>
      <c r="E1220" s="29"/>
      <c r="F1220" s="151" t="str">
        <f>IFERROR(VLOOKUP($G1220,нормы!$A$14:$BC$57,2,0),"")</f>
        <v/>
      </c>
      <c r="G1220" s="93"/>
      <c r="H1220" s="54">
        <f>IF(C1220=1,"Кульков С.А.", IF(C1220=2,"Чудаков А.А.",IF(C1220=3,"Королев В.Н.",IF(C1220=4,"Николашин М.П.",IF(C1220=5," Кульков С.А.",IF(C1220=6,"А.А. Чудаков",IF(C1220=7,"В.Н. Королев",IF(C1220=8,"М.П. Николашин",0))))))))</f>
        <v>0</v>
      </c>
      <c r="I1220" s="88" t="s">
        <v>84</v>
      </c>
      <c r="J1220" s="332"/>
      <c r="K1220" s="30">
        <f>IFERROR(VLOOKUP($G1220,[1]нормы!$A$21:$BC$151,15,0),"")</f>
        <v>0</v>
      </c>
      <c r="L1220" s="31">
        <f>IFERROR(VLOOKUP($G1220,[1]нормы!$A$21:$BC$151,17,0),"")</f>
        <v>0</v>
      </c>
      <c r="M1220" s="310">
        <f>IFERROR(VLOOKUP($G1220,[1]нормы!$A$21:$BC$151,27,0),"")</f>
        <v>0</v>
      </c>
      <c r="N1220" s="311" t="str">
        <f>IFERROR(Y1220/Y1226*(1.1*J1220*I1225),"")</f>
        <v/>
      </c>
      <c r="O1220" s="300">
        <f>IFERROR(VLOOKUP($G1220,[1]нормы!$A$21:$BC$151,21,0),"")</f>
        <v>0</v>
      </c>
      <c r="P1220" s="35">
        <f>IFERROR(VLOOKUP($G1220,[1]нормы!$A$21:$BC$151,19,0),"")</f>
        <v>0</v>
      </c>
      <c r="Q1220" s="35">
        <f>IFERROR(VLOOKUP($G1220,[1]нормы!$A$21:$BC$151,23,0),"")</f>
        <v>0</v>
      </c>
      <c r="R1220" s="231">
        <f>IFERROR(VLOOKUP($G1220,[1]нормы!$A$21:$BC$151,29,0),"")</f>
        <v>0</v>
      </c>
      <c r="S1220" s="35">
        <f>IFERROR(VLOOKUP($G1220,[1]нормы!$A$21:$BC$151,31,0),"")</f>
        <v>0</v>
      </c>
      <c r="T1220" s="32">
        <f>IFERROR(VLOOKUP($G1220,[1]нормы!$A$21:$BC$151,25,0),"")</f>
        <v>0</v>
      </c>
      <c r="U1220" s="232" t="str">
        <f>IFERROR(W1220/(((100*Y1220/Y1226)*I1225)/100),"")</f>
        <v/>
      </c>
      <c r="V1220" s="234" t="str">
        <f>IFERROR(VLOOKUP($G1220,нормы!$A$14:$BC$57,38,0),"")</f>
        <v/>
      </c>
      <c r="W1220" s="136"/>
      <c r="X1220" s="236"/>
      <c r="Y1220" s="152" t="str">
        <f>IFERROR(VLOOKUP($G1220,нормы!$A$14:$BC$57,42,0)*W1220,"")</f>
        <v/>
      </c>
      <c r="Z1220" s="163">
        <f>IFERROR(VLOOKUP($G1220,нормы!$A$14:$BC$57,14,0)*W1220/1000,0)</f>
        <v>0</v>
      </c>
      <c r="AA1220" s="33"/>
      <c r="AB1220" s="36"/>
      <c r="AC1220" s="36"/>
      <c r="AD1220" s="36"/>
      <c r="AE1220" s="34"/>
      <c r="AF1220" s="159"/>
      <c r="AG1220" s="390"/>
      <c r="AH1220" s="393"/>
      <c r="AI1220" s="396"/>
      <c r="AJ1220" s="407">
        <f>AG1220+AH1220</f>
        <v>0</v>
      </c>
      <c r="AK1220" s="359"/>
      <c r="AL1220" s="359"/>
      <c r="AM1220" s="359"/>
      <c r="AN1220" s="287">
        <f>IFERROR(Y1220*AJ1220/Y1226,)</f>
        <v>0</v>
      </c>
      <c r="AO1220" s="197" t="str">
        <f>IFERROR(VLOOKUP($G1220,нормы!$A$14:$BC$57,53,0)*$W1220,"")</f>
        <v/>
      </c>
      <c r="AP1220" s="288">
        <f>IFERROR(Y1220*AI1220/Y1226,)</f>
        <v>0</v>
      </c>
      <c r="AQ1220" s="197" t="str">
        <f>IFERROR(VLOOKUP($G1220,нормы!$A$14:$BC$57,54,0)*$W1220,"")</f>
        <v/>
      </c>
      <c r="AR1220" s="288">
        <f>IFERROR(AS1220/SUM(AS1220:AS1225)*AL1220,0)</f>
        <v>0</v>
      </c>
      <c r="AS1220" s="197" t="str">
        <f>IFERROR(VLOOKUP($G1220,нормы!$A$14:$BC$57,55,0)*W1220,"")</f>
        <v/>
      </c>
      <c r="AT1220" s="288">
        <f>IFERROR(AU1220/SUM(AU1220:AU1225)*AM1220,0)</f>
        <v>0</v>
      </c>
      <c r="AU1220" s="197" t="str">
        <f>IFERROR(VLOOKUP($G1220,нормы!$A$14:$BI$57,56,0)*W1220,"")</f>
        <v/>
      </c>
      <c r="AV1220" s="288">
        <f>IFERROR(AW1220/SUM(AW1220:AW1225)*AK1220,0)</f>
        <v>0</v>
      </c>
      <c r="AW1220" s="202" t="str">
        <f>IFERROR(VLOOKUP($G1220,нормы!$A$14:$BI$57,57,0)*W1220,"")</f>
        <v/>
      </c>
      <c r="AX1220" s="33"/>
      <c r="AY1220" s="203" t="str">
        <f>IFERROR(VLOOKUP($G1220,нормы!$A$14:$BI$57,58,0)*W1220,"")</f>
        <v/>
      </c>
      <c r="AZ1220" s="204"/>
      <c r="BA1220" s="200" t="str">
        <f>IFERROR(VLOOKUP($G1220,нормы!$A$14:$BI$57,61,0)*$W1220,"")</f>
        <v/>
      </c>
      <c r="BB1220" s="33"/>
      <c r="BC1220" s="203" t="str">
        <f>IFERROR(VLOOKUP($G1220,нормы!$A$14:$BI$57,60,0)*W1220,"")</f>
        <v/>
      </c>
      <c r="BD1220" s="200" t="str">
        <f>IFERROR(VLOOKUP($G1220,нормы!$A$14:$BG$57,44,0),"")</f>
        <v/>
      </c>
      <c r="BE1220" s="199" t="str">
        <f>IFERROR(W1220/VLOOKUP($G1220,нормы!$A$14:$BI$57,45,0),"")</f>
        <v/>
      </c>
    </row>
    <row r="1221" spans="1:57" s="1" customFormat="1" ht="21.6" customHeight="1" x14ac:dyDescent="0.4">
      <c r="A1221" s="37" t="str">
        <f t="shared" ref="A1221:A1249" si="482">A1220</f>
        <v>20Н</v>
      </c>
      <c r="B1221" s="12">
        <f t="shared" ref="B1221:D1225" si="483">B1220</f>
        <v>20</v>
      </c>
      <c r="C1221" s="97">
        <f t="shared" si="483"/>
        <v>0</v>
      </c>
      <c r="D1221" s="97">
        <f t="shared" si="483"/>
        <v>1</v>
      </c>
      <c r="E1221" s="54"/>
      <c r="F1221" s="151" t="str">
        <f>IFERROR(VLOOKUP($G1221,нормы!$A$14:$BC$57,2,0),"")</f>
        <v/>
      </c>
      <c r="G1221" s="93"/>
      <c r="H1221" s="54">
        <f t="shared" ref="H1221:H1225" si="484">IF(C1221=1,"Кульков С.А.", IF(C1221=2,"Чудаков А.А.",IF(C1221=3,"Королев В.Н.",IF(C1221=4,"Николашин М.П.",IF(C1221=5," Кульков С.А.",IF(C1221=6,"А.А. Чудаков",IF(C1221=7,"В.Н. Королев",IF(C1221=8,"М.П. Николашин",0))))))))</f>
        <v>0</v>
      </c>
      <c r="I1221" s="55"/>
      <c r="J1221" s="333"/>
      <c r="K1221" s="30">
        <f>IFERROR(VLOOKUP($G1221,[1]нормы!$A$21:$BC$151,15,0),"")</f>
        <v>0</v>
      </c>
      <c r="L1221" s="31">
        <f>IFERROR(VLOOKUP($G1221,[1]нормы!$A$21:$BC$151,17,0),"")</f>
        <v>0</v>
      </c>
      <c r="M1221" s="306">
        <f>IFERROR(VLOOKUP($G1221,[1]нормы!$A$21:$BC$151,27,0),"")</f>
        <v>0</v>
      </c>
      <c r="N1221" s="307" t="str">
        <f>IFERROR(Y1221/Y1226*(1.1*J1220*I1225),"")</f>
        <v/>
      </c>
      <c r="O1221" s="300">
        <f>IFERROR(VLOOKUP($G1221,[1]нормы!$A$21:$BC$151,21,0),"")</f>
        <v>0</v>
      </c>
      <c r="P1221" s="35">
        <f>IFERROR(VLOOKUP($G1221,[1]нормы!$A$21:$BC$151,19,0),"")</f>
        <v>0</v>
      </c>
      <c r="Q1221" s="35">
        <f>IFERROR(VLOOKUP($G1221,[1]нормы!$A$21:$BC$151,23,0),"")</f>
        <v>0</v>
      </c>
      <c r="R1221" s="231">
        <f>IFERROR(VLOOKUP($G1221,[1]нормы!$A$21:$BC$151,29,0),"")</f>
        <v>0</v>
      </c>
      <c r="S1221" s="35">
        <f>IFERROR(VLOOKUP($G1221,[1]нормы!$A$21:$BC$151,31,0),"")</f>
        <v>0</v>
      </c>
      <c r="T1221" s="32">
        <f>IFERROR(VLOOKUP($G1221,[1]нормы!$A$21:$BC$151,25,0),"")</f>
        <v>0</v>
      </c>
      <c r="U1221" s="233" t="str">
        <f>IFERROR(W1221/(((100*Y1221/Y1226)*I1225)/100),"")</f>
        <v/>
      </c>
      <c r="V1221" s="234" t="str">
        <f>IFERROR(VLOOKUP($G1221,нормы!$A$14:$BC$57,38,0),"")</f>
        <v/>
      </c>
      <c r="W1221" s="136"/>
      <c r="X1221" s="237"/>
      <c r="Y1221" s="152" t="str">
        <f>IFERROR(VLOOKUP($G1221,нормы!$A$14:$BC$57,42,0)*W1221,"")</f>
        <v/>
      </c>
      <c r="Z1221" s="163">
        <f>IFERROR(VLOOKUP($G1221,нормы!$A$14:$BC$57,14,0)*W1221/1000,0)</f>
        <v>0</v>
      </c>
      <c r="AA1221" s="142"/>
      <c r="AB1221" s="35"/>
      <c r="AC1221" s="35"/>
      <c r="AD1221" s="35"/>
      <c r="AE1221" s="31"/>
      <c r="AF1221" s="160"/>
      <c r="AG1221" s="391"/>
      <c r="AH1221" s="394"/>
      <c r="AI1221" s="397"/>
      <c r="AJ1221" s="408"/>
      <c r="AK1221" s="360"/>
      <c r="AL1221" s="360"/>
      <c r="AM1221" s="360"/>
      <c r="AN1221" s="289">
        <f>IFERROR(Y1221*AJ1220/Y1226,)</f>
        <v>0</v>
      </c>
      <c r="AO1221" s="197" t="str">
        <f>IFERROR(VLOOKUP($G1221,нормы!$A$14:$BC$57,53,0)*$W1221,"")</f>
        <v/>
      </c>
      <c r="AP1221" s="290">
        <f>IFERROR(Y1221*AI1220/Y1226,)</f>
        <v>0</v>
      </c>
      <c r="AQ1221" s="197" t="str">
        <f>IFERROR(VLOOKUP($G1221,нормы!$A$14:$BC$57,54,0)*$W1221,"")</f>
        <v/>
      </c>
      <c r="AR1221" s="290">
        <f>IFERROR(AS1221/SUM(AS1220:AS1225)*AL1220,0)</f>
        <v>0</v>
      </c>
      <c r="AS1221" s="197" t="str">
        <f>IFERROR(VLOOKUP($G1221,нормы!$A$14:$BC$57,55,0)*W1221,"")</f>
        <v/>
      </c>
      <c r="AT1221" s="290">
        <f>IFERROR(AU1221/SUM(AU1220:AU1225)*AM1220,0)</f>
        <v>0</v>
      </c>
      <c r="AU1221" s="197" t="str">
        <f>IFERROR(VLOOKUP($G1221,нормы!$A$14:$BI$57,56,0)*W1221,"")</f>
        <v/>
      </c>
      <c r="AV1221" s="290">
        <f>IFERROR(AW1221/SUM(AW1220:AW1225)*AK1220,0)</f>
        <v>0</v>
      </c>
      <c r="AW1221" s="202" t="str">
        <f>IFERROR(VLOOKUP($G1221,нормы!$A$14:$BI$57,57,0)*W1221,"")</f>
        <v/>
      </c>
      <c r="AX1221" s="30"/>
      <c r="AY1221" s="203" t="str">
        <f>IFERROR(VLOOKUP($G1221,нормы!$A$14:$BI$57,58,0)*W1221,"")</f>
        <v/>
      </c>
      <c r="AZ1221" s="205"/>
      <c r="BA1221" s="200" t="str">
        <f>IFERROR(VLOOKUP($G1221,нормы!$A$14:$BI$57,61,0)*$W1221,"")</f>
        <v/>
      </c>
      <c r="BB1221" s="30"/>
      <c r="BC1221" s="203" t="str">
        <f>IFERROR(VLOOKUP($G1221,нормы!$A$14:$BI$57,60,0)*W1221,"")</f>
        <v/>
      </c>
      <c r="BD1221" s="200" t="str">
        <f>IFERROR(VLOOKUP($G1221,нормы!$A$14:$BG$57,44,0),"")</f>
        <v/>
      </c>
      <c r="BE1221" s="199" t="str">
        <f>IFERROR(W1221/VLOOKUP($G1221,нормы!$A$14:$BI$57,45,0),"")</f>
        <v/>
      </c>
    </row>
    <row r="1222" spans="1:57" s="1" customFormat="1" ht="20.25" customHeight="1" x14ac:dyDescent="0.4">
      <c r="A1222" s="37" t="str">
        <f t="shared" si="482"/>
        <v>20Н</v>
      </c>
      <c r="B1222" s="12">
        <f t="shared" si="483"/>
        <v>20</v>
      </c>
      <c r="C1222" s="97">
        <f t="shared" si="483"/>
        <v>0</v>
      </c>
      <c r="D1222" s="97">
        <f t="shared" si="483"/>
        <v>1</v>
      </c>
      <c r="E1222" s="54"/>
      <c r="F1222" s="151" t="str">
        <f>IFERROR(VLOOKUP($G1222,нормы!$A$14:$BC$57,2,0),"")</f>
        <v/>
      </c>
      <c r="G1222" s="38"/>
      <c r="H1222" s="54">
        <f t="shared" si="484"/>
        <v>0</v>
      </c>
      <c r="I1222" s="89" t="s">
        <v>85</v>
      </c>
      <c r="J1222" s="333"/>
      <c r="K1222" s="30">
        <f>IFERROR(VLOOKUP($G1222,[1]нормы!$A$21:$BC$151,15,0),"")</f>
        <v>0</v>
      </c>
      <c r="L1222" s="31">
        <f>IFERROR(VLOOKUP($G1222,[1]нормы!$A$21:$BC$151,17,0),"")</f>
        <v>0</v>
      </c>
      <c r="M1222" s="306">
        <f>IFERROR(VLOOKUP($G1222,[1]нормы!$A$21:$BC$151,27,0),"")</f>
        <v>0</v>
      </c>
      <c r="N1222" s="307" t="str">
        <f>IFERROR(Y1222/Y1226*(1.1*J1220*I1225),"")</f>
        <v/>
      </c>
      <c r="O1222" s="300">
        <f>IFERROR(VLOOKUP($G1222,[1]нормы!$A$21:$BC$151,21,0),"")</f>
        <v>0</v>
      </c>
      <c r="P1222" s="35">
        <f>IFERROR(VLOOKUP($G1222,[1]нормы!$A$21:$BC$151,19,0),"")</f>
        <v>0</v>
      </c>
      <c r="Q1222" s="35">
        <f>IFERROR(VLOOKUP($G1222,[1]нормы!$A$21:$BC$151,23,0),"")</f>
        <v>0</v>
      </c>
      <c r="R1222" s="231">
        <f>IFERROR(VLOOKUP($G1222,[1]нормы!$A$21:$BC$151,29,0),"")</f>
        <v>0</v>
      </c>
      <c r="S1222" s="35">
        <f>IFERROR(VLOOKUP($G1222,[1]нормы!$A$21:$BC$151,31,0),"")</f>
        <v>0</v>
      </c>
      <c r="T1222" s="32">
        <f>IFERROR(VLOOKUP($G1222,[1]нормы!$A$21:$BC$151,25,0),"")</f>
        <v>0</v>
      </c>
      <c r="U1222" s="233" t="str">
        <f>IFERROR(W1222/(((100*Y1222/Y1226)*I1225)/100),"")</f>
        <v/>
      </c>
      <c r="V1222" s="234" t="str">
        <f>IFERROR(VLOOKUP($G1222,нормы!$A$14:$BC$57,38,0),"")</f>
        <v/>
      </c>
      <c r="W1222" s="136"/>
      <c r="X1222" s="237"/>
      <c r="Y1222" s="152" t="str">
        <f>IFERROR(VLOOKUP($G1222,нормы!$A$14:$BC$57,42,0)*W1222,"")</f>
        <v/>
      </c>
      <c r="Z1222" s="163">
        <f>IFERROR(VLOOKUP($G1222,нормы!$A$14:$BC$57,14,0)*W1222/1000,0)</f>
        <v>0</v>
      </c>
      <c r="AA1222" s="30"/>
      <c r="AB1222" s="35"/>
      <c r="AC1222" s="35"/>
      <c r="AD1222" s="35"/>
      <c r="AE1222" s="31"/>
      <c r="AF1222" s="160"/>
      <c r="AG1222" s="391"/>
      <c r="AH1222" s="394"/>
      <c r="AI1222" s="397"/>
      <c r="AJ1222" s="408"/>
      <c r="AK1222" s="360"/>
      <c r="AL1222" s="360"/>
      <c r="AM1222" s="360"/>
      <c r="AN1222" s="289">
        <f>IFERROR(Y1222*AJ1220/Y1226,)</f>
        <v>0</v>
      </c>
      <c r="AO1222" s="197" t="str">
        <f>IFERROR(VLOOKUP($G1222,нормы!$A$14:$BC$57,53,0)*$W1222,"")</f>
        <v/>
      </c>
      <c r="AP1222" s="290">
        <f>IFERROR(Y1222*AI1220/Y1226,)</f>
        <v>0</v>
      </c>
      <c r="AQ1222" s="197" t="str">
        <f>IFERROR(VLOOKUP($G1222,нормы!$A$14:$BC$57,54,0)*$W1222,"")</f>
        <v/>
      </c>
      <c r="AR1222" s="290">
        <f>IFERROR(AS1222/SUM(AS1220:AS1225)*AL1220,0)</f>
        <v>0</v>
      </c>
      <c r="AS1222" s="197" t="str">
        <f>IFERROR(VLOOKUP($G1222,нормы!$A$14:$BC$57,55,0)*W1222,"")</f>
        <v/>
      </c>
      <c r="AT1222" s="290">
        <f>IFERROR(AU1222/SUM(AU1220:AU1225)*AM1220,0)</f>
        <v>0</v>
      </c>
      <c r="AU1222" s="197" t="str">
        <f>IFERROR(VLOOKUP($G1222,нормы!$A$14:$BI$57,56,0)*W1222,"")</f>
        <v/>
      </c>
      <c r="AV1222" s="290">
        <f>IFERROR(AW1222/SUM(AW1220:AW1225)*AK1220,0)</f>
        <v>0</v>
      </c>
      <c r="AW1222" s="202" t="str">
        <f>IFERROR(VLOOKUP($G1222,нормы!$A$14:$BI$57,57,0)*W1222,"")</f>
        <v/>
      </c>
      <c r="AX1222" s="30"/>
      <c r="AY1222" s="203" t="str">
        <f>IFERROR(VLOOKUP($G1222,нормы!$A$14:$BI$57,58,0)*W1222,"")</f>
        <v/>
      </c>
      <c r="AZ1222" s="205"/>
      <c r="BA1222" s="200" t="str">
        <f>IFERROR(VLOOKUP($G1222,нормы!$A$14:$BI$57,61,0)*$W1222,"")</f>
        <v/>
      </c>
      <c r="BB1222" s="30"/>
      <c r="BC1222" s="203" t="str">
        <f>IFERROR(VLOOKUP($G1222,нормы!$A$14:$BI$57,60,0)*W1222,"")</f>
        <v/>
      </c>
      <c r="BD1222" s="200" t="str">
        <f>IFERROR(VLOOKUP($G1222,нормы!$A$14:$BG$57,44,0),"")</f>
        <v/>
      </c>
      <c r="BE1222" s="199" t="str">
        <f>IFERROR(W1222/VLOOKUP($G1222,нормы!$A$14:$BI$57,45,0),"")</f>
        <v/>
      </c>
    </row>
    <row r="1223" spans="1:57" s="1" customFormat="1" ht="20.25" customHeight="1" x14ac:dyDescent="0.4">
      <c r="A1223" s="37" t="str">
        <f t="shared" si="482"/>
        <v>20Н</v>
      </c>
      <c r="B1223" s="12">
        <f t="shared" si="483"/>
        <v>20</v>
      </c>
      <c r="C1223" s="97">
        <f t="shared" si="483"/>
        <v>0</v>
      </c>
      <c r="D1223" s="97">
        <f t="shared" si="483"/>
        <v>1</v>
      </c>
      <c r="E1223" s="54"/>
      <c r="F1223" s="151" t="str">
        <f>IFERROR(VLOOKUP($G1223,нормы!$A$14:$BC$57,2,0),"")</f>
        <v/>
      </c>
      <c r="G1223" s="93"/>
      <c r="H1223" s="54">
        <f t="shared" si="484"/>
        <v>0</v>
      </c>
      <c r="I1223" s="55"/>
      <c r="J1223" s="333"/>
      <c r="K1223" s="30">
        <f>IFERROR(VLOOKUP($G1223,[1]нормы!$A$21:$BC$151,15,0),"")</f>
        <v>0</v>
      </c>
      <c r="L1223" s="31">
        <f>IFERROR(VLOOKUP($G1223,[1]нормы!$A$21:$BC$151,17,0),"")</f>
        <v>0</v>
      </c>
      <c r="M1223" s="306">
        <f>IFERROR(VLOOKUP($G1223,[1]нормы!$A$21:$BC$151,27,0),"")</f>
        <v>0</v>
      </c>
      <c r="N1223" s="307" t="str">
        <f>IFERROR(Y1223/Y1226*(1.1*J1220*I1228),"")</f>
        <v/>
      </c>
      <c r="O1223" s="300">
        <f>IFERROR(VLOOKUP($G1223,[1]нормы!$A$21:$BC$151,21,0),"")</f>
        <v>0</v>
      </c>
      <c r="P1223" s="35">
        <f>IFERROR(VLOOKUP($G1223,[1]нормы!$A$21:$BC$151,19,0),"")</f>
        <v>0</v>
      </c>
      <c r="Q1223" s="35">
        <f>IFERROR(VLOOKUP($G1223,[1]нормы!$A$21:$BC$151,23,0),"")</f>
        <v>0</v>
      </c>
      <c r="R1223" s="231">
        <f>IFERROR(VLOOKUP($G1223,[1]нормы!$A$21:$BC$151,29,0),"")</f>
        <v>0</v>
      </c>
      <c r="S1223" s="35">
        <f>IFERROR(VLOOKUP($G1223,[1]нормы!$A$21:$BC$151,31,0),"")</f>
        <v>0</v>
      </c>
      <c r="T1223" s="32">
        <f>IFERROR(VLOOKUP($G1223,[1]нормы!$A$21:$BC$151,25,0),"")</f>
        <v>0</v>
      </c>
      <c r="U1223" s="233" t="str">
        <f>IFERROR(W1223/(((100*Y1223/Y1226)*I1225)/100),"")</f>
        <v/>
      </c>
      <c r="V1223" s="234" t="str">
        <f>IFERROR(VLOOKUP($G1223,нормы!$A$14:$BC$57,38,0),"")</f>
        <v/>
      </c>
      <c r="W1223" s="136"/>
      <c r="X1223" s="237"/>
      <c r="Y1223" s="152" t="str">
        <f>IFERROR(VLOOKUP($G1223,нормы!$A$14:$BC$57,42,0)*W1223,"")</f>
        <v/>
      </c>
      <c r="Z1223" s="163">
        <f>IFERROR(VLOOKUP($G1223,нормы!$A$14:$BC$57,14,0)*W1223/1000,0)</f>
        <v>0</v>
      </c>
      <c r="AA1223" s="30"/>
      <c r="AB1223" s="35"/>
      <c r="AC1223" s="35"/>
      <c r="AD1223" s="35"/>
      <c r="AE1223" s="31"/>
      <c r="AF1223" s="160"/>
      <c r="AG1223" s="391"/>
      <c r="AH1223" s="394"/>
      <c r="AI1223" s="397"/>
      <c r="AJ1223" s="408"/>
      <c r="AK1223" s="360"/>
      <c r="AL1223" s="360"/>
      <c r="AM1223" s="360"/>
      <c r="AN1223" s="289">
        <f>IFERROR(Y1223*AJ1220/Y1226,)</f>
        <v>0</v>
      </c>
      <c r="AO1223" s="197" t="str">
        <f>IFERROR(VLOOKUP($G1223,нормы!$A$14:$BC$57,53,0)*$W1223,"")</f>
        <v/>
      </c>
      <c r="AP1223" s="290">
        <f>IFERROR(Y1223*AI1220/Y1226,)</f>
        <v>0</v>
      </c>
      <c r="AQ1223" s="197" t="str">
        <f>IFERROR(VLOOKUP($G1223,нормы!$A$14:$BC$57,54,0)*$W1223,"")</f>
        <v/>
      </c>
      <c r="AR1223" s="290">
        <f>IFERROR(AS1223/SUM(AS1220:AS1225)*AL1220,0)</f>
        <v>0</v>
      </c>
      <c r="AS1223" s="197" t="str">
        <f>IFERROR(VLOOKUP($G1223,нормы!$A$14:$BC$57,55,0)*W1223,"")</f>
        <v/>
      </c>
      <c r="AT1223" s="290">
        <f>IFERROR(AU1223/SUM(AU1220:AU1225)*AM1220,0)</f>
        <v>0</v>
      </c>
      <c r="AU1223" s="197" t="str">
        <f>IFERROR(VLOOKUP($G1223,нормы!$A$14:$BI$57,56,0)*W1223,"")</f>
        <v/>
      </c>
      <c r="AV1223" s="290">
        <f>IFERROR(AW1223/SUM(AW1220:AW1225)*AK1220,0)</f>
        <v>0</v>
      </c>
      <c r="AW1223" s="202" t="str">
        <f>IFERROR(VLOOKUP($G1223,нормы!$A$14:$BI$57,57,0)*W1223,"")</f>
        <v/>
      </c>
      <c r="AX1223" s="30"/>
      <c r="AY1223" s="203" t="str">
        <f>IFERROR(VLOOKUP($G1223,нормы!$A$14:$BI$57,58,0)*W1223,"")</f>
        <v/>
      </c>
      <c r="AZ1223" s="205"/>
      <c r="BA1223" s="200" t="str">
        <f>IFERROR(VLOOKUP($G1223,нормы!$A$14:$BI$57,61,0)*$W1223,"")</f>
        <v/>
      </c>
      <c r="BB1223" s="30"/>
      <c r="BC1223" s="203" t="str">
        <f>IFERROR(VLOOKUP($G1223,нормы!$A$14:$BI$57,60,0)*W1223,"")</f>
        <v/>
      </c>
      <c r="BD1223" s="200" t="str">
        <f>IFERROR(VLOOKUP($G1223,нормы!$A$14:$BG$57,44,0),"")</f>
        <v/>
      </c>
      <c r="BE1223" s="199" t="str">
        <f>IFERROR(W1223/VLOOKUP($G1223,нормы!$A$14:$BI$57,45,0),"")</f>
        <v/>
      </c>
    </row>
    <row r="1224" spans="1:57" s="1" customFormat="1" ht="20.25" customHeight="1" x14ac:dyDescent="0.4">
      <c r="A1224" s="37" t="str">
        <f t="shared" si="482"/>
        <v>20Н</v>
      </c>
      <c r="B1224" s="12">
        <f t="shared" si="483"/>
        <v>20</v>
      </c>
      <c r="C1224" s="97">
        <f t="shared" si="483"/>
        <v>0</v>
      </c>
      <c r="D1224" s="97">
        <f t="shared" si="483"/>
        <v>1</v>
      </c>
      <c r="E1224" s="54"/>
      <c r="F1224" s="151" t="str">
        <f>IFERROR(VLOOKUP($G1224,нормы!$A$14:$BC$57,2,0),"")</f>
        <v/>
      </c>
      <c r="G1224" s="38"/>
      <c r="H1224" s="54">
        <f t="shared" si="484"/>
        <v>0</v>
      </c>
      <c r="I1224" s="89" t="s">
        <v>73</v>
      </c>
      <c r="J1224" s="333"/>
      <c r="K1224" s="30">
        <f>IFERROR(VLOOKUP($G1224,[1]нормы!$A$21:$BC$151,15,0),"")</f>
        <v>0</v>
      </c>
      <c r="L1224" s="31">
        <f>IFERROR(VLOOKUP($G1224,[1]нормы!$A$21:$BC$151,17,0),"")</f>
        <v>0</v>
      </c>
      <c r="M1224" s="306">
        <f>IFERROR(VLOOKUP($G1224,[1]нормы!$A$21:$BC$151,27,0),"")</f>
        <v>0</v>
      </c>
      <c r="N1224" s="307" t="str">
        <f>IFERROR(Y1224/Y1226*(1.1*J1220*I1229),"")</f>
        <v/>
      </c>
      <c r="O1224" s="300">
        <f>IFERROR(VLOOKUP($G1224,[1]нормы!$A$21:$BC$151,21,0),"")</f>
        <v>0</v>
      </c>
      <c r="P1224" s="35">
        <f>IFERROR(VLOOKUP($G1224,[1]нормы!$A$21:$BC$151,19,0),"")</f>
        <v>0</v>
      </c>
      <c r="Q1224" s="35">
        <f>IFERROR(VLOOKUP($G1224,[1]нормы!$A$21:$BC$151,23,0),"")</f>
        <v>0</v>
      </c>
      <c r="R1224" s="231">
        <f>IFERROR(VLOOKUP($G1224,[1]нормы!$A$21:$BC$151,29,0),"")</f>
        <v>0</v>
      </c>
      <c r="S1224" s="35">
        <f>IFERROR(VLOOKUP($G1224,[1]нормы!$A$21:$BC$151,31,0),"")</f>
        <v>0</v>
      </c>
      <c r="T1224" s="32">
        <f>IFERROR(VLOOKUP($G1224,[1]нормы!$A$21:$BC$151,25,0),"")</f>
        <v>0</v>
      </c>
      <c r="U1224" s="233" t="str">
        <f>IFERROR(W1224/(((100*Y1224/Y1226)*I1225)/100),"")</f>
        <v/>
      </c>
      <c r="V1224" s="234" t="str">
        <f>IFERROR(VLOOKUP($G1224,нормы!$A$14:$BC$57,38,0),"")</f>
        <v/>
      </c>
      <c r="W1224" s="136"/>
      <c r="X1224" s="237"/>
      <c r="Y1224" s="152" t="str">
        <f>IFERROR(VLOOKUP($G1224,нормы!$A$14:$BC$57,42,0)*W1224,"")</f>
        <v/>
      </c>
      <c r="Z1224" s="163">
        <f>IFERROR(VLOOKUP($G1224,нормы!$A$14:$BC$57,14,0)*W1224/1000,0)</f>
        <v>0</v>
      </c>
      <c r="AA1224" s="30"/>
      <c r="AB1224" s="35"/>
      <c r="AC1224" s="35"/>
      <c r="AD1224" s="35"/>
      <c r="AE1224" s="31"/>
      <c r="AF1224" s="160"/>
      <c r="AG1224" s="391"/>
      <c r="AH1224" s="394"/>
      <c r="AI1224" s="397"/>
      <c r="AJ1224" s="408"/>
      <c r="AK1224" s="360"/>
      <c r="AL1224" s="360"/>
      <c r="AM1224" s="360"/>
      <c r="AN1224" s="289">
        <f>IFERROR(Y1224*AJ1220/Y1226,)</f>
        <v>0</v>
      </c>
      <c r="AO1224" s="197" t="str">
        <f>IFERROR(VLOOKUP($G1224,нормы!$A$14:$BC$57,53,0)*$W1224,"")</f>
        <v/>
      </c>
      <c r="AP1224" s="290">
        <f>IFERROR(Y1224*AI1220/Y1226,)</f>
        <v>0</v>
      </c>
      <c r="AQ1224" s="197" t="str">
        <f>IFERROR(VLOOKUP($G1224,нормы!$A$14:$BC$57,54,0)*$W1224,"")</f>
        <v/>
      </c>
      <c r="AR1224" s="290">
        <f>IFERROR(AS1224/SUM(AS1220:AS1225)*AL1220,0)</f>
        <v>0</v>
      </c>
      <c r="AS1224" s="197" t="str">
        <f>IFERROR(VLOOKUP($G1224,нормы!$A$14:$BC$57,55,0)*W1224,"")</f>
        <v/>
      </c>
      <c r="AT1224" s="290">
        <f>IFERROR(AU1224/SUM(AU1220:AU1225)*AM1220,0)</f>
        <v>0</v>
      </c>
      <c r="AU1224" s="197" t="str">
        <f>IFERROR(VLOOKUP($G1224,нормы!$A$14:$BI$57,56,0)*W1224,"")</f>
        <v/>
      </c>
      <c r="AV1224" s="290">
        <f>IFERROR(AW1224/SUM(AW1220:AW1225)*AK1220,0)</f>
        <v>0</v>
      </c>
      <c r="AW1224" s="202" t="str">
        <f>IFERROR(VLOOKUP($G1224,нормы!$A$14:$BI$57,57,0)*W1224,"")</f>
        <v/>
      </c>
      <c r="AX1224" s="30"/>
      <c r="AY1224" s="203" t="str">
        <f>IFERROR(VLOOKUP($G1224,нормы!$A$14:$BI$57,58,0)*W1224,"")</f>
        <v/>
      </c>
      <c r="AZ1224" s="205"/>
      <c r="BA1224" s="200" t="str">
        <f>IFERROR(VLOOKUP($G1224,нормы!$A$14:$BI$57,61,0)*$W1224,"")</f>
        <v/>
      </c>
      <c r="BB1224" s="30"/>
      <c r="BC1224" s="203" t="str">
        <f>IFERROR(VLOOKUP($G1224,нормы!$A$14:$BI$57,60,0)*W1224,"")</f>
        <v/>
      </c>
      <c r="BD1224" s="200" t="str">
        <f>IFERROR(VLOOKUP($G1224,нормы!$A$14:$BG$57,44,0),"")</f>
        <v/>
      </c>
      <c r="BE1224" s="199" t="str">
        <f>IFERROR(W1224/VLOOKUP($G1224,нормы!$A$14:$BI$57,45,0),"")</f>
        <v/>
      </c>
    </row>
    <row r="1225" spans="1:57" s="1" customFormat="1" ht="21" customHeight="1" thickBot="1" x14ac:dyDescent="0.45">
      <c r="A1225" s="37" t="str">
        <f t="shared" si="482"/>
        <v>20Н</v>
      </c>
      <c r="B1225" s="12">
        <f t="shared" si="483"/>
        <v>20</v>
      </c>
      <c r="C1225" s="97">
        <f t="shared" si="483"/>
        <v>0</v>
      </c>
      <c r="D1225" s="97">
        <f t="shared" si="483"/>
        <v>1</v>
      </c>
      <c r="E1225" s="54"/>
      <c r="F1225" s="151" t="str">
        <f>IFERROR(VLOOKUP($G1225,нормы!$A$14:$BC$57,2,0),"")</f>
        <v/>
      </c>
      <c r="G1225" s="93"/>
      <c r="H1225" s="63">
        <f t="shared" si="484"/>
        <v>0</v>
      </c>
      <c r="I1225" s="153">
        <f>I1221+I1223</f>
        <v>0</v>
      </c>
      <c r="J1225" s="334"/>
      <c r="K1225" s="30">
        <f>IFERROR(VLOOKUP($G1225,[1]нормы!$A$21:$BC$151,15,0),"")</f>
        <v>0</v>
      </c>
      <c r="L1225" s="31">
        <f>IFERROR(VLOOKUP($G1225,[1]нормы!$A$21:$BC$151,17,0),"")</f>
        <v>0</v>
      </c>
      <c r="M1225" s="308">
        <f>IFERROR(VLOOKUP($G1225,[1]нормы!$A$21:$BC$151,27,0),"")</f>
        <v>0</v>
      </c>
      <c r="N1225" s="309" t="str">
        <f>IFERROR(Y1225/Y1226*(1.1*J1220*I1230),"")</f>
        <v/>
      </c>
      <c r="O1225" s="300">
        <f>IFERROR(VLOOKUP($G1225,[1]нормы!$A$21:$BC$151,21,0),"")</f>
        <v>0</v>
      </c>
      <c r="P1225" s="35">
        <f>IFERROR(VLOOKUP($G1225,[1]нормы!$A$21:$BC$151,19,0),"")</f>
        <v>0</v>
      </c>
      <c r="Q1225" s="35">
        <f>IFERROR(VLOOKUP($G1225,[1]нормы!$A$21:$BC$151,23,0),"")</f>
        <v>0</v>
      </c>
      <c r="R1225" s="231">
        <f>IFERROR(VLOOKUP($G1225,[1]нормы!$A$21:$BC$151,29,0),"")</f>
        <v>0</v>
      </c>
      <c r="S1225" s="35">
        <f>IFERROR(VLOOKUP($G1225,[1]нормы!$A$21:$BC$151,31,0),"")</f>
        <v>0</v>
      </c>
      <c r="T1225" s="32">
        <f>IFERROR(VLOOKUP($G1225,[1]нормы!$A$21:$BC$151,25,0),"")</f>
        <v>0</v>
      </c>
      <c r="U1225" s="235" t="str">
        <f>IFERROR(W1225/(((100*Y1225/Y1226)*I1225)/100),"")</f>
        <v/>
      </c>
      <c r="V1225" s="234" t="str">
        <f>IFERROR(VLOOKUP($G1225,нормы!$A$14:$BC$57,38,0),"")</f>
        <v/>
      </c>
      <c r="W1225" s="154"/>
      <c r="X1225" s="238"/>
      <c r="Y1225" s="152" t="str">
        <f>IFERROR(VLOOKUP($G1225,нормы!$A$14:$BC$57,42,0)*W1225,"")</f>
        <v/>
      </c>
      <c r="Z1225" s="163">
        <f>IFERROR(VLOOKUP($G1225,нормы!$A$14:$BC$57,14,0)*W1225/1000,0)</f>
        <v>0</v>
      </c>
      <c r="AA1225" s="56"/>
      <c r="AB1225" s="58"/>
      <c r="AC1225" s="58"/>
      <c r="AD1225" s="58"/>
      <c r="AE1225" s="57"/>
      <c r="AF1225" s="161"/>
      <c r="AG1225" s="392"/>
      <c r="AH1225" s="395"/>
      <c r="AI1225" s="398"/>
      <c r="AJ1225" s="409"/>
      <c r="AK1225" s="361"/>
      <c r="AL1225" s="361"/>
      <c r="AM1225" s="361"/>
      <c r="AN1225" s="291">
        <f>IFERROR(Y1225*AJ1220/Y1226,)</f>
        <v>0</v>
      </c>
      <c r="AO1225" s="197" t="str">
        <f>IFERROR(VLOOKUP($G1225,нормы!$A$14:$BC$57,53,0)*$W1225,"")</f>
        <v/>
      </c>
      <c r="AP1225" s="292">
        <f>IFERROR(Y1225*AI1220/Y1226,)</f>
        <v>0</v>
      </c>
      <c r="AQ1225" s="197" t="str">
        <f>IFERROR(VLOOKUP($G1225,нормы!$A$14:$BC$57,54,0)*$W1225,"")</f>
        <v/>
      </c>
      <c r="AR1225" s="290">
        <f>IFERROR(AS1225/SUM(AS1220:AS1225)*AL1220,0)</f>
        <v>0</v>
      </c>
      <c r="AS1225" s="197" t="str">
        <f>IFERROR(VLOOKUP($G1225,нормы!$A$14:$BC$57,55,0)*W1225,"")</f>
        <v/>
      </c>
      <c r="AT1225" s="292">
        <f>IFERROR(AU1225/SUM(AU1220:AU1225)*AM1220,0)</f>
        <v>0</v>
      </c>
      <c r="AU1225" s="197" t="str">
        <f>IFERROR(VLOOKUP($G1225,нормы!$A$14:$BI$57,56,0)*W1225,"")</f>
        <v/>
      </c>
      <c r="AV1225" s="292">
        <f>IFERROR(AW1225/SUM(AW1220:AW1225)*AK1220,0)</f>
        <v>0</v>
      </c>
      <c r="AW1225" s="202" t="str">
        <f>IFERROR(VLOOKUP($G1225,нормы!$A$14:$BI$57,57,0)*W1225,"")</f>
        <v/>
      </c>
      <c r="AX1225" s="56"/>
      <c r="AY1225" s="203" t="str">
        <f>IFERROR(VLOOKUP($G1225,нормы!$A$14:$BI$57,58,0)*W1225,"")</f>
        <v/>
      </c>
      <c r="AZ1225" s="206"/>
      <c r="BA1225" s="200" t="str">
        <f>IFERROR(VLOOKUP($G1225,нормы!$A$14:$BI$57,61,0)*$W1225,"")</f>
        <v/>
      </c>
      <c r="BB1225" s="56"/>
      <c r="BC1225" s="203" t="str">
        <f>IFERROR(VLOOKUP($G1225,нормы!$A$14:$BI$57,60,0)*W1225,"")</f>
        <v/>
      </c>
      <c r="BD1225" s="200" t="str">
        <f>IFERROR(VLOOKUP($G1225,нормы!$A$14:$BG$57,44,0),"")</f>
        <v/>
      </c>
      <c r="BE1225" s="199" t="str">
        <f>IFERROR(W1225/VLOOKUP($G1225,нормы!$A$14:$BI$57,45,0),"")</f>
        <v/>
      </c>
    </row>
    <row r="1226" spans="1:57" s="1" customFormat="1" ht="29.4" customHeight="1" thickBot="1" x14ac:dyDescent="0.45">
      <c r="A1226" s="37" t="str">
        <f t="shared" si="482"/>
        <v>20Н</v>
      </c>
      <c r="B1226" s="59"/>
      <c r="C1226" s="51"/>
      <c r="D1226" s="51"/>
      <c r="E1226" s="51"/>
      <c r="F1226" s="295" t="s">
        <v>149</v>
      </c>
      <c r="G1226" s="51"/>
      <c r="H1226" s="51"/>
      <c r="I1226" s="60"/>
      <c r="J1226" s="60"/>
      <c r="K1226" s="319" t="s">
        <v>213</v>
      </c>
      <c r="L1226" s="316"/>
      <c r="M1226" s="303" t="s">
        <v>213</v>
      </c>
      <c r="N1226" s="317">
        <f>SUM(N1220:N1225)</f>
        <v>0</v>
      </c>
      <c r="O1226" s="304" t="s">
        <v>216</v>
      </c>
      <c r="P1226" s="318">
        <f>N1226*8.937/1000</f>
        <v>0</v>
      </c>
      <c r="Q1226" s="305" t="s">
        <v>215</v>
      </c>
      <c r="R1226" s="61"/>
      <c r="S1226" s="61"/>
      <c r="T1226" s="61"/>
      <c r="U1226" s="109"/>
      <c r="V1226" s="109"/>
      <c r="W1226" s="94"/>
      <c r="X1226" s="155"/>
      <c r="Y1226" s="96">
        <f>SUM(Y1220:Y1225)</f>
        <v>0</v>
      </c>
      <c r="Z1226" s="164">
        <f>SUM(Z1220:Z1225)</f>
        <v>0</v>
      </c>
      <c r="AA1226" s="62"/>
      <c r="AB1226" s="62"/>
      <c r="AC1226" s="62"/>
      <c r="AD1226" s="62"/>
      <c r="AE1226" s="62"/>
      <c r="AF1226" s="62"/>
      <c r="AG1226" s="162" t="s">
        <v>140</v>
      </c>
      <c r="AH1226" s="162" t="s">
        <v>141</v>
      </c>
      <c r="AI1226" s="162" t="s">
        <v>142</v>
      </c>
      <c r="AJ1226" s="91" t="s">
        <v>126</v>
      </c>
      <c r="AK1226" s="198" t="s">
        <v>136</v>
      </c>
      <c r="AL1226" s="198" t="s">
        <v>137</v>
      </c>
      <c r="AM1226" s="198" t="s">
        <v>138</v>
      </c>
      <c r="AN1226" s="91"/>
      <c r="AO1226" s="91"/>
      <c r="AP1226" s="91"/>
      <c r="AQ1226" s="91"/>
      <c r="AR1226" s="91"/>
      <c r="AS1226" s="91"/>
      <c r="AT1226" s="91"/>
      <c r="AU1226" s="91"/>
      <c r="AV1226" s="91"/>
      <c r="AW1226" s="91"/>
      <c r="AX1226" s="91"/>
      <c r="AY1226" s="91"/>
      <c r="AZ1226" s="91"/>
      <c r="BA1226" s="91"/>
      <c r="BB1226" s="91"/>
      <c r="BC1226" s="91"/>
      <c r="BD1226" s="91"/>
      <c r="BE1226" s="53" t="str">
        <f>IFERROR(W1226/VLOOKUP($G1226,нормы!$A$14:$BI$15,28,0),"")</f>
        <v/>
      </c>
    </row>
    <row r="1227" spans="1:57" s="1" customFormat="1" ht="21.6" customHeight="1" x14ac:dyDescent="0.4">
      <c r="A1227" s="37" t="str">
        <f t="shared" si="482"/>
        <v>20Н</v>
      </c>
      <c r="B1227" s="12">
        <f>B1225</f>
        <v>20</v>
      </c>
      <c r="C1227" s="97"/>
      <c r="D1227" s="97">
        <v>2</v>
      </c>
      <c r="E1227" s="29"/>
      <c r="F1227" s="151" t="str">
        <f>IFERROR(VLOOKUP($G1227,нормы!$A$14:$BC$57,2,0),"")</f>
        <v/>
      </c>
      <c r="G1227" s="93"/>
      <c r="H1227" s="54">
        <f>IF(C1227=1,"Кульков С.А.", IF(C1227=2,"Чудаков А.А.",IF(C1227=3,"Королев В.Н.",IF(C1227=4,"Николашин М.П.",IF(C1227=5," Кульков С.А.",IF(C1227=6,"А.А. Чудаков",IF(C1227=7,"В.Н. Королев",IF(C1227=8,"М.П. Николашин",0))))))))</f>
        <v>0</v>
      </c>
      <c r="I1227" s="88" t="s">
        <v>211</v>
      </c>
      <c r="J1227" s="332"/>
      <c r="K1227" s="30">
        <f>IFERROR(VLOOKUP($G1227,[1]нормы!$A$21:$BC$151,15,0),"")</f>
        <v>0</v>
      </c>
      <c r="L1227" s="31">
        <f>IFERROR(VLOOKUP($G1227,[1]нормы!$A$21:$BC$151,17,0),"")</f>
        <v>0</v>
      </c>
      <c r="M1227" s="310">
        <f>IFERROR(VLOOKUP($G1227,[1]нормы!$A$21:$BC$151,27,0),"")</f>
        <v>0</v>
      </c>
      <c r="N1227" s="311" t="str">
        <f>IFERROR(Y1227/Y1233*(1.1*J1227*I1232),"")</f>
        <v/>
      </c>
      <c r="O1227" s="300">
        <f>IFERROR(VLOOKUP($G1227,[1]нормы!$A$21:$BC$151,21,0),"")</f>
        <v>0</v>
      </c>
      <c r="P1227" s="35">
        <f>IFERROR(VLOOKUP($G1227,[1]нормы!$A$21:$BC$151,19,0),"")</f>
        <v>0</v>
      </c>
      <c r="Q1227" s="35">
        <f>IFERROR(VLOOKUP($G1227,[1]нормы!$A$21:$BC$151,23,0),"")</f>
        <v>0</v>
      </c>
      <c r="R1227" s="231">
        <f>IFERROR(VLOOKUP($G1227,[1]нормы!$A$21:$BC$151,29,0),"")</f>
        <v>0</v>
      </c>
      <c r="S1227" s="35">
        <f>IFERROR(VLOOKUP($G1227,[1]нормы!$A$21:$BC$151,31,0),"")</f>
        <v>0</v>
      </c>
      <c r="T1227" s="32">
        <f>IFERROR(VLOOKUP($G1227,[1]нормы!$A$21:$BC$151,25,0),"")</f>
        <v>0</v>
      </c>
      <c r="U1227" s="232" t="str">
        <f>IFERROR(W1227/(((100*Y1227/Y1233)*I1232)/100),"")</f>
        <v/>
      </c>
      <c r="V1227" s="234" t="str">
        <f>IFERROR(VLOOKUP($G1227,нормы!$A$14:$BC$57,38,0),"")</f>
        <v/>
      </c>
      <c r="W1227" s="136"/>
      <c r="X1227" s="236"/>
      <c r="Y1227" s="152" t="str">
        <f>IFERROR(VLOOKUP($G1227,нормы!$A$14:$BC$57,42,0)*W1227,"")</f>
        <v/>
      </c>
      <c r="Z1227" s="163">
        <f>IFERROR(VLOOKUP($G1227,нормы!$A$14:$BC$57,14,0)*W1227/1000,0)</f>
        <v>0</v>
      </c>
      <c r="AA1227" s="33"/>
      <c r="AB1227" s="36"/>
      <c r="AC1227" s="36"/>
      <c r="AD1227" s="36"/>
      <c r="AE1227" s="34"/>
      <c r="AF1227" s="159"/>
      <c r="AG1227" s="390"/>
      <c r="AH1227" s="393"/>
      <c r="AI1227" s="396"/>
      <c r="AJ1227" s="407">
        <f>AG1227+AH1227</f>
        <v>0</v>
      </c>
      <c r="AK1227" s="359"/>
      <c r="AL1227" s="359"/>
      <c r="AM1227" s="359"/>
      <c r="AN1227" s="287">
        <f>IFERROR(Y1227*AJ1227/Y1233,)</f>
        <v>0</v>
      </c>
      <c r="AO1227" s="197" t="str">
        <f>IFERROR(VLOOKUP($G1227,нормы!$A$14:$BC$57,53,0)*$W1227,"")</f>
        <v/>
      </c>
      <c r="AP1227" s="288">
        <f>IFERROR(Y1227*AI1227/Y1233,)</f>
        <v>0</v>
      </c>
      <c r="AQ1227" s="197" t="str">
        <f>IFERROR(VLOOKUP($G1227,нормы!$A$14:$BC$57,54,0)*$W1227,"")</f>
        <v/>
      </c>
      <c r="AR1227" s="288">
        <f>IFERROR(AS1227/SUM(AS1227:AS1232)*AL1227,0)</f>
        <v>0</v>
      </c>
      <c r="AS1227" s="197" t="str">
        <f>IFERROR(VLOOKUP($G1227,нормы!$A$14:$BC$57,55,0)*W1227,"")</f>
        <v/>
      </c>
      <c r="AT1227" s="288">
        <f>IFERROR(AU1227/SUM(AU1227:AU1232)*AM1227,0)</f>
        <v>0</v>
      </c>
      <c r="AU1227" s="197" t="str">
        <f>IFERROR(VLOOKUP($G1227,нормы!$A$14:$BI$57,56,0)*W1227,"")</f>
        <v/>
      </c>
      <c r="AV1227" s="288">
        <f>IFERROR(AW1227/SUM(AW1227:AW1232)*AK1227,0)</f>
        <v>0</v>
      </c>
      <c r="AW1227" s="202" t="str">
        <f>IFERROR(VLOOKUP($G1227,нормы!$A$14:$BI$57,57,0)*W1227,"")</f>
        <v/>
      </c>
      <c r="AX1227" s="33"/>
      <c r="AY1227" s="203" t="str">
        <f>IFERROR(VLOOKUP($G1227,нормы!$A$14:$BI$57,58,0)*W1227,"")</f>
        <v/>
      </c>
      <c r="AZ1227" s="204"/>
      <c r="BA1227" s="200" t="str">
        <f>IFERROR(VLOOKUP($G1227,нормы!$A$14:$BI$57,61,0)*$W1227,"")</f>
        <v/>
      </c>
      <c r="BB1227" s="33"/>
      <c r="BC1227" s="203" t="str">
        <f>IFERROR(VLOOKUP($G1227,нормы!$A$14:$BI$57,60,0)*W1227,"")</f>
        <v/>
      </c>
      <c r="BD1227" s="200" t="str">
        <f>IFERROR(VLOOKUP($G1227,нормы!$A$14:$BG$57,44,0),"")</f>
        <v/>
      </c>
      <c r="BE1227" s="199" t="str">
        <f>IFERROR(W1227/VLOOKUP($G1227,нормы!$A$14:$BI$57,45,0),"")</f>
        <v/>
      </c>
    </row>
    <row r="1228" spans="1:57" s="1" customFormat="1" ht="21.6" customHeight="1" x14ac:dyDescent="0.4">
      <c r="A1228" s="37" t="str">
        <f t="shared" si="482"/>
        <v>20Н</v>
      </c>
      <c r="B1228" s="12">
        <f t="shared" ref="B1228:D1232" si="485">B1227</f>
        <v>20</v>
      </c>
      <c r="C1228" s="97">
        <f t="shared" si="485"/>
        <v>0</v>
      </c>
      <c r="D1228" s="97">
        <f t="shared" si="485"/>
        <v>2</v>
      </c>
      <c r="E1228" s="54"/>
      <c r="F1228" s="151" t="str">
        <f>IFERROR(VLOOKUP($G1228,нормы!$A$14:$BC$57,2,0),"")</f>
        <v/>
      </c>
      <c r="G1228" s="93"/>
      <c r="H1228" s="54">
        <f t="shared" ref="H1228:H1232" si="486">IF(C1228=1,"Кульков С.А.", IF(C1228=2,"Чудаков А.А.",IF(C1228=3,"Королев В.Н.",IF(C1228=4,"Николашин М.П.",IF(C1228=5," Кульков С.А.",IF(C1228=6,"А.А. Чудаков",IF(C1228=7,"В.Н. Королев",IF(C1228=8,"М.П. Николашин",0))))))))</f>
        <v>0</v>
      </c>
      <c r="I1228" s="55"/>
      <c r="J1228" s="333"/>
      <c r="K1228" s="30">
        <f>IFERROR(VLOOKUP($G1228,[1]нормы!$A$21:$BC$151,15,0),"")</f>
        <v>0</v>
      </c>
      <c r="L1228" s="31">
        <f>IFERROR(VLOOKUP($G1228,[1]нормы!$A$21:$BC$151,17,0),"")</f>
        <v>0</v>
      </c>
      <c r="M1228" s="306">
        <f>IFERROR(VLOOKUP($G1228,[1]нормы!$A$21:$BC$151,27,0),"")</f>
        <v>0</v>
      </c>
      <c r="N1228" s="307" t="str">
        <f>IFERROR(Y1228/Y1233*(1.1*J1227*I1232),"")</f>
        <v/>
      </c>
      <c r="O1228" s="300">
        <f>IFERROR(VLOOKUP($G1228,[1]нормы!$A$21:$BC$151,21,0),"")</f>
        <v>0</v>
      </c>
      <c r="P1228" s="35">
        <f>IFERROR(VLOOKUP($G1228,[1]нормы!$A$21:$BC$151,19,0),"")</f>
        <v>0</v>
      </c>
      <c r="Q1228" s="35">
        <f>IFERROR(VLOOKUP($G1228,[1]нормы!$A$21:$BC$151,23,0),"")</f>
        <v>0</v>
      </c>
      <c r="R1228" s="231">
        <f>IFERROR(VLOOKUP($G1228,[1]нормы!$A$21:$BC$151,29,0),"")</f>
        <v>0</v>
      </c>
      <c r="S1228" s="35">
        <f>IFERROR(VLOOKUP($G1228,[1]нормы!$A$21:$BC$151,31,0),"")</f>
        <v>0</v>
      </c>
      <c r="T1228" s="32">
        <f>IFERROR(VLOOKUP($G1228,[1]нормы!$A$21:$BC$151,25,0),"")</f>
        <v>0</v>
      </c>
      <c r="U1228" s="233" t="str">
        <f>IFERROR(W1228/(((100*Y1228/Y1233)*I1232)/100),"")</f>
        <v/>
      </c>
      <c r="V1228" s="234" t="str">
        <f>IFERROR(VLOOKUP($G1228,нормы!$A$14:$BC$57,38,0),"")</f>
        <v/>
      </c>
      <c r="W1228" s="136"/>
      <c r="X1228" s="237"/>
      <c r="Y1228" s="152" t="str">
        <f>IFERROR(VLOOKUP($G1228,нормы!$A$14:$BC$57,42,0)*W1228,"")</f>
        <v/>
      </c>
      <c r="Z1228" s="163">
        <f>IFERROR(VLOOKUP($G1228,нормы!$A$14:$BC$57,14,0)*W1228/1000,0)</f>
        <v>0</v>
      </c>
      <c r="AA1228" s="142"/>
      <c r="AB1228" s="35"/>
      <c r="AC1228" s="35"/>
      <c r="AD1228" s="35"/>
      <c r="AE1228" s="31"/>
      <c r="AF1228" s="160"/>
      <c r="AG1228" s="391"/>
      <c r="AH1228" s="394"/>
      <c r="AI1228" s="397"/>
      <c r="AJ1228" s="408"/>
      <c r="AK1228" s="360"/>
      <c r="AL1228" s="360"/>
      <c r="AM1228" s="360"/>
      <c r="AN1228" s="289">
        <f>IFERROR(Y1228*AJ1227/Y1233,)</f>
        <v>0</v>
      </c>
      <c r="AO1228" s="197" t="str">
        <f>IFERROR(VLOOKUP($G1228,нормы!$A$14:$BC$57,53,0)*$W1228,"")</f>
        <v/>
      </c>
      <c r="AP1228" s="290">
        <f>IFERROR(Y1228*AI1227/Y1233,)</f>
        <v>0</v>
      </c>
      <c r="AQ1228" s="197" t="str">
        <f>IFERROR(VLOOKUP($G1228,нормы!$A$14:$BC$57,54,0)*$W1228,"")</f>
        <v/>
      </c>
      <c r="AR1228" s="290">
        <f>IFERROR(AS1228/SUM(AS1227:AS1232)*AL1227,0)</f>
        <v>0</v>
      </c>
      <c r="AS1228" s="197" t="str">
        <f>IFERROR(VLOOKUP($G1228,нормы!$A$14:$BC$57,55,0)*W1228,"")</f>
        <v/>
      </c>
      <c r="AT1228" s="290">
        <f>IFERROR(AU1228/SUM(AU1227:AU1232)*AM1227,0)</f>
        <v>0</v>
      </c>
      <c r="AU1228" s="197" t="str">
        <f>IFERROR(VLOOKUP($G1228,нормы!$A$14:$BI$57,56,0)*W1228,"")</f>
        <v/>
      </c>
      <c r="AV1228" s="290">
        <f>IFERROR(AW1228/SUM(AW1227:AW1232)*AK1227,0)</f>
        <v>0</v>
      </c>
      <c r="AW1228" s="202" t="str">
        <f>IFERROR(VLOOKUP($G1228,нормы!$A$14:$BI$57,57,0)*W1228,"")</f>
        <v/>
      </c>
      <c r="AX1228" s="30"/>
      <c r="AY1228" s="203" t="str">
        <f>IFERROR(VLOOKUP($G1228,нормы!$A$14:$BI$57,58,0)*W1228,"")</f>
        <v/>
      </c>
      <c r="AZ1228" s="205"/>
      <c r="BA1228" s="200" t="str">
        <f>IFERROR(VLOOKUP($G1228,нормы!$A$14:$BI$57,61,0)*$W1228,"")</f>
        <v/>
      </c>
      <c r="BB1228" s="30"/>
      <c r="BC1228" s="203" t="str">
        <f>IFERROR(VLOOKUP($G1228,нормы!$A$14:$BI$57,60,0)*W1228,"")</f>
        <v/>
      </c>
      <c r="BD1228" s="200" t="str">
        <f>IFERROR(VLOOKUP($G1228,нормы!$A$14:$BG$57,44,0),"")</f>
        <v/>
      </c>
      <c r="BE1228" s="199" t="str">
        <f>IFERROR(W1228/VLOOKUP($G1228,нормы!$A$14:$BI$57,45,0),"")</f>
        <v/>
      </c>
    </row>
    <row r="1229" spans="1:57" s="1" customFormat="1" ht="20.25" customHeight="1" x14ac:dyDescent="0.4">
      <c r="A1229" s="37" t="str">
        <f t="shared" si="482"/>
        <v>20Н</v>
      </c>
      <c r="B1229" s="12">
        <f t="shared" si="485"/>
        <v>20</v>
      </c>
      <c r="C1229" s="97">
        <f t="shared" si="485"/>
        <v>0</v>
      </c>
      <c r="D1229" s="97">
        <f t="shared" si="485"/>
        <v>2</v>
      </c>
      <c r="E1229" s="54"/>
      <c r="F1229" s="151" t="str">
        <f>IFERROR(VLOOKUP($G1229,нормы!$A$14:$BC$57,2,0),"")</f>
        <v/>
      </c>
      <c r="G1229" s="38"/>
      <c r="H1229" s="54">
        <f t="shared" si="486"/>
        <v>0</v>
      </c>
      <c r="I1229" s="89" t="s">
        <v>212</v>
      </c>
      <c r="J1229" s="333"/>
      <c r="K1229" s="30">
        <f>IFERROR(VLOOKUP($G1229,[1]нормы!$A$21:$BC$151,15,0),"")</f>
        <v>0</v>
      </c>
      <c r="L1229" s="31">
        <f>IFERROR(VLOOKUP($G1229,[1]нормы!$A$21:$BC$151,17,0),"")</f>
        <v>0</v>
      </c>
      <c r="M1229" s="306">
        <f>IFERROR(VLOOKUP($G1229,[1]нормы!$A$21:$BC$151,27,0),"")</f>
        <v>0</v>
      </c>
      <c r="N1229" s="307" t="str">
        <f>IFERROR(Y1229/Y1233*(1.1*J1227*I1232),"")</f>
        <v/>
      </c>
      <c r="O1229" s="300">
        <f>IFERROR(VLOOKUP($G1229,[1]нормы!$A$21:$BC$151,21,0),"")</f>
        <v>0</v>
      </c>
      <c r="P1229" s="35">
        <f>IFERROR(VLOOKUP($G1229,[1]нормы!$A$21:$BC$151,19,0),"")</f>
        <v>0</v>
      </c>
      <c r="Q1229" s="35">
        <f>IFERROR(VLOOKUP($G1229,[1]нормы!$A$21:$BC$151,23,0),"")</f>
        <v>0</v>
      </c>
      <c r="R1229" s="231">
        <f>IFERROR(VLOOKUP($G1229,[1]нормы!$A$21:$BC$151,29,0),"")</f>
        <v>0</v>
      </c>
      <c r="S1229" s="35">
        <f>IFERROR(VLOOKUP($G1229,[1]нормы!$A$21:$BC$151,31,0),"")</f>
        <v>0</v>
      </c>
      <c r="T1229" s="32">
        <f>IFERROR(VLOOKUP($G1229,[1]нормы!$A$21:$BC$151,25,0),"")</f>
        <v>0</v>
      </c>
      <c r="U1229" s="233" t="str">
        <f>IFERROR(W1229/(((100*Y1229/Y1233)*I1232)/100),"")</f>
        <v/>
      </c>
      <c r="V1229" s="234" t="str">
        <f>IFERROR(VLOOKUP($G1229,нормы!$A$14:$BC$57,38,0),"")</f>
        <v/>
      </c>
      <c r="W1229" s="136"/>
      <c r="X1229" s="237"/>
      <c r="Y1229" s="152" t="str">
        <f>IFERROR(VLOOKUP($G1229,нормы!$A$14:$BC$57,42,0)*W1229,"")</f>
        <v/>
      </c>
      <c r="Z1229" s="163">
        <f>IFERROR(VLOOKUP($G1229,нормы!$A$14:$BC$57,14,0)*W1229/1000,0)</f>
        <v>0</v>
      </c>
      <c r="AA1229" s="30"/>
      <c r="AB1229" s="35"/>
      <c r="AC1229" s="35"/>
      <c r="AD1229" s="35"/>
      <c r="AE1229" s="31"/>
      <c r="AF1229" s="160"/>
      <c r="AG1229" s="391"/>
      <c r="AH1229" s="394"/>
      <c r="AI1229" s="397"/>
      <c r="AJ1229" s="408"/>
      <c r="AK1229" s="360"/>
      <c r="AL1229" s="360"/>
      <c r="AM1229" s="360"/>
      <c r="AN1229" s="289">
        <f>IFERROR(Y1229*AJ1227/Y1233,)</f>
        <v>0</v>
      </c>
      <c r="AO1229" s="197" t="str">
        <f>IFERROR(VLOOKUP($G1229,нормы!$A$14:$BC$57,53,0)*$W1229,"")</f>
        <v/>
      </c>
      <c r="AP1229" s="290">
        <f>IFERROR(Y1229*AI1227/Y1233,)</f>
        <v>0</v>
      </c>
      <c r="AQ1229" s="197" t="str">
        <f>IFERROR(VLOOKUP($G1229,нормы!$A$14:$BC$57,54,0)*$W1229,"")</f>
        <v/>
      </c>
      <c r="AR1229" s="290">
        <f>IFERROR(AS1229/SUM(AS1227:AS1232)*AL1227,0)</f>
        <v>0</v>
      </c>
      <c r="AS1229" s="197" t="str">
        <f>IFERROR(VLOOKUP($G1229,нормы!$A$14:$BC$57,55,0)*W1229,"")</f>
        <v/>
      </c>
      <c r="AT1229" s="290">
        <f>IFERROR(AU1229/SUM(AU1227:AU1232)*AM1227,0)</f>
        <v>0</v>
      </c>
      <c r="AU1229" s="197" t="str">
        <f>IFERROR(VLOOKUP($G1229,нормы!$A$14:$BI$57,56,0)*W1229,"")</f>
        <v/>
      </c>
      <c r="AV1229" s="290">
        <f>IFERROR(AW1229/SUM(AW1227:AW1232)*AK1227,0)</f>
        <v>0</v>
      </c>
      <c r="AW1229" s="202" t="str">
        <f>IFERROR(VLOOKUP($G1229,нормы!$A$14:$BI$57,57,0)*W1229,"")</f>
        <v/>
      </c>
      <c r="AX1229" s="30"/>
      <c r="AY1229" s="203" t="str">
        <f>IFERROR(VLOOKUP($G1229,нормы!$A$14:$BI$57,58,0)*W1229,"")</f>
        <v/>
      </c>
      <c r="AZ1229" s="205"/>
      <c r="BA1229" s="200" t="str">
        <f>IFERROR(VLOOKUP($G1229,нормы!$A$14:$BI$57,61,0)*$W1229,"")</f>
        <v/>
      </c>
      <c r="BB1229" s="30"/>
      <c r="BC1229" s="203" t="str">
        <f>IFERROR(VLOOKUP($G1229,нормы!$A$14:$BI$57,60,0)*W1229,"")</f>
        <v/>
      </c>
      <c r="BD1229" s="200" t="str">
        <f>IFERROR(VLOOKUP($G1229,нормы!$A$14:$BG$57,44,0),"")</f>
        <v/>
      </c>
      <c r="BE1229" s="199" t="str">
        <f>IFERROR(W1229/VLOOKUP($G1229,нормы!$A$14:$BI$57,45,0),"")</f>
        <v/>
      </c>
    </row>
    <row r="1230" spans="1:57" s="1" customFormat="1" ht="20.25" customHeight="1" x14ac:dyDescent="0.4">
      <c r="A1230" s="37" t="str">
        <f t="shared" si="482"/>
        <v>20Н</v>
      </c>
      <c r="B1230" s="12">
        <f t="shared" si="485"/>
        <v>20</v>
      </c>
      <c r="C1230" s="97">
        <f t="shared" si="485"/>
        <v>0</v>
      </c>
      <c r="D1230" s="97">
        <f t="shared" si="485"/>
        <v>2</v>
      </c>
      <c r="E1230" s="54"/>
      <c r="F1230" s="151" t="str">
        <f>IFERROR(VLOOKUP($G1230,нормы!$A$14:$BC$57,2,0),"")</f>
        <v/>
      </c>
      <c r="G1230" s="93"/>
      <c r="H1230" s="54">
        <f t="shared" si="486"/>
        <v>0</v>
      </c>
      <c r="I1230" s="55"/>
      <c r="J1230" s="333"/>
      <c r="K1230" s="30">
        <f>IFERROR(VLOOKUP($G1230,[1]нормы!$A$21:$BC$151,15,0),"")</f>
        <v>0</v>
      </c>
      <c r="L1230" s="31">
        <f>IFERROR(VLOOKUP($G1230,[1]нормы!$A$21:$BC$151,17,0),"")</f>
        <v>0</v>
      </c>
      <c r="M1230" s="306">
        <f>IFERROR(VLOOKUP($G1230,[1]нормы!$A$21:$BC$151,27,0),"")</f>
        <v>0</v>
      </c>
      <c r="N1230" s="307" t="str">
        <f>IFERROR(Y1230/Y1233*(1.1*J1227*I1235),"")</f>
        <v/>
      </c>
      <c r="O1230" s="300">
        <f>IFERROR(VLOOKUP($G1230,[1]нормы!$A$21:$BC$151,21,0),"")</f>
        <v>0</v>
      </c>
      <c r="P1230" s="35">
        <f>IFERROR(VLOOKUP($G1230,[1]нормы!$A$21:$BC$151,19,0),"")</f>
        <v>0</v>
      </c>
      <c r="Q1230" s="35">
        <f>IFERROR(VLOOKUP($G1230,[1]нормы!$A$21:$BC$151,23,0),"")</f>
        <v>0</v>
      </c>
      <c r="R1230" s="231">
        <f>IFERROR(VLOOKUP($G1230,[1]нормы!$A$21:$BC$151,29,0),"")</f>
        <v>0</v>
      </c>
      <c r="S1230" s="35">
        <f>IFERROR(VLOOKUP($G1230,[1]нормы!$A$21:$BC$151,31,0),"")</f>
        <v>0</v>
      </c>
      <c r="T1230" s="32">
        <f>IFERROR(VLOOKUP($G1230,[1]нормы!$A$21:$BC$151,25,0),"")</f>
        <v>0</v>
      </c>
      <c r="U1230" s="233" t="str">
        <f>IFERROR(W1230/(((100*Y1230/Y1233)*I1232)/100),"")</f>
        <v/>
      </c>
      <c r="V1230" s="234" t="str">
        <f>IFERROR(VLOOKUP($G1230,нормы!$A$14:$BC$57,38,0),"")</f>
        <v/>
      </c>
      <c r="W1230" s="136"/>
      <c r="X1230" s="237"/>
      <c r="Y1230" s="152" t="str">
        <f>IFERROR(VLOOKUP($G1230,нормы!$A$14:$BC$57,42,0)*W1230,"")</f>
        <v/>
      </c>
      <c r="Z1230" s="163">
        <f>IFERROR(VLOOKUP($G1230,нормы!$A$14:$BC$57,14,0)*W1230/1000,0)</f>
        <v>0</v>
      </c>
      <c r="AA1230" s="30"/>
      <c r="AB1230" s="35"/>
      <c r="AC1230" s="35"/>
      <c r="AD1230" s="35"/>
      <c r="AE1230" s="31"/>
      <c r="AF1230" s="160"/>
      <c r="AG1230" s="391"/>
      <c r="AH1230" s="394"/>
      <c r="AI1230" s="397"/>
      <c r="AJ1230" s="408"/>
      <c r="AK1230" s="360"/>
      <c r="AL1230" s="360"/>
      <c r="AM1230" s="360"/>
      <c r="AN1230" s="289">
        <f>IFERROR(Y1230*AJ1227/Y1233,)</f>
        <v>0</v>
      </c>
      <c r="AO1230" s="197" t="str">
        <f>IFERROR(VLOOKUP($G1230,нормы!$A$14:$BC$57,53,0)*$W1230,"")</f>
        <v/>
      </c>
      <c r="AP1230" s="290">
        <f>IFERROR(Y1230*AI1227/Y1233,)</f>
        <v>0</v>
      </c>
      <c r="AQ1230" s="197" t="str">
        <f>IFERROR(VLOOKUP($G1230,нормы!$A$14:$BC$57,54,0)*$W1230,"")</f>
        <v/>
      </c>
      <c r="AR1230" s="290">
        <f>IFERROR(AS1230/SUM(AS1227:AS1232)*AL1227,0)</f>
        <v>0</v>
      </c>
      <c r="AS1230" s="197" t="str">
        <f>IFERROR(VLOOKUP($G1230,нормы!$A$14:$BC$57,55,0)*W1230,"")</f>
        <v/>
      </c>
      <c r="AT1230" s="290">
        <f>IFERROR(AU1230/SUM(AU1227:AU1232)*AM1227,0)</f>
        <v>0</v>
      </c>
      <c r="AU1230" s="197" t="str">
        <f>IFERROR(VLOOKUP($G1230,нормы!$A$14:$BI$57,56,0)*W1230,"")</f>
        <v/>
      </c>
      <c r="AV1230" s="290">
        <f>IFERROR(AW1230/SUM(AW1227:AW1232)*AK1227,0)</f>
        <v>0</v>
      </c>
      <c r="AW1230" s="202" t="str">
        <f>IFERROR(VLOOKUP($G1230,нормы!$A$14:$BI$57,57,0)*W1230,"")</f>
        <v/>
      </c>
      <c r="AX1230" s="30"/>
      <c r="AY1230" s="203" t="str">
        <f>IFERROR(VLOOKUP($G1230,нормы!$A$14:$BI$57,58,0)*W1230,"")</f>
        <v/>
      </c>
      <c r="AZ1230" s="205"/>
      <c r="BA1230" s="200" t="str">
        <f>IFERROR(VLOOKUP($G1230,нормы!$A$14:$BI$57,61,0)*$W1230,"")</f>
        <v/>
      </c>
      <c r="BB1230" s="30"/>
      <c r="BC1230" s="203" t="str">
        <f>IFERROR(VLOOKUP($G1230,нормы!$A$14:$BI$57,60,0)*W1230,"")</f>
        <v/>
      </c>
      <c r="BD1230" s="200" t="str">
        <f>IFERROR(VLOOKUP($G1230,нормы!$A$14:$BG$57,44,0),"")</f>
        <v/>
      </c>
      <c r="BE1230" s="199" t="str">
        <f>IFERROR(W1230/VLOOKUP($G1230,нормы!$A$14:$BI$57,45,0),"")</f>
        <v/>
      </c>
    </row>
    <row r="1231" spans="1:57" s="1" customFormat="1" ht="20.25" customHeight="1" x14ac:dyDescent="0.4">
      <c r="A1231" s="37" t="str">
        <f t="shared" si="482"/>
        <v>20Н</v>
      </c>
      <c r="B1231" s="12">
        <f t="shared" si="485"/>
        <v>20</v>
      </c>
      <c r="C1231" s="97">
        <f t="shared" si="485"/>
        <v>0</v>
      </c>
      <c r="D1231" s="97">
        <f t="shared" si="485"/>
        <v>2</v>
      </c>
      <c r="E1231" s="54"/>
      <c r="F1231" s="151" t="str">
        <f>IFERROR(VLOOKUP($G1231,нормы!$A$14:$BC$57,2,0),"")</f>
        <v/>
      </c>
      <c r="G1231" s="38"/>
      <c r="H1231" s="54">
        <f t="shared" si="486"/>
        <v>0</v>
      </c>
      <c r="I1231" s="89" t="s">
        <v>73</v>
      </c>
      <c r="J1231" s="333"/>
      <c r="K1231" s="30">
        <f>IFERROR(VLOOKUP($G1231,[1]нормы!$A$21:$BC$151,15,0),"")</f>
        <v>0</v>
      </c>
      <c r="L1231" s="31">
        <f>IFERROR(VLOOKUP($G1231,[1]нормы!$A$21:$BC$151,17,0),"")</f>
        <v>0</v>
      </c>
      <c r="M1231" s="306">
        <f>IFERROR(VLOOKUP($G1231,[1]нормы!$A$21:$BC$151,27,0),"")</f>
        <v>0</v>
      </c>
      <c r="N1231" s="307" t="str">
        <f>IFERROR(Y1231/Y1233*(1.1*J1227*I1236),"")</f>
        <v/>
      </c>
      <c r="O1231" s="300">
        <f>IFERROR(VLOOKUP($G1231,[1]нормы!$A$21:$BC$151,21,0),"")</f>
        <v>0</v>
      </c>
      <c r="P1231" s="35">
        <f>IFERROR(VLOOKUP($G1231,[1]нормы!$A$21:$BC$151,19,0),"")</f>
        <v>0</v>
      </c>
      <c r="Q1231" s="35">
        <f>IFERROR(VLOOKUP($G1231,[1]нормы!$A$21:$BC$151,23,0),"")</f>
        <v>0</v>
      </c>
      <c r="R1231" s="231">
        <f>IFERROR(VLOOKUP($G1231,[1]нормы!$A$21:$BC$151,29,0),"")</f>
        <v>0</v>
      </c>
      <c r="S1231" s="35">
        <f>IFERROR(VLOOKUP($G1231,[1]нормы!$A$21:$BC$151,31,0),"")</f>
        <v>0</v>
      </c>
      <c r="T1231" s="32">
        <f>IFERROR(VLOOKUP($G1231,[1]нормы!$A$21:$BC$151,25,0),"")</f>
        <v>0</v>
      </c>
      <c r="U1231" s="233" t="str">
        <f>IFERROR(W1231/(((100*Y1231/Y1233)*I1232)/100),"")</f>
        <v/>
      </c>
      <c r="V1231" s="234" t="str">
        <f>IFERROR(VLOOKUP($G1231,нормы!$A$14:$BC$57,38,0),"")</f>
        <v/>
      </c>
      <c r="W1231" s="136"/>
      <c r="X1231" s="237"/>
      <c r="Y1231" s="152" t="str">
        <f>IFERROR(VLOOKUP($G1231,нормы!$A$14:$BC$57,42,0)*W1231,"")</f>
        <v/>
      </c>
      <c r="Z1231" s="163">
        <f>IFERROR(VLOOKUP($G1231,нормы!$A$14:$BC$57,14,0)*W1231/1000,0)</f>
        <v>0</v>
      </c>
      <c r="AA1231" s="30"/>
      <c r="AB1231" s="35"/>
      <c r="AC1231" s="35"/>
      <c r="AD1231" s="35"/>
      <c r="AE1231" s="31"/>
      <c r="AF1231" s="160"/>
      <c r="AG1231" s="391"/>
      <c r="AH1231" s="394"/>
      <c r="AI1231" s="397"/>
      <c r="AJ1231" s="408"/>
      <c r="AK1231" s="360"/>
      <c r="AL1231" s="360"/>
      <c r="AM1231" s="360"/>
      <c r="AN1231" s="289">
        <f>IFERROR(Y1231*AJ1227/Y1233,)</f>
        <v>0</v>
      </c>
      <c r="AO1231" s="197" t="str">
        <f>IFERROR(VLOOKUP($G1231,нормы!$A$14:$BC$57,53,0)*$W1231,"")</f>
        <v/>
      </c>
      <c r="AP1231" s="290">
        <f>IFERROR(Y1231*AI1227/Y1233,)</f>
        <v>0</v>
      </c>
      <c r="AQ1231" s="197" t="str">
        <f>IFERROR(VLOOKUP($G1231,нормы!$A$14:$BC$57,54,0)*$W1231,"")</f>
        <v/>
      </c>
      <c r="AR1231" s="290">
        <f>IFERROR(AS1231/SUM(AS1227:AS1232)*AL1227,0)</f>
        <v>0</v>
      </c>
      <c r="AS1231" s="197" t="str">
        <f>IFERROR(VLOOKUP($G1231,нормы!$A$14:$BC$57,55,0)*W1231,"")</f>
        <v/>
      </c>
      <c r="AT1231" s="290">
        <f>IFERROR(AU1231/SUM(AU1227:AU1232)*AM1227,0)</f>
        <v>0</v>
      </c>
      <c r="AU1231" s="197" t="str">
        <f>IFERROR(VLOOKUP($G1231,нормы!$A$14:$BI$57,56,0)*W1231,"")</f>
        <v/>
      </c>
      <c r="AV1231" s="290">
        <f>IFERROR(AW1231/SUM(AW1227:AW1232)*AK1227,0)</f>
        <v>0</v>
      </c>
      <c r="AW1231" s="202" t="str">
        <f>IFERROR(VLOOKUP($G1231,нормы!$A$14:$BI$57,57,0)*W1231,"")</f>
        <v/>
      </c>
      <c r="AX1231" s="30"/>
      <c r="AY1231" s="203" t="str">
        <f>IFERROR(VLOOKUP($G1231,нормы!$A$14:$BI$57,58,0)*W1231,"")</f>
        <v/>
      </c>
      <c r="AZ1231" s="205"/>
      <c r="BA1231" s="200" t="str">
        <f>IFERROR(VLOOKUP($G1231,нормы!$A$14:$BI$57,61,0)*$W1231,"")</f>
        <v/>
      </c>
      <c r="BB1231" s="30"/>
      <c r="BC1231" s="203" t="str">
        <f>IFERROR(VLOOKUP($G1231,нормы!$A$14:$BI$57,60,0)*W1231,"")</f>
        <v/>
      </c>
      <c r="BD1231" s="200" t="str">
        <f>IFERROR(VLOOKUP($G1231,нормы!$A$14:$BG$57,44,0),"")</f>
        <v/>
      </c>
      <c r="BE1231" s="199" t="str">
        <f>IFERROR(W1231/VLOOKUP($G1231,нормы!$A$14:$BI$57,45,0),"")</f>
        <v/>
      </c>
    </row>
    <row r="1232" spans="1:57" s="1" customFormat="1" ht="21" customHeight="1" thickBot="1" x14ac:dyDescent="0.45">
      <c r="A1232" s="37" t="str">
        <f t="shared" si="482"/>
        <v>20Н</v>
      </c>
      <c r="B1232" s="12">
        <f t="shared" si="485"/>
        <v>20</v>
      </c>
      <c r="C1232" s="97">
        <f t="shared" si="485"/>
        <v>0</v>
      </c>
      <c r="D1232" s="97">
        <f t="shared" si="485"/>
        <v>2</v>
      </c>
      <c r="E1232" s="54"/>
      <c r="F1232" s="151" t="str">
        <f>IFERROR(VLOOKUP($G1232,нормы!$A$14:$BC$57,2,0),"")</f>
        <v/>
      </c>
      <c r="G1232" s="93"/>
      <c r="H1232" s="63">
        <f t="shared" si="486"/>
        <v>0</v>
      </c>
      <c r="I1232" s="153">
        <f>I1228+I1230</f>
        <v>0</v>
      </c>
      <c r="J1232" s="334"/>
      <c r="K1232" s="30">
        <f>IFERROR(VLOOKUP($G1232,[1]нормы!$A$21:$BC$151,15,0),"")</f>
        <v>0</v>
      </c>
      <c r="L1232" s="31">
        <f>IFERROR(VLOOKUP($G1232,[1]нормы!$A$21:$BC$151,17,0),"")</f>
        <v>0</v>
      </c>
      <c r="M1232" s="308">
        <f>IFERROR(VLOOKUP($G1232,[1]нормы!$A$21:$BC$151,27,0),"")</f>
        <v>0</v>
      </c>
      <c r="N1232" s="309" t="str">
        <f>IFERROR(Y1232/Y1233*(1.1*J1227*I1237),"")</f>
        <v/>
      </c>
      <c r="O1232" s="300">
        <f>IFERROR(VLOOKUP($G1232,[1]нормы!$A$21:$BC$151,21,0),"")</f>
        <v>0</v>
      </c>
      <c r="P1232" s="35">
        <f>IFERROR(VLOOKUP($G1232,[1]нормы!$A$21:$BC$151,19,0),"")</f>
        <v>0</v>
      </c>
      <c r="Q1232" s="35">
        <f>IFERROR(VLOOKUP($G1232,[1]нормы!$A$21:$BC$151,23,0),"")</f>
        <v>0</v>
      </c>
      <c r="R1232" s="231">
        <f>IFERROR(VLOOKUP($G1232,[1]нормы!$A$21:$BC$151,29,0),"")</f>
        <v>0</v>
      </c>
      <c r="S1232" s="35">
        <f>IFERROR(VLOOKUP($G1232,[1]нормы!$A$21:$BC$151,31,0),"")</f>
        <v>0</v>
      </c>
      <c r="T1232" s="32">
        <f>IFERROR(VLOOKUP($G1232,[1]нормы!$A$21:$BC$151,25,0),"")</f>
        <v>0</v>
      </c>
      <c r="U1232" s="235" t="str">
        <f>IFERROR(W1232/(((100*Y1232/Y1233)*I1232)/100),"")</f>
        <v/>
      </c>
      <c r="V1232" s="234" t="str">
        <f>IFERROR(VLOOKUP($G1232,нормы!$A$14:$BC$57,38,0),"")</f>
        <v/>
      </c>
      <c r="W1232" s="154"/>
      <c r="X1232" s="238"/>
      <c r="Y1232" s="152" t="str">
        <f>IFERROR(VLOOKUP($G1232,нормы!$A$14:$BC$57,42,0)*W1232,"")</f>
        <v/>
      </c>
      <c r="Z1232" s="163">
        <f>IFERROR(VLOOKUP($G1232,нормы!$A$14:$BC$57,14,0)*W1232/1000,0)</f>
        <v>0</v>
      </c>
      <c r="AA1232" s="56"/>
      <c r="AB1232" s="58"/>
      <c r="AC1232" s="58"/>
      <c r="AD1232" s="58"/>
      <c r="AE1232" s="57"/>
      <c r="AF1232" s="161"/>
      <c r="AG1232" s="392"/>
      <c r="AH1232" s="395"/>
      <c r="AI1232" s="398"/>
      <c r="AJ1232" s="409"/>
      <c r="AK1232" s="361"/>
      <c r="AL1232" s="361"/>
      <c r="AM1232" s="361"/>
      <c r="AN1232" s="291">
        <f>IFERROR(Y1232*AJ1227/Y1233,)</f>
        <v>0</v>
      </c>
      <c r="AO1232" s="197" t="str">
        <f>IFERROR(VLOOKUP($G1232,нормы!$A$14:$BC$57,53,0)*$W1232,"")</f>
        <v/>
      </c>
      <c r="AP1232" s="292">
        <f>IFERROR(Y1232*AI1227/Y1233,)</f>
        <v>0</v>
      </c>
      <c r="AQ1232" s="197" t="str">
        <f>IFERROR(VLOOKUP($G1232,нормы!$A$14:$BC$57,54,0)*$W1232,"")</f>
        <v/>
      </c>
      <c r="AR1232" s="290">
        <f>IFERROR(AS1232/SUM(AS1227:AS1232)*AL1227,0)</f>
        <v>0</v>
      </c>
      <c r="AS1232" s="197" t="str">
        <f>IFERROR(VLOOKUP($G1232,нормы!$A$14:$BC$57,55,0)*W1232,"")</f>
        <v/>
      </c>
      <c r="AT1232" s="292">
        <f>IFERROR(AU1232/SUM(AU1227:AU1232)*AM1227,0)</f>
        <v>0</v>
      </c>
      <c r="AU1232" s="197" t="str">
        <f>IFERROR(VLOOKUP($G1232,нормы!$A$14:$BI$57,56,0)*W1232,"")</f>
        <v/>
      </c>
      <c r="AV1232" s="292">
        <f>IFERROR(AW1232/SUM(AW1227:AW1232)*AK1227,0)</f>
        <v>0</v>
      </c>
      <c r="AW1232" s="202" t="str">
        <f>IFERROR(VLOOKUP($G1232,нормы!$A$14:$BI$57,57,0)*W1232,"")</f>
        <v/>
      </c>
      <c r="AX1232" s="56"/>
      <c r="AY1232" s="203" t="str">
        <f>IFERROR(VLOOKUP($G1232,нормы!$A$14:$BI$57,58,0)*W1232,"")</f>
        <v/>
      </c>
      <c r="AZ1232" s="206"/>
      <c r="BA1232" s="200" t="str">
        <f>IFERROR(VLOOKUP($G1232,нормы!$A$14:$BI$57,61,0)*$W1232,"")</f>
        <v/>
      </c>
      <c r="BB1232" s="56"/>
      <c r="BC1232" s="203" t="str">
        <f>IFERROR(VLOOKUP($G1232,нормы!$A$14:$BI$57,60,0)*W1232,"")</f>
        <v/>
      </c>
      <c r="BD1232" s="200" t="str">
        <f>IFERROR(VLOOKUP($G1232,нормы!$A$14:$BG$57,44,0),"")</f>
        <v/>
      </c>
      <c r="BE1232" s="199" t="str">
        <f>IFERROR(W1232/VLOOKUP($G1232,нормы!$A$14:$BI$57,45,0),"")</f>
        <v/>
      </c>
    </row>
    <row r="1233" spans="1:57" s="1" customFormat="1" ht="29.4" customHeight="1" thickBot="1" x14ac:dyDescent="0.45">
      <c r="A1233" s="37" t="str">
        <f t="shared" si="482"/>
        <v>20Н</v>
      </c>
      <c r="B1233" s="59"/>
      <c r="C1233" s="51"/>
      <c r="D1233" s="51"/>
      <c r="E1233" s="51"/>
      <c r="F1233" s="51"/>
      <c r="G1233" s="51"/>
      <c r="H1233" s="51"/>
      <c r="I1233" s="60"/>
      <c r="J1233" s="60"/>
      <c r="K1233" s="319" t="s">
        <v>213</v>
      </c>
      <c r="L1233" s="316"/>
      <c r="M1233" s="303" t="s">
        <v>213</v>
      </c>
      <c r="N1233" s="317">
        <f>SUM(N1227:N1232)</f>
        <v>0</v>
      </c>
      <c r="O1233" s="304" t="s">
        <v>217</v>
      </c>
      <c r="P1233" s="318">
        <f>N1233*8.937/1000</f>
        <v>0</v>
      </c>
      <c r="Q1233" s="305" t="s">
        <v>215</v>
      </c>
      <c r="R1233" s="61"/>
      <c r="S1233" s="61"/>
      <c r="T1233" s="61"/>
      <c r="U1233" s="109"/>
      <c r="V1233" s="109"/>
      <c r="W1233" s="94"/>
      <c r="X1233" s="155"/>
      <c r="Y1233" s="96">
        <f>SUM(Y1227:Y1232)</f>
        <v>0</v>
      </c>
      <c r="Z1233" s="164">
        <f>SUM(Z1227:Z1232)</f>
        <v>0</v>
      </c>
      <c r="AA1233" s="207">
        <f>(AA1219+AA1220+AA1221+AA1222+AA1223+AA1224+AA1225+AA1227+AA1228+AA1229+AA1230+AA1231+AA1232)-AG1220</f>
        <v>1</v>
      </c>
      <c r="AB1233" s="208">
        <f>(AB1219+AB1220+AB1221+AB1222+AB1223+AB1224+AB1225+AB1227+AB1228+AB1229+AB1230+AB1231+AB1232)-AH1220</f>
        <v>2</v>
      </c>
      <c r="AC1233" s="208">
        <f>(AC1219+AC1220+AC1221+AC1222+AC1223+AC1224+AC1225+AC1227+AC1228+AC1229+AC1230+AC1231+AC1232)-AG1227</f>
        <v>3</v>
      </c>
      <c r="AD1233" s="208">
        <f>(AD1219+AD1220+AD1221+AD1222+AD1223+AD1224+AD1225+AD1227+AD1228+AD1229+AD1230+AD1231+AD1232)-AH1227</f>
        <v>4</v>
      </c>
      <c r="AE1233" s="208">
        <f>(AE1219+AE1220+AE1221+AE1222+AE1223+AE1224+AE1225+AE1227+AE1228+AE1229+AE1230+AE1231+AE1232)-AI1220</f>
        <v>5</v>
      </c>
      <c r="AF1233" s="209">
        <f>(AF1219+AF1220+AF1221+AF1222+AF1223+AF1224+AF1225+AF1227+AF1228+AF1229+AF1230+AF1231+AF1232)-AI1227</f>
        <v>6</v>
      </c>
      <c r="AG1233" s="62"/>
      <c r="AH1233" s="62"/>
      <c r="AI1233" s="62"/>
      <c r="AJ1233" s="62"/>
      <c r="AK1233" s="62"/>
      <c r="AL1233" s="62"/>
      <c r="AM1233" s="62"/>
      <c r="AN1233" s="91">
        <f>SUM(AN1227:AN1232)</f>
        <v>0</v>
      </c>
      <c r="AO1233" s="91">
        <f>SUM(AO1227:AO1232)</f>
        <v>0</v>
      </c>
      <c r="AP1233" s="91"/>
      <c r="AQ1233" s="91"/>
      <c r="AR1233" s="91">
        <f>SUM(AR1227:AR1232)</f>
        <v>0</v>
      </c>
      <c r="AS1233" s="91">
        <f t="shared" ref="AS1233:AW1233" si="487">SUM(AS1227:AS1232)</f>
        <v>0</v>
      </c>
      <c r="AT1233" s="91">
        <f t="shared" si="487"/>
        <v>0</v>
      </c>
      <c r="AU1233" s="91">
        <f t="shared" si="487"/>
        <v>0</v>
      </c>
      <c r="AV1233" s="91">
        <f t="shared" si="487"/>
        <v>0</v>
      </c>
      <c r="AW1233" s="91">
        <f t="shared" si="487"/>
        <v>0</v>
      </c>
      <c r="AX1233" s="91">
        <f>SUM(AX1227:AX1232)</f>
        <v>0</v>
      </c>
      <c r="AY1233" s="91">
        <f>SUM(AY1227:AY1232)</f>
        <v>0</v>
      </c>
      <c r="AZ1233" s="91">
        <f>SUM(AZ1227:AZ1232)</f>
        <v>0</v>
      </c>
      <c r="BA1233" s="91"/>
      <c r="BB1233" s="91"/>
      <c r="BC1233" s="91"/>
      <c r="BD1233" s="91" t="str">
        <f>IFERROR(VLOOKUP($G1233,нормы!$A$14:$BG$15,27,0),"")</f>
        <v/>
      </c>
      <c r="BE1233" s="53" t="str">
        <f>IFERROR(W1233/VLOOKUP($G1233,нормы!$A$14:$BI$15,28,0),"")</f>
        <v/>
      </c>
    </row>
    <row r="1234" spans="1:57" s="1" customFormat="1" ht="29.4" customHeight="1" thickBot="1" x14ac:dyDescent="0.5">
      <c r="A1234" s="37" t="str">
        <f t="shared" si="482"/>
        <v>20Н</v>
      </c>
      <c r="B1234" s="166" t="s">
        <v>130</v>
      </c>
      <c r="C1234" s="167"/>
      <c r="D1234" s="167"/>
      <c r="E1234" s="167"/>
      <c r="F1234" s="165"/>
      <c r="G1234" s="167"/>
      <c r="H1234" s="167"/>
      <c r="I1234" s="168"/>
      <c r="J1234" s="168"/>
      <c r="K1234" s="168"/>
      <c r="L1234" s="168"/>
      <c r="M1234" s="168"/>
      <c r="N1234" s="168"/>
      <c r="O1234" s="167"/>
      <c r="P1234" s="169"/>
      <c r="Q1234" s="169"/>
      <c r="R1234" s="169"/>
      <c r="S1234" s="169"/>
      <c r="T1234" s="169"/>
      <c r="U1234" s="170"/>
      <c r="V1234" s="170"/>
      <c r="W1234" s="171"/>
      <c r="X1234" s="171"/>
      <c r="Y1234" s="172"/>
      <c r="Z1234" s="172"/>
      <c r="AA1234" s="201" t="s">
        <v>144</v>
      </c>
      <c r="AB1234" s="167"/>
      <c r="AC1234" s="167"/>
      <c r="AD1234" s="167"/>
      <c r="AE1234" s="167"/>
      <c r="AF1234" s="167"/>
      <c r="AG1234" s="167"/>
      <c r="AH1234" s="167"/>
      <c r="AI1234" s="167"/>
      <c r="AJ1234" s="167"/>
      <c r="AK1234" s="167"/>
      <c r="AL1234" s="167"/>
      <c r="AM1234" s="64"/>
      <c r="AN1234" s="167"/>
      <c r="AO1234" s="167"/>
      <c r="AP1234" s="167"/>
      <c r="AQ1234" s="167"/>
      <c r="AR1234" s="64"/>
      <c r="AS1234" s="64"/>
      <c r="AT1234" s="65"/>
      <c r="AU1234" s="64"/>
      <c r="AV1234" s="49"/>
      <c r="AW1234" s="49"/>
      <c r="AX1234" s="167"/>
      <c r="AY1234" s="167"/>
      <c r="AZ1234" s="167"/>
      <c r="BA1234" s="167"/>
      <c r="BB1234" s="167"/>
      <c r="BC1234" s="167"/>
      <c r="BD1234" s="66"/>
      <c r="BE1234" s="66"/>
    </row>
    <row r="1235" spans="1:57" s="1" customFormat="1" ht="23.25" customHeight="1" x14ac:dyDescent="0.4">
      <c r="A1235" s="37" t="str">
        <f t="shared" si="482"/>
        <v>20Н</v>
      </c>
      <c r="B1235" s="183"/>
      <c r="C1235" s="100"/>
      <c r="D1235" s="185"/>
      <c r="E1235" s="186" t="s">
        <v>57</v>
      </c>
      <c r="F1235" s="66" t="s">
        <v>87</v>
      </c>
      <c r="G1235" s="66"/>
      <c r="H1235" s="108" t="s">
        <v>131</v>
      </c>
      <c r="I1235" s="101"/>
      <c r="J1235" s="101"/>
      <c r="K1235" s="101"/>
      <c r="L1235" s="101"/>
      <c r="M1235" s="101"/>
      <c r="N1235" s="101"/>
      <c r="O1235" s="67"/>
      <c r="P1235" s="102"/>
      <c r="Q1235" s="102"/>
      <c r="R1235" s="102"/>
      <c r="S1235" s="102"/>
      <c r="T1235" s="102"/>
      <c r="U1235" s="67"/>
      <c r="V1235" s="67"/>
      <c r="W1235" s="103"/>
      <c r="X1235" s="187"/>
      <c r="Y1235" s="68" t="s">
        <v>74</v>
      </c>
      <c r="Z1235" s="69"/>
      <c r="AA1235" s="90"/>
      <c r="AB1235" s="100"/>
      <c r="AC1235" s="100"/>
      <c r="AD1235" s="186" t="s">
        <v>57</v>
      </c>
      <c r="AE1235" s="66"/>
      <c r="AF1235" s="66"/>
      <c r="AG1235" s="66"/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6"/>
      <c r="AS1235" s="66"/>
      <c r="AT1235" s="190"/>
      <c r="AU1235" s="66"/>
      <c r="AV1235" s="165"/>
      <c r="AW1235" s="293"/>
      <c r="AX1235" s="66"/>
      <c r="AY1235" s="66"/>
      <c r="AZ1235" s="66"/>
      <c r="BA1235" s="66"/>
      <c r="BB1235" s="66"/>
      <c r="BC1235" s="66"/>
      <c r="BD1235" s="68" t="s">
        <v>74</v>
      </c>
      <c r="BE1235" s="69"/>
    </row>
    <row r="1236" spans="1:57" s="1" customFormat="1" ht="23.25" customHeight="1" thickBot="1" x14ac:dyDescent="0.45">
      <c r="A1236" s="37" t="str">
        <f t="shared" si="482"/>
        <v>20Н</v>
      </c>
      <c r="B1236" s="183"/>
      <c r="C1236" s="41"/>
      <c r="D1236" s="184"/>
      <c r="E1236" s="50"/>
      <c r="F1236" s="70"/>
      <c r="G1236" s="70"/>
      <c r="H1236" s="70"/>
      <c r="I1236" s="104"/>
      <c r="J1236" s="104"/>
      <c r="K1236" s="104"/>
      <c r="L1236" s="104"/>
      <c r="M1236" s="104"/>
      <c r="N1236" s="104"/>
      <c r="O1236" s="71"/>
      <c r="P1236" s="105"/>
      <c r="Q1236" s="105"/>
      <c r="R1236" s="105"/>
      <c r="S1236" s="105"/>
      <c r="T1236" s="105"/>
      <c r="U1236" s="71"/>
      <c r="V1236" s="71"/>
      <c r="W1236" s="106"/>
      <c r="X1236" s="188"/>
      <c r="Y1236" s="72"/>
      <c r="Z1236" s="73"/>
      <c r="AA1236" s="90"/>
      <c r="AB1236" s="41"/>
      <c r="AC1236" s="41"/>
      <c r="AD1236" s="50"/>
      <c r="AE1236" s="47"/>
      <c r="AF1236" s="47"/>
      <c r="AG1236" s="47"/>
      <c r="AH1236" s="47"/>
      <c r="AI1236" s="47"/>
      <c r="AJ1236" s="47"/>
      <c r="AK1236" s="47"/>
      <c r="AL1236" s="47"/>
      <c r="AM1236" s="70"/>
      <c r="AN1236" s="47"/>
      <c r="AO1236" s="70"/>
      <c r="AP1236" s="70"/>
      <c r="AQ1236" s="70"/>
      <c r="AR1236" s="70"/>
      <c r="AS1236" s="70"/>
      <c r="AT1236" s="191"/>
      <c r="AU1236" s="70"/>
      <c r="AV1236" s="192"/>
      <c r="AW1236" s="294"/>
      <c r="AX1236" s="70"/>
      <c r="AY1236" s="70"/>
      <c r="AZ1236" s="70"/>
      <c r="BA1236" s="70"/>
      <c r="BB1236" s="70"/>
      <c r="BC1236" s="70"/>
      <c r="BD1236" s="72"/>
      <c r="BE1236" s="73"/>
    </row>
    <row r="1237" spans="1:57" s="1" customFormat="1" ht="18" customHeight="1" x14ac:dyDescent="0.4">
      <c r="A1237" s="37" t="str">
        <f t="shared" si="482"/>
        <v>20Н</v>
      </c>
      <c r="B1237" s="183"/>
      <c r="C1237" s="41"/>
      <c r="D1237" s="184"/>
      <c r="E1237" s="281">
        <f>B1232</f>
        <v>20</v>
      </c>
      <c r="F1237" s="337"/>
      <c r="G1237" s="338"/>
      <c r="H1237" s="338"/>
      <c r="I1237" s="338"/>
      <c r="J1237" s="338"/>
      <c r="K1237" s="338"/>
      <c r="L1237" s="338"/>
      <c r="M1237" s="338"/>
      <c r="N1237" s="338"/>
      <c r="O1237" s="338"/>
      <c r="P1237" s="338"/>
      <c r="Q1237" s="338"/>
      <c r="R1237" s="338"/>
      <c r="S1237" s="338"/>
      <c r="T1237" s="338"/>
      <c r="U1237" s="338"/>
      <c r="V1237" s="338"/>
      <c r="W1237" s="338"/>
      <c r="X1237" s="98">
        <v>1</v>
      </c>
      <c r="Y1237" s="74">
        <v>1</v>
      </c>
      <c r="Z1237" s="75">
        <f t="shared" ref="Z1237:Z1248" si="488">Y1237-X1237</f>
        <v>0</v>
      </c>
      <c r="AA1237" s="189"/>
      <c r="AB1237" s="41"/>
      <c r="AC1237" s="184"/>
      <c r="AD1237" s="210">
        <f>E1237</f>
        <v>20</v>
      </c>
      <c r="AE1237" s="387"/>
      <c r="AF1237" s="388"/>
      <c r="AG1237" s="388"/>
      <c r="AH1237" s="388"/>
      <c r="AI1237" s="388"/>
      <c r="AJ1237" s="388"/>
      <c r="AK1237" s="388"/>
      <c r="AL1237" s="388"/>
      <c r="AM1237" s="388"/>
      <c r="AN1237" s="388"/>
      <c r="AO1237" s="388"/>
      <c r="AP1237" s="388"/>
      <c r="AQ1237" s="388"/>
      <c r="AR1237" s="388"/>
      <c r="AS1237" s="388"/>
      <c r="AT1237" s="388"/>
      <c r="AU1237" s="388"/>
      <c r="AV1237" s="388"/>
      <c r="AW1237" s="388"/>
      <c r="AX1237" s="388"/>
      <c r="AY1237" s="388"/>
      <c r="AZ1237" s="388"/>
      <c r="BA1237" s="388"/>
      <c r="BB1237" s="389"/>
      <c r="BC1237" s="98">
        <v>1</v>
      </c>
      <c r="BD1237" s="74">
        <v>1</v>
      </c>
      <c r="BE1237" s="75">
        <f t="shared" ref="BE1237:BE1248" si="489">BD1237-BC1237</f>
        <v>0</v>
      </c>
    </row>
    <row r="1238" spans="1:57" s="1" customFormat="1" ht="18" customHeight="1" x14ac:dyDescent="0.4">
      <c r="A1238" s="37" t="str">
        <f t="shared" si="482"/>
        <v>20Н</v>
      </c>
      <c r="B1238" s="183"/>
      <c r="C1238" s="41"/>
      <c r="D1238" s="184"/>
      <c r="E1238" s="282">
        <f>E1237</f>
        <v>20</v>
      </c>
      <c r="F1238" s="335"/>
      <c r="G1238" s="336"/>
      <c r="H1238" s="336"/>
      <c r="I1238" s="336"/>
      <c r="J1238" s="336"/>
      <c r="K1238" s="336"/>
      <c r="L1238" s="336"/>
      <c r="M1238" s="336"/>
      <c r="N1238" s="336"/>
      <c r="O1238" s="336"/>
      <c r="P1238" s="336"/>
      <c r="Q1238" s="336"/>
      <c r="R1238" s="336"/>
      <c r="S1238" s="336"/>
      <c r="T1238" s="336"/>
      <c r="U1238" s="336"/>
      <c r="V1238" s="336"/>
      <c r="W1238" s="336"/>
      <c r="X1238" s="98">
        <v>1</v>
      </c>
      <c r="Y1238" s="74">
        <v>1</v>
      </c>
      <c r="Z1238" s="75">
        <f t="shared" si="488"/>
        <v>0</v>
      </c>
      <c r="AA1238" s="107">
        <f>AA1237</f>
        <v>0</v>
      </c>
      <c r="AB1238" s="41"/>
      <c r="AC1238" s="184"/>
      <c r="AD1238" s="212">
        <f>AD1237</f>
        <v>20</v>
      </c>
      <c r="AE1238" s="387"/>
      <c r="AF1238" s="388"/>
      <c r="AG1238" s="388"/>
      <c r="AH1238" s="388"/>
      <c r="AI1238" s="388"/>
      <c r="AJ1238" s="388"/>
      <c r="AK1238" s="388"/>
      <c r="AL1238" s="388"/>
      <c r="AM1238" s="388"/>
      <c r="AN1238" s="388"/>
      <c r="AO1238" s="388"/>
      <c r="AP1238" s="388"/>
      <c r="AQ1238" s="388"/>
      <c r="AR1238" s="388"/>
      <c r="AS1238" s="388"/>
      <c r="AT1238" s="388"/>
      <c r="AU1238" s="388"/>
      <c r="AV1238" s="388"/>
      <c r="AW1238" s="388"/>
      <c r="AX1238" s="388"/>
      <c r="AY1238" s="388"/>
      <c r="AZ1238" s="388"/>
      <c r="BA1238" s="388"/>
      <c r="BB1238" s="389"/>
      <c r="BC1238" s="98">
        <v>1</v>
      </c>
      <c r="BD1238" s="74">
        <v>1</v>
      </c>
      <c r="BE1238" s="75">
        <f t="shared" si="489"/>
        <v>0</v>
      </c>
    </row>
    <row r="1239" spans="1:57" s="1" customFormat="1" ht="18" customHeight="1" x14ac:dyDescent="0.4">
      <c r="A1239" s="37" t="str">
        <f t="shared" si="482"/>
        <v>20Н</v>
      </c>
      <c r="B1239" s="183"/>
      <c r="C1239" s="41"/>
      <c r="D1239" s="184"/>
      <c r="E1239" s="282">
        <f t="shared" ref="E1239:E1248" si="490">E1238</f>
        <v>20</v>
      </c>
      <c r="F1239" s="335"/>
      <c r="G1239" s="336"/>
      <c r="H1239" s="336"/>
      <c r="I1239" s="336"/>
      <c r="J1239" s="336"/>
      <c r="K1239" s="336"/>
      <c r="L1239" s="336"/>
      <c r="M1239" s="336"/>
      <c r="N1239" s="336"/>
      <c r="O1239" s="336"/>
      <c r="P1239" s="336"/>
      <c r="Q1239" s="336"/>
      <c r="R1239" s="336"/>
      <c r="S1239" s="336"/>
      <c r="T1239" s="336"/>
      <c r="U1239" s="336"/>
      <c r="V1239" s="336"/>
      <c r="W1239" s="336"/>
      <c r="X1239" s="98">
        <v>1</v>
      </c>
      <c r="Y1239" s="74">
        <v>1</v>
      </c>
      <c r="Z1239" s="75">
        <f t="shared" si="488"/>
        <v>0</v>
      </c>
      <c r="AA1239" s="107">
        <f>AA1238</f>
        <v>0</v>
      </c>
      <c r="AB1239" s="41"/>
      <c r="AC1239" s="184"/>
      <c r="AD1239" s="212">
        <f t="shared" ref="AD1239:AD1248" si="491">AD1238</f>
        <v>20</v>
      </c>
      <c r="AE1239" s="387"/>
      <c r="AF1239" s="388"/>
      <c r="AG1239" s="388"/>
      <c r="AH1239" s="388"/>
      <c r="AI1239" s="388"/>
      <c r="AJ1239" s="388"/>
      <c r="AK1239" s="388"/>
      <c r="AL1239" s="388"/>
      <c r="AM1239" s="388"/>
      <c r="AN1239" s="388"/>
      <c r="AO1239" s="388"/>
      <c r="AP1239" s="388"/>
      <c r="AQ1239" s="388"/>
      <c r="AR1239" s="388"/>
      <c r="AS1239" s="388"/>
      <c r="AT1239" s="388"/>
      <c r="AU1239" s="388"/>
      <c r="AV1239" s="388"/>
      <c r="AW1239" s="388"/>
      <c r="AX1239" s="388"/>
      <c r="AY1239" s="388"/>
      <c r="AZ1239" s="388"/>
      <c r="BA1239" s="388"/>
      <c r="BB1239" s="389"/>
      <c r="BC1239" s="98">
        <v>1</v>
      </c>
      <c r="BD1239" s="74">
        <v>1</v>
      </c>
      <c r="BE1239" s="75">
        <f t="shared" si="489"/>
        <v>0</v>
      </c>
    </row>
    <row r="1240" spans="1:57" s="1" customFormat="1" ht="18" customHeight="1" x14ac:dyDescent="0.4">
      <c r="A1240" s="37" t="str">
        <f t="shared" si="482"/>
        <v>20Н</v>
      </c>
      <c r="B1240" s="183"/>
      <c r="C1240" s="41"/>
      <c r="D1240" s="184"/>
      <c r="E1240" s="282">
        <f t="shared" si="490"/>
        <v>20</v>
      </c>
      <c r="F1240" s="335"/>
      <c r="G1240" s="336"/>
      <c r="H1240" s="336"/>
      <c r="I1240" s="336"/>
      <c r="J1240" s="336"/>
      <c r="K1240" s="336"/>
      <c r="L1240" s="336"/>
      <c r="M1240" s="336"/>
      <c r="N1240" s="336"/>
      <c r="O1240" s="336"/>
      <c r="P1240" s="336"/>
      <c r="Q1240" s="336"/>
      <c r="R1240" s="336"/>
      <c r="S1240" s="336"/>
      <c r="T1240" s="336"/>
      <c r="U1240" s="336"/>
      <c r="V1240" s="336"/>
      <c r="W1240" s="336"/>
      <c r="X1240" s="98">
        <v>1</v>
      </c>
      <c r="Y1240" s="74">
        <v>1</v>
      </c>
      <c r="Z1240" s="75">
        <f t="shared" si="488"/>
        <v>0</v>
      </c>
      <c r="AA1240" s="107">
        <f t="shared" ref="AA1240:AA1248" si="492">AA1239</f>
        <v>0</v>
      </c>
      <c r="AB1240" s="41"/>
      <c r="AC1240" s="184"/>
      <c r="AD1240" s="212">
        <f t="shared" si="491"/>
        <v>20</v>
      </c>
      <c r="AE1240" s="387"/>
      <c r="AF1240" s="388"/>
      <c r="AG1240" s="388"/>
      <c r="AH1240" s="388"/>
      <c r="AI1240" s="388"/>
      <c r="AJ1240" s="388"/>
      <c r="AK1240" s="388"/>
      <c r="AL1240" s="388"/>
      <c r="AM1240" s="388"/>
      <c r="AN1240" s="388"/>
      <c r="AO1240" s="388"/>
      <c r="AP1240" s="388"/>
      <c r="AQ1240" s="388"/>
      <c r="AR1240" s="388"/>
      <c r="AS1240" s="388"/>
      <c r="AT1240" s="388"/>
      <c r="AU1240" s="388"/>
      <c r="AV1240" s="388"/>
      <c r="AW1240" s="388"/>
      <c r="AX1240" s="388"/>
      <c r="AY1240" s="388"/>
      <c r="AZ1240" s="388"/>
      <c r="BA1240" s="388"/>
      <c r="BB1240" s="389"/>
      <c r="BC1240" s="98">
        <v>1</v>
      </c>
      <c r="BD1240" s="74">
        <v>1</v>
      </c>
      <c r="BE1240" s="75">
        <f t="shared" si="489"/>
        <v>0</v>
      </c>
    </row>
    <row r="1241" spans="1:57" s="1" customFormat="1" ht="18" customHeight="1" x14ac:dyDescent="0.4">
      <c r="A1241" s="37" t="str">
        <f t="shared" si="482"/>
        <v>20Н</v>
      </c>
      <c r="B1241" s="183"/>
      <c r="C1241" s="41"/>
      <c r="D1241" s="184"/>
      <c r="E1241" s="282">
        <f t="shared" si="490"/>
        <v>20</v>
      </c>
      <c r="F1241" s="335"/>
      <c r="G1241" s="336"/>
      <c r="H1241" s="336"/>
      <c r="I1241" s="336"/>
      <c r="J1241" s="336"/>
      <c r="K1241" s="336"/>
      <c r="L1241" s="336"/>
      <c r="M1241" s="336"/>
      <c r="N1241" s="336"/>
      <c r="O1241" s="336"/>
      <c r="P1241" s="336"/>
      <c r="Q1241" s="336"/>
      <c r="R1241" s="336"/>
      <c r="S1241" s="336"/>
      <c r="T1241" s="336"/>
      <c r="U1241" s="336"/>
      <c r="V1241" s="336"/>
      <c r="W1241" s="336"/>
      <c r="X1241" s="98">
        <v>1</v>
      </c>
      <c r="Y1241" s="74">
        <v>1</v>
      </c>
      <c r="Z1241" s="75">
        <f t="shared" si="488"/>
        <v>0</v>
      </c>
      <c r="AA1241" s="107">
        <f t="shared" si="492"/>
        <v>0</v>
      </c>
      <c r="AB1241" s="41"/>
      <c r="AC1241" s="184"/>
      <c r="AD1241" s="212">
        <f t="shared" si="491"/>
        <v>20</v>
      </c>
      <c r="AE1241" s="387"/>
      <c r="AF1241" s="388"/>
      <c r="AG1241" s="388"/>
      <c r="AH1241" s="388"/>
      <c r="AI1241" s="388"/>
      <c r="AJ1241" s="388"/>
      <c r="AK1241" s="388"/>
      <c r="AL1241" s="388"/>
      <c r="AM1241" s="388"/>
      <c r="AN1241" s="388"/>
      <c r="AO1241" s="388"/>
      <c r="AP1241" s="388"/>
      <c r="AQ1241" s="388"/>
      <c r="AR1241" s="388"/>
      <c r="AS1241" s="388"/>
      <c r="AT1241" s="388"/>
      <c r="AU1241" s="388"/>
      <c r="AV1241" s="388"/>
      <c r="AW1241" s="388"/>
      <c r="AX1241" s="388"/>
      <c r="AY1241" s="388"/>
      <c r="AZ1241" s="388"/>
      <c r="BA1241" s="388"/>
      <c r="BB1241" s="389"/>
      <c r="BC1241" s="98">
        <v>1</v>
      </c>
      <c r="BD1241" s="74">
        <v>1</v>
      </c>
      <c r="BE1241" s="75">
        <f t="shared" si="489"/>
        <v>0</v>
      </c>
    </row>
    <row r="1242" spans="1:57" s="1" customFormat="1" ht="18" customHeight="1" x14ac:dyDescent="0.4">
      <c r="A1242" s="37" t="str">
        <f t="shared" si="482"/>
        <v>20Н</v>
      </c>
      <c r="B1242" s="183"/>
      <c r="C1242" s="41"/>
      <c r="D1242" s="184"/>
      <c r="E1242" s="282">
        <f t="shared" si="490"/>
        <v>20</v>
      </c>
      <c r="F1242" s="335"/>
      <c r="G1242" s="336"/>
      <c r="H1242" s="336"/>
      <c r="I1242" s="336"/>
      <c r="J1242" s="336"/>
      <c r="K1242" s="336"/>
      <c r="L1242" s="336"/>
      <c r="M1242" s="336"/>
      <c r="N1242" s="336"/>
      <c r="O1242" s="336"/>
      <c r="P1242" s="336"/>
      <c r="Q1242" s="336"/>
      <c r="R1242" s="336"/>
      <c r="S1242" s="336"/>
      <c r="T1242" s="336"/>
      <c r="U1242" s="336"/>
      <c r="V1242" s="336"/>
      <c r="W1242" s="336"/>
      <c r="X1242" s="98">
        <v>1</v>
      </c>
      <c r="Y1242" s="74">
        <v>1</v>
      </c>
      <c r="Z1242" s="75">
        <f t="shared" si="488"/>
        <v>0</v>
      </c>
      <c r="AA1242" s="107">
        <f t="shared" si="492"/>
        <v>0</v>
      </c>
      <c r="AB1242" s="41"/>
      <c r="AC1242" s="184"/>
      <c r="AD1242" s="212">
        <f t="shared" si="491"/>
        <v>20</v>
      </c>
      <c r="AE1242" s="387"/>
      <c r="AF1242" s="388"/>
      <c r="AG1242" s="388"/>
      <c r="AH1242" s="388"/>
      <c r="AI1242" s="388"/>
      <c r="AJ1242" s="388"/>
      <c r="AK1242" s="388"/>
      <c r="AL1242" s="388"/>
      <c r="AM1242" s="388"/>
      <c r="AN1242" s="388"/>
      <c r="AO1242" s="388"/>
      <c r="AP1242" s="388"/>
      <c r="AQ1242" s="388"/>
      <c r="AR1242" s="388"/>
      <c r="AS1242" s="388"/>
      <c r="AT1242" s="388"/>
      <c r="AU1242" s="388"/>
      <c r="AV1242" s="388"/>
      <c r="AW1242" s="388"/>
      <c r="AX1242" s="388"/>
      <c r="AY1242" s="388"/>
      <c r="AZ1242" s="388"/>
      <c r="BA1242" s="388"/>
      <c r="BB1242" s="389"/>
      <c r="BC1242" s="98">
        <v>1</v>
      </c>
      <c r="BD1242" s="74">
        <v>1</v>
      </c>
      <c r="BE1242" s="75">
        <f t="shared" si="489"/>
        <v>0</v>
      </c>
    </row>
    <row r="1243" spans="1:57" s="1" customFormat="1" ht="18" customHeight="1" x14ac:dyDescent="0.4">
      <c r="A1243" s="37" t="str">
        <f t="shared" si="482"/>
        <v>20Н</v>
      </c>
      <c r="B1243" s="183"/>
      <c r="C1243" s="41"/>
      <c r="D1243" s="184"/>
      <c r="E1243" s="282">
        <f t="shared" si="490"/>
        <v>20</v>
      </c>
      <c r="F1243" s="335"/>
      <c r="G1243" s="336"/>
      <c r="H1243" s="336"/>
      <c r="I1243" s="336"/>
      <c r="J1243" s="336"/>
      <c r="K1243" s="336"/>
      <c r="L1243" s="336"/>
      <c r="M1243" s="336"/>
      <c r="N1243" s="336"/>
      <c r="O1243" s="336"/>
      <c r="P1243" s="336"/>
      <c r="Q1243" s="336"/>
      <c r="R1243" s="336"/>
      <c r="S1243" s="336"/>
      <c r="T1243" s="336"/>
      <c r="U1243" s="336"/>
      <c r="V1243" s="336"/>
      <c r="W1243" s="336"/>
      <c r="X1243" s="98">
        <v>1</v>
      </c>
      <c r="Y1243" s="74">
        <v>1</v>
      </c>
      <c r="Z1243" s="75">
        <f t="shared" si="488"/>
        <v>0</v>
      </c>
      <c r="AA1243" s="107">
        <f t="shared" si="492"/>
        <v>0</v>
      </c>
      <c r="AB1243" s="41"/>
      <c r="AC1243" s="184"/>
      <c r="AD1243" s="212">
        <f t="shared" si="491"/>
        <v>20</v>
      </c>
      <c r="AE1243" s="387"/>
      <c r="AF1243" s="388"/>
      <c r="AG1243" s="388"/>
      <c r="AH1243" s="388"/>
      <c r="AI1243" s="388"/>
      <c r="AJ1243" s="388"/>
      <c r="AK1243" s="388"/>
      <c r="AL1243" s="388"/>
      <c r="AM1243" s="388"/>
      <c r="AN1243" s="388"/>
      <c r="AO1243" s="388"/>
      <c r="AP1243" s="388"/>
      <c r="AQ1243" s="388"/>
      <c r="AR1243" s="388"/>
      <c r="AS1243" s="388"/>
      <c r="AT1243" s="388"/>
      <c r="AU1243" s="388"/>
      <c r="AV1243" s="388"/>
      <c r="AW1243" s="388"/>
      <c r="AX1243" s="388"/>
      <c r="AY1243" s="388"/>
      <c r="AZ1243" s="388"/>
      <c r="BA1243" s="388"/>
      <c r="BB1243" s="389"/>
      <c r="BC1243" s="98">
        <v>1</v>
      </c>
      <c r="BD1243" s="74">
        <v>1</v>
      </c>
      <c r="BE1243" s="75">
        <f t="shared" si="489"/>
        <v>0</v>
      </c>
    </row>
    <row r="1244" spans="1:57" s="1" customFormat="1" ht="18" customHeight="1" x14ac:dyDescent="0.4">
      <c r="A1244" s="37" t="str">
        <f t="shared" si="482"/>
        <v>20Н</v>
      </c>
      <c r="B1244" s="183"/>
      <c r="C1244" s="41"/>
      <c r="D1244" s="184"/>
      <c r="E1244" s="282">
        <f t="shared" si="490"/>
        <v>20</v>
      </c>
      <c r="F1244" s="335"/>
      <c r="G1244" s="336"/>
      <c r="H1244" s="336"/>
      <c r="I1244" s="336"/>
      <c r="J1244" s="336"/>
      <c r="K1244" s="336"/>
      <c r="L1244" s="336"/>
      <c r="M1244" s="336"/>
      <c r="N1244" s="336"/>
      <c r="O1244" s="336"/>
      <c r="P1244" s="336"/>
      <c r="Q1244" s="336"/>
      <c r="R1244" s="336"/>
      <c r="S1244" s="336"/>
      <c r="T1244" s="336"/>
      <c r="U1244" s="336"/>
      <c r="V1244" s="336"/>
      <c r="W1244" s="336"/>
      <c r="X1244" s="98">
        <v>1</v>
      </c>
      <c r="Y1244" s="74">
        <v>1</v>
      </c>
      <c r="Z1244" s="75">
        <f t="shared" si="488"/>
        <v>0</v>
      </c>
      <c r="AA1244" s="107">
        <f t="shared" si="492"/>
        <v>0</v>
      </c>
      <c r="AB1244" s="41"/>
      <c r="AC1244" s="184"/>
      <c r="AD1244" s="212">
        <f t="shared" si="491"/>
        <v>20</v>
      </c>
      <c r="AE1244" s="387"/>
      <c r="AF1244" s="388"/>
      <c r="AG1244" s="388"/>
      <c r="AH1244" s="388"/>
      <c r="AI1244" s="388"/>
      <c r="AJ1244" s="388"/>
      <c r="AK1244" s="388"/>
      <c r="AL1244" s="388"/>
      <c r="AM1244" s="388"/>
      <c r="AN1244" s="388"/>
      <c r="AO1244" s="388"/>
      <c r="AP1244" s="388"/>
      <c r="AQ1244" s="388"/>
      <c r="AR1244" s="388"/>
      <c r="AS1244" s="388"/>
      <c r="AT1244" s="388"/>
      <c r="AU1244" s="388"/>
      <c r="AV1244" s="388"/>
      <c r="AW1244" s="388"/>
      <c r="AX1244" s="388"/>
      <c r="AY1244" s="388"/>
      <c r="AZ1244" s="388"/>
      <c r="BA1244" s="388"/>
      <c r="BB1244" s="389"/>
      <c r="BC1244" s="98">
        <v>1</v>
      </c>
      <c r="BD1244" s="74">
        <v>1</v>
      </c>
      <c r="BE1244" s="75">
        <f t="shared" si="489"/>
        <v>0</v>
      </c>
    </row>
    <row r="1245" spans="1:57" s="1" customFormat="1" ht="18" customHeight="1" x14ac:dyDescent="0.4">
      <c r="A1245" s="37" t="str">
        <f t="shared" si="482"/>
        <v>20Н</v>
      </c>
      <c r="B1245" s="183"/>
      <c r="C1245" s="41"/>
      <c r="D1245" s="184"/>
      <c r="E1245" s="282">
        <f t="shared" si="490"/>
        <v>20</v>
      </c>
      <c r="F1245" s="335"/>
      <c r="G1245" s="336"/>
      <c r="H1245" s="336"/>
      <c r="I1245" s="336"/>
      <c r="J1245" s="336"/>
      <c r="K1245" s="336"/>
      <c r="L1245" s="336"/>
      <c r="M1245" s="336"/>
      <c r="N1245" s="336"/>
      <c r="O1245" s="336"/>
      <c r="P1245" s="336"/>
      <c r="Q1245" s="336"/>
      <c r="R1245" s="336"/>
      <c r="S1245" s="336"/>
      <c r="T1245" s="336"/>
      <c r="U1245" s="336"/>
      <c r="V1245" s="336"/>
      <c r="W1245" s="336"/>
      <c r="X1245" s="98">
        <v>1</v>
      </c>
      <c r="Y1245" s="74">
        <v>1</v>
      </c>
      <c r="Z1245" s="75">
        <f t="shared" si="488"/>
        <v>0</v>
      </c>
      <c r="AA1245" s="107">
        <f t="shared" si="492"/>
        <v>0</v>
      </c>
      <c r="AB1245" s="41"/>
      <c r="AC1245" s="184"/>
      <c r="AD1245" s="212">
        <f t="shared" si="491"/>
        <v>20</v>
      </c>
      <c r="AE1245" s="387"/>
      <c r="AF1245" s="388"/>
      <c r="AG1245" s="388"/>
      <c r="AH1245" s="388"/>
      <c r="AI1245" s="388"/>
      <c r="AJ1245" s="388"/>
      <c r="AK1245" s="388"/>
      <c r="AL1245" s="388"/>
      <c r="AM1245" s="388"/>
      <c r="AN1245" s="388"/>
      <c r="AO1245" s="388"/>
      <c r="AP1245" s="388"/>
      <c r="AQ1245" s="388"/>
      <c r="AR1245" s="388"/>
      <c r="AS1245" s="388"/>
      <c r="AT1245" s="388"/>
      <c r="AU1245" s="388"/>
      <c r="AV1245" s="388"/>
      <c r="AW1245" s="388"/>
      <c r="AX1245" s="388"/>
      <c r="AY1245" s="388"/>
      <c r="AZ1245" s="388"/>
      <c r="BA1245" s="388"/>
      <c r="BB1245" s="389"/>
      <c r="BC1245" s="98">
        <v>1</v>
      </c>
      <c r="BD1245" s="74">
        <v>1</v>
      </c>
      <c r="BE1245" s="75">
        <f t="shared" si="489"/>
        <v>0</v>
      </c>
    </row>
    <row r="1246" spans="1:57" s="1" customFormat="1" ht="18" customHeight="1" x14ac:dyDescent="0.4">
      <c r="A1246" s="37" t="str">
        <f t="shared" si="482"/>
        <v>20Н</v>
      </c>
      <c r="B1246" s="183"/>
      <c r="C1246" s="41"/>
      <c r="D1246" s="184"/>
      <c r="E1246" s="282">
        <f t="shared" si="490"/>
        <v>20</v>
      </c>
      <c r="F1246" s="335"/>
      <c r="G1246" s="336"/>
      <c r="H1246" s="336"/>
      <c r="I1246" s="336"/>
      <c r="J1246" s="336"/>
      <c r="K1246" s="336"/>
      <c r="L1246" s="336"/>
      <c r="M1246" s="336"/>
      <c r="N1246" s="336"/>
      <c r="O1246" s="336"/>
      <c r="P1246" s="336"/>
      <c r="Q1246" s="336"/>
      <c r="R1246" s="336"/>
      <c r="S1246" s="336"/>
      <c r="T1246" s="336"/>
      <c r="U1246" s="336"/>
      <c r="V1246" s="336"/>
      <c r="W1246" s="336"/>
      <c r="X1246" s="98">
        <v>1</v>
      </c>
      <c r="Y1246" s="74">
        <v>1</v>
      </c>
      <c r="Z1246" s="75">
        <f t="shared" si="488"/>
        <v>0</v>
      </c>
      <c r="AA1246" s="107">
        <f t="shared" si="492"/>
        <v>0</v>
      </c>
      <c r="AB1246" s="41"/>
      <c r="AC1246" s="184"/>
      <c r="AD1246" s="212">
        <f t="shared" si="491"/>
        <v>20</v>
      </c>
      <c r="AE1246" s="387"/>
      <c r="AF1246" s="388"/>
      <c r="AG1246" s="388"/>
      <c r="AH1246" s="388"/>
      <c r="AI1246" s="388"/>
      <c r="AJ1246" s="388"/>
      <c r="AK1246" s="388"/>
      <c r="AL1246" s="388"/>
      <c r="AM1246" s="388"/>
      <c r="AN1246" s="388"/>
      <c r="AO1246" s="388"/>
      <c r="AP1246" s="388"/>
      <c r="AQ1246" s="388"/>
      <c r="AR1246" s="388"/>
      <c r="AS1246" s="388"/>
      <c r="AT1246" s="388"/>
      <c r="AU1246" s="388"/>
      <c r="AV1246" s="388"/>
      <c r="AW1246" s="388"/>
      <c r="AX1246" s="388"/>
      <c r="AY1246" s="388"/>
      <c r="AZ1246" s="388"/>
      <c r="BA1246" s="388"/>
      <c r="BB1246" s="389"/>
      <c r="BC1246" s="98">
        <v>1</v>
      </c>
      <c r="BD1246" s="74">
        <v>1</v>
      </c>
      <c r="BE1246" s="75">
        <f t="shared" si="489"/>
        <v>0</v>
      </c>
    </row>
    <row r="1247" spans="1:57" s="1" customFormat="1" ht="18" customHeight="1" x14ac:dyDescent="0.4">
      <c r="A1247" s="37" t="str">
        <f t="shared" si="482"/>
        <v>20Н</v>
      </c>
      <c r="B1247" s="183"/>
      <c r="C1247" s="41"/>
      <c r="D1247" s="184"/>
      <c r="E1247" s="282">
        <f t="shared" si="490"/>
        <v>20</v>
      </c>
      <c r="F1247" s="335"/>
      <c r="G1247" s="336"/>
      <c r="H1247" s="336"/>
      <c r="I1247" s="336"/>
      <c r="J1247" s="336"/>
      <c r="K1247" s="336"/>
      <c r="L1247" s="336"/>
      <c r="M1247" s="336"/>
      <c r="N1247" s="336"/>
      <c r="O1247" s="336"/>
      <c r="P1247" s="336"/>
      <c r="Q1247" s="336"/>
      <c r="R1247" s="336"/>
      <c r="S1247" s="336"/>
      <c r="T1247" s="336"/>
      <c r="U1247" s="336"/>
      <c r="V1247" s="336"/>
      <c r="W1247" s="336"/>
      <c r="X1247" s="98">
        <v>1</v>
      </c>
      <c r="Y1247" s="74">
        <v>1</v>
      </c>
      <c r="Z1247" s="75">
        <f t="shared" si="488"/>
        <v>0</v>
      </c>
      <c r="AA1247" s="107">
        <f t="shared" si="492"/>
        <v>0</v>
      </c>
      <c r="AB1247" s="41"/>
      <c r="AC1247" s="184"/>
      <c r="AD1247" s="212">
        <f t="shared" si="491"/>
        <v>20</v>
      </c>
      <c r="AE1247" s="387"/>
      <c r="AF1247" s="388"/>
      <c r="AG1247" s="388"/>
      <c r="AH1247" s="388"/>
      <c r="AI1247" s="388"/>
      <c r="AJ1247" s="388"/>
      <c r="AK1247" s="388"/>
      <c r="AL1247" s="388"/>
      <c r="AM1247" s="388"/>
      <c r="AN1247" s="388"/>
      <c r="AO1247" s="388"/>
      <c r="AP1247" s="388"/>
      <c r="AQ1247" s="388"/>
      <c r="AR1247" s="388"/>
      <c r="AS1247" s="388"/>
      <c r="AT1247" s="388"/>
      <c r="AU1247" s="388"/>
      <c r="AV1247" s="388"/>
      <c r="AW1247" s="388"/>
      <c r="AX1247" s="388"/>
      <c r="AY1247" s="388"/>
      <c r="AZ1247" s="388"/>
      <c r="BA1247" s="388"/>
      <c r="BB1247" s="389"/>
      <c r="BC1247" s="98">
        <v>1</v>
      </c>
      <c r="BD1247" s="74">
        <v>1</v>
      </c>
      <c r="BE1247" s="75">
        <f t="shared" si="489"/>
        <v>0</v>
      </c>
    </row>
    <row r="1248" spans="1:57" s="1" customFormat="1" ht="18" customHeight="1" thickBot="1" x14ac:dyDescent="0.45">
      <c r="A1248" s="37" t="str">
        <f t="shared" si="482"/>
        <v>20Н</v>
      </c>
      <c r="B1248" s="183"/>
      <c r="C1248" s="41"/>
      <c r="D1248" s="184"/>
      <c r="E1248" s="283">
        <f t="shared" si="490"/>
        <v>20</v>
      </c>
      <c r="F1248" s="339"/>
      <c r="G1248" s="340"/>
      <c r="H1248" s="340"/>
      <c r="I1248" s="340"/>
      <c r="J1248" s="340"/>
      <c r="K1248" s="340"/>
      <c r="L1248" s="340"/>
      <c r="M1248" s="340"/>
      <c r="N1248" s="340"/>
      <c r="O1248" s="340"/>
      <c r="P1248" s="340"/>
      <c r="Q1248" s="340"/>
      <c r="R1248" s="340"/>
      <c r="S1248" s="340"/>
      <c r="T1248" s="340"/>
      <c r="U1248" s="340"/>
      <c r="V1248" s="340"/>
      <c r="W1248" s="340"/>
      <c r="X1248" s="99">
        <v>1</v>
      </c>
      <c r="Y1248" s="76">
        <v>1</v>
      </c>
      <c r="Z1248" s="77">
        <f t="shared" si="488"/>
        <v>0</v>
      </c>
      <c r="AA1248" s="107">
        <f t="shared" si="492"/>
        <v>0</v>
      </c>
      <c r="AB1248" s="41"/>
      <c r="AC1248" s="184"/>
      <c r="AD1248" s="211">
        <f t="shared" si="491"/>
        <v>20</v>
      </c>
      <c r="AE1248" s="410"/>
      <c r="AF1248" s="411"/>
      <c r="AG1248" s="411"/>
      <c r="AH1248" s="411"/>
      <c r="AI1248" s="411"/>
      <c r="AJ1248" s="411"/>
      <c r="AK1248" s="411"/>
      <c r="AL1248" s="411"/>
      <c r="AM1248" s="411"/>
      <c r="AN1248" s="411"/>
      <c r="AO1248" s="411"/>
      <c r="AP1248" s="411"/>
      <c r="AQ1248" s="411"/>
      <c r="AR1248" s="411"/>
      <c r="AS1248" s="411"/>
      <c r="AT1248" s="411"/>
      <c r="AU1248" s="411"/>
      <c r="AV1248" s="411"/>
      <c r="AW1248" s="411"/>
      <c r="AX1248" s="411"/>
      <c r="AY1248" s="411"/>
      <c r="AZ1248" s="411"/>
      <c r="BA1248" s="411"/>
      <c r="BB1248" s="412"/>
      <c r="BC1248" s="99">
        <v>1</v>
      </c>
      <c r="BD1248" s="76">
        <v>1</v>
      </c>
      <c r="BE1248" s="75">
        <f t="shared" si="489"/>
        <v>0</v>
      </c>
    </row>
    <row r="1249" spans="1:57" s="1" customFormat="1" ht="23.25" customHeight="1" thickBot="1" x14ac:dyDescent="0.45">
      <c r="A1249" s="37" t="str">
        <f t="shared" si="482"/>
        <v>20Н</v>
      </c>
      <c r="B1249" s="193"/>
      <c r="C1249" s="47"/>
      <c r="D1249" s="47"/>
      <c r="E1249" s="47"/>
      <c r="F1249" s="78"/>
      <c r="G1249" s="78"/>
      <c r="H1249" s="78"/>
      <c r="I1249" s="80"/>
      <c r="J1249" s="80"/>
      <c r="K1249" s="80"/>
      <c r="L1249" s="80"/>
      <c r="M1249" s="80"/>
      <c r="N1249" s="80"/>
      <c r="O1249" s="78"/>
      <c r="P1249" s="81"/>
      <c r="Q1249" s="81"/>
      <c r="R1249" s="81"/>
      <c r="S1249" s="81"/>
      <c r="T1249" s="81"/>
      <c r="U1249" s="82"/>
      <c r="V1249" s="82"/>
      <c r="W1249" s="86"/>
      <c r="X1249" s="194"/>
      <c r="Y1249" s="83"/>
      <c r="Z1249" s="83"/>
      <c r="AA1249" s="78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84"/>
      <c r="AN1249" s="47"/>
      <c r="AO1249" s="78"/>
      <c r="AP1249" s="78"/>
      <c r="AQ1249" s="78"/>
      <c r="AR1249" s="84"/>
      <c r="AS1249" s="78"/>
      <c r="AT1249" s="85"/>
      <c r="AU1249" s="78"/>
      <c r="AV1249" s="83"/>
      <c r="AW1249" s="83"/>
      <c r="AX1249" s="78"/>
      <c r="AY1249" s="78"/>
      <c r="AZ1249" s="78"/>
      <c r="BA1249" s="78"/>
      <c r="BB1249" s="78"/>
      <c r="BC1249" s="78"/>
      <c r="BD1249" s="79"/>
      <c r="BE1249" s="79"/>
    </row>
    <row r="1250" spans="1:57" s="1" customFormat="1" ht="21.6" customHeight="1" thickBot="1" x14ac:dyDescent="0.45">
      <c r="A1250" s="37" t="s">
        <v>186</v>
      </c>
      <c r="B1250" s="59"/>
      <c r="C1250" s="51"/>
      <c r="D1250" s="51"/>
      <c r="E1250" s="51"/>
      <c r="F1250" s="158" t="s">
        <v>147</v>
      </c>
      <c r="G1250" s="51"/>
      <c r="H1250" s="51"/>
      <c r="I1250" s="156"/>
      <c r="J1250" s="156"/>
      <c r="K1250" s="156"/>
      <c r="L1250" s="156"/>
      <c r="M1250" s="156"/>
      <c r="N1250" s="156"/>
      <c r="O1250" s="91"/>
      <c r="P1250" s="52"/>
      <c r="Q1250" s="52"/>
      <c r="R1250" s="52"/>
      <c r="S1250" s="52"/>
      <c r="T1250" s="52"/>
      <c r="U1250" s="157"/>
      <c r="V1250" s="157"/>
      <c r="W1250" s="94"/>
      <c r="X1250" s="94"/>
      <c r="Y1250" s="51"/>
      <c r="Z1250" s="51"/>
      <c r="AA1250" s="157">
        <f>AA1233</f>
        <v>1</v>
      </c>
      <c r="AB1250" s="157">
        <f t="shared" ref="AB1250:AF1250" si="493">AB1233</f>
        <v>2</v>
      </c>
      <c r="AC1250" s="157">
        <f t="shared" si="493"/>
        <v>3</v>
      </c>
      <c r="AD1250" s="157">
        <f t="shared" si="493"/>
        <v>4</v>
      </c>
      <c r="AE1250" s="157">
        <f t="shared" si="493"/>
        <v>5</v>
      </c>
      <c r="AF1250" s="157">
        <f t="shared" si="493"/>
        <v>6</v>
      </c>
      <c r="AG1250" s="162" t="s">
        <v>123</v>
      </c>
      <c r="AH1250" s="162" t="s">
        <v>124</v>
      </c>
      <c r="AI1250" s="162" t="s">
        <v>125</v>
      </c>
      <c r="AJ1250" s="91" t="s">
        <v>126</v>
      </c>
      <c r="AK1250" s="198" t="s">
        <v>136</v>
      </c>
      <c r="AL1250" s="198" t="s">
        <v>137</v>
      </c>
      <c r="AM1250" s="198" t="s">
        <v>138</v>
      </c>
      <c r="AN1250" s="91"/>
      <c r="AO1250" s="91"/>
      <c r="AP1250" s="91"/>
      <c r="AQ1250" s="91"/>
      <c r="AR1250" s="91"/>
      <c r="AS1250" s="91"/>
      <c r="AT1250" s="91"/>
      <c r="AU1250" s="91"/>
      <c r="AV1250" s="91"/>
      <c r="AW1250" s="91"/>
      <c r="AX1250" s="91"/>
      <c r="AY1250" s="91"/>
      <c r="AZ1250" s="91"/>
      <c r="BA1250" s="91"/>
      <c r="BB1250" s="91"/>
      <c r="BC1250" s="91"/>
      <c r="BD1250" s="91"/>
      <c r="BE1250" s="91"/>
    </row>
    <row r="1251" spans="1:57" s="1" customFormat="1" ht="21.6" customHeight="1" x14ac:dyDescent="0.4">
      <c r="A1251" s="37" t="str">
        <f>A1250</f>
        <v>21Д</v>
      </c>
      <c r="B1251" s="12">
        <f>B1232+1</f>
        <v>21</v>
      </c>
      <c r="C1251" s="97"/>
      <c r="D1251" s="97">
        <v>1</v>
      </c>
      <c r="E1251" s="29"/>
      <c r="F1251" s="151" t="str">
        <f>IFERROR(VLOOKUP($G1251,нормы!$A$14:$BC$57,2,0),"")</f>
        <v/>
      </c>
      <c r="G1251" s="93"/>
      <c r="H1251" s="54">
        <f>IF(C1251=1,"Кульков С.А.", IF(C1251=2,"Чудаков А.А.",IF(C1251=3,"Королев В.Н.",IF(C1251=4,"Николашин М.П.",IF(C1251=5," Кульков С.А.",IF(C1251=6,"А.А. Чудаков",IF(C1251=7,"В.Н. Королев",IF(C1251=8,"М.П. Николашин",0))))))))</f>
        <v>0</v>
      </c>
      <c r="I1251" s="88" t="s">
        <v>84</v>
      </c>
      <c r="J1251" s="332"/>
      <c r="K1251" s="30">
        <f>IFERROR(VLOOKUP($G1251,[1]нормы!$A$21:$BC$151,15,0),"")</f>
        <v>0</v>
      </c>
      <c r="L1251" s="31">
        <f>IFERROR(VLOOKUP($G1251,[1]нормы!$A$21:$BC$151,17,0),"")</f>
        <v>0</v>
      </c>
      <c r="M1251" s="310">
        <f>IFERROR(VLOOKUP($G1251,[1]нормы!$A$21:$BC$151,27,0),"")</f>
        <v>0</v>
      </c>
      <c r="N1251" s="311" t="str">
        <f>IFERROR(Y1251/Y1257*(1.1*J1251*I1256),"")</f>
        <v/>
      </c>
      <c r="O1251" s="300">
        <f>IFERROR(VLOOKUP($G1251,[1]нормы!$A$21:$BC$151,21,0),"")</f>
        <v>0</v>
      </c>
      <c r="P1251" s="35">
        <f>IFERROR(VLOOKUP($G1251,[1]нормы!$A$21:$BC$151,19,0),"")</f>
        <v>0</v>
      </c>
      <c r="Q1251" s="35">
        <f>IFERROR(VLOOKUP($G1251,[1]нормы!$A$21:$BC$151,23,0),"")</f>
        <v>0</v>
      </c>
      <c r="R1251" s="231">
        <f>IFERROR(VLOOKUP($G1251,[1]нормы!$A$21:$BC$151,29,0),"")</f>
        <v>0</v>
      </c>
      <c r="S1251" s="35">
        <f>IFERROR(VLOOKUP($G1251,[1]нормы!$A$21:$BC$151,31,0),"")</f>
        <v>0</v>
      </c>
      <c r="T1251" s="32">
        <f>IFERROR(VLOOKUP($G1251,[1]нормы!$A$21:$BC$151,25,0),"")</f>
        <v>0</v>
      </c>
      <c r="U1251" s="232" t="str">
        <f>IFERROR(W1251/(((100*Y1251/Y1257)*I1256)/100),"")</f>
        <v/>
      </c>
      <c r="V1251" s="234" t="str">
        <f>IFERROR(VLOOKUP($G1251,нормы!$A$14:$BC$57,38,0),"")</f>
        <v/>
      </c>
      <c r="W1251" s="136"/>
      <c r="X1251" s="236"/>
      <c r="Y1251" s="152" t="str">
        <f>IFERROR(VLOOKUP($G1251,нормы!$A$14:$BC$57,42,0)*W1251,"")</f>
        <v/>
      </c>
      <c r="Z1251" s="163">
        <f>IFERROR(VLOOKUP($G1251,нормы!$A$14:$BC$57,14,0)*W1251/1000,0)</f>
        <v>0</v>
      </c>
      <c r="AA1251" s="33"/>
      <c r="AB1251" s="36"/>
      <c r="AC1251" s="36"/>
      <c r="AD1251" s="36"/>
      <c r="AE1251" s="34"/>
      <c r="AF1251" s="159"/>
      <c r="AG1251" s="390"/>
      <c r="AH1251" s="393"/>
      <c r="AI1251" s="396"/>
      <c r="AJ1251" s="407">
        <f>AG1251+AH1251</f>
        <v>0</v>
      </c>
      <c r="AK1251" s="359"/>
      <c r="AL1251" s="359"/>
      <c r="AM1251" s="359"/>
      <c r="AN1251" s="287">
        <f>IFERROR(Y1251*AJ1251/Y1257,)</f>
        <v>0</v>
      </c>
      <c r="AO1251" s="197" t="str">
        <f>IFERROR(VLOOKUP($G1251,нормы!$A$14:$BC$57,53,0)*$W1251,"")</f>
        <v/>
      </c>
      <c r="AP1251" s="288">
        <f>IFERROR(Y1251*AI1251/Y1257,)</f>
        <v>0</v>
      </c>
      <c r="AQ1251" s="197" t="str">
        <f>IFERROR(VLOOKUP($G1251,нормы!$A$14:$BC$57,54,0)*$W1251,"")</f>
        <v/>
      </c>
      <c r="AR1251" s="288">
        <f>IFERROR(AS1251/SUM(AS1251:AS1256)*AL1251,0)</f>
        <v>0</v>
      </c>
      <c r="AS1251" s="197" t="str">
        <f>IFERROR(VLOOKUP($G1251,нормы!$A$14:$BC$57,55,0)*W1251,"")</f>
        <v/>
      </c>
      <c r="AT1251" s="288">
        <f>IFERROR(AU1251/SUM(AU1251:AU1256)*AM1251,0)</f>
        <v>0</v>
      </c>
      <c r="AU1251" s="197" t="str">
        <f>IFERROR(VLOOKUP($G1251,нормы!$A$14:$BI$57,56,0)*W1251,"")</f>
        <v/>
      </c>
      <c r="AV1251" s="288">
        <f>IFERROR(AW1251/SUM(AW1251:AW1256)*AK1251,0)</f>
        <v>0</v>
      </c>
      <c r="AW1251" s="202" t="str">
        <f>IFERROR(VLOOKUP($G1251,нормы!$A$14:$BI$57,57,0)*W1251,"")</f>
        <v/>
      </c>
      <c r="AX1251" s="33"/>
      <c r="AY1251" s="203" t="str">
        <f>IFERROR(VLOOKUP($G1251,нормы!$A$14:$BI$57,58,0)*W1251,"")</f>
        <v/>
      </c>
      <c r="AZ1251" s="204"/>
      <c r="BA1251" s="200" t="str">
        <f>IFERROR(VLOOKUP($G1251,нормы!$A$14:$BI$57,61,0)*$W1251,"")</f>
        <v/>
      </c>
      <c r="BB1251" s="33"/>
      <c r="BC1251" s="203" t="str">
        <f>IFERROR(VLOOKUP($G1251,нормы!$A$14:$BI$57,60,0)*W1251,"")</f>
        <v/>
      </c>
      <c r="BD1251" s="200" t="str">
        <f>IFERROR(VLOOKUP($G1251,нормы!$A$14:$BG$57,44,0),"")</f>
        <v/>
      </c>
      <c r="BE1251" s="199" t="str">
        <f>IFERROR(W1251/VLOOKUP($G1251,нормы!$A$14:$BI$57,45,0),"")</f>
        <v/>
      </c>
    </row>
    <row r="1252" spans="1:57" s="1" customFormat="1" ht="21.6" customHeight="1" x14ac:dyDescent="0.4">
      <c r="A1252" s="37" t="str">
        <f t="shared" ref="A1252:A1280" si="494">A1251</f>
        <v>21Д</v>
      </c>
      <c r="B1252" s="12">
        <f t="shared" ref="B1252:D1256" si="495">B1251</f>
        <v>21</v>
      </c>
      <c r="C1252" s="97">
        <f t="shared" si="495"/>
        <v>0</v>
      </c>
      <c r="D1252" s="97">
        <f t="shared" si="495"/>
        <v>1</v>
      </c>
      <c r="E1252" s="54"/>
      <c r="F1252" s="151" t="str">
        <f>IFERROR(VLOOKUP($G1252,нормы!$A$14:$BC$57,2,0),"")</f>
        <v/>
      </c>
      <c r="G1252" s="93"/>
      <c r="H1252" s="54">
        <f t="shared" ref="H1252:H1256" si="496">IF(C1252=1,"Кульков С.А.", IF(C1252=2,"Чудаков А.А.",IF(C1252=3,"Королев В.Н.",IF(C1252=4,"Николашин М.П.",IF(C1252=5," Кульков С.А.",IF(C1252=6,"А.А. Чудаков",IF(C1252=7,"В.Н. Королев",IF(C1252=8,"М.П. Николашин",0))))))))</f>
        <v>0</v>
      </c>
      <c r="I1252" s="55"/>
      <c r="J1252" s="333"/>
      <c r="K1252" s="30">
        <f>IFERROR(VLOOKUP($G1252,[1]нормы!$A$21:$BC$151,15,0),"")</f>
        <v>0</v>
      </c>
      <c r="L1252" s="31">
        <f>IFERROR(VLOOKUP($G1252,[1]нормы!$A$21:$BC$151,17,0),"")</f>
        <v>0</v>
      </c>
      <c r="M1252" s="306">
        <f>IFERROR(VLOOKUP($G1252,[1]нормы!$A$21:$BC$151,27,0),"")</f>
        <v>0</v>
      </c>
      <c r="N1252" s="307" t="str">
        <f>IFERROR(Y1252/Y1257*(1.1*J1251*I1256),"")</f>
        <v/>
      </c>
      <c r="O1252" s="300">
        <f>IFERROR(VLOOKUP($G1252,[1]нормы!$A$21:$BC$151,21,0),"")</f>
        <v>0</v>
      </c>
      <c r="P1252" s="35">
        <f>IFERROR(VLOOKUP($G1252,[1]нормы!$A$21:$BC$151,19,0),"")</f>
        <v>0</v>
      </c>
      <c r="Q1252" s="35">
        <f>IFERROR(VLOOKUP($G1252,[1]нормы!$A$21:$BC$151,23,0),"")</f>
        <v>0</v>
      </c>
      <c r="R1252" s="231">
        <f>IFERROR(VLOOKUP($G1252,[1]нормы!$A$21:$BC$151,29,0),"")</f>
        <v>0</v>
      </c>
      <c r="S1252" s="35">
        <f>IFERROR(VLOOKUP($G1252,[1]нормы!$A$21:$BC$151,31,0),"")</f>
        <v>0</v>
      </c>
      <c r="T1252" s="32">
        <f>IFERROR(VLOOKUP($G1252,[1]нормы!$A$21:$BC$151,25,0),"")</f>
        <v>0</v>
      </c>
      <c r="U1252" s="233" t="str">
        <f>IFERROR(W1252/(((100*Y1252/Y1257)*I1256)/100),"")</f>
        <v/>
      </c>
      <c r="V1252" s="234" t="str">
        <f>IFERROR(VLOOKUP($G1252,нормы!$A$14:$BC$57,38,0),"")</f>
        <v/>
      </c>
      <c r="W1252" s="136"/>
      <c r="X1252" s="237"/>
      <c r="Y1252" s="152" t="str">
        <f>IFERROR(VLOOKUP($G1252,нормы!$A$14:$BC$57,42,0)*W1252,"")</f>
        <v/>
      </c>
      <c r="Z1252" s="163">
        <f>IFERROR(VLOOKUP($G1252,нормы!$A$14:$BC$57,14,0)*W1252/1000,0)</f>
        <v>0</v>
      </c>
      <c r="AA1252" s="142"/>
      <c r="AB1252" s="35"/>
      <c r="AC1252" s="35"/>
      <c r="AD1252" s="35"/>
      <c r="AE1252" s="31"/>
      <c r="AF1252" s="160"/>
      <c r="AG1252" s="391"/>
      <c r="AH1252" s="394"/>
      <c r="AI1252" s="397"/>
      <c r="AJ1252" s="408"/>
      <c r="AK1252" s="360"/>
      <c r="AL1252" s="360"/>
      <c r="AM1252" s="360"/>
      <c r="AN1252" s="289">
        <f>IFERROR(Y1252*AJ1251/Y1257,)</f>
        <v>0</v>
      </c>
      <c r="AO1252" s="197" t="str">
        <f>IFERROR(VLOOKUP($G1252,нормы!$A$14:$BC$57,53,0)*$W1252,"")</f>
        <v/>
      </c>
      <c r="AP1252" s="290">
        <f>IFERROR(Y1252*AI1251/Y1257,)</f>
        <v>0</v>
      </c>
      <c r="AQ1252" s="197" t="str">
        <f>IFERROR(VLOOKUP($G1252,нормы!$A$14:$BC$57,54,0)*$W1252,"")</f>
        <v/>
      </c>
      <c r="AR1252" s="290">
        <f>IFERROR(AS1252/SUM(AS1251:AS1256)*AL1251,0)</f>
        <v>0</v>
      </c>
      <c r="AS1252" s="197" t="str">
        <f>IFERROR(VLOOKUP($G1252,нормы!$A$14:$BC$57,55,0)*W1252,"")</f>
        <v/>
      </c>
      <c r="AT1252" s="290">
        <f>IFERROR(AU1252/SUM(AU1251:AU1256)*AM1251,0)</f>
        <v>0</v>
      </c>
      <c r="AU1252" s="197" t="str">
        <f>IFERROR(VLOOKUP($G1252,нормы!$A$14:$BI$57,56,0)*W1252,"")</f>
        <v/>
      </c>
      <c r="AV1252" s="290">
        <f>IFERROR(AW1252/SUM(AW1251:AW1256)*AK1251,0)</f>
        <v>0</v>
      </c>
      <c r="AW1252" s="202" t="str">
        <f>IFERROR(VLOOKUP($G1252,нормы!$A$14:$BI$57,57,0)*W1252,"")</f>
        <v/>
      </c>
      <c r="AX1252" s="30"/>
      <c r="AY1252" s="203" t="str">
        <f>IFERROR(VLOOKUP($G1252,нормы!$A$14:$BI$57,58,0)*W1252,"")</f>
        <v/>
      </c>
      <c r="AZ1252" s="205"/>
      <c r="BA1252" s="200" t="str">
        <f>IFERROR(VLOOKUP($G1252,нормы!$A$14:$BI$57,61,0)*$W1252,"")</f>
        <v/>
      </c>
      <c r="BB1252" s="30"/>
      <c r="BC1252" s="203" t="str">
        <f>IFERROR(VLOOKUP($G1252,нормы!$A$14:$BI$57,60,0)*W1252,"")</f>
        <v/>
      </c>
      <c r="BD1252" s="200" t="str">
        <f>IFERROR(VLOOKUP($G1252,нормы!$A$14:$BG$57,44,0),"")</f>
        <v/>
      </c>
      <c r="BE1252" s="199" t="str">
        <f>IFERROR(W1252/VLOOKUP($G1252,нормы!$A$14:$BI$57,45,0),"")</f>
        <v/>
      </c>
    </row>
    <row r="1253" spans="1:57" s="1" customFormat="1" ht="20.25" customHeight="1" x14ac:dyDescent="0.4">
      <c r="A1253" s="37" t="str">
        <f t="shared" si="494"/>
        <v>21Д</v>
      </c>
      <c r="B1253" s="12">
        <f t="shared" si="495"/>
        <v>21</v>
      </c>
      <c r="C1253" s="97">
        <f t="shared" si="495"/>
        <v>0</v>
      </c>
      <c r="D1253" s="97">
        <f t="shared" si="495"/>
        <v>1</v>
      </c>
      <c r="E1253" s="54"/>
      <c r="F1253" s="151" t="str">
        <f>IFERROR(VLOOKUP($G1253,нормы!$A$14:$BC$57,2,0),"")</f>
        <v/>
      </c>
      <c r="G1253" s="38"/>
      <c r="H1253" s="54">
        <f t="shared" si="496"/>
        <v>0</v>
      </c>
      <c r="I1253" s="89" t="s">
        <v>85</v>
      </c>
      <c r="J1253" s="333"/>
      <c r="K1253" s="30">
        <f>IFERROR(VLOOKUP($G1253,[1]нормы!$A$21:$BC$151,15,0),"")</f>
        <v>0</v>
      </c>
      <c r="L1253" s="31">
        <f>IFERROR(VLOOKUP($G1253,[1]нормы!$A$21:$BC$151,17,0),"")</f>
        <v>0</v>
      </c>
      <c r="M1253" s="306">
        <f>IFERROR(VLOOKUP($G1253,[1]нормы!$A$21:$BC$151,27,0),"")</f>
        <v>0</v>
      </c>
      <c r="N1253" s="307" t="str">
        <f>IFERROR(Y1253/Y1257*(1.1*J1251*I1256),"")</f>
        <v/>
      </c>
      <c r="O1253" s="300">
        <f>IFERROR(VLOOKUP($G1253,[1]нормы!$A$21:$BC$151,21,0),"")</f>
        <v>0</v>
      </c>
      <c r="P1253" s="35">
        <f>IFERROR(VLOOKUP($G1253,[1]нормы!$A$21:$BC$151,19,0),"")</f>
        <v>0</v>
      </c>
      <c r="Q1253" s="35">
        <f>IFERROR(VLOOKUP($G1253,[1]нормы!$A$21:$BC$151,23,0),"")</f>
        <v>0</v>
      </c>
      <c r="R1253" s="231">
        <f>IFERROR(VLOOKUP($G1253,[1]нормы!$A$21:$BC$151,29,0),"")</f>
        <v>0</v>
      </c>
      <c r="S1253" s="35">
        <f>IFERROR(VLOOKUP($G1253,[1]нормы!$A$21:$BC$151,31,0),"")</f>
        <v>0</v>
      </c>
      <c r="T1253" s="32">
        <f>IFERROR(VLOOKUP($G1253,[1]нормы!$A$21:$BC$151,25,0),"")</f>
        <v>0</v>
      </c>
      <c r="U1253" s="233" t="str">
        <f>IFERROR(W1253/(((100*Y1253/Y1257)*I1256)/100),"")</f>
        <v/>
      </c>
      <c r="V1253" s="234" t="str">
        <f>IFERROR(VLOOKUP($G1253,нормы!$A$14:$BC$57,38,0),"")</f>
        <v/>
      </c>
      <c r="W1253" s="136"/>
      <c r="X1253" s="237"/>
      <c r="Y1253" s="152" t="str">
        <f>IFERROR(VLOOKUP($G1253,нормы!$A$14:$BC$57,42,0)*W1253,"")</f>
        <v/>
      </c>
      <c r="Z1253" s="163">
        <f>IFERROR(VLOOKUP($G1253,нормы!$A$14:$BC$57,14,0)*W1253/1000,0)</f>
        <v>0</v>
      </c>
      <c r="AA1253" s="30"/>
      <c r="AB1253" s="35"/>
      <c r="AC1253" s="35"/>
      <c r="AD1253" s="35"/>
      <c r="AE1253" s="31"/>
      <c r="AF1253" s="160"/>
      <c r="AG1253" s="391"/>
      <c r="AH1253" s="394"/>
      <c r="AI1253" s="397"/>
      <c r="AJ1253" s="408"/>
      <c r="AK1253" s="360"/>
      <c r="AL1253" s="360"/>
      <c r="AM1253" s="360"/>
      <c r="AN1253" s="289">
        <f>IFERROR(Y1253*AJ1251/Y1257,)</f>
        <v>0</v>
      </c>
      <c r="AO1253" s="197" t="str">
        <f>IFERROR(VLOOKUP($G1253,нормы!$A$14:$BC$57,53,0)*$W1253,"")</f>
        <v/>
      </c>
      <c r="AP1253" s="290">
        <f>IFERROR(Y1253*AI1251/Y1257,)</f>
        <v>0</v>
      </c>
      <c r="AQ1253" s="197" t="str">
        <f>IFERROR(VLOOKUP($G1253,нормы!$A$14:$BC$57,54,0)*$W1253,"")</f>
        <v/>
      </c>
      <c r="AR1253" s="290">
        <f>IFERROR(AS1253/SUM(AS1251:AS1256)*AL1251,0)</f>
        <v>0</v>
      </c>
      <c r="AS1253" s="197" t="str">
        <f>IFERROR(VLOOKUP($G1253,нормы!$A$14:$BC$57,55,0)*W1253,"")</f>
        <v/>
      </c>
      <c r="AT1253" s="290">
        <f>IFERROR(AU1253/SUM(AU1251:AU1256)*AM1251,0)</f>
        <v>0</v>
      </c>
      <c r="AU1253" s="197" t="str">
        <f>IFERROR(VLOOKUP($G1253,нормы!$A$14:$BI$57,56,0)*W1253,"")</f>
        <v/>
      </c>
      <c r="AV1253" s="290">
        <f>IFERROR(AW1253/SUM(AW1251:AW1256)*AK1251,0)</f>
        <v>0</v>
      </c>
      <c r="AW1253" s="202" t="str">
        <f>IFERROR(VLOOKUP($G1253,нормы!$A$14:$BI$57,57,0)*W1253,"")</f>
        <v/>
      </c>
      <c r="AX1253" s="30"/>
      <c r="AY1253" s="203" t="str">
        <f>IFERROR(VLOOKUP($G1253,нормы!$A$14:$BI$57,58,0)*W1253,"")</f>
        <v/>
      </c>
      <c r="AZ1253" s="205"/>
      <c r="BA1253" s="200" t="str">
        <f>IFERROR(VLOOKUP($G1253,нормы!$A$14:$BI$57,61,0)*$W1253,"")</f>
        <v/>
      </c>
      <c r="BB1253" s="30"/>
      <c r="BC1253" s="203" t="str">
        <f>IFERROR(VLOOKUP($G1253,нормы!$A$14:$BI$57,60,0)*W1253,"")</f>
        <v/>
      </c>
      <c r="BD1253" s="200" t="str">
        <f>IFERROR(VLOOKUP($G1253,нормы!$A$14:$BG$57,44,0),"")</f>
        <v/>
      </c>
      <c r="BE1253" s="199" t="str">
        <f>IFERROR(W1253/VLOOKUP($G1253,нормы!$A$14:$BI$57,45,0),"")</f>
        <v/>
      </c>
    </row>
    <row r="1254" spans="1:57" s="1" customFormat="1" ht="20.25" customHeight="1" x14ac:dyDescent="0.4">
      <c r="A1254" s="37" t="str">
        <f t="shared" si="494"/>
        <v>21Д</v>
      </c>
      <c r="B1254" s="12">
        <f t="shared" si="495"/>
        <v>21</v>
      </c>
      <c r="C1254" s="97">
        <f t="shared" si="495"/>
        <v>0</v>
      </c>
      <c r="D1254" s="97">
        <f t="shared" si="495"/>
        <v>1</v>
      </c>
      <c r="E1254" s="54"/>
      <c r="F1254" s="151" t="str">
        <f>IFERROR(VLOOKUP($G1254,нормы!$A$14:$BC$57,2,0),"")</f>
        <v/>
      </c>
      <c r="G1254" s="93"/>
      <c r="H1254" s="54">
        <f t="shared" si="496"/>
        <v>0</v>
      </c>
      <c r="I1254" s="55"/>
      <c r="J1254" s="333"/>
      <c r="K1254" s="30">
        <f>IFERROR(VLOOKUP($G1254,[1]нормы!$A$21:$BC$151,15,0),"")</f>
        <v>0</v>
      </c>
      <c r="L1254" s="31">
        <f>IFERROR(VLOOKUP($G1254,[1]нормы!$A$21:$BC$151,17,0),"")</f>
        <v>0</v>
      </c>
      <c r="M1254" s="306">
        <f>IFERROR(VLOOKUP($G1254,[1]нормы!$A$21:$BC$151,27,0),"")</f>
        <v>0</v>
      </c>
      <c r="N1254" s="307" t="str">
        <f>IFERROR(Y1254/Y1257*(1.1*J1251*I1259),"")</f>
        <v/>
      </c>
      <c r="O1254" s="300">
        <f>IFERROR(VLOOKUP($G1254,[1]нормы!$A$21:$BC$151,21,0),"")</f>
        <v>0</v>
      </c>
      <c r="P1254" s="35">
        <f>IFERROR(VLOOKUP($G1254,[1]нормы!$A$21:$BC$151,19,0),"")</f>
        <v>0</v>
      </c>
      <c r="Q1254" s="35">
        <f>IFERROR(VLOOKUP($G1254,[1]нормы!$A$21:$BC$151,23,0),"")</f>
        <v>0</v>
      </c>
      <c r="R1254" s="231">
        <f>IFERROR(VLOOKUP($G1254,[1]нормы!$A$21:$BC$151,29,0),"")</f>
        <v>0</v>
      </c>
      <c r="S1254" s="35">
        <f>IFERROR(VLOOKUP($G1254,[1]нормы!$A$21:$BC$151,31,0),"")</f>
        <v>0</v>
      </c>
      <c r="T1254" s="32">
        <f>IFERROR(VLOOKUP($G1254,[1]нормы!$A$21:$BC$151,25,0),"")</f>
        <v>0</v>
      </c>
      <c r="U1254" s="233" t="str">
        <f>IFERROR(W1254/(((100*Y1254/Y1257)*I1256)/100),"")</f>
        <v/>
      </c>
      <c r="V1254" s="234" t="str">
        <f>IFERROR(VLOOKUP($G1254,нормы!$A$14:$BC$57,38,0),"")</f>
        <v/>
      </c>
      <c r="W1254" s="136"/>
      <c r="X1254" s="237"/>
      <c r="Y1254" s="152" t="str">
        <f>IFERROR(VLOOKUP($G1254,нормы!$A$14:$BC$57,42,0)*W1254,"")</f>
        <v/>
      </c>
      <c r="Z1254" s="163">
        <f>IFERROR(VLOOKUP($G1254,нормы!$A$14:$BC$57,14,0)*W1254/1000,0)</f>
        <v>0</v>
      </c>
      <c r="AA1254" s="30"/>
      <c r="AB1254" s="35"/>
      <c r="AC1254" s="35"/>
      <c r="AD1254" s="35"/>
      <c r="AE1254" s="31"/>
      <c r="AF1254" s="160"/>
      <c r="AG1254" s="391"/>
      <c r="AH1254" s="394"/>
      <c r="AI1254" s="397"/>
      <c r="AJ1254" s="408"/>
      <c r="AK1254" s="360"/>
      <c r="AL1254" s="360"/>
      <c r="AM1254" s="360"/>
      <c r="AN1254" s="289">
        <f>IFERROR(Y1254*AJ1251/Y1257,)</f>
        <v>0</v>
      </c>
      <c r="AO1254" s="197" t="str">
        <f>IFERROR(VLOOKUP($G1254,нормы!$A$14:$BC$57,53,0)*$W1254,"")</f>
        <v/>
      </c>
      <c r="AP1254" s="290">
        <f>IFERROR(Y1254*AI1251/Y1257,)</f>
        <v>0</v>
      </c>
      <c r="AQ1254" s="197" t="str">
        <f>IFERROR(VLOOKUP($G1254,нормы!$A$14:$BC$57,54,0)*$W1254,"")</f>
        <v/>
      </c>
      <c r="AR1254" s="290">
        <f>IFERROR(AS1254/SUM(AS1251:AS1256)*AL1251,0)</f>
        <v>0</v>
      </c>
      <c r="AS1254" s="197" t="str">
        <f>IFERROR(VLOOKUP($G1254,нормы!$A$14:$BC$57,55,0)*W1254,"")</f>
        <v/>
      </c>
      <c r="AT1254" s="290">
        <f>IFERROR(AU1254/SUM(AU1251:AU1256)*AM1251,0)</f>
        <v>0</v>
      </c>
      <c r="AU1254" s="197" t="str">
        <f>IFERROR(VLOOKUP($G1254,нормы!$A$14:$BI$57,56,0)*W1254,"")</f>
        <v/>
      </c>
      <c r="AV1254" s="290">
        <f>IFERROR(AW1254/SUM(AW1251:AW1256)*AK1251,0)</f>
        <v>0</v>
      </c>
      <c r="AW1254" s="202" t="str">
        <f>IFERROR(VLOOKUP($G1254,нормы!$A$14:$BI$57,57,0)*W1254,"")</f>
        <v/>
      </c>
      <c r="AX1254" s="30"/>
      <c r="AY1254" s="203" t="str">
        <f>IFERROR(VLOOKUP($G1254,нормы!$A$14:$BI$57,58,0)*W1254,"")</f>
        <v/>
      </c>
      <c r="AZ1254" s="205"/>
      <c r="BA1254" s="200" t="str">
        <f>IFERROR(VLOOKUP($G1254,нормы!$A$14:$BI$57,61,0)*$W1254,"")</f>
        <v/>
      </c>
      <c r="BB1254" s="30"/>
      <c r="BC1254" s="203" t="str">
        <f>IFERROR(VLOOKUP($G1254,нормы!$A$14:$BI$57,60,0)*W1254,"")</f>
        <v/>
      </c>
      <c r="BD1254" s="200" t="str">
        <f>IFERROR(VLOOKUP($G1254,нормы!$A$14:$BG$57,44,0),"")</f>
        <v/>
      </c>
      <c r="BE1254" s="199" t="str">
        <f>IFERROR(W1254/VLOOKUP($G1254,нормы!$A$14:$BI$57,45,0),"")</f>
        <v/>
      </c>
    </row>
    <row r="1255" spans="1:57" s="1" customFormat="1" ht="20.25" customHeight="1" x14ac:dyDescent="0.4">
      <c r="A1255" s="37" t="str">
        <f t="shared" si="494"/>
        <v>21Д</v>
      </c>
      <c r="B1255" s="12">
        <f t="shared" si="495"/>
        <v>21</v>
      </c>
      <c r="C1255" s="97">
        <f t="shared" si="495"/>
        <v>0</v>
      </c>
      <c r="D1255" s="97">
        <f t="shared" si="495"/>
        <v>1</v>
      </c>
      <c r="E1255" s="54"/>
      <c r="F1255" s="151" t="str">
        <f>IFERROR(VLOOKUP($G1255,нормы!$A$14:$BC$57,2,0),"")</f>
        <v/>
      </c>
      <c r="G1255" s="38"/>
      <c r="H1255" s="54">
        <f t="shared" si="496"/>
        <v>0</v>
      </c>
      <c r="I1255" s="89" t="s">
        <v>73</v>
      </c>
      <c r="J1255" s="333"/>
      <c r="K1255" s="30">
        <f>IFERROR(VLOOKUP($G1255,[1]нормы!$A$21:$BC$151,15,0),"")</f>
        <v>0</v>
      </c>
      <c r="L1255" s="31">
        <f>IFERROR(VLOOKUP($G1255,[1]нормы!$A$21:$BC$151,17,0),"")</f>
        <v>0</v>
      </c>
      <c r="M1255" s="306">
        <f>IFERROR(VLOOKUP($G1255,[1]нормы!$A$21:$BC$151,27,0),"")</f>
        <v>0</v>
      </c>
      <c r="N1255" s="307" t="str">
        <f>IFERROR(Y1255/Y1257*(1.1*J1251*I1260),"")</f>
        <v/>
      </c>
      <c r="O1255" s="300">
        <f>IFERROR(VLOOKUP($G1255,[1]нормы!$A$21:$BC$151,21,0),"")</f>
        <v>0</v>
      </c>
      <c r="P1255" s="35">
        <f>IFERROR(VLOOKUP($G1255,[1]нормы!$A$21:$BC$151,19,0),"")</f>
        <v>0</v>
      </c>
      <c r="Q1255" s="35">
        <f>IFERROR(VLOOKUP($G1255,[1]нормы!$A$21:$BC$151,23,0),"")</f>
        <v>0</v>
      </c>
      <c r="R1255" s="231">
        <f>IFERROR(VLOOKUP($G1255,[1]нормы!$A$21:$BC$151,29,0),"")</f>
        <v>0</v>
      </c>
      <c r="S1255" s="35">
        <f>IFERROR(VLOOKUP($G1255,[1]нормы!$A$21:$BC$151,31,0),"")</f>
        <v>0</v>
      </c>
      <c r="T1255" s="32">
        <f>IFERROR(VLOOKUP($G1255,[1]нормы!$A$21:$BC$151,25,0),"")</f>
        <v>0</v>
      </c>
      <c r="U1255" s="233" t="str">
        <f>IFERROR(W1255/(((100*Y1255/Y1257)*I1256)/100),"")</f>
        <v/>
      </c>
      <c r="V1255" s="234" t="str">
        <f>IFERROR(VLOOKUP($G1255,нормы!$A$14:$BC$57,38,0),"")</f>
        <v/>
      </c>
      <c r="W1255" s="136"/>
      <c r="X1255" s="237"/>
      <c r="Y1255" s="152" t="str">
        <f>IFERROR(VLOOKUP($G1255,нормы!$A$14:$BC$57,42,0)*W1255,"")</f>
        <v/>
      </c>
      <c r="Z1255" s="163">
        <f>IFERROR(VLOOKUP($G1255,нормы!$A$14:$BC$57,14,0)*W1255/1000,0)</f>
        <v>0</v>
      </c>
      <c r="AA1255" s="30"/>
      <c r="AB1255" s="35"/>
      <c r="AC1255" s="35"/>
      <c r="AD1255" s="35"/>
      <c r="AE1255" s="31"/>
      <c r="AF1255" s="160"/>
      <c r="AG1255" s="391"/>
      <c r="AH1255" s="394"/>
      <c r="AI1255" s="397"/>
      <c r="AJ1255" s="408"/>
      <c r="AK1255" s="360"/>
      <c r="AL1255" s="360"/>
      <c r="AM1255" s="360"/>
      <c r="AN1255" s="289">
        <f>IFERROR(Y1255*AJ1251/Y1257,)</f>
        <v>0</v>
      </c>
      <c r="AO1255" s="197" t="str">
        <f>IFERROR(VLOOKUP($G1255,нормы!$A$14:$BC$57,53,0)*$W1255,"")</f>
        <v/>
      </c>
      <c r="AP1255" s="290">
        <f>IFERROR(Y1255*AI1251/Y1257,)</f>
        <v>0</v>
      </c>
      <c r="AQ1255" s="197" t="str">
        <f>IFERROR(VLOOKUP($G1255,нормы!$A$14:$BC$57,54,0)*$W1255,"")</f>
        <v/>
      </c>
      <c r="AR1255" s="290">
        <f>IFERROR(AS1255/SUM(AS1251:AS1256)*AL1251,0)</f>
        <v>0</v>
      </c>
      <c r="AS1255" s="197" t="str">
        <f>IFERROR(VLOOKUP($G1255,нормы!$A$14:$BC$57,55,0)*W1255,"")</f>
        <v/>
      </c>
      <c r="AT1255" s="290">
        <f>IFERROR(AU1255/SUM(AU1251:AU1256)*AM1251,0)</f>
        <v>0</v>
      </c>
      <c r="AU1255" s="197" t="str">
        <f>IFERROR(VLOOKUP($G1255,нормы!$A$14:$BI$57,56,0)*W1255,"")</f>
        <v/>
      </c>
      <c r="AV1255" s="290">
        <f>IFERROR(AW1255/SUM(AW1251:AW1256)*AK1251,0)</f>
        <v>0</v>
      </c>
      <c r="AW1255" s="202" t="str">
        <f>IFERROR(VLOOKUP($G1255,нормы!$A$14:$BI$57,57,0)*W1255,"")</f>
        <v/>
      </c>
      <c r="AX1255" s="30"/>
      <c r="AY1255" s="203" t="str">
        <f>IFERROR(VLOOKUP($G1255,нормы!$A$14:$BI$57,58,0)*W1255,"")</f>
        <v/>
      </c>
      <c r="AZ1255" s="205"/>
      <c r="BA1255" s="200" t="str">
        <f>IFERROR(VLOOKUP($G1255,нормы!$A$14:$BI$57,61,0)*$W1255,"")</f>
        <v/>
      </c>
      <c r="BB1255" s="30"/>
      <c r="BC1255" s="203" t="str">
        <f>IFERROR(VLOOKUP($G1255,нормы!$A$14:$BI$57,60,0)*W1255,"")</f>
        <v/>
      </c>
      <c r="BD1255" s="200" t="str">
        <f>IFERROR(VLOOKUP($G1255,нормы!$A$14:$BG$57,44,0),"")</f>
        <v/>
      </c>
      <c r="BE1255" s="199" t="str">
        <f>IFERROR(W1255/VLOOKUP($G1255,нормы!$A$14:$BI$57,45,0),"")</f>
        <v/>
      </c>
    </row>
    <row r="1256" spans="1:57" s="1" customFormat="1" ht="21" customHeight="1" thickBot="1" x14ac:dyDescent="0.45">
      <c r="A1256" s="37" t="str">
        <f t="shared" si="494"/>
        <v>21Д</v>
      </c>
      <c r="B1256" s="12">
        <f t="shared" si="495"/>
        <v>21</v>
      </c>
      <c r="C1256" s="97">
        <f t="shared" si="495"/>
        <v>0</v>
      </c>
      <c r="D1256" s="97">
        <f t="shared" si="495"/>
        <v>1</v>
      </c>
      <c r="E1256" s="54"/>
      <c r="F1256" s="151" t="str">
        <f>IFERROR(VLOOKUP($G1256,нормы!$A$14:$BC$57,2,0),"")</f>
        <v/>
      </c>
      <c r="G1256" s="93"/>
      <c r="H1256" s="63">
        <f t="shared" si="496"/>
        <v>0</v>
      </c>
      <c r="I1256" s="153">
        <f>I1252+I1254</f>
        <v>0</v>
      </c>
      <c r="J1256" s="334"/>
      <c r="K1256" s="30">
        <f>IFERROR(VLOOKUP($G1256,[1]нормы!$A$21:$BC$151,15,0),"")</f>
        <v>0</v>
      </c>
      <c r="L1256" s="31">
        <f>IFERROR(VLOOKUP($G1256,[1]нормы!$A$21:$BC$151,17,0),"")</f>
        <v>0</v>
      </c>
      <c r="M1256" s="308">
        <f>IFERROR(VLOOKUP($G1256,[1]нормы!$A$21:$BC$151,27,0),"")</f>
        <v>0</v>
      </c>
      <c r="N1256" s="309" t="str">
        <f>IFERROR(Y1256/Y1257*(1.1*J1251*I1261),"")</f>
        <v/>
      </c>
      <c r="O1256" s="300">
        <f>IFERROR(VLOOKUP($G1256,[1]нормы!$A$21:$BC$151,21,0),"")</f>
        <v>0</v>
      </c>
      <c r="P1256" s="35">
        <f>IFERROR(VLOOKUP($G1256,[1]нормы!$A$21:$BC$151,19,0),"")</f>
        <v>0</v>
      </c>
      <c r="Q1256" s="35">
        <f>IFERROR(VLOOKUP($G1256,[1]нормы!$A$21:$BC$151,23,0),"")</f>
        <v>0</v>
      </c>
      <c r="R1256" s="231">
        <f>IFERROR(VLOOKUP($G1256,[1]нормы!$A$21:$BC$151,29,0),"")</f>
        <v>0</v>
      </c>
      <c r="S1256" s="35">
        <f>IFERROR(VLOOKUP($G1256,[1]нормы!$A$21:$BC$151,31,0),"")</f>
        <v>0</v>
      </c>
      <c r="T1256" s="32">
        <f>IFERROR(VLOOKUP($G1256,[1]нормы!$A$21:$BC$151,25,0),"")</f>
        <v>0</v>
      </c>
      <c r="U1256" s="235" t="str">
        <f>IFERROR(W1256/(((100*Y1256/Y1257)*I1256)/100),"")</f>
        <v/>
      </c>
      <c r="V1256" s="234" t="str">
        <f>IFERROR(VLOOKUP($G1256,нормы!$A$14:$BC$57,38,0),"")</f>
        <v/>
      </c>
      <c r="W1256" s="154"/>
      <c r="X1256" s="238"/>
      <c r="Y1256" s="152" t="str">
        <f>IFERROR(VLOOKUP($G1256,нормы!$A$14:$BC$57,42,0)*W1256,"")</f>
        <v/>
      </c>
      <c r="Z1256" s="163">
        <f>IFERROR(VLOOKUP($G1256,нормы!$A$14:$BC$57,14,0)*W1256/1000,0)</f>
        <v>0</v>
      </c>
      <c r="AA1256" s="56"/>
      <c r="AB1256" s="58"/>
      <c r="AC1256" s="58"/>
      <c r="AD1256" s="58"/>
      <c r="AE1256" s="57"/>
      <c r="AF1256" s="161"/>
      <c r="AG1256" s="392"/>
      <c r="AH1256" s="395"/>
      <c r="AI1256" s="398"/>
      <c r="AJ1256" s="409"/>
      <c r="AK1256" s="361"/>
      <c r="AL1256" s="361"/>
      <c r="AM1256" s="361"/>
      <c r="AN1256" s="291">
        <f>IFERROR(Y1256*AJ1251/Y1257,)</f>
        <v>0</v>
      </c>
      <c r="AO1256" s="197" t="str">
        <f>IFERROR(VLOOKUP($G1256,нормы!$A$14:$BC$57,53,0)*$W1256,"")</f>
        <v/>
      </c>
      <c r="AP1256" s="292">
        <f>IFERROR(Y1256*AI1251/Y1257,)</f>
        <v>0</v>
      </c>
      <c r="AQ1256" s="197" t="str">
        <f>IFERROR(VLOOKUP($G1256,нормы!$A$14:$BC$57,54,0)*$W1256,"")</f>
        <v/>
      </c>
      <c r="AR1256" s="290">
        <f>IFERROR(AS1256/SUM(AS1251:AS1256)*AL1251,0)</f>
        <v>0</v>
      </c>
      <c r="AS1256" s="197" t="str">
        <f>IFERROR(VLOOKUP($G1256,нормы!$A$14:$BC$57,55,0)*W1256,"")</f>
        <v/>
      </c>
      <c r="AT1256" s="292">
        <f>IFERROR(AU1256/SUM(AU1251:AU1256)*AM1251,0)</f>
        <v>0</v>
      </c>
      <c r="AU1256" s="197" t="str">
        <f>IFERROR(VLOOKUP($G1256,нормы!$A$14:$BI$57,56,0)*W1256,"")</f>
        <v/>
      </c>
      <c r="AV1256" s="292">
        <f>IFERROR(AW1256/SUM(AW1251:AW1256)*AK1251,0)</f>
        <v>0</v>
      </c>
      <c r="AW1256" s="202" t="str">
        <f>IFERROR(VLOOKUP($G1256,нормы!$A$14:$BI$57,57,0)*W1256,"")</f>
        <v/>
      </c>
      <c r="AX1256" s="56"/>
      <c r="AY1256" s="203" t="str">
        <f>IFERROR(VLOOKUP($G1256,нормы!$A$14:$BI$57,58,0)*W1256,"")</f>
        <v/>
      </c>
      <c r="AZ1256" s="206"/>
      <c r="BA1256" s="200" t="str">
        <f>IFERROR(VLOOKUP($G1256,нормы!$A$14:$BI$57,61,0)*$W1256,"")</f>
        <v/>
      </c>
      <c r="BB1256" s="56"/>
      <c r="BC1256" s="203" t="str">
        <f>IFERROR(VLOOKUP($G1256,нормы!$A$14:$BI$57,60,0)*W1256,"")</f>
        <v/>
      </c>
      <c r="BD1256" s="200" t="str">
        <f>IFERROR(VLOOKUP($G1256,нормы!$A$14:$BG$57,44,0),"")</f>
        <v/>
      </c>
      <c r="BE1256" s="199" t="str">
        <f>IFERROR(W1256/VLOOKUP($G1256,нормы!$A$14:$BI$57,45,0),"")</f>
        <v/>
      </c>
    </row>
    <row r="1257" spans="1:57" s="1" customFormat="1" ht="29.4" customHeight="1" thickBot="1" x14ac:dyDescent="0.45">
      <c r="A1257" s="37" t="str">
        <f t="shared" si="494"/>
        <v>21Д</v>
      </c>
      <c r="B1257" s="59"/>
      <c r="C1257" s="51"/>
      <c r="D1257" s="51"/>
      <c r="E1257" s="51"/>
      <c r="F1257" s="295" t="s">
        <v>148</v>
      </c>
      <c r="G1257" s="51"/>
      <c r="H1257" s="51"/>
      <c r="I1257" s="60"/>
      <c r="J1257" s="60"/>
      <c r="K1257" s="319" t="s">
        <v>213</v>
      </c>
      <c r="L1257" s="316"/>
      <c r="M1257" s="303" t="s">
        <v>213</v>
      </c>
      <c r="N1257" s="317">
        <f>SUM(N1251:N1256)</f>
        <v>0</v>
      </c>
      <c r="O1257" s="304" t="s">
        <v>216</v>
      </c>
      <c r="P1257" s="318">
        <f>N1257*8.937/1000</f>
        <v>0</v>
      </c>
      <c r="Q1257" s="305" t="s">
        <v>215</v>
      </c>
      <c r="R1257" s="61"/>
      <c r="S1257" s="61"/>
      <c r="T1257" s="61"/>
      <c r="U1257" s="109"/>
      <c r="V1257" s="109"/>
      <c r="W1257" s="94"/>
      <c r="X1257" s="155"/>
      <c r="Y1257" s="96">
        <f>SUM(Y1251:Y1256)</f>
        <v>0</v>
      </c>
      <c r="Z1257" s="164">
        <f>SUM(Z1251:Z1256)</f>
        <v>0</v>
      </c>
      <c r="AA1257" s="62"/>
      <c r="AB1257" s="62"/>
      <c r="AC1257" s="62"/>
      <c r="AD1257" s="62"/>
      <c r="AE1257" s="62"/>
      <c r="AF1257" s="62"/>
      <c r="AG1257" s="162" t="s">
        <v>140</v>
      </c>
      <c r="AH1257" s="162" t="s">
        <v>141</v>
      </c>
      <c r="AI1257" s="162" t="s">
        <v>142</v>
      </c>
      <c r="AJ1257" s="91" t="s">
        <v>126</v>
      </c>
      <c r="AK1257" s="198" t="s">
        <v>136</v>
      </c>
      <c r="AL1257" s="198" t="s">
        <v>137</v>
      </c>
      <c r="AM1257" s="198" t="s">
        <v>138</v>
      </c>
      <c r="AN1257" s="91"/>
      <c r="AO1257" s="91"/>
      <c r="AP1257" s="91"/>
      <c r="AQ1257" s="91"/>
      <c r="AR1257" s="91"/>
      <c r="AS1257" s="91"/>
      <c r="AT1257" s="91"/>
      <c r="AU1257" s="91"/>
      <c r="AV1257" s="91"/>
      <c r="AW1257" s="91"/>
      <c r="AX1257" s="91"/>
      <c r="AY1257" s="91"/>
      <c r="AZ1257" s="91"/>
      <c r="BA1257" s="91"/>
      <c r="BB1257" s="91"/>
      <c r="BC1257" s="91"/>
      <c r="BD1257" s="91"/>
      <c r="BE1257" s="53" t="str">
        <f>IFERROR(W1257/VLOOKUP($G1257,нормы!$A$14:$BI$15,28,0),"")</f>
        <v/>
      </c>
    </row>
    <row r="1258" spans="1:57" s="1" customFormat="1" ht="21.6" customHeight="1" x14ac:dyDescent="0.4">
      <c r="A1258" s="37" t="str">
        <f t="shared" si="494"/>
        <v>21Д</v>
      </c>
      <c r="B1258" s="12">
        <f>B1256</f>
        <v>21</v>
      </c>
      <c r="C1258" s="97"/>
      <c r="D1258" s="97">
        <v>2</v>
      </c>
      <c r="E1258" s="29"/>
      <c r="F1258" s="151" t="str">
        <f>IFERROR(VLOOKUP($G1258,нормы!$A$14:$BC$57,2,0),"")</f>
        <v/>
      </c>
      <c r="G1258" s="93"/>
      <c r="H1258" s="54">
        <f>IF(C1258=1,"Кульков С.А.", IF(C1258=2,"Чудаков А.А.",IF(C1258=3,"Королев В.Н.",IF(C1258=4,"Николашин М.П.",IF(C1258=5," Кульков С.А.",IF(C1258=6,"А.А. Чудаков",IF(C1258=7,"В.Н. Королев",IF(C1258=8,"М.П. Николашин",0))))))))</f>
        <v>0</v>
      </c>
      <c r="I1258" s="88" t="s">
        <v>211</v>
      </c>
      <c r="J1258" s="332"/>
      <c r="K1258" s="30">
        <f>IFERROR(VLOOKUP($G1258,[1]нормы!$A$21:$BC$151,15,0),"")</f>
        <v>0</v>
      </c>
      <c r="L1258" s="31">
        <f>IFERROR(VLOOKUP($G1258,[1]нормы!$A$21:$BC$151,17,0),"")</f>
        <v>0</v>
      </c>
      <c r="M1258" s="310">
        <f>IFERROR(VLOOKUP($G1258,[1]нормы!$A$21:$BC$151,27,0),"")</f>
        <v>0</v>
      </c>
      <c r="N1258" s="311" t="str">
        <f>IFERROR(Y1258/Y1264*(1.1*J1258*I1263),"")</f>
        <v/>
      </c>
      <c r="O1258" s="300">
        <f>IFERROR(VLOOKUP($G1258,[1]нормы!$A$21:$BC$151,21,0),"")</f>
        <v>0</v>
      </c>
      <c r="P1258" s="35">
        <f>IFERROR(VLOOKUP($G1258,[1]нормы!$A$21:$BC$151,19,0),"")</f>
        <v>0</v>
      </c>
      <c r="Q1258" s="35">
        <f>IFERROR(VLOOKUP($G1258,[1]нормы!$A$21:$BC$151,23,0),"")</f>
        <v>0</v>
      </c>
      <c r="R1258" s="231">
        <f>IFERROR(VLOOKUP($G1258,[1]нормы!$A$21:$BC$151,29,0),"")</f>
        <v>0</v>
      </c>
      <c r="S1258" s="35">
        <f>IFERROR(VLOOKUP($G1258,[1]нормы!$A$21:$BC$151,31,0),"")</f>
        <v>0</v>
      </c>
      <c r="T1258" s="32">
        <f>IFERROR(VLOOKUP($G1258,[1]нормы!$A$21:$BC$151,25,0),"")</f>
        <v>0</v>
      </c>
      <c r="U1258" s="232" t="str">
        <f>IFERROR(W1258/(((100*Y1258/Y1264)*I1263)/100),"")</f>
        <v/>
      </c>
      <c r="V1258" s="234" t="str">
        <f>IFERROR(VLOOKUP($G1258,нормы!$A$14:$BC$57,38,0),"")</f>
        <v/>
      </c>
      <c r="W1258" s="136"/>
      <c r="X1258" s="236"/>
      <c r="Y1258" s="152" t="str">
        <f>IFERROR(VLOOKUP($G1258,нормы!$A$14:$BC$57,42,0)*W1258,"")</f>
        <v/>
      </c>
      <c r="Z1258" s="163">
        <f>IFERROR(VLOOKUP($G1258,нормы!$A$14:$BC$57,14,0)*W1258/1000,0)</f>
        <v>0</v>
      </c>
      <c r="AA1258" s="33"/>
      <c r="AB1258" s="36"/>
      <c r="AC1258" s="36"/>
      <c r="AD1258" s="36"/>
      <c r="AE1258" s="34"/>
      <c r="AF1258" s="159"/>
      <c r="AG1258" s="390"/>
      <c r="AH1258" s="393"/>
      <c r="AI1258" s="396"/>
      <c r="AJ1258" s="407">
        <f>AG1258+AH1258</f>
        <v>0</v>
      </c>
      <c r="AK1258" s="359"/>
      <c r="AL1258" s="359"/>
      <c r="AM1258" s="359"/>
      <c r="AN1258" s="287">
        <f>IFERROR(Y1258*AJ1258/Y1264,)</f>
        <v>0</v>
      </c>
      <c r="AO1258" s="197" t="str">
        <f>IFERROR(VLOOKUP($G1258,нормы!$A$14:$BC$57,53,0)*$W1258,"")</f>
        <v/>
      </c>
      <c r="AP1258" s="288">
        <f>IFERROR(Y1258*AI1258/Y1264,)</f>
        <v>0</v>
      </c>
      <c r="AQ1258" s="197" t="str">
        <f>IFERROR(VLOOKUP($G1258,нормы!$A$14:$BC$57,54,0)*$W1258,"")</f>
        <v/>
      </c>
      <c r="AR1258" s="288">
        <f>IFERROR(AS1258/SUM(AS1258:AS1263)*AL1258,0)</f>
        <v>0</v>
      </c>
      <c r="AS1258" s="197" t="str">
        <f>IFERROR(VLOOKUP($G1258,нормы!$A$14:$BC$57,55,0)*W1258,"")</f>
        <v/>
      </c>
      <c r="AT1258" s="288">
        <f>IFERROR(AU1258/SUM(AU1258:AU1263)*AM1258,0)</f>
        <v>0</v>
      </c>
      <c r="AU1258" s="197" t="str">
        <f>IFERROR(VLOOKUP($G1258,нормы!$A$14:$BI$57,56,0)*W1258,"")</f>
        <v/>
      </c>
      <c r="AV1258" s="288">
        <f>IFERROR(AW1258/SUM(AW1258:AW1263)*AK1258,0)</f>
        <v>0</v>
      </c>
      <c r="AW1258" s="202" t="str">
        <f>IFERROR(VLOOKUP($G1258,нормы!$A$14:$BI$57,57,0)*W1258,"")</f>
        <v/>
      </c>
      <c r="AX1258" s="33"/>
      <c r="AY1258" s="203" t="str">
        <f>IFERROR(VLOOKUP($G1258,нормы!$A$14:$BI$57,58,0)*W1258,"")</f>
        <v/>
      </c>
      <c r="AZ1258" s="204"/>
      <c r="BA1258" s="200" t="str">
        <f>IFERROR(VLOOKUP($G1258,нормы!$A$14:$BI$57,61,0)*$W1258,"")</f>
        <v/>
      </c>
      <c r="BB1258" s="33"/>
      <c r="BC1258" s="203" t="str">
        <f>IFERROR(VLOOKUP($G1258,нормы!$A$14:$BI$57,60,0)*W1258,"")</f>
        <v/>
      </c>
      <c r="BD1258" s="200" t="str">
        <f>IFERROR(VLOOKUP($G1258,нормы!$A$14:$BG$57,44,0),"")</f>
        <v/>
      </c>
      <c r="BE1258" s="199" t="str">
        <f>IFERROR(W1258/VLOOKUP($G1258,нормы!$A$14:$BI$57,45,0),"")</f>
        <v/>
      </c>
    </row>
    <row r="1259" spans="1:57" s="1" customFormat="1" ht="21.6" customHeight="1" x14ac:dyDescent="0.4">
      <c r="A1259" s="37" t="str">
        <f t="shared" si="494"/>
        <v>21Д</v>
      </c>
      <c r="B1259" s="12">
        <f t="shared" ref="B1259:D1263" si="497">B1258</f>
        <v>21</v>
      </c>
      <c r="C1259" s="97">
        <f t="shared" si="497"/>
        <v>0</v>
      </c>
      <c r="D1259" s="97">
        <f t="shared" si="497"/>
        <v>2</v>
      </c>
      <c r="E1259" s="54"/>
      <c r="F1259" s="151" t="str">
        <f>IFERROR(VLOOKUP($G1259,нормы!$A$14:$BC$57,2,0),"")</f>
        <v/>
      </c>
      <c r="G1259" s="93"/>
      <c r="H1259" s="54">
        <f t="shared" ref="H1259:H1263" si="498">IF(C1259=1,"Кульков С.А.", IF(C1259=2,"Чудаков А.А.",IF(C1259=3,"Королев В.Н.",IF(C1259=4,"Николашин М.П.",IF(C1259=5," Кульков С.А.",IF(C1259=6,"А.А. Чудаков",IF(C1259=7,"В.Н. Королев",IF(C1259=8,"М.П. Николашин",0))))))))</f>
        <v>0</v>
      </c>
      <c r="I1259" s="55"/>
      <c r="J1259" s="333"/>
      <c r="K1259" s="30">
        <f>IFERROR(VLOOKUP($G1259,[1]нормы!$A$21:$BC$151,15,0),"")</f>
        <v>0</v>
      </c>
      <c r="L1259" s="31">
        <f>IFERROR(VLOOKUP($G1259,[1]нормы!$A$21:$BC$151,17,0),"")</f>
        <v>0</v>
      </c>
      <c r="M1259" s="306">
        <f>IFERROR(VLOOKUP($G1259,[1]нормы!$A$21:$BC$151,27,0),"")</f>
        <v>0</v>
      </c>
      <c r="N1259" s="307" t="str">
        <f>IFERROR(Y1259/Y1264*(1.1*J1258*I1263),"")</f>
        <v/>
      </c>
      <c r="O1259" s="300">
        <f>IFERROR(VLOOKUP($G1259,[1]нормы!$A$21:$BC$151,21,0),"")</f>
        <v>0</v>
      </c>
      <c r="P1259" s="35">
        <f>IFERROR(VLOOKUP($G1259,[1]нормы!$A$21:$BC$151,19,0),"")</f>
        <v>0</v>
      </c>
      <c r="Q1259" s="35">
        <f>IFERROR(VLOOKUP($G1259,[1]нормы!$A$21:$BC$151,23,0),"")</f>
        <v>0</v>
      </c>
      <c r="R1259" s="231">
        <f>IFERROR(VLOOKUP($G1259,[1]нормы!$A$21:$BC$151,29,0),"")</f>
        <v>0</v>
      </c>
      <c r="S1259" s="35">
        <f>IFERROR(VLOOKUP($G1259,[1]нормы!$A$21:$BC$151,31,0),"")</f>
        <v>0</v>
      </c>
      <c r="T1259" s="32">
        <f>IFERROR(VLOOKUP($G1259,[1]нормы!$A$21:$BC$151,25,0),"")</f>
        <v>0</v>
      </c>
      <c r="U1259" s="233" t="str">
        <f>IFERROR(W1259/(((100*Y1259/Y1264)*I1263)/100),"")</f>
        <v/>
      </c>
      <c r="V1259" s="234" t="str">
        <f>IFERROR(VLOOKUP($G1259,нормы!$A$14:$BC$57,38,0),"")</f>
        <v/>
      </c>
      <c r="W1259" s="136"/>
      <c r="X1259" s="237"/>
      <c r="Y1259" s="152" t="str">
        <f>IFERROR(VLOOKUP($G1259,нормы!$A$14:$BC$57,42,0)*W1259,"")</f>
        <v/>
      </c>
      <c r="Z1259" s="163">
        <f>IFERROR(VLOOKUP($G1259,нормы!$A$14:$BC$57,14,0)*W1259/1000,0)</f>
        <v>0</v>
      </c>
      <c r="AA1259" s="142"/>
      <c r="AB1259" s="35"/>
      <c r="AC1259" s="35"/>
      <c r="AD1259" s="35"/>
      <c r="AE1259" s="31"/>
      <c r="AF1259" s="160"/>
      <c r="AG1259" s="391"/>
      <c r="AH1259" s="394"/>
      <c r="AI1259" s="397"/>
      <c r="AJ1259" s="408"/>
      <c r="AK1259" s="360"/>
      <c r="AL1259" s="360"/>
      <c r="AM1259" s="360"/>
      <c r="AN1259" s="289">
        <f>IFERROR(Y1259*AJ1258/Y1264,)</f>
        <v>0</v>
      </c>
      <c r="AO1259" s="197" t="str">
        <f>IFERROR(VLOOKUP($G1259,нормы!$A$14:$BC$57,53,0)*$W1259,"")</f>
        <v/>
      </c>
      <c r="AP1259" s="290">
        <f>IFERROR(Y1259*AI1258/Y1264,)</f>
        <v>0</v>
      </c>
      <c r="AQ1259" s="197" t="str">
        <f>IFERROR(VLOOKUP($G1259,нормы!$A$14:$BC$57,54,0)*$W1259,"")</f>
        <v/>
      </c>
      <c r="AR1259" s="290">
        <f>IFERROR(AS1259/SUM(AS1258:AS1263)*AL1258,0)</f>
        <v>0</v>
      </c>
      <c r="AS1259" s="197" t="str">
        <f>IFERROR(VLOOKUP($G1259,нормы!$A$14:$BC$57,55,0)*W1259,"")</f>
        <v/>
      </c>
      <c r="AT1259" s="290">
        <f>IFERROR(AU1259/SUM(AU1258:AU1263)*AM1258,0)</f>
        <v>0</v>
      </c>
      <c r="AU1259" s="197" t="str">
        <f>IFERROR(VLOOKUP($G1259,нормы!$A$14:$BI$57,56,0)*W1259,"")</f>
        <v/>
      </c>
      <c r="AV1259" s="290">
        <f>IFERROR(AW1259/SUM(AW1258:AW1263)*AK1258,0)</f>
        <v>0</v>
      </c>
      <c r="AW1259" s="202" t="str">
        <f>IFERROR(VLOOKUP($G1259,нормы!$A$14:$BI$57,57,0)*W1259,"")</f>
        <v/>
      </c>
      <c r="AX1259" s="30"/>
      <c r="AY1259" s="203" t="str">
        <f>IFERROR(VLOOKUP($G1259,нормы!$A$14:$BI$57,58,0)*W1259,"")</f>
        <v/>
      </c>
      <c r="AZ1259" s="205"/>
      <c r="BA1259" s="200" t="str">
        <f>IFERROR(VLOOKUP($G1259,нормы!$A$14:$BI$57,61,0)*$W1259,"")</f>
        <v/>
      </c>
      <c r="BB1259" s="30"/>
      <c r="BC1259" s="203" t="str">
        <f>IFERROR(VLOOKUP($G1259,нормы!$A$14:$BI$57,60,0)*W1259,"")</f>
        <v/>
      </c>
      <c r="BD1259" s="200" t="str">
        <f>IFERROR(VLOOKUP($G1259,нормы!$A$14:$BG$57,44,0),"")</f>
        <v/>
      </c>
      <c r="BE1259" s="199" t="str">
        <f>IFERROR(W1259/VLOOKUP($G1259,нормы!$A$14:$BI$57,45,0),"")</f>
        <v/>
      </c>
    </row>
    <row r="1260" spans="1:57" s="1" customFormat="1" ht="20.25" customHeight="1" x14ac:dyDescent="0.4">
      <c r="A1260" s="37" t="str">
        <f t="shared" si="494"/>
        <v>21Д</v>
      </c>
      <c r="B1260" s="12">
        <f t="shared" si="497"/>
        <v>21</v>
      </c>
      <c r="C1260" s="97">
        <f t="shared" si="497"/>
        <v>0</v>
      </c>
      <c r="D1260" s="97">
        <f t="shared" si="497"/>
        <v>2</v>
      </c>
      <c r="E1260" s="54"/>
      <c r="F1260" s="151" t="str">
        <f>IFERROR(VLOOKUP($G1260,нормы!$A$14:$BC$57,2,0),"")</f>
        <v/>
      </c>
      <c r="G1260" s="38"/>
      <c r="H1260" s="54">
        <f t="shared" si="498"/>
        <v>0</v>
      </c>
      <c r="I1260" s="89" t="s">
        <v>212</v>
      </c>
      <c r="J1260" s="333"/>
      <c r="K1260" s="30">
        <f>IFERROR(VLOOKUP($G1260,[1]нормы!$A$21:$BC$151,15,0),"")</f>
        <v>0</v>
      </c>
      <c r="L1260" s="31">
        <f>IFERROR(VLOOKUP($G1260,[1]нормы!$A$21:$BC$151,17,0),"")</f>
        <v>0</v>
      </c>
      <c r="M1260" s="306">
        <f>IFERROR(VLOOKUP($G1260,[1]нормы!$A$21:$BC$151,27,0),"")</f>
        <v>0</v>
      </c>
      <c r="N1260" s="307" t="str">
        <f>IFERROR(Y1260/Y1264*(1.1*J1258*I1263),"")</f>
        <v/>
      </c>
      <c r="O1260" s="300">
        <f>IFERROR(VLOOKUP($G1260,[1]нормы!$A$21:$BC$151,21,0),"")</f>
        <v>0</v>
      </c>
      <c r="P1260" s="35">
        <f>IFERROR(VLOOKUP($G1260,[1]нормы!$A$21:$BC$151,19,0),"")</f>
        <v>0</v>
      </c>
      <c r="Q1260" s="35">
        <f>IFERROR(VLOOKUP($G1260,[1]нормы!$A$21:$BC$151,23,0),"")</f>
        <v>0</v>
      </c>
      <c r="R1260" s="231">
        <f>IFERROR(VLOOKUP($G1260,[1]нормы!$A$21:$BC$151,29,0),"")</f>
        <v>0</v>
      </c>
      <c r="S1260" s="35">
        <f>IFERROR(VLOOKUP($G1260,[1]нормы!$A$21:$BC$151,31,0),"")</f>
        <v>0</v>
      </c>
      <c r="T1260" s="32">
        <f>IFERROR(VLOOKUP($G1260,[1]нормы!$A$21:$BC$151,25,0),"")</f>
        <v>0</v>
      </c>
      <c r="U1260" s="233" t="str">
        <f>IFERROR(W1260/(((100*Y1260/Y1264)*I1263)/100),"")</f>
        <v/>
      </c>
      <c r="V1260" s="234" t="str">
        <f>IFERROR(VLOOKUP($G1260,нормы!$A$14:$BC$57,38,0),"")</f>
        <v/>
      </c>
      <c r="W1260" s="136"/>
      <c r="X1260" s="237"/>
      <c r="Y1260" s="152" t="str">
        <f>IFERROR(VLOOKUP($G1260,нормы!$A$14:$BC$57,42,0)*W1260,"")</f>
        <v/>
      </c>
      <c r="Z1260" s="163">
        <f>IFERROR(VLOOKUP($G1260,нормы!$A$14:$BC$57,14,0)*W1260/1000,0)</f>
        <v>0</v>
      </c>
      <c r="AA1260" s="30"/>
      <c r="AB1260" s="35"/>
      <c r="AC1260" s="35"/>
      <c r="AD1260" s="35"/>
      <c r="AE1260" s="31"/>
      <c r="AF1260" s="160"/>
      <c r="AG1260" s="391"/>
      <c r="AH1260" s="394"/>
      <c r="AI1260" s="397"/>
      <c r="AJ1260" s="408"/>
      <c r="AK1260" s="360"/>
      <c r="AL1260" s="360"/>
      <c r="AM1260" s="360"/>
      <c r="AN1260" s="289">
        <f>IFERROR(Y1260*AJ1258/Y1264,)</f>
        <v>0</v>
      </c>
      <c r="AO1260" s="197" t="str">
        <f>IFERROR(VLOOKUP($G1260,нормы!$A$14:$BC$57,53,0)*$W1260,"")</f>
        <v/>
      </c>
      <c r="AP1260" s="290">
        <f>IFERROR(Y1260*AI1258/Y1264,)</f>
        <v>0</v>
      </c>
      <c r="AQ1260" s="197" t="str">
        <f>IFERROR(VLOOKUP($G1260,нормы!$A$14:$BC$57,54,0)*$W1260,"")</f>
        <v/>
      </c>
      <c r="AR1260" s="290">
        <f>IFERROR(AS1260/SUM(AS1258:AS1263)*AL1258,0)</f>
        <v>0</v>
      </c>
      <c r="AS1260" s="197" t="str">
        <f>IFERROR(VLOOKUP($G1260,нормы!$A$14:$BC$57,55,0)*W1260,"")</f>
        <v/>
      </c>
      <c r="AT1260" s="290">
        <f>IFERROR(AU1260/SUM(AU1258:AU1263)*AM1258,0)</f>
        <v>0</v>
      </c>
      <c r="AU1260" s="197" t="str">
        <f>IFERROR(VLOOKUP($G1260,нормы!$A$14:$BI$57,56,0)*W1260,"")</f>
        <v/>
      </c>
      <c r="AV1260" s="290">
        <f>IFERROR(AW1260/SUM(AW1258:AW1263)*AK1258,0)</f>
        <v>0</v>
      </c>
      <c r="AW1260" s="202" t="str">
        <f>IFERROR(VLOOKUP($G1260,нормы!$A$14:$BI$57,57,0)*W1260,"")</f>
        <v/>
      </c>
      <c r="AX1260" s="30"/>
      <c r="AY1260" s="203" t="str">
        <f>IFERROR(VLOOKUP($G1260,нормы!$A$14:$BI$57,58,0)*W1260,"")</f>
        <v/>
      </c>
      <c r="AZ1260" s="205"/>
      <c r="BA1260" s="200" t="str">
        <f>IFERROR(VLOOKUP($G1260,нормы!$A$14:$BI$57,61,0)*$W1260,"")</f>
        <v/>
      </c>
      <c r="BB1260" s="30"/>
      <c r="BC1260" s="203" t="str">
        <f>IFERROR(VLOOKUP($G1260,нормы!$A$14:$BI$57,60,0)*W1260,"")</f>
        <v/>
      </c>
      <c r="BD1260" s="200" t="str">
        <f>IFERROR(VLOOKUP($G1260,нормы!$A$14:$BG$57,44,0),"")</f>
        <v/>
      </c>
      <c r="BE1260" s="199" t="str">
        <f>IFERROR(W1260/VLOOKUP($G1260,нормы!$A$14:$BI$57,45,0),"")</f>
        <v/>
      </c>
    </row>
    <row r="1261" spans="1:57" s="1" customFormat="1" ht="20.25" customHeight="1" x14ac:dyDescent="0.4">
      <c r="A1261" s="37" t="str">
        <f t="shared" si="494"/>
        <v>21Д</v>
      </c>
      <c r="B1261" s="12">
        <f t="shared" si="497"/>
        <v>21</v>
      </c>
      <c r="C1261" s="97">
        <f t="shared" si="497"/>
        <v>0</v>
      </c>
      <c r="D1261" s="97">
        <f t="shared" si="497"/>
        <v>2</v>
      </c>
      <c r="E1261" s="54"/>
      <c r="F1261" s="151" t="str">
        <f>IFERROR(VLOOKUP($G1261,нормы!$A$14:$BC$57,2,0),"")</f>
        <v/>
      </c>
      <c r="G1261" s="93"/>
      <c r="H1261" s="54">
        <f t="shared" si="498"/>
        <v>0</v>
      </c>
      <c r="I1261" s="55"/>
      <c r="J1261" s="333"/>
      <c r="K1261" s="30">
        <f>IFERROR(VLOOKUP($G1261,[1]нормы!$A$21:$BC$151,15,0),"")</f>
        <v>0</v>
      </c>
      <c r="L1261" s="31">
        <f>IFERROR(VLOOKUP($G1261,[1]нормы!$A$21:$BC$151,17,0),"")</f>
        <v>0</v>
      </c>
      <c r="M1261" s="306">
        <f>IFERROR(VLOOKUP($G1261,[1]нормы!$A$21:$BC$151,27,0),"")</f>
        <v>0</v>
      </c>
      <c r="N1261" s="307" t="str">
        <f>IFERROR(Y1261/Y1264*(1.1*J1258*I1266),"")</f>
        <v/>
      </c>
      <c r="O1261" s="300">
        <f>IFERROR(VLOOKUP($G1261,[1]нормы!$A$21:$BC$151,21,0),"")</f>
        <v>0</v>
      </c>
      <c r="P1261" s="35">
        <f>IFERROR(VLOOKUP($G1261,[1]нормы!$A$21:$BC$151,19,0),"")</f>
        <v>0</v>
      </c>
      <c r="Q1261" s="35">
        <f>IFERROR(VLOOKUP($G1261,[1]нормы!$A$21:$BC$151,23,0),"")</f>
        <v>0</v>
      </c>
      <c r="R1261" s="231">
        <f>IFERROR(VLOOKUP($G1261,[1]нормы!$A$21:$BC$151,29,0),"")</f>
        <v>0</v>
      </c>
      <c r="S1261" s="35">
        <f>IFERROR(VLOOKUP($G1261,[1]нормы!$A$21:$BC$151,31,0),"")</f>
        <v>0</v>
      </c>
      <c r="T1261" s="32">
        <f>IFERROR(VLOOKUP($G1261,[1]нормы!$A$21:$BC$151,25,0),"")</f>
        <v>0</v>
      </c>
      <c r="U1261" s="233" t="str">
        <f>IFERROR(W1261/(((100*Y1261/Y1264)*I1263)/100),"")</f>
        <v/>
      </c>
      <c r="V1261" s="234" t="str">
        <f>IFERROR(VLOOKUP($G1261,нормы!$A$14:$BC$57,38,0),"")</f>
        <v/>
      </c>
      <c r="W1261" s="136"/>
      <c r="X1261" s="237"/>
      <c r="Y1261" s="152" t="str">
        <f>IFERROR(VLOOKUP($G1261,нормы!$A$14:$BC$57,42,0)*W1261,"")</f>
        <v/>
      </c>
      <c r="Z1261" s="163">
        <f>IFERROR(VLOOKUP($G1261,нормы!$A$14:$BC$57,14,0)*W1261/1000,0)</f>
        <v>0</v>
      </c>
      <c r="AA1261" s="30"/>
      <c r="AB1261" s="35"/>
      <c r="AC1261" s="35"/>
      <c r="AD1261" s="35"/>
      <c r="AE1261" s="31"/>
      <c r="AF1261" s="160"/>
      <c r="AG1261" s="391"/>
      <c r="AH1261" s="394"/>
      <c r="AI1261" s="397"/>
      <c r="AJ1261" s="408"/>
      <c r="AK1261" s="360"/>
      <c r="AL1261" s="360"/>
      <c r="AM1261" s="360"/>
      <c r="AN1261" s="289">
        <f>IFERROR(Y1261*AJ1258/Y1264,)</f>
        <v>0</v>
      </c>
      <c r="AO1261" s="197" t="str">
        <f>IFERROR(VLOOKUP($G1261,нормы!$A$14:$BC$57,53,0)*$W1261,"")</f>
        <v/>
      </c>
      <c r="AP1261" s="290">
        <f>IFERROR(Y1261*AI1258/Y1264,)</f>
        <v>0</v>
      </c>
      <c r="AQ1261" s="197" t="str">
        <f>IFERROR(VLOOKUP($G1261,нормы!$A$14:$BC$57,54,0)*$W1261,"")</f>
        <v/>
      </c>
      <c r="AR1261" s="290">
        <f>IFERROR(AS1261/SUM(AS1258:AS1263)*AL1258,0)</f>
        <v>0</v>
      </c>
      <c r="AS1261" s="197" t="str">
        <f>IFERROR(VLOOKUP($G1261,нормы!$A$14:$BC$57,55,0)*W1261,"")</f>
        <v/>
      </c>
      <c r="AT1261" s="290">
        <f>IFERROR(AU1261/SUM(AU1258:AU1263)*AM1258,0)</f>
        <v>0</v>
      </c>
      <c r="AU1261" s="197" t="str">
        <f>IFERROR(VLOOKUP($G1261,нормы!$A$14:$BI$57,56,0)*W1261,"")</f>
        <v/>
      </c>
      <c r="AV1261" s="290">
        <f>IFERROR(AW1261/SUM(AW1258:AW1263)*AK1258,0)</f>
        <v>0</v>
      </c>
      <c r="AW1261" s="202" t="str">
        <f>IFERROR(VLOOKUP($G1261,нормы!$A$14:$BI$57,57,0)*W1261,"")</f>
        <v/>
      </c>
      <c r="AX1261" s="30"/>
      <c r="AY1261" s="203" t="str">
        <f>IFERROR(VLOOKUP($G1261,нормы!$A$14:$BI$57,58,0)*W1261,"")</f>
        <v/>
      </c>
      <c r="AZ1261" s="205"/>
      <c r="BA1261" s="200" t="str">
        <f>IFERROR(VLOOKUP($G1261,нормы!$A$14:$BI$57,61,0)*$W1261,"")</f>
        <v/>
      </c>
      <c r="BB1261" s="30"/>
      <c r="BC1261" s="203" t="str">
        <f>IFERROR(VLOOKUP($G1261,нормы!$A$14:$BI$57,60,0)*W1261,"")</f>
        <v/>
      </c>
      <c r="BD1261" s="200" t="str">
        <f>IFERROR(VLOOKUP($G1261,нормы!$A$14:$BG$57,44,0),"")</f>
        <v/>
      </c>
      <c r="BE1261" s="199" t="str">
        <f>IFERROR(W1261/VLOOKUP($G1261,нормы!$A$14:$BI$57,45,0),"")</f>
        <v/>
      </c>
    </row>
    <row r="1262" spans="1:57" s="1" customFormat="1" ht="20.25" customHeight="1" x14ac:dyDescent="0.4">
      <c r="A1262" s="37" t="str">
        <f t="shared" si="494"/>
        <v>21Д</v>
      </c>
      <c r="B1262" s="12">
        <f t="shared" si="497"/>
        <v>21</v>
      </c>
      <c r="C1262" s="97">
        <f t="shared" si="497"/>
        <v>0</v>
      </c>
      <c r="D1262" s="97">
        <f t="shared" si="497"/>
        <v>2</v>
      </c>
      <c r="E1262" s="54"/>
      <c r="F1262" s="151" t="str">
        <f>IFERROR(VLOOKUP($G1262,нормы!$A$14:$BC$57,2,0),"")</f>
        <v/>
      </c>
      <c r="G1262" s="38"/>
      <c r="H1262" s="54">
        <f t="shared" si="498"/>
        <v>0</v>
      </c>
      <c r="I1262" s="89" t="s">
        <v>73</v>
      </c>
      <c r="J1262" s="333"/>
      <c r="K1262" s="30">
        <f>IFERROR(VLOOKUP($G1262,[1]нормы!$A$21:$BC$151,15,0),"")</f>
        <v>0</v>
      </c>
      <c r="L1262" s="31">
        <f>IFERROR(VLOOKUP($G1262,[1]нормы!$A$21:$BC$151,17,0),"")</f>
        <v>0</v>
      </c>
      <c r="M1262" s="306">
        <f>IFERROR(VLOOKUP($G1262,[1]нормы!$A$21:$BC$151,27,0),"")</f>
        <v>0</v>
      </c>
      <c r="N1262" s="307" t="str">
        <f>IFERROR(Y1262/Y1264*(1.1*J1258*I1267),"")</f>
        <v/>
      </c>
      <c r="O1262" s="300">
        <f>IFERROR(VLOOKUP($G1262,[1]нормы!$A$21:$BC$151,21,0),"")</f>
        <v>0</v>
      </c>
      <c r="P1262" s="35">
        <f>IFERROR(VLOOKUP($G1262,[1]нормы!$A$21:$BC$151,19,0),"")</f>
        <v>0</v>
      </c>
      <c r="Q1262" s="35">
        <f>IFERROR(VLOOKUP($G1262,[1]нормы!$A$21:$BC$151,23,0),"")</f>
        <v>0</v>
      </c>
      <c r="R1262" s="231">
        <f>IFERROR(VLOOKUP($G1262,[1]нормы!$A$21:$BC$151,29,0),"")</f>
        <v>0</v>
      </c>
      <c r="S1262" s="35">
        <f>IFERROR(VLOOKUP($G1262,[1]нормы!$A$21:$BC$151,31,0),"")</f>
        <v>0</v>
      </c>
      <c r="T1262" s="32">
        <f>IFERROR(VLOOKUP($G1262,[1]нормы!$A$21:$BC$151,25,0),"")</f>
        <v>0</v>
      </c>
      <c r="U1262" s="233" t="str">
        <f>IFERROR(W1262/(((100*Y1262/Y1264)*I1263)/100),"")</f>
        <v/>
      </c>
      <c r="V1262" s="234" t="str">
        <f>IFERROR(VLOOKUP($G1262,нормы!$A$14:$BC$57,38,0),"")</f>
        <v/>
      </c>
      <c r="W1262" s="136"/>
      <c r="X1262" s="237"/>
      <c r="Y1262" s="152" t="str">
        <f>IFERROR(VLOOKUP($G1262,нормы!$A$14:$BC$57,42,0)*W1262,"")</f>
        <v/>
      </c>
      <c r="Z1262" s="163">
        <f>IFERROR(VLOOKUP($G1262,нормы!$A$14:$BC$57,14,0)*W1262/1000,0)</f>
        <v>0</v>
      </c>
      <c r="AA1262" s="30"/>
      <c r="AB1262" s="35"/>
      <c r="AC1262" s="35"/>
      <c r="AD1262" s="35"/>
      <c r="AE1262" s="31"/>
      <c r="AF1262" s="160"/>
      <c r="AG1262" s="391"/>
      <c r="AH1262" s="394"/>
      <c r="AI1262" s="397"/>
      <c r="AJ1262" s="408"/>
      <c r="AK1262" s="360"/>
      <c r="AL1262" s="360"/>
      <c r="AM1262" s="360"/>
      <c r="AN1262" s="289">
        <f>IFERROR(Y1262*AJ1258/Y1264,)</f>
        <v>0</v>
      </c>
      <c r="AO1262" s="197" t="str">
        <f>IFERROR(VLOOKUP($G1262,нормы!$A$14:$BC$57,53,0)*$W1262,"")</f>
        <v/>
      </c>
      <c r="AP1262" s="290">
        <f>IFERROR(Y1262*AI1258/Y1264,)</f>
        <v>0</v>
      </c>
      <c r="AQ1262" s="197" t="str">
        <f>IFERROR(VLOOKUP($G1262,нормы!$A$14:$BC$57,54,0)*$W1262,"")</f>
        <v/>
      </c>
      <c r="AR1262" s="290">
        <f>IFERROR(AS1262/SUM(AS1258:AS1263)*AL1258,0)</f>
        <v>0</v>
      </c>
      <c r="AS1262" s="197" t="str">
        <f>IFERROR(VLOOKUP($G1262,нормы!$A$14:$BC$57,55,0)*W1262,"")</f>
        <v/>
      </c>
      <c r="AT1262" s="290">
        <f>IFERROR(AU1262/SUM(AU1258:AU1263)*AM1258,0)</f>
        <v>0</v>
      </c>
      <c r="AU1262" s="197" t="str">
        <f>IFERROR(VLOOKUP($G1262,нормы!$A$14:$BI$57,56,0)*W1262,"")</f>
        <v/>
      </c>
      <c r="AV1262" s="290">
        <f>IFERROR(AW1262/SUM(AW1258:AW1263)*AK1258,0)</f>
        <v>0</v>
      </c>
      <c r="AW1262" s="202" t="str">
        <f>IFERROR(VLOOKUP($G1262,нормы!$A$14:$BI$57,57,0)*W1262,"")</f>
        <v/>
      </c>
      <c r="AX1262" s="30"/>
      <c r="AY1262" s="203" t="str">
        <f>IFERROR(VLOOKUP($G1262,нормы!$A$14:$BI$57,58,0)*W1262,"")</f>
        <v/>
      </c>
      <c r="AZ1262" s="205"/>
      <c r="BA1262" s="200" t="str">
        <f>IFERROR(VLOOKUP($G1262,нормы!$A$14:$BI$57,61,0)*$W1262,"")</f>
        <v/>
      </c>
      <c r="BB1262" s="30"/>
      <c r="BC1262" s="203" t="str">
        <f>IFERROR(VLOOKUP($G1262,нормы!$A$14:$BI$57,60,0)*W1262,"")</f>
        <v/>
      </c>
      <c r="BD1262" s="200" t="str">
        <f>IFERROR(VLOOKUP($G1262,нормы!$A$14:$BG$57,44,0),"")</f>
        <v/>
      </c>
      <c r="BE1262" s="199" t="str">
        <f>IFERROR(W1262/VLOOKUP($G1262,нормы!$A$14:$BI$57,45,0),"")</f>
        <v/>
      </c>
    </row>
    <row r="1263" spans="1:57" s="1" customFormat="1" ht="21" customHeight="1" thickBot="1" x14ac:dyDescent="0.45">
      <c r="A1263" s="37" t="str">
        <f t="shared" si="494"/>
        <v>21Д</v>
      </c>
      <c r="B1263" s="12">
        <f t="shared" si="497"/>
        <v>21</v>
      </c>
      <c r="C1263" s="97">
        <f t="shared" si="497"/>
        <v>0</v>
      </c>
      <c r="D1263" s="97">
        <f t="shared" si="497"/>
        <v>2</v>
      </c>
      <c r="E1263" s="54"/>
      <c r="F1263" s="151" t="str">
        <f>IFERROR(VLOOKUP($G1263,нормы!$A$14:$BC$57,2,0),"")</f>
        <v/>
      </c>
      <c r="G1263" s="93"/>
      <c r="H1263" s="63">
        <f t="shared" si="498"/>
        <v>0</v>
      </c>
      <c r="I1263" s="153">
        <f>I1259+I1261</f>
        <v>0</v>
      </c>
      <c r="J1263" s="334"/>
      <c r="K1263" s="30">
        <f>IFERROR(VLOOKUP($G1263,[1]нормы!$A$21:$BC$151,15,0),"")</f>
        <v>0</v>
      </c>
      <c r="L1263" s="31">
        <f>IFERROR(VLOOKUP($G1263,[1]нормы!$A$21:$BC$151,17,0),"")</f>
        <v>0</v>
      </c>
      <c r="M1263" s="308">
        <f>IFERROR(VLOOKUP($G1263,[1]нормы!$A$21:$BC$151,27,0),"")</f>
        <v>0</v>
      </c>
      <c r="N1263" s="309" t="str">
        <f>IFERROR(Y1263/Y1264*(1.1*J1258*I1268),"")</f>
        <v/>
      </c>
      <c r="O1263" s="300">
        <f>IFERROR(VLOOKUP($G1263,[1]нормы!$A$21:$BC$151,21,0),"")</f>
        <v>0</v>
      </c>
      <c r="P1263" s="35">
        <f>IFERROR(VLOOKUP($G1263,[1]нормы!$A$21:$BC$151,19,0),"")</f>
        <v>0</v>
      </c>
      <c r="Q1263" s="35">
        <f>IFERROR(VLOOKUP($G1263,[1]нормы!$A$21:$BC$151,23,0),"")</f>
        <v>0</v>
      </c>
      <c r="R1263" s="231">
        <f>IFERROR(VLOOKUP($G1263,[1]нормы!$A$21:$BC$151,29,0),"")</f>
        <v>0</v>
      </c>
      <c r="S1263" s="35">
        <f>IFERROR(VLOOKUP($G1263,[1]нормы!$A$21:$BC$151,31,0),"")</f>
        <v>0</v>
      </c>
      <c r="T1263" s="32">
        <f>IFERROR(VLOOKUP($G1263,[1]нормы!$A$21:$BC$151,25,0),"")</f>
        <v>0</v>
      </c>
      <c r="U1263" s="235" t="str">
        <f>IFERROR(W1263/(((100*Y1263/Y1264)*I1263)/100),"")</f>
        <v/>
      </c>
      <c r="V1263" s="234" t="str">
        <f>IFERROR(VLOOKUP($G1263,нормы!$A$14:$BC$57,38,0),"")</f>
        <v/>
      </c>
      <c r="W1263" s="154"/>
      <c r="X1263" s="238"/>
      <c r="Y1263" s="152" t="str">
        <f>IFERROR(VLOOKUP($G1263,нормы!$A$14:$BC$57,42,0)*W1263,"")</f>
        <v/>
      </c>
      <c r="Z1263" s="163">
        <f>IFERROR(VLOOKUP($G1263,нормы!$A$14:$BC$57,14,0)*W1263/1000,0)</f>
        <v>0</v>
      </c>
      <c r="AA1263" s="56"/>
      <c r="AB1263" s="58"/>
      <c r="AC1263" s="58"/>
      <c r="AD1263" s="58"/>
      <c r="AE1263" s="57"/>
      <c r="AF1263" s="161"/>
      <c r="AG1263" s="392"/>
      <c r="AH1263" s="395"/>
      <c r="AI1263" s="398"/>
      <c r="AJ1263" s="409"/>
      <c r="AK1263" s="361"/>
      <c r="AL1263" s="361"/>
      <c r="AM1263" s="361"/>
      <c r="AN1263" s="291">
        <f>IFERROR(Y1263*AJ1258/Y1264,)</f>
        <v>0</v>
      </c>
      <c r="AO1263" s="197" t="str">
        <f>IFERROR(VLOOKUP($G1263,нормы!$A$14:$BC$57,53,0)*$W1263,"")</f>
        <v/>
      </c>
      <c r="AP1263" s="292">
        <f>IFERROR(Y1263*AI1258/Y1264,)</f>
        <v>0</v>
      </c>
      <c r="AQ1263" s="197" t="str">
        <f>IFERROR(VLOOKUP($G1263,нормы!$A$14:$BC$57,54,0)*$W1263,"")</f>
        <v/>
      </c>
      <c r="AR1263" s="290">
        <f>IFERROR(AS1263/SUM(AS1258:AS1263)*AL1258,0)</f>
        <v>0</v>
      </c>
      <c r="AS1263" s="197" t="str">
        <f>IFERROR(VLOOKUP($G1263,нормы!$A$14:$BC$57,55,0)*W1263,"")</f>
        <v/>
      </c>
      <c r="AT1263" s="292">
        <f>IFERROR(AU1263/SUM(AU1258:AU1263)*AM1258,0)</f>
        <v>0</v>
      </c>
      <c r="AU1263" s="197" t="str">
        <f>IFERROR(VLOOKUP($G1263,нормы!$A$14:$BI$57,56,0)*W1263,"")</f>
        <v/>
      </c>
      <c r="AV1263" s="292">
        <f>IFERROR(AW1263/SUM(AW1258:AW1263)*AK1258,0)</f>
        <v>0</v>
      </c>
      <c r="AW1263" s="202" t="str">
        <f>IFERROR(VLOOKUP($G1263,нормы!$A$14:$BI$57,57,0)*W1263,"")</f>
        <v/>
      </c>
      <c r="AX1263" s="56"/>
      <c r="AY1263" s="203" t="str">
        <f>IFERROR(VLOOKUP($G1263,нормы!$A$14:$BI$57,58,0)*W1263,"")</f>
        <v/>
      </c>
      <c r="AZ1263" s="206"/>
      <c r="BA1263" s="200" t="str">
        <f>IFERROR(VLOOKUP($G1263,нормы!$A$14:$BI$57,61,0)*$W1263,"")</f>
        <v/>
      </c>
      <c r="BB1263" s="56"/>
      <c r="BC1263" s="203" t="str">
        <f>IFERROR(VLOOKUP($G1263,нормы!$A$14:$BI$57,60,0)*W1263,"")</f>
        <v/>
      </c>
      <c r="BD1263" s="200" t="str">
        <f>IFERROR(VLOOKUP($G1263,нормы!$A$14:$BG$57,44,0),"")</f>
        <v/>
      </c>
      <c r="BE1263" s="199" t="str">
        <f>IFERROR(W1263/VLOOKUP($G1263,нормы!$A$14:$BI$57,45,0),"")</f>
        <v/>
      </c>
    </row>
    <row r="1264" spans="1:57" s="1" customFormat="1" ht="29.4" customHeight="1" thickBot="1" x14ac:dyDescent="0.45">
      <c r="A1264" s="37" t="str">
        <f t="shared" si="494"/>
        <v>21Д</v>
      </c>
      <c r="B1264" s="59"/>
      <c r="C1264" s="51"/>
      <c r="D1264" s="51"/>
      <c r="E1264" s="51"/>
      <c r="F1264" s="51"/>
      <c r="G1264" s="51"/>
      <c r="H1264" s="51"/>
      <c r="I1264" s="60"/>
      <c r="J1264" s="60"/>
      <c r="K1264" s="319" t="s">
        <v>213</v>
      </c>
      <c r="L1264" s="316"/>
      <c r="M1264" s="303" t="s">
        <v>213</v>
      </c>
      <c r="N1264" s="317">
        <f>SUM(N1258:N1263)</f>
        <v>0</v>
      </c>
      <c r="O1264" s="304" t="s">
        <v>217</v>
      </c>
      <c r="P1264" s="318">
        <f>N1264*8.937/1000</f>
        <v>0</v>
      </c>
      <c r="Q1264" s="305" t="s">
        <v>215</v>
      </c>
      <c r="R1264" s="61"/>
      <c r="S1264" s="61"/>
      <c r="T1264" s="61"/>
      <c r="U1264" s="109"/>
      <c r="V1264" s="109"/>
      <c r="W1264" s="94"/>
      <c r="X1264" s="155"/>
      <c r="Y1264" s="96">
        <f>SUM(Y1258:Y1263)</f>
        <v>0</v>
      </c>
      <c r="Z1264" s="164">
        <f>SUM(Z1258:Z1263)</f>
        <v>0</v>
      </c>
      <c r="AA1264" s="207">
        <f>(AA1250+AA1251+AA1252+AA1253+AA1254+AA1255+AA1256+AA1258+AA1259+AA1260+AA1261+AA1262+AA1263)-AG1251</f>
        <v>1</v>
      </c>
      <c r="AB1264" s="208">
        <f>(AB1250+AB1251+AB1252+AB1253+AB1254+AB1255+AB1256+AB1258+AB1259+AB1260+AB1261+AB1262+AB1263)-AH1251</f>
        <v>2</v>
      </c>
      <c r="AC1264" s="208">
        <f>(AC1250+AC1251+AC1252+AC1253+AC1254+AC1255+AC1256+AC1258+AC1259+AC1260+AC1261+AC1262+AC1263)-AG1258</f>
        <v>3</v>
      </c>
      <c r="AD1264" s="208">
        <f>(AD1250+AD1251+AD1252+AD1253+AD1254+AD1255+AD1256+AD1258+AD1259+AD1260+AD1261+AD1262+AD1263)-AH1258</f>
        <v>4</v>
      </c>
      <c r="AE1264" s="208">
        <f>(AE1250+AE1251+AE1252+AE1253+AE1254+AE1255+AE1256+AE1258+AE1259+AE1260+AE1261+AE1262+AE1263)-AI1251</f>
        <v>5</v>
      </c>
      <c r="AF1264" s="209">
        <f>(AF1250+AF1251+AF1252+AF1253+AF1254+AF1255+AF1256+AF1258+AF1259+AF1260+AF1261+AF1262+AF1263)-AI1258</f>
        <v>6</v>
      </c>
      <c r="AG1264" s="62"/>
      <c r="AH1264" s="62"/>
      <c r="AI1264" s="62"/>
      <c r="AJ1264" s="62"/>
      <c r="AK1264" s="62"/>
      <c r="AL1264" s="62"/>
      <c r="AM1264" s="62"/>
      <c r="AN1264" s="91">
        <f>SUM(AN1258:AN1263)</f>
        <v>0</v>
      </c>
      <c r="AO1264" s="91">
        <f>SUM(AO1258:AO1263)</f>
        <v>0</v>
      </c>
      <c r="AP1264" s="91"/>
      <c r="AQ1264" s="91"/>
      <c r="AR1264" s="91">
        <f>SUM(AR1258:AR1263)</f>
        <v>0</v>
      </c>
      <c r="AS1264" s="91">
        <f t="shared" ref="AS1264:AW1264" si="499">SUM(AS1258:AS1263)</f>
        <v>0</v>
      </c>
      <c r="AT1264" s="91">
        <f t="shared" si="499"/>
        <v>0</v>
      </c>
      <c r="AU1264" s="91">
        <f t="shared" si="499"/>
        <v>0</v>
      </c>
      <c r="AV1264" s="91">
        <f t="shared" si="499"/>
        <v>0</v>
      </c>
      <c r="AW1264" s="91">
        <f t="shared" si="499"/>
        <v>0</v>
      </c>
      <c r="AX1264" s="91">
        <f>SUM(AX1258:AX1263)</f>
        <v>0</v>
      </c>
      <c r="AY1264" s="91">
        <f>SUM(AY1258:AY1263)</f>
        <v>0</v>
      </c>
      <c r="AZ1264" s="91">
        <f>SUM(AZ1258:AZ1263)</f>
        <v>0</v>
      </c>
      <c r="BA1264" s="91"/>
      <c r="BB1264" s="91"/>
      <c r="BC1264" s="91"/>
      <c r="BD1264" s="91" t="str">
        <f>IFERROR(VLOOKUP($G1264,нормы!$A$14:$BG$15,27,0),"")</f>
        <v/>
      </c>
      <c r="BE1264" s="53" t="str">
        <f>IFERROR(W1264/VLOOKUP($G1264,нормы!$A$14:$BI$15,28,0),"")</f>
        <v/>
      </c>
    </row>
    <row r="1265" spans="1:57" s="1" customFormat="1" ht="29.4" customHeight="1" thickBot="1" x14ac:dyDescent="0.5">
      <c r="A1265" s="37" t="str">
        <f t="shared" si="494"/>
        <v>21Д</v>
      </c>
      <c r="B1265" s="166" t="s">
        <v>130</v>
      </c>
      <c r="C1265" s="167"/>
      <c r="D1265" s="167"/>
      <c r="E1265" s="167"/>
      <c r="F1265" s="165"/>
      <c r="G1265" s="167"/>
      <c r="H1265" s="167"/>
      <c r="I1265" s="168"/>
      <c r="J1265" s="168"/>
      <c r="K1265" s="168"/>
      <c r="L1265" s="168"/>
      <c r="M1265" s="168"/>
      <c r="N1265" s="168"/>
      <c r="O1265" s="167"/>
      <c r="P1265" s="169"/>
      <c r="Q1265" s="169"/>
      <c r="R1265" s="169"/>
      <c r="S1265" s="169"/>
      <c r="T1265" s="169"/>
      <c r="U1265" s="170"/>
      <c r="V1265" s="170"/>
      <c r="W1265" s="171"/>
      <c r="X1265" s="171"/>
      <c r="Y1265" s="172"/>
      <c r="Z1265" s="172"/>
      <c r="AA1265" s="201" t="s">
        <v>144</v>
      </c>
      <c r="AB1265" s="167"/>
      <c r="AC1265" s="167"/>
      <c r="AD1265" s="167"/>
      <c r="AE1265" s="167"/>
      <c r="AF1265" s="167"/>
      <c r="AG1265" s="167"/>
      <c r="AH1265" s="167"/>
      <c r="AI1265" s="167"/>
      <c r="AJ1265" s="167"/>
      <c r="AK1265" s="167"/>
      <c r="AL1265" s="167"/>
      <c r="AM1265" s="64"/>
      <c r="AN1265" s="167"/>
      <c r="AO1265" s="167"/>
      <c r="AP1265" s="167"/>
      <c r="AQ1265" s="167"/>
      <c r="AR1265" s="64"/>
      <c r="AS1265" s="64"/>
      <c r="AT1265" s="65"/>
      <c r="AU1265" s="64"/>
      <c r="AV1265" s="49"/>
      <c r="AW1265" s="49"/>
      <c r="AX1265" s="167"/>
      <c r="AY1265" s="167"/>
      <c r="AZ1265" s="167"/>
      <c r="BA1265" s="167"/>
      <c r="BB1265" s="167"/>
      <c r="BC1265" s="167"/>
      <c r="BD1265" s="66"/>
      <c r="BE1265" s="66"/>
    </row>
    <row r="1266" spans="1:57" s="1" customFormat="1" ht="23.25" customHeight="1" x14ac:dyDescent="0.4">
      <c r="A1266" s="37" t="str">
        <f t="shared" si="494"/>
        <v>21Д</v>
      </c>
      <c r="B1266" s="320"/>
      <c r="C1266" s="100"/>
      <c r="D1266" s="185"/>
      <c r="E1266" s="186" t="s">
        <v>57</v>
      </c>
      <c r="F1266" s="66" t="s">
        <v>87</v>
      </c>
      <c r="G1266" s="66"/>
      <c r="H1266" s="108" t="s">
        <v>131</v>
      </c>
      <c r="I1266" s="101"/>
      <c r="J1266" s="101"/>
      <c r="K1266" s="101"/>
      <c r="L1266" s="101"/>
      <c r="M1266" s="101"/>
      <c r="N1266" s="101"/>
      <c r="O1266" s="67"/>
      <c r="P1266" s="102"/>
      <c r="Q1266" s="102"/>
      <c r="R1266" s="102"/>
      <c r="S1266" s="102"/>
      <c r="T1266" s="102"/>
      <c r="U1266" s="67"/>
      <c r="V1266" s="67"/>
      <c r="W1266" s="103"/>
      <c r="X1266" s="187"/>
      <c r="Y1266" s="68" t="s">
        <v>74</v>
      </c>
      <c r="Z1266" s="69"/>
      <c r="AA1266" s="90"/>
      <c r="AB1266" s="100"/>
      <c r="AC1266" s="100"/>
      <c r="AD1266" s="186" t="s">
        <v>57</v>
      </c>
      <c r="AE1266" s="66"/>
      <c r="AF1266" s="66"/>
      <c r="AG1266" s="66"/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190"/>
      <c r="AU1266" s="66"/>
      <c r="AV1266" s="165"/>
      <c r="AW1266" s="293"/>
      <c r="AX1266" s="66"/>
      <c r="AY1266" s="66"/>
      <c r="AZ1266" s="66"/>
      <c r="BA1266" s="66"/>
      <c r="BB1266" s="66"/>
      <c r="BC1266" s="66"/>
      <c r="BD1266" s="68" t="s">
        <v>74</v>
      </c>
      <c r="BE1266" s="69"/>
    </row>
    <row r="1267" spans="1:57" s="1" customFormat="1" ht="23.25" customHeight="1" thickBot="1" x14ac:dyDescent="0.45">
      <c r="A1267" s="37" t="str">
        <f t="shared" si="494"/>
        <v>21Д</v>
      </c>
      <c r="B1267" s="183"/>
      <c r="C1267" s="41"/>
      <c r="D1267" s="184"/>
      <c r="E1267" s="50"/>
      <c r="F1267" s="70"/>
      <c r="G1267" s="70"/>
      <c r="H1267" s="70"/>
      <c r="I1267" s="104"/>
      <c r="J1267" s="104"/>
      <c r="K1267" s="104"/>
      <c r="L1267" s="104"/>
      <c r="M1267" s="104"/>
      <c r="N1267" s="104"/>
      <c r="O1267" s="71"/>
      <c r="P1267" s="105"/>
      <c r="Q1267" s="105"/>
      <c r="R1267" s="105"/>
      <c r="S1267" s="105"/>
      <c r="T1267" s="105"/>
      <c r="U1267" s="71"/>
      <c r="V1267" s="71"/>
      <c r="W1267" s="106"/>
      <c r="X1267" s="188"/>
      <c r="Y1267" s="72"/>
      <c r="Z1267" s="73"/>
      <c r="AA1267" s="90"/>
      <c r="AB1267" s="41"/>
      <c r="AC1267" s="41"/>
      <c r="AD1267" s="50"/>
      <c r="AE1267" s="47"/>
      <c r="AF1267" s="47"/>
      <c r="AG1267" s="47"/>
      <c r="AH1267" s="47"/>
      <c r="AI1267" s="47"/>
      <c r="AJ1267" s="47"/>
      <c r="AK1267" s="47"/>
      <c r="AL1267" s="47"/>
      <c r="AM1267" s="70"/>
      <c r="AN1267" s="47"/>
      <c r="AO1267" s="70"/>
      <c r="AP1267" s="70"/>
      <c r="AQ1267" s="70"/>
      <c r="AR1267" s="70"/>
      <c r="AS1267" s="70"/>
      <c r="AT1267" s="191"/>
      <c r="AU1267" s="70"/>
      <c r="AV1267" s="192"/>
      <c r="AW1267" s="294"/>
      <c r="AX1267" s="70"/>
      <c r="AY1267" s="70"/>
      <c r="AZ1267" s="70"/>
      <c r="BA1267" s="70"/>
      <c r="BB1267" s="70"/>
      <c r="BC1267" s="70"/>
      <c r="BD1267" s="72"/>
      <c r="BE1267" s="73"/>
    </row>
    <row r="1268" spans="1:57" s="1" customFormat="1" ht="36.75" customHeight="1" x14ac:dyDescent="0.4">
      <c r="A1268" s="37" t="str">
        <f t="shared" si="494"/>
        <v>21Д</v>
      </c>
      <c r="B1268" s="183"/>
      <c r="C1268" s="41"/>
      <c r="D1268" s="184"/>
      <c r="E1268" s="281">
        <f>B1263</f>
        <v>21</v>
      </c>
      <c r="F1268" s="337"/>
      <c r="G1268" s="338"/>
      <c r="H1268" s="338"/>
      <c r="I1268" s="338"/>
      <c r="J1268" s="338"/>
      <c r="K1268" s="338"/>
      <c r="L1268" s="338"/>
      <c r="M1268" s="338"/>
      <c r="N1268" s="338"/>
      <c r="O1268" s="338"/>
      <c r="P1268" s="338"/>
      <c r="Q1268" s="338"/>
      <c r="R1268" s="338"/>
      <c r="S1268" s="338"/>
      <c r="T1268" s="338"/>
      <c r="U1268" s="338"/>
      <c r="V1268" s="338"/>
      <c r="W1268" s="338"/>
      <c r="X1268" s="98">
        <v>1</v>
      </c>
      <c r="Y1268" s="74">
        <v>1</v>
      </c>
      <c r="Z1268" s="75">
        <f t="shared" ref="Z1268:Z1279" si="500">Y1268-X1268</f>
        <v>0</v>
      </c>
      <c r="AA1268" s="189"/>
      <c r="AB1268" s="41"/>
      <c r="AC1268" s="184"/>
      <c r="AD1268" s="210">
        <f>E1268</f>
        <v>21</v>
      </c>
      <c r="AE1268" s="387"/>
      <c r="AF1268" s="388"/>
      <c r="AG1268" s="388"/>
      <c r="AH1268" s="388"/>
      <c r="AI1268" s="388"/>
      <c r="AJ1268" s="388"/>
      <c r="AK1268" s="388"/>
      <c r="AL1268" s="388"/>
      <c r="AM1268" s="388"/>
      <c r="AN1268" s="388"/>
      <c r="AO1268" s="388"/>
      <c r="AP1268" s="388"/>
      <c r="AQ1268" s="388"/>
      <c r="AR1268" s="388"/>
      <c r="AS1268" s="388"/>
      <c r="AT1268" s="388"/>
      <c r="AU1268" s="388"/>
      <c r="AV1268" s="388"/>
      <c r="AW1268" s="388"/>
      <c r="AX1268" s="388"/>
      <c r="AY1268" s="388"/>
      <c r="AZ1268" s="388"/>
      <c r="BA1268" s="388"/>
      <c r="BB1268" s="389"/>
      <c r="BC1268" s="98">
        <v>1</v>
      </c>
      <c r="BD1268" s="74">
        <v>1</v>
      </c>
      <c r="BE1268" s="75">
        <f t="shared" ref="BE1268:BE1279" si="501">BD1268-BC1268</f>
        <v>0</v>
      </c>
    </row>
    <row r="1269" spans="1:57" s="1" customFormat="1" ht="18" customHeight="1" x14ac:dyDescent="0.4">
      <c r="A1269" s="37" t="str">
        <f t="shared" si="494"/>
        <v>21Д</v>
      </c>
      <c r="B1269" s="183"/>
      <c r="C1269" s="41"/>
      <c r="D1269" s="184"/>
      <c r="E1269" s="282">
        <f>E1268</f>
        <v>21</v>
      </c>
      <c r="F1269" s="335"/>
      <c r="G1269" s="336"/>
      <c r="H1269" s="336"/>
      <c r="I1269" s="336"/>
      <c r="J1269" s="336"/>
      <c r="K1269" s="336"/>
      <c r="L1269" s="336"/>
      <c r="M1269" s="336"/>
      <c r="N1269" s="336"/>
      <c r="O1269" s="336"/>
      <c r="P1269" s="336"/>
      <c r="Q1269" s="336"/>
      <c r="R1269" s="336"/>
      <c r="S1269" s="336"/>
      <c r="T1269" s="336"/>
      <c r="U1269" s="336"/>
      <c r="V1269" s="336"/>
      <c r="W1269" s="336"/>
      <c r="X1269" s="98">
        <v>1</v>
      </c>
      <c r="Y1269" s="74">
        <v>1</v>
      </c>
      <c r="Z1269" s="75">
        <f t="shared" si="500"/>
        <v>0</v>
      </c>
      <c r="AA1269" s="107">
        <f>AA1268</f>
        <v>0</v>
      </c>
      <c r="AB1269" s="41"/>
      <c r="AC1269" s="184"/>
      <c r="AD1269" s="212">
        <f>AD1268</f>
        <v>21</v>
      </c>
      <c r="AE1269" s="387"/>
      <c r="AF1269" s="388"/>
      <c r="AG1269" s="388"/>
      <c r="AH1269" s="388"/>
      <c r="AI1269" s="388"/>
      <c r="AJ1269" s="388"/>
      <c r="AK1269" s="388"/>
      <c r="AL1269" s="388"/>
      <c r="AM1269" s="388"/>
      <c r="AN1269" s="388"/>
      <c r="AO1269" s="388"/>
      <c r="AP1269" s="388"/>
      <c r="AQ1269" s="388"/>
      <c r="AR1269" s="388"/>
      <c r="AS1269" s="388"/>
      <c r="AT1269" s="388"/>
      <c r="AU1269" s="388"/>
      <c r="AV1269" s="388"/>
      <c r="AW1269" s="388"/>
      <c r="AX1269" s="388"/>
      <c r="AY1269" s="388"/>
      <c r="AZ1269" s="388"/>
      <c r="BA1269" s="388"/>
      <c r="BB1269" s="389"/>
      <c r="BC1269" s="98">
        <v>1</v>
      </c>
      <c r="BD1269" s="74">
        <v>1</v>
      </c>
      <c r="BE1269" s="75">
        <f t="shared" si="501"/>
        <v>0</v>
      </c>
    </row>
    <row r="1270" spans="1:57" s="1" customFormat="1" ht="18" customHeight="1" x14ac:dyDescent="0.4">
      <c r="A1270" s="37" t="str">
        <f t="shared" si="494"/>
        <v>21Д</v>
      </c>
      <c r="B1270" s="183"/>
      <c r="C1270" s="41"/>
      <c r="D1270" s="184"/>
      <c r="E1270" s="282">
        <f t="shared" ref="E1270:E1279" si="502">E1269</f>
        <v>21</v>
      </c>
      <c r="F1270" s="335"/>
      <c r="G1270" s="336"/>
      <c r="H1270" s="336"/>
      <c r="I1270" s="336"/>
      <c r="J1270" s="336"/>
      <c r="K1270" s="336"/>
      <c r="L1270" s="336"/>
      <c r="M1270" s="336"/>
      <c r="N1270" s="336"/>
      <c r="O1270" s="336"/>
      <c r="P1270" s="336"/>
      <c r="Q1270" s="336"/>
      <c r="R1270" s="336"/>
      <c r="S1270" s="336"/>
      <c r="T1270" s="336"/>
      <c r="U1270" s="336"/>
      <c r="V1270" s="336"/>
      <c r="W1270" s="336"/>
      <c r="X1270" s="98">
        <v>1</v>
      </c>
      <c r="Y1270" s="74">
        <v>1</v>
      </c>
      <c r="Z1270" s="75">
        <f t="shared" si="500"/>
        <v>0</v>
      </c>
      <c r="AA1270" s="107">
        <f>AA1269</f>
        <v>0</v>
      </c>
      <c r="AB1270" s="41"/>
      <c r="AC1270" s="184"/>
      <c r="AD1270" s="212">
        <f t="shared" ref="AD1270:AD1279" si="503">AD1269</f>
        <v>21</v>
      </c>
      <c r="AE1270" s="387"/>
      <c r="AF1270" s="388"/>
      <c r="AG1270" s="388"/>
      <c r="AH1270" s="388"/>
      <c r="AI1270" s="388"/>
      <c r="AJ1270" s="388"/>
      <c r="AK1270" s="388"/>
      <c r="AL1270" s="388"/>
      <c r="AM1270" s="388"/>
      <c r="AN1270" s="388"/>
      <c r="AO1270" s="388"/>
      <c r="AP1270" s="388"/>
      <c r="AQ1270" s="388"/>
      <c r="AR1270" s="388"/>
      <c r="AS1270" s="388"/>
      <c r="AT1270" s="388"/>
      <c r="AU1270" s="388"/>
      <c r="AV1270" s="388"/>
      <c r="AW1270" s="388"/>
      <c r="AX1270" s="388"/>
      <c r="AY1270" s="388"/>
      <c r="AZ1270" s="388"/>
      <c r="BA1270" s="388"/>
      <c r="BB1270" s="389"/>
      <c r="BC1270" s="98">
        <v>1</v>
      </c>
      <c r="BD1270" s="74">
        <v>1</v>
      </c>
      <c r="BE1270" s="75">
        <f t="shared" si="501"/>
        <v>0</v>
      </c>
    </row>
    <row r="1271" spans="1:57" s="1" customFormat="1" ht="18" customHeight="1" x14ac:dyDescent="0.4">
      <c r="A1271" s="37" t="str">
        <f t="shared" si="494"/>
        <v>21Д</v>
      </c>
      <c r="B1271" s="183"/>
      <c r="C1271" s="41"/>
      <c r="D1271" s="184"/>
      <c r="E1271" s="282">
        <f t="shared" si="502"/>
        <v>21</v>
      </c>
      <c r="F1271" s="335"/>
      <c r="G1271" s="336"/>
      <c r="H1271" s="336"/>
      <c r="I1271" s="336"/>
      <c r="J1271" s="336"/>
      <c r="K1271" s="336"/>
      <c r="L1271" s="336"/>
      <c r="M1271" s="336"/>
      <c r="N1271" s="336"/>
      <c r="O1271" s="336"/>
      <c r="P1271" s="336"/>
      <c r="Q1271" s="336"/>
      <c r="R1271" s="336"/>
      <c r="S1271" s="336"/>
      <c r="T1271" s="336"/>
      <c r="U1271" s="336"/>
      <c r="V1271" s="336"/>
      <c r="W1271" s="336"/>
      <c r="X1271" s="98">
        <v>1</v>
      </c>
      <c r="Y1271" s="74">
        <v>1</v>
      </c>
      <c r="Z1271" s="75">
        <f t="shared" si="500"/>
        <v>0</v>
      </c>
      <c r="AA1271" s="107">
        <f t="shared" ref="AA1271:AA1279" si="504">AA1270</f>
        <v>0</v>
      </c>
      <c r="AB1271" s="41"/>
      <c r="AC1271" s="184"/>
      <c r="AD1271" s="212">
        <f t="shared" si="503"/>
        <v>21</v>
      </c>
      <c r="AE1271" s="387"/>
      <c r="AF1271" s="388"/>
      <c r="AG1271" s="388"/>
      <c r="AH1271" s="388"/>
      <c r="AI1271" s="388"/>
      <c r="AJ1271" s="388"/>
      <c r="AK1271" s="388"/>
      <c r="AL1271" s="388"/>
      <c r="AM1271" s="388"/>
      <c r="AN1271" s="388"/>
      <c r="AO1271" s="388"/>
      <c r="AP1271" s="388"/>
      <c r="AQ1271" s="388"/>
      <c r="AR1271" s="388"/>
      <c r="AS1271" s="388"/>
      <c r="AT1271" s="388"/>
      <c r="AU1271" s="388"/>
      <c r="AV1271" s="388"/>
      <c r="AW1271" s="388"/>
      <c r="AX1271" s="388"/>
      <c r="AY1271" s="388"/>
      <c r="AZ1271" s="388"/>
      <c r="BA1271" s="388"/>
      <c r="BB1271" s="389"/>
      <c r="BC1271" s="98">
        <v>1</v>
      </c>
      <c r="BD1271" s="74">
        <v>1</v>
      </c>
      <c r="BE1271" s="75">
        <f t="shared" si="501"/>
        <v>0</v>
      </c>
    </row>
    <row r="1272" spans="1:57" s="1" customFormat="1" ht="18" customHeight="1" x14ac:dyDescent="0.4">
      <c r="A1272" s="37" t="str">
        <f t="shared" si="494"/>
        <v>21Д</v>
      </c>
      <c r="B1272" s="183"/>
      <c r="C1272" s="41"/>
      <c r="D1272" s="184"/>
      <c r="E1272" s="282">
        <f t="shared" si="502"/>
        <v>21</v>
      </c>
      <c r="F1272" s="335"/>
      <c r="G1272" s="336"/>
      <c r="H1272" s="336"/>
      <c r="I1272" s="336"/>
      <c r="J1272" s="336"/>
      <c r="K1272" s="336"/>
      <c r="L1272" s="336"/>
      <c r="M1272" s="336"/>
      <c r="N1272" s="336"/>
      <c r="O1272" s="336"/>
      <c r="P1272" s="336"/>
      <c r="Q1272" s="336"/>
      <c r="R1272" s="336"/>
      <c r="S1272" s="336"/>
      <c r="T1272" s="336"/>
      <c r="U1272" s="336"/>
      <c r="V1272" s="336"/>
      <c r="W1272" s="336"/>
      <c r="X1272" s="98">
        <v>1</v>
      </c>
      <c r="Y1272" s="74">
        <v>1</v>
      </c>
      <c r="Z1272" s="75">
        <f t="shared" si="500"/>
        <v>0</v>
      </c>
      <c r="AA1272" s="107">
        <f t="shared" si="504"/>
        <v>0</v>
      </c>
      <c r="AB1272" s="41"/>
      <c r="AC1272" s="184"/>
      <c r="AD1272" s="212">
        <f t="shared" si="503"/>
        <v>21</v>
      </c>
      <c r="AE1272" s="387"/>
      <c r="AF1272" s="388"/>
      <c r="AG1272" s="388"/>
      <c r="AH1272" s="388"/>
      <c r="AI1272" s="388"/>
      <c r="AJ1272" s="388"/>
      <c r="AK1272" s="388"/>
      <c r="AL1272" s="388"/>
      <c r="AM1272" s="388"/>
      <c r="AN1272" s="388"/>
      <c r="AO1272" s="388"/>
      <c r="AP1272" s="388"/>
      <c r="AQ1272" s="388"/>
      <c r="AR1272" s="388"/>
      <c r="AS1272" s="388"/>
      <c r="AT1272" s="388"/>
      <c r="AU1272" s="388"/>
      <c r="AV1272" s="388"/>
      <c r="AW1272" s="388"/>
      <c r="AX1272" s="388"/>
      <c r="AY1272" s="388"/>
      <c r="AZ1272" s="388"/>
      <c r="BA1272" s="388"/>
      <c r="BB1272" s="389"/>
      <c r="BC1272" s="98">
        <v>1</v>
      </c>
      <c r="BD1272" s="74">
        <v>1</v>
      </c>
      <c r="BE1272" s="75">
        <f t="shared" si="501"/>
        <v>0</v>
      </c>
    </row>
    <row r="1273" spans="1:57" s="1" customFormat="1" ht="18" customHeight="1" x14ac:dyDescent="0.4">
      <c r="A1273" s="37" t="str">
        <f t="shared" si="494"/>
        <v>21Д</v>
      </c>
      <c r="B1273" s="183"/>
      <c r="C1273" s="41"/>
      <c r="D1273" s="184"/>
      <c r="E1273" s="282">
        <f t="shared" si="502"/>
        <v>21</v>
      </c>
      <c r="F1273" s="335"/>
      <c r="G1273" s="336"/>
      <c r="H1273" s="336"/>
      <c r="I1273" s="336"/>
      <c r="J1273" s="336"/>
      <c r="K1273" s="336"/>
      <c r="L1273" s="336"/>
      <c r="M1273" s="336"/>
      <c r="N1273" s="336"/>
      <c r="O1273" s="336"/>
      <c r="P1273" s="336"/>
      <c r="Q1273" s="336"/>
      <c r="R1273" s="336"/>
      <c r="S1273" s="336"/>
      <c r="T1273" s="336"/>
      <c r="U1273" s="336"/>
      <c r="V1273" s="336"/>
      <c r="W1273" s="336"/>
      <c r="X1273" s="98">
        <v>1</v>
      </c>
      <c r="Y1273" s="74">
        <v>1</v>
      </c>
      <c r="Z1273" s="75">
        <f t="shared" si="500"/>
        <v>0</v>
      </c>
      <c r="AA1273" s="107">
        <f t="shared" si="504"/>
        <v>0</v>
      </c>
      <c r="AB1273" s="41"/>
      <c r="AC1273" s="184"/>
      <c r="AD1273" s="212">
        <f t="shared" si="503"/>
        <v>21</v>
      </c>
      <c r="AE1273" s="387"/>
      <c r="AF1273" s="388"/>
      <c r="AG1273" s="388"/>
      <c r="AH1273" s="388"/>
      <c r="AI1273" s="388"/>
      <c r="AJ1273" s="388"/>
      <c r="AK1273" s="388"/>
      <c r="AL1273" s="388"/>
      <c r="AM1273" s="388"/>
      <c r="AN1273" s="388"/>
      <c r="AO1273" s="388"/>
      <c r="AP1273" s="388"/>
      <c r="AQ1273" s="388"/>
      <c r="AR1273" s="388"/>
      <c r="AS1273" s="388"/>
      <c r="AT1273" s="388"/>
      <c r="AU1273" s="388"/>
      <c r="AV1273" s="388"/>
      <c r="AW1273" s="388"/>
      <c r="AX1273" s="388"/>
      <c r="AY1273" s="388"/>
      <c r="AZ1273" s="388"/>
      <c r="BA1273" s="388"/>
      <c r="BB1273" s="389"/>
      <c r="BC1273" s="98">
        <v>1</v>
      </c>
      <c r="BD1273" s="74">
        <v>1</v>
      </c>
      <c r="BE1273" s="75">
        <f t="shared" si="501"/>
        <v>0</v>
      </c>
    </row>
    <row r="1274" spans="1:57" s="1" customFormat="1" ht="18" customHeight="1" x14ac:dyDescent="0.4">
      <c r="A1274" s="37" t="str">
        <f t="shared" si="494"/>
        <v>21Д</v>
      </c>
      <c r="B1274" s="183"/>
      <c r="C1274" s="41"/>
      <c r="D1274" s="184"/>
      <c r="E1274" s="282">
        <f t="shared" si="502"/>
        <v>21</v>
      </c>
      <c r="F1274" s="335"/>
      <c r="G1274" s="336"/>
      <c r="H1274" s="336"/>
      <c r="I1274" s="336"/>
      <c r="J1274" s="336"/>
      <c r="K1274" s="336"/>
      <c r="L1274" s="336"/>
      <c r="M1274" s="336"/>
      <c r="N1274" s="336"/>
      <c r="O1274" s="336"/>
      <c r="P1274" s="336"/>
      <c r="Q1274" s="336"/>
      <c r="R1274" s="336"/>
      <c r="S1274" s="336"/>
      <c r="T1274" s="336"/>
      <c r="U1274" s="336"/>
      <c r="V1274" s="336"/>
      <c r="W1274" s="336"/>
      <c r="X1274" s="98">
        <v>1</v>
      </c>
      <c r="Y1274" s="74">
        <v>1</v>
      </c>
      <c r="Z1274" s="75">
        <f t="shared" si="500"/>
        <v>0</v>
      </c>
      <c r="AA1274" s="107">
        <f t="shared" si="504"/>
        <v>0</v>
      </c>
      <c r="AB1274" s="41"/>
      <c r="AC1274" s="184"/>
      <c r="AD1274" s="212">
        <f t="shared" si="503"/>
        <v>21</v>
      </c>
      <c r="AE1274" s="387"/>
      <c r="AF1274" s="388"/>
      <c r="AG1274" s="388"/>
      <c r="AH1274" s="388"/>
      <c r="AI1274" s="388"/>
      <c r="AJ1274" s="388"/>
      <c r="AK1274" s="388"/>
      <c r="AL1274" s="388"/>
      <c r="AM1274" s="388"/>
      <c r="AN1274" s="388"/>
      <c r="AO1274" s="388"/>
      <c r="AP1274" s="388"/>
      <c r="AQ1274" s="388"/>
      <c r="AR1274" s="388"/>
      <c r="AS1274" s="388"/>
      <c r="AT1274" s="388"/>
      <c r="AU1274" s="388"/>
      <c r="AV1274" s="388"/>
      <c r="AW1274" s="388"/>
      <c r="AX1274" s="388"/>
      <c r="AY1274" s="388"/>
      <c r="AZ1274" s="388"/>
      <c r="BA1274" s="388"/>
      <c r="BB1274" s="389"/>
      <c r="BC1274" s="98">
        <v>1</v>
      </c>
      <c r="BD1274" s="74">
        <v>1</v>
      </c>
      <c r="BE1274" s="75">
        <f t="shared" si="501"/>
        <v>0</v>
      </c>
    </row>
    <row r="1275" spans="1:57" s="1" customFormat="1" ht="18" customHeight="1" x14ac:dyDescent="0.4">
      <c r="A1275" s="37" t="str">
        <f t="shared" si="494"/>
        <v>21Д</v>
      </c>
      <c r="B1275" s="183"/>
      <c r="C1275" s="41"/>
      <c r="D1275" s="184"/>
      <c r="E1275" s="282">
        <f t="shared" si="502"/>
        <v>21</v>
      </c>
      <c r="F1275" s="335"/>
      <c r="G1275" s="336"/>
      <c r="H1275" s="336"/>
      <c r="I1275" s="336"/>
      <c r="J1275" s="336"/>
      <c r="K1275" s="336"/>
      <c r="L1275" s="336"/>
      <c r="M1275" s="336"/>
      <c r="N1275" s="336"/>
      <c r="O1275" s="336"/>
      <c r="P1275" s="336"/>
      <c r="Q1275" s="336"/>
      <c r="R1275" s="336"/>
      <c r="S1275" s="336"/>
      <c r="T1275" s="336"/>
      <c r="U1275" s="336"/>
      <c r="V1275" s="336"/>
      <c r="W1275" s="336"/>
      <c r="X1275" s="98">
        <v>1</v>
      </c>
      <c r="Y1275" s="74">
        <v>1</v>
      </c>
      <c r="Z1275" s="75">
        <f t="shared" si="500"/>
        <v>0</v>
      </c>
      <c r="AA1275" s="107">
        <f t="shared" si="504"/>
        <v>0</v>
      </c>
      <c r="AB1275" s="41"/>
      <c r="AC1275" s="184"/>
      <c r="AD1275" s="212">
        <f t="shared" si="503"/>
        <v>21</v>
      </c>
      <c r="AE1275" s="387"/>
      <c r="AF1275" s="388"/>
      <c r="AG1275" s="388"/>
      <c r="AH1275" s="388"/>
      <c r="AI1275" s="388"/>
      <c r="AJ1275" s="388"/>
      <c r="AK1275" s="388"/>
      <c r="AL1275" s="388"/>
      <c r="AM1275" s="388"/>
      <c r="AN1275" s="388"/>
      <c r="AO1275" s="388"/>
      <c r="AP1275" s="388"/>
      <c r="AQ1275" s="388"/>
      <c r="AR1275" s="388"/>
      <c r="AS1275" s="388"/>
      <c r="AT1275" s="388"/>
      <c r="AU1275" s="388"/>
      <c r="AV1275" s="388"/>
      <c r="AW1275" s="388"/>
      <c r="AX1275" s="388"/>
      <c r="AY1275" s="388"/>
      <c r="AZ1275" s="388"/>
      <c r="BA1275" s="388"/>
      <c r="BB1275" s="389"/>
      <c r="BC1275" s="98">
        <v>1</v>
      </c>
      <c r="BD1275" s="74">
        <v>1</v>
      </c>
      <c r="BE1275" s="75">
        <f t="shared" si="501"/>
        <v>0</v>
      </c>
    </row>
    <row r="1276" spans="1:57" s="1" customFormat="1" ht="18" customHeight="1" x14ac:dyDescent="0.4">
      <c r="A1276" s="37" t="str">
        <f t="shared" si="494"/>
        <v>21Д</v>
      </c>
      <c r="B1276" s="183"/>
      <c r="C1276" s="41"/>
      <c r="D1276" s="184"/>
      <c r="E1276" s="282">
        <f t="shared" si="502"/>
        <v>21</v>
      </c>
      <c r="F1276" s="335"/>
      <c r="G1276" s="336"/>
      <c r="H1276" s="336"/>
      <c r="I1276" s="336"/>
      <c r="J1276" s="336"/>
      <c r="K1276" s="336"/>
      <c r="L1276" s="336"/>
      <c r="M1276" s="336"/>
      <c r="N1276" s="336"/>
      <c r="O1276" s="336"/>
      <c r="P1276" s="336"/>
      <c r="Q1276" s="336"/>
      <c r="R1276" s="336"/>
      <c r="S1276" s="336"/>
      <c r="T1276" s="336"/>
      <c r="U1276" s="336"/>
      <c r="V1276" s="336"/>
      <c r="W1276" s="336"/>
      <c r="X1276" s="98">
        <v>1</v>
      </c>
      <c r="Y1276" s="74">
        <v>1</v>
      </c>
      <c r="Z1276" s="75">
        <f t="shared" si="500"/>
        <v>0</v>
      </c>
      <c r="AA1276" s="107">
        <f t="shared" si="504"/>
        <v>0</v>
      </c>
      <c r="AB1276" s="41"/>
      <c r="AC1276" s="184"/>
      <c r="AD1276" s="212">
        <f t="shared" si="503"/>
        <v>21</v>
      </c>
      <c r="AE1276" s="387"/>
      <c r="AF1276" s="388"/>
      <c r="AG1276" s="388"/>
      <c r="AH1276" s="388"/>
      <c r="AI1276" s="388"/>
      <c r="AJ1276" s="388"/>
      <c r="AK1276" s="388"/>
      <c r="AL1276" s="388"/>
      <c r="AM1276" s="388"/>
      <c r="AN1276" s="388"/>
      <c r="AO1276" s="388"/>
      <c r="AP1276" s="388"/>
      <c r="AQ1276" s="388"/>
      <c r="AR1276" s="388"/>
      <c r="AS1276" s="388"/>
      <c r="AT1276" s="388"/>
      <c r="AU1276" s="388"/>
      <c r="AV1276" s="388"/>
      <c r="AW1276" s="388"/>
      <c r="AX1276" s="388"/>
      <c r="AY1276" s="388"/>
      <c r="AZ1276" s="388"/>
      <c r="BA1276" s="388"/>
      <c r="BB1276" s="389"/>
      <c r="BC1276" s="98">
        <v>1</v>
      </c>
      <c r="BD1276" s="74">
        <v>1</v>
      </c>
      <c r="BE1276" s="75">
        <f t="shared" si="501"/>
        <v>0</v>
      </c>
    </row>
    <row r="1277" spans="1:57" s="1" customFormat="1" ht="18" customHeight="1" x14ac:dyDescent="0.4">
      <c r="A1277" s="37" t="str">
        <f t="shared" si="494"/>
        <v>21Д</v>
      </c>
      <c r="B1277" s="183"/>
      <c r="C1277" s="41"/>
      <c r="D1277" s="184"/>
      <c r="E1277" s="282">
        <f t="shared" si="502"/>
        <v>21</v>
      </c>
      <c r="F1277" s="335"/>
      <c r="G1277" s="336"/>
      <c r="H1277" s="336"/>
      <c r="I1277" s="336"/>
      <c r="J1277" s="336"/>
      <c r="K1277" s="336"/>
      <c r="L1277" s="336"/>
      <c r="M1277" s="336"/>
      <c r="N1277" s="336"/>
      <c r="O1277" s="336"/>
      <c r="P1277" s="336"/>
      <c r="Q1277" s="336"/>
      <c r="R1277" s="336"/>
      <c r="S1277" s="336"/>
      <c r="T1277" s="336"/>
      <c r="U1277" s="336"/>
      <c r="V1277" s="336"/>
      <c r="W1277" s="336"/>
      <c r="X1277" s="98">
        <v>1</v>
      </c>
      <c r="Y1277" s="74">
        <v>1</v>
      </c>
      <c r="Z1277" s="75">
        <f t="shared" si="500"/>
        <v>0</v>
      </c>
      <c r="AA1277" s="107">
        <f t="shared" si="504"/>
        <v>0</v>
      </c>
      <c r="AB1277" s="41"/>
      <c r="AC1277" s="184"/>
      <c r="AD1277" s="212">
        <f t="shared" si="503"/>
        <v>21</v>
      </c>
      <c r="AE1277" s="387"/>
      <c r="AF1277" s="388"/>
      <c r="AG1277" s="388"/>
      <c r="AH1277" s="388"/>
      <c r="AI1277" s="388"/>
      <c r="AJ1277" s="388"/>
      <c r="AK1277" s="388"/>
      <c r="AL1277" s="388"/>
      <c r="AM1277" s="388"/>
      <c r="AN1277" s="388"/>
      <c r="AO1277" s="388"/>
      <c r="AP1277" s="388"/>
      <c r="AQ1277" s="388"/>
      <c r="AR1277" s="388"/>
      <c r="AS1277" s="388"/>
      <c r="AT1277" s="388"/>
      <c r="AU1277" s="388"/>
      <c r="AV1277" s="388"/>
      <c r="AW1277" s="388"/>
      <c r="AX1277" s="388"/>
      <c r="AY1277" s="388"/>
      <c r="AZ1277" s="388"/>
      <c r="BA1277" s="388"/>
      <c r="BB1277" s="389"/>
      <c r="BC1277" s="98">
        <v>1</v>
      </c>
      <c r="BD1277" s="74">
        <v>1</v>
      </c>
      <c r="BE1277" s="75">
        <f t="shared" si="501"/>
        <v>0</v>
      </c>
    </row>
    <row r="1278" spans="1:57" s="1" customFormat="1" ht="18" customHeight="1" x14ac:dyDescent="0.4">
      <c r="A1278" s="37" t="str">
        <f t="shared" si="494"/>
        <v>21Д</v>
      </c>
      <c r="B1278" s="183"/>
      <c r="C1278" s="41"/>
      <c r="D1278" s="184"/>
      <c r="E1278" s="282">
        <f t="shared" si="502"/>
        <v>21</v>
      </c>
      <c r="F1278" s="335"/>
      <c r="G1278" s="336"/>
      <c r="H1278" s="336"/>
      <c r="I1278" s="336"/>
      <c r="J1278" s="336"/>
      <c r="K1278" s="336"/>
      <c r="L1278" s="336"/>
      <c r="M1278" s="336"/>
      <c r="N1278" s="336"/>
      <c r="O1278" s="336"/>
      <c r="P1278" s="336"/>
      <c r="Q1278" s="336"/>
      <c r="R1278" s="336"/>
      <c r="S1278" s="336"/>
      <c r="T1278" s="336"/>
      <c r="U1278" s="336"/>
      <c r="V1278" s="336"/>
      <c r="W1278" s="336"/>
      <c r="X1278" s="98">
        <v>1</v>
      </c>
      <c r="Y1278" s="74">
        <v>1</v>
      </c>
      <c r="Z1278" s="75">
        <f t="shared" si="500"/>
        <v>0</v>
      </c>
      <c r="AA1278" s="107">
        <f t="shared" si="504"/>
        <v>0</v>
      </c>
      <c r="AB1278" s="41"/>
      <c r="AC1278" s="184"/>
      <c r="AD1278" s="212">
        <f t="shared" si="503"/>
        <v>21</v>
      </c>
      <c r="AE1278" s="387"/>
      <c r="AF1278" s="388"/>
      <c r="AG1278" s="388"/>
      <c r="AH1278" s="388"/>
      <c r="AI1278" s="388"/>
      <c r="AJ1278" s="388"/>
      <c r="AK1278" s="388"/>
      <c r="AL1278" s="388"/>
      <c r="AM1278" s="388"/>
      <c r="AN1278" s="388"/>
      <c r="AO1278" s="388"/>
      <c r="AP1278" s="388"/>
      <c r="AQ1278" s="388"/>
      <c r="AR1278" s="388"/>
      <c r="AS1278" s="388"/>
      <c r="AT1278" s="388"/>
      <c r="AU1278" s="388"/>
      <c r="AV1278" s="388"/>
      <c r="AW1278" s="388"/>
      <c r="AX1278" s="388"/>
      <c r="AY1278" s="388"/>
      <c r="AZ1278" s="388"/>
      <c r="BA1278" s="388"/>
      <c r="BB1278" s="389"/>
      <c r="BC1278" s="98">
        <v>1</v>
      </c>
      <c r="BD1278" s="74">
        <v>1</v>
      </c>
      <c r="BE1278" s="75">
        <f t="shared" si="501"/>
        <v>0</v>
      </c>
    </row>
    <row r="1279" spans="1:57" s="1" customFormat="1" ht="18" customHeight="1" thickBot="1" x14ac:dyDescent="0.45">
      <c r="A1279" s="37" t="str">
        <f t="shared" si="494"/>
        <v>21Д</v>
      </c>
      <c r="B1279" s="183"/>
      <c r="C1279" s="41"/>
      <c r="D1279" s="184"/>
      <c r="E1279" s="283">
        <f t="shared" si="502"/>
        <v>21</v>
      </c>
      <c r="F1279" s="339"/>
      <c r="G1279" s="340"/>
      <c r="H1279" s="340"/>
      <c r="I1279" s="340"/>
      <c r="J1279" s="340"/>
      <c r="K1279" s="340"/>
      <c r="L1279" s="340"/>
      <c r="M1279" s="340"/>
      <c r="N1279" s="340"/>
      <c r="O1279" s="340"/>
      <c r="P1279" s="340"/>
      <c r="Q1279" s="340"/>
      <c r="R1279" s="340"/>
      <c r="S1279" s="340"/>
      <c r="T1279" s="340"/>
      <c r="U1279" s="340"/>
      <c r="V1279" s="340"/>
      <c r="W1279" s="340"/>
      <c r="X1279" s="99">
        <v>1</v>
      </c>
      <c r="Y1279" s="76">
        <v>1</v>
      </c>
      <c r="Z1279" s="77">
        <f t="shared" si="500"/>
        <v>0</v>
      </c>
      <c r="AA1279" s="107">
        <f t="shared" si="504"/>
        <v>0</v>
      </c>
      <c r="AB1279" s="41"/>
      <c r="AC1279" s="184"/>
      <c r="AD1279" s="211">
        <f t="shared" si="503"/>
        <v>21</v>
      </c>
      <c r="AE1279" s="410"/>
      <c r="AF1279" s="411"/>
      <c r="AG1279" s="411"/>
      <c r="AH1279" s="411"/>
      <c r="AI1279" s="411"/>
      <c r="AJ1279" s="411"/>
      <c r="AK1279" s="411"/>
      <c r="AL1279" s="411"/>
      <c r="AM1279" s="411"/>
      <c r="AN1279" s="411"/>
      <c r="AO1279" s="411"/>
      <c r="AP1279" s="411"/>
      <c r="AQ1279" s="411"/>
      <c r="AR1279" s="411"/>
      <c r="AS1279" s="411"/>
      <c r="AT1279" s="411"/>
      <c r="AU1279" s="411"/>
      <c r="AV1279" s="411"/>
      <c r="AW1279" s="411"/>
      <c r="AX1279" s="411"/>
      <c r="AY1279" s="411"/>
      <c r="AZ1279" s="411"/>
      <c r="BA1279" s="411"/>
      <c r="BB1279" s="412"/>
      <c r="BC1279" s="99">
        <v>1</v>
      </c>
      <c r="BD1279" s="76">
        <v>1</v>
      </c>
      <c r="BE1279" s="75">
        <f t="shared" si="501"/>
        <v>0</v>
      </c>
    </row>
    <row r="1280" spans="1:57" s="1" customFormat="1" ht="23.25" customHeight="1" thickBot="1" x14ac:dyDescent="0.45">
      <c r="A1280" s="37" t="str">
        <f t="shared" si="494"/>
        <v>21Д</v>
      </c>
      <c r="B1280" s="193"/>
      <c r="C1280" s="47"/>
      <c r="D1280" s="47"/>
      <c r="E1280" s="47"/>
      <c r="F1280" s="78"/>
      <c r="G1280" s="78"/>
      <c r="H1280" s="78"/>
      <c r="I1280" s="80"/>
      <c r="J1280" s="80"/>
      <c r="K1280" s="80"/>
      <c r="L1280" s="80"/>
      <c r="M1280" s="80"/>
      <c r="N1280" s="80"/>
      <c r="O1280" s="78"/>
      <c r="P1280" s="81"/>
      <c r="Q1280" s="81"/>
      <c r="R1280" s="81"/>
      <c r="S1280" s="81"/>
      <c r="T1280" s="81"/>
      <c r="U1280" s="82"/>
      <c r="V1280" s="82"/>
      <c r="W1280" s="86"/>
      <c r="X1280" s="194"/>
      <c r="Y1280" s="83"/>
      <c r="Z1280" s="83"/>
      <c r="AA1280" s="78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84"/>
      <c r="AN1280" s="47"/>
      <c r="AO1280" s="78"/>
      <c r="AP1280" s="78"/>
      <c r="AQ1280" s="78"/>
      <c r="AR1280" s="84"/>
      <c r="AS1280" s="78"/>
      <c r="AT1280" s="85"/>
      <c r="AU1280" s="78"/>
      <c r="AV1280" s="83"/>
      <c r="AW1280" s="83"/>
      <c r="AX1280" s="78"/>
      <c r="AY1280" s="78"/>
      <c r="AZ1280" s="78"/>
      <c r="BA1280" s="78"/>
      <c r="BB1280" s="78"/>
      <c r="BC1280" s="78"/>
      <c r="BD1280" s="79"/>
      <c r="BE1280" s="79"/>
    </row>
    <row r="1281" spans="1:57" s="1" customFormat="1" ht="21.6" customHeight="1" thickBot="1" x14ac:dyDescent="0.45">
      <c r="A1281" s="37" t="s">
        <v>187</v>
      </c>
      <c r="B1281" s="59"/>
      <c r="C1281" s="51"/>
      <c r="D1281" s="51"/>
      <c r="E1281" s="51"/>
      <c r="F1281" s="158" t="s">
        <v>220</v>
      </c>
      <c r="G1281" s="51"/>
      <c r="H1281" s="51"/>
      <c r="I1281" s="156"/>
      <c r="J1281" s="156"/>
      <c r="K1281" s="156"/>
      <c r="L1281" s="156"/>
      <c r="M1281" s="156"/>
      <c r="N1281" s="156"/>
      <c r="O1281" s="91"/>
      <c r="P1281" s="52"/>
      <c r="Q1281" s="52"/>
      <c r="R1281" s="52"/>
      <c r="S1281" s="52"/>
      <c r="T1281" s="52"/>
      <c r="U1281" s="157"/>
      <c r="V1281" s="157"/>
      <c r="W1281" s="94"/>
      <c r="X1281" s="94"/>
      <c r="Y1281" s="51"/>
      <c r="Z1281" s="51"/>
      <c r="AA1281" s="157">
        <f>AA1264</f>
        <v>1</v>
      </c>
      <c r="AB1281" s="157">
        <f t="shared" ref="AB1281:AF1281" si="505">AB1264</f>
        <v>2</v>
      </c>
      <c r="AC1281" s="157">
        <f t="shared" si="505"/>
        <v>3</v>
      </c>
      <c r="AD1281" s="157">
        <f t="shared" si="505"/>
        <v>4</v>
      </c>
      <c r="AE1281" s="157">
        <f t="shared" si="505"/>
        <v>5</v>
      </c>
      <c r="AF1281" s="157">
        <f t="shared" si="505"/>
        <v>6</v>
      </c>
      <c r="AG1281" s="162" t="s">
        <v>123</v>
      </c>
      <c r="AH1281" s="162" t="s">
        <v>124</v>
      </c>
      <c r="AI1281" s="162" t="s">
        <v>125</v>
      </c>
      <c r="AJ1281" s="91" t="s">
        <v>126</v>
      </c>
      <c r="AK1281" s="198" t="s">
        <v>136</v>
      </c>
      <c r="AL1281" s="198" t="s">
        <v>137</v>
      </c>
      <c r="AM1281" s="198" t="s">
        <v>138</v>
      </c>
      <c r="AN1281" s="91"/>
      <c r="AO1281" s="91"/>
      <c r="AP1281" s="91"/>
      <c r="AQ1281" s="91"/>
      <c r="AR1281" s="91"/>
      <c r="AS1281" s="91"/>
      <c r="AT1281" s="91"/>
      <c r="AU1281" s="91"/>
      <c r="AV1281" s="91"/>
      <c r="AW1281" s="91"/>
      <c r="AX1281" s="91"/>
      <c r="AY1281" s="91"/>
      <c r="AZ1281" s="91"/>
      <c r="BA1281" s="91"/>
      <c r="BB1281" s="91"/>
      <c r="BC1281" s="91"/>
      <c r="BD1281" s="91"/>
      <c r="BE1281" s="91"/>
    </row>
    <row r="1282" spans="1:57" s="1" customFormat="1" ht="21.6" customHeight="1" x14ac:dyDescent="0.4">
      <c r="A1282" s="37" t="str">
        <f>A1281</f>
        <v>21Н</v>
      </c>
      <c r="B1282" s="12">
        <f>B1263</f>
        <v>21</v>
      </c>
      <c r="C1282" s="97"/>
      <c r="D1282" s="97">
        <v>1</v>
      </c>
      <c r="E1282" s="29"/>
      <c r="F1282" s="151" t="str">
        <f>IFERROR(VLOOKUP($G1282,нормы!$A$14:$BC$57,2,0),"")</f>
        <v/>
      </c>
      <c r="G1282" s="93"/>
      <c r="H1282" s="54">
        <f>IF(C1282=1,"Кульков С.А.", IF(C1282=2,"Чудаков А.А.",IF(C1282=3,"Королев В.Н.",IF(C1282=4,"Николашин М.П.",IF(C1282=5," Кульков С.А.",IF(C1282=6,"А.А. Чудаков",IF(C1282=7,"В.Н. Королев",IF(C1282=8,"М.П. Николашин",0))))))))</f>
        <v>0</v>
      </c>
      <c r="I1282" s="88" t="s">
        <v>84</v>
      </c>
      <c r="J1282" s="332"/>
      <c r="K1282" s="30">
        <f>IFERROR(VLOOKUP($G1282,[1]нормы!$A$21:$BC$151,15,0),"")</f>
        <v>0</v>
      </c>
      <c r="L1282" s="31">
        <f>IFERROR(VLOOKUP($G1282,[1]нормы!$A$21:$BC$151,17,0),"")</f>
        <v>0</v>
      </c>
      <c r="M1282" s="310">
        <f>IFERROR(VLOOKUP($G1282,[1]нормы!$A$21:$BC$151,27,0),"")</f>
        <v>0</v>
      </c>
      <c r="N1282" s="311" t="str">
        <f>IFERROR(Y1282/Y1288*(1.1*J1282*I1287),"")</f>
        <v/>
      </c>
      <c r="O1282" s="300">
        <f>IFERROR(VLOOKUP($G1282,[1]нормы!$A$21:$BC$151,21,0),"")</f>
        <v>0</v>
      </c>
      <c r="P1282" s="35">
        <f>IFERROR(VLOOKUP($G1282,[1]нормы!$A$21:$BC$151,19,0),"")</f>
        <v>0</v>
      </c>
      <c r="Q1282" s="35">
        <f>IFERROR(VLOOKUP($G1282,[1]нормы!$A$21:$BC$151,23,0),"")</f>
        <v>0</v>
      </c>
      <c r="R1282" s="231">
        <f>IFERROR(VLOOKUP($G1282,[1]нормы!$A$21:$BC$151,29,0),"")</f>
        <v>0</v>
      </c>
      <c r="S1282" s="35">
        <f>IFERROR(VLOOKUP($G1282,[1]нормы!$A$21:$BC$151,31,0),"")</f>
        <v>0</v>
      </c>
      <c r="T1282" s="32">
        <f>IFERROR(VLOOKUP($G1282,[1]нормы!$A$21:$BC$151,25,0),"")</f>
        <v>0</v>
      </c>
      <c r="U1282" s="232" t="str">
        <f>IFERROR(W1282/(((100*Y1282/Y1288)*I1287)/100),"")</f>
        <v/>
      </c>
      <c r="V1282" s="234" t="str">
        <f>IFERROR(VLOOKUP($G1282,нормы!$A$14:$BC$57,38,0),"")</f>
        <v/>
      </c>
      <c r="W1282" s="136"/>
      <c r="X1282" s="236"/>
      <c r="Y1282" s="152" t="str">
        <f>IFERROR(VLOOKUP($G1282,нормы!$A$14:$BC$57,42,0)*W1282,"")</f>
        <v/>
      </c>
      <c r="Z1282" s="163">
        <f>IFERROR(VLOOKUP($G1282,нормы!$A$14:$BC$57,14,0)*W1282/1000,0)</f>
        <v>0</v>
      </c>
      <c r="AA1282" s="33"/>
      <c r="AB1282" s="36"/>
      <c r="AC1282" s="36"/>
      <c r="AD1282" s="36"/>
      <c r="AE1282" s="34"/>
      <c r="AF1282" s="159"/>
      <c r="AG1282" s="390"/>
      <c r="AH1282" s="393"/>
      <c r="AI1282" s="396"/>
      <c r="AJ1282" s="407">
        <f>AG1282+AH1282</f>
        <v>0</v>
      </c>
      <c r="AK1282" s="359"/>
      <c r="AL1282" s="359"/>
      <c r="AM1282" s="359"/>
      <c r="AN1282" s="287">
        <f>IFERROR(Y1282*AJ1282/Y1288,)</f>
        <v>0</v>
      </c>
      <c r="AO1282" s="197" t="str">
        <f>IFERROR(VLOOKUP($G1282,нормы!$A$14:$BC$57,53,0)*$W1282,"")</f>
        <v/>
      </c>
      <c r="AP1282" s="288">
        <f>IFERROR(Y1282*AI1282/Y1288,)</f>
        <v>0</v>
      </c>
      <c r="AQ1282" s="197" t="str">
        <f>IFERROR(VLOOKUP($G1282,нормы!$A$14:$BC$57,54,0)*$W1282,"")</f>
        <v/>
      </c>
      <c r="AR1282" s="288">
        <f>IFERROR(AS1282/SUM(AS1282:AS1287)*AL1282,0)</f>
        <v>0</v>
      </c>
      <c r="AS1282" s="197" t="str">
        <f>IFERROR(VLOOKUP($G1282,нормы!$A$14:$BC$57,55,0)*W1282,"")</f>
        <v/>
      </c>
      <c r="AT1282" s="288">
        <f>IFERROR(AU1282/SUM(AU1282:AU1287)*AM1282,0)</f>
        <v>0</v>
      </c>
      <c r="AU1282" s="197" t="str">
        <f>IFERROR(VLOOKUP($G1282,нормы!$A$14:$BI$57,56,0)*W1282,"")</f>
        <v/>
      </c>
      <c r="AV1282" s="288">
        <f>IFERROR(AW1282/SUM(AW1282:AW1287)*AK1282,0)</f>
        <v>0</v>
      </c>
      <c r="AW1282" s="202" t="str">
        <f>IFERROR(VLOOKUP($G1282,нормы!$A$14:$BI$57,57,0)*W1282,"")</f>
        <v/>
      </c>
      <c r="AX1282" s="33"/>
      <c r="AY1282" s="203" t="str">
        <f>IFERROR(VLOOKUP($G1282,нормы!$A$14:$BI$57,58,0)*W1282,"")</f>
        <v/>
      </c>
      <c r="AZ1282" s="204"/>
      <c r="BA1282" s="200" t="str">
        <f>IFERROR(VLOOKUP($G1282,нормы!$A$14:$BI$57,61,0)*$W1282,"")</f>
        <v/>
      </c>
      <c r="BB1282" s="33"/>
      <c r="BC1282" s="203" t="str">
        <f>IFERROR(VLOOKUP($G1282,нормы!$A$14:$BI$57,60,0)*W1282,"")</f>
        <v/>
      </c>
      <c r="BD1282" s="200" t="str">
        <f>IFERROR(VLOOKUP($G1282,нормы!$A$14:$BG$57,44,0),"")</f>
        <v/>
      </c>
      <c r="BE1282" s="199" t="str">
        <f>IFERROR(W1282/VLOOKUP($G1282,нормы!$A$14:$BI$57,45,0),"")</f>
        <v/>
      </c>
    </row>
    <row r="1283" spans="1:57" s="1" customFormat="1" ht="21.6" customHeight="1" x14ac:dyDescent="0.4">
      <c r="A1283" s="37" t="str">
        <f t="shared" ref="A1283:A1311" si="506">A1282</f>
        <v>21Н</v>
      </c>
      <c r="B1283" s="12">
        <f t="shared" ref="B1283:D1287" si="507">B1282</f>
        <v>21</v>
      </c>
      <c r="C1283" s="97">
        <f t="shared" si="507"/>
        <v>0</v>
      </c>
      <c r="D1283" s="97">
        <f t="shared" si="507"/>
        <v>1</v>
      </c>
      <c r="E1283" s="54"/>
      <c r="F1283" s="151" t="str">
        <f>IFERROR(VLOOKUP($G1283,нормы!$A$14:$BC$57,2,0),"")</f>
        <v/>
      </c>
      <c r="G1283" s="93"/>
      <c r="H1283" s="54">
        <f t="shared" ref="H1283:H1287" si="508">IF(C1283=1,"Кульков С.А.", IF(C1283=2,"Чудаков А.А.",IF(C1283=3,"Королев В.Н.",IF(C1283=4,"Николашин М.П.",IF(C1283=5," Кульков С.А.",IF(C1283=6,"А.А. Чудаков",IF(C1283=7,"В.Н. Королев",IF(C1283=8,"М.П. Николашин",0))))))))</f>
        <v>0</v>
      </c>
      <c r="I1283" s="55"/>
      <c r="J1283" s="333"/>
      <c r="K1283" s="30">
        <f>IFERROR(VLOOKUP($G1283,[1]нормы!$A$21:$BC$151,15,0),"")</f>
        <v>0</v>
      </c>
      <c r="L1283" s="31">
        <f>IFERROR(VLOOKUP($G1283,[1]нормы!$A$21:$BC$151,17,0),"")</f>
        <v>0</v>
      </c>
      <c r="M1283" s="306">
        <f>IFERROR(VLOOKUP($G1283,[1]нормы!$A$21:$BC$151,27,0),"")</f>
        <v>0</v>
      </c>
      <c r="N1283" s="307" t="str">
        <f>IFERROR(Y1283/Y1288*(1.1*J1282*I1287),"")</f>
        <v/>
      </c>
      <c r="O1283" s="300">
        <f>IFERROR(VLOOKUP($G1283,[1]нормы!$A$21:$BC$151,21,0),"")</f>
        <v>0</v>
      </c>
      <c r="P1283" s="35">
        <f>IFERROR(VLOOKUP($G1283,[1]нормы!$A$21:$BC$151,19,0),"")</f>
        <v>0</v>
      </c>
      <c r="Q1283" s="35">
        <f>IFERROR(VLOOKUP($G1283,[1]нормы!$A$21:$BC$151,23,0),"")</f>
        <v>0</v>
      </c>
      <c r="R1283" s="231">
        <f>IFERROR(VLOOKUP($G1283,[1]нормы!$A$21:$BC$151,29,0),"")</f>
        <v>0</v>
      </c>
      <c r="S1283" s="35">
        <f>IFERROR(VLOOKUP($G1283,[1]нормы!$A$21:$BC$151,31,0),"")</f>
        <v>0</v>
      </c>
      <c r="T1283" s="32">
        <f>IFERROR(VLOOKUP($G1283,[1]нормы!$A$21:$BC$151,25,0),"")</f>
        <v>0</v>
      </c>
      <c r="U1283" s="233" t="str">
        <f>IFERROR(W1283/(((100*Y1283/Y1288)*I1287)/100),"")</f>
        <v/>
      </c>
      <c r="V1283" s="234" t="str">
        <f>IFERROR(VLOOKUP($G1283,нормы!$A$14:$BC$57,38,0),"")</f>
        <v/>
      </c>
      <c r="W1283" s="136"/>
      <c r="X1283" s="237"/>
      <c r="Y1283" s="152" t="str">
        <f>IFERROR(VLOOKUP($G1283,нормы!$A$14:$BC$57,42,0)*W1283,"")</f>
        <v/>
      </c>
      <c r="Z1283" s="163">
        <f>IFERROR(VLOOKUP($G1283,нормы!$A$14:$BC$57,14,0)*W1283/1000,0)</f>
        <v>0</v>
      </c>
      <c r="AA1283" s="142"/>
      <c r="AB1283" s="35"/>
      <c r="AC1283" s="35"/>
      <c r="AD1283" s="35"/>
      <c r="AE1283" s="31"/>
      <c r="AF1283" s="160"/>
      <c r="AG1283" s="391"/>
      <c r="AH1283" s="394"/>
      <c r="AI1283" s="397"/>
      <c r="AJ1283" s="408"/>
      <c r="AK1283" s="360"/>
      <c r="AL1283" s="360"/>
      <c r="AM1283" s="360"/>
      <c r="AN1283" s="289">
        <f>IFERROR(Y1283*AJ1282/Y1288,)</f>
        <v>0</v>
      </c>
      <c r="AO1283" s="197" t="str">
        <f>IFERROR(VLOOKUP($G1283,нормы!$A$14:$BC$57,53,0)*$W1283,"")</f>
        <v/>
      </c>
      <c r="AP1283" s="290">
        <f>IFERROR(Y1283*AI1282/Y1288,)</f>
        <v>0</v>
      </c>
      <c r="AQ1283" s="197" t="str">
        <f>IFERROR(VLOOKUP($G1283,нормы!$A$14:$BC$57,54,0)*$W1283,"")</f>
        <v/>
      </c>
      <c r="AR1283" s="290">
        <f>IFERROR(AS1283/SUM(AS1282:AS1287)*AL1282,0)</f>
        <v>0</v>
      </c>
      <c r="AS1283" s="197" t="str">
        <f>IFERROR(VLOOKUP($G1283,нормы!$A$14:$BC$57,55,0)*W1283,"")</f>
        <v/>
      </c>
      <c r="AT1283" s="290">
        <f>IFERROR(AU1283/SUM(AU1282:AU1287)*AM1282,0)</f>
        <v>0</v>
      </c>
      <c r="AU1283" s="197" t="str">
        <f>IFERROR(VLOOKUP($G1283,нормы!$A$14:$BI$57,56,0)*W1283,"")</f>
        <v/>
      </c>
      <c r="AV1283" s="290">
        <f>IFERROR(AW1283/SUM(AW1282:AW1287)*AK1282,0)</f>
        <v>0</v>
      </c>
      <c r="AW1283" s="202" t="str">
        <f>IFERROR(VLOOKUP($G1283,нормы!$A$14:$BI$57,57,0)*W1283,"")</f>
        <v/>
      </c>
      <c r="AX1283" s="30"/>
      <c r="AY1283" s="203" t="str">
        <f>IFERROR(VLOOKUP($G1283,нормы!$A$14:$BI$57,58,0)*W1283,"")</f>
        <v/>
      </c>
      <c r="AZ1283" s="205"/>
      <c r="BA1283" s="200" t="str">
        <f>IFERROR(VLOOKUP($G1283,нормы!$A$14:$BI$57,61,0)*$W1283,"")</f>
        <v/>
      </c>
      <c r="BB1283" s="30"/>
      <c r="BC1283" s="203" t="str">
        <f>IFERROR(VLOOKUP($G1283,нормы!$A$14:$BI$57,60,0)*W1283,"")</f>
        <v/>
      </c>
      <c r="BD1283" s="200" t="str">
        <f>IFERROR(VLOOKUP($G1283,нормы!$A$14:$BG$57,44,0),"")</f>
        <v/>
      </c>
      <c r="BE1283" s="199" t="str">
        <f>IFERROR(W1283/VLOOKUP($G1283,нормы!$A$14:$BI$57,45,0),"")</f>
        <v/>
      </c>
    </row>
    <row r="1284" spans="1:57" s="1" customFormat="1" ht="20.25" customHeight="1" x14ac:dyDescent="0.4">
      <c r="A1284" s="37" t="str">
        <f t="shared" si="506"/>
        <v>21Н</v>
      </c>
      <c r="B1284" s="12">
        <f t="shared" si="507"/>
        <v>21</v>
      </c>
      <c r="C1284" s="97">
        <f t="shared" si="507"/>
        <v>0</v>
      </c>
      <c r="D1284" s="97">
        <f t="shared" si="507"/>
        <v>1</v>
      </c>
      <c r="E1284" s="54"/>
      <c r="F1284" s="151" t="str">
        <f>IFERROR(VLOOKUP($G1284,нормы!$A$14:$BC$57,2,0),"")</f>
        <v/>
      </c>
      <c r="G1284" s="38"/>
      <c r="H1284" s="54">
        <f t="shared" si="508"/>
        <v>0</v>
      </c>
      <c r="I1284" s="89" t="s">
        <v>85</v>
      </c>
      <c r="J1284" s="333"/>
      <c r="K1284" s="30">
        <f>IFERROR(VLOOKUP($G1284,[1]нормы!$A$21:$BC$151,15,0),"")</f>
        <v>0</v>
      </c>
      <c r="L1284" s="31">
        <f>IFERROR(VLOOKUP($G1284,[1]нормы!$A$21:$BC$151,17,0),"")</f>
        <v>0</v>
      </c>
      <c r="M1284" s="306">
        <f>IFERROR(VLOOKUP($G1284,[1]нормы!$A$21:$BC$151,27,0),"")</f>
        <v>0</v>
      </c>
      <c r="N1284" s="307" t="str">
        <f>IFERROR(Y1284/Y1288*(1.1*J1282*I1287),"")</f>
        <v/>
      </c>
      <c r="O1284" s="300">
        <f>IFERROR(VLOOKUP($G1284,[1]нормы!$A$21:$BC$151,21,0),"")</f>
        <v>0</v>
      </c>
      <c r="P1284" s="35">
        <f>IFERROR(VLOOKUP($G1284,[1]нормы!$A$21:$BC$151,19,0),"")</f>
        <v>0</v>
      </c>
      <c r="Q1284" s="35">
        <f>IFERROR(VLOOKUP($G1284,[1]нормы!$A$21:$BC$151,23,0),"")</f>
        <v>0</v>
      </c>
      <c r="R1284" s="231">
        <f>IFERROR(VLOOKUP($G1284,[1]нормы!$A$21:$BC$151,29,0),"")</f>
        <v>0</v>
      </c>
      <c r="S1284" s="35">
        <f>IFERROR(VLOOKUP($G1284,[1]нормы!$A$21:$BC$151,31,0),"")</f>
        <v>0</v>
      </c>
      <c r="T1284" s="32">
        <f>IFERROR(VLOOKUP($G1284,[1]нормы!$A$21:$BC$151,25,0),"")</f>
        <v>0</v>
      </c>
      <c r="U1284" s="233" t="str">
        <f>IFERROR(W1284/(((100*Y1284/Y1288)*I1287)/100),"")</f>
        <v/>
      </c>
      <c r="V1284" s="234" t="str">
        <f>IFERROR(VLOOKUP($G1284,нормы!$A$14:$BC$57,38,0),"")</f>
        <v/>
      </c>
      <c r="W1284" s="136"/>
      <c r="X1284" s="237"/>
      <c r="Y1284" s="152" t="str">
        <f>IFERROR(VLOOKUP($G1284,нормы!$A$14:$BC$57,42,0)*W1284,"")</f>
        <v/>
      </c>
      <c r="Z1284" s="163">
        <f>IFERROR(VLOOKUP($G1284,нормы!$A$14:$BC$57,14,0)*W1284/1000,0)</f>
        <v>0</v>
      </c>
      <c r="AA1284" s="30"/>
      <c r="AB1284" s="35"/>
      <c r="AC1284" s="35"/>
      <c r="AD1284" s="35"/>
      <c r="AE1284" s="31"/>
      <c r="AF1284" s="160"/>
      <c r="AG1284" s="391"/>
      <c r="AH1284" s="394"/>
      <c r="AI1284" s="397"/>
      <c r="AJ1284" s="408"/>
      <c r="AK1284" s="360"/>
      <c r="AL1284" s="360"/>
      <c r="AM1284" s="360"/>
      <c r="AN1284" s="289">
        <f>IFERROR(Y1284*AJ1282/Y1288,)</f>
        <v>0</v>
      </c>
      <c r="AO1284" s="197" t="str">
        <f>IFERROR(VLOOKUP($G1284,нормы!$A$14:$BC$57,53,0)*$W1284,"")</f>
        <v/>
      </c>
      <c r="AP1284" s="290">
        <f>IFERROR(Y1284*AI1282/Y1288,)</f>
        <v>0</v>
      </c>
      <c r="AQ1284" s="197" t="str">
        <f>IFERROR(VLOOKUP($G1284,нормы!$A$14:$BC$57,54,0)*$W1284,"")</f>
        <v/>
      </c>
      <c r="AR1284" s="290">
        <f>IFERROR(AS1284/SUM(AS1282:AS1287)*AL1282,0)</f>
        <v>0</v>
      </c>
      <c r="AS1284" s="197" t="str">
        <f>IFERROR(VLOOKUP($G1284,нормы!$A$14:$BC$57,55,0)*W1284,"")</f>
        <v/>
      </c>
      <c r="AT1284" s="290">
        <f>IFERROR(AU1284/SUM(AU1282:AU1287)*AM1282,0)</f>
        <v>0</v>
      </c>
      <c r="AU1284" s="197" t="str">
        <f>IFERROR(VLOOKUP($G1284,нормы!$A$14:$BI$57,56,0)*W1284,"")</f>
        <v/>
      </c>
      <c r="AV1284" s="290">
        <f>IFERROR(AW1284/SUM(AW1282:AW1287)*AK1282,0)</f>
        <v>0</v>
      </c>
      <c r="AW1284" s="202" t="str">
        <f>IFERROR(VLOOKUP($G1284,нормы!$A$14:$BI$57,57,0)*W1284,"")</f>
        <v/>
      </c>
      <c r="AX1284" s="30"/>
      <c r="AY1284" s="203" t="str">
        <f>IFERROR(VLOOKUP($G1284,нормы!$A$14:$BI$57,58,0)*W1284,"")</f>
        <v/>
      </c>
      <c r="AZ1284" s="205"/>
      <c r="BA1284" s="200" t="str">
        <f>IFERROR(VLOOKUP($G1284,нормы!$A$14:$BI$57,61,0)*$W1284,"")</f>
        <v/>
      </c>
      <c r="BB1284" s="30"/>
      <c r="BC1284" s="203" t="str">
        <f>IFERROR(VLOOKUP($G1284,нормы!$A$14:$BI$57,60,0)*W1284,"")</f>
        <v/>
      </c>
      <c r="BD1284" s="200" t="str">
        <f>IFERROR(VLOOKUP($G1284,нормы!$A$14:$BG$57,44,0),"")</f>
        <v/>
      </c>
      <c r="BE1284" s="199" t="str">
        <f>IFERROR(W1284/VLOOKUP($G1284,нормы!$A$14:$BI$57,45,0),"")</f>
        <v/>
      </c>
    </row>
    <row r="1285" spans="1:57" s="1" customFormat="1" ht="20.25" customHeight="1" x14ac:dyDescent="0.4">
      <c r="A1285" s="37" t="str">
        <f t="shared" si="506"/>
        <v>21Н</v>
      </c>
      <c r="B1285" s="12">
        <f t="shared" si="507"/>
        <v>21</v>
      </c>
      <c r="C1285" s="97">
        <f t="shared" si="507"/>
        <v>0</v>
      </c>
      <c r="D1285" s="97">
        <f t="shared" si="507"/>
        <v>1</v>
      </c>
      <c r="E1285" s="54"/>
      <c r="F1285" s="151" t="str">
        <f>IFERROR(VLOOKUP($G1285,нормы!$A$14:$BC$57,2,0),"")</f>
        <v/>
      </c>
      <c r="G1285" s="93"/>
      <c r="H1285" s="54">
        <f t="shared" si="508"/>
        <v>0</v>
      </c>
      <c r="I1285" s="55"/>
      <c r="J1285" s="333"/>
      <c r="K1285" s="30">
        <f>IFERROR(VLOOKUP($G1285,[1]нормы!$A$21:$BC$151,15,0),"")</f>
        <v>0</v>
      </c>
      <c r="L1285" s="31">
        <f>IFERROR(VLOOKUP($G1285,[1]нормы!$A$21:$BC$151,17,0),"")</f>
        <v>0</v>
      </c>
      <c r="M1285" s="306">
        <f>IFERROR(VLOOKUP($G1285,[1]нормы!$A$21:$BC$151,27,0),"")</f>
        <v>0</v>
      </c>
      <c r="N1285" s="307" t="str">
        <f>IFERROR(Y1285/Y1288*(1.1*J1282*I1290),"")</f>
        <v/>
      </c>
      <c r="O1285" s="300">
        <f>IFERROR(VLOOKUP($G1285,[1]нормы!$A$21:$BC$151,21,0),"")</f>
        <v>0</v>
      </c>
      <c r="P1285" s="35">
        <f>IFERROR(VLOOKUP($G1285,[1]нормы!$A$21:$BC$151,19,0),"")</f>
        <v>0</v>
      </c>
      <c r="Q1285" s="35">
        <f>IFERROR(VLOOKUP($G1285,[1]нормы!$A$21:$BC$151,23,0),"")</f>
        <v>0</v>
      </c>
      <c r="R1285" s="231">
        <f>IFERROR(VLOOKUP($G1285,[1]нормы!$A$21:$BC$151,29,0),"")</f>
        <v>0</v>
      </c>
      <c r="S1285" s="35">
        <f>IFERROR(VLOOKUP($G1285,[1]нормы!$A$21:$BC$151,31,0),"")</f>
        <v>0</v>
      </c>
      <c r="T1285" s="32">
        <f>IFERROR(VLOOKUP($G1285,[1]нормы!$A$21:$BC$151,25,0),"")</f>
        <v>0</v>
      </c>
      <c r="U1285" s="233" t="str">
        <f>IFERROR(W1285/(((100*Y1285/Y1288)*I1287)/100),"")</f>
        <v/>
      </c>
      <c r="V1285" s="234" t="str">
        <f>IFERROR(VLOOKUP($G1285,нормы!$A$14:$BC$57,38,0),"")</f>
        <v/>
      </c>
      <c r="W1285" s="136"/>
      <c r="X1285" s="237"/>
      <c r="Y1285" s="152" t="str">
        <f>IFERROR(VLOOKUP($G1285,нормы!$A$14:$BC$57,42,0)*W1285,"")</f>
        <v/>
      </c>
      <c r="Z1285" s="163">
        <f>IFERROR(VLOOKUP($G1285,нормы!$A$14:$BC$57,14,0)*W1285/1000,0)</f>
        <v>0</v>
      </c>
      <c r="AA1285" s="30"/>
      <c r="AB1285" s="35"/>
      <c r="AC1285" s="35"/>
      <c r="AD1285" s="35"/>
      <c r="AE1285" s="31"/>
      <c r="AF1285" s="160"/>
      <c r="AG1285" s="391"/>
      <c r="AH1285" s="394"/>
      <c r="AI1285" s="397"/>
      <c r="AJ1285" s="408"/>
      <c r="AK1285" s="360"/>
      <c r="AL1285" s="360"/>
      <c r="AM1285" s="360"/>
      <c r="AN1285" s="289">
        <f>IFERROR(Y1285*AJ1282/Y1288,)</f>
        <v>0</v>
      </c>
      <c r="AO1285" s="197" t="str">
        <f>IFERROR(VLOOKUP($G1285,нормы!$A$14:$BC$57,53,0)*$W1285,"")</f>
        <v/>
      </c>
      <c r="AP1285" s="290">
        <f>IFERROR(Y1285*AI1282/Y1288,)</f>
        <v>0</v>
      </c>
      <c r="AQ1285" s="197" t="str">
        <f>IFERROR(VLOOKUP($G1285,нормы!$A$14:$BC$57,54,0)*$W1285,"")</f>
        <v/>
      </c>
      <c r="AR1285" s="290">
        <f>IFERROR(AS1285/SUM(AS1282:AS1287)*AL1282,0)</f>
        <v>0</v>
      </c>
      <c r="AS1285" s="197" t="str">
        <f>IFERROR(VLOOKUP($G1285,нормы!$A$14:$BC$57,55,0)*W1285,"")</f>
        <v/>
      </c>
      <c r="AT1285" s="290">
        <f>IFERROR(AU1285/SUM(AU1282:AU1287)*AM1282,0)</f>
        <v>0</v>
      </c>
      <c r="AU1285" s="197" t="str">
        <f>IFERROR(VLOOKUP($G1285,нормы!$A$14:$BI$57,56,0)*W1285,"")</f>
        <v/>
      </c>
      <c r="AV1285" s="290">
        <f>IFERROR(AW1285/SUM(AW1282:AW1287)*AK1282,0)</f>
        <v>0</v>
      </c>
      <c r="AW1285" s="202" t="str">
        <f>IFERROR(VLOOKUP($G1285,нормы!$A$14:$BI$57,57,0)*W1285,"")</f>
        <v/>
      </c>
      <c r="AX1285" s="30"/>
      <c r="AY1285" s="203" t="str">
        <f>IFERROR(VLOOKUP($G1285,нормы!$A$14:$BI$57,58,0)*W1285,"")</f>
        <v/>
      </c>
      <c r="AZ1285" s="205"/>
      <c r="BA1285" s="200" t="str">
        <f>IFERROR(VLOOKUP($G1285,нормы!$A$14:$BI$57,61,0)*$W1285,"")</f>
        <v/>
      </c>
      <c r="BB1285" s="30"/>
      <c r="BC1285" s="203" t="str">
        <f>IFERROR(VLOOKUP($G1285,нормы!$A$14:$BI$57,60,0)*W1285,"")</f>
        <v/>
      </c>
      <c r="BD1285" s="200" t="str">
        <f>IFERROR(VLOOKUP($G1285,нормы!$A$14:$BG$57,44,0),"")</f>
        <v/>
      </c>
      <c r="BE1285" s="199" t="str">
        <f>IFERROR(W1285/VLOOKUP($G1285,нормы!$A$14:$BI$57,45,0),"")</f>
        <v/>
      </c>
    </row>
    <row r="1286" spans="1:57" s="1" customFormat="1" ht="20.25" customHeight="1" x14ac:dyDescent="0.4">
      <c r="A1286" s="37" t="str">
        <f t="shared" si="506"/>
        <v>21Н</v>
      </c>
      <c r="B1286" s="12">
        <f t="shared" si="507"/>
        <v>21</v>
      </c>
      <c r="C1286" s="97">
        <f t="shared" si="507"/>
        <v>0</v>
      </c>
      <c r="D1286" s="97">
        <f t="shared" si="507"/>
        <v>1</v>
      </c>
      <c r="E1286" s="54"/>
      <c r="F1286" s="151" t="str">
        <f>IFERROR(VLOOKUP($G1286,нормы!$A$14:$BC$57,2,0),"")</f>
        <v/>
      </c>
      <c r="G1286" s="38"/>
      <c r="H1286" s="54">
        <f t="shared" si="508"/>
        <v>0</v>
      </c>
      <c r="I1286" s="89" t="s">
        <v>73</v>
      </c>
      <c r="J1286" s="333"/>
      <c r="K1286" s="30">
        <f>IFERROR(VLOOKUP($G1286,[1]нормы!$A$21:$BC$151,15,0),"")</f>
        <v>0</v>
      </c>
      <c r="L1286" s="31">
        <f>IFERROR(VLOOKUP($G1286,[1]нормы!$A$21:$BC$151,17,0),"")</f>
        <v>0</v>
      </c>
      <c r="M1286" s="306">
        <f>IFERROR(VLOOKUP($G1286,[1]нормы!$A$21:$BC$151,27,0),"")</f>
        <v>0</v>
      </c>
      <c r="N1286" s="307" t="str">
        <f>IFERROR(Y1286/Y1288*(1.1*J1282*I1291),"")</f>
        <v/>
      </c>
      <c r="O1286" s="300">
        <f>IFERROR(VLOOKUP($G1286,[1]нормы!$A$21:$BC$151,21,0),"")</f>
        <v>0</v>
      </c>
      <c r="P1286" s="35">
        <f>IFERROR(VLOOKUP($G1286,[1]нормы!$A$21:$BC$151,19,0),"")</f>
        <v>0</v>
      </c>
      <c r="Q1286" s="35">
        <f>IFERROR(VLOOKUP($G1286,[1]нормы!$A$21:$BC$151,23,0),"")</f>
        <v>0</v>
      </c>
      <c r="R1286" s="231">
        <f>IFERROR(VLOOKUP($G1286,[1]нормы!$A$21:$BC$151,29,0),"")</f>
        <v>0</v>
      </c>
      <c r="S1286" s="35">
        <f>IFERROR(VLOOKUP($G1286,[1]нормы!$A$21:$BC$151,31,0),"")</f>
        <v>0</v>
      </c>
      <c r="T1286" s="32">
        <f>IFERROR(VLOOKUP($G1286,[1]нормы!$A$21:$BC$151,25,0),"")</f>
        <v>0</v>
      </c>
      <c r="U1286" s="233" t="str">
        <f>IFERROR(W1286/(((100*Y1286/Y1288)*I1287)/100),"")</f>
        <v/>
      </c>
      <c r="V1286" s="234" t="str">
        <f>IFERROR(VLOOKUP($G1286,нормы!$A$14:$BC$57,38,0),"")</f>
        <v/>
      </c>
      <c r="W1286" s="136"/>
      <c r="X1286" s="237"/>
      <c r="Y1286" s="152" t="str">
        <f>IFERROR(VLOOKUP($G1286,нормы!$A$14:$BC$57,42,0)*W1286,"")</f>
        <v/>
      </c>
      <c r="Z1286" s="163">
        <f>IFERROR(VLOOKUP($G1286,нормы!$A$14:$BC$57,14,0)*W1286/1000,0)</f>
        <v>0</v>
      </c>
      <c r="AA1286" s="30"/>
      <c r="AB1286" s="35"/>
      <c r="AC1286" s="35"/>
      <c r="AD1286" s="35"/>
      <c r="AE1286" s="31"/>
      <c r="AF1286" s="160"/>
      <c r="AG1286" s="391"/>
      <c r="AH1286" s="394"/>
      <c r="AI1286" s="397"/>
      <c r="AJ1286" s="408"/>
      <c r="AK1286" s="360"/>
      <c r="AL1286" s="360"/>
      <c r="AM1286" s="360"/>
      <c r="AN1286" s="289">
        <f>IFERROR(Y1286*AJ1282/Y1288,)</f>
        <v>0</v>
      </c>
      <c r="AO1286" s="197" t="str">
        <f>IFERROR(VLOOKUP($G1286,нормы!$A$14:$BC$57,53,0)*$W1286,"")</f>
        <v/>
      </c>
      <c r="AP1286" s="290">
        <f>IFERROR(Y1286*AI1282/Y1288,)</f>
        <v>0</v>
      </c>
      <c r="AQ1286" s="197" t="str">
        <f>IFERROR(VLOOKUP($G1286,нормы!$A$14:$BC$57,54,0)*$W1286,"")</f>
        <v/>
      </c>
      <c r="AR1286" s="290">
        <f>IFERROR(AS1286/SUM(AS1282:AS1287)*AL1282,0)</f>
        <v>0</v>
      </c>
      <c r="AS1286" s="197" t="str">
        <f>IFERROR(VLOOKUP($G1286,нормы!$A$14:$BC$57,55,0)*W1286,"")</f>
        <v/>
      </c>
      <c r="AT1286" s="290">
        <f>IFERROR(AU1286/SUM(AU1282:AU1287)*AM1282,0)</f>
        <v>0</v>
      </c>
      <c r="AU1286" s="197" t="str">
        <f>IFERROR(VLOOKUP($G1286,нормы!$A$14:$BI$57,56,0)*W1286,"")</f>
        <v/>
      </c>
      <c r="AV1286" s="290">
        <f>IFERROR(AW1286/SUM(AW1282:AW1287)*AK1282,0)</f>
        <v>0</v>
      </c>
      <c r="AW1286" s="202" t="str">
        <f>IFERROR(VLOOKUP($G1286,нормы!$A$14:$BI$57,57,0)*W1286,"")</f>
        <v/>
      </c>
      <c r="AX1286" s="30"/>
      <c r="AY1286" s="203" t="str">
        <f>IFERROR(VLOOKUP($G1286,нормы!$A$14:$BI$57,58,0)*W1286,"")</f>
        <v/>
      </c>
      <c r="AZ1286" s="205"/>
      <c r="BA1286" s="200" t="str">
        <f>IFERROR(VLOOKUP($G1286,нормы!$A$14:$BI$57,61,0)*$W1286,"")</f>
        <v/>
      </c>
      <c r="BB1286" s="30"/>
      <c r="BC1286" s="203" t="str">
        <f>IFERROR(VLOOKUP($G1286,нормы!$A$14:$BI$57,60,0)*W1286,"")</f>
        <v/>
      </c>
      <c r="BD1286" s="200" t="str">
        <f>IFERROR(VLOOKUP($G1286,нормы!$A$14:$BG$57,44,0),"")</f>
        <v/>
      </c>
      <c r="BE1286" s="199" t="str">
        <f>IFERROR(W1286/VLOOKUP($G1286,нормы!$A$14:$BI$57,45,0),"")</f>
        <v/>
      </c>
    </row>
    <row r="1287" spans="1:57" s="1" customFormat="1" ht="21" customHeight="1" thickBot="1" x14ac:dyDescent="0.45">
      <c r="A1287" s="37" t="str">
        <f t="shared" si="506"/>
        <v>21Н</v>
      </c>
      <c r="B1287" s="12">
        <f t="shared" si="507"/>
        <v>21</v>
      </c>
      <c r="C1287" s="97">
        <f t="shared" si="507"/>
        <v>0</v>
      </c>
      <c r="D1287" s="97">
        <f t="shared" si="507"/>
        <v>1</v>
      </c>
      <c r="E1287" s="54"/>
      <c r="F1287" s="151" t="str">
        <f>IFERROR(VLOOKUP($G1287,нормы!$A$14:$BC$57,2,0),"")</f>
        <v/>
      </c>
      <c r="G1287" s="93"/>
      <c r="H1287" s="63">
        <f t="shared" si="508"/>
        <v>0</v>
      </c>
      <c r="I1287" s="153">
        <f>I1283+I1285</f>
        <v>0</v>
      </c>
      <c r="J1287" s="334"/>
      <c r="K1287" s="30">
        <f>IFERROR(VLOOKUP($G1287,[1]нормы!$A$21:$BC$151,15,0),"")</f>
        <v>0</v>
      </c>
      <c r="L1287" s="31">
        <f>IFERROR(VLOOKUP($G1287,[1]нормы!$A$21:$BC$151,17,0),"")</f>
        <v>0</v>
      </c>
      <c r="M1287" s="308">
        <f>IFERROR(VLOOKUP($G1287,[1]нормы!$A$21:$BC$151,27,0),"")</f>
        <v>0</v>
      </c>
      <c r="N1287" s="309" t="str">
        <f>IFERROR(Y1287/Y1288*(1.1*J1282*I1292),"")</f>
        <v/>
      </c>
      <c r="O1287" s="300">
        <f>IFERROR(VLOOKUP($G1287,[1]нормы!$A$21:$BC$151,21,0),"")</f>
        <v>0</v>
      </c>
      <c r="P1287" s="35">
        <f>IFERROR(VLOOKUP($G1287,[1]нормы!$A$21:$BC$151,19,0),"")</f>
        <v>0</v>
      </c>
      <c r="Q1287" s="35">
        <f>IFERROR(VLOOKUP($G1287,[1]нормы!$A$21:$BC$151,23,0),"")</f>
        <v>0</v>
      </c>
      <c r="R1287" s="231">
        <f>IFERROR(VLOOKUP($G1287,[1]нормы!$A$21:$BC$151,29,0),"")</f>
        <v>0</v>
      </c>
      <c r="S1287" s="35">
        <f>IFERROR(VLOOKUP($G1287,[1]нормы!$A$21:$BC$151,31,0),"")</f>
        <v>0</v>
      </c>
      <c r="T1287" s="32">
        <f>IFERROR(VLOOKUP($G1287,[1]нормы!$A$21:$BC$151,25,0),"")</f>
        <v>0</v>
      </c>
      <c r="U1287" s="235" t="str">
        <f>IFERROR(W1287/(((100*Y1287/Y1288)*I1287)/100),"")</f>
        <v/>
      </c>
      <c r="V1287" s="234" t="str">
        <f>IFERROR(VLOOKUP($G1287,нормы!$A$14:$BC$57,38,0),"")</f>
        <v/>
      </c>
      <c r="W1287" s="154"/>
      <c r="X1287" s="238"/>
      <c r="Y1287" s="152" t="str">
        <f>IFERROR(VLOOKUP($G1287,нормы!$A$14:$BC$57,42,0)*W1287,"")</f>
        <v/>
      </c>
      <c r="Z1287" s="163">
        <f>IFERROR(VLOOKUP($G1287,нормы!$A$14:$BC$57,14,0)*W1287/1000,0)</f>
        <v>0</v>
      </c>
      <c r="AA1287" s="56"/>
      <c r="AB1287" s="58"/>
      <c r="AC1287" s="58"/>
      <c r="AD1287" s="58"/>
      <c r="AE1287" s="57"/>
      <c r="AF1287" s="161"/>
      <c r="AG1287" s="392"/>
      <c r="AH1287" s="395"/>
      <c r="AI1287" s="398"/>
      <c r="AJ1287" s="409"/>
      <c r="AK1287" s="361"/>
      <c r="AL1287" s="361"/>
      <c r="AM1287" s="361"/>
      <c r="AN1287" s="291">
        <f>IFERROR(Y1287*AJ1282/Y1288,)</f>
        <v>0</v>
      </c>
      <c r="AO1287" s="197" t="str">
        <f>IFERROR(VLOOKUP($G1287,нормы!$A$14:$BC$57,53,0)*$W1287,"")</f>
        <v/>
      </c>
      <c r="AP1287" s="292">
        <f>IFERROR(Y1287*AI1282/Y1288,)</f>
        <v>0</v>
      </c>
      <c r="AQ1287" s="197" t="str">
        <f>IFERROR(VLOOKUP($G1287,нормы!$A$14:$BC$57,54,0)*$W1287,"")</f>
        <v/>
      </c>
      <c r="AR1287" s="290">
        <f>IFERROR(AS1287/SUM(AS1282:AS1287)*AL1282,0)</f>
        <v>0</v>
      </c>
      <c r="AS1287" s="197" t="str">
        <f>IFERROR(VLOOKUP($G1287,нормы!$A$14:$BC$57,55,0)*W1287,"")</f>
        <v/>
      </c>
      <c r="AT1287" s="292">
        <f>IFERROR(AU1287/SUM(AU1282:AU1287)*AM1282,0)</f>
        <v>0</v>
      </c>
      <c r="AU1287" s="197" t="str">
        <f>IFERROR(VLOOKUP($G1287,нормы!$A$14:$BI$57,56,0)*W1287,"")</f>
        <v/>
      </c>
      <c r="AV1287" s="292">
        <f>IFERROR(AW1287/SUM(AW1282:AW1287)*AK1282,0)</f>
        <v>0</v>
      </c>
      <c r="AW1287" s="202" t="str">
        <f>IFERROR(VLOOKUP($G1287,нормы!$A$14:$BI$57,57,0)*W1287,"")</f>
        <v/>
      </c>
      <c r="AX1287" s="56"/>
      <c r="AY1287" s="203" t="str">
        <f>IFERROR(VLOOKUP($G1287,нормы!$A$14:$BI$57,58,0)*W1287,"")</f>
        <v/>
      </c>
      <c r="AZ1287" s="206"/>
      <c r="BA1287" s="200" t="str">
        <f>IFERROR(VLOOKUP($G1287,нормы!$A$14:$BI$57,61,0)*$W1287,"")</f>
        <v/>
      </c>
      <c r="BB1287" s="56"/>
      <c r="BC1287" s="203" t="str">
        <f>IFERROR(VLOOKUP($G1287,нормы!$A$14:$BI$57,60,0)*W1287,"")</f>
        <v/>
      </c>
      <c r="BD1287" s="200" t="str">
        <f>IFERROR(VLOOKUP($G1287,нормы!$A$14:$BG$57,44,0),"")</f>
        <v/>
      </c>
      <c r="BE1287" s="199" t="str">
        <f>IFERROR(W1287/VLOOKUP($G1287,нормы!$A$14:$BI$57,45,0),"")</f>
        <v/>
      </c>
    </row>
    <row r="1288" spans="1:57" s="1" customFormat="1" ht="29.4" customHeight="1" thickBot="1" x14ac:dyDescent="0.45">
      <c r="A1288" s="37" t="str">
        <f t="shared" si="506"/>
        <v>21Н</v>
      </c>
      <c r="B1288" s="59"/>
      <c r="C1288" s="51"/>
      <c r="D1288" s="51"/>
      <c r="E1288" s="51"/>
      <c r="F1288" s="295" t="s">
        <v>149</v>
      </c>
      <c r="G1288" s="51"/>
      <c r="H1288" s="51"/>
      <c r="I1288" s="60"/>
      <c r="J1288" s="60"/>
      <c r="K1288" s="319" t="s">
        <v>213</v>
      </c>
      <c r="L1288" s="316"/>
      <c r="M1288" s="303" t="s">
        <v>213</v>
      </c>
      <c r="N1288" s="317">
        <f>SUM(N1282:N1287)</f>
        <v>0</v>
      </c>
      <c r="O1288" s="304" t="s">
        <v>216</v>
      </c>
      <c r="P1288" s="318">
        <f>N1288*8.937/1000</f>
        <v>0</v>
      </c>
      <c r="Q1288" s="305" t="s">
        <v>215</v>
      </c>
      <c r="R1288" s="61"/>
      <c r="S1288" s="61"/>
      <c r="T1288" s="61"/>
      <c r="U1288" s="109"/>
      <c r="V1288" s="109"/>
      <c r="W1288" s="94"/>
      <c r="X1288" s="155"/>
      <c r="Y1288" s="96">
        <f>SUM(Y1282:Y1287)</f>
        <v>0</v>
      </c>
      <c r="Z1288" s="164">
        <f>SUM(Z1282:Z1287)</f>
        <v>0</v>
      </c>
      <c r="AA1288" s="62"/>
      <c r="AB1288" s="62"/>
      <c r="AC1288" s="62"/>
      <c r="AD1288" s="62"/>
      <c r="AE1288" s="62"/>
      <c r="AF1288" s="62"/>
      <c r="AG1288" s="162" t="s">
        <v>140</v>
      </c>
      <c r="AH1288" s="162" t="s">
        <v>141</v>
      </c>
      <c r="AI1288" s="162" t="s">
        <v>142</v>
      </c>
      <c r="AJ1288" s="91" t="s">
        <v>126</v>
      </c>
      <c r="AK1288" s="198" t="s">
        <v>136</v>
      </c>
      <c r="AL1288" s="198" t="s">
        <v>137</v>
      </c>
      <c r="AM1288" s="198" t="s">
        <v>138</v>
      </c>
      <c r="AN1288" s="91"/>
      <c r="AO1288" s="91"/>
      <c r="AP1288" s="91"/>
      <c r="AQ1288" s="91"/>
      <c r="AR1288" s="91"/>
      <c r="AS1288" s="91"/>
      <c r="AT1288" s="91"/>
      <c r="AU1288" s="91"/>
      <c r="AV1288" s="91"/>
      <c r="AW1288" s="91"/>
      <c r="AX1288" s="91"/>
      <c r="AY1288" s="91"/>
      <c r="AZ1288" s="91"/>
      <c r="BA1288" s="91"/>
      <c r="BB1288" s="91"/>
      <c r="BC1288" s="91"/>
      <c r="BD1288" s="91"/>
      <c r="BE1288" s="53" t="str">
        <f>IFERROR(W1288/VLOOKUP($G1288,нормы!$A$14:$BI$15,28,0),"")</f>
        <v/>
      </c>
    </row>
    <row r="1289" spans="1:57" s="1" customFormat="1" ht="21.6" customHeight="1" x14ac:dyDescent="0.4">
      <c r="A1289" s="37" t="str">
        <f t="shared" si="506"/>
        <v>21Н</v>
      </c>
      <c r="B1289" s="12">
        <f>B1287</f>
        <v>21</v>
      </c>
      <c r="C1289" s="97"/>
      <c r="D1289" s="97">
        <v>2</v>
      </c>
      <c r="E1289" s="29"/>
      <c r="F1289" s="151" t="str">
        <f>IFERROR(VLOOKUP($G1289,нормы!$A$14:$BC$57,2,0),"")</f>
        <v/>
      </c>
      <c r="G1289" s="93"/>
      <c r="H1289" s="54">
        <f>IF(C1289=1,"Кульков С.А.", IF(C1289=2,"Чудаков А.А.",IF(C1289=3,"Королев В.Н.",IF(C1289=4,"Николашин М.П.",IF(C1289=5," Кульков С.А.",IF(C1289=6,"А.А. Чудаков",IF(C1289=7,"В.Н. Королев",IF(C1289=8,"М.П. Николашин",0))))))))</f>
        <v>0</v>
      </c>
      <c r="I1289" s="88" t="s">
        <v>211</v>
      </c>
      <c r="J1289" s="332"/>
      <c r="K1289" s="30">
        <f>IFERROR(VLOOKUP($G1289,[1]нормы!$A$21:$BC$151,15,0),"")</f>
        <v>0</v>
      </c>
      <c r="L1289" s="31">
        <f>IFERROR(VLOOKUP($G1289,[1]нормы!$A$21:$BC$151,17,0),"")</f>
        <v>0</v>
      </c>
      <c r="M1289" s="310">
        <f>IFERROR(VLOOKUP($G1289,[1]нормы!$A$21:$BC$151,27,0),"")</f>
        <v>0</v>
      </c>
      <c r="N1289" s="311" t="str">
        <f>IFERROR(Y1289/Y1295*(1.1*J1289*I1294),"")</f>
        <v/>
      </c>
      <c r="O1289" s="300">
        <f>IFERROR(VLOOKUP($G1289,[1]нормы!$A$21:$BC$151,21,0),"")</f>
        <v>0</v>
      </c>
      <c r="P1289" s="35">
        <f>IFERROR(VLOOKUP($G1289,[1]нормы!$A$21:$BC$151,19,0),"")</f>
        <v>0</v>
      </c>
      <c r="Q1289" s="35">
        <f>IFERROR(VLOOKUP($G1289,[1]нормы!$A$21:$BC$151,23,0),"")</f>
        <v>0</v>
      </c>
      <c r="R1289" s="231">
        <f>IFERROR(VLOOKUP($G1289,[1]нормы!$A$21:$BC$151,29,0),"")</f>
        <v>0</v>
      </c>
      <c r="S1289" s="35">
        <f>IFERROR(VLOOKUP($G1289,[1]нормы!$A$21:$BC$151,31,0),"")</f>
        <v>0</v>
      </c>
      <c r="T1289" s="32">
        <f>IFERROR(VLOOKUP($G1289,[1]нормы!$A$21:$BC$151,25,0),"")</f>
        <v>0</v>
      </c>
      <c r="U1289" s="232" t="str">
        <f>IFERROR(W1289/(((100*Y1289/Y1295)*I1294)/100),"")</f>
        <v/>
      </c>
      <c r="V1289" s="234" t="str">
        <f>IFERROR(VLOOKUP($G1289,нормы!$A$14:$BC$57,38,0),"")</f>
        <v/>
      </c>
      <c r="W1289" s="136"/>
      <c r="X1289" s="236"/>
      <c r="Y1289" s="152" t="str">
        <f>IFERROR(VLOOKUP($G1289,нормы!$A$14:$BC$57,42,0)*W1289,"")</f>
        <v/>
      </c>
      <c r="Z1289" s="163">
        <f>IFERROR(VLOOKUP($G1289,нормы!$A$14:$BC$57,14,0)*W1289/1000,0)</f>
        <v>0</v>
      </c>
      <c r="AA1289" s="33"/>
      <c r="AB1289" s="36"/>
      <c r="AC1289" s="36"/>
      <c r="AD1289" s="36"/>
      <c r="AE1289" s="34"/>
      <c r="AF1289" s="159"/>
      <c r="AG1289" s="390"/>
      <c r="AH1289" s="393"/>
      <c r="AI1289" s="396"/>
      <c r="AJ1289" s="407">
        <f>AG1289+AH1289</f>
        <v>0</v>
      </c>
      <c r="AK1289" s="359"/>
      <c r="AL1289" s="359"/>
      <c r="AM1289" s="359"/>
      <c r="AN1289" s="287">
        <f>IFERROR(Y1289*AJ1289/Y1295,)</f>
        <v>0</v>
      </c>
      <c r="AO1289" s="197" t="str">
        <f>IFERROR(VLOOKUP($G1289,нормы!$A$14:$BC$57,53,0)*$W1289,"")</f>
        <v/>
      </c>
      <c r="AP1289" s="288">
        <f>IFERROR(Y1289*AI1289/Y1295,)</f>
        <v>0</v>
      </c>
      <c r="AQ1289" s="197" t="str">
        <f>IFERROR(VLOOKUP($G1289,нормы!$A$14:$BC$57,54,0)*$W1289,"")</f>
        <v/>
      </c>
      <c r="AR1289" s="288">
        <f>IFERROR(AS1289/SUM(AS1289:AS1294)*AL1289,0)</f>
        <v>0</v>
      </c>
      <c r="AS1289" s="197" t="str">
        <f>IFERROR(VLOOKUP($G1289,нормы!$A$14:$BC$57,55,0)*W1289,"")</f>
        <v/>
      </c>
      <c r="AT1289" s="288">
        <f>IFERROR(AU1289/SUM(AU1289:AU1294)*AM1289,0)</f>
        <v>0</v>
      </c>
      <c r="AU1289" s="197" t="str">
        <f>IFERROR(VLOOKUP($G1289,нормы!$A$14:$BI$57,56,0)*W1289,"")</f>
        <v/>
      </c>
      <c r="AV1289" s="288">
        <f>IFERROR(AW1289/SUM(AW1289:AW1294)*AK1289,0)</f>
        <v>0</v>
      </c>
      <c r="AW1289" s="202" t="str">
        <f>IFERROR(VLOOKUP($G1289,нормы!$A$14:$BI$57,57,0)*W1289,"")</f>
        <v/>
      </c>
      <c r="AX1289" s="33"/>
      <c r="AY1289" s="203" t="str">
        <f>IFERROR(VLOOKUP($G1289,нормы!$A$14:$BI$57,58,0)*W1289,"")</f>
        <v/>
      </c>
      <c r="AZ1289" s="204"/>
      <c r="BA1289" s="200" t="str">
        <f>IFERROR(VLOOKUP($G1289,нормы!$A$14:$BI$57,61,0)*$W1289,"")</f>
        <v/>
      </c>
      <c r="BB1289" s="33"/>
      <c r="BC1289" s="203" t="str">
        <f>IFERROR(VLOOKUP($G1289,нормы!$A$14:$BI$57,60,0)*W1289,"")</f>
        <v/>
      </c>
      <c r="BD1289" s="200" t="str">
        <f>IFERROR(VLOOKUP($G1289,нормы!$A$14:$BG$57,44,0),"")</f>
        <v/>
      </c>
      <c r="BE1289" s="199" t="str">
        <f>IFERROR(W1289/VLOOKUP($G1289,нормы!$A$14:$BI$57,45,0),"")</f>
        <v/>
      </c>
    </row>
    <row r="1290" spans="1:57" s="1" customFormat="1" ht="21.6" customHeight="1" x14ac:dyDescent="0.4">
      <c r="A1290" s="37" t="str">
        <f t="shared" si="506"/>
        <v>21Н</v>
      </c>
      <c r="B1290" s="12">
        <f t="shared" ref="B1290:D1294" si="509">B1289</f>
        <v>21</v>
      </c>
      <c r="C1290" s="97">
        <f t="shared" si="509"/>
        <v>0</v>
      </c>
      <c r="D1290" s="97">
        <f t="shared" si="509"/>
        <v>2</v>
      </c>
      <c r="E1290" s="54"/>
      <c r="F1290" s="151" t="str">
        <f>IFERROR(VLOOKUP($G1290,нормы!$A$14:$BC$57,2,0),"")</f>
        <v/>
      </c>
      <c r="G1290" s="93"/>
      <c r="H1290" s="54">
        <f t="shared" ref="H1290:H1294" si="510">IF(C1290=1,"Кульков С.А.", IF(C1290=2,"Чудаков А.А.",IF(C1290=3,"Королев В.Н.",IF(C1290=4,"Николашин М.П.",IF(C1290=5," Кульков С.А.",IF(C1290=6,"А.А. Чудаков",IF(C1290=7,"В.Н. Королев",IF(C1290=8,"М.П. Николашин",0))))))))</f>
        <v>0</v>
      </c>
      <c r="I1290" s="55"/>
      <c r="J1290" s="333"/>
      <c r="K1290" s="30">
        <f>IFERROR(VLOOKUP($G1290,[1]нормы!$A$21:$BC$151,15,0),"")</f>
        <v>0</v>
      </c>
      <c r="L1290" s="31">
        <f>IFERROR(VLOOKUP($G1290,[1]нормы!$A$21:$BC$151,17,0),"")</f>
        <v>0</v>
      </c>
      <c r="M1290" s="306">
        <f>IFERROR(VLOOKUP($G1290,[1]нормы!$A$21:$BC$151,27,0),"")</f>
        <v>0</v>
      </c>
      <c r="N1290" s="307" t="str">
        <f>IFERROR(Y1290/Y1295*(1.1*J1289*I1294),"")</f>
        <v/>
      </c>
      <c r="O1290" s="300">
        <f>IFERROR(VLOOKUP($G1290,[1]нормы!$A$21:$BC$151,21,0),"")</f>
        <v>0</v>
      </c>
      <c r="P1290" s="35">
        <f>IFERROR(VLOOKUP($G1290,[1]нормы!$A$21:$BC$151,19,0),"")</f>
        <v>0</v>
      </c>
      <c r="Q1290" s="35">
        <f>IFERROR(VLOOKUP($G1290,[1]нормы!$A$21:$BC$151,23,0),"")</f>
        <v>0</v>
      </c>
      <c r="R1290" s="231">
        <f>IFERROR(VLOOKUP($G1290,[1]нормы!$A$21:$BC$151,29,0),"")</f>
        <v>0</v>
      </c>
      <c r="S1290" s="35">
        <f>IFERROR(VLOOKUP($G1290,[1]нормы!$A$21:$BC$151,31,0),"")</f>
        <v>0</v>
      </c>
      <c r="T1290" s="32">
        <f>IFERROR(VLOOKUP($G1290,[1]нормы!$A$21:$BC$151,25,0),"")</f>
        <v>0</v>
      </c>
      <c r="U1290" s="233" t="str">
        <f>IFERROR(W1290/(((100*Y1290/Y1295)*I1294)/100),"")</f>
        <v/>
      </c>
      <c r="V1290" s="234" t="str">
        <f>IFERROR(VLOOKUP($G1290,нормы!$A$14:$BC$57,38,0),"")</f>
        <v/>
      </c>
      <c r="W1290" s="136"/>
      <c r="X1290" s="237"/>
      <c r="Y1290" s="152" t="str">
        <f>IFERROR(VLOOKUP($G1290,нормы!$A$14:$BC$57,42,0)*W1290,"")</f>
        <v/>
      </c>
      <c r="Z1290" s="163">
        <f>IFERROR(VLOOKUP($G1290,нормы!$A$14:$BC$57,14,0)*W1290/1000,0)</f>
        <v>0</v>
      </c>
      <c r="AA1290" s="142"/>
      <c r="AB1290" s="35"/>
      <c r="AC1290" s="35"/>
      <c r="AD1290" s="35"/>
      <c r="AE1290" s="31"/>
      <c r="AF1290" s="160"/>
      <c r="AG1290" s="391"/>
      <c r="AH1290" s="394"/>
      <c r="AI1290" s="397"/>
      <c r="AJ1290" s="408"/>
      <c r="AK1290" s="360"/>
      <c r="AL1290" s="360"/>
      <c r="AM1290" s="360"/>
      <c r="AN1290" s="289">
        <f>IFERROR(Y1290*AJ1289/Y1295,)</f>
        <v>0</v>
      </c>
      <c r="AO1290" s="197" t="str">
        <f>IFERROR(VLOOKUP($G1290,нормы!$A$14:$BC$57,53,0)*$W1290,"")</f>
        <v/>
      </c>
      <c r="AP1290" s="290">
        <f>IFERROR(Y1290*AI1289/Y1295,)</f>
        <v>0</v>
      </c>
      <c r="AQ1290" s="197" t="str">
        <f>IFERROR(VLOOKUP($G1290,нормы!$A$14:$BC$57,54,0)*$W1290,"")</f>
        <v/>
      </c>
      <c r="AR1290" s="290">
        <f>IFERROR(AS1290/SUM(AS1289:AS1294)*AL1289,0)</f>
        <v>0</v>
      </c>
      <c r="AS1290" s="197" t="str">
        <f>IFERROR(VLOOKUP($G1290,нормы!$A$14:$BC$57,55,0)*W1290,"")</f>
        <v/>
      </c>
      <c r="AT1290" s="290">
        <f>IFERROR(AU1290/SUM(AU1289:AU1294)*AM1289,0)</f>
        <v>0</v>
      </c>
      <c r="AU1290" s="197" t="str">
        <f>IFERROR(VLOOKUP($G1290,нормы!$A$14:$BI$57,56,0)*W1290,"")</f>
        <v/>
      </c>
      <c r="AV1290" s="290">
        <f>IFERROR(AW1290/SUM(AW1289:AW1294)*AK1289,0)</f>
        <v>0</v>
      </c>
      <c r="AW1290" s="202" t="str">
        <f>IFERROR(VLOOKUP($G1290,нормы!$A$14:$BI$57,57,0)*W1290,"")</f>
        <v/>
      </c>
      <c r="AX1290" s="30"/>
      <c r="AY1290" s="203" t="str">
        <f>IFERROR(VLOOKUP($G1290,нормы!$A$14:$BI$57,58,0)*W1290,"")</f>
        <v/>
      </c>
      <c r="AZ1290" s="205"/>
      <c r="BA1290" s="200" t="str">
        <f>IFERROR(VLOOKUP($G1290,нормы!$A$14:$BI$57,61,0)*$W1290,"")</f>
        <v/>
      </c>
      <c r="BB1290" s="30"/>
      <c r="BC1290" s="203" t="str">
        <f>IFERROR(VLOOKUP($G1290,нормы!$A$14:$BI$57,60,0)*W1290,"")</f>
        <v/>
      </c>
      <c r="BD1290" s="200" t="str">
        <f>IFERROR(VLOOKUP($G1290,нормы!$A$14:$BG$57,44,0),"")</f>
        <v/>
      </c>
      <c r="BE1290" s="199" t="str">
        <f>IFERROR(W1290/VLOOKUP($G1290,нормы!$A$14:$BI$57,45,0),"")</f>
        <v/>
      </c>
    </row>
    <row r="1291" spans="1:57" s="1" customFormat="1" ht="20.25" customHeight="1" x14ac:dyDescent="0.4">
      <c r="A1291" s="37" t="str">
        <f t="shared" si="506"/>
        <v>21Н</v>
      </c>
      <c r="B1291" s="12">
        <f t="shared" si="509"/>
        <v>21</v>
      </c>
      <c r="C1291" s="97">
        <f t="shared" si="509"/>
        <v>0</v>
      </c>
      <c r="D1291" s="97">
        <f t="shared" si="509"/>
        <v>2</v>
      </c>
      <c r="E1291" s="54"/>
      <c r="F1291" s="151" t="str">
        <f>IFERROR(VLOOKUP($G1291,нормы!$A$14:$BC$57,2,0),"")</f>
        <v/>
      </c>
      <c r="G1291" s="38"/>
      <c r="H1291" s="54">
        <f t="shared" si="510"/>
        <v>0</v>
      </c>
      <c r="I1291" s="89" t="s">
        <v>212</v>
      </c>
      <c r="J1291" s="333"/>
      <c r="K1291" s="30">
        <f>IFERROR(VLOOKUP($G1291,[1]нормы!$A$21:$BC$151,15,0),"")</f>
        <v>0</v>
      </c>
      <c r="L1291" s="31">
        <f>IFERROR(VLOOKUP($G1291,[1]нормы!$A$21:$BC$151,17,0),"")</f>
        <v>0</v>
      </c>
      <c r="M1291" s="306">
        <f>IFERROR(VLOOKUP($G1291,[1]нормы!$A$21:$BC$151,27,0),"")</f>
        <v>0</v>
      </c>
      <c r="N1291" s="307" t="str">
        <f>IFERROR(Y1291/Y1295*(1.1*J1289*I1294),"")</f>
        <v/>
      </c>
      <c r="O1291" s="300">
        <f>IFERROR(VLOOKUP($G1291,[1]нормы!$A$21:$BC$151,21,0),"")</f>
        <v>0</v>
      </c>
      <c r="P1291" s="35">
        <f>IFERROR(VLOOKUP($G1291,[1]нормы!$A$21:$BC$151,19,0),"")</f>
        <v>0</v>
      </c>
      <c r="Q1291" s="35">
        <f>IFERROR(VLOOKUP($G1291,[1]нормы!$A$21:$BC$151,23,0),"")</f>
        <v>0</v>
      </c>
      <c r="R1291" s="231">
        <f>IFERROR(VLOOKUP($G1291,[1]нормы!$A$21:$BC$151,29,0),"")</f>
        <v>0</v>
      </c>
      <c r="S1291" s="35">
        <f>IFERROR(VLOOKUP($G1291,[1]нормы!$A$21:$BC$151,31,0),"")</f>
        <v>0</v>
      </c>
      <c r="T1291" s="32">
        <f>IFERROR(VLOOKUP($G1291,[1]нормы!$A$21:$BC$151,25,0),"")</f>
        <v>0</v>
      </c>
      <c r="U1291" s="233" t="str">
        <f>IFERROR(W1291/(((100*Y1291/Y1295)*I1294)/100),"")</f>
        <v/>
      </c>
      <c r="V1291" s="234" t="str">
        <f>IFERROR(VLOOKUP($G1291,нормы!$A$14:$BC$57,38,0),"")</f>
        <v/>
      </c>
      <c r="W1291" s="136"/>
      <c r="X1291" s="237"/>
      <c r="Y1291" s="152" t="str">
        <f>IFERROR(VLOOKUP($G1291,нормы!$A$14:$BC$57,42,0)*W1291,"")</f>
        <v/>
      </c>
      <c r="Z1291" s="163">
        <f>IFERROR(VLOOKUP($G1291,нормы!$A$14:$BC$57,14,0)*W1291/1000,0)</f>
        <v>0</v>
      </c>
      <c r="AA1291" s="30"/>
      <c r="AB1291" s="35"/>
      <c r="AC1291" s="35"/>
      <c r="AD1291" s="35"/>
      <c r="AE1291" s="31"/>
      <c r="AF1291" s="160"/>
      <c r="AG1291" s="391"/>
      <c r="AH1291" s="394"/>
      <c r="AI1291" s="397"/>
      <c r="AJ1291" s="408"/>
      <c r="AK1291" s="360"/>
      <c r="AL1291" s="360"/>
      <c r="AM1291" s="360"/>
      <c r="AN1291" s="289">
        <f>IFERROR(Y1291*AJ1289/Y1295,)</f>
        <v>0</v>
      </c>
      <c r="AO1291" s="197" t="str">
        <f>IFERROR(VLOOKUP($G1291,нормы!$A$14:$BC$57,53,0)*$W1291,"")</f>
        <v/>
      </c>
      <c r="AP1291" s="290">
        <f>IFERROR(Y1291*AI1289/Y1295,)</f>
        <v>0</v>
      </c>
      <c r="AQ1291" s="197" t="str">
        <f>IFERROR(VLOOKUP($G1291,нормы!$A$14:$BC$57,54,0)*$W1291,"")</f>
        <v/>
      </c>
      <c r="AR1291" s="290">
        <f>IFERROR(AS1291/SUM(AS1289:AS1294)*AL1289,0)</f>
        <v>0</v>
      </c>
      <c r="AS1291" s="197" t="str">
        <f>IFERROR(VLOOKUP($G1291,нормы!$A$14:$BC$57,55,0)*W1291,"")</f>
        <v/>
      </c>
      <c r="AT1291" s="290">
        <f>IFERROR(AU1291/SUM(AU1289:AU1294)*AM1289,0)</f>
        <v>0</v>
      </c>
      <c r="AU1291" s="197" t="str">
        <f>IFERROR(VLOOKUP($G1291,нормы!$A$14:$BI$57,56,0)*W1291,"")</f>
        <v/>
      </c>
      <c r="AV1291" s="290">
        <f>IFERROR(AW1291/SUM(AW1289:AW1294)*AK1289,0)</f>
        <v>0</v>
      </c>
      <c r="AW1291" s="202" t="str">
        <f>IFERROR(VLOOKUP($G1291,нормы!$A$14:$BI$57,57,0)*W1291,"")</f>
        <v/>
      </c>
      <c r="AX1291" s="30"/>
      <c r="AY1291" s="203" t="str">
        <f>IFERROR(VLOOKUP($G1291,нормы!$A$14:$BI$57,58,0)*W1291,"")</f>
        <v/>
      </c>
      <c r="AZ1291" s="205"/>
      <c r="BA1291" s="200" t="str">
        <f>IFERROR(VLOOKUP($G1291,нормы!$A$14:$BI$57,61,0)*$W1291,"")</f>
        <v/>
      </c>
      <c r="BB1291" s="30"/>
      <c r="BC1291" s="203" t="str">
        <f>IFERROR(VLOOKUP($G1291,нормы!$A$14:$BI$57,60,0)*W1291,"")</f>
        <v/>
      </c>
      <c r="BD1291" s="200" t="str">
        <f>IFERROR(VLOOKUP($G1291,нормы!$A$14:$BG$57,44,0),"")</f>
        <v/>
      </c>
      <c r="BE1291" s="199" t="str">
        <f>IFERROR(W1291/VLOOKUP($G1291,нормы!$A$14:$BI$57,45,0),"")</f>
        <v/>
      </c>
    </row>
    <row r="1292" spans="1:57" s="1" customFormat="1" ht="20.25" customHeight="1" x14ac:dyDescent="0.4">
      <c r="A1292" s="37" t="str">
        <f t="shared" si="506"/>
        <v>21Н</v>
      </c>
      <c r="B1292" s="12">
        <f t="shared" si="509"/>
        <v>21</v>
      </c>
      <c r="C1292" s="97">
        <f t="shared" si="509"/>
        <v>0</v>
      </c>
      <c r="D1292" s="97">
        <f t="shared" si="509"/>
        <v>2</v>
      </c>
      <c r="E1292" s="54"/>
      <c r="F1292" s="151" t="str">
        <f>IFERROR(VLOOKUP($G1292,нормы!$A$14:$BC$57,2,0),"")</f>
        <v/>
      </c>
      <c r="G1292" s="93"/>
      <c r="H1292" s="54">
        <f t="shared" si="510"/>
        <v>0</v>
      </c>
      <c r="I1292" s="55"/>
      <c r="J1292" s="333"/>
      <c r="K1292" s="30">
        <f>IFERROR(VLOOKUP($G1292,[1]нормы!$A$21:$BC$151,15,0),"")</f>
        <v>0</v>
      </c>
      <c r="L1292" s="31">
        <f>IFERROR(VLOOKUP($G1292,[1]нормы!$A$21:$BC$151,17,0),"")</f>
        <v>0</v>
      </c>
      <c r="M1292" s="306">
        <f>IFERROR(VLOOKUP($G1292,[1]нормы!$A$21:$BC$151,27,0),"")</f>
        <v>0</v>
      </c>
      <c r="N1292" s="307" t="str">
        <f>IFERROR(Y1292/Y1295*(1.1*J1289*I1297),"")</f>
        <v/>
      </c>
      <c r="O1292" s="300">
        <f>IFERROR(VLOOKUP($G1292,[1]нормы!$A$21:$BC$151,21,0),"")</f>
        <v>0</v>
      </c>
      <c r="P1292" s="35">
        <f>IFERROR(VLOOKUP($G1292,[1]нормы!$A$21:$BC$151,19,0),"")</f>
        <v>0</v>
      </c>
      <c r="Q1292" s="35">
        <f>IFERROR(VLOOKUP($G1292,[1]нормы!$A$21:$BC$151,23,0),"")</f>
        <v>0</v>
      </c>
      <c r="R1292" s="231">
        <f>IFERROR(VLOOKUP($G1292,[1]нормы!$A$21:$BC$151,29,0),"")</f>
        <v>0</v>
      </c>
      <c r="S1292" s="35">
        <f>IFERROR(VLOOKUP($G1292,[1]нормы!$A$21:$BC$151,31,0),"")</f>
        <v>0</v>
      </c>
      <c r="T1292" s="32">
        <f>IFERROR(VLOOKUP($G1292,[1]нормы!$A$21:$BC$151,25,0),"")</f>
        <v>0</v>
      </c>
      <c r="U1292" s="233" t="str">
        <f>IFERROR(W1292/(((100*Y1292/Y1295)*I1294)/100),"")</f>
        <v/>
      </c>
      <c r="V1292" s="234" t="str">
        <f>IFERROR(VLOOKUP($G1292,нормы!$A$14:$BC$57,38,0),"")</f>
        <v/>
      </c>
      <c r="W1292" s="136"/>
      <c r="X1292" s="237"/>
      <c r="Y1292" s="152" t="str">
        <f>IFERROR(VLOOKUP($G1292,нормы!$A$14:$BC$57,42,0)*W1292,"")</f>
        <v/>
      </c>
      <c r="Z1292" s="163">
        <f>IFERROR(VLOOKUP($G1292,нормы!$A$14:$BC$57,14,0)*W1292/1000,0)</f>
        <v>0</v>
      </c>
      <c r="AA1292" s="30"/>
      <c r="AB1292" s="35"/>
      <c r="AC1292" s="35"/>
      <c r="AD1292" s="35"/>
      <c r="AE1292" s="31"/>
      <c r="AF1292" s="160"/>
      <c r="AG1292" s="391"/>
      <c r="AH1292" s="394"/>
      <c r="AI1292" s="397"/>
      <c r="AJ1292" s="408"/>
      <c r="AK1292" s="360"/>
      <c r="AL1292" s="360"/>
      <c r="AM1292" s="360"/>
      <c r="AN1292" s="289">
        <f>IFERROR(Y1292*AJ1289/Y1295,)</f>
        <v>0</v>
      </c>
      <c r="AO1292" s="197" t="str">
        <f>IFERROR(VLOOKUP($G1292,нормы!$A$14:$BC$57,53,0)*$W1292,"")</f>
        <v/>
      </c>
      <c r="AP1292" s="290">
        <f>IFERROR(Y1292*AI1289/Y1295,)</f>
        <v>0</v>
      </c>
      <c r="AQ1292" s="197" t="str">
        <f>IFERROR(VLOOKUP($G1292,нормы!$A$14:$BC$57,54,0)*$W1292,"")</f>
        <v/>
      </c>
      <c r="AR1292" s="290">
        <f>IFERROR(AS1292/SUM(AS1289:AS1294)*AL1289,0)</f>
        <v>0</v>
      </c>
      <c r="AS1292" s="197" t="str">
        <f>IFERROR(VLOOKUP($G1292,нормы!$A$14:$BC$57,55,0)*W1292,"")</f>
        <v/>
      </c>
      <c r="AT1292" s="290">
        <f>IFERROR(AU1292/SUM(AU1289:AU1294)*AM1289,0)</f>
        <v>0</v>
      </c>
      <c r="AU1292" s="197" t="str">
        <f>IFERROR(VLOOKUP($G1292,нормы!$A$14:$BI$57,56,0)*W1292,"")</f>
        <v/>
      </c>
      <c r="AV1292" s="290">
        <f>IFERROR(AW1292/SUM(AW1289:AW1294)*AK1289,0)</f>
        <v>0</v>
      </c>
      <c r="AW1292" s="202" t="str">
        <f>IFERROR(VLOOKUP($G1292,нормы!$A$14:$BI$57,57,0)*W1292,"")</f>
        <v/>
      </c>
      <c r="AX1292" s="30"/>
      <c r="AY1292" s="203" t="str">
        <f>IFERROR(VLOOKUP($G1292,нормы!$A$14:$BI$57,58,0)*W1292,"")</f>
        <v/>
      </c>
      <c r="AZ1292" s="205"/>
      <c r="BA1292" s="200" t="str">
        <f>IFERROR(VLOOKUP($G1292,нормы!$A$14:$BI$57,61,0)*$W1292,"")</f>
        <v/>
      </c>
      <c r="BB1292" s="30"/>
      <c r="BC1292" s="203" t="str">
        <f>IFERROR(VLOOKUP($G1292,нормы!$A$14:$BI$57,60,0)*W1292,"")</f>
        <v/>
      </c>
      <c r="BD1292" s="200" t="str">
        <f>IFERROR(VLOOKUP($G1292,нормы!$A$14:$BG$57,44,0),"")</f>
        <v/>
      </c>
      <c r="BE1292" s="199" t="str">
        <f>IFERROR(W1292/VLOOKUP($G1292,нормы!$A$14:$BI$57,45,0),"")</f>
        <v/>
      </c>
    </row>
    <row r="1293" spans="1:57" s="1" customFormat="1" ht="20.25" customHeight="1" x14ac:dyDescent="0.4">
      <c r="A1293" s="37" t="str">
        <f t="shared" si="506"/>
        <v>21Н</v>
      </c>
      <c r="B1293" s="12">
        <f t="shared" si="509"/>
        <v>21</v>
      </c>
      <c r="C1293" s="97">
        <f t="shared" si="509"/>
        <v>0</v>
      </c>
      <c r="D1293" s="97">
        <f t="shared" si="509"/>
        <v>2</v>
      </c>
      <c r="E1293" s="54"/>
      <c r="F1293" s="151" t="str">
        <f>IFERROR(VLOOKUP($G1293,нормы!$A$14:$BC$57,2,0),"")</f>
        <v/>
      </c>
      <c r="G1293" s="38"/>
      <c r="H1293" s="54">
        <f t="shared" si="510"/>
        <v>0</v>
      </c>
      <c r="I1293" s="89" t="s">
        <v>73</v>
      </c>
      <c r="J1293" s="333"/>
      <c r="K1293" s="30">
        <f>IFERROR(VLOOKUP($G1293,[1]нормы!$A$21:$BC$151,15,0),"")</f>
        <v>0</v>
      </c>
      <c r="L1293" s="31">
        <f>IFERROR(VLOOKUP($G1293,[1]нормы!$A$21:$BC$151,17,0),"")</f>
        <v>0</v>
      </c>
      <c r="M1293" s="306">
        <f>IFERROR(VLOOKUP($G1293,[1]нормы!$A$21:$BC$151,27,0),"")</f>
        <v>0</v>
      </c>
      <c r="N1293" s="307" t="str">
        <f>IFERROR(Y1293/Y1295*(1.1*J1289*I1298),"")</f>
        <v/>
      </c>
      <c r="O1293" s="300">
        <f>IFERROR(VLOOKUP($G1293,[1]нормы!$A$21:$BC$151,21,0),"")</f>
        <v>0</v>
      </c>
      <c r="P1293" s="35">
        <f>IFERROR(VLOOKUP($G1293,[1]нормы!$A$21:$BC$151,19,0),"")</f>
        <v>0</v>
      </c>
      <c r="Q1293" s="35">
        <f>IFERROR(VLOOKUP($G1293,[1]нормы!$A$21:$BC$151,23,0),"")</f>
        <v>0</v>
      </c>
      <c r="R1293" s="231">
        <f>IFERROR(VLOOKUP($G1293,[1]нормы!$A$21:$BC$151,29,0),"")</f>
        <v>0</v>
      </c>
      <c r="S1293" s="35">
        <f>IFERROR(VLOOKUP($G1293,[1]нормы!$A$21:$BC$151,31,0),"")</f>
        <v>0</v>
      </c>
      <c r="T1293" s="32">
        <f>IFERROR(VLOOKUP($G1293,[1]нормы!$A$21:$BC$151,25,0),"")</f>
        <v>0</v>
      </c>
      <c r="U1293" s="233" t="str">
        <f>IFERROR(W1293/(((100*Y1293/Y1295)*I1294)/100),"")</f>
        <v/>
      </c>
      <c r="V1293" s="234" t="str">
        <f>IFERROR(VLOOKUP($G1293,нормы!$A$14:$BC$57,38,0),"")</f>
        <v/>
      </c>
      <c r="W1293" s="136"/>
      <c r="X1293" s="237"/>
      <c r="Y1293" s="152" t="str">
        <f>IFERROR(VLOOKUP($G1293,нормы!$A$14:$BC$57,42,0)*W1293,"")</f>
        <v/>
      </c>
      <c r="Z1293" s="163">
        <f>IFERROR(VLOOKUP($G1293,нормы!$A$14:$BC$57,14,0)*W1293/1000,0)</f>
        <v>0</v>
      </c>
      <c r="AA1293" s="30"/>
      <c r="AB1293" s="35"/>
      <c r="AC1293" s="35"/>
      <c r="AD1293" s="35"/>
      <c r="AE1293" s="31"/>
      <c r="AF1293" s="160"/>
      <c r="AG1293" s="391"/>
      <c r="AH1293" s="394"/>
      <c r="AI1293" s="397"/>
      <c r="AJ1293" s="408"/>
      <c r="AK1293" s="360"/>
      <c r="AL1293" s="360"/>
      <c r="AM1293" s="360"/>
      <c r="AN1293" s="289">
        <f>IFERROR(Y1293*AJ1289/Y1295,)</f>
        <v>0</v>
      </c>
      <c r="AO1293" s="197" t="str">
        <f>IFERROR(VLOOKUP($G1293,нормы!$A$14:$BC$57,53,0)*$W1293,"")</f>
        <v/>
      </c>
      <c r="AP1293" s="290">
        <f>IFERROR(Y1293*AI1289/Y1295,)</f>
        <v>0</v>
      </c>
      <c r="AQ1293" s="197" t="str">
        <f>IFERROR(VLOOKUP($G1293,нормы!$A$14:$BC$57,54,0)*$W1293,"")</f>
        <v/>
      </c>
      <c r="AR1293" s="290">
        <f>IFERROR(AS1293/SUM(AS1289:AS1294)*AL1289,0)</f>
        <v>0</v>
      </c>
      <c r="AS1293" s="197" t="str">
        <f>IFERROR(VLOOKUP($G1293,нормы!$A$14:$BC$57,55,0)*W1293,"")</f>
        <v/>
      </c>
      <c r="AT1293" s="290">
        <f>IFERROR(AU1293/SUM(AU1289:AU1294)*AM1289,0)</f>
        <v>0</v>
      </c>
      <c r="AU1293" s="197" t="str">
        <f>IFERROR(VLOOKUP($G1293,нормы!$A$14:$BI$57,56,0)*W1293,"")</f>
        <v/>
      </c>
      <c r="AV1293" s="290">
        <f>IFERROR(AW1293/SUM(AW1289:AW1294)*AK1289,0)</f>
        <v>0</v>
      </c>
      <c r="AW1293" s="202" t="str">
        <f>IFERROR(VLOOKUP($G1293,нормы!$A$14:$BI$57,57,0)*W1293,"")</f>
        <v/>
      </c>
      <c r="AX1293" s="30"/>
      <c r="AY1293" s="203" t="str">
        <f>IFERROR(VLOOKUP($G1293,нормы!$A$14:$BI$57,58,0)*W1293,"")</f>
        <v/>
      </c>
      <c r="AZ1293" s="205"/>
      <c r="BA1293" s="200" t="str">
        <f>IFERROR(VLOOKUP($G1293,нормы!$A$14:$BI$57,61,0)*$W1293,"")</f>
        <v/>
      </c>
      <c r="BB1293" s="30"/>
      <c r="BC1293" s="203" t="str">
        <f>IFERROR(VLOOKUP($G1293,нормы!$A$14:$BI$57,60,0)*W1293,"")</f>
        <v/>
      </c>
      <c r="BD1293" s="200" t="str">
        <f>IFERROR(VLOOKUP($G1293,нормы!$A$14:$BG$57,44,0),"")</f>
        <v/>
      </c>
      <c r="BE1293" s="199" t="str">
        <f>IFERROR(W1293/VLOOKUP($G1293,нормы!$A$14:$BI$57,45,0),"")</f>
        <v/>
      </c>
    </row>
    <row r="1294" spans="1:57" s="1" customFormat="1" ht="21" customHeight="1" thickBot="1" x14ac:dyDescent="0.45">
      <c r="A1294" s="37" t="str">
        <f t="shared" si="506"/>
        <v>21Н</v>
      </c>
      <c r="B1294" s="12">
        <f t="shared" si="509"/>
        <v>21</v>
      </c>
      <c r="C1294" s="97">
        <f t="shared" si="509"/>
        <v>0</v>
      </c>
      <c r="D1294" s="97">
        <f t="shared" si="509"/>
        <v>2</v>
      </c>
      <c r="E1294" s="54"/>
      <c r="F1294" s="151" t="str">
        <f>IFERROR(VLOOKUP($G1294,нормы!$A$14:$BC$57,2,0),"")</f>
        <v/>
      </c>
      <c r="G1294" s="93"/>
      <c r="H1294" s="63">
        <f t="shared" si="510"/>
        <v>0</v>
      </c>
      <c r="I1294" s="153">
        <f>I1290+I1292</f>
        <v>0</v>
      </c>
      <c r="J1294" s="334"/>
      <c r="K1294" s="30">
        <f>IFERROR(VLOOKUP($G1294,[1]нормы!$A$21:$BC$151,15,0),"")</f>
        <v>0</v>
      </c>
      <c r="L1294" s="31">
        <f>IFERROR(VLOOKUP($G1294,[1]нормы!$A$21:$BC$151,17,0),"")</f>
        <v>0</v>
      </c>
      <c r="M1294" s="308">
        <f>IFERROR(VLOOKUP($G1294,[1]нормы!$A$21:$BC$151,27,0),"")</f>
        <v>0</v>
      </c>
      <c r="N1294" s="309" t="str">
        <f>IFERROR(Y1294/Y1295*(1.1*J1289*I1299),"")</f>
        <v/>
      </c>
      <c r="O1294" s="300">
        <f>IFERROR(VLOOKUP($G1294,[1]нормы!$A$21:$BC$151,21,0),"")</f>
        <v>0</v>
      </c>
      <c r="P1294" s="35">
        <f>IFERROR(VLOOKUP($G1294,[1]нормы!$A$21:$BC$151,19,0),"")</f>
        <v>0</v>
      </c>
      <c r="Q1294" s="35">
        <f>IFERROR(VLOOKUP($G1294,[1]нормы!$A$21:$BC$151,23,0),"")</f>
        <v>0</v>
      </c>
      <c r="R1294" s="231">
        <f>IFERROR(VLOOKUP($G1294,[1]нормы!$A$21:$BC$151,29,0),"")</f>
        <v>0</v>
      </c>
      <c r="S1294" s="35">
        <f>IFERROR(VLOOKUP($G1294,[1]нормы!$A$21:$BC$151,31,0),"")</f>
        <v>0</v>
      </c>
      <c r="T1294" s="32">
        <f>IFERROR(VLOOKUP($G1294,[1]нормы!$A$21:$BC$151,25,0),"")</f>
        <v>0</v>
      </c>
      <c r="U1294" s="235" t="str">
        <f>IFERROR(W1294/(((100*Y1294/Y1295)*I1294)/100),"")</f>
        <v/>
      </c>
      <c r="V1294" s="234" t="str">
        <f>IFERROR(VLOOKUP($G1294,нормы!$A$14:$BC$57,38,0),"")</f>
        <v/>
      </c>
      <c r="W1294" s="154"/>
      <c r="X1294" s="238"/>
      <c r="Y1294" s="152" t="str">
        <f>IFERROR(VLOOKUP($G1294,нормы!$A$14:$BC$57,42,0)*W1294,"")</f>
        <v/>
      </c>
      <c r="Z1294" s="163">
        <f>IFERROR(VLOOKUP($G1294,нормы!$A$14:$BC$57,14,0)*W1294/1000,0)</f>
        <v>0</v>
      </c>
      <c r="AA1294" s="56"/>
      <c r="AB1294" s="58"/>
      <c r="AC1294" s="58"/>
      <c r="AD1294" s="58"/>
      <c r="AE1294" s="57"/>
      <c r="AF1294" s="161"/>
      <c r="AG1294" s="392"/>
      <c r="AH1294" s="395"/>
      <c r="AI1294" s="398"/>
      <c r="AJ1294" s="409"/>
      <c r="AK1294" s="361"/>
      <c r="AL1294" s="361"/>
      <c r="AM1294" s="361"/>
      <c r="AN1294" s="291">
        <f>IFERROR(Y1294*AJ1289/Y1295,)</f>
        <v>0</v>
      </c>
      <c r="AO1294" s="197" t="str">
        <f>IFERROR(VLOOKUP($G1294,нормы!$A$14:$BC$57,53,0)*$W1294,"")</f>
        <v/>
      </c>
      <c r="AP1294" s="292">
        <f>IFERROR(Y1294*AI1289/Y1295,)</f>
        <v>0</v>
      </c>
      <c r="AQ1294" s="197" t="str">
        <f>IFERROR(VLOOKUP($G1294,нормы!$A$14:$BC$57,54,0)*$W1294,"")</f>
        <v/>
      </c>
      <c r="AR1294" s="290">
        <f>IFERROR(AS1294/SUM(AS1289:AS1294)*AL1289,0)</f>
        <v>0</v>
      </c>
      <c r="AS1294" s="197" t="str">
        <f>IFERROR(VLOOKUP($G1294,нормы!$A$14:$BC$57,55,0)*W1294,"")</f>
        <v/>
      </c>
      <c r="AT1294" s="292">
        <f>IFERROR(AU1294/SUM(AU1289:AU1294)*AM1289,0)</f>
        <v>0</v>
      </c>
      <c r="AU1294" s="197" t="str">
        <f>IFERROR(VLOOKUP($G1294,нормы!$A$14:$BI$57,56,0)*W1294,"")</f>
        <v/>
      </c>
      <c r="AV1294" s="292">
        <f>IFERROR(AW1294/SUM(AW1289:AW1294)*AK1289,0)</f>
        <v>0</v>
      </c>
      <c r="AW1294" s="202" t="str">
        <f>IFERROR(VLOOKUP($G1294,нормы!$A$14:$BI$57,57,0)*W1294,"")</f>
        <v/>
      </c>
      <c r="AX1294" s="56"/>
      <c r="AY1294" s="203" t="str">
        <f>IFERROR(VLOOKUP($G1294,нормы!$A$14:$BI$57,58,0)*W1294,"")</f>
        <v/>
      </c>
      <c r="AZ1294" s="206"/>
      <c r="BA1294" s="200" t="str">
        <f>IFERROR(VLOOKUP($G1294,нормы!$A$14:$BI$57,61,0)*$W1294,"")</f>
        <v/>
      </c>
      <c r="BB1294" s="56"/>
      <c r="BC1294" s="203" t="str">
        <f>IFERROR(VLOOKUP($G1294,нормы!$A$14:$BI$57,60,0)*W1294,"")</f>
        <v/>
      </c>
      <c r="BD1294" s="200" t="str">
        <f>IFERROR(VLOOKUP($G1294,нормы!$A$14:$BG$57,44,0),"")</f>
        <v/>
      </c>
      <c r="BE1294" s="199" t="str">
        <f>IFERROR(W1294/VLOOKUP($G1294,нормы!$A$14:$BI$57,45,0),"")</f>
        <v/>
      </c>
    </row>
    <row r="1295" spans="1:57" s="1" customFormat="1" ht="29.4" customHeight="1" thickBot="1" x14ac:dyDescent="0.45">
      <c r="A1295" s="37" t="str">
        <f t="shared" si="506"/>
        <v>21Н</v>
      </c>
      <c r="B1295" s="59"/>
      <c r="C1295" s="51"/>
      <c r="D1295" s="51"/>
      <c r="E1295" s="51"/>
      <c r="F1295" s="51"/>
      <c r="G1295" s="51"/>
      <c r="H1295" s="51"/>
      <c r="I1295" s="60"/>
      <c r="J1295" s="60"/>
      <c r="K1295" s="319" t="s">
        <v>213</v>
      </c>
      <c r="L1295" s="316"/>
      <c r="M1295" s="303" t="s">
        <v>213</v>
      </c>
      <c r="N1295" s="317">
        <f>SUM(N1289:N1294)</f>
        <v>0</v>
      </c>
      <c r="O1295" s="304" t="s">
        <v>217</v>
      </c>
      <c r="P1295" s="318">
        <f>N1295*8.937/1000</f>
        <v>0</v>
      </c>
      <c r="Q1295" s="305" t="s">
        <v>215</v>
      </c>
      <c r="R1295" s="61"/>
      <c r="S1295" s="61"/>
      <c r="T1295" s="61"/>
      <c r="U1295" s="109"/>
      <c r="V1295" s="109"/>
      <c r="W1295" s="94"/>
      <c r="X1295" s="155"/>
      <c r="Y1295" s="96">
        <f>SUM(Y1289:Y1294)</f>
        <v>0</v>
      </c>
      <c r="Z1295" s="164">
        <f>SUM(Z1289:Z1294)</f>
        <v>0</v>
      </c>
      <c r="AA1295" s="207">
        <f>(AA1281+AA1282+AA1283+AA1284+AA1285+AA1286+AA1287+AA1289+AA1290+AA1291+AA1292+AA1293+AA1294)-AG1282</f>
        <v>1</v>
      </c>
      <c r="AB1295" s="208">
        <f>(AB1281+AB1282+AB1283+AB1284+AB1285+AB1286+AB1287+AB1289+AB1290+AB1291+AB1292+AB1293+AB1294)-AH1282</f>
        <v>2</v>
      </c>
      <c r="AC1295" s="208">
        <f>(AC1281+AC1282+AC1283+AC1284+AC1285+AC1286+AC1287+AC1289+AC1290+AC1291+AC1292+AC1293+AC1294)-AG1289</f>
        <v>3</v>
      </c>
      <c r="AD1295" s="208">
        <f>(AD1281+AD1282+AD1283+AD1284+AD1285+AD1286+AD1287+AD1289+AD1290+AD1291+AD1292+AD1293+AD1294)-AH1289</f>
        <v>4</v>
      </c>
      <c r="AE1295" s="208">
        <f>(AE1281+AE1282+AE1283+AE1284+AE1285+AE1286+AE1287+AE1289+AE1290+AE1291+AE1292+AE1293+AE1294)-AI1282</f>
        <v>5</v>
      </c>
      <c r="AF1295" s="209">
        <f>(AF1281+AF1282+AF1283+AF1284+AF1285+AF1286+AF1287+AF1289+AF1290+AF1291+AF1292+AF1293+AF1294)-AI1289</f>
        <v>6</v>
      </c>
      <c r="AG1295" s="62"/>
      <c r="AH1295" s="62"/>
      <c r="AI1295" s="62"/>
      <c r="AJ1295" s="62"/>
      <c r="AK1295" s="62"/>
      <c r="AL1295" s="62"/>
      <c r="AM1295" s="62"/>
      <c r="AN1295" s="91">
        <f>SUM(AN1289:AN1294)</f>
        <v>0</v>
      </c>
      <c r="AO1295" s="91">
        <f>SUM(AO1289:AO1294)</f>
        <v>0</v>
      </c>
      <c r="AP1295" s="91"/>
      <c r="AQ1295" s="91"/>
      <c r="AR1295" s="91">
        <f>SUM(AR1289:AR1294)</f>
        <v>0</v>
      </c>
      <c r="AS1295" s="91">
        <f t="shared" ref="AS1295:AW1295" si="511">SUM(AS1289:AS1294)</f>
        <v>0</v>
      </c>
      <c r="AT1295" s="91">
        <f t="shared" si="511"/>
        <v>0</v>
      </c>
      <c r="AU1295" s="91">
        <f t="shared" si="511"/>
        <v>0</v>
      </c>
      <c r="AV1295" s="91">
        <f t="shared" si="511"/>
        <v>0</v>
      </c>
      <c r="AW1295" s="91">
        <f t="shared" si="511"/>
        <v>0</v>
      </c>
      <c r="AX1295" s="91">
        <f>SUM(AX1289:AX1294)</f>
        <v>0</v>
      </c>
      <c r="AY1295" s="91">
        <f>SUM(AY1289:AY1294)</f>
        <v>0</v>
      </c>
      <c r="AZ1295" s="91">
        <f>SUM(AZ1289:AZ1294)</f>
        <v>0</v>
      </c>
      <c r="BA1295" s="91"/>
      <c r="BB1295" s="91"/>
      <c r="BC1295" s="91"/>
      <c r="BD1295" s="91" t="str">
        <f>IFERROR(VLOOKUP($G1295,нормы!$A$14:$BG$15,27,0),"")</f>
        <v/>
      </c>
      <c r="BE1295" s="53" t="str">
        <f>IFERROR(W1295/VLOOKUP($G1295,нормы!$A$14:$BI$15,28,0),"")</f>
        <v/>
      </c>
    </row>
    <row r="1296" spans="1:57" s="1" customFormat="1" ht="29.4" customHeight="1" thickBot="1" x14ac:dyDescent="0.5">
      <c r="A1296" s="37" t="str">
        <f t="shared" si="506"/>
        <v>21Н</v>
      </c>
      <c r="B1296" s="166" t="s">
        <v>130</v>
      </c>
      <c r="C1296" s="167"/>
      <c r="D1296" s="167"/>
      <c r="E1296" s="167"/>
      <c r="F1296" s="165"/>
      <c r="G1296" s="167"/>
      <c r="H1296" s="167"/>
      <c r="I1296" s="168"/>
      <c r="J1296" s="168"/>
      <c r="K1296" s="168"/>
      <c r="L1296" s="168"/>
      <c r="M1296" s="168"/>
      <c r="N1296" s="168"/>
      <c r="O1296" s="167"/>
      <c r="P1296" s="169"/>
      <c r="Q1296" s="169"/>
      <c r="R1296" s="169"/>
      <c r="S1296" s="169"/>
      <c r="T1296" s="169"/>
      <c r="U1296" s="170"/>
      <c r="V1296" s="170"/>
      <c r="W1296" s="171"/>
      <c r="X1296" s="171"/>
      <c r="Y1296" s="172"/>
      <c r="Z1296" s="172"/>
      <c r="AA1296" s="201" t="s">
        <v>144</v>
      </c>
      <c r="AB1296" s="167"/>
      <c r="AC1296" s="167"/>
      <c r="AD1296" s="167"/>
      <c r="AE1296" s="167"/>
      <c r="AF1296" s="167"/>
      <c r="AG1296" s="167"/>
      <c r="AH1296" s="167"/>
      <c r="AI1296" s="167"/>
      <c r="AJ1296" s="167"/>
      <c r="AK1296" s="167"/>
      <c r="AL1296" s="167"/>
      <c r="AM1296" s="64"/>
      <c r="AN1296" s="167"/>
      <c r="AO1296" s="167"/>
      <c r="AP1296" s="167"/>
      <c r="AQ1296" s="167"/>
      <c r="AR1296" s="64"/>
      <c r="AS1296" s="64"/>
      <c r="AT1296" s="65"/>
      <c r="AU1296" s="64"/>
      <c r="AV1296" s="49"/>
      <c r="AW1296" s="49"/>
      <c r="AX1296" s="167"/>
      <c r="AY1296" s="167"/>
      <c r="AZ1296" s="167"/>
      <c r="BA1296" s="167"/>
      <c r="BB1296" s="167"/>
      <c r="BC1296" s="167"/>
      <c r="BD1296" s="66"/>
      <c r="BE1296" s="66"/>
    </row>
    <row r="1297" spans="1:57" s="1" customFormat="1" ht="23.25" customHeight="1" x14ac:dyDescent="0.4">
      <c r="A1297" s="37" t="str">
        <f t="shared" si="506"/>
        <v>21Н</v>
      </c>
      <c r="B1297" s="183"/>
      <c r="C1297" s="100"/>
      <c r="D1297" s="185"/>
      <c r="E1297" s="186" t="s">
        <v>57</v>
      </c>
      <c r="F1297" s="66" t="s">
        <v>87</v>
      </c>
      <c r="G1297" s="66"/>
      <c r="H1297" s="108" t="s">
        <v>131</v>
      </c>
      <c r="I1297" s="101"/>
      <c r="J1297" s="101"/>
      <c r="K1297" s="101"/>
      <c r="L1297" s="101"/>
      <c r="M1297" s="101"/>
      <c r="N1297" s="101"/>
      <c r="O1297" s="67"/>
      <c r="P1297" s="102"/>
      <c r="Q1297" s="102"/>
      <c r="R1297" s="102"/>
      <c r="S1297" s="102"/>
      <c r="T1297" s="102"/>
      <c r="U1297" s="67"/>
      <c r="V1297" s="67"/>
      <c r="W1297" s="103"/>
      <c r="X1297" s="187"/>
      <c r="Y1297" s="68" t="s">
        <v>74</v>
      </c>
      <c r="Z1297" s="69"/>
      <c r="AA1297" s="90"/>
      <c r="AB1297" s="100"/>
      <c r="AC1297" s="100"/>
      <c r="AD1297" s="186" t="s">
        <v>57</v>
      </c>
      <c r="AE1297" s="66"/>
      <c r="AF1297" s="66"/>
      <c r="AG1297" s="66"/>
      <c r="AH1297" s="66"/>
      <c r="AI1297" s="66"/>
      <c r="AJ1297" s="66"/>
      <c r="AK1297" s="66"/>
      <c r="AL1297" s="66"/>
      <c r="AM1297" s="66"/>
      <c r="AN1297" s="66"/>
      <c r="AO1297" s="66"/>
      <c r="AP1297" s="66"/>
      <c r="AQ1297" s="66"/>
      <c r="AR1297" s="66"/>
      <c r="AS1297" s="66"/>
      <c r="AT1297" s="190"/>
      <c r="AU1297" s="66"/>
      <c r="AV1297" s="165"/>
      <c r="AW1297" s="293"/>
      <c r="AX1297" s="66"/>
      <c r="AY1297" s="66"/>
      <c r="AZ1297" s="66"/>
      <c r="BA1297" s="66"/>
      <c r="BB1297" s="66"/>
      <c r="BC1297" s="66"/>
      <c r="BD1297" s="68" t="s">
        <v>74</v>
      </c>
      <c r="BE1297" s="69"/>
    </row>
    <row r="1298" spans="1:57" s="1" customFormat="1" ht="23.25" customHeight="1" thickBot="1" x14ac:dyDescent="0.45">
      <c r="A1298" s="37" t="str">
        <f t="shared" si="506"/>
        <v>21Н</v>
      </c>
      <c r="B1298" s="183"/>
      <c r="C1298" s="41"/>
      <c r="D1298" s="184"/>
      <c r="E1298" s="50"/>
      <c r="F1298" s="70"/>
      <c r="G1298" s="70"/>
      <c r="H1298" s="70"/>
      <c r="I1298" s="104"/>
      <c r="J1298" s="104"/>
      <c r="K1298" s="104"/>
      <c r="L1298" s="104"/>
      <c r="M1298" s="104"/>
      <c r="N1298" s="104"/>
      <c r="O1298" s="71"/>
      <c r="P1298" s="105"/>
      <c r="Q1298" s="105"/>
      <c r="R1298" s="105"/>
      <c r="S1298" s="105"/>
      <c r="T1298" s="105"/>
      <c r="U1298" s="71"/>
      <c r="V1298" s="71"/>
      <c r="W1298" s="106"/>
      <c r="X1298" s="188"/>
      <c r="Y1298" s="72"/>
      <c r="Z1298" s="73"/>
      <c r="AA1298" s="90"/>
      <c r="AB1298" s="41"/>
      <c r="AC1298" s="41"/>
      <c r="AD1298" s="50"/>
      <c r="AE1298" s="47"/>
      <c r="AF1298" s="47"/>
      <c r="AG1298" s="47"/>
      <c r="AH1298" s="47"/>
      <c r="AI1298" s="47"/>
      <c r="AJ1298" s="47"/>
      <c r="AK1298" s="47"/>
      <c r="AL1298" s="47"/>
      <c r="AM1298" s="70"/>
      <c r="AN1298" s="47"/>
      <c r="AO1298" s="70"/>
      <c r="AP1298" s="70"/>
      <c r="AQ1298" s="70"/>
      <c r="AR1298" s="70"/>
      <c r="AS1298" s="70"/>
      <c r="AT1298" s="191"/>
      <c r="AU1298" s="70"/>
      <c r="AV1298" s="192"/>
      <c r="AW1298" s="294"/>
      <c r="AX1298" s="70"/>
      <c r="AY1298" s="70"/>
      <c r="AZ1298" s="70"/>
      <c r="BA1298" s="70"/>
      <c r="BB1298" s="70"/>
      <c r="BC1298" s="70"/>
      <c r="BD1298" s="72"/>
      <c r="BE1298" s="73"/>
    </row>
    <row r="1299" spans="1:57" s="1" customFormat="1" ht="21.9" customHeight="1" x14ac:dyDescent="0.4">
      <c r="A1299" s="37" t="str">
        <f t="shared" si="506"/>
        <v>21Н</v>
      </c>
      <c r="B1299" s="183"/>
      <c r="C1299" s="41"/>
      <c r="D1299" s="184"/>
      <c r="E1299" s="281">
        <f>B1294</f>
        <v>21</v>
      </c>
      <c r="F1299" s="337"/>
      <c r="G1299" s="338"/>
      <c r="H1299" s="338"/>
      <c r="I1299" s="338"/>
      <c r="J1299" s="338"/>
      <c r="K1299" s="338"/>
      <c r="L1299" s="338"/>
      <c r="M1299" s="338"/>
      <c r="N1299" s="338"/>
      <c r="O1299" s="338"/>
      <c r="P1299" s="338"/>
      <c r="Q1299" s="338"/>
      <c r="R1299" s="338"/>
      <c r="S1299" s="338"/>
      <c r="T1299" s="338"/>
      <c r="U1299" s="338"/>
      <c r="V1299" s="338"/>
      <c r="W1299" s="338"/>
      <c r="X1299" s="98">
        <v>1</v>
      </c>
      <c r="Y1299" s="74">
        <v>1</v>
      </c>
      <c r="Z1299" s="75">
        <f t="shared" ref="Z1299:Z1310" si="512">Y1299-X1299</f>
        <v>0</v>
      </c>
      <c r="AA1299" s="189"/>
      <c r="AB1299" s="41"/>
      <c r="AC1299" s="184"/>
      <c r="AD1299" s="210">
        <f>E1299</f>
        <v>21</v>
      </c>
      <c r="AE1299" s="387"/>
      <c r="AF1299" s="388"/>
      <c r="AG1299" s="388"/>
      <c r="AH1299" s="388"/>
      <c r="AI1299" s="388"/>
      <c r="AJ1299" s="388"/>
      <c r="AK1299" s="388"/>
      <c r="AL1299" s="388"/>
      <c r="AM1299" s="388"/>
      <c r="AN1299" s="388"/>
      <c r="AO1299" s="388"/>
      <c r="AP1299" s="388"/>
      <c r="AQ1299" s="388"/>
      <c r="AR1299" s="388"/>
      <c r="AS1299" s="388"/>
      <c r="AT1299" s="388"/>
      <c r="AU1299" s="388"/>
      <c r="AV1299" s="388"/>
      <c r="AW1299" s="388"/>
      <c r="AX1299" s="388"/>
      <c r="AY1299" s="388"/>
      <c r="AZ1299" s="388"/>
      <c r="BA1299" s="388"/>
      <c r="BB1299" s="389"/>
      <c r="BC1299" s="98">
        <v>1</v>
      </c>
      <c r="BD1299" s="74">
        <v>1</v>
      </c>
      <c r="BE1299" s="75">
        <f t="shared" ref="BE1299:BE1310" si="513">BD1299-BC1299</f>
        <v>0</v>
      </c>
    </row>
    <row r="1300" spans="1:57" s="1" customFormat="1" ht="21.9" customHeight="1" x14ac:dyDescent="0.4">
      <c r="A1300" s="37" t="str">
        <f t="shared" si="506"/>
        <v>21Н</v>
      </c>
      <c r="B1300" s="183"/>
      <c r="C1300" s="41"/>
      <c r="D1300" s="184"/>
      <c r="E1300" s="282">
        <f>E1299</f>
        <v>21</v>
      </c>
      <c r="F1300" s="335"/>
      <c r="G1300" s="336"/>
      <c r="H1300" s="336"/>
      <c r="I1300" s="336"/>
      <c r="J1300" s="336"/>
      <c r="K1300" s="336"/>
      <c r="L1300" s="336"/>
      <c r="M1300" s="336"/>
      <c r="N1300" s="336"/>
      <c r="O1300" s="336"/>
      <c r="P1300" s="336"/>
      <c r="Q1300" s="336"/>
      <c r="R1300" s="336"/>
      <c r="S1300" s="336"/>
      <c r="T1300" s="336"/>
      <c r="U1300" s="336"/>
      <c r="V1300" s="336"/>
      <c r="W1300" s="336"/>
      <c r="X1300" s="98">
        <v>1</v>
      </c>
      <c r="Y1300" s="74">
        <v>1</v>
      </c>
      <c r="Z1300" s="75">
        <f t="shared" si="512"/>
        <v>0</v>
      </c>
      <c r="AA1300" s="107">
        <f>AA1299</f>
        <v>0</v>
      </c>
      <c r="AB1300" s="41"/>
      <c r="AC1300" s="184"/>
      <c r="AD1300" s="212">
        <f>AD1299</f>
        <v>21</v>
      </c>
      <c r="AE1300" s="387"/>
      <c r="AF1300" s="388"/>
      <c r="AG1300" s="388"/>
      <c r="AH1300" s="388"/>
      <c r="AI1300" s="388"/>
      <c r="AJ1300" s="388"/>
      <c r="AK1300" s="388"/>
      <c r="AL1300" s="388"/>
      <c r="AM1300" s="388"/>
      <c r="AN1300" s="388"/>
      <c r="AO1300" s="388"/>
      <c r="AP1300" s="388"/>
      <c r="AQ1300" s="388"/>
      <c r="AR1300" s="388"/>
      <c r="AS1300" s="388"/>
      <c r="AT1300" s="388"/>
      <c r="AU1300" s="388"/>
      <c r="AV1300" s="388"/>
      <c r="AW1300" s="388"/>
      <c r="AX1300" s="388"/>
      <c r="AY1300" s="388"/>
      <c r="AZ1300" s="388"/>
      <c r="BA1300" s="388"/>
      <c r="BB1300" s="389"/>
      <c r="BC1300" s="98">
        <v>1</v>
      </c>
      <c r="BD1300" s="74">
        <v>1</v>
      </c>
      <c r="BE1300" s="75">
        <f t="shared" si="513"/>
        <v>0</v>
      </c>
    </row>
    <row r="1301" spans="1:57" s="1" customFormat="1" ht="21.9" customHeight="1" x14ac:dyDescent="0.4">
      <c r="A1301" s="37" t="str">
        <f t="shared" si="506"/>
        <v>21Н</v>
      </c>
      <c r="B1301" s="183"/>
      <c r="C1301" s="41"/>
      <c r="D1301" s="184"/>
      <c r="E1301" s="282">
        <f t="shared" ref="E1301:E1310" si="514">E1300</f>
        <v>21</v>
      </c>
      <c r="F1301" s="335"/>
      <c r="G1301" s="336"/>
      <c r="H1301" s="336"/>
      <c r="I1301" s="336"/>
      <c r="J1301" s="336"/>
      <c r="K1301" s="336"/>
      <c r="L1301" s="336"/>
      <c r="M1301" s="336"/>
      <c r="N1301" s="336"/>
      <c r="O1301" s="336"/>
      <c r="P1301" s="336"/>
      <c r="Q1301" s="336"/>
      <c r="R1301" s="336"/>
      <c r="S1301" s="336"/>
      <c r="T1301" s="336"/>
      <c r="U1301" s="336"/>
      <c r="V1301" s="336"/>
      <c r="W1301" s="336"/>
      <c r="X1301" s="98">
        <v>1</v>
      </c>
      <c r="Y1301" s="74">
        <v>1</v>
      </c>
      <c r="Z1301" s="75">
        <f t="shared" si="512"/>
        <v>0</v>
      </c>
      <c r="AA1301" s="107">
        <f>AA1300</f>
        <v>0</v>
      </c>
      <c r="AB1301" s="41"/>
      <c r="AC1301" s="184"/>
      <c r="AD1301" s="212">
        <f t="shared" ref="AD1301:AD1310" si="515">AD1300</f>
        <v>21</v>
      </c>
      <c r="AE1301" s="387"/>
      <c r="AF1301" s="388"/>
      <c r="AG1301" s="388"/>
      <c r="AH1301" s="388"/>
      <c r="AI1301" s="388"/>
      <c r="AJ1301" s="388"/>
      <c r="AK1301" s="388"/>
      <c r="AL1301" s="388"/>
      <c r="AM1301" s="388"/>
      <c r="AN1301" s="388"/>
      <c r="AO1301" s="388"/>
      <c r="AP1301" s="388"/>
      <c r="AQ1301" s="388"/>
      <c r="AR1301" s="388"/>
      <c r="AS1301" s="388"/>
      <c r="AT1301" s="388"/>
      <c r="AU1301" s="388"/>
      <c r="AV1301" s="388"/>
      <c r="AW1301" s="388"/>
      <c r="AX1301" s="388"/>
      <c r="AY1301" s="388"/>
      <c r="AZ1301" s="388"/>
      <c r="BA1301" s="388"/>
      <c r="BB1301" s="389"/>
      <c r="BC1301" s="98">
        <v>1</v>
      </c>
      <c r="BD1301" s="74">
        <v>1</v>
      </c>
      <c r="BE1301" s="75">
        <f t="shared" si="513"/>
        <v>0</v>
      </c>
    </row>
    <row r="1302" spans="1:57" s="1" customFormat="1" ht="18" customHeight="1" x14ac:dyDescent="0.4">
      <c r="A1302" s="37" t="str">
        <f t="shared" si="506"/>
        <v>21Н</v>
      </c>
      <c r="B1302" s="183"/>
      <c r="C1302" s="41"/>
      <c r="D1302" s="184"/>
      <c r="E1302" s="282">
        <f t="shared" si="514"/>
        <v>21</v>
      </c>
      <c r="F1302" s="335"/>
      <c r="G1302" s="336"/>
      <c r="H1302" s="336"/>
      <c r="I1302" s="336"/>
      <c r="J1302" s="336"/>
      <c r="K1302" s="336"/>
      <c r="L1302" s="336"/>
      <c r="M1302" s="336"/>
      <c r="N1302" s="336"/>
      <c r="O1302" s="336"/>
      <c r="P1302" s="336"/>
      <c r="Q1302" s="336"/>
      <c r="R1302" s="336"/>
      <c r="S1302" s="336"/>
      <c r="T1302" s="336"/>
      <c r="U1302" s="336"/>
      <c r="V1302" s="336"/>
      <c r="W1302" s="336"/>
      <c r="X1302" s="98">
        <v>1</v>
      </c>
      <c r="Y1302" s="74">
        <v>1</v>
      </c>
      <c r="Z1302" s="75">
        <f t="shared" si="512"/>
        <v>0</v>
      </c>
      <c r="AA1302" s="107">
        <f t="shared" ref="AA1302:AA1310" si="516">AA1301</f>
        <v>0</v>
      </c>
      <c r="AB1302" s="41"/>
      <c r="AC1302" s="184"/>
      <c r="AD1302" s="212">
        <f t="shared" si="515"/>
        <v>21</v>
      </c>
      <c r="AE1302" s="387"/>
      <c r="AF1302" s="388"/>
      <c r="AG1302" s="388"/>
      <c r="AH1302" s="388"/>
      <c r="AI1302" s="388"/>
      <c r="AJ1302" s="388"/>
      <c r="AK1302" s="388"/>
      <c r="AL1302" s="388"/>
      <c r="AM1302" s="388"/>
      <c r="AN1302" s="388"/>
      <c r="AO1302" s="388"/>
      <c r="AP1302" s="388"/>
      <c r="AQ1302" s="388"/>
      <c r="AR1302" s="388"/>
      <c r="AS1302" s="388"/>
      <c r="AT1302" s="388"/>
      <c r="AU1302" s="388"/>
      <c r="AV1302" s="388"/>
      <c r="AW1302" s="388"/>
      <c r="AX1302" s="388"/>
      <c r="AY1302" s="388"/>
      <c r="AZ1302" s="388"/>
      <c r="BA1302" s="388"/>
      <c r="BB1302" s="389"/>
      <c r="BC1302" s="98">
        <v>1</v>
      </c>
      <c r="BD1302" s="74">
        <v>1</v>
      </c>
      <c r="BE1302" s="75">
        <f t="shared" si="513"/>
        <v>0</v>
      </c>
    </row>
    <row r="1303" spans="1:57" s="1" customFormat="1" ht="18" customHeight="1" x14ac:dyDescent="0.4">
      <c r="A1303" s="37" t="str">
        <f t="shared" si="506"/>
        <v>21Н</v>
      </c>
      <c r="B1303" s="183"/>
      <c r="C1303" s="41"/>
      <c r="D1303" s="184"/>
      <c r="E1303" s="282">
        <f t="shared" si="514"/>
        <v>21</v>
      </c>
      <c r="F1303" s="335"/>
      <c r="G1303" s="336"/>
      <c r="H1303" s="336"/>
      <c r="I1303" s="336"/>
      <c r="J1303" s="336"/>
      <c r="K1303" s="336"/>
      <c r="L1303" s="336"/>
      <c r="M1303" s="336"/>
      <c r="N1303" s="336"/>
      <c r="O1303" s="336"/>
      <c r="P1303" s="336"/>
      <c r="Q1303" s="336"/>
      <c r="R1303" s="336"/>
      <c r="S1303" s="336"/>
      <c r="T1303" s="336"/>
      <c r="U1303" s="336"/>
      <c r="V1303" s="336"/>
      <c r="W1303" s="336"/>
      <c r="X1303" s="98">
        <v>1</v>
      </c>
      <c r="Y1303" s="74">
        <v>1</v>
      </c>
      <c r="Z1303" s="75">
        <f t="shared" si="512"/>
        <v>0</v>
      </c>
      <c r="AA1303" s="107">
        <f t="shared" si="516"/>
        <v>0</v>
      </c>
      <c r="AB1303" s="41"/>
      <c r="AC1303" s="184"/>
      <c r="AD1303" s="212">
        <f t="shared" si="515"/>
        <v>21</v>
      </c>
      <c r="AE1303" s="387"/>
      <c r="AF1303" s="388"/>
      <c r="AG1303" s="388"/>
      <c r="AH1303" s="388"/>
      <c r="AI1303" s="388"/>
      <c r="AJ1303" s="388"/>
      <c r="AK1303" s="388"/>
      <c r="AL1303" s="388"/>
      <c r="AM1303" s="388"/>
      <c r="AN1303" s="388"/>
      <c r="AO1303" s="388"/>
      <c r="AP1303" s="388"/>
      <c r="AQ1303" s="388"/>
      <c r="AR1303" s="388"/>
      <c r="AS1303" s="388"/>
      <c r="AT1303" s="388"/>
      <c r="AU1303" s="388"/>
      <c r="AV1303" s="388"/>
      <c r="AW1303" s="388"/>
      <c r="AX1303" s="388"/>
      <c r="AY1303" s="388"/>
      <c r="AZ1303" s="388"/>
      <c r="BA1303" s="388"/>
      <c r="BB1303" s="389"/>
      <c r="BC1303" s="98">
        <v>1</v>
      </c>
      <c r="BD1303" s="74">
        <v>1</v>
      </c>
      <c r="BE1303" s="75">
        <f t="shared" si="513"/>
        <v>0</v>
      </c>
    </row>
    <row r="1304" spans="1:57" s="1" customFormat="1" ht="18" customHeight="1" x14ac:dyDescent="0.4">
      <c r="A1304" s="37" t="str">
        <f t="shared" si="506"/>
        <v>21Н</v>
      </c>
      <c r="B1304" s="183"/>
      <c r="C1304" s="41"/>
      <c r="D1304" s="184"/>
      <c r="E1304" s="282">
        <f t="shared" si="514"/>
        <v>21</v>
      </c>
      <c r="F1304" s="335"/>
      <c r="G1304" s="336"/>
      <c r="H1304" s="336"/>
      <c r="I1304" s="336"/>
      <c r="J1304" s="336"/>
      <c r="K1304" s="336"/>
      <c r="L1304" s="336"/>
      <c r="M1304" s="336"/>
      <c r="N1304" s="336"/>
      <c r="O1304" s="336"/>
      <c r="P1304" s="336"/>
      <c r="Q1304" s="336"/>
      <c r="R1304" s="336"/>
      <c r="S1304" s="336"/>
      <c r="T1304" s="336"/>
      <c r="U1304" s="336"/>
      <c r="V1304" s="336"/>
      <c r="W1304" s="336"/>
      <c r="X1304" s="98">
        <v>1</v>
      </c>
      <c r="Y1304" s="74">
        <v>1</v>
      </c>
      <c r="Z1304" s="75">
        <f t="shared" si="512"/>
        <v>0</v>
      </c>
      <c r="AA1304" s="107">
        <f t="shared" si="516"/>
        <v>0</v>
      </c>
      <c r="AB1304" s="41"/>
      <c r="AC1304" s="184"/>
      <c r="AD1304" s="212">
        <f t="shared" si="515"/>
        <v>21</v>
      </c>
      <c r="AE1304" s="387"/>
      <c r="AF1304" s="388"/>
      <c r="AG1304" s="388"/>
      <c r="AH1304" s="388"/>
      <c r="AI1304" s="388"/>
      <c r="AJ1304" s="388"/>
      <c r="AK1304" s="388"/>
      <c r="AL1304" s="388"/>
      <c r="AM1304" s="388"/>
      <c r="AN1304" s="388"/>
      <c r="AO1304" s="388"/>
      <c r="AP1304" s="388"/>
      <c r="AQ1304" s="388"/>
      <c r="AR1304" s="388"/>
      <c r="AS1304" s="388"/>
      <c r="AT1304" s="388"/>
      <c r="AU1304" s="388"/>
      <c r="AV1304" s="388"/>
      <c r="AW1304" s="388"/>
      <c r="AX1304" s="388"/>
      <c r="AY1304" s="388"/>
      <c r="AZ1304" s="388"/>
      <c r="BA1304" s="388"/>
      <c r="BB1304" s="389"/>
      <c r="BC1304" s="98">
        <v>1</v>
      </c>
      <c r="BD1304" s="74">
        <v>1</v>
      </c>
      <c r="BE1304" s="75">
        <f t="shared" si="513"/>
        <v>0</v>
      </c>
    </row>
    <row r="1305" spans="1:57" s="1" customFormat="1" ht="18" customHeight="1" x14ac:dyDescent="0.4">
      <c r="A1305" s="37" t="str">
        <f t="shared" si="506"/>
        <v>21Н</v>
      </c>
      <c r="B1305" s="183"/>
      <c r="C1305" s="41"/>
      <c r="D1305" s="184"/>
      <c r="E1305" s="282">
        <f t="shared" si="514"/>
        <v>21</v>
      </c>
      <c r="F1305" s="335"/>
      <c r="G1305" s="336"/>
      <c r="H1305" s="336"/>
      <c r="I1305" s="336"/>
      <c r="J1305" s="336"/>
      <c r="K1305" s="336"/>
      <c r="L1305" s="336"/>
      <c r="M1305" s="336"/>
      <c r="N1305" s="336"/>
      <c r="O1305" s="336"/>
      <c r="P1305" s="336"/>
      <c r="Q1305" s="336"/>
      <c r="R1305" s="336"/>
      <c r="S1305" s="336"/>
      <c r="T1305" s="336"/>
      <c r="U1305" s="336"/>
      <c r="V1305" s="336"/>
      <c r="W1305" s="336"/>
      <c r="X1305" s="98">
        <v>1</v>
      </c>
      <c r="Y1305" s="74">
        <v>1</v>
      </c>
      <c r="Z1305" s="75">
        <f t="shared" si="512"/>
        <v>0</v>
      </c>
      <c r="AA1305" s="107">
        <f t="shared" si="516"/>
        <v>0</v>
      </c>
      <c r="AB1305" s="41"/>
      <c r="AC1305" s="184"/>
      <c r="AD1305" s="212">
        <f t="shared" si="515"/>
        <v>21</v>
      </c>
      <c r="AE1305" s="387"/>
      <c r="AF1305" s="388"/>
      <c r="AG1305" s="388"/>
      <c r="AH1305" s="388"/>
      <c r="AI1305" s="388"/>
      <c r="AJ1305" s="388"/>
      <c r="AK1305" s="388"/>
      <c r="AL1305" s="388"/>
      <c r="AM1305" s="388"/>
      <c r="AN1305" s="388"/>
      <c r="AO1305" s="388"/>
      <c r="AP1305" s="388"/>
      <c r="AQ1305" s="388"/>
      <c r="AR1305" s="388"/>
      <c r="AS1305" s="388"/>
      <c r="AT1305" s="388"/>
      <c r="AU1305" s="388"/>
      <c r="AV1305" s="388"/>
      <c r="AW1305" s="388"/>
      <c r="AX1305" s="388"/>
      <c r="AY1305" s="388"/>
      <c r="AZ1305" s="388"/>
      <c r="BA1305" s="388"/>
      <c r="BB1305" s="389"/>
      <c r="BC1305" s="98">
        <v>1</v>
      </c>
      <c r="BD1305" s="74">
        <v>1</v>
      </c>
      <c r="BE1305" s="75">
        <f t="shared" si="513"/>
        <v>0</v>
      </c>
    </row>
    <row r="1306" spans="1:57" s="1" customFormat="1" ht="18" customHeight="1" x14ac:dyDescent="0.4">
      <c r="A1306" s="37" t="str">
        <f t="shared" si="506"/>
        <v>21Н</v>
      </c>
      <c r="B1306" s="183"/>
      <c r="C1306" s="41"/>
      <c r="D1306" s="184"/>
      <c r="E1306" s="282">
        <f t="shared" si="514"/>
        <v>21</v>
      </c>
      <c r="F1306" s="335"/>
      <c r="G1306" s="336"/>
      <c r="H1306" s="336"/>
      <c r="I1306" s="336"/>
      <c r="J1306" s="336"/>
      <c r="K1306" s="336"/>
      <c r="L1306" s="336"/>
      <c r="M1306" s="336"/>
      <c r="N1306" s="336"/>
      <c r="O1306" s="336"/>
      <c r="P1306" s="336"/>
      <c r="Q1306" s="336"/>
      <c r="R1306" s="336"/>
      <c r="S1306" s="336"/>
      <c r="T1306" s="336"/>
      <c r="U1306" s="336"/>
      <c r="V1306" s="336"/>
      <c r="W1306" s="336"/>
      <c r="X1306" s="98">
        <v>1</v>
      </c>
      <c r="Y1306" s="74">
        <v>1</v>
      </c>
      <c r="Z1306" s="75">
        <f t="shared" si="512"/>
        <v>0</v>
      </c>
      <c r="AA1306" s="107">
        <f t="shared" si="516"/>
        <v>0</v>
      </c>
      <c r="AB1306" s="41"/>
      <c r="AC1306" s="184"/>
      <c r="AD1306" s="212">
        <f t="shared" si="515"/>
        <v>21</v>
      </c>
      <c r="AE1306" s="387"/>
      <c r="AF1306" s="388"/>
      <c r="AG1306" s="388"/>
      <c r="AH1306" s="388"/>
      <c r="AI1306" s="388"/>
      <c r="AJ1306" s="388"/>
      <c r="AK1306" s="388"/>
      <c r="AL1306" s="388"/>
      <c r="AM1306" s="388"/>
      <c r="AN1306" s="388"/>
      <c r="AO1306" s="388"/>
      <c r="AP1306" s="388"/>
      <c r="AQ1306" s="388"/>
      <c r="AR1306" s="388"/>
      <c r="AS1306" s="388"/>
      <c r="AT1306" s="388"/>
      <c r="AU1306" s="388"/>
      <c r="AV1306" s="388"/>
      <c r="AW1306" s="388"/>
      <c r="AX1306" s="388"/>
      <c r="AY1306" s="388"/>
      <c r="AZ1306" s="388"/>
      <c r="BA1306" s="388"/>
      <c r="BB1306" s="389"/>
      <c r="BC1306" s="98">
        <v>1</v>
      </c>
      <c r="BD1306" s="74">
        <v>1</v>
      </c>
      <c r="BE1306" s="75">
        <f t="shared" si="513"/>
        <v>0</v>
      </c>
    </row>
    <row r="1307" spans="1:57" s="1" customFormat="1" ht="18" customHeight="1" x14ac:dyDescent="0.4">
      <c r="A1307" s="37" t="str">
        <f t="shared" si="506"/>
        <v>21Н</v>
      </c>
      <c r="B1307" s="183"/>
      <c r="C1307" s="41"/>
      <c r="D1307" s="184"/>
      <c r="E1307" s="282">
        <f t="shared" si="514"/>
        <v>21</v>
      </c>
      <c r="F1307" s="335"/>
      <c r="G1307" s="336"/>
      <c r="H1307" s="336"/>
      <c r="I1307" s="336"/>
      <c r="J1307" s="336"/>
      <c r="K1307" s="336"/>
      <c r="L1307" s="336"/>
      <c r="M1307" s="336"/>
      <c r="N1307" s="336"/>
      <c r="O1307" s="336"/>
      <c r="P1307" s="336"/>
      <c r="Q1307" s="336"/>
      <c r="R1307" s="336"/>
      <c r="S1307" s="336"/>
      <c r="T1307" s="336"/>
      <c r="U1307" s="336"/>
      <c r="V1307" s="336"/>
      <c r="W1307" s="336"/>
      <c r="X1307" s="98">
        <v>1</v>
      </c>
      <c r="Y1307" s="74">
        <v>1</v>
      </c>
      <c r="Z1307" s="75">
        <f t="shared" si="512"/>
        <v>0</v>
      </c>
      <c r="AA1307" s="107">
        <f t="shared" si="516"/>
        <v>0</v>
      </c>
      <c r="AB1307" s="41"/>
      <c r="AC1307" s="184"/>
      <c r="AD1307" s="212">
        <f t="shared" si="515"/>
        <v>21</v>
      </c>
      <c r="AE1307" s="387"/>
      <c r="AF1307" s="388"/>
      <c r="AG1307" s="388"/>
      <c r="AH1307" s="388"/>
      <c r="AI1307" s="388"/>
      <c r="AJ1307" s="388"/>
      <c r="AK1307" s="388"/>
      <c r="AL1307" s="388"/>
      <c r="AM1307" s="388"/>
      <c r="AN1307" s="388"/>
      <c r="AO1307" s="388"/>
      <c r="AP1307" s="388"/>
      <c r="AQ1307" s="388"/>
      <c r="AR1307" s="388"/>
      <c r="AS1307" s="388"/>
      <c r="AT1307" s="388"/>
      <c r="AU1307" s="388"/>
      <c r="AV1307" s="388"/>
      <c r="AW1307" s="388"/>
      <c r="AX1307" s="388"/>
      <c r="AY1307" s="388"/>
      <c r="AZ1307" s="388"/>
      <c r="BA1307" s="388"/>
      <c r="BB1307" s="389"/>
      <c r="BC1307" s="98">
        <v>1</v>
      </c>
      <c r="BD1307" s="74">
        <v>1</v>
      </c>
      <c r="BE1307" s="75">
        <f t="shared" si="513"/>
        <v>0</v>
      </c>
    </row>
    <row r="1308" spans="1:57" s="1" customFormat="1" ht="18" customHeight="1" x14ac:dyDescent="0.4">
      <c r="A1308" s="37" t="str">
        <f t="shared" si="506"/>
        <v>21Н</v>
      </c>
      <c r="B1308" s="183"/>
      <c r="C1308" s="41"/>
      <c r="D1308" s="184"/>
      <c r="E1308" s="282">
        <f t="shared" si="514"/>
        <v>21</v>
      </c>
      <c r="F1308" s="335"/>
      <c r="G1308" s="336"/>
      <c r="H1308" s="336"/>
      <c r="I1308" s="336"/>
      <c r="J1308" s="336"/>
      <c r="K1308" s="336"/>
      <c r="L1308" s="336"/>
      <c r="M1308" s="336"/>
      <c r="N1308" s="336"/>
      <c r="O1308" s="336"/>
      <c r="P1308" s="336"/>
      <c r="Q1308" s="336"/>
      <c r="R1308" s="336"/>
      <c r="S1308" s="336"/>
      <c r="T1308" s="336"/>
      <c r="U1308" s="336"/>
      <c r="V1308" s="336"/>
      <c r="W1308" s="336"/>
      <c r="X1308" s="98">
        <v>1</v>
      </c>
      <c r="Y1308" s="74">
        <v>1</v>
      </c>
      <c r="Z1308" s="75">
        <f t="shared" si="512"/>
        <v>0</v>
      </c>
      <c r="AA1308" s="107">
        <f t="shared" si="516"/>
        <v>0</v>
      </c>
      <c r="AB1308" s="41"/>
      <c r="AC1308" s="184"/>
      <c r="AD1308" s="212">
        <f t="shared" si="515"/>
        <v>21</v>
      </c>
      <c r="AE1308" s="387"/>
      <c r="AF1308" s="388"/>
      <c r="AG1308" s="388"/>
      <c r="AH1308" s="388"/>
      <c r="AI1308" s="388"/>
      <c r="AJ1308" s="388"/>
      <c r="AK1308" s="388"/>
      <c r="AL1308" s="388"/>
      <c r="AM1308" s="388"/>
      <c r="AN1308" s="388"/>
      <c r="AO1308" s="388"/>
      <c r="AP1308" s="388"/>
      <c r="AQ1308" s="388"/>
      <c r="AR1308" s="388"/>
      <c r="AS1308" s="388"/>
      <c r="AT1308" s="388"/>
      <c r="AU1308" s="388"/>
      <c r="AV1308" s="388"/>
      <c r="AW1308" s="388"/>
      <c r="AX1308" s="388"/>
      <c r="AY1308" s="388"/>
      <c r="AZ1308" s="388"/>
      <c r="BA1308" s="388"/>
      <c r="BB1308" s="389"/>
      <c r="BC1308" s="98">
        <v>1</v>
      </c>
      <c r="BD1308" s="74">
        <v>1</v>
      </c>
      <c r="BE1308" s="75">
        <f t="shared" si="513"/>
        <v>0</v>
      </c>
    </row>
    <row r="1309" spans="1:57" s="1" customFormat="1" ht="18" customHeight="1" x14ac:dyDescent="0.4">
      <c r="A1309" s="37" t="str">
        <f t="shared" si="506"/>
        <v>21Н</v>
      </c>
      <c r="B1309" s="183"/>
      <c r="C1309" s="41"/>
      <c r="D1309" s="184"/>
      <c r="E1309" s="282">
        <f t="shared" si="514"/>
        <v>21</v>
      </c>
      <c r="F1309" s="335"/>
      <c r="G1309" s="336"/>
      <c r="H1309" s="336"/>
      <c r="I1309" s="336"/>
      <c r="J1309" s="336"/>
      <c r="K1309" s="336"/>
      <c r="L1309" s="336"/>
      <c r="M1309" s="336"/>
      <c r="N1309" s="336"/>
      <c r="O1309" s="336"/>
      <c r="P1309" s="336"/>
      <c r="Q1309" s="336"/>
      <c r="R1309" s="336"/>
      <c r="S1309" s="336"/>
      <c r="T1309" s="336"/>
      <c r="U1309" s="336"/>
      <c r="V1309" s="336"/>
      <c r="W1309" s="336"/>
      <c r="X1309" s="98">
        <v>1</v>
      </c>
      <c r="Y1309" s="74">
        <v>1</v>
      </c>
      <c r="Z1309" s="75">
        <f t="shared" si="512"/>
        <v>0</v>
      </c>
      <c r="AA1309" s="107">
        <f t="shared" si="516"/>
        <v>0</v>
      </c>
      <c r="AB1309" s="41"/>
      <c r="AC1309" s="184"/>
      <c r="AD1309" s="212">
        <f t="shared" si="515"/>
        <v>21</v>
      </c>
      <c r="AE1309" s="387"/>
      <c r="AF1309" s="388"/>
      <c r="AG1309" s="388"/>
      <c r="AH1309" s="388"/>
      <c r="AI1309" s="388"/>
      <c r="AJ1309" s="388"/>
      <c r="AK1309" s="388"/>
      <c r="AL1309" s="388"/>
      <c r="AM1309" s="388"/>
      <c r="AN1309" s="388"/>
      <c r="AO1309" s="388"/>
      <c r="AP1309" s="388"/>
      <c r="AQ1309" s="388"/>
      <c r="AR1309" s="388"/>
      <c r="AS1309" s="388"/>
      <c r="AT1309" s="388"/>
      <c r="AU1309" s="388"/>
      <c r="AV1309" s="388"/>
      <c r="AW1309" s="388"/>
      <c r="AX1309" s="388"/>
      <c r="AY1309" s="388"/>
      <c r="AZ1309" s="388"/>
      <c r="BA1309" s="388"/>
      <c r="BB1309" s="389"/>
      <c r="BC1309" s="98">
        <v>1</v>
      </c>
      <c r="BD1309" s="74">
        <v>1</v>
      </c>
      <c r="BE1309" s="75">
        <f t="shared" si="513"/>
        <v>0</v>
      </c>
    </row>
    <row r="1310" spans="1:57" s="1" customFormat="1" ht="18" customHeight="1" thickBot="1" x14ac:dyDescent="0.45">
      <c r="A1310" s="37" t="str">
        <f t="shared" si="506"/>
        <v>21Н</v>
      </c>
      <c r="B1310" s="183"/>
      <c r="C1310" s="41"/>
      <c r="D1310" s="184"/>
      <c r="E1310" s="283">
        <f t="shared" si="514"/>
        <v>21</v>
      </c>
      <c r="F1310" s="339"/>
      <c r="G1310" s="340"/>
      <c r="H1310" s="340"/>
      <c r="I1310" s="340"/>
      <c r="J1310" s="340"/>
      <c r="K1310" s="340"/>
      <c r="L1310" s="340"/>
      <c r="M1310" s="340"/>
      <c r="N1310" s="340"/>
      <c r="O1310" s="340"/>
      <c r="P1310" s="340"/>
      <c r="Q1310" s="340"/>
      <c r="R1310" s="340"/>
      <c r="S1310" s="340"/>
      <c r="T1310" s="340"/>
      <c r="U1310" s="340"/>
      <c r="V1310" s="340"/>
      <c r="W1310" s="340"/>
      <c r="X1310" s="99">
        <v>1</v>
      </c>
      <c r="Y1310" s="76">
        <v>1</v>
      </c>
      <c r="Z1310" s="77">
        <f t="shared" si="512"/>
        <v>0</v>
      </c>
      <c r="AA1310" s="107">
        <f t="shared" si="516"/>
        <v>0</v>
      </c>
      <c r="AB1310" s="41"/>
      <c r="AC1310" s="184"/>
      <c r="AD1310" s="211">
        <f t="shared" si="515"/>
        <v>21</v>
      </c>
      <c r="AE1310" s="410"/>
      <c r="AF1310" s="411"/>
      <c r="AG1310" s="411"/>
      <c r="AH1310" s="411"/>
      <c r="AI1310" s="411"/>
      <c r="AJ1310" s="411"/>
      <c r="AK1310" s="411"/>
      <c r="AL1310" s="411"/>
      <c r="AM1310" s="411"/>
      <c r="AN1310" s="411"/>
      <c r="AO1310" s="411"/>
      <c r="AP1310" s="411"/>
      <c r="AQ1310" s="411"/>
      <c r="AR1310" s="411"/>
      <c r="AS1310" s="411"/>
      <c r="AT1310" s="411"/>
      <c r="AU1310" s="411"/>
      <c r="AV1310" s="411"/>
      <c r="AW1310" s="411"/>
      <c r="AX1310" s="411"/>
      <c r="AY1310" s="411"/>
      <c r="AZ1310" s="411"/>
      <c r="BA1310" s="411"/>
      <c r="BB1310" s="412"/>
      <c r="BC1310" s="99">
        <v>1</v>
      </c>
      <c r="BD1310" s="76">
        <v>1</v>
      </c>
      <c r="BE1310" s="75">
        <f t="shared" si="513"/>
        <v>0</v>
      </c>
    </row>
    <row r="1311" spans="1:57" s="1" customFormat="1" ht="23.25" customHeight="1" thickBot="1" x14ac:dyDescent="0.45">
      <c r="A1311" s="37" t="str">
        <f t="shared" si="506"/>
        <v>21Н</v>
      </c>
      <c r="B1311" s="193"/>
      <c r="C1311" s="47"/>
      <c r="D1311" s="47"/>
      <c r="E1311" s="47"/>
      <c r="F1311" s="78"/>
      <c r="G1311" s="78"/>
      <c r="H1311" s="78"/>
      <c r="I1311" s="80"/>
      <c r="J1311" s="80"/>
      <c r="K1311" s="80"/>
      <c r="L1311" s="80"/>
      <c r="M1311" s="80"/>
      <c r="N1311" s="80"/>
      <c r="O1311" s="78"/>
      <c r="P1311" s="81"/>
      <c r="Q1311" s="81"/>
      <c r="R1311" s="81"/>
      <c r="S1311" s="81"/>
      <c r="T1311" s="81"/>
      <c r="U1311" s="82"/>
      <c r="V1311" s="82"/>
      <c r="W1311" s="86"/>
      <c r="X1311" s="194"/>
      <c r="Y1311" s="83"/>
      <c r="Z1311" s="83"/>
      <c r="AA1311" s="78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84"/>
      <c r="AN1311" s="47"/>
      <c r="AO1311" s="78"/>
      <c r="AP1311" s="78"/>
      <c r="AQ1311" s="78"/>
      <c r="AR1311" s="84"/>
      <c r="AS1311" s="78"/>
      <c r="AT1311" s="85"/>
      <c r="AU1311" s="78"/>
      <c r="AV1311" s="83"/>
      <c r="AW1311" s="83"/>
      <c r="AX1311" s="78"/>
      <c r="AY1311" s="78"/>
      <c r="AZ1311" s="78"/>
      <c r="BA1311" s="78"/>
      <c r="BB1311" s="78"/>
      <c r="BC1311" s="78"/>
      <c r="BD1311" s="79"/>
      <c r="BE1311" s="79"/>
    </row>
    <row r="1312" spans="1:57" s="1" customFormat="1" ht="21.6" customHeight="1" thickBot="1" x14ac:dyDescent="0.45">
      <c r="A1312" s="37" t="s">
        <v>188</v>
      </c>
      <c r="B1312" s="59"/>
      <c r="C1312" s="51"/>
      <c r="D1312" s="51"/>
      <c r="E1312" s="51"/>
      <c r="F1312" s="158" t="s">
        <v>147</v>
      </c>
      <c r="G1312" s="51"/>
      <c r="H1312" s="51"/>
      <c r="I1312" s="156"/>
      <c r="J1312" s="156"/>
      <c r="K1312" s="156"/>
      <c r="L1312" s="156"/>
      <c r="M1312" s="156"/>
      <c r="N1312" s="156"/>
      <c r="O1312" s="91"/>
      <c r="P1312" s="52"/>
      <c r="Q1312" s="52"/>
      <c r="R1312" s="52"/>
      <c r="S1312" s="52"/>
      <c r="T1312" s="52"/>
      <c r="U1312" s="157"/>
      <c r="V1312" s="157"/>
      <c r="W1312" s="94"/>
      <c r="X1312" s="94"/>
      <c r="Y1312" s="51"/>
      <c r="Z1312" s="51"/>
      <c r="AA1312" s="157">
        <f>AA1295</f>
        <v>1</v>
      </c>
      <c r="AB1312" s="157">
        <f t="shared" ref="AB1312:AF1312" si="517">AB1295</f>
        <v>2</v>
      </c>
      <c r="AC1312" s="157">
        <f t="shared" si="517"/>
        <v>3</v>
      </c>
      <c r="AD1312" s="157">
        <f t="shared" si="517"/>
        <v>4</v>
      </c>
      <c r="AE1312" s="157">
        <f t="shared" si="517"/>
        <v>5</v>
      </c>
      <c r="AF1312" s="157">
        <f t="shared" si="517"/>
        <v>6</v>
      </c>
      <c r="AG1312" s="162" t="s">
        <v>123</v>
      </c>
      <c r="AH1312" s="162" t="s">
        <v>124</v>
      </c>
      <c r="AI1312" s="162" t="s">
        <v>125</v>
      </c>
      <c r="AJ1312" s="91" t="s">
        <v>126</v>
      </c>
      <c r="AK1312" s="198" t="s">
        <v>136</v>
      </c>
      <c r="AL1312" s="198" t="s">
        <v>137</v>
      </c>
      <c r="AM1312" s="198" t="s">
        <v>138</v>
      </c>
      <c r="AN1312" s="91"/>
      <c r="AO1312" s="91"/>
      <c r="AP1312" s="91"/>
      <c r="AQ1312" s="91"/>
      <c r="AR1312" s="91"/>
      <c r="AS1312" s="91"/>
      <c r="AT1312" s="91"/>
      <c r="AU1312" s="91"/>
      <c r="AV1312" s="91"/>
      <c r="AW1312" s="91"/>
      <c r="AX1312" s="91"/>
      <c r="AY1312" s="91"/>
      <c r="AZ1312" s="91"/>
      <c r="BA1312" s="91"/>
      <c r="BB1312" s="91"/>
      <c r="BC1312" s="91"/>
      <c r="BD1312" s="91"/>
      <c r="BE1312" s="91"/>
    </row>
    <row r="1313" spans="1:57" s="1" customFormat="1" ht="21.6" customHeight="1" x14ac:dyDescent="0.4">
      <c r="A1313" s="37" t="str">
        <f>A1312</f>
        <v>22Д</v>
      </c>
      <c r="B1313" s="12">
        <f>B1294+1</f>
        <v>22</v>
      </c>
      <c r="C1313" s="97"/>
      <c r="D1313" s="97">
        <v>1</v>
      </c>
      <c r="E1313" s="29"/>
      <c r="F1313" s="151" t="str">
        <f>IFERROR(VLOOKUP($G1313,нормы!$A$14:$BC$57,2,0),"")</f>
        <v/>
      </c>
      <c r="G1313" s="93"/>
      <c r="H1313" s="54">
        <f>IF(C1313=1,"Кульков С.А.", IF(C1313=2,"Чудаков А.А.",IF(C1313=3,"Королев В.Н.",IF(C1313=4,"Николашин М.П.",IF(C1313=5," Кульков С.А.",IF(C1313=6,"А.А. Чудаков",IF(C1313=7,"В.Н. Королев",IF(C1313=8,"М.П. Николашин",0))))))))</f>
        <v>0</v>
      </c>
      <c r="I1313" s="88" t="s">
        <v>84</v>
      </c>
      <c r="J1313" s="332"/>
      <c r="K1313" s="30">
        <f>IFERROR(VLOOKUP($G1313,[1]нормы!$A$21:$BC$151,15,0),"")</f>
        <v>0</v>
      </c>
      <c r="L1313" s="31">
        <f>IFERROR(VLOOKUP($G1313,[1]нормы!$A$21:$BC$151,17,0),"")</f>
        <v>0</v>
      </c>
      <c r="M1313" s="310">
        <f>IFERROR(VLOOKUP($G1313,[1]нормы!$A$21:$BC$151,27,0),"")</f>
        <v>0</v>
      </c>
      <c r="N1313" s="311" t="str">
        <f>IFERROR(Y1313/Y1319*(1.1*J1313*I1318),"")</f>
        <v/>
      </c>
      <c r="O1313" s="300">
        <f>IFERROR(VLOOKUP($G1313,[1]нормы!$A$21:$BC$151,21,0),"")</f>
        <v>0</v>
      </c>
      <c r="P1313" s="35">
        <f>IFERROR(VLOOKUP($G1313,[1]нормы!$A$21:$BC$151,19,0),"")</f>
        <v>0</v>
      </c>
      <c r="Q1313" s="35">
        <f>IFERROR(VLOOKUP($G1313,[1]нормы!$A$21:$BC$151,23,0),"")</f>
        <v>0</v>
      </c>
      <c r="R1313" s="231">
        <f>IFERROR(VLOOKUP($G1313,[1]нормы!$A$21:$BC$151,29,0),"")</f>
        <v>0</v>
      </c>
      <c r="S1313" s="35">
        <f>IFERROR(VLOOKUP($G1313,[1]нормы!$A$21:$BC$151,31,0),"")</f>
        <v>0</v>
      </c>
      <c r="T1313" s="32">
        <f>IFERROR(VLOOKUP($G1313,[1]нормы!$A$21:$BC$151,25,0),"")</f>
        <v>0</v>
      </c>
      <c r="U1313" s="232" t="str">
        <f>IFERROR(W1313/(((100*Y1313/Y1319)*I1318)/100),"")</f>
        <v/>
      </c>
      <c r="V1313" s="234" t="str">
        <f>IFERROR(VLOOKUP($G1313,нормы!$A$14:$BC$57,38,0),"")</f>
        <v/>
      </c>
      <c r="W1313" s="136"/>
      <c r="X1313" s="236"/>
      <c r="Y1313" s="152" t="str">
        <f>IFERROR(VLOOKUP($G1313,нормы!$A$14:$BC$57,42,0)*W1313,"")</f>
        <v/>
      </c>
      <c r="Z1313" s="163">
        <f>IFERROR(VLOOKUP($G1313,нормы!$A$14:$BC$57,14,0)*W1313/1000,0)</f>
        <v>0</v>
      </c>
      <c r="AA1313" s="33"/>
      <c r="AB1313" s="36"/>
      <c r="AC1313" s="36"/>
      <c r="AD1313" s="36"/>
      <c r="AE1313" s="34"/>
      <c r="AF1313" s="159"/>
      <c r="AG1313" s="390"/>
      <c r="AH1313" s="393"/>
      <c r="AI1313" s="396"/>
      <c r="AJ1313" s="407">
        <f>AG1313+AH1313</f>
        <v>0</v>
      </c>
      <c r="AK1313" s="359"/>
      <c r="AL1313" s="359"/>
      <c r="AM1313" s="359"/>
      <c r="AN1313" s="287">
        <f>IFERROR(Y1313*AJ1313/Y1319,)</f>
        <v>0</v>
      </c>
      <c r="AO1313" s="197" t="str">
        <f>IFERROR(VLOOKUP($G1313,нормы!$A$14:$BC$57,53,0)*$W1313,"")</f>
        <v/>
      </c>
      <c r="AP1313" s="288">
        <f>IFERROR(Y1313*AI1313/Y1319,)</f>
        <v>0</v>
      </c>
      <c r="AQ1313" s="197" t="str">
        <f>IFERROR(VLOOKUP($G1313,нормы!$A$14:$BC$57,54,0)*$W1313,"")</f>
        <v/>
      </c>
      <c r="AR1313" s="288">
        <f>IFERROR(AS1313/SUM(AS1313:AS1318)*AL1313,0)</f>
        <v>0</v>
      </c>
      <c r="AS1313" s="197" t="str">
        <f>IFERROR(VLOOKUP($G1313,нормы!$A$14:$BC$57,55,0)*W1313,"")</f>
        <v/>
      </c>
      <c r="AT1313" s="288">
        <f>IFERROR(AU1313/SUM(AU1313:AU1318)*AM1313,0)</f>
        <v>0</v>
      </c>
      <c r="AU1313" s="197" t="str">
        <f>IFERROR(VLOOKUP($G1313,нормы!$A$14:$BI$57,56,0)*W1313,"")</f>
        <v/>
      </c>
      <c r="AV1313" s="288">
        <f>IFERROR(AW1313/SUM(AW1313:AW1318)*AK1313,0)</f>
        <v>0</v>
      </c>
      <c r="AW1313" s="202" t="str">
        <f>IFERROR(VLOOKUP($G1313,нормы!$A$14:$BI$57,57,0)*W1313,"")</f>
        <v/>
      </c>
      <c r="AX1313" s="33"/>
      <c r="AY1313" s="203" t="str">
        <f>IFERROR(VLOOKUP($G1313,нормы!$A$14:$BI$57,58,0)*W1313,"")</f>
        <v/>
      </c>
      <c r="AZ1313" s="204"/>
      <c r="BA1313" s="200" t="str">
        <f>IFERROR(VLOOKUP($G1313,нормы!$A$14:$BI$57,61,0)*$W1313,"")</f>
        <v/>
      </c>
      <c r="BB1313" s="33"/>
      <c r="BC1313" s="203" t="str">
        <f>IFERROR(VLOOKUP($G1313,нормы!$A$14:$BI$57,60,0)*W1313,"")</f>
        <v/>
      </c>
      <c r="BD1313" s="200" t="str">
        <f>IFERROR(VLOOKUP($G1313,нормы!$A$14:$BG$57,44,0),"")</f>
        <v/>
      </c>
      <c r="BE1313" s="199" t="str">
        <f>IFERROR(W1313/VLOOKUP($G1313,нормы!$A$14:$BI$57,45,0),"")</f>
        <v/>
      </c>
    </row>
    <row r="1314" spans="1:57" s="1" customFormat="1" ht="21.6" customHeight="1" x14ac:dyDescent="0.4">
      <c r="A1314" s="37" t="str">
        <f t="shared" ref="A1314:A1342" si="518">A1313</f>
        <v>22Д</v>
      </c>
      <c r="B1314" s="12">
        <f t="shared" ref="B1314:D1318" si="519">B1313</f>
        <v>22</v>
      </c>
      <c r="C1314" s="97">
        <f t="shared" si="519"/>
        <v>0</v>
      </c>
      <c r="D1314" s="97">
        <f t="shared" si="519"/>
        <v>1</v>
      </c>
      <c r="E1314" s="54"/>
      <c r="F1314" s="151" t="str">
        <f>IFERROR(VLOOKUP($G1314,нормы!$A$14:$BC$57,2,0),"")</f>
        <v/>
      </c>
      <c r="G1314" s="93"/>
      <c r="H1314" s="54">
        <f t="shared" ref="H1314:H1318" si="520">IF(C1314=1,"Кульков С.А.", IF(C1314=2,"Чудаков А.А.",IF(C1314=3,"Королев В.Н.",IF(C1314=4,"Николашин М.П.",IF(C1314=5," Кульков С.А.",IF(C1314=6,"А.А. Чудаков",IF(C1314=7,"В.Н. Королев",IF(C1314=8,"М.П. Николашин",0))))))))</f>
        <v>0</v>
      </c>
      <c r="I1314" s="55"/>
      <c r="J1314" s="333"/>
      <c r="K1314" s="30">
        <f>IFERROR(VLOOKUP($G1314,[1]нормы!$A$21:$BC$151,15,0),"")</f>
        <v>0</v>
      </c>
      <c r="L1314" s="31">
        <f>IFERROR(VLOOKUP($G1314,[1]нормы!$A$21:$BC$151,17,0),"")</f>
        <v>0</v>
      </c>
      <c r="M1314" s="306">
        <f>IFERROR(VLOOKUP($G1314,[1]нормы!$A$21:$BC$151,27,0),"")</f>
        <v>0</v>
      </c>
      <c r="N1314" s="307" t="str">
        <f>IFERROR(Y1314/Y1319*(1.1*J1313*I1318),"")</f>
        <v/>
      </c>
      <c r="O1314" s="300">
        <f>IFERROR(VLOOKUP($G1314,[1]нормы!$A$21:$BC$151,21,0),"")</f>
        <v>0</v>
      </c>
      <c r="P1314" s="35">
        <f>IFERROR(VLOOKUP($G1314,[1]нормы!$A$21:$BC$151,19,0),"")</f>
        <v>0</v>
      </c>
      <c r="Q1314" s="35">
        <f>IFERROR(VLOOKUP($G1314,[1]нормы!$A$21:$BC$151,23,0),"")</f>
        <v>0</v>
      </c>
      <c r="R1314" s="231">
        <f>IFERROR(VLOOKUP($G1314,[1]нормы!$A$21:$BC$151,29,0),"")</f>
        <v>0</v>
      </c>
      <c r="S1314" s="35">
        <f>IFERROR(VLOOKUP($G1314,[1]нормы!$A$21:$BC$151,31,0),"")</f>
        <v>0</v>
      </c>
      <c r="T1314" s="32">
        <f>IFERROR(VLOOKUP($G1314,[1]нормы!$A$21:$BC$151,25,0),"")</f>
        <v>0</v>
      </c>
      <c r="U1314" s="233" t="str">
        <f>IFERROR(W1314/(((100*Y1314/Y1319)*I1318)/100),"")</f>
        <v/>
      </c>
      <c r="V1314" s="234" t="str">
        <f>IFERROR(VLOOKUP($G1314,нормы!$A$14:$BC$57,38,0),"")</f>
        <v/>
      </c>
      <c r="W1314" s="136"/>
      <c r="X1314" s="237"/>
      <c r="Y1314" s="152" t="str">
        <f>IFERROR(VLOOKUP($G1314,нормы!$A$14:$BC$57,42,0)*W1314,"")</f>
        <v/>
      </c>
      <c r="Z1314" s="163">
        <f>IFERROR(VLOOKUP($G1314,нормы!$A$14:$BC$57,14,0)*W1314/1000,0)</f>
        <v>0</v>
      </c>
      <c r="AA1314" s="142"/>
      <c r="AB1314" s="35"/>
      <c r="AC1314" s="35"/>
      <c r="AD1314" s="35"/>
      <c r="AE1314" s="31"/>
      <c r="AF1314" s="160"/>
      <c r="AG1314" s="391"/>
      <c r="AH1314" s="394"/>
      <c r="AI1314" s="397"/>
      <c r="AJ1314" s="408"/>
      <c r="AK1314" s="360"/>
      <c r="AL1314" s="360"/>
      <c r="AM1314" s="360"/>
      <c r="AN1314" s="289">
        <f>IFERROR(Y1314*AJ1313/Y1319,)</f>
        <v>0</v>
      </c>
      <c r="AO1314" s="197" t="str">
        <f>IFERROR(VLOOKUP($G1314,нормы!$A$14:$BC$57,53,0)*$W1314,"")</f>
        <v/>
      </c>
      <c r="AP1314" s="290">
        <f>IFERROR(Y1314*AI1313/Y1319,)</f>
        <v>0</v>
      </c>
      <c r="AQ1314" s="197" t="str">
        <f>IFERROR(VLOOKUP($G1314,нормы!$A$14:$BC$57,54,0)*$W1314,"")</f>
        <v/>
      </c>
      <c r="AR1314" s="290">
        <f>IFERROR(AS1314/SUM(AS1313:AS1318)*AL1313,0)</f>
        <v>0</v>
      </c>
      <c r="AS1314" s="197" t="str">
        <f>IFERROR(VLOOKUP($G1314,нормы!$A$14:$BC$57,55,0)*W1314,"")</f>
        <v/>
      </c>
      <c r="AT1314" s="290">
        <f>IFERROR(AU1314/SUM(AU1313:AU1318)*AM1313,0)</f>
        <v>0</v>
      </c>
      <c r="AU1314" s="197" t="str">
        <f>IFERROR(VLOOKUP($G1314,нормы!$A$14:$BI$57,56,0)*W1314,"")</f>
        <v/>
      </c>
      <c r="AV1314" s="290">
        <f>IFERROR(AW1314/SUM(AW1313:AW1318)*AK1313,0)</f>
        <v>0</v>
      </c>
      <c r="AW1314" s="202" t="str">
        <f>IFERROR(VLOOKUP($G1314,нормы!$A$14:$BI$57,57,0)*W1314,"")</f>
        <v/>
      </c>
      <c r="AX1314" s="30"/>
      <c r="AY1314" s="203" t="str">
        <f>IFERROR(VLOOKUP($G1314,нормы!$A$14:$BI$57,58,0)*W1314,"")</f>
        <v/>
      </c>
      <c r="AZ1314" s="205"/>
      <c r="BA1314" s="200" t="str">
        <f>IFERROR(VLOOKUP($G1314,нормы!$A$14:$BI$57,61,0)*$W1314,"")</f>
        <v/>
      </c>
      <c r="BB1314" s="30"/>
      <c r="BC1314" s="203" t="str">
        <f>IFERROR(VLOOKUP($G1314,нормы!$A$14:$BI$57,60,0)*W1314,"")</f>
        <v/>
      </c>
      <c r="BD1314" s="200" t="str">
        <f>IFERROR(VLOOKUP($G1314,нормы!$A$14:$BG$57,44,0),"")</f>
        <v/>
      </c>
      <c r="BE1314" s="199" t="str">
        <f>IFERROR(W1314/VLOOKUP($G1314,нормы!$A$14:$BI$57,45,0),"")</f>
        <v/>
      </c>
    </row>
    <row r="1315" spans="1:57" s="1" customFormat="1" ht="20.25" customHeight="1" x14ac:dyDescent="0.4">
      <c r="A1315" s="37" t="str">
        <f t="shared" si="518"/>
        <v>22Д</v>
      </c>
      <c r="B1315" s="12">
        <f t="shared" si="519"/>
        <v>22</v>
      </c>
      <c r="C1315" s="97">
        <f t="shared" si="519"/>
        <v>0</v>
      </c>
      <c r="D1315" s="97">
        <f t="shared" si="519"/>
        <v>1</v>
      </c>
      <c r="E1315" s="54"/>
      <c r="F1315" s="151" t="str">
        <f>IFERROR(VLOOKUP($G1315,нормы!$A$14:$BC$57,2,0),"")</f>
        <v/>
      </c>
      <c r="G1315" s="38"/>
      <c r="H1315" s="54">
        <f t="shared" si="520"/>
        <v>0</v>
      </c>
      <c r="I1315" s="89" t="s">
        <v>85</v>
      </c>
      <c r="J1315" s="333"/>
      <c r="K1315" s="30">
        <f>IFERROR(VLOOKUP($G1315,[1]нормы!$A$21:$BC$151,15,0),"")</f>
        <v>0</v>
      </c>
      <c r="L1315" s="31">
        <f>IFERROR(VLOOKUP($G1315,[1]нормы!$A$21:$BC$151,17,0),"")</f>
        <v>0</v>
      </c>
      <c r="M1315" s="306">
        <f>IFERROR(VLOOKUP($G1315,[1]нормы!$A$21:$BC$151,27,0),"")</f>
        <v>0</v>
      </c>
      <c r="N1315" s="307" t="str">
        <f>IFERROR(Y1315/Y1319*(1.1*J1313*I1318),"")</f>
        <v/>
      </c>
      <c r="O1315" s="300">
        <f>IFERROR(VLOOKUP($G1315,[1]нормы!$A$21:$BC$151,21,0),"")</f>
        <v>0</v>
      </c>
      <c r="P1315" s="35">
        <f>IFERROR(VLOOKUP($G1315,[1]нормы!$A$21:$BC$151,19,0),"")</f>
        <v>0</v>
      </c>
      <c r="Q1315" s="35">
        <f>IFERROR(VLOOKUP($G1315,[1]нормы!$A$21:$BC$151,23,0),"")</f>
        <v>0</v>
      </c>
      <c r="R1315" s="231">
        <f>IFERROR(VLOOKUP($G1315,[1]нормы!$A$21:$BC$151,29,0),"")</f>
        <v>0</v>
      </c>
      <c r="S1315" s="35">
        <f>IFERROR(VLOOKUP($G1315,[1]нормы!$A$21:$BC$151,31,0),"")</f>
        <v>0</v>
      </c>
      <c r="T1315" s="32">
        <f>IFERROR(VLOOKUP($G1315,[1]нормы!$A$21:$BC$151,25,0),"")</f>
        <v>0</v>
      </c>
      <c r="U1315" s="233" t="str">
        <f>IFERROR(W1315/(((100*Y1315/Y1319)*I1318)/100),"")</f>
        <v/>
      </c>
      <c r="V1315" s="234" t="str">
        <f>IFERROR(VLOOKUP($G1315,нормы!$A$14:$BC$57,38,0),"")</f>
        <v/>
      </c>
      <c r="W1315" s="136"/>
      <c r="X1315" s="237"/>
      <c r="Y1315" s="152" t="str">
        <f>IFERROR(VLOOKUP($G1315,нормы!$A$14:$BC$57,42,0)*W1315,"")</f>
        <v/>
      </c>
      <c r="Z1315" s="163">
        <f>IFERROR(VLOOKUP($G1315,нормы!$A$14:$BC$57,14,0)*W1315/1000,0)</f>
        <v>0</v>
      </c>
      <c r="AA1315" s="30"/>
      <c r="AB1315" s="35"/>
      <c r="AC1315" s="35"/>
      <c r="AD1315" s="35"/>
      <c r="AE1315" s="31"/>
      <c r="AF1315" s="160"/>
      <c r="AG1315" s="391"/>
      <c r="AH1315" s="394"/>
      <c r="AI1315" s="397"/>
      <c r="AJ1315" s="408"/>
      <c r="AK1315" s="360"/>
      <c r="AL1315" s="360"/>
      <c r="AM1315" s="360"/>
      <c r="AN1315" s="289">
        <f>IFERROR(Y1315*AJ1313/Y1319,)</f>
        <v>0</v>
      </c>
      <c r="AO1315" s="197" t="str">
        <f>IFERROR(VLOOKUP($G1315,нормы!$A$14:$BC$57,53,0)*$W1315,"")</f>
        <v/>
      </c>
      <c r="AP1315" s="290">
        <f>IFERROR(Y1315*AI1313/Y1319,)</f>
        <v>0</v>
      </c>
      <c r="AQ1315" s="197" t="str">
        <f>IFERROR(VLOOKUP($G1315,нормы!$A$14:$BC$57,54,0)*$W1315,"")</f>
        <v/>
      </c>
      <c r="AR1315" s="290">
        <f>IFERROR(AS1315/SUM(AS1313:AS1318)*AL1313,0)</f>
        <v>0</v>
      </c>
      <c r="AS1315" s="197" t="str">
        <f>IFERROR(VLOOKUP($G1315,нормы!$A$14:$BC$57,55,0)*W1315,"")</f>
        <v/>
      </c>
      <c r="AT1315" s="290">
        <f>IFERROR(AU1315/SUM(AU1313:AU1318)*AM1313,0)</f>
        <v>0</v>
      </c>
      <c r="AU1315" s="197" t="str">
        <f>IFERROR(VLOOKUP($G1315,нормы!$A$14:$BI$57,56,0)*W1315,"")</f>
        <v/>
      </c>
      <c r="AV1315" s="290">
        <f>IFERROR(AW1315/SUM(AW1313:AW1318)*AK1313,0)</f>
        <v>0</v>
      </c>
      <c r="AW1315" s="202" t="str">
        <f>IFERROR(VLOOKUP($G1315,нормы!$A$14:$BI$57,57,0)*W1315,"")</f>
        <v/>
      </c>
      <c r="AX1315" s="30"/>
      <c r="AY1315" s="203" t="str">
        <f>IFERROR(VLOOKUP($G1315,нормы!$A$14:$BI$57,58,0)*W1315,"")</f>
        <v/>
      </c>
      <c r="AZ1315" s="205"/>
      <c r="BA1315" s="200" t="str">
        <f>IFERROR(VLOOKUP($G1315,нормы!$A$14:$BI$57,61,0)*$W1315,"")</f>
        <v/>
      </c>
      <c r="BB1315" s="30"/>
      <c r="BC1315" s="203" t="str">
        <f>IFERROR(VLOOKUP($G1315,нормы!$A$14:$BI$57,60,0)*W1315,"")</f>
        <v/>
      </c>
      <c r="BD1315" s="200" t="str">
        <f>IFERROR(VLOOKUP($G1315,нормы!$A$14:$BG$57,44,0),"")</f>
        <v/>
      </c>
      <c r="BE1315" s="199" t="str">
        <f>IFERROR(W1315/VLOOKUP($G1315,нормы!$A$14:$BI$57,45,0),"")</f>
        <v/>
      </c>
    </row>
    <row r="1316" spans="1:57" s="1" customFormat="1" ht="20.25" customHeight="1" x14ac:dyDescent="0.4">
      <c r="A1316" s="37" t="str">
        <f t="shared" si="518"/>
        <v>22Д</v>
      </c>
      <c r="B1316" s="12">
        <f t="shared" si="519"/>
        <v>22</v>
      </c>
      <c r="C1316" s="97">
        <f t="shared" si="519"/>
        <v>0</v>
      </c>
      <c r="D1316" s="97">
        <f t="shared" si="519"/>
        <v>1</v>
      </c>
      <c r="E1316" s="54"/>
      <c r="F1316" s="151" t="str">
        <f>IFERROR(VLOOKUP($G1316,нормы!$A$14:$BC$57,2,0),"")</f>
        <v/>
      </c>
      <c r="G1316" s="93"/>
      <c r="H1316" s="54">
        <f t="shared" si="520"/>
        <v>0</v>
      </c>
      <c r="I1316" s="55"/>
      <c r="J1316" s="333"/>
      <c r="K1316" s="30">
        <f>IFERROR(VLOOKUP($G1316,[1]нормы!$A$21:$BC$151,15,0),"")</f>
        <v>0</v>
      </c>
      <c r="L1316" s="31">
        <f>IFERROR(VLOOKUP($G1316,[1]нормы!$A$21:$BC$151,17,0),"")</f>
        <v>0</v>
      </c>
      <c r="M1316" s="306">
        <f>IFERROR(VLOOKUP($G1316,[1]нормы!$A$21:$BC$151,27,0),"")</f>
        <v>0</v>
      </c>
      <c r="N1316" s="307" t="str">
        <f>IFERROR(Y1316/Y1319*(1.1*J1313*I1321),"")</f>
        <v/>
      </c>
      <c r="O1316" s="300">
        <f>IFERROR(VLOOKUP($G1316,[1]нормы!$A$21:$BC$151,21,0),"")</f>
        <v>0</v>
      </c>
      <c r="P1316" s="35">
        <f>IFERROR(VLOOKUP($G1316,[1]нормы!$A$21:$BC$151,19,0),"")</f>
        <v>0</v>
      </c>
      <c r="Q1316" s="35">
        <f>IFERROR(VLOOKUP($G1316,[1]нормы!$A$21:$BC$151,23,0),"")</f>
        <v>0</v>
      </c>
      <c r="R1316" s="231">
        <f>IFERROR(VLOOKUP($G1316,[1]нормы!$A$21:$BC$151,29,0),"")</f>
        <v>0</v>
      </c>
      <c r="S1316" s="35">
        <f>IFERROR(VLOOKUP($G1316,[1]нормы!$A$21:$BC$151,31,0),"")</f>
        <v>0</v>
      </c>
      <c r="T1316" s="32">
        <f>IFERROR(VLOOKUP($G1316,[1]нормы!$A$21:$BC$151,25,0),"")</f>
        <v>0</v>
      </c>
      <c r="U1316" s="233" t="str">
        <f>IFERROR(W1316/(((100*Y1316/Y1319)*I1318)/100),"")</f>
        <v/>
      </c>
      <c r="V1316" s="234" t="str">
        <f>IFERROR(VLOOKUP($G1316,нормы!$A$14:$BC$57,38,0),"")</f>
        <v/>
      </c>
      <c r="W1316" s="136"/>
      <c r="X1316" s="237"/>
      <c r="Y1316" s="152" t="str">
        <f>IFERROR(VLOOKUP($G1316,нормы!$A$14:$BC$57,42,0)*W1316,"")</f>
        <v/>
      </c>
      <c r="Z1316" s="163">
        <f>IFERROR(VLOOKUP($G1316,нормы!$A$14:$BC$57,14,0)*W1316/1000,0)</f>
        <v>0</v>
      </c>
      <c r="AA1316" s="30"/>
      <c r="AB1316" s="35"/>
      <c r="AC1316" s="35"/>
      <c r="AD1316" s="35"/>
      <c r="AE1316" s="31"/>
      <c r="AF1316" s="160"/>
      <c r="AG1316" s="391"/>
      <c r="AH1316" s="394"/>
      <c r="AI1316" s="397"/>
      <c r="AJ1316" s="408"/>
      <c r="AK1316" s="360"/>
      <c r="AL1316" s="360"/>
      <c r="AM1316" s="360"/>
      <c r="AN1316" s="289">
        <f>IFERROR(Y1316*AJ1313/Y1319,)</f>
        <v>0</v>
      </c>
      <c r="AO1316" s="197" t="str">
        <f>IFERROR(VLOOKUP($G1316,нормы!$A$14:$BC$57,53,0)*$W1316,"")</f>
        <v/>
      </c>
      <c r="AP1316" s="290">
        <f>IFERROR(Y1316*AI1313/Y1319,)</f>
        <v>0</v>
      </c>
      <c r="AQ1316" s="197" t="str">
        <f>IFERROR(VLOOKUP($G1316,нормы!$A$14:$BC$57,54,0)*$W1316,"")</f>
        <v/>
      </c>
      <c r="AR1316" s="290">
        <f>IFERROR(AS1316/SUM(AS1313:AS1318)*AL1313,0)</f>
        <v>0</v>
      </c>
      <c r="AS1316" s="197" t="str">
        <f>IFERROR(VLOOKUP($G1316,нормы!$A$14:$BC$57,55,0)*W1316,"")</f>
        <v/>
      </c>
      <c r="AT1316" s="290">
        <f>IFERROR(AU1316/SUM(AU1313:AU1318)*AM1313,0)</f>
        <v>0</v>
      </c>
      <c r="AU1316" s="197" t="str">
        <f>IFERROR(VLOOKUP($G1316,нормы!$A$14:$BI$57,56,0)*W1316,"")</f>
        <v/>
      </c>
      <c r="AV1316" s="290">
        <f>IFERROR(AW1316/SUM(AW1313:AW1318)*AK1313,0)</f>
        <v>0</v>
      </c>
      <c r="AW1316" s="202" t="str">
        <f>IFERROR(VLOOKUP($G1316,нормы!$A$14:$BI$57,57,0)*W1316,"")</f>
        <v/>
      </c>
      <c r="AX1316" s="30"/>
      <c r="AY1316" s="203" t="str">
        <f>IFERROR(VLOOKUP($G1316,нормы!$A$14:$BI$57,58,0)*W1316,"")</f>
        <v/>
      </c>
      <c r="AZ1316" s="205"/>
      <c r="BA1316" s="200" t="str">
        <f>IFERROR(VLOOKUP($G1316,нормы!$A$14:$BI$57,61,0)*$W1316,"")</f>
        <v/>
      </c>
      <c r="BB1316" s="30"/>
      <c r="BC1316" s="203" t="str">
        <f>IFERROR(VLOOKUP($G1316,нормы!$A$14:$BI$57,60,0)*W1316,"")</f>
        <v/>
      </c>
      <c r="BD1316" s="200" t="str">
        <f>IFERROR(VLOOKUP($G1316,нормы!$A$14:$BG$57,44,0),"")</f>
        <v/>
      </c>
      <c r="BE1316" s="199" t="str">
        <f>IFERROR(W1316/VLOOKUP($G1316,нормы!$A$14:$BI$57,45,0),"")</f>
        <v/>
      </c>
    </row>
    <row r="1317" spans="1:57" s="1" customFormat="1" ht="20.25" customHeight="1" x14ac:dyDescent="0.4">
      <c r="A1317" s="37" t="str">
        <f t="shared" si="518"/>
        <v>22Д</v>
      </c>
      <c r="B1317" s="12">
        <f t="shared" si="519"/>
        <v>22</v>
      </c>
      <c r="C1317" s="97">
        <f t="shared" si="519"/>
        <v>0</v>
      </c>
      <c r="D1317" s="97">
        <f t="shared" si="519"/>
        <v>1</v>
      </c>
      <c r="E1317" s="54"/>
      <c r="F1317" s="151" t="str">
        <f>IFERROR(VLOOKUP($G1317,нормы!$A$14:$BC$57,2,0),"")</f>
        <v/>
      </c>
      <c r="G1317" s="38"/>
      <c r="H1317" s="54">
        <f t="shared" si="520"/>
        <v>0</v>
      </c>
      <c r="I1317" s="89" t="s">
        <v>73</v>
      </c>
      <c r="J1317" s="333"/>
      <c r="K1317" s="30">
        <f>IFERROR(VLOOKUP($G1317,[1]нормы!$A$21:$BC$151,15,0),"")</f>
        <v>0</v>
      </c>
      <c r="L1317" s="31">
        <f>IFERROR(VLOOKUP($G1317,[1]нормы!$A$21:$BC$151,17,0),"")</f>
        <v>0</v>
      </c>
      <c r="M1317" s="306">
        <f>IFERROR(VLOOKUP($G1317,[1]нормы!$A$21:$BC$151,27,0),"")</f>
        <v>0</v>
      </c>
      <c r="N1317" s="307" t="str">
        <f>IFERROR(Y1317/Y1319*(1.1*J1313*I1322),"")</f>
        <v/>
      </c>
      <c r="O1317" s="300">
        <f>IFERROR(VLOOKUP($G1317,[1]нормы!$A$21:$BC$151,21,0),"")</f>
        <v>0</v>
      </c>
      <c r="P1317" s="35">
        <f>IFERROR(VLOOKUP($G1317,[1]нормы!$A$21:$BC$151,19,0),"")</f>
        <v>0</v>
      </c>
      <c r="Q1317" s="35">
        <f>IFERROR(VLOOKUP($G1317,[1]нормы!$A$21:$BC$151,23,0),"")</f>
        <v>0</v>
      </c>
      <c r="R1317" s="231">
        <f>IFERROR(VLOOKUP($G1317,[1]нормы!$A$21:$BC$151,29,0),"")</f>
        <v>0</v>
      </c>
      <c r="S1317" s="35">
        <f>IFERROR(VLOOKUP($G1317,[1]нормы!$A$21:$BC$151,31,0),"")</f>
        <v>0</v>
      </c>
      <c r="T1317" s="32">
        <f>IFERROR(VLOOKUP($G1317,[1]нормы!$A$21:$BC$151,25,0),"")</f>
        <v>0</v>
      </c>
      <c r="U1317" s="233" t="str">
        <f>IFERROR(W1317/(((100*Y1317/Y1319)*I1318)/100),"")</f>
        <v/>
      </c>
      <c r="V1317" s="234" t="str">
        <f>IFERROR(VLOOKUP($G1317,нормы!$A$14:$BC$57,38,0),"")</f>
        <v/>
      </c>
      <c r="W1317" s="136"/>
      <c r="X1317" s="237"/>
      <c r="Y1317" s="152" t="str">
        <f>IFERROR(VLOOKUP($G1317,нормы!$A$14:$BC$57,42,0)*W1317,"")</f>
        <v/>
      </c>
      <c r="Z1317" s="163">
        <f>IFERROR(VLOOKUP($G1317,нормы!$A$14:$BC$57,14,0)*W1317/1000,0)</f>
        <v>0</v>
      </c>
      <c r="AA1317" s="30"/>
      <c r="AB1317" s="35"/>
      <c r="AC1317" s="35"/>
      <c r="AD1317" s="35"/>
      <c r="AE1317" s="31"/>
      <c r="AF1317" s="160"/>
      <c r="AG1317" s="391"/>
      <c r="AH1317" s="394"/>
      <c r="AI1317" s="397"/>
      <c r="AJ1317" s="408"/>
      <c r="AK1317" s="360"/>
      <c r="AL1317" s="360"/>
      <c r="AM1317" s="360"/>
      <c r="AN1317" s="289">
        <f>IFERROR(Y1317*AJ1313/Y1319,)</f>
        <v>0</v>
      </c>
      <c r="AO1317" s="197" t="str">
        <f>IFERROR(VLOOKUP($G1317,нормы!$A$14:$BC$57,53,0)*$W1317,"")</f>
        <v/>
      </c>
      <c r="AP1317" s="290">
        <f>IFERROR(Y1317*AI1313/Y1319,)</f>
        <v>0</v>
      </c>
      <c r="AQ1317" s="197" t="str">
        <f>IFERROR(VLOOKUP($G1317,нормы!$A$14:$BC$57,54,0)*$W1317,"")</f>
        <v/>
      </c>
      <c r="AR1317" s="290">
        <f>IFERROR(AS1317/SUM(AS1313:AS1318)*AL1313,0)</f>
        <v>0</v>
      </c>
      <c r="AS1317" s="197" t="str">
        <f>IFERROR(VLOOKUP($G1317,нормы!$A$14:$BC$57,55,0)*W1317,"")</f>
        <v/>
      </c>
      <c r="AT1317" s="290">
        <f>IFERROR(AU1317/SUM(AU1313:AU1318)*AM1313,0)</f>
        <v>0</v>
      </c>
      <c r="AU1317" s="197" t="str">
        <f>IFERROR(VLOOKUP($G1317,нормы!$A$14:$BI$57,56,0)*W1317,"")</f>
        <v/>
      </c>
      <c r="AV1317" s="290">
        <f>IFERROR(AW1317/SUM(AW1313:AW1318)*AK1313,0)</f>
        <v>0</v>
      </c>
      <c r="AW1317" s="202" t="str">
        <f>IFERROR(VLOOKUP($G1317,нормы!$A$14:$BI$57,57,0)*W1317,"")</f>
        <v/>
      </c>
      <c r="AX1317" s="30"/>
      <c r="AY1317" s="203" t="str">
        <f>IFERROR(VLOOKUP($G1317,нормы!$A$14:$BI$57,58,0)*W1317,"")</f>
        <v/>
      </c>
      <c r="AZ1317" s="205"/>
      <c r="BA1317" s="200" t="str">
        <f>IFERROR(VLOOKUP($G1317,нормы!$A$14:$BI$57,61,0)*$W1317,"")</f>
        <v/>
      </c>
      <c r="BB1317" s="30"/>
      <c r="BC1317" s="203" t="str">
        <f>IFERROR(VLOOKUP($G1317,нормы!$A$14:$BI$57,60,0)*W1317,"")</f>
        <v/>
      </c>
      <c r="BD1317" s="200" t="str">
        <f>IFERROR(VLOOKUP($G1317,нормы!$A$14:$BG$57,44,0),"")</f>
        <v/>
      </c>
      <c r="BE1317" s="199" t="str">
        <f>IFERROR(W1317/VLOOKUP($G1317,нормы!$A$14:$BI$57,45,0),"")</f>
        <v/>
      </c>
    </row>
    <row r="1318" spans="1:57" s="1" customFormat="1" ht="21" customHeight="1" thickBot="1" x14ac:dyDescent="0.45">
      <c r="A1318" s="37" t="str">
        <f t="shared" si="518"/>
        <v>22Д</v>
      </c>
      <c r="B1318" s="12">
        <f t="shared" si="519"/>
        <v>22</v>
      </c>
      <c r="C1318" s="97">
        <f t="shared" si="519"/>
        <v>0</v>
      </c>
      <c r="D1318" s="97">
        <f t="shared" si="519"/>
        <v>1</v>
      </c>
      <c r="E1318" s="54"/>
      <c r="F1318" s="151" t="str">
        <f>IFERROR(VLOOKUP($G1318,нормы!$A$14:$BC$57,2,0),"")</f>
        <v/>
      </c>
      <c r="G1318" s="93"/>
      <c r="H1318" s="63">
        <f t="shared" si="520"/>
        <v>0</v>
      </c>
      <c r="I1318" s="153">
        <f>I1314+I1316</f>
        <v>0</v>
      </c>
      <c r="J1318" s="334"/>
      <c r="K1318" s="30">
        <f>IFERROR(VLOOKUP($G1318,[1]нормы!$A$21:$BC$151,15,0),"")</f>
        <v>0</v>
      </c>
      <c r="L1318" s="31">
        <f>IFERROR(VLOOKUP($G1318,[1]нормы!$A$21:$BC$151,17,0),"")</f>
        <v>0</v>
      </c>
      <c r="M1318" s="308">
        <f>IFERROR(VLOOKUP($G1318,[1]нормы!$A$21:$BC$151,27,0),"")</f>
        <v>0</v>
      </c>
      <c r="N1318" s="309" t="str">
        <f>IFERROR(Y1318/Y1319*(1.1*J1313*I1323),"")</f>
        <v/>
      </c>
      <c r="O1318" s="300">
        <f>IFERROR(VLOOKUP($G1318,[1]нормы!$A$21:$BC$151,21,0),"")</f>
        <v>0</v>
      </c>
      <c r="P1318" s="35">
        <f>IFERROR(VLOOKUP($G1318,[1]нормы!$A$21:$BC$151,19,0),"")</f>
        <v>0</v>
      </c>
      <c r="Q1318" s="35">
        <f>IFERROR(VLOOKUP($G1318,[1]нормы!$A$21:$BC$151,23,0),"")</f>
        <v>0</v>
      </c>
      <c r="R1318" s="231">
        <f>IFERROR(VLOOKUP($G1318,[1]нормы!$A$21:$BC$151,29,0),"")</f>
        <v>0</v>
      </c>
      <c r="S1318" s="35">
        <f>IFERROR(VLOOKUP($G1318,[1]нормы!$A$21:$BC$151,31,0),"")</f>
        <v>0</v>
      </c>
      <c r="T1318" s="32">
        <f>IFERROR(VLOOKUP($G1318,[1]нормы!$A$21:$BC$151,25,0),"")</f>
        <v>0</v>
      </c>
      <c r="U1318" s="235" t="str">
        <f>IFERROR(W1318/(((100*Y1318/Y1319)*I1318)/100),"")</f>
        <v/>
      </c>
      <c r="V1318" s="234" t="str">
        <f>IFERROR(VLOOKUP($G1318,нормы!$A$14:$BC$57,38,0),"")</f>
        <v/>
      </c>
      <c r="W1318" s="154"/>
      <c r="X1318" s="238"/>
      <c r="Y1318" s="152" t="str">
        <f>IFERROR(VLOOKUP($G1318,нормы!$A$14:$BC$57,42,0)*W1318,"")</f>
        <v/>
      </c>
      <c r="Z1318" s="163">
        <f>IFERROR(VLOOKUP($G1318,нормы!$A$14:$BC$57,14,0)*W1318/1000,0)</f>
        <v>0</v>
      </c>
      <c r="AA1318" s="56"/>
      <c r="AB1318" s="58"/>
      <c r="AC1318" s="58"/>
      <c r="AD1318" s="58"/>
      <c r="AE1318" s="57"/>
      <c r="AF1318" s="161"/>
      <c r="AG1318" s="392"/>
      <c r="AH1318" s="395"/>
      <c r="AI1318" s="398"/>
      <c r="AJ1318" s="409"/>
      <c r="AK1318" s="361"/>
      <c r="AL1318" s="361"/>
      <c r="AM1318" s="361"/>
      <c r="AN1318" s="291">
        <f>IFERROR(Y1318*AJ1313/Y1319,)</f>
        <v>0</v>
      </c>
      <c r="AO1318" s="197" t="str">
        <f>IFERROR(VLOOKUP($G1318,нормы!$A$14:$BC$57,53,0)*$W1318,"")</f>
        <v/>
      </c>
      <c r="AP1318" s="292">
        <f>IFERROR(Y1318*AI1313/Y1319,)</f>
        <v>0</v>
      </c>
      <c r="AQ1318" s="197" t="str">
        <f>IFERROR(VLOOKUP($G1318,нормы!$A$14:$BC$57,54,0)*$W1318,"")</f>
        <v/>
      </c>
      <c r="AR1318" s="290">
        <f>IFERROR(AS1318/SUM(AS1313:AS1318)*AL1313,0)</f>
        <v>0</v>
      </c>
      <c r="AS1318" s="197" t="str">
        <f>IFERROR(VLOOKUP($G1318,нормы!$A$14:$BC$57,55,0)*W1318,"")</f>
        <v/>
      </c>
      <c r="AT1318" s="292">
        <f>IFERROR(AU1318/SUM(AU1313:AU1318)*AM1313,0)</f>
        <v>0</v>
      </c>
      <c r="AU1318" s="197" t="str">
        <f>IFERROR(VLOOKUP($G1318,нормы!$A$14:$BI$57,56,0)*W1318,"")</f>
        <v/>
      </c>
      <c r="AV1318" s="292">
        <f>IFERROR(AW1318/SUM(AW1313:AW1318)*AK1313,0)</f>
        <v>0</v>
      </c>
      <c r="AW1318" s="202" t="str">
        <f>IFERROR(VLOOKUP($G1318,нормы!$A$14:$BI$57,57,0)*W1318,"")</f>
        <v/>
      </c>
      <c r="AX1318" s="56"/>
      <c r="AY1318" s="203" t="str">
        <f>IFERROR(VLOOKUP($G1318,нормы!$A$14:$BI$57,58,0)*W1318,"")</f>
        <v/>
      </c>
      <c r="AZ1318" s="206"/>
      <c r="BA1318" s="200" t="str">
        <f>IFERROR(VLOOKUP($G1318,нормы!$A$14:$BI$57,61,0)*$W1318,"")</f>
        <v/>
      </c>
      <c r="BB1318" s="56"/>
      <c r="BC1318" s="203" t="str">
        <f>IFERROR(VLOOKUP($G1318,нормы!$A$14:$BI$57,60,0)*W1318,"")</f>
        <v/>
      </c>
      <c r="BD1318" s="200" t="str">
        <f>IFERROR(VLOOKUP($G1318,нормы!$A$14:$BG$57,44,0),"")</f>
        <v/>
      </c>
      <c r="BE1318" s="199" t="str">
        <f>IFERROR(W1318/VLOOKUP($G1318,нормы!$A$14:$BI$57,45,0),"")</f>
        <v/>
      </c>
    </row>
    <row r="1319" spans="1:57" s="1" customFormat="1" ht="29.4" customHeight="1" thickBot="1" x14ac:dyDescent="0.45">
      <c r="A1319" s="37" t="str">
        <f t="shared" si="518"/>
        <v>22Д</v>
      </c>
      <c r="B1319" s="59"/>
      <c r="C1319" s="51"/>
      <c r="D1319" s="51"/>
      <c r="E1319" s="51"/>
      <c r="F1319" s="295" t="s">
        <v>148</v>
      </c>
      <c r="G1319" s="51"/>
      <c r="H1319" s="51"/>
      <c r="I1319" s="60"/>
      <c r="J1319" s="60"/>
      <c r="K1319" s="319" t="s">
        <v>213</v>
      </c>
      <c r="L1319" s="316"/>
      <c r="M1319" s="303" t="s">
        <v>213</v>
      </c>
      <c r="N1319" s="317">
        <f>SUM(N1313:N1318)</f>
        <v>0</v>
      </c>
      <c r="O1319" s="304" t="s">
        <v>216</v>
      </c>
      <c r="P1319" s="318">
        <f>N1319*8.937/1000</f>
        <v>0</v>
      </c>
      <c r="Q1319" s="305" t="s">
        <v>215</v>
      </c>
      <c r="R1319" s="61"/>
      <c r="S1319" s="61"/>
      <c r="T1319" s="61"/>
      <c r="U1319" s="109"/>
      <c r="V1319" s="109"/>
      <c r="W1319" s="94"/>
      <c r="X1319" s="155"/>
      <c r="Y1319" s="96">
        <f>SUM(Y1313:Y1318)</f>
        <v>0</v>
      </c>
      <c r="Z1319" s="164">
        <f>SUM(Z1313:Z1318)</f>
        <v>0</v>
      </c>
      <c r="AA1319" s="62"/>
      <c r="AB1319" s="62"/>
      <c r="AC1319" s="62"/>
      <c r="AD1319" s="62"/>
      <c r="AE1319" s="62"/>
      <c r="AF1319" s="62"/>
      <c r="AG1319" s="162" t="s">
        <v>140</v>
      </c>
      <c r="AH1319" s="162" t="s">
        <v>141</v>
      </c>
      <c r="AI1319" s="162" t="s">
        <v>142</v>
      </c>
      <c r="AJ1319" s="91" t="s">
        <v>126</v>
      </c>
      <c r="AK1319" s="198" t="s">
        <v>136</v>
      </c>
      <c r="AL1319" s="198" t="s">
        <v>137</v>
      </c>
      <c r="AM1319" s="198" t="s">
        <v>138</v>
      </c>
      <c r="AN1319" s="91"/>
      <c r="AO1319" s="91"/>
      <c r="AP1319" s="91"/>
      <c r="AQ1319" s="91"/>
      <c r="AR1319" s="91"/>
      <c r="AS1319" s="91"/>
      <c r="AT1319" s="91"/>
      <c r="AU1319" s="91"/>
      <c r="AV1319" s="91"/>
      <c r="AW1319" s="91"/>
      <c r="AX1319" s="91"/>
      <c r="AY1319" s="91"/>
      <c r="AZ1319" s="91"/>
      <c r="BA1319" s="91"/>
      <c r="BB1319" s="91"/>
      <c r="BC1319" s="91"/>
      <c r="BD1319" s="91"/>
      <c r="BE1319" s="53" t="str">
        <f>IFERROR(W1319/VLOOKUP($G1319,нормы!$A$14:$BI$15,28,0),"")</f>
        <v/>
      </c>
    </row>
    <row r="1320" spans="1:57" s="1" customFormat="1" ht="21.6" customHeight="1" x14ac:dyDescent="0.4">
      <c r="A1320" s="37" t="str">
        <f t="shared" si="518"/>
        <v>22Д</v>
      </c>
      <c r="B1320" s="12">
        <f>B1318</f>
        <v>22</v>
      </c>
      <c r="C1320" s="97"/>
      <c r="D1320" s="97">
        <v>2</v>
      </c>
      <c r="E1320" s="29"/>
      <c r="F1320" s="151" t="str">
        <f>IFERROR(VLOOKUP($G1320,нормы!$A$14:$BC$57,2,0),"")</f>
        <v/>
      </c>
      <c r="G1320" s="93"/>
      <c r="H1320" s="54">
        <f>IF(C1320=1,"Кульков С.А.", IF(C1320=2,"Чудаков А.А.",IF(C1320=3,"Королев В.Н.",IF(C1320=4,"Николашин М.П.",IF(C1320=5," Кульков С.А.",IF(C1320=6,"А.А. Чудаков",IF(C1320=7,"В.Н. Королев",IF(C1320=8,"М.П. Николашин",0))))))))</f>
        <v>0</v>
      </c>
      <c r="I1320" s="88" t="s">
        <v>211</v>
      </c>
      <c r="J1320" s="332"/>
      <c r="K1320" s="30">
        <f>IFERROR(VLOOKUP($G1320,[1]нормы!$A$21:$BC$151,15,0),"")</f>
        <v>0</v>
      </c>
      <c r="L1320" s="31">
        <f>IFERROR(VLOOKUP($G1320,[1]нормы!$A$21:$BC$151,17,0),"")</f>
        <v>0</v>
      </c>
      <c r="M1320" s="310">
        <f>IFERROR(VLOOKUP($G1320,[1]нормы!$A$21:$BC$151,27,0),"")</f>
        <v>0</v>
      </c>
      <c r="N1320" s="311" t="str">
        <f>IFERROR(Y1320/Y1326*(1.1*J1320*I1325),"")</f>
        <v/>
      </c>
      <c r="O1320" s="300">
        <f>IFERROR(VLOOKUP($G1320,[1]нормы!$A$21:$BC$151,21,0),"")</f>
        <v>0</v>
      </c>
      <c r="P1320" s="35">
        <f>IFERROR(VLOOKUP($G1320,[1]нормы!$A$21:$BC$151,19,0),"")</f>
        <v>0</v>
      </c>
      <c r="Q1320" s="35">
        <f>IFERROR(VLOOKUP($G1320,[1]нормы!$A$21:$BC$151,23,0),"")</f>
        <v>0</v>
      </c>
      <c r="R1320" s="231">
        <f>IFERROR(VLOOKUP($G1320,[1]нормы!$A$21:$BC$151,29,0),"")</f>
        <v>0</v>
      </c>
      <c r="S1320" s="35">
        <f>IFERROR(VLOOKUP($G1320,[1]нормы!$A$21:$BC$151,31,0),"")</f>
        <v>0</v>
      </c>
      <c r="T1320" s="32">
        <f>IFERROR(VLOOKUP($G1320,[1]нормы!$A$21:$BC$151,25,0),"")</f>
        <v>0</v>
      </c>
      <c r="U1320" s="232" t="str">
        <f>IFERROR(W1320/(((100*Y1320/Y1326)*I1325)/100),"")</f>
        <v/>
      </c>
      <c r="V1320" s="234" t="str">
        <f>IFERROR(VLOOKUP($G1320,нормы!$A$14:$BC$57,38,0),"")</f>
        <v/>
      </c>
      <c r="W1320" s="136"/>
      <c r="X1320" s="236"/>
      <c r="Y1320" s="152" t="str">
        <f>IFERROR(VLOOKUP($G1320,нормы!$A$14:$BC$57,42,0)*W1320,"")</f>
        <v/>
      </c>
      <c r="Z1320" s="163">
        <f>IFERROR(VLOOKUP($G1320,нормы!$A$14:$BC$57,14,0)*W1320/1000,0)</f>
        <v>0</v>
      </c>
      <c r="AA1320" s="33"/>
      <c r="AB1320" s="36"/>
      <c r="AC1320" s="36"/>
      <c r="AD1320" s="36"/>
      <c r="AE1320" s="34"/>
      <c r="AF1320" s="159"/>
      <c r="AG1320" s="390"/>
      <c r="AH1320" s="393"/>
      <c r="AI1320" s="396"/>
      <c r="AJ1320" s="407">
        <f>AG1320+AH1320</f>
        <v>0</v>
      </c>
      <c r="AK1320" s="359"/>
      <c r="AL1320" s="359"/>
      <c r="AM1320" s="359"/>
      <c r="AN1320" s="287">
        <f>IFERROR(Y1320*AJ1320/Y1326,)</f>
        <v>0</v>
      </c>
      <c r="AO1320" s="197" t="str">
        <f>IFERROR(VLOOKUP($G1320,нормы!$A$14:$BC$57,53,0)*$W1320,"")</f>
        <v/>
      </c>
      <c r="AP1320" s="288">
        <f>IFERROR(Y1320*AI1320/Y1326,)</f>
        <v>0</v>
      </c>
      <c r="AQ1320" s="197" t="str">
        <f>IFERROR(VLOOKUP($G1320,нормы!$A$14:$BC$57,54,0)*$W1320,"")</f>
        <v/>
      </c>
      <c r="AR1320" s="288">
        <f>IFERROR(AS1320/SUM(AS1320:AS1325)*AL1320,0)</f>
        <v>0</v>
      </c>
      <c r="AS1320" s="197" t="str">
        <f>IFERROR(VLOOKUP($G1320,нормы!$A$14:$BC$57,55,0)*W1320,"")</f>
        <v/>
      </c>
      <c r="AT1320" s="288">
        <f>IFERROR(AU1320/SUM(AU1320:AU1325)*AM1320,0)</f>
        <v>0</v>
      </c>
      <c r="AU1320" s="197" t="str">
        <f>IFERROR(VLOOKUP($G1320,нормы!$A$14:$BI$57,56,0)*W1320,"")</f>
        <v/>
      </c>
      <c r="AV1320" s="288">
        <f>IFERROR(AW1320/SUM(AW1320:AW1325)*AK1320,0)</f>
        <v>0</v>
      </c>
      <c r="AW1320" s="202" t="str">
        <f>IFERROR(VLOOKUP($G1320,нормы!$A$14:$BI$57,57,0)*W1320,"")</f>
        <v/>
      </c>
      <c r="AX1320" s="33"/>
      <c r="AY1320" s="203" t="str">
        <f>IFERROR(VLOOKUP($G1320,нормы!$A$14:$BI$57,58,0)*W1320,"")</f>
        <v/>
      </c>
      <c r="AZ1320" s="204"/>
      <c r="BA1320" s="200" t="str">
        <f>IFERROR(VLOOKUP($G1320,нормы!$A$14:$BI$57,61,0)*$W1320,"")</f>
        <v/>
      </c>
      <c r="BB1320" s="33"/>
      <c r="BC1320" s="203" t="str">
        <f>IFERROR(VLOOKUP($G1320,нормы!$A$14:$BI$57,60,0)*W1320,"")</f>
        <v/>
      </c>
      <c r="BD1320" s="200" t="str">
        <f>IFERROR(VLOOKUP($G1320,нормы!$A$14:$BG$57,44,0),"")</f>
        <v/>
      </c>
      <c r="BE1320" s="199" t="str">
        <f>IFERROR(W1320/VLOOKUP($G1320,нормы!$A$14:$BI$57,45,0),"")</f>
        <v/>
      </c>
    </row>
    <row r="1321" spans="1:57" s="1" customFormat="1" ht="21.6" customHeight="1" x14ac:dyDescent="0.4">
      <c r="A1321" s="37" t="str">
        <f t="shared" si="518"/>
        <v>22Д</v>
      </c>
      <c r="B1321" s="12">
        <f t="shared" ref="B1321:D1325" si="521">B1320</f>
        <v>22</v>
      </c>
      <c r="C1321" s="97">
        <f t="shared" si="521"/>
        <v>0</v>
      </c>
      <c r="D1321" s="97">
        <f t="shared" si="521"/>
        <v>2</v>
      </c>
      <c r="E1321" s="54"/>
      <c r="F1321" s="151" t="str">
        <f>IFERROR(VLOOKUP($G1321,нормы!$A$14:$BC$57,2,0),"")</f>
        <v/>
      </c>
      <c r="G1321" s="93"/>
      <c r="H1321" s="54">
        <f t="shared" ref="H1321:H1325" si="522">IF(C1321=1,"Кульков С.А.", IF(C1321=2,"Чудаков А.А.",IF(C1321=3,"Королев В.Н.",IF(C1321=4,"Николашин М.П.",IF(C1321=5," Кульков С.А.",IF(C1321=6,"А.А. Чудаков",IF(C1321=7,"В.Н. Королев",IF(C1321=8,"М.П. Николашин",0))))))))</f>
        <v>0</v>
      </c>
      <c r="I1321" s="55"/>
      <c r="J1321" s="333"/>
      <c r="K1321" s="30">
        <f>IFERROR(VLOOKUP($G1321,[1]нормы!$A$21:$BC$151,15,0),"")</f>
        <v>0</v>
      </c>
      <c r="L1321" s="31">
        <f>IFERROR(VLOOKUP($G1321,[1]нормы!$A$21:$BC$151,17,0),"")</f>
        <v>0</v>
      </c>
      <c r="M1321" s="306">
        <f>IFERROR(VLOOKUP($G1321,[1]нормы!$A$21:$BC$151,27,0),"")</f>
        <v>0</v>
      </c>
      <c r="N1321" s="307" t="str">
        <f>IFERROR(Y1321/Y1326*(1.1*J1320*I1325),"")</f>
        <v/>
      </c>
      <c r="O1321" s="300">
        <f>IFERROR(VLOOKUP($G1321,[1]нормы!$A$21:$BC$151,21,0),"")</f>
        <v>0</v>
      </c>
      <c r="P1321" s="35">
        <f>IFERROR(VLOOKUP($G1321,[1]нормы!$A$21:$BC$151,19,0),"")</f>
        <v>0</v>
      </c>
      <c r="Q1321" s="35">
        <f>IFERROR(VLOOKUP($G1321,[1]нормы!$A$21:$BC$151,23,0),"")</f>
        <v>0</v>
      </c>
      <c r="R1321" s="231">
        <f>IFERROR(VLOOKUP($G1321,[1]нормы!$A$21:$BC$151,29,0),"")</f>
        <v>0</v>
      </c>
      <c r="S1321" s="35">
        <f>IFERROR(VLOOKUP($G1321,[1]нормы!$A$21:$BC$151,31,0),"")</f>
        <v>0</v>
      </c>
      <c r="T1321" s="32">
        <f>IFERROR(VLOOKUP($G1321,[1]нормы!$A$21:$BC$151,25,0),"")</f>
        <v>0</v>
      </c>
      <c r="U1321" s="233" t="str">
        <f>IFERROR(W1321/(((100*Y1321/Y1326)*I1325)/100),"")</f>
        <v/>
      </c>
      <c r="V1321" s="234" t="str">
        <f>IFERROR(VLOOKUP($G1321,нормы!$A$14:$BC$57,38,0),"")</f>
        <v/>
      </c>
      <c r="W1321" s="136"/>
      <c r="X1321" s="237"/>
      <c r="Y1321" s="152" t="str">
        <f>IFERROR(VLOOKUP($G1321,нормы!$A$14:$BC$57,42,0)*W1321,"")</f>
        <v/>
      </c>
      <c r="Z1321" s="163">
        <f>IFERROR(VLOOKUP($G1321,нормы!$A$14:$BC$57,14,0)*W1321/1000,0)</f>
        <v>0</v>
      </c>
      <c r="AA1321" s="142"/>
      <c r="AB1321" s="35"/>
      <c r="AC1321" s="35"/>
      <c r="AD1321" s="35"/>
      <c r="AE1321" s="31"/>
      <c r="AF1321" s="160"/>
      <c r="AG1321" s="391"/>
      <c r="AH1321" s="394"/>
      <c r="AI1321" s="397"/>
      <c r="AJ1321" s="408"/>
      <c r="AK1321" s="360"/>
      <c r="AL1321" s="360"/>
      <c r="AM1321" s="360"/>
      <c r="AN1321" s="289">
        <f>IFERROR(Y1321*AJ1320/Y1326,)</f>
        <v>0</v>
      </c>
      <c r="AO1321" s="197" t="str">
        <f>IFERROR(VLOOKUP($G1321,нормы!$A$14:$BC$57,53,0)*$W1321,"")</f>
        <v/>
      </c>
      <c r="AP1321" s="290">
        <f>IFERROR(Y1321*AI1320/Y1326,)</f>
        <v>0</v>
      </c>
      <c r="AQ1321" s="197" t="str">
        <f>IFERROR(VLOOKUP($G1321,нормы!$A$14:$BC$57,54,0)*$W1321,"")</f>
        <v/>
      </c>
      <c r="AR1321" s="290">
        <f>IFERROR(AS1321/SUM(AS1320:AS1325)*AL1320,0)</f>
        <v>0</v>
      </c>
      <c r="AS1321" s="197" t="str">
        <f>IFERROR(VLOOKUP($G1321,нормы!$A$14:$BC$57,55,0)*W1321,"")</f>
        <v/>
      </c>
      <c r="AT1321" s="290">
        <f>IFERROR(AU1321/SUM(AU1320:AU1325)*AM1320,0)</f>
        <v>0</v>
      </c>
      <c r="AU1321" s="197" t="str">
        <f>IFERROR(VLOOKUP($G1321,нормы!$A$14:$BI$57,56,0)*W1321,"")</f>
        <v/>
      </c>
      <c r="AV1321" s="290">
        <f>IFERROR(AW1321/SUM(AW1320:AW1325)*AK1320,0)</f>
        <v>0</v>
      </c>
      <c r="AW1321" s="202" t="str">
        <f>IFERROR(VLOOKUP($G1321,нормы!$A$14:$BI$57,57,0)*W1321,"")</f>
        <v/>
      </c>
      <c r="AX1321" s="30"/>
      <c r="AY1321" s="203" t="str">
        <f>IFERROR(VLOOKUP($G1321,нормы!$A$14:$BI$57,58,0)*W1321,"")</f>
        <v/>
      </c>
      <c r="AZ1321" s="205"/>
      <c r="BA1321" s="200" t="str">
        <f>IFERROR(VLOOKUP($G1321,нормы!$A$14:$BI$57,61,0)*$W1321,"")</f>
        <v/>
      </c>
      <c r="BB1321" s="30"/>
      <c r="BC1321" s="203" t="str">
        <f>IFERROR(VLOOKUP($G1321,нормы!$A$14:$BI$57,60,0)*W1321,"")</f>
        <v/>
      </c>
      <c r="BD1321" s="200" t="str">
        <f>IFERROR(VLOOKUP($G1321,нормы!$A$14:$BG$57,44,0),"")</f>
        <v/>
      </c>
      <c r="BE1321" s="199" t="str">
        <f>IFERROR(W1321/VLOOKUP($G1321,нормы!$A$14:$BI$57,45,0),"")</f>
        <v/>
      </c>
    </row>
    <row r="1322" spans="1:57" s="1" customFormat="1" ht="20.25" customHeight="1" x14ac:dyDescent="0.4">
      <c r="A1322" s="37" t="str">
        <f t="shared" si="518"/>
        <v>22Д</v>
      </c>
      <c r="B1322" s="12">
        <f t="shared" si="521"/>
        <v>22</v>
      </c>
      <c r="C1322" s="97">
        <f t="shared" si="521"/>
        <v>0</v>
      </c>
      <c r="D1322" s="97">
        <f t="shared" si="521"/>
        <v>2</v>
      </c>
      <c r="E1322" s="54"/>
      <c r="F1322" s="151" t="str">
        <f>IFERROR(VLOOKUP($G1322,нормы!$A$14:$BC$57,2,0),"")</f>
        <v/>
      </c>
      <c r="G1322" s="38"/>
      <c r="H1322" s="54">
        <f t="shared" si="522"/>
        <v>0</v>
      </c>
      <c r="I1322" s="89" t="s">
        <v>212</v>
      </c>
      <c r="J1322" s="333"/>
      <c r="K1322" s="30">
        <f>IFERROR(VLOOKUP($G1322,[1]нормы!$A$21:$BC$151,15,0),"")</f>
        <v>0</v>
      </c>
      <c r="L1322" s="31">
        <f>IFERROR(VLOOKUP($G1322,[1]нормы!$A$21:$BC$151,17,0),"")</f>
        <v>0</v>
      </c>
      <c r="M1322" s="306">
        <f>IFERROR(VLOOKUP($G1322,[1]нормы!$A$21:$BC$151,27,0),"")</f>
        <v>0</v>
      </c>
      <c r="N1322" s="307" t="str">
        <f>IFERROR(Y1322/Y1326*(1.1*J1320*I1325),"")</f>
        <v/>
      </c>
      <c r="O1322" s="300">
        <f>IFERROR(VLOOKUP($G1322,[1]нормы!$A$21:$BC$151,21,0),"")</f>
        <v>0</v>
      </c>
      <c r="P1322" s="35">
        <f>IFERROR(VLOOKUP($G1322,[1]нормы!$A$21:$BC$151,19,0),"")</f>
        <v>0</v>
      </c>
      <c r="Q1322" s="35">
        <f>IFERROR(VLOOKUP($G1322,[1]нормы!$A$21:$BC$151,23,0),"")</f>
        <v>0</v>
      </c>
      <c r="R1322" s="231">
        <f>IFERROR(VLOOKUP($G1322,[1]нормы!$A$21:$BC$151,29,0),"")</f>
        <v>0</v>
      </c>
      <c r="S1322" s="35">
        <f>IFERROR(VLOOKUP($G1322,[1]нормы!$A$21:$BC$151,31,0),"")</f>
        <v>0</v>
      </c>
      <c r="T1322" s="32">
        <f>IFERROR(VLOOKUP($G1322,[1]нормы!$A$21:$BC$151,25,0),"")</f>
        <v>0</v>
      </c>
      <c r="U1322" s="233" t="str">
        <f>IFERROR(W1322/(((100*Y1322/Y1326)*I1325)/100),"")</f>
        <v/>
      </c>
      <c r="V1322" s="234" t="str">
        <f>IFERROR(VLOOKUP($G1322,нормы!$A$14:$BC$57,38,0),"")</f>
        <v/>
      </c>
      <c r="W1322" s="136"/>
      <c r="X1322" s="237"/>
      <c r="Y1322" s="152" t="str">
        <f>IFERROR(VLOOKUP($G1322,нормы!$A$14:$BC$57,42,0)*W1322,"")</f>
        <v/>
      </c>
      <c r="Z1322" s="163">
        <f>IFERROR(VLOOKUP($G1322,нормы!$A$14:$BC$57,14,0)*W1322/1000,0)</f>
        <v>0</v>
      </c>
      <c r="AA1322" s="30"/>
      <c r="AB1322" s="35"/>
      <c r="AC1322" s="35"/>
      <c r="AD1322" s="35"/>
      <c r="AE1322" s="31"/>
      <c r="AF1322" s="160"/>
      <c r="AG1322" s="391"/>
      <c r="AH1322" s="394"/>
      <c r="AI1322" s="397"/>
      <c r="AJ1322" s="408"/>
      <c r="AK1322" s="360"/>
      <c r="AL1322" s="360"/>
      <c r="AM1322" s="360"/>
      <c r="AN1322" s="289">
        <f>IFERROR(Y1322*AJ1320/Y1326,)</f>
        <v>0</v>
      </c>
      <c r="AO1322" s="197" t="str">
        <f>IFERROR(VLOOKUP($G1322,нормы!$A$14:$BC$57,53,0)*$W1322,"")</f>
        <v/>
      </c>
      <c r="AP1322" s="290">
        <f>IFERROR(Y1322*AI1320/Y1326,)</f>
        <v>0</v>
      </c>
      <c r="AQ1322" s="197" t="str">
        <f>IFERROR(VLOOKUP($G1322,нормы!$A$14:$BC$57,54,0)*$W1322,"")</f>
        <v/>
      </c>
      <c r="AR1322" s="290">
        <f>IFERROR(AS1322/SUM(AS1320:AS1325)*AL1320,0)</f>
        <v>0</v>
      </c>
      <c r="AS1322" s="197" t="str">
        <f>IFERROR(VLOOKUP($G1322,нормы!$A$14:$BC$57,55,0)*W1322,"")</f>
        <v/>
      </c>
      <c r="AT1322" s="290">
        <f>IFERROR(AU1322/SUM(AU1320:AU1325)*AM1320,0)</f>
        <v>0</v>
      </c>
      <c r="AU1322" s="197" t="str">
        <f>IFERROR(VLOOKUP($G1322,нормы!$A$14:$BI$57,56,0)*W1322,"")</f>
        <v/>
      </c>
      <c r="AV1322" s="290">
        <f>IFERROR(AW1322/SUM(AW1320:AW1325)*AK1320,0)</f>
        <v>0</v>
      </c>
      <c r="AW1322" s="202" t="str">
        <f>IFERROR(VLOOKUP($G1322,нормы!$A$14:$BI$57,57,0)*W1322,"")</f>
        <v/>
      </c>
      <c r="AX1322" s="30"/>
      <c r="AY1322" s="203" t="str">
        <f>IFERROR(VLOOKUP($G1322,нормы!$A$14:$BI$57,58,0)*W1322,"")</f>
        <v/>
      </c>
      <c r="AZ1322" s="205"/>
      <c r="BA1322" s="200" t="str">
        <f>IFERROR(VLOOKUP($G1322,нормы!$A$14:$BI$57,61,0)*$W1322,"")</f>
        <v/>
      </c>
      <c r="BB1322" s="30"/>
      <c r="BC1322" s="203" t="str">
        <f>IFERROR(VLOOKUP($G1322,нормы!$A$14:$BI$57,60,0)*W1322,"")</f>
        <v/>
      </c>
      <c r="BD1322" s="200" t="str">
        <f>IFERROR(VLOOKUP($G1322,нормы!$A$14:$BG$57,44,0),"")</f>
        <v/>
      </c>
      <c r="BE1322" s="199" t="str">
        <f>IFERROR(W1322/VLOOKUP($G1322,нормы!$A$14:$BI$57,45,0),"")</f>
        <v/>
      </c>
    </row>
    <row r="1323" spans="1:57" s="1" customFormat="1" ht="20.25" customHeight="1" x14ac:dyDescent="0.4">
      <c r="A1323" s="37" t="str">
        <f t="shared" si="518"/>
        <v>22Д</v>
      </c>
      <c r="B1323" s="12">
        <f t="shared" si="521"/>
        <v>22</v>
      </c>
      <c r="C1323" s="97">
        <f t="shared" si="521"/>
        <v>0</v>
      </c>
      <c r="D1323" s="97">
        <f t="shared" si="521"/>
        <v>2</v>
      </c>
      <c r="E1323" s="54"/>
      <c r="F1323" s="151" t="str">
        <f>IFERROR(VLOOKUP($G1323,нормы!$A$14:$BC$57,2,0),"")</f>
        <v/>
      </c>
      <c r="G1323" s="93"/>
      <c r="H1323" s="54">
        <f t="shared" si="522"/>
        <v>0</v>
      </c>
      <c r="I1323" s="55"/>
      <c r="J1323" s="333"/>
      <c r="K1323" s="30">
        <f>IFERROR(VLOOKUP($G1323,[1]нормы!$A$21:$BC$151,15,0),"")</f>
        <v>0</v>
      </c>
      <c r="L1323" s="31">
        <f>IFERROR(VLOOKUP($G1323,[1]нормы!$A$21:$BC$151,17,0),"")</f>
        <v>0</v>
      </c>
      <c r="M1323" s="306">
        <f>IFERROR(VLOOKUP($G1323,[1]нормы!$A$21:$BC$151,27,0),"")</f>
        <v>0</v>
      </c>
      <c r="N1323" s="307" t="str">
        <f>IFERROR(Y1323/Y1326*(1.1*J1320*I1328),"")</f>
        <v/>
      </c>
      <c r="O1323" s="300">
        <f>IFERROR(VLOOKUP($G1323,[1]нормы!$A$21:$BC$151,21,0),"")</f>
        <v>0</v>
      </c>
      <c r="P1323" s="35">
        <f>IFERROR(VLOOKUP($G1323,[1]нормы!$A$21:$BC$151,19,0),"")</f>
        <v>0</v>
      </c>
      <c r="Q1323" s="35">
        <f>IFERROR(VLOOKUP($G1323,[1]нормы!$A$21:$BC$151,23,0),"")</f>
        <v>0</v>
      </c>
      <c r="R1323" s="231">
        <f>IFERROR(VLOOKUP($G1323,[1]нормы!$A$21:$BC$151,29,0),"")</f>
        <v>0</v>
      </c>
      <c r="S1323" s="35">
        <f>IFERROR(VLOOKUP($G1323,[1]нормы!$A$21:$BC$151,31,0),"")</f>
        <v>0</v>
      </c>
      <c r="T1323" s="32">
        <f>IFERROR(VLOOKUP($G1323,[1]нормы!$A$21:$BC$151,25,0),"")</f>
        <v>0</v>
      </c>
      <c r="U1323" s="233" t="str">
        <f>IFERROR(W1323/(((100*Y1323/Y1326)*I1325)/100),"")</f>
        <v/>
      </c>
      <c r="V1323" s="234" t="str">
        <f>IFERROR(VLOOKUP($G1323,нормы!$A$14:$BC$57,38,0),"")</f>
        <v/>
      </c>
      <c r="W1323" s="136"/>
      <c r="X1323" s="237"/>
      <c r="Y1323" s="152" t="str">
        <f>IFERROR(VLOOKUP($G1323,нормы!$A$14:$BC$57,42,0)*W1323,"")</f>
        <v/>
      </c>
      <c r="Z1323" s="163">
        <f>IFERROR(VLOOKUP($G1323,нормы!$A$14:$BC$57,14,0)*W1323/1000,0)</f>
        <v>0</v>
      </c>
      <c r="AA1323" s="30"/>
      <c r="AB1323" s="35"/>
      <c r="AC1323" s="35"/>
      <c r="AD1323" s="35"/>
      <c r="AE1323" s="31"/>
      <c r="AF1323" s="160"/>
      <c r="AG1323" s="391"/>
      <c r="AH1323" s="394"/>
      <c r="AI1323" s="397"/>
      <c r="AJ1323" s="408"/>
      <c r="AK1323" s="360"/>
      <c r="AL1323" s="360"/>
      <c r="AM1323" s="360"/>
      <c r="AN1323" s="289">
        <f>IFERROR(Y1323*AJ1320/Y1326,)</f>
        <v>0</v>
      </c>
      <c r="AO1323" s="197" t="str">
        <f>IFERROR(VLOOKUP($G1323,нормы!$A$14:$BC$57,53,0)*$W1323,"")</f>
        <v/>
      </c>
      <c r="AP1323" s="290">
        <f>IFERROR(Y1323*AI1320/Y1326,)</f>
        <v>0</v>
      </c>
      <c r="AQ1323" s="197" t="str">
        <f>IFERROR(VLOOKUP($G1323,нормы!$A$14:$BC$57,54,0)*$W1323,"")</f>
        <v/>
      </c>
      <c r="AR1323" s="290">
        <f>IFERROR(AS1323/SUM(AS1320:AS1325)*AL1320,0)</f>
        <v>0</v>
      </c>
      <c r="AS1323" s="197" t="str">
        <f>IFERROR(VLOOKUP($G1323,нормы!$A$14:$BC$57,55,0)*W1323,"")</f>
        <v/>
      </c>
      <c r="AT1323" s="290">
        <f>IFERROR(AU1323/SUM(AU1320:AU1325)*AM1320,0)</f>
        <v>0</v>
      </c>
      <c r="AU1323" s="197" t="str">
        <f>IFERROR(VLOOKUP($G1323,нормы!$A$14:$BI$57,56,0)*W1323,"")</f>
        <v/>
      </c>
      <c r="AV1323" s="290">
        <f>IFERROR(AW1323/SUM(AW1320:AW1325)*AK1320,0)</f>
        <v>0</v>
      </c>
      <c r="AW1323" s="202" t="str">
        <f>IFERROR(VLOOKUP($G1323,нормы!$A$14:$BI$57,57,0)*W1323,"")</f>
        <v/>
      </c>
      <c r="AX1323" s="30"/>
      <c r="AY1323" s="203" t="str">
        <f>IFERROR(VLOOKUP($G1323,нормы!$A$14:$BI$57,58,0)*W1323,"")</f>
        <v/>
      </c>
      <c r="AZ1323" s="205"/>
      <c r="BA1323" s="200" t="str">
        <f>IFERROR(VLOOKUP($G1323,нормы!$A$14:$BI$57,61,0)*$W1323,"")</f>
        <v/>
      </c>
      <c r="BB1323" s="30"/>
      <c r="BC1323" s="203" t="str">
        <f>IFERROR(VLOOKUP($G1323,нормы!$A$14:$BI$57,60,0)*W1323,"")</f>
        <v/>
      </c>
      <c r="BD1323" s="200" t="str">
        <f>IFERROR(VLOOKUP($G1323,нормы!$A$14:$BG$57,44,0),"")</f>
        <v/>
      </c>
      <c r="BE1323" s="199" t="str">
        <f>IFERROR(W1323/VLOOKUP($G1323,нормы!$A$14:$BI$57,45,0),"")</f>
        <v/>
      </c>
    </row>
    <row r="1324" spans="1:57" s="1" customFormat="1" ht="20.25" customHeight="1" x14ac:dyDescent="0.4">
      <c r="A1324" s="37" t="str">
        <f t="shared" si="518"/>
        <v>22Д</v>
      </c>
      <c r="B1324" s="12">
        <f t="shared" si="521"/>
        <v>22</v>
      </c>
      <c r="C1324" s="97">
        <f t="shared" si="521"/>
        <v>0</v>
      </c>
      <c r="D1324" s="97">
        <f t="shared" si="521"/>
        <v>2</v>
      </c>
      <c r="E1324" s="54"/>
      <c r="F1324" s="151" t="str">
        <f>IFERROR(VLOOKUP($G1324,нормы!$A$14:$BC$57,2,0),"")</f>
        <v/>
      </c>
      <c r="G1324" s="38"/>
      <c r="H1324" s="54">
        <f t="shared" si="522"/>
        <v>0</v>
      </c>
      <c r="I1324" s="89" t="s">
        <v>73</v>
      </c>
      <c r="J1324" s="333"/>
      <c r="K1324" s="30">
        <f>IFERROR(VLOOKUP($G1324,[1]нормы!$A$21:$BC$151,15,0),"")</f>
        <v>0</v>
      </c>
      <c r="L1324" s="31">
        <f>IFERROR(VLOOKUP($G1324,[1]нормы!$A$21:$BC$151,17,0),"")</f>
        <v>0</v>
      </c>
      <c r="M1324" s="306">
        <f>IFERROR(VLOOKUP($G1324,[1]нормы!$A$21:$BC$151,27,0),"")</f>
        <v>0</v>
      </c>
      <c r="N1324" s="307" t="str">
        <f>IFERROR(Y1324/Y1326*(1.1*J1320*I1329),"")</f>
        <v/>
      </c>
      <c r="O1324" s="300">
        <f>IFERROR(VLOOKUP($G1324,[1]нормы!$A$21:$BC$151,21,0),"")</f>
        <v>0</v>
      </c>
      <c r="P1324" s="35">
        <f>IFERROR(VLOOKUP($G1324,[1]нормы!$A$21:$BC$151,19,0),"")</f>
        <v>0</v>
      </c>
      <c r="Q1324" s="35">
        <f>IFERROR(VLOOKUP($G1324,[1]нормы!$A$21:$BC$151,23,0),"")</f>
        <v>0</v>
      </c>
      <c r="R1324" s="231">
        <f>IFERROR(VLOOKUP($G1324,[1]нормы!$A$21:$BC$151,29,0),"")</f>
        <v>0</v>
      </c>
      <c r="S1324" s="35">
        <f>IFERROR(VLOOKUP($G1324,[1]нормы!$A$21:$BC$151,31,0),"")</f>
        <v>0</v>
      </c>
      <c r="T1324" s="32">
        <f>IFERROR(VLOOKUP($G1324,[1]нормы!$A$21:$BC$151,25,0),"")</f>
        <v>0</v>
      </c>
      <c r="U1324" s="233" t="str">
        <f>IFERROR(W1324/(((100*Y1324/Y1326)*I1325)/100),"")</f>
        <v/>
      </c>
      <c r="V1324" s="234" t="str">
        <f>IFERROR(VLOOKUP($G1324,нормы!$A$14:$BC$57,38,0),"")</f>
        <v/>
      </c>
      <c r="W1324" s="136"/>
      <c r="X1324" s="237"/>
      <c r="Y1324" s="152" t="str">
        <f>IFERROR(VLOOKUP($G1324,нормы!$A$14:$BC$57,42,0)*W1324,"")</f>
        <v/>
      </c>
      <c r="Z1324" s="163">
        <f>IFERROR(VLOOKUP($G1324,нормы!$A$14:$BC$57,14,0)*W1324/1000,0)</f>
        <v>0</v>
      </c>
      <c r="AA1324" s="30"/>
      <c r="AB1324" s="35"/>
      <c r="AC1324" s="35"/>
      <c r="AD1324" s="35"/>
      <c r="AE1324" s="31"/>
      <c r="AF1324" s="160"/>
      <c r="AG1324" s="391"/>
      <c r="AH1324" s="394"/>
      <c r="AI1324" s="397"/>
      <c r="AJ1324" s="408"/>
      <c r="AK1324" s="360"/>
      <c r="AL1324" s="360"/>
      <c r="AM1324" s="360"/>
      <c r="AN1324" s="289">
        <f>IFERROR(Y1324*AJ1320/Y1326,)</f>
        <v>0</v>
      </c>
      <c r="AO1324" s="197" t="str">
        <f>IFERROR(VLOOKUP($G1324,нормы!$A$14:$BC$57,53,0)*$W1324,"")</f>
        <v/>
      </c>
      <c r="AP1324" s="290">
        <f>IFERROR(Y1324*AI1320/Y1326,)</f>
        <v>0</v>
      </c>
      <c r="AQ1324" s="197" t="str">
        <f>IFERROR(VLOOKUP($G1324,нормы!$A$14:$BC$57,54,0)*$W1324,"")</f>
        <v/>
      </c>
      <c r="AR1324" s="290">
        <f>IFERROR(AS1324/SUM(AS1320:AS1325)*AL1320,0)</f>
        <v>0</v>
      </c>
      <c r="AS1324" s="197" t="str">
        <f>IFERROR(VLOOKUP($G1324,нормы!$A$14:$BC$57,55,0)*W1324,"")</f>
        <v/>
      </c>
      <c r="AT1324" s="290">
        <f>IFERROR(AU1324/SUM(AU1320:AU1325)*AM1320,0)</f>
        <v>0</v>
      </c>
      <c r="AU1324" s="197" t="str">
        <f>IFERROR(VLOOKUP($G1324,нормы!$A$14:$BI$57,56,0)*W1324,"")</f>
        <v/>
      </c>
      <c r="AV1324" s="290">
        <f>IFERROR(AW1324/SUM(AW1320:AW1325)*AK1320,0)</f>
        <v>0</v>
      </c>
      <c r="AW1324" s="202" t="str">
        <f>IFERROR(VLOOKUP($G1324,нормы!$A$14:$BI$57,57,0)*W1324,"")</f>
        <v/>
      </c>
      <c r="AX1324" s="30"/>
      <c r="AY1324" s="203" t="str">
        <f>IFERROR(VLOOKUP($G1324,нормы!$A$14:$BI$57,58,0)*W1324,"")</f>
        <v/>
      </c>
      <c r="AZ1324" s="205"/>
      <c r="BA1324" s="200" t="str">
        <f>IFERROR(VLOOKUP($G1324,нормы!$A$14:$BI$57,61,0)*$W1324,"")</f>
        <v/>
      </c>
      <c r="BB1324" s="30"/>
      <c r="BC1324" s="203" t="str">
        <f>IFERROR(VLOOKUP($G1324,нормы!$A$14:$BI$57,60,0)*W1324,"")</f>
        <v/>
      </c>
      <c r="BD1324" s="200" t="str">
        <f>IFERROR(VLOOKUP($G1324,нормы!$A$14:$BG$57,44,0),"")</f>
        <v/>
      </c>
      <c r="BE1324" s="199" t="str">
        <f>IFERROR(W1324/VLOOKUP($G1324,нормы!$A$14:$BI$57,45,0),"")</f>
        <v/>
      </c>
    </row>
    <row r="1325" spans="1:57" s="1" customFormat="1" ht="21" customHeight="1" thickBot="1" x14ac:dyDescent="0.45">
      <c r="A1325" s="37" t="str">
        <f t="shared" si="518"/>
        <v>22Д</v>
      </c>
      <c r="B1325" s="12">
        <f t="shared" si="521"/>
        <v>22</v>
      </c>
      <c r="C1325" s="97">
        <f t="shared" si="521"/>
        <v>0</v>
      </c>
      <c r="D1325" s="97">
        <f t="shared" si="521"/>
        <v>2</v>
      </c>
      <c r="E1325" s="54"/>
      <c r="F1325" s="151" t="str">
        <f>IFERROR(VLOOKUP($G1325,нормы!$A$14:$BC$57,2,0),"")</f>
        <v/>
      </c>
      <c r="G1325" s="93"/>
      <c r="H1325" s="63">
        <f t="shared" si="522"/>
        <v>0</v>
      </c>
      <c r="I1325" s="153">
        <f>I1321+I1323</f>
        <v>0</v>
      </c>
      <c r="J1325" s="334"/>
      <c r="K1325" s="30">
        <f>IFERROR(VLOOKUP($G1325,[1]нормы!$A$21:$BC$151,15,0),"")</f>
        <v>0</v>
      </c>
      <c r="L1325" s="31">
        <f>IFERROR(VLOOKUP($G1325,[1]нормы!$A$21:$BC$151,17,0),"")</f>
        <v>0</v>
      </c>
      <c r="M1325" s="308">
        <f>IFERROR(VLOOKUP($G1325,[1]нормы!$A$21:$BC$151,27,0),"")</f>
        <v>0</v>
      </c>
      <c r="N1325" s="309" t="str">
        <f>IFERROR(Y1325/Y1326*(1.1*J1320*I1330),"")</f>
        <v/>
      </c>
      <c r="O1325" s="300">
        <f>IFERROR(VLOOKUP($G1325,[1]нормы!$A$21:$BC$151,21,0),"")</f>
        <v>0</v>
      </c>
      <c r="P1325" s="35">
        <f>IFERROR(VLOOKUP($G1325,[1]нормы!$A$21:$BC$151,19,0),"")</f>
        <v>0</v>
      </c>
      <c r="Q1325" s="35">
        <f>IFERROR(VLOOKUP($G1325,[1]нормы!$A$21:$BC$151,23,0),"")</f>
        <v>0</v>
      </c>
      <c r="R1325" s="231">
        <f>IFERROR(VLOOKUP($G1325,[1]нормы!$A$21:$BC$151,29,0),"")</f>
        <v>0</v>
      </c>
      <c r="S1325" s="35">
        <f>IFERROR(VLOOKUP($G1325,[1]нормы!$A$21:$BC$151,31,0),"")</f>
        <v>0</v>
      </c>
      <c r="T1325" s="32">
        <f>IFERROR(VLOOKUP($G1325,[1]нормы!$A$21:$BC$151,25,0),"")</f>
        <v>0</v>
      </c>
      <c r="U1325" s="235" t="str">
        <f>IFERROR(W1325/(((100*Y1325/Y1326)*I1325)/100),"")</f>
        <v/>
      </c>
      <c r="V1325" s="234" t="str">
        <f>IFERROR(VLOOKUP($G1325,нормы!$A$14:$BC$57,38,0),"")</f>
        <v/>
      </c>
      <c r="W1325" s="154"/>
      <c r="X1325" s="238"/>
      <c r="Y1325" s="152" t="str">
        <f>IFERROR(VLOOKUP($G1325,нормы!$A$14:$BC$57,42,0)*W1325,"")</f>
        <v/>
      </c>
      <c r="Z1325" s="163">
        <f>IFERROR(VLOOKUP($G1325,нормы!$A$14:$BC$57,14,0)*W1325/1000,0)</f>
        <v>0</v>
      </c>
      <c r="AA1325" s="56"/>
      <c r="AB1325" s="58"/>
      <c r="AC1325" s="58"/>
      <c r="AD1325" s="58"/>
      <c r="AE1325" s="57"/>
      <c r="AF1325" s="161"/>
      <c r="AG1325" s="392"/>
      <c r="AH1325" s="395"/>
      <c r="AI1325" s="398"/>
      <c r="AJ1325" s="409"/>
      <c r="AK1325" s="361"/>
      <c r="AL1325" s="361"/>
      <c r="AM1325" s="361"/>
      <c r="AN1325" s="291">
        <f>IFERROR(Y1325*AJ1320/Y1326,)</f>
        <v>0</v>
      </c>
      <c r="AO1325" s="197" t="str">
        <f>IFERROR(VLOOKUP($G1325,нормы!$A$14:$BC$57,53,0)*$W1325,"")</f>
        <v/>
      </c>
      <c r="AP1325" s="292">
        <f>IFERROR(Y1325*AI1320/Y1326,)</f>
        <v>0</v>
      </c>
      <c r="AQ1325" s="197" t="str">
        <f>IFERROR(VLOOKUP($G1325,нормы!$A$14:$BC$57,54,0)*$W1325,"")</f>
        <v/>
      </c>
      <c r="AR1325" s="290">
        <f>IFERROR(AS1325/SUM(AS1320:AS1325)*AL1320,0)</f>
        <v>0</v>
      </c>
      <c r="AS1325" s="197" t="str">
        <f>IFERROR(VLOOKUP($G1325,нормы!$A$14:$BC$57,55,0)*W1325,"")</f>
        <v/>
      </c>
      <c r="AT1325" s="292">
        <f>IFERROR(AU1325/SUM(AU1320:AU1325)*AM1320,0)</f>
        <v>0</v>
      </c>
      <c r="AU1325" s="197" t="str">
        <f>IFERROR(VLOOKUP($G1325,нормы!$A$14:$BI$57,56,0)*W1325,"")</f>
        <v/>
      </c>
      <c r="AV1325" s="292">
        <f>IFERROR(AW1325/SUM(AW1320:AW1325)*AK1320,0)</f>
        <v>0</v>
      </c>
      <c r="AW1325" s="202" t="str">
        <f>IFERROR(VLOOKUP($G1325,нормы!$A$14:$BI$57,57,0)*W1325,"")</f>
        <v/>
      </c>
      <c r="AX1325" s="56"/>
      <c r="AY1325" s="203" t="str">
        <f>IFERROR(VLOOKUP($G1325,нормы!$A$14:$BI$57,58,0)*W1325,"")</f>
        <v/>
      </c>
      <c r="AZ1325" s="206"/>
      <c r="BA1325" s="200" t="str">
        <f>IFERROR(VLOOKUP($G1325,нормы!$A$14:$BI$57,61,0)*$W1325,"")</f>
        <v/>
      </c>
      <c r="BB1325" s="56"/>
      <c r="BC1325" s="203" t="str">
        <f>IFERROR(VLOOKUP($G1325,нормы!$A$14:$BI$57,60,0)*W1325,"")</f>
        <v/>
      </c>
      <c r="BD1325" s="200" t="str">
        <f>IFERROR(VLOOKUP($G1325,нормы!$A$14:$BG$57,44,0),"")</f>
        <v/>
      </c>
      <c r="BE1325" s="199" t="str">
        <f>IFERROR(W1325/VLOOKUP($G1325,нормы!$A$14:$BI$57,45,0),"")</f>
        <v/>
      </c>
    </row>
    <row r="1326" spans="1:57" s="1" customFormat="1" ht="29.4" customHeight="1" thickBot="1" x14ac:dyDescent="0.45">
      <c r="A1326" s="37" t="str">
        <f t="shared" si="518"/>
        <v>22Д</v>
      </c>
      <c r="B1326" s="59"/>
      <c r="C1326" s="51"/>
      <c r="D1326" s="51"/>
      <c r="E1326" s="51"/>
      <c r="F1326" s="51"/>
      <c r="G1326" s="51"/>
      <c r="H1326" s="51"/>
      <c r="I1326" s="60"/>
      <c r="J1326" s="60"/>
      <c r="K1326" s="319" t="s">
        <v>213</v>
      </c>
      <c r="L1326" s="316"/>
      <c r="M1326" s="303" t="s">
        <v>213</v>
      </c>
      <c r="N1326" s="317">
        <f>SUM(N1320:N1325)</f>
        <v>0</v>
      </c>
      <c r="O1326" s="304" t="s">
        <v>217</v>
      </c>
      <c r="P1326" s="318">
        <f>N1326*8.937/1000</f>
        <v>0</v>
      </c>
      <c r="Q1326" s="305" t="s">
        <v>215</v>
      </c>
      <c r="R1326" s="61"/>
      <c r="S1326" s="61"/>
      <c r="T1326" s="61"/>
      <c r="U1326" s="109"/>
      <c r="V1326" s="109"/>
      <c r="W1326" s="94"/>
      <c r="X1326" s="155"/>
      <c r="Y1326" s="96">
        <f>SUM(Y1320:Y1325)</f>
        <v>0</v>
      </c>
      <c r="Z1326" s="164">
        <f>SUM(Z1320:Z1325)</f>
        <v>0</v>
      </c>
      <c r="AA1326" s="207">
        <f>(AA1312+AA1313+AA1314+AA1315+AA1316+AA1317+AA1318+AA1320+AA1321+AA1322+AA1323+AA1324+AA1325)-AG1313</f>
        <v>1</v>
      </c>
      <c r="AB1326" s="208">
        <f>(AB1312+AB1313+AB1314+AB1315+AB1316+AB1317+AB1318+AB1320+AB1321+AB1322+AB1323+AB1324+AB1325)-AH1313</f>
        <v>2</v>
      </c>
      <c r="AC1326" s="208">
        <f>(AC1312+AC1313+AC1314+AC1315+AC1316+AC1317+AC1318+AC1320+AC1321+AC1322+AC1323+AC1324+AC1325)-AG1320</f>
        <v>3</v>
      </c>
      <c r="AD1326" s="208">
        <f>(AD1312+AD1313+AD1314+AD1315+AD1316+AD1317+AD1318+AD1320+AD1321+AD1322+AD1323+AD1324+AD1325)-AH1320</f>
        <v>4</v>
      </c>
      <c r="AE1326" s="208">
        <f>(AE1312+AE1313+AE1314+AE1315+AE1316+AE1317+AE1318+AE1320+AE1321+AE1322+AE1323+AE1324+AE1325)-AI1313</f>
        <v>5</v>
      </c>
      <c r="AF1326" s="209">
        <f>(AF1312+AF1313+AF1314+AF1315+AF1316+AF1317+AF1318+AF1320+AF1321+AF1322+AF1323+AF1324+AF1325)-AI1320</f>
        <v>6</v>
      </c>
      <c r="AG1326" s="62"/>
      <c r="AH1326" s="62"/>
      <c r="AI1326" s="62"/>
      <c r="AJ1326" s="62"/>
      <c r="AK1326" s="62"/>
      <c r="AL1326" s="62"/>
      <c r="AM1326" s="62"/>
      <c r="AN1326" s="91">
        <f>SUM(AN1320:AN1325)</f>
        <v>0</v>
      </c>
      <c r="AO1326" s="91">
        <f>SUM(AO1320:AO1325)</f>
        <v>0</v>
      </c>
      <c r="AP1326" s="91"/>
      <c r="AQ1326" s="91"/>
      <c r="AR1326" s="91">
        <f>SUM(AR1320:AR1325)</f>
        <v>0</v>
      </c>
      <c r="AS1326" s="91">
        <f t="shared" ref="AS1326:AW1326" si="523">SUM(AS1320:AS1325)</f>
        <v>0</v>
      </c>
      <c r="AT1326" s="91">
        <f t="shared" si="523"/>
        <v>0</v>
      </c>
      <c r="AU1326" s="91">
        <f t="shared" si="523"/>
        <v>0</v>
      </c>
      <c r="AV1326" s="91">
        <f t="shared" si="523"/>
        <v>0</v>
      </c>
      <c r="AW1326" s="91">
        <f t="shared" si="523"/>
        <v>0</v>
      </c>
      <c r="AX1326" s="91">
        <f>SUM(AX1320:AX1325)</f>
        <v>0</v>
      </c>
      <c r="AY1326" s="91">
        <f>SUM(AY1320:AY1325)</f>
        <v>0</v>
      </c>
      <c r="AZ1326" s="91">
        <f>SUM(AZ1320:AZ1325)</f>
        <v>0</v>
      </c>
      <c r="BA1326" s="91"/>
      <c r="BB1326" s="91"/>
      <c r="BC1326" s="91"/>
      <c r="BD1326" s="91" t="str">
        <f>IFERROR(VLOOKUP($G1326,нормы!$A$14:$BG$15,27,0),"")</f>
        <v/>
      </c>
      <c r="BE1326" s="53" t="str">
        <f>IFERROR(W1326/VLOOKUP($G1326,нормы!$A$14:$BI$15,28,0),"")</f>
        <v/>
      </c>
    </row>
    <row r="1327" spans="1:57" s="1" customFormat="1" ht="29.4" customHeight="1" thickBot="1" x14ac:dyDescent="0.5">
      <c r="A1327" s="37" t="str">
        <f t="shared" si="518"/>
        <v>22Д</v>
      </c>
      <c r="B1327" s="166" t="s">
        <v>130</v>
      </c>
      <c r="C1327" s="167"/>
      <c r="D1327" s="167"/>
      <c r="E1327" s="167"/>
      <c r="F1327" s="165"/>
      <c r="G1327" s="167"/>
      <c r="H1327" s="167"/>
      <c r="I1327" s="168"/>
      <c r="J1327" s="168"/>
      <c r="K1327" s="168"/>
      <c r="L1327" s="168"/>
      <c r="M1327" s="168"/>
      <c r="N1327" s="168"/>
      <c r="O1327" s="167"/>
      <c r="P1327" s="169"/>
      <c r="Q1327" s="169"/>
      <c r="R1327" s="169"/>
      <c r="S1327" s="169"/>
      <c r="T1327" s="169"/>
      <c r="U1327" s="170"/>
      <c r="V1327" s="170"/>
      <c r="W1327" s="171"/>
      <c r="X1327" s="171"/>
      <c r="Y1327" s="172"/>
      <c r="Z1327" s="172"/>
      <c r="AA1327" s="201" t="s">
        <v>144</v>
      </c>
      <c r="AB1327" s="167"/>
      <c r="AC1327" s="167"/>
      <c r="AD1327" s="167"/>
      <c r="AE1327" s="167"/>
      <c r="AF1327" s="167"/>
      <c r="AG1327" s="167"/>
      <c r="AH1327" s="167"/>
      <c r="AI1327" s="167"/>
      <c r="AJ1327" s="167"/>
      <c r="AK1327" s="167"/>
      <c r="AL1327" s="167"/>
      <c r="AM1327" s="64"/>
      <c r="AN1327" s="167"/>
      <c r="AO1327" s="167"/>
      <c r="AP1327" s="167"/>
      <c r="AQ1327" s="167"/>
      <c r="AR1327" s="64"/>
      <c r="AS1327" s="64"/>
      <c r="AT1327" s="65"/>
      <c r="AU1327" s="64"/>
      <c r="AV1327" s="49"/>
      <c r="AW1327" s="49"/>
      <c r="AX1327" s="167"/>
      <c r="AY1327" s="167"/>
      <c r="AZ1327" s="167"/>
      <c r="BA1327" s="167"/>
      <c r="BB1327" s="167"/>
      <c r="BC1327" s="167"/>
      <c r="BD1327" s="66"/>
      <c r="BE1327" s="66"/>
    </row>
    <row r="1328" spans="1:57" s="1" customFormat="1" ht="23.25" customHeight="1" x14ac:dyDescent="0.4">
      <c r="A1328" s="37" t="str">
        <f t="shared" si="518"/>
        <v>22Д</v>
      </c>
      <c r="B1328" s="183"/>
      <c r="C1328" s="100"/>
      <c r="D1328" s="185"/>
      <c r="E1328" s="186" t="s">
        <v>57</v>
      </c>
      <c r="F1328" s="66" t="s">
        <v>87</v>
      </c>
      <c r="G1328" s="66"/>
      <c r="H1328" s="108" t="s">
        <v>131</v>
      </c>
      <c r="I1328" s="101"/>
      <c r="J1328" s="101"/>
      <c r="K1328" s="101"/>
      <c r="L1328" s="101"/>
      <c r="M1328" s="101"/>
      <c r="N1328" s="101"/>
      <c r="O1328" s="67"/>
      <c r="P1328" s="102"/>
      <c r="Q1328" s="102"/>
      <c r="R1328" s="102"/>
      <c r="S1328" s="102"/>
      <c r="T1328" s="102"/>
      <c r="U1328" s="67"/>
      <c r="V1328" s="67"/>
      <c r="W1328" s="103"/>
      <c r="X1328" s="187"/>
      <c r="Y1328" s="68" t="s">
        <v>74</v>
      </c>
      <c r="Z1328" s="69"/>
      <c r="AA1328" s="90"/>
      <c r="AB1328" s="100"/>
      <c r="AC1328" s="100"/>
      <c r="AD1328" s="186" t="s">
        <v>57</v>
      </c>
      <c r="AE1328" s="66"/>
      <c r="AF1328" s="66"/>
      <c r="AG1328" s="66"/>
      <c r="AH1328" s="66"/>
      <c r="AI1328" s="66"/>
      <c r="AJ1328" s="66"/>
      <c r="AK1328" s="66"/>
      <c r="AL1328" s="66"/>
      <c r="AM1328" s="66"/>
      <c r="AN1328" s="66"/>
      <c r="AO1328" s="66"/>
      <c r="AP1328" s="66"/>
      <c r="AQ1328" s="66"/>
      <c r="AR1328" s="66"/>
      <c r="AS1328" s="66"/>
      <c r="AT1328" s="190"/>
      <c r="AU1328" s="66"/>
      <c r="AV1328" s="165"/>
      <c r="AW1328" s="293"/>
      <c r="AX1328" s="66"/>
      <c r="AY1328" s="66"/>
      <c r="AZ1328" s="66"/>
      <c r="BA1328" s="66"/>
      <c r="BB1328" s="66"/>
      <c r="BC1328" s="66"/>
      <c r="BD1328" s="68" t="s">
        <v>74</v>
      </c>
      <c r="BE1328" s="69"/>
    </row>
    <row r="1329" spans="1:57" s="1" customFormat="1" ht="23.25" customHeight="1" thickBot="1" x14ac:dyDescent="0.45">
      <c r="A1329" s="37" t="str">
        <f t="shared" si="518"/>
        <v>22Д</v>
      </c>
      <c r="B1329" s="183"/>
      <c r="C1329" s="41"/>
      <c r="D1329" s="184"/>
      <c r="E1329" s="50"/>
      <c r="F1329" s="70"/>
      <c r="G1329" s="70"/>
      <c r="H1329" s="70"/>
      <c r="I1329" s="104"/>
      <c r="J1329" s="104"/>
      <c r="K1329" s="104"/>
      <c r="L1329" s="104"/>
      <c r="M1329" s="104"/>
      <c r="N1329" s="104"/>
      <c r="O1329" s="71"/>
      <c r="P1329" s="105"/>
      <c r="Q1329" s="105"/>
      <c r="R1329" s="105"/>
      <c r="S1329" s="105"/>
      <c r="T1329" s="105"/>
      <c r="U1329" s="71"/>
      <c r="V1329" s="71"/>
      <c r="W1329" s="106"/>
      <c r="X1329" s="188"/>
      <c r="Y1329" s="72"/>
      <c r="Z1329" s="73"/>
      <c r="AA1329" s="90"/>
      <c r="AB1329" s="41"/>
      <c r="AC1329" s="41"/>
      <c r="AD1329" s="50"/>
      <c r="AE1329" s="47"/>
      <c r="AF1329" s="47"/>
      <c r="AG1329" s="47"/>
      <c r="AH1329" s="47"/>
      <c r="AI1329" s="47"/>
      <c r="AJ1329" s="47"/>
      <c r="AK1329" s="47"/>
      <c r="AL1329" s="47"/>
      <c r="AM1329" s="70"/>
      <c r="AN1329" s="47"/>
      <c r="AO1329" s="70"/>
      <c r="AP1329" s="70"/>
      <c r="AQ1329" s="70"/>
      <c r="AR1329" s="70"/>
      <c r="AS1329" s="70"/>
      <c r="AT1329" s="191"/>
      <c r="AU1329" s="70"/>
      <c r="AV1329" s="192"/>
      <c r="AW1329" s="294"/>
      <c r="AX1329" s="70"/>
      <c r="AY1329" s="70"/>
      <c r="AZ1329" s="70"/>
      <c r="BA1329" s="70"/>
      <c r="BB1329" s="70"/>
      <c r="BC1329" s="70"/>
      <c r="BD1329" s="72"/>
      <c r="BE1329" s="73"/>
    </row>
    <row r="1330" spans="1:57" s="1" customFormat="1" ht="93.75" customHeight="1" x14ac:dyDescent="0.4">
      <c r="A1330" s="37" t="str">
        <f t="shared" si="518"/>
        <v>22Д</v>
      </c>
      <c r="B1330" s="183"/>
      <c r="C1330" s="41"/>
      <c r="D1330" s="184"/>
      <c r="E1330" s="281">
        <f>B1325</f>
        <v>22</v>
      </c>
      <c r="F1330" s="337"/>
      <c r="G1330" s="338"/>
      <c r="H1330" s="338"/>
      <c r="I1330" s="338"/>
      <c r="J1330" s="338"/>
      <c r="K1330" s="338"/>
      <c r="L1330" s="338"/>
      <c r="M1330" s="338"/>
      <c r="N1330" s="338"/>
      <c r="O1330" s="338"/>
      <c r="P1330" s="338"/>
      <c r="Q1330" s="338"/>
      <c r="R1330" s="338"/>
      <c r="S1330" s="338"/>
      <c r="T1330" s="338"/>
      <c r="U1330" s="338"/>
      <c r="V1330" s="338"/>
      <c r="W1330" s="338"/>
      <c r="X1330" s="98">
        <v>1</v>
      </c>
      <c r="Y1330" s="74">
        <v>1</v>
      </c>
      <c r="Z1330" s="75">
        <f t="shared" ref="Z1330:Z1341" si="524">Y1330-X1330</f>
        <v>0</v>
      </c>
      <c r="AA1330" s="189"/>
      <c r="AB1330" s="41"/>
      <c r="AC1330" s="184"/>
      <c r="AD1330" s="210">
        <f>E1330</f>
        <v>22</v>
      </c>
      <c r="AE1330" s="387"/>
      <c r="AF1330" s="388"/>
      <c r="AG1330" s="388"/>
      <c r="AH1330" s="388"/>
      <c r="AI1330" s="388"/>
      <c r="AJ1330" s="388"/>
      <c r="AK1330" s="388"/>
      <c r="AL1330" s="388"/>
      <c r="AM1330" s="388"/>
      <c r="AN1330" s="388"/>
      <c r="AO1330" s="388"/>
      <c r="AP1330" s="388"/>
      <c r="AQ1330" s="388"/>
      <c r="AR1330" s="388"/>
      <c r="AS1330" s="388"/>
      <c r="AT1330" s="388"/>
      <c r="AU1330" s="388"/>
      <c r="AV1330" s="388"/>
      <c r="AW1330" s="388"/>
      <c r="AX1330" s="388"/>
      <c r="AY1330" s="388"/>
      <c r="AZ1330" s="388"/>
      <c r="BA1330" s="388"/>
      <c r="BB1330" s="389"/>
      <c r="BC1330" s="98">
        <v>1</v>
      </c>
      <c r="BD1330" s="74">
        <v>1</v>
      </c>
      <c r="BE1330" s="75">
        <f t="shared" ref="BE1330:BE1341" si="525">BD1330-BC1330</f>
        <v>0</v>
      </c>
    </row>
    <row r="1331" spans="1:57" s="1" customFormat="1" ht="43.5" customHeight="1" x14ac:dyDescent="0.4">
      <c r="A1331" s="37" t="str">
        <f t="shared" si="518"/>
        <v>22Д</v>
      </c>
      <c r="B1331" s="183"/>
      <c r="C1331" s="41"/>
      <c r="D1331" s="184"/>
      <c r="E1331" s="282">
        <f>E1330</f>
        <v>22</v>
      </c>
      <c r="F1331" s="335"/>
      <c r="G1331" s="336"/>
      <c r="H1331" s="336"/>
      <c r="I1331" s="336"/>
      <c r="J1331" s="336"/>
      <c r="K1331" s="336"/>
      <c r="L1331" s="336"/>
      <c r="M1331" s="336"/>
      <c r="N1331" s="336"/>
      <c r="O1331" s="336"/>
      <c r="P1331" s="336"/>
      <c r="Q1331" s="336"/>
      <c r="R1331" s="336"/>
      <c r="S1331" s="336"/>
      <c r="T1331" s="336"/>
      <c r="U1331" s="336"/>
      <c r="V1331" s="336"/>
      <c r="W1331" s="336"/>
      <c r="X1331" s="98">
        <v>1</v>
      </c>
      <c r="Y1331" s="74">
        <v>1</v>
      </c>
      <c r="Z1331" s="75">
        <f t="shared" si="524"/>
        <v>0</v>
      </c>
      <c r="AA1331" s="107">
        <f>AA1330</f>
        <v>0</v>
      </c>
      <c r="AB1331" s="41"/>
      <c r="AC1331" s="184"/>
      <c r="AD1331" s="212">
        <f>AD1330</f>
        <v>22</v>
      </c>
      <c r="AE1331" s="387"/>
      <c r="AF1331" s="388"/>
      <c r="AG1331" s="388"/>
      <c r="AH1331" s="388"/>
      <c r="AI1331" s="388"/>
      <c r="AJ1331" s="388"/>
      <c r="AK1331" s="388"/>
      <c r="AL1331" s="388"/>
      <c r="AM1331" s="388"/>
      <c r="AN1331" s="388"/>
      <c r="AO1331" s="388"/>
      <c r="AP1331" s="388"/>
      <c r="AQ1331" s="388"/>
      <c r="AR1331" s="388"/>
      <c r="AS1331" s="388"/>
      <c r="AT1331" s="388"/>
      <c r="AU1331" s="388"/>
      <c r="AV1331" s="388"/>
      <c r="AW1331" s="388"/>
      <c r="AX1331" s="388"/>
      <c r="AY1331" s="388"/>
      <c r="AZ1331" s="388"/>
      <c r="BA1331" s="388"/>
      <c r="BB1331" s="389"/>
      <c r="BC1331" s="98">
        <v>1</v>
      </c>
      <c r="BD1331" s="74">
        <v>1</v>
      </c>
      <c r="BE1331" s="75">
        <f t="shared" si="525"/>
        <v>0</v>
      </c>
    </row>
    <row r="1332" spans="1:57" s="1" customFormat="1" ht="33" customHeight="1" x14ac:dyDescent="0.4">
      <c r="A1332" s="37" t="str">
        <f t="shared" si="518"/>
        <v>22Д</v>
      </c>
      <c r="B1332" s="183"/>
      <c r="C1332" s="41"/>
      <c r="D1332" s="184"/>
      <c r="E1332" s="282">
        <f t="shared" ref="E1332:E1341" si="526">E1331</f>
        <v>22</v>
      </c>
      <c r="F1332" s="335"/>
      <c r="G1332" s="336"/>
      <c r="H1332" s="336"/>
      <c r="I1332" s="336"/>
      <c r="J1332" s="336"/>
      <c r="K1332" s="336"/>
      <c r="L1332" s="336"/>
      <c r="M1332" s="336"/>
      <c r="N1332" s="336"/>
      <c r="O1332" s="336"/>
      <c r="P1332" s="336"/>
      <c r="Q1332" s="336"/>
      <c r="R1332" s="336"/>
      <c r="S1332" s="336"/>
      <c r="T1332" s="336"/>
      <c r="U1332" s="336"/>
      <c r="V1332" s="336"/>
      <c r="W1332" s="336"/>
      <c r="X1332" s="98">
        <v>1</v>
      </c>
      <c r="Y1332" s="74">
        <v>1</v>
      </c>
      <c r="Z1332" s="75">
        <f t="shared" si="524"/>
        <v>0</v>
      </c>
      <c r="AA1332" s="107">
        <f>AA1331</f>
        <v>0</v>
      </c>
      <c r="AB1332" s="41"/>
      <c r="AC1332" s="184"/>
      <c r="AD1332" s="212">
        <f t="shared" ref="AD1332:AD1341" si="527">AD1331</f>
        <v>22</v>
      </c>
      <c r="AE1332" s="387"/>
      <c r="AF1332" s="388"/>
      <c r="AG1332" s="388"/>
      <c r="AH1332" s="388"/>
      <c r="AI1332" s="388"/>
      <c r="AJ1332" s="388"/>
      <c r="AK1332" s="388"/>
      <c r="AL1332" s="388"/>
      <c r="AM1332" s="388"/>
      <c r="AN1332" s="388"/>
      <c r="AO1332" s="388"/>
      <c r="AP1332" s="388"/>
      <c r="AQ1332" s="388"/>
      <c r="AR1332" s="388"/>
      <c r="AS1332" s="388"/>
      <c r="AT1332" s="388"/>
      <c r="AU1332" s="388"/>
      <c r="AV1332" s="388"/>
      <c r="AW1332" s="388"/>
      <c r="AX1332" s="388"/>
      <c r="AY1332" s="388"/>
      <c r="AZ1332" s="388"/>
      <c r="BA1332" s="388"/>
      <c r="BB1332" s="389"/>
      <c r="BC1332" s="98">
        <v>1</v>
      </c>
      <c r="BD1332" s="74">
        <v>1</v>
      </c>
      <c r="BE1332" s="75">
        <f t="shared" si="525"/>
        <v>0</v>
      </c>
    </row>
    <row r="1333" spans="1:57" s="1" customFormat="1" ht="18" customHeight="1" x14ac:dyDescent="0.4">
      <c r="A1333" s="37" t="str">
        <f t="shared" si="518"/>
        <v>22Д</v>
      </c>
      <c r="B1333" s="183"/>
      <c r="C1333" s="41"/>
      <c r="D1333" s="184"/>
      <c r="E1333" s="282">
        <f t="shared" si="526"/>
        <v>22</v>
      </c>
      <c r="F1333" s="335"/>
      <c r="G1333" s="336"/>
      <c r="H1333" s="336"/>
      <c r="I1333" s="336"/>
      <c r="J1333" s="336"/>
      <c r="K1333" s="336"/>
      <c r="L1333" s="336"/>
      <c r="M1333" s="336"/>
      <c r="N1333" s="336"/>
      <c r="O1333" s="336"/>
      <c r="P1333" s="336"/>
      <c r="Q1333" s="336"/>
      <c r="R1333" s="336"/>
      <c r="S1333" s="336"/>
      <c r="T1333" s="336"/>
      <c r="U1333" s="336"/>
      <c r="V1333" s="336"/>
      <c r="W1333" s="336"/>
      <c r="X1333" s="98">
        <v>1</v>
      </c>
      <c r="Y1333" s="74">
        <v>1</v>
      </c>
      <c r="Z1333" s="75">
        <f t="shared" si="524"/>
        <v>0</v>
      </c>
      <c r="AA1333" s="107">
        <f t="shared" ref="AA1333:AA1341" si="528">AA1332</f>
        <v>0</v>
      </c>
      <c r="AB1333" s="41"/>
      <c r="AC1333" s="184"/>
      <c r="AD1333" s="212">
        <f t="shared" si="527"/>
        <v>22</v>
      </c>
      <c r="AE1333" s="387"/>
      <c r="AF1333" s="388"/>
      <c r="AG1333" s="388"/>
      <c r="AH1333" s="388"/>
      <c r="AI1333" s="388"/>
      <c r="AJ1333" s="388"/>
      <c r="AK1333" s="388"/>
      <c r="AL1333" s="388"/>
      <c r="AM1333" s="388"/>
      <c r="AN1333" s="388"/>
      <c r="AO1333" s="388"/>
      <c r="AP1333" s="388"/>
      <c r="AQ1333" s="388"/>
      <c r="AR1333" s="388"/>
      <c r="AS1333" s="388"/>
      <c r="AT1333" s="388"/>
      <c r="AU1333" s="388"/>
      <c r="AV1333" s="388"/>
      <c r="AW1333" s="388"/>
      <c r="AX1333" s="388"/>
      <c r="AY1333" s="388"/>
      <c r="AZ1333" s="388"/>
      <c r="BA1333" s="388"/>
      <c r="BB1333" s="389"/>
      <c r="BC1333" s="98">
        <v>1</v>
      </c>
      <c r="BD1333" s="74">
        <v>1</v>
      </c>
      <c r="BE1333" s="75">
        <f t="shared" si="525"/>
        <v>0</v>
      </c>
    </row>
    <row r="1334" spans="1:57" s="1" customFormat="1" ht="18" customHeight="1" x14ac:dyDescent="0.4">
      <c r="A1334" s="37" t="str">
        <f t="shared" si="518"/>
        <v>22Д</v>
      </c>
      <c r="B1334" s="183"/>
      <c r="C1334" s="41"/>
      <c r="D1334" s="184"/>
      <c r="E1334" s="282">
        <f t="shared" si="526"/>
        <v>22</v>
      </c>
      <c r="F1334" s="335"/>
      <c r="G1334" s="336"/>
      <c r="H1334" s="336"/>
      <c r="I1334" s="336"/>
      <c r="J1334" s="336"/>
      <c r="K1334" s="336"/>
      <c r="L1334" s="336"/>
      <c r="M1334" s="336"/>
      <c r="N1334" s="336"/>
      <c r="O1334" s="336"/>
      <c r="P1334" s="336"/>
      <c r="Q1334" s="336"/>
      <c r="R1334" s="336"/>
      <c r="S1334" s="336"/>
      <c r="T1334" s="336"/>
      <c r="U1334" s="336"/>
      <c r="V1334" s="336"/>
      <c r="W1334" s="336"/>
      <c r="X1334" s="98">
        <v>1</v>
      </c>
      <c r="Y1334" s="74">
        <v>1</v>
      </c>
      <c r="Z1334" s="75">
        <f t="shared" si="524"/>
        <v>0</v>
      </c>
      <c r="AA1334" s="107">
        <f t="shared" si="528"/>
        <v>0</v>
      </c>
      <c r="AB1334" s="41"/>
      <c r="AC1334" s="184"/>
      <c r="AD1334" s="212">
        <f t="shared" si="527"/>
        <v>22</v>
      </c>
      <c r="AE1334" s="387"/>
      <c r="AF1334" s="388"/>
      <c r="AG1334" s="388"/>
      <c r="AH1334" s="388"/>
      <c r="AI1334" s="388"/>
      <c r="AJ1334" s="388"/>
      <c r="AK1334" s="388"/>
      <c r="AL1334" s="388"/>
      <c r="AM1334" s="388"/>
      <c r="AN1334" s="388"/>
      <c r="AO1334" s="388"/>
      <c r="AP1334" s="388"/>
      <c r="AQ1334" s="388"/>
      <c r="AR1334" s="388"/>
      <c r="AS1334" s="388"/>
      <c r="AT1334" s="388"/>
      <c r="AU1334" s="388"/>
      <c r="AV1334" s="388"/>
      <c r="AW1334" s="388"/>
      <c r="AX1334" s="388"/>
      <c r="AY1334" s="388"/>
      <c r="AZ1334" s="388"/>
      <c r="BA1334" s="388"/>
      <c r="BB1334" s="389"/>
      <c r="BC1334" s="98">
        <v>1</v>
      </c>
      <c r="BD1334" s="74">
        <v>1</v>
      </c>
      <c r="BE1334" s="75">
        <f t="shared" si="525"/>
        <v>0</v>
      </c>
    </row>
    <row r="1335" spans="1:57" s="1" customFormat="1" ht="18" customHeight="1" x14ac:dyDescent="0.4">
      <c r="A1335" s="37" t="str">
        <f t="shared" si="518"/>
        <v>22Д</v>
      </c>
      <c r="B1335" s="183"/>
      <c r="C1335" s="41"/>
      <c r="D1335" s="184"/>
      <c r="E1335" s="282">
        <f t="shared" si="526"/>
        <v>22</v>
      </c>
      <c r="F1335" s="335"/>
      <c r="G1335" s="336"/>
      <c r="H1335" s="336"/>
      <c r="I1335" s="336"/>
      <c r="J1335" s="336"/>
      <c r="K1335" s="336"/>
      <c r="L1335" s="336"/>
      <c r="M1335" s="336"/>
      <c r="N1335" s="336"/>
      <c r="O1335" s="336"/>
      <c r="P1335" s="336"/>
      <c r="Q1335" s="336"/>
      <c r="R1335" s="336"/>
      <c r="S1335" s="336"/>
      <c r="T1335" s="336"/>
      <c r="U1335" s="336"/>
      <c r="V1335" s="336"/>
      <c r="W1335" s="336"/>
      <c r="X1335" s="98">
        <v>1</v>
      </c>
      <c r="Y1335" s="74">
        <v>1</v>
      </c>
      <c r="Z1335" s="75">
        <f t="shared" si="524"/>
        <v>0</v>
      </c>
      <c r="AA1335" s="107">
        <f t="shared" si="528"/>
        <v>0</v>
      </c>
      <c r="AB1335" s="41"/>
      <c r="AC1335" s="184"/>
      <c r="AD1335" s="212">
        <f t="shared" si="527"/>
        <v>22</v>
      </c>
      <c r="AE1335" s="387"/>
      <c r="AF1335" s="388"/>
      <c r="AG1335" s="388"/>
      <c r="AH1335" s="388"/>
      <c r="AI1335" s="388"/>
      <c r="AJ1335" s="388"/>
      <c r="AK1335" s="388"/>
      <c r="AL1335" s="388"/>
      <c r="AM1335" s="388"/>
      <c r="AN1335" s="388"/>
      <c r="AO1335" s="388"/>
      <c r="AP1335" s="388"/>
      <c r="AQ1335" s="388"/>
      <c r="AR1335" s="388"/>
      <c r="AS1335" s="388"/>
      <c r="AT1335" s="388"/>
      <c r="AU1335" s="388"/>
      <c r="AV1335" s="388"/>
      <c r="AW1335" s="388"/>
      <c r="AX1335" s="388"/>
      <c r="AY1335" s="388"/>
      <c r="AZ1335" s="388"/>
      <c r="BA1335" s="388"/>
      <c r="BB1335" s="389"/>
      <c r="BC1335" s="98">
        <v>1</v>
      </c>
      <c r="BD1335" s="74">
        <v>1</v>
      </c>
      <c r="BE1335" s="75">
        <f t="shared" si="525"/>
        <v>0</v>
      </c>
    </row>
    <row r="1336" spans="1:57" s="1" customFormat="1" ht="18" customHeight="1" x14ac:dyDescent="0.4">
      <c r="A1336" s="37" t="str">
        <f t="shared" si="518"/>
        <v>22Д</v>
      </c>
      <c r="B1336" s="183"/>
      <c r="C1336" s="41"/>
      <c r="D1336" s="184"/>
      <c r="E1336" s="282">
        <f t="shared" si="526"/>
        <v>22</v>
      </c>
      <c r="F1336" s="335"/>
      <c r="G1336" s="336"/>
      <c r="H1336" s="336"/>
      <c r="I1336" s="336"/>
      <c r="J1336" s="336"/>
      <c r="K1336" s="336"/>
      <c r="L1336" s="336"/>
      <c r="M1336" s="336"/>
      <c r="N1336" s="336"/>
      <c r="O1336" s="336"/>
      <c r="P1336" s="336"/>
      <c r="Q1336" s="336"/>
      <c r="R1336" s="336"/>
      <c r="S1336" s="336"/>
      <c r="T1336" s="336"/>
      <c r="U1336" s="336"/>
      <c r="V1336" s="336"/>
      <c r="W1336" s="336"/>
      <c r="X1336" s="98">
        <v>1</v>
      </c>
      <c r="Y1336" s="74">
        <v>1</v>
      </c>
      <c r="Z1336" s="75">
        <f t="shared" si="524"/>
        <v>0</v>
      </c>
      <c r="AA1336" s="107">
        <f t="shared" si="528"/>
        <v>0</v>
      </c>
      <c r="AB1336" s="41"/>
      <c r="AC1336" s="184"/>
      <c r="AD1336" s="212">
        <f t="shared" si="527"/>
        <v>22</v>
      </c>
      <c r="AE1336" s="387"/>
      <c r="AF1336" s="388"/>
      <c r="AG1336" s="388"/>
      <c r="AH1336" s="388"/>
      <c r="AI1336" s="388"/>
      <c r="AJ1336" s="388"/>
      <c r="AK1336" s="388"/>
      <c r="AL1336" s="388"/>
      <c r="AM1336" s="388"/>
      <c r="AN1336" s="388"/>
      <c r="AO1336" s="388"/>
      <c r="AP1336" s="388"/>
      <c r="AQ1336" s="388"/>
      <c r="AR1336" s="388"/>
      <c r="AS1336" s="388"/>
      <c r="AT1336" s="388"/>
      <c r="AU1336" s="388"/>
      <c r="AV1336" s="388"/>
      <c r="AW1336" s="388"/>
      <c r="AX1336" s="388"/>
      <c r="AY1336" s="388"/>
      <c r="AZ1336" s="388"/>
      <c r="BA1336" s="388"/>
      <c r="BB1336" s="389"/>
      <c r="BC1336" s="98">
        <v>1</v>
      </c>
      <c r="BD1336" s="74">
        <v>1</v>
      </c>
      <c r="BE1336" s="75">
        <f t="shared" si="525"/>
        <v>0</v>
      </c>
    </row>
    <row r="1337" spans="1:57" s="1" customFormat="1" ht="18" customHeight="1" x14ac:dyDescent="0.4">
      <c r="A1337" s="37" t="str">
        <f t="shared" si="518"/>
        <v>22Д</v>
      </c>
      <c r="B1337" s="183"/>
      <c r="C1337" s="41"/>
      <c r="D1337" s="184"/>
      <c r="E1337" s="282">
        <f t="shared" si="526"/>
        <v>22</v>
      </c>
      <c r="F1337" s="335"/>
      <c r="G1337" s="336"/>
      <c r="H1337" s="336"/>
      <c r="I1337" s="336"/>
      <c r="J1337" s="336"/>
      <c r="K1337" s="336"/>
      <c r="L1337" s="336"/>
      <c r="M1337" s="336"/>
      <c r="N1337" s="336"/>
      <c r="O1337" s="336"/>
      <c r="P1337" s="336"/>
      <c r="Q1337" s="336"/>
      <c r="R1337" s="336"/>
      <c r="S1337" s="336"/>
      <c r="T1337" s="336"/>
      <c r="U1337" s="336"/>
      <c r="V1337" s="336"/>
      <c r="W1337" s="336"/>
      <c r="X1337" s="98">
        <v>1</v>
      </c>
      <c r="Y1337" s="74">
        <v>1</v>
      </c>
      <c r="Z1337" s="75">
        <f t="shared" si="524"/>
        <v>0</v>
      </c>
      <c r="AA1337" s="107">
        <f t="shared" si="528"/>
        <v>0</v>
      </c>
      <c r="AB1337" s="41"/>
      <c r="AC1337" s="184"/>
      <c r="AD1337" s="212">
        <f t="shared" si="527"/>
        <v>22</v>
      </c>
      <c r="AE1337" s="387"/>
      <c r="AF1337" s="388"/>
      <c r="AG1337" s="388"/>
      <c r="AH1337" s="388"/>
      <c r="AI1337" s="388"/>
      <c r="AJ1337" s="388"/>
      <c r="AK1337" s="388"/>
      <c r="AL1337" s="388"/>
      <c r="AM1337" s="388"/>
      <c r="AN1337" s="388"/>
      <c r="AO1337" s="388"/>
      <c r="AP1337" s="388"/>
      <c r="AQ1337" s="388"/>
      <c r="AR1337" s="388"/>
      <c r="AS1337" s="388"/>
      <c r="AT1337" s="388"/>
      <c r="AU1337" s="388"/>
      <c r="AV1337" s="388"/>
      <c r="AW1337" s="388"/>
      <c r="AX1337" s="388"/>
      <c r="AY1337" s="388"/>
      <c r="AZ1337" s="388"/>
      <c r="BA1337" s="388"/>
      <c r="BB1337" s="389"/>
      <c r="BC1337" s="98">
        <v>1</v>
      </c>
      <c r="BD1337" s="74">
        <v>1</v>
      </c>
      <c r="BE1337" s="75">
        <f t="shared" si="525"/>
        <v>0</v>
      </c>
    </row>
    <row r="1338" spans="1:57" s="1" customFormat="1" ht="18" customHeight="1" x14ac:dyDescent="0.4">
      <c r="A1338" s="37" t="str">
        <f t="shared" si="518"/>
        <v>22Д</v>
      </c>
      <c r="B1338" s="183"/>
      <c r="C1338" s="41"/>
      <c r="D1338" s="184"/>
      <c r="E1338" s="282">
        <f t="shared" si="526"/>
        <v>22</v>
      </c>
      <c r="F1338" s="335"/>
      <c r="G1338" s="336"/>
      <c r="H1338" s="336"/>
      <c r="I1338" s="336"/>
      <c r="J1338" s="336"/>
      <c r="K1338" s="336"/>
      <c r="L1338" s="336"/>
      <c r="M1338" s="336"/>
      <c r="N1338" s="336"/>
      <c r="O1338" s="336"/>
      <c r="P1338" s="336"/>
      <c r="Q1338" s="336"/>
      <c r="R1338" s="336"/>
      <c r="S1338" s="336"/>
      <c r="T1338" s="336"/>
      <c r="U1338" s="336"/>
      <c r="V1338" s="336"/>
      <c r="W1338" s="336"/>
      <c r="X1338" s="98">
        <v>1</v>
      </c>
      <c r="Y1338" s="74">
        <v>1</v>
      </c>
      <c r="Z1338" s="75">
        <f t="shared" si="524"/>
        <v>0</v>
      </c>
      <c r="AA1338" s="107">
        <f t="shared" si="528"/>
        <v>0</v>
      </c>
      <c r="AB1338" s="41"/>
      <c r="AC1338" s="184"/>
      <c r="AD1338" s="212">
        <f t="shared" si="527"/>
        <v>22</v>
      </c>
      <c r="AE1338" s="387"/>
      <c r="AF1338" s="388"/>
      <c r="AG1338" s="388"/>
      <c r="AH1338" s="388"/>
      <c r="AI1338" s="388"/>
      <c r="AJ1338" s="388"/>
      <c r="AK1338" s="388"/>
      <c r="AL1338" s="388"/>
      <c r="AM1338" s="388"/>
      <c r="AN1338" s="388"/>
      <c r="AO1338" s="388"/>
      <c r="AP1338" s="388"/>
      <c r="AQ1338" s="388"/>
      <c r="AR1338" s="388"/>
      <c r="AS1338" s="388"/>
      <c r="AT1338" s="388"/>
      <c r="AU1338" s="388"/>
      <c r="AV1338" s="388"/>
      <c r="AW1338" s="388"/>
      <c r="AX1338" s="388"/>
      <c r="AY1338" s="388"/>
      <c r="AZ1338" s="388"/>
      <c r="BA1338" s="388"/>
      <c r="BB1338" s="389"/>
      <c r="BC1338" s="98">
        <v>1</v>
      </c>
      <c r="BD1338" s="74">
        <v>1</v>
      </c>
      <c r="BE1338" s="75">
        <f t="shared" si="525"/>
        <v>0</v>
      </c>
    </row>
    <row r="1339" spans="1:57" s="1" customFormat="1" ht="18" customHeight="1" x14ac:dyDescent="0.4">
      <c r="A1339" s="37" t="str">
        <f t="shared" si="518"/>
        <v>22Д</v>
      </c>
      <c r="B1339" s="183"/>
      <c r="C1339" s="41"/>
      <c r="D1339" s="184"/>
      <c r="E1339" s="282">
        <f t="shared" si="526"/>
        <v>22</v>
      </c>
      <c r="F1339" s="335"/>
      <c r="G1339" s="336"/>
      <c r="H1339" s="336"/>
      <c r="I1339" s="336"/>
      <c r="J1339" s="336"/>
      <c r="K1339" s="336"/>
      <c r="L1339" s="336"/>
      <c r="M1339" s="336"/>
      <c r="N1339" s="336"/>
      <c r="O1339" s="336"/>
      <c r="P1339" s="336"/>
      <c r="Q1339" s="336"/>
      <c r="R1339" s="336"/>
      <c r="S1339" s="336"/>
      <c r="T1339" s="336"/>
      <c r="U1339" s="336"/>
      <c r="V1339" s="336"/>
      <c r="W1339" s="336"/>
      <c r="X1339" s="98">
        <v>1</v>
      </c>
      <c r="Y1339" s="74">
        <v>1</v>
      </c>
      <c r="Z1339" s="75">
        <f t="shared" si="524"/>
        <v>0</v>
      </c>
      <c r="AA1339" s="107">
        <f t="shared" si="528"/>
        <v>0</v>
      </c>
      <c r="AB1339" s="41"/>
      <c r="AC1339" s="184"/>
      <c r="AD1339" s="212">
        <f t="shared" si="527"/>
        <v>22</v>
      </c>
      <c r="AE1339" s="387"/>
      <c r="AF1339" s="388"/>
      <c r="AG1339" s="388"/>
      <c r="AH1339" s="388"/>
      <c r="AI1339" s="388"/>
      <c r="AJ1339" s="388"/>
      <c r="AK1339" s="388"/>
      <c r="AL1339" s="388"/>
      <c r="AM1339" s="388"/>
      <c r="AN1339" s="388"/>
      <c r="AO1339" s="388"/>
      <c r="AP1339" s="388"/>
      <c r="AQ1339" s="388"/>
      <c r="AR1339" s="388"/>
      <c r="AS1339" s="388"/>
      <c r="AT1339" s="388"/>
      <c r="AU1339" s="388"/>
      <c r="AV1339" s="388"/>
      <c r="AW1339" s="388"/>
      <c r="AX1339" s="388"/>
      <c r="AY1339" s="388"/>
      <c r="AZ1339" s="388"/>
      <c r="BA1339" s="388"/>
      <c r="BB1339" s="389"/>
      <c r="BC1339" s="98">
        <v>1</v>
      </c>
      <c r="BD1339" s="74">
        <v>1</v>
      </c>
      <c r="BE1339" s="75">
        <f t="shared" si="525"/>
        <v>0</v>
      </c>
    </row>
    <row r="1340" spans="1:57" s="1" customFormat="1" ht="18" customHeight="1" x14ac:dyDescent="0.4">
      <c r="A1340" s="37" t="str">
        <f t="shared" si="518"/>
        <v>22Д</v>
      </c>
      <c r="B1340" s="183"/>
      <c r="C1340" s="41"/>
      <c r="D1340" s="184"/>
      <c r="E1340" s="282">
        <f t="shared" si="526"/>
        <v>22</v>
      </c>
      <c r="F1340" s="335"/>
      <c r="G1340" s="336"/>
      <c r="H1340" s="336"/>
      <c r="I1340" s="336"/>
      <c r="J1340" s="336"/>
      <c r="K1340" s="336"/>
      <c r="L1340" s="336"/>
      <c r="M1340" s="336"/>
      <c r="N1340" s="336"/>
      <c r="O1340" s="336"/>
      <c r="P1340" s="336"/>
      <c r="Q1340" s="336"/>
      <c r="R1340" s="336"/>
      <c r="S1340" s="336"/>
      <c r="T1340" s="336"/>
      <c r="U1340" s="336"/>
      <c r="V1340" s="336"/>
      <c r="W1340" s="336"/>
      <c r="X1340" s="98">
        <v>1</v>
      </c>
      <c r="Y1340" s="74">
        <v>1</v>
      </c>
      <c r="Z1340" s="75">
        <f t="shared" si="524"/>
        <v>0</v>
      </c>
      <c r="AA1340" s="107">
        <f t="shared" si="528"/>
        <v>0</v>
      </c>
      <c r="AB1340" s="41"/>
      <c r="AC1340" s="184"/>
      <c r="AD1340" s="212">
        <f t="shared" si="527"/>
        <v>22</v>
      </c>
      <c r="AE1340" s="387"/>
      <c r="AF1340" s="388"/>
      <c r="AG1340" s="388"/>
      <c r="AH1340" s="388"/>
      <c r="AI1340" s="388"/>
      <c r="AJ1340" s="388"/>
      <c r="AK1340" s="388"/>
      <c r="AL1340" s="388"/>
      <c r="AM1340" s="388"/>
      <c r="AN1340" s="388"/>
      <c r="AO1340" s="388"/>
      <c r="AP1340" s="388"/>
      <c r="AQ1340" s="388"/>
      <c r="AR1340" s="388"/>
      <c r="AS1340" s="388"/>
      <c r="AT1340" s="388"/>
      <c r="AU1340" s="388"/>
      <c r="AV1340" s="388"/>
      <c r="AW1340" s="388"/>
      <c r="AX1340" s="388"/>
      <c r="AY1340" s="388"/>
      <c r="AZ1340" s="388"/>
      <c r="BA1340" s="388"/>
      <c r="BB1340" s="389"/>
      <c r="BC1340" s="98">
        <v>1</v>
      </c>
      <c r="BD1340" s="74">
        <v>1</v>
      </c>
      <c r="BE1340" s="75">
        <f t="shared" si="525"/>
        <v>0</v>
      </c>
    </row>
    <row r="1341" spans="1:57" s="1" customFormat="1" ht="18" customHeight="1" thickBot="1" x14ac:dyDescent="0.45">
      <c r="A1341" s="37" t="str">
        <f t="shared" si="518"/>
        <v>22Д</v>
      </c>
      <c r="B1341" s="183"/>
      <c r="C1341" s="41"/>
      <c r="D1341" s="184"/>
      <c r="E1341" s="283">
        <f t="shared" si="526"/>
        <v>22</v>
      </c>
      <c r="F1341" s="339"/>
      <c r="G1341" s="340"/>
      <c r="H1341" s="340"/>
      <c r="I1341" s="340"/>
      <c r="J1341" s="340"/>
      <c r="K1341" s="340"/>
      <c r="L1341" s="340"/>
      <c r="M1341" s="340"/>
      <c r="N1341" s="340"/>
      <c r="O1341" s="340"/>
      <c r="P1341" s="340"/>
      <c r="Q1341" s="340"/>
      <c r="R1341" s="340"/>
      <c r="S1341" s="340"/>
      <c r="T1341" s="340"/>
      <c r="U1341" s="340"/>
      <c r="V1341" s="340"/>
      <c r="W1341" s="340"/>
      <c r="X1341" s="99">
        <v>1</v>
      </c>
      <c r="Y1341" s="76">
        <v>1</v>
      </c>
      <c r="Z1341" s="77">
        <f t="shared" si="524"/>
        <v>0</v>
      </c>
      <c r="AA1341" s="107">
        <f t="shared" si="528"/>
        <v>0</v>
      </c>
      <c r="AB1341" s="41"/>
      <c r="AC1341" s="184"/>
      <c r="AD1341" s="211">
        <f t="shared" si="527"/>
        <v>22</v>
      </c>
      <c r="AE1341" s="410"/>
      <c r="AF1341" s="411"/>
      <c r="AG1341" s="411"/>
      <c r="AH1341" s="411"/>
      <c r="AI1341" s="411"/>
      <c r="AJ1341" s="411"/>
      <c r="AK1341" s="411"/>
      <c r="AL1341" s="411"/>
      <c r="AM1341" s="411"/>
      <c r="AN1341" s="411"/>
      <c r="AO1341" s="411"/>
      <c r="AP1341" s="411"/>
      <c r="AQ1341" s="411"/>
      <c r="AR1341" s="411"/>
      <c r="AS1341" s="411"/>
      <c r="AT1341" s="411"/>
      <c r="AU1341" s="411"/>
      <c r="AV1341" s="411"/>
      <c r="AW1341" s="411"/>
      <c r="AX1341" s="411"/>
      <c r="AY1341" s="411"/>
      <c r="AZ1341" s="411"/>
      <c r="BA1341" s="411"/>
      <c r="BB1341" s="412"/>
      <c r="BC1341" s="99">
        <v>1</v>
      </c>
      <c r="BD1341" s="76">
        <v>1</v>
      </c>
      <c r="BE1341" s="75">
        <f t="shared" si="525"/>
        <v>0</v>
      </c>
    </row>
    <row r="1342" spans="1:57" s="1" customFormat="1" ht="23.25" customHeight="1" thickBot="1" x14ac:dyDescent="0.45">
      <c r="A1342" s="37" t="str">
        <f t="shared" si="518"/>
        <v>22Д</v>
      </c>
      <c r="B1342" s="193"/>
      <c r="C1342" s="47"/>
      <c r="D1342" s="47"/>
      <c r="E1342" s="47"/>
      <c r="F1342" s="78"/>
      <c r="G1342" s="78"/>
      <c r="H1342" s="78"/>
      <c r="I1342" s="80"/>
      <c r="J1342" s="80"/>
      <c r="K1342" s="80"/>
      <c r="L1342" s="80"/>
      <c r="M1342" s="80"/>
      <c r="N1342" s="80"/>
      <c r="O1342" s="78"/>
      <c r="P1342" s="81"/>
      <c r="Q1342" s="81"/>
      <c r="R1342" s="81"/>
      <c r="S1342" s="81"/>
      <c r="T1342" s="81"/>
      <c r="U1342" s="82"/>
      <c r="V1342" s="82"/>
      <c r="W1342" s="86"/>
      <c r="X1342" s="194"/>
      <c r="Y1342" s="83"/>
      <c r="Z1342" s="83"/>
      <c r="AA1342" s="78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84"/>
      <c r="AN1342" s="47"/>
      <c r="AO1342" s="78"/>
      <c r="AP1342" s="78"/>
      <c r="AQ1342" s="78"/>
      <c r="AR1342" s="84"/>
      <c r="AS1342" s="78"/>
      <c r="AT1342" s="85"/>
      <c r="AU1342" s="78"/>
      <c r="AV1342" s="83"/>
      <c r="AW1342" s="83"/>
      <c r="AX1342" s="78"/>
      <c r="AY1342" s="78"/>
      <c r="AZ1342" s="78"/>
      <c r="BA1342" s="78"/>
      <c r="BB1342" s="78"/>
      <c r="BC1342" s="78"/>
      <c r="BD1342" s="79"/>
      <c r="BE1342" s="79"/>
    </row>
    <row r="1343" spans="1:57" s="1" customFormat="1" ht="21.6" customHeight="1" thickBot="1" x14ac:dyDescent="0.45">
      <c r="A1343" s="37" t="s">
        <v>189</v>
      </c>
      <c r="B1343" s="59"/>
      <c r="C1343" s="51"/>
      <c r="D1343" s="51"/>
      <c r="E1343" s="51"/>
      <c r="F1343" s="158" t="s">
        <v>220</v>
      </c>
      <c r="G1343" s="51"/>
      <c r="H1343" s="51"/>
      <c r="I1343" s="156"/>
      <c r="J1343" s="156"/>
      <c r="K1343" s="156"/>
      <c r="L1343" s="156"/>
      <c r="M1343" s="156"/>
      <c r="N1343" s="156"/>
      <c r="O1343" s="91"/>
      <c r="P1343" s="52"/>
      <c r="Q1343" s="52"/>
      <c r="R1343" s="52"/>
      <c r="S1343" s="52"/>
      <c r="T1343" s="52"/>
      <c r="U1343" s="157"/>
      <c r="V1343" s="157"/>
      <c r="W1343" s="94"/>
      <c r="X1343" s="94"/>
      <c r="Y1343" s="51"/>
      <c r="Z1343" s="51"/>
      <c r="AA1343" s="157">
        <f>AA1326</f>
        <v>1</v>
      </c>
      <c r="AB1343" s="157">
        <f t="shared" ref="AB1343:AF1343" si="529">AB1326</f>
        <v>2</v>
      </c>
      <c r="AC1343" s="157">
        <f t="shared" si="529"/>
        <v>3</v>
      </c>
      <c r="AD1343" s="157">
        <f t="shared" si="529"/>
        <v>4</v>
      </c>
      <c r="AE1343" s="157">
        <f t="shared" si="529"/>
        <v>5</v>
      </c>
      <c r="AF1343" s="157">
        <f t="shared" si="529"/>
        <v>6</v>
      </c>
      <c r="AG1343" s="162" t="s">
        <v>123</v>
      </c>
      <c r="AH1343" s="162" t="s">
        <v>124</v>
      </c>
      <c r="AI1343" s="162" t="s">
        <v>125</v>
      </c>
      <c r="AJ1343" s="91" t="s">
        <v>126</v>
      </c>
      <c r="AK1343" s="198" t="s">
        <v>136</v>
      </c>
      <c r="AL1343" s="198" t="s">
        <v>137</v>
      </c>
      <c r="AM1343" s="198" t="s">
        <v>138</v>
      </c>
      <c r="AN1343" s="91"/>
      <c r="AO1343" s="91"/>
      <c r="AP1343" s="91"/>
      <c r="AQ1343" s="91"/>
      <c r="AR1343" s="91"/>
      <c r="AS1343" s="91"/>
      <c r="AT1343" s="91"/>
      <c r="AU1343" s="91"/>
      <c r="AV1343" s="91"/>
      <c r="AW1343" s="91"/>
      <c r="AX1343" s="91"/>
      <c r="AY1343" s="91"/>
      <c r="AZ1343" s="91"/>
      <c r="BA1343" s="91"/>
      <c r="BB1343" s="91"/>
      <c r="BC1343" s="91"/>
      <c r="BD1343" s="91"/>
      <c r="BE1343" s="91"/>
    </row>
    <row r="1344" spans="1:57" s="1" customFormat="1" ht="21.6" customHeight="1" x14ac:dyDescent="0.4">
      <c r="A1344" s="37" t="str">
        <f>A1343</f>
        <v>22Н</v>
      </c>
      <c r="B1344" s="12">
        <f>B1325</f>
        <v>22</v>
      </c>
      <c r="C1344" s="97"/>
      <c r="D1344" s="97">
        <v>1</v>
      </c>
      <c r="E1344" s="29"/>
      <c r="F1344" s="151" t="str">
        <f>IFERROR(VLOOKUP($G1344,нормы!$A$14:$BC$57,2,0),"")</f>
        <v/>
      </c>
      <c r="G1344" s="93"/>
      <c r="H1344" s="54">
        <f>IF(C1344=1,"Кульков С.А.", IF(C1344=2,"Чудаков А.А.",IF(C1344=3,"Королев В.Н.",IF(C1344=4,"Николашин М.П.",IF(C1344=5," Кульков С.А.",IF(C1344=6,"А.А. Чудаков",IF(C1344=7,"В.Н. Королев",IF(C1344=8,"М.П. Николашин",0))))))))</f>
        <v>0</v>
      </c>
      <c r="I1344" s="88" t="s">
        <v>84</v>
      </c>
      <c r="J1344" s="332"/>
      <c r="K1344" s="30">
        <f>IFERROR(VLOOKUP($G1344,[1]нормы!$A$21:$BC$151,15,0),"")</f>
        <v>0</v>
      </c>
      <c r="L1344" s="31">
        <f>IFERROR(VLOOKUP($G1344,[1]нормы!$A$21:$BC$151,17,0),"")</f>
        <v>0</v>
      </c>
      <c r="M1344" s="310">
        <f>IFERROR(VLOOKUP($G1344,[1]нормы!$A$21:$BC$151,27,0),"")</f>
        <v>0</v>
      </c>
      <c r="N1344" s="311" t="str">
        <f>IFERROR(Y1344/Y1350*(1.1*J1344*I1349),"")</f>
        <v/>
      </c>
      <c r="O1344" s="300">
        <f>IFERROR(VLOOKUP($G1344,[1]нормы!$A$21:$BC$151,21,0),"")</f>
        <v>0</v>
      </c>
      <c r="P1344" s="35">
        <f>IFERROR(VLOOKUP($G1344,[1]нормы!$A$21:$BC$151,19,0),"")</f>
        <v>0</v>
      </c>
      <c r="Q1344" s="35">
        <f>IFERROR(VLOOKUP($G1344,[1]нормы!$A$21:$BC$151,23,0),"")</f>
        <v>0</v>
      </c>
      <c r="R1344" s="231">
        <f>IFERROR(VLOOKUP($G1344,[1]нормы!$A$21:$BC$151,29,0),"")</f>
        <v>0</v>
      </c>
      <c r="S1344" s="35">
        <f>IFERROR(VLOOKUP($G1344,[1]нормы!$A$21:$BC$151,31,0),"")</f>
        <v>0</v>
      </c>
      <c r="T1344" s="32">
        <f>IFERROR(VLOOKUP($G1344,[1]нормы!$A$21:$BC$151,25,0),"")</f>
        <v>0</v>
      </c>
      <c r="U1344" s="232" t="str">
        <f>IFERROR(W1344/(((100*Y1344/Y1350)*I1349)/100),"")</f>
        <v/>
      </c>
      <c r="V1344" s="234" t="str">
        <f>IFERROR(VLOOKUP($G1344,нормы!$A$14:$BC$57,38,0),"")</f>
        <v/>
      </c>
      <c r="W1344" s="136"/>
      <c r="X1344" s="236"/>
      <c r="Y1344" s="152" t="str">
        <f>IFERROR(VLOOKUP($G1344,нормы!$A$14:$BC$57,42,0)*W1344,"")</f>
        <v/>
      </c>
      <c r="Z1344" s="163">
        <f>IFERROR(VLOOKUP($G1344,нормы!$A$14:$BC$57,14,0)*W1344/1000,0)</f>
        <v>0</v>
      </c>
      <c r="AA1344" s="33"/>
      <c r="AB1344" s="36"/>
      <c r="AC1344" s="36"/>
      <c r="AD1344" s="36"/>
      <c r="AE1344" s="34"/>
      <c r="AF1344" s="159"/>
      <c r="AG1344" s="390"/>
      <c r="AH1344" s="393"/>
      <c r="AI1344" s="396"/>
      <c r="AJ1344" s="407">
        <f>AG1344+AH1344</f>
        <v>0</v>
      </c>
      <c r="AK1344" s="359"/>
      <c r="AL1344" s="359"/>
      <c r="AM1344" s="359"/>
      <c r="AN1344" s="287">
        <f>IFERROR(Y1344*AJ1344/Y1350,)</f>
        <v>0</v>
      </c>
      <c r="AO1344" s="197" t="str">
        <f>IFERROR(VLOOKUP($G1344,нормы!$A$14:$BC$57,53,0)*$W1344,"")</f>
        <v/>
      </c>
      <c r="AP1344" s="288">
        <f>IFERROR(Y1344*AI1344/Y1350,)</f>
        <v>0</v>
      </c>
      <c r="AQ1344" s="197" t="str">
        <f>IFERROR(VLOOKUP($G1344,нормы!$A$14:$BC$57,54,0)*$W1344,"")</f>
        <v/>
      </c>
      <c r="AR1344" s="288">
        <f>IFERROR(AS1344/SUM(AS1344:AS1349)*AL1344,0)</f>
        <v>0</v>
      </c>
      <c r="AS1344" s="197" t="str">
        <f>IFERROR(VLOOKUP($G1344,нормы!$A$14:$BC$57,55,0)*W1344,"")</f>
        <v/>
      </c>
      <c r="AT1344" s="288">
        <f>IFERROR(AU1344/SUM(AU1344:AU1349)*AM1344,0)</f>
        <v>0</v>
      </c>
      <c r="AU1344" s="197" t="str">
        <f>IFERROR(VLOOKUP($G1344,нормы!$A$14:$BI$57,56,0)*W1344,"")</f>
        <v/>
      </c>
      <c r="AV1344" s="288">
        <f>IFERROR(AW1344/SUM(AW1344:AW1349)*AK1344,0)</f>
        <v>0</v>
      </c>
      <c r="AW1344" s="202" t="str">
        <f>IFERROR(VLOOKUP($G1344,нормы!$A$14:$BI$57,57,0)*W1344,"")</f>
        <v/>
      </c>
      <c r="AX1344" s="33"/>
      <c r="AY1344" s="203" t="str">
        <f>IFERROR(VLOOKUP($G1344,нормы!$A$14:$BI$57,58,0)*W1344,"")</f>
        <v/>
      </c>
      <c r="AZ1344" s="204"/>
      <c r="BA1344" s="200" t="str">
        <f>IFERROR(VLOOKUP($G1344,нормы!$A$14:$BI$57,61,0)*$W1344,"")</f>
        <v/>
      </c>
      <c r="BB1344" s="33"/>
      <c r="BC1344" s="203" t="str">
        <f>IFERROR(VLOOKUP($G1344,нормы!$A$14:$BI$57,60,0)*W1344,"")</f>
        <v/>
      </c>
      <c r="BD1344" s="200" t="str">
        <f>IFERROR(VLOOKUP($G1344,нормы!$A$14:$BG$57,44,0),"")</f>
        <v/>
      </c>
      <c r="BE1344" s="199" t="str">
        <f>IFERROR(W1344/VLOOKUP($G1344,нормы!$A$14:$BI$57,45,0),"")</f>
        <v/>
      </c>
    </row>
    <row r="1345" spans="1:57" s="1" customFormat="1" ht="21.6" customHeight="1" x14ac:dyDescent="0.4">
      <c r="A1345" s="37" t="str">
        <f t="shared" ref="A1345:A1373" si="530">A1344</f>
        <v>22Н</v>
      </c>
      <c r="B1345" s="12">
        <f t="shared" ref="B1345:D1349" si="531">B1344</f>
        <v>22</v>
      </c>
      <c r="C1345" s="97">
        <f t="shared" si="531"/>
        <v>0</v>
      </c>
      <c r="D1345" s="97">
        <f t="shared" si="531"/>
        <v>1</v>
      </c>
      <c r="E1345" s="54"/>
      <c r="F1345" s="151" t="str">
        <f>IFERROR(VLOOKUP($G1345,нормы!$A$14:$BC$57,2,0),"")</f>
        <v/>
      </c>
      <c r="G1345" s="93"/>
      <c r="H1345" s="54">
        <f t="shared" ref="H1345:H1349" si="532">IF(C1345=1,"Кульков С.А.", IF(C1345=2,"Чудаков А.А.",IF(C1345=3,"Королев В.Н.",IF(C1345=4,"Николашин М.П.",IF(C1345=5," Кульков С.А.",IF(C1345=6,"А.А. Чудаков",IF(C1345=7,"В.Н. Королев",IF(C1345=8,"М.П. Николашин",0))))))))</f>
        <v>0</v>
      </c>
      <c r="I1345" s="55"/>
      <c r="J1345" s="333"/>
      <c r="K1345" s="30">
        <f>IFERROR(VLOOKUP($G1345,[1]нормы!$A$21:$BC$151,15,0),"")</f>
        <v>0</v>
      </c>
      <c r="L1345" s="31">
        <f>IFERROR(VLOOKUP($G1345,[1]нормы!$A$21:$BC$151,17,0),"")</f>
        <v>0</v>
      </c>
      <c r="M1345" s="306">
        <f>IFERROR(VLOOKUP($G1345,[1]нормы!$A$21:$BC$151,27,0),"")</f>
        <v>0</v>
      </c>
      <c r="N1345" s="307" t="str">
        <f>IFERROR(Y1345/Y1350*(1.1*J1344*I1349),"")</f>
        <v/>
      </c>
      <c r="O1345" s="300">
        <f>IFERROR(VLOOKUP($G1345,[1]нормы!$A$21:$BC$151,21,0),"")</f>
        <v>0</v>
      </c>
      <c r="P1345" s="35">
        <f>IFERROR(VLOOKUP($G1345,[1]нормы!$A$21:$BC$151,19,0),"")</f>
        <v>0</v>
      </c>
      <c r="Q1345" s="35">
        <f>IFERROR(VLOOKUP($G1345,[1]нормы!$A$21:$BC$151,23,0),"")</f>
        <v>0</v>
      </c>
      <c r="R1345" s="231">
        <f>IFERROR(VLOOKUP($G1345,[1]нормы!$A$21:$BC$151,29,0),"")</f>
        <v>0</v>
      </c>
      <c r="S1345" s="35">
        <f>IFERROR(VLOOKUP($G1345,[1]нормы!$A$21:$BC$151,31,0),"")</f>
        <v>0</v>
      </c>
      <c r="T1345" s="32">
        <f>IFERROR(VLOOKUP($G1345,[1]нормы!$A$21:$BC$151,25,0),"")</f>
        <v>0</v>
      </c>
      <c r="U1345" s="233" t="str">
        <f>IFERROR(W1345/(((100*Y1345/Y1350)*I1349)/100),"")</f>
        <v/>
      </c>
      <c r="V1345" s="234" t="str">
        <f>IFERROR(VLOOKUP($G1345,нормы!$A$14:$BC$57,38,0),"")</f>
        <v/>
      </c>
      <c r="W1345" s="136"/>
      <c r="X1345" s="237"/>
      <c r="Y1345" s="152" t="str">
        <f>IFERROR(VLOOKUP($G1345,нормы!$A$14:$BC$57,42,0)*W1345,"")</f>
        <v/>
      </c>
      <c r="Z1345" s="163">
        <f>IFERROR(VLOOKUP($G1345,нормы!$A$14:$BC$57,14,0)*W1345/1000,0)</f>
        <v>0</v>
      </c>
      <c r="AA1345" s="142"/>
      <c r="AB1345" s="35"/>
      <c r="AC1345" s="35"/>
      <c r="AD1345" s="35"/>
      <c r="AE1345" s="31"/>
      <c r="AF1345" s="160"/>
      <c r="AG1345" s="391"/>
      <c r="AH1345" s="394"/>
      <c r="AI1345" s="397"/>
      <c r="AJ1345" s="408"/>
      <c r="AK1345" s="360"/>
      <c r="AL1345" s="360"/>
      <c r="AM1345" s="360"/>
      <c r="AN1345" s="289">
        <f>IFERROR(Y1345*AJ1344/Y1350,)</f>
        <v>0</v>
      </c>
      <c r="AO1345" s="197" t="str">
        <f>IFERROR(VLOOKUP($G1345,нормы!$A$14:$BC$57,53,0)*$W1345,"")</f>
        <v/>
      </c>
      <c r="AP1345" s="290">
        <f>IFERROR(Y1345*AI1344/Y1350,)</f>
        <v>0</v>
      </c>
      <c r="AQ1345" s="197" t="str">
        <f>IFERROR(VLOOKUP($G1345,нормы!$A$14:$BC$57,54,0)*$W1345,"")</f>
        <v/>
      </c>
      <c r="AR1345" s="290">
        <f>IFERROR(AS1345/SUM(AS1344:AS1349)*AL1344,0)</f>
        <v>0</v>
      </c>
      <c r="AS1345" s="197" t="str">
        <f>IFERROR(VLOOKUP($G1345,нормы!$A$14:$BC$57,55,0)*W1345,"")</f>
        <v/>
      </c>
      <c r="AT1345" s="290">
        <f>IFERROR(AU1345/SUM(AU1344:AU1349)*AM1344,0)</f>
        <v>0</v>
      </c>
      <c r="AU1345" s="197" t="str">
        <f>IFERROR(VLOOKUP($G1345,нормы!$A$14:$BI$57,56,0)*W1345,"")</f>
        <v/>
      </c>
      <c r="AV1345" s="290">
        <f>IFERROR(AW1345/SUM(AW1344:AW1349)*AK1344,0)</f>
        <v>0</v>
      </c>
      <c r="AW1345" s="202" t="str">
        <f>IFERROR(VLOOKUP($G1345,нормы!$A$14:$BI$57,57,0)*W1345,"")</f>
        <v/>
      </c>
      <c r="AX1345" s="30"/>
      <c r="AY1345" s="203" t="str">
        <f>IFERROR(VLOOKUP($G1345,нормы!$A$14:$BI$57,58,0)*W1345,"")</f>
        <v/>
      </c>
      <c r="AZ1345" s="205"/>
      <c r="BA1345" s="200" t="str">
        <f>IFERROR(VLOOKUP($G1345,нормы!$A$14:$BI$57,61,0)*$W1345,"")</f>
        <v/>
      </c>
      <c r="BB1345" s="30"/>
      <c r="BC1345" s="203" t="str">
        <f>IFERROR(VLOOKUP($G1345,нормы!$A$14:$BI$57,60,0)*W1345,"")</f>
        <v/>
      </c>
      <c r="BD1345" s="200" t="str">
        <f>IFERROR(VLOOKUP($G1345,нормы!$A$14:$BG$57,44,0),"")</f>
        <v/>
      </c>
      <c r="BE1345" s="199" t="str">
        <f>IFERROR(W1345/VLOOKUP($G1345,нормы!$A$14:$BI$57,45,0),"")</f>
        <v/>
      </c>
    </row>
    <row r="1346" spans="1:57" s="1" customFormat="1" ht="20.25" customHeight="1" x14ac:dyDescent="0.4">
      <c r="A1346" s="37" t="str">
        <f t="shared" si="530"/>
        <v>22Н</v>
      </c>
      <c r="B1346" s="12">
        <f t="shared" si="531"/>
        <v>22</v>
      </c>
      <c r="C1346" s="97">
        <f t="shared" si="531"/>
        <v>0</v>
      </c>
      <c r="D1346" s="97">
        <f t="shared" si="531"/>
        <v>1</v>
      </c>
      <c r="E1346" s="54"/>
      <c r="F1346" s="151" t="str">
        <f>IFERROR(VLOOKUP($G1346,нормы!$A$14:$BC$57,2,0),"")</f>
        <v/>
      </c>
      <c r="G1346" s="38"/>
      <c r="H1346" s="54">
        <f t="shared" si="532"/>
        <v>0</v>
      </c>
      <c r="I1346" s="89" t="s">
        <v>85</v>
      </c>
      <c r="J1346" s="333"/>
      <c r="K1346" s="30">
        <f>IFERROR(VLOOKUP($G1346,[1]нормы!$A$21:$BC$151,15,0),"")</f>
        <v>0</v>
      </c>
      <c r="L1346" s="31">
        <f>IFERROR(VLOOKUP($G1346,[1]нормы!$A$21:$BC$151,17,0),"")</f>
        <v>0</v>
      </c>
      <c r="M1346" s="306">
        <f>IFERROR(VLOOKUP($G1346,[1]нормы!$A$21:$BC$151,27,0),"")</f>
        <v>0</v>
      </c>
      <c r="N1346" s="307" t="str">
        <f>IFERROR(Y1346/Y1350*(1.1*J1344*I1349),"")</f>
        <v/>
      </c>
      <c r="O1346" s="300">
        <f>IFERROR(VLOOKUP($G1346,[1]нормы!$A$21:$BC$151,21,0),"")</f>
        <v>0</v>
      </c>
      <c r="P1346" s="35">
        <f>IFERROR(VLOOKUP($G1346,[1]нормы!$A$21:$BC$151,19,0),"")</f>
        <v>0</v>
      </c>
      <c r="Q1346" s="35">
        <f>IFERROR(VLOOKUP($G1346,[1]нормы!$A$21:$BC$151,23,0),"")</f>
        <v>0</v>
      </c>
      <c r="R1346" s="231">
        <f>IFERROR(VLOOKUP($G1346,[1]нормы!$A$21:$BC$151,29,0),"")</f>
        <v>0</v>
      </c>
      <c r="S1346" s="35">
        <f>IFERROR(VLOOKUP($G1346,[1]нормы!$A$21:$BC$151,31,0),"")</f>
        <v>0</v>
      </c>
      <c r="T1346" s="32">
        <f>IFERROR(VLOOKUP($G1346,[1]нормы!$A$21:$BC$151,25,0),"")</f>
        <v>0</v>
      </c>
      <c r="U1346" s="233" t="str">
        <f>IFERROR(W1346/(((100*Y1346/Y1350)*I1349)/100),"")</f>
        <v/>
      </c>
      <c r="V1346" s="234" t="str">
        <f>IFERROR(VLOOKUP($G1346,нормы!$A$14:$BC$57,38,0),"")</f>
        <v/>
      </c>
      <c r="W1346" s="136"/>
      <c r="X1346" s="237"/>
      <c r="Y1346" s="152" t="str">
        <f>IFERROR(VLOOKUP($G1346,нормы!$A$14:$BC$57,42,0)*W1346,"")</f>
        <v/>
      </c>
      <c r="Z1346" s="163">
        <f>IFERROR(VLOOKUP($G1346,нормы!$A$14:$BC$57,14,0)*W1346/1000,0)</f>
        <v>0</v>
      </c>
      <c r="AA1346" s="30"/>
      <c r="AB1346" s="35"/>
      <c r="AC1346" s="35"/>
      <c r="AD1346" s="35"/>
      <c r="AE1346" s="31"/>
      <c r="AF1346" s="160"/>
      <c r="AG1346" s="391"/>
      <c r="AH1346" s="394"/>
      <c r="AI1346" s="397"/>
      <c r="AJ1346" s="408"/>
      <c r="AK1346" s="360"/>
      <c r="AL1346" s="360"/>
      <c r="AM1346" s="360"/>
      <c r="AN1346" s="289">
        <f>IFERROR(Y1346*AJ1344/Y1350,)</f>
        <v>0</v>
      </c>
      <c r="AO1346" s="197" t="str">
        <f>IFERROR(VLOOKUP($G1346,нормы!$A$14:$BC$57,53,0)*$W1346,"")</f>
        <v/>
      </c>
      <c r="AP1346" s="290">
        <f>IFERROR(Y1346*AI1344/Y1350,)</f>
        <v>0</v>
      </c>
      <c r="AQ1346" s="197" t="str">
        <f>IFERROR(VLOOKUP($G1346,нормы!$A$14:$BC$57,54,0)*$W1346,"")</f>
        <v/>
      </c>
      <c r="AR1346" s="290">
        <f>IFERROR(AS1346/SUM(AS1344:AS1349)*AL1344,0)</f>
        <v>0</v>
      </c>
      <c r="AS1346" s="197" t="str">
        <f>IFERROR(VLOOKUP($G1346,нормы!$A$14:$BC$57,55,0)*W1346,"")</f>
        <v/>
      </c>
      <c r="AT1346" s="290">
        <f>IFERROR(AU1346/SUM(AU1344:AU1349)*AM1344,0)</f>
        <v>0</v>
      </c>
      <c r="AU1346" s="197" t="str">
        <f>IFERROR(VLOOKUP($G1346,нормы!$A$14:$BI$57,56,0)*W1346,"")</f>
        <v/>
      </c>
      <c r="AV1346" s="290">
        <f>IFERROR(AW1346/SUM(AW1344:AW1349)*AK1344,0)</f>
        <v>0</v>
      </c>
      <c r="AW1346" s="202" t="str">
        <f>IFERROR(VLOOKUP($G1346,нормы!$A$14:$BI$57,57,0)*W1346,"")</f>
        <v/>
      </c>
      <c r="AX1346" s="30"/>
      <c r="AY1346" s="203" t="str">
        <f>IFERROR(VLOOKUP($G1346,нормы!$A$14:$BI$57,58,0)*W1346,"")</f>
        <v/>
      </c>
      <c r="AZ1346" s="205"/>
      <c r="BA1346" s="200" t="str">
        <f>IFERROR(VLOOKUP($G1346,нормы!$A$14:$BI$57,61,0)*$W1346,"")</f>
        <v/>
      </c>
      <c r="BB1346" s="30"/>
      <c r="BC1346" s="203" t="str">
        <f>IFERROR(VLOOKUP($G1346,нормы!$A$14:$BI$57,60,0)*W1346,"")</f>
        <v/>
      </c>
      <c r="BD1346" s="200" t="str">
        <f>IFERROR(VLOOKUP($G1346,нормы!$A$14:$BG$57,44,0),"")</f>
        <v/>
      </c>
      <c r="BE1346" s="199" t="str">
        <f>IFERROR(W1346/VLOOKUP($G1346,нормы!$A$14:$BI$57,45,0),"")</f>
        <v/>
      </c>
    </row>
    <row r="1347" spans="1:57" s="1" customFormat="1" ht="20.25" customHeight="1" x14ac:dyDescent="0.4">
      <c r="A1347" s="37" t="str">
        <f t="shared" si="530"/>
        <v>22Н</v>
      </c>
      <c r="B1347" s="12">
        <f t="shared" si="531"/>
        <v>22</v>
      </c>
      <c r="C1347" s="97">
        <f t="shared" si="531"/>
        <v>0</v>
      </c>
      <c r="D1347" s="97">
        <f t="shared" si="531"/>
        <v>1</v>
      </c>
      <c r="E1347" s="54"/>
      <c r="F1347" s="151" t="str">
        <f>IFERROR(VLOOKUP($G1347,нормы!$A$14:$BC$57,2,0),"")</f>
        <v/>
      </c>
      <c r="G1347" s="93"/>
      <c r="H1347" s="54">
        <f t="shared" si="532"/>
        <v>0</v>
      </c>
      <c r="I1347" s="55"/>
      <c r="J1347" s="333"/>
      <c r="K1347" s="30">
        <f>IFERROR(VLOOKUP($G1347,[1]нормы!$A$21:$BC$151,15,0),"")</f>
        <v>0</v>
      </c>
      <c r="L1347" s="31">
        <f>IFERROR(VLOOKUP($G1347,[1]нормы!$A$21:$BC$151,17,0),"")</f>
        <v>0</v>
      </c>
      <c r="M1347" s="306">
        <f>IFERROR(VLOOKUP($G1347,[1]нормы!$A$21:$BC$151,27,0),"")</f>
        <v>0</v>
      </c>
      <c r="N1347" s="307" t="str">
        <f>IFERROR(Y1347/Y1350*(1.1*J1344*I1352),"")</f>
        <v/>
      </c>
      <c r="O1347" s="300">
        <f>IFERROR(VLOOKUP($G1347,[1]нормы!$A$21:$BC$151,21,0),"")</f>
        <v>0</v>
      </c>
      <c r="P1347" s="35">
        <f>IFERROR(VLOOKUP($G1347,[1]нормы!$A$21:$BC$151,19,0),"")</f>
        <v>0</v>
      </c>
      <c r="Q1347" s="35">
        <f>IFERROR(VLOOKUP($G1347,[1]нормы!$A$21:$BC$151,23,0),"")</f>
        <v>0</v>
      </c>
      <c r="R1347" s="231">
        <f>IFERROR(VLOOKUP($G1347,[1]нормы!$A$21:$BC$151,29,0),"")</f>
        <v>0</v>
      </c>
      <c r="S1347" s="35">
        <f>IFERROR(VLOOKUP($G1347,[1]нормы!$A$21:$BC$151,31,0),"")</f>
        <v>0</v>
      </c>
      <c r="T1347" s="32">
        <f>IFERROR(VLOOKUP($G1347,[1]нормы!$A$21:$BC$151,25,0),"")</f>
        <v>0</v>
      </c>
      <c r="U1347" s="233" t="str">
        <f>IFERROR(W1347/(((100*Y1347/Y1350)*I1349)/100),"")</f>
        <v/>
      </c>
      <c r="V1347" s="234" t="str">
        <f>IFERROR(VLOOKUP($G1347,нормы!$A$14:$BC$57,38,0),"")</f>
        <v/>
      </c>
      <c r="W1347" s="136"/>
      <c r="X1347" s="237"/>
      <c r="Y1347" s="152" t="str">
        <f>IFERROR(VLOOKUP($G1347,нормы!$A$14:$BC$57,42,0)*W1347,"")</f>
        <v/>
      </c>
      <c r="Z1347" s="163">
        <f>IFERROR(VLOOKUP($G1347,нормы!$A$14:$BC$57,14,0)*W1347/1000,0)</f>
        <v>0</v>
      </c>
      <c r="AA1347" s="30"/>
      <c r="AB1347" s="35"/>
      <c r="AC1347" s="35"/>
      <c r="AD1347" s="35"/>
      <c r="AE1347" s="31"/>
      <c r="AF1347" s="160"/>
      <c r="AG1347" s="391"/>
      <c r="AH1347" s="394"/>
      <c r="AI1347" s="397"/>
      <c r="AJ1347" s="408"/>
      <c r="AK1347" s="360"/>
      <c r="AL1347" s="360"/>
      <c r="AM1347" s="360"/>
      <c r="AN1347" s="289">
        <f>IFERROR(Y1347*AJ1344/Y1350,)</f>
        <v>0</v>
      </c>
      <c r="AO1347" s="197" t="str">
        <f>IFERROR(VLOOKUP($G1347,нормы!$A$14:$BC$57,53,0)*$W1347,"")</f>
        <v/>
      </c>
      <c r="AP1347" s="290">
        <f>IFERROR(Y1347*AI1344/Y1350,)</f>
        <v>0</v>
      </c>
      <c r="AQ1347" s="197" t="str">
        <f>IFERROR(VLOOKUP($G1347,нормы!$A$14:$BC$57,54,0)*$W1347,"")</f>
        <v/>
      </c>
      <c r="AR1347" s="290">
        <f>IFERROR(AS1347/SUM(AS1344:AS1349)*AL1344,0)</f>
        <v>0</v>
      </c>
      <c r="AS1347" s="197" t="str">
        <f>IFERROR(VLOOKUP($G1347,нормы!$A$14:$BC$57,55,0)*W1347,"")</f>
        <v/>
      </c>
      <c r="AT1347" s="290">
        <f>IFERROR(AU1347/SUM(AU1344:AU1349)*AM1344,0)</f>
        <v>0</v>
      </c>
      <c r="AU1347" s="197" t="str">
        <f>IFERROR(VLOOKUP($G1347,нормы!$A$14:$BI$57,56,0)*W1347,"")</f>
        <v/>
      </c>
      <c r="AV1347" s="290">
        <f>IFERROR(AW1347/SUM(AW1344:AW1349)*AK1344,0)</f>
        <v>0</v>
      </c>
      <c r="AW1347" s="202" t="str">
        <f>IFERROR(VLOOKUP($G1347,нормы!$A$14:$BI$57,57,0)*W1347,"")</f>
        <v/>
      </c>
      <c r="AX1347" s="30"/>
      <c r="AY1347" s="203" t="str">
        <f>IFERROR(VLOOKUP($G1347,нормы!$A$14:$BI$57,58,0)*W1347,"")</f>
        <v/>
      </c>
      <c r="AZ1347" s="205"/>
      <c r="BA1347" s="200" t="str">
        <f>IFERROR(VLOOKUP($G1347,нормы!$A$14:$BI$57,61,0)*$W1347,"")</f>
        <v/>
      </c>
      <c r="BB1347" s="30"/>
      <c r="BC1347" s="203" t="str">
        <f>IFERROR(VLOOKUP($G1347,нормы!$A$14:$BI$57,60,0)*W1347,"")</f>
        <v/>
      </c>
      <c r="BD1347" s="200" t="str">
        <f>IFERROR(VLOOKUP($G1347,нормы!$A$14:$BG$57,44,0),"")</f>
        <v/>
      </c>
      <c r="BE1347" s="199" t="str">
        <f>IFERROR(W1347/VLOOKUP($G1347,нормы!$A$14:$BI$57,45,0),"")</f>
        <v/>
      </c>
    </row>
    <row r="1348" spans="1:57" s="1" customFormat="1" ht="20.25" customHeight="1" x14ac:dyDescent="0.4">
      <c r="A1348" s="37" t="str">
        <f t="shared" si="530"/>
        <v>22Н</v>
      </c>
      <c r="B1348" s="12">
        <f t="shared" si="531"/>
        <v>22</v>
      </c>
      <c r="C1348" s="97">
        <f t="shared" si="531"/>
        <v>0</v>
      </c>
      <c r="D1348" s="97">
        <f t="shared" si="531"/>
        <v>1</v>
      </c>
      <c r="E1348" s="54"/>
      <c r="F1348" s="151" t="str">
        <f>IFERROR(VLOOKUP($G1348,нормы!$A$14:$BC$57,2,0),"")</f>
        <v/>
      </c>
      <c r="G1348" s="38"/>
      <c r="H1348" s="54">
        <f t="shared" si="532"/>
        <v>0</v>
      </c>
      <c r="I1348" s="89" t="s">
        <v>73</v>
      </c>
      <c r="J1348" s="333"/>
      <c r="K1348" s="30">
        <f>IFERROR(VLOOKUP($G1348,[1]нормы!$A$21:$BC$151,15,0),"")</f>
        <v>0</v>
      </c>
      <c r="L1348" s="31">
        <f>IFERROR(VLOOKUP($G1348,[1]нормы!$A$21:$BC$151,17,0),"")</f>
        <v>0</v>
      </c>
      <c r="M1348" s="306">
        <f>IFERROR(VLOOKUP($G1348,[1]нормы!$A$21:$BC$151,27,0),"")</f>
        <v>0</v>
      </c>
      <c r="N1348" s="307" t="str">
        <f>IFERROR(Y1348/Y1350*(1.1*J1344*I1353),"")</f>
        <v/>
      </c>
      <c r="O1348" s="300">
        <f>IFERROR(VLOOKUP($G1348,[1]нормы!$A$21:$BC$151,21,0),"")</f>
        <v>0</v>
      </c>
      <c r="P1348" s="35">
        <f>IFERROR(VLOOKUP($G1348,[1]нормы!$A$21:$BC$151,19,0),"")</f>
        <v>0</v>
      </c>
      <c r="Q1348" s="35">
        <f>IFERROR(VLOOKUP($G1348,[1]нормы!$A$21:$BC$151,23,0),"")</f>
        <v>0</v>
      </c>
      <c r="R1348" s="231">
        <f>IFERROR(VLOOKUP($G1348,[1]нормы!$A$21:$BC$151,29,0),"")</f>
        <v>0</v>
      </c>
      <c r="S1348" s="35">
        <f>IFERROR(VLOOKUP($G1348,[1]нормы!$A$21:$BC$151,31,0),"")</f>
        <v>0</v>
      </c>
      <c r="T1348" s="32">
        <f>IFERROR(VLOOKUP($G1348,[1]нормы!$A$21:$BC$151,25,0),"")</f>
        <v>0</v>
      </c>
      <c r="U1348" s="233" t="str">
        <f>IFERROR(W1348/(((100*Y1348/Y1350)*I1349)/100),"")</f>
        <v/>
      </c>
      <c r="V1348" s="234" t="str">
        <f>IFERROR(VLOOKUP($G1348,нормы!$A$14:$BC$57,38,0),"")</f>
        <v/>
      </c>
      <c r="W1348" s="136"/>
      <c r="X1348" s="237"/>
      <c r="Y1348" s="152" t="str">
        <f>IFERROR(VLOOKUP($G1348,нормы!$A$14:$BC$57,42,0)*W1348,"")</f>
        <v/>
      </c>
      <c r="Z1348" s="163">
        <f>IFERROR(VLOOKUP($G1348,нормы!$A$14:$BC$57,14,0)*W1348/1000,0)</f>
        <v>0</v>
      </c>
      <c r="AA1348" s="30"/>
      <c r="AB1348" s="35"/>
      <c r="AC1348" s="35"/>
      <c r="AD1348" s="35"/>
      <c r="AE1348" s="31"/>
      <c r="AF1348" s="160"/>
      <c r="AG1348" s="391"/>
      <c r="AH1348" s="394"/>
      <c r="AI1348" s="397"/>
      <c r="AJ1348" s="408"/>
      <c r="AK1348" s="360"/>
      <c r="AL1348" s="360"/>
      <c r="AM1348" s="360"/>
      <c r="AN1348" s="289">
        <f>IFERROR(Y1348*AJ1344/Y1350,)</f>
        <v>0</v>
      </c>
      <c r="AO1348" s="197" t="str">
        <f>IFERROR(VLOOKUP($G1348,нормы!$A$14:$BC$57,53,0)*$W1348,"")</f>
        <v/>
      </c>
      <c r="AP1348" s="290">
        <f>IFERROR(Y1348*AI1344/Y1350,)</f>
        <v>0</v>
      </c>
      <c r="AQ1348" s="197" t="str">
        <f>IFERROR(VLOOKUP($G1348,нормы!$A$14:$BC$57,54,0)*$W1348,"")</f>
        <v/>
      </c>
      <c r="AR1348" s="290">
        <f>IFERROR(AS1348/SUM(AS1344:AS1349)*AL1344,0)</f>
        <v>0</v>
      </c>
      <c r="AS1348" s="197" t="str">
        <f>IFERROR(VLOOKUP($G1348,нормы!$A$14:$BC$57,55,0)*W1348,"")</f>
        <v/>
      </c>
      <c r="AT1348" s="290">
        <f>IFERROR(AU1348/SUM(AU1344:AU1349)*AM1344,0)</f>
        <v>0</v>
      </c>
      <c r="AU1348" s="197" t="str">
        <f>IFERROR(VLOOKUP($G1348,нормы!$A$14:$BI$57,56,0)*W1348,"")</f>
        <v/>
      </c>
      <c r="AV1348" s="290">
        <f>IFERROR(AW1348/SUM(AW1344:AW1349)*AK1344,0)</f>
        <v>0</v>
      </c>
      <c r="AW1348" s="202" t="str">
        <f>IFERROR(VLOOKUP($G1348,нормы!$A$14:$BI$57,57,0)*W1348,"")</f>
        <v/>
      </c>
      <c r="AX1348" s="30"/>
      <c r="AY1348" s="203" t="str">
        <f>IFERROR(VLOOKUP($G1348,нормы!$A$14:$BI$57,58,0)*W1348,"")</f>
        <v/>
      </c>
      <c r="AZ1348" s="205"/>
      <c r="BA1348" s="200" t="str">
        <f>IFERROR(VLOOKUP($G1348,нормы!$A$14:$BI$57,61,0)*$W1348,"")</f>
        <v/>
      </c>
      <c r="BB1348" s="30"/>
      <c r="BC1348" s="203" t="str">
        <f>IFERROR(VLOOKUP($G1348,нормы!$A$14:$BI$57,60,0)*W1348,"")</f>
        <v/>
      </c>
      <c r="BD1348" s="200" t="str">
        <f>IFERROR(VLOOKUP($G1348,нормы!$A$14:$BG$57,44,0),"")</f>
        <v/>
      </c>
      <c r="BE1348" s="199" t="str">
        <f>IFERROR(W1348/VLOOKUP($G1348,нормы!$A$14:$BI$57,45,0),"")</f>
        <v/>
      </c>
    </row>
    <row r="1349" spans="1:57" s="1" customFormat="1" ht="21" customHeight="1" thickBot="1" x14ac:dyDescent="0.45">
      <c r="A1349" s="37" t="str">
        <f t="shared" si="530"/>
        <v>22Н</v>
      </c>
      <c r="B1349" s="12">
        <f t="shared" si="531"/>
        <v>22</v>
      </c>
      <c r="C1349" s="97">
        <f t="shared" si="531"/>
        <v>0</v>
      </c>
      <c r="D1349" s="97">
        <f t="shared" si="531"/>
        <v>1</v>
      </c>
      <c r="E1349" s="54"/>
      <c r="F1349" s="151" t="str">
        <f>IFERROR(VLOOKUP($G1349,нормы!$A$14:$BC$57,2,0),"")</f>
        <v/>
      </c>
      <c r="G1349" s="93"/>
      <c r="H1349" s="63">
        <f t="shared" si="532"/>
        <v>0</v>
      </c>
      <c r="I1349" s="153">
        <f>I1345+I1347</f>
        <v>0</v>
      </c>
      <c r="J1349" s="334"/>
      <c r="K1349" s="30">
        <f>IFERROR(VLOOKUP($G1349,[1]нормы!$A$21:$BC$151,15,0),"")</f>
        <v>0</v>
      </c>
      <c r="L1349" s="31">
        <f>IFERROR(VLOOKUP($G1349,[1]нормы!$A$21:$BC$151,17,0),"")</f>
        <v>0</v>
      </c>
      <c r="M1349" s="308">
        <f>IFERROR(VLOOKUP($G1349,[1]нормы!$A$21:$BC$151,27,0),"")</f>
        <v>0</v>
      </c>
      <c r="N1349" s="309" t="str">
        <f>IFERROR(Y1349/Y1350*(1.1*J1344*I1354),"")</f>
        <v/>
      </c>
      <c r="O1349" s="300">
        <f>IFERROR(VLOOKUP($G1349,[1]нормы!$A$21:$BC$151,21,0),"")</f>
        <v>0</v>
      </c>
      <c r="P1349" s="35">
        <f>IFERROR(VLOOKUP($G1349,[1]нормы!$A$21:$BC$151,19,0),"")</f>
        <v>0</v>
      </c>
      <c r="Q1349" s="35">
        <f>IFERROR(VLOOKUP($G1349,[1]нормы!$A$21:$BC$151,23,0),"")</f>
        <v>0</v>
      </c>
      <c r="R1349" s="231">
        <f>IFERROR(VLOOKUP($G1349,[1]нормы!$A$21:$BC$151,29,0),"")</f>
        <v>0</v>
      </c>
      <c r="S1349" s="35">
        <f>IFERROR(VLOOKUP($G1349,[1]нормы!$A$21:$BC$151,31,0),"")</f>
        <v>0</v>
      </c>
      <c r="T1349" s="32">
        <f>IFERROR(VLOOKUP($G1349,[1]нормы!$A$21:$BC$151,25,0),"")</f>
        <v>0</v>
      </c>
      <c r="U1349" s="235" t="str">
        <f>IFERROR(W1349/(((100*Y1349/Y1350)*I1349)/100),"")</f>
        <v/>
      </c>
      <c r="V1349" s="234" t="str">
        <f>IFERROR(VLOOKUP($G1349,нормы!$A$14:$BC$57,38,0),"")</f>
        <v/>
      </c>
      <c r="W1349" s="154"/>
      <c r="X1349" s="238"/>
      <c r="Y1349" s="152" t="str">
        <f>IFERROR(VLOOKUP($G1349,нормы!$A$14:$BC$57,42,0)*W1349,"")</f>
        <v/>
      </c>
      <c r="Z1349" s="163">
        <f>IFERROR(VLOOKUP($G1349,нормы!$A$14:$BC$57,14,0)*W1349/1000,0)</f>
        <v>0</v>
      </c>
      <c r="AA1349" s="56"/>
      <c r="AB1349" s="58"/>
      <c r="AC1349" s="58"/>
      <c r="AD1349" s="58"/>
      <c r="AE1349" s="57"/>
      <c r="AF1349" s="161"/>
      <c r="AG1349" s="392"/>
      <c r="AH1349" s="395"/>
      <c r="AI1349" s="398"/>
      <c r="AJ1349" s="409"/>
      <c r="AK1349" s="361"/>
      <c r="AL1349" s="361"/>
      <c r="AM1349" s="361"/>
      <c r="AN1349" s="291">
        <f>IFERROR(Y1349*AJ1344/Y1350,)</f>
        <v>0</v>
      </c>
      <c r="AO1349" s="197" t="str">
        <f>IFERROR(VLOOKUP($G1349,нормы!$A$14:$BC$57,53,0)*$W1349,"")</f>
        <v/>
      </c>
      <c r="AP1349" s="292">
        <f>IFERROR(Y1349*AI1344/Y1350,)</f>
        <v>0</v>
      </c>
      <c r="AQ1349" s="197" t="str">
        <f>IFERROR(VLOOKUP($G1349,нормы!$A$14:$BC$57,54,0)*$W1349,"")</f>
        <v/>
      </c>
      <c r="AR1349" s="290">
        <f>IFERROR(AS1349/SUM(AS1344:AS1349)*AL1344,0)</f>
        <v>0</v>
      </c>
      <c r="AS1349" s="197" t="str">
        <f>IFERROR(VLOOKUP($G1349,нормы!$A$14:$BC$57,55,0)*W1349,"")</f>
        <v/>
      </c>
      <c r="AT1349" s="292">
        <f>IFERROR(AU1349/SUM(AU1344:AU1349)*AM1344,0)</f>
        <v>0</v>
      </c>
      <c r="AU1349" s="197" t="str">
        <f>IFERROR(VLOOKUP($G1349,нормы!$A$14:$BI$57,56,0)*W1349,"")</f>
        <v/>
      </c>
      <c r="AV1349" s="292">
        <f>IFERROR(AW1349/SUM(AW1344:AW1349)*AK1344,0)</f>
        <v>0</v>
      </c>
      <c r="AW1349" s="202" t="str">
        <f>IFERROR(VLOOKUP($G1349,нормы!$A$14:$BI$57,57,0)*W1349,"")</f>
        <v/>
      </c>
      <c r="AX1349" s="56"/>
      <c r="AY1349" s="203" t="str">
        <f>IFERROR(VLOOKUP($G1349,нормы!$A$14:$BI$57,58,0)*W1349,"")</f>
        <v/>
      </c>
      <c r="AZ1349" s="206"/>
      <c r="BA1349" s="200" t="str">
        <f>IFERROR(VLOOKUP($G1349,нормы!$A$14:$BI$57,61,0)*$W1349,"")</f>
        <v/>
      </c>
      <c r="BB1349" s="56"/>
      <c r="BC1349" s="203" t="str">
        <f>IFERROR(VLOOKUP($G1349,нормы!$A$14:$BI$57,60,0)*W1349,"")</f>
        <v/>
      </c>
      <c r="BD1349" s="200" t="str">
        <f>IFERROR(VLOOKUP($G1349,нормы!$A$14:$BG$57,44,0),"")</f>
        <v/>
      </c>
      <c r="BE1349" s="199" t="str">
        <f>IFERROR(W1349/VLOOKUP($G1349,нормы!$A$14:$BI$57,45,0),"")</f>
        <v/>
      </c>
    </row>
    <row r="1350" spans="1:57" s="1" customFormat="1" ht="29.4" customHeight="1" thickBot="1" x14ac:dyDescent="0.45">
      <c r="A1350" s="37" t="str">
        <f t="shared" si="530"/>
        <v>22Н</v>
      </c>
      <c r="B1350" s="59"/>
      <c r="C1350" s="51"/>
      <c r="D1350" s="51"/>
      <c r="E1350" s="51"/>
      <c r="F1350" s="295" t="s">
        <v>149</v>
      </c>
      <c r="G1350" s="51"/>
      <c r="H1350" s="51"/>
      <c r="I1350" s="60"/>
      <c r="J1350" s="60"/>
      <c r="K1350" s="319" t="s">
        <v>213</v>
      </c>
      <c r="L1350" s="316"/>
      <c r="M1350" s="303" t="s">
        <v>213</v>
      </c>
      <c r="N1350" s="317">
        <f>SUM(N1344:N1349)</f>
        <v>0</v>
      </c>
      <c r="O1350" s="304" t="s">
        <v>216</v>
      </c>
      <c r="P1350" s="318">
        <f>N1350*8.937/1000</f>
        <v>0</v>
      </c>
      <c r="Q1350" s="305" t="s">
        <v>215</v>
      </c>
      <c r="R1350" s="61"/>
      <c r="S1350" s="61"/>
      <c r="T1350" s="61"/>
      <c r="U1350" s="109"/>
      <c r="V1350" s="109"/>
      <c r="W1350" s="94"/>
      <c r="X1350" s="155"/>
      <c r="Y1350" s="96">
        <f>SUM(Y1344:Y1349)</f>
        <v>0</v>
      </c>
      <c r="Z1350" s="164">
        <f>SUM(Z1344:Z1349)</f>
        <v>0</v>
      </c>
      <c r="AA1350" s="62"/>
      <c r="AB1350" s="62"/>
      <c r="AC1350" s="62"/>
      <c r="AD1350" s="62"/>
      <c r="AE1350" s="62"/>
      <c r="AF1350" s="62"/>
      <c r="AG1350" s="162" t="s">
        <v>140</v>
      </c>
      <c r="AH1350" s="162" t="s">
        <v>141</v>
      </c>
      <c r="AI1350" s="162" t="s">
        <v>142</v>
      </c>
      <c r="AJ1350" s="91" t="s">
        <v>126</v>
      </c>
      <c r="AK1350" s="198" t="s">
        <v>136</v>
      </c>
      <c r="AL1350" s="198" t="s">
        <v>137</v>
      </c>
      <c r="AM1350" s="198" t="s">
        <v>138</v>
      </c>
      <c r="AN1350" s="91"/>
      <c r="AO1350" s="91"/>
      <c r="AP1350" s="91"/>
      <c r="AQ1350" s="91"/>
      <c r="AR1350" s="91"/>
      <c r="AS1350" s="91"/>
      <c r="AT1350" s="91"/>
      <c r="AU1350" s="91"/>
      <c r="AV1350" s="91"/>
      <c r="AW1350" s="91"/>
      <c r="AX1350" s="91"/>
      <c r="AY1350" s="91"/>
      <c r="AZ1350" s="91"/>
      <c r="BA1350" s="91"/>
      <c r="BB1350" s="91"/>
      <c r="BC1350" s="91"/>
      <c r="BD1350" s="91"/>
      <c r="BE1350" s="53" t="str">
        <f>IFERROR(W1350/VLOOKUP($G1350,нормы!$A$14:$BI$15,28,0),"")</f>
        <v/>
      </c>
    </row>
    <row r="1351" spans="1:57" s="1" customFormat="1" ht="21.6" customHeight="1" x14ac:dyDescent="0.4">
      <c r="A1351" s="37" t="str">
        <f t="shared" si="530"/>
        <v>22Н</v>
      </c>
      <c r="B1351" s="12">
        <f>B1349</f>
        <v>22</v>
      </c>
      <c r="C1351" s="97"/>
      <c r="D1351" s="97">
        <v>2</v>
      </c>
      <c r="E1351" s="29"/>
      <c r="F1351" s="151" t="str">
        <f>IFERROR(VLOOKUP($G1351,нормы!$A$14:$BC$57,2,0),"")</f>
        <v/>
      </c>
      <c r="G1351" s="93"/>
      <c r="H1351" s="54">
        <f>IF(C1351=1,"Кульков С.А.", IF(C1351=2,"Чудаков А.А.",IF(C1351=3,"Королев В.Н.",IF(C1351=4,"Николашин М.П.",IF(C1351=5," Кульков С.А.",IF(C1351=6,"А.А. Чудаков",IF(C1351=7,"В.Н. Королев",IF(C1351=8,"М.П. Николашин",0))))))))</f>
        <v>0</v>
      </c>
      <c r="I1351" s="88" t="s">
        <v>211</v>
      </c>
      <c r="J1351" s="332"/>
      <c r="K1351" s="30">
        <f>IFERROR(VLOOKUP($G1351,[1]нормы!$A$21:$BC$151,15,0),"")</f>
        <v>0</v>
      </c>
      <c r="L1351" s="31">
        <f>IFERROR(VLOOKUP($G1351,[1]нормы!$A$21:$BC$151,17,0),"")</f>
        <v>0</v>
      </c>
      <c r="M1351" s="310">
        <f>IFERROR(VLOOKUP($G1351,[1]нормы!$A$21:$BC$151,27,0),"")</f>
        <v>0</v>
      </c>
      <c r="N1351" s="311" t="str">
        <f>IFERROR(Y1351/Y1357*(1.1*J1351*I1356),"")</f>
        <v/>
      </c>
      <c r="O1351" s="300">
        <f>IFERROR(VLOOKUP($G1351,[1]нормы!$A$21:$BC$151,21,0),"")</f>
        <v>0</v>
      </c>
      <c r="P1351" s="35">
        <f>IFERROR(VLOOKUP($G1351,[1]нормы!$A$21:$BC$151,19,0),"")</f>
        <v>0</v>
      </c>
      <c r="Q1351" s="35">
        <f>IFERROR(VLOOKUP($G1351,[1]нормы!$A$21:$BC$151,23,0),"")</f>
        <v>0</v>
      </c>
      <c r="R1351" s="231">
        <f>IFERROR(VLOOKUP($G1351,[1]нормы!$A$21:$BC$151,29,0),"")</f>
        <v>0</v>
      </c>
      <c r="S1351" s="35">
        <f>IFERROR(VLOOKUP($G1351,[1]нормы!$A$21:$BC$151,31,0),"")</f>
        <v>0</v>
      </c>
      <c r="T1351" s="32">
        <f>IFERROR(VLOOKUP($G1351,[1]нормы!$A$21:$BC$151,25,0),"")</f>
        <v>0</v>
      </c>
      <c r="U1351" s="232" t="str">
        <f>IFERROR(W1351/(((100*Y1351/Y1357)*I1356)/100),"")</f>
        <v/>
      </c>
      <c r="V1351" s="234" t="str">
        <f>IFERROR(VLOOKUP($G1351,нормы!$A$14:$BC$57,38,0),"")</f>
        <v/>
      </c>
      <c r="W1351" s="136"/>
      <c r="X1351" s="236"/>
      <c r="Y1351" s="152" t="str">
        <f>IFERROR(VLOOKUP($G1351,нормы!$A$14:$BC$57,42,0)*W1351,"")</f>
        <v/>
      </c>
      <c r="Z1351" s="163">
        <f>IFERROR(VLOOKUP($G1351,нормы!$A$14:$BC$57,14,0)*W1351/1000,0)</f>
        <v>0</v>
      </c>
      <c r="AA1351" s="33"/>
      <c r="AB1351" s="36"/>
      <c r="AC1351" s="36"/>
      <c r="AD1351" s="36"/>
      <c r="AE1351" s="34"/>
      <c r="AF1351" s="159"/>
      <c r="AG1351" s="390"/>
      <c r="AH1351" s="393"/>
      <c r="AI1351" s="396"/>
      <c r="AJ1351" s="407">
        <f>AG1351+AH1351</f>
        <v>0</v>
      </c>
      <c r="AK1351" s="359"/>
      <c r="AL1351" s="359"/>
      <c r="AM1351" s="359"/>
      <c r="AN1351" s="287">
        <f>IFERROR(Y1351*AJ1351/Y1357,)</f>
        <v>0</v>
      </c>
      <c r="AO1351" s="197" t="str">
        <f>IFERROR(VLOOKUP($G1351,нормы!$A$14:$BC$57,53,0)*$W1351,"")</f>
        <v/>
      </c>
      <c r="AP1351" s="288">
        <f>IFERROR(Y1351*AI1351/Y1357,)</f>
        <v>0</v>
      </c>
      <c r="AQ1351" s="197" t="str">
        <f>IFERROR(VLOOKUP($G1351,нормы!$A$14:$BC$57,54,0)*$W1351,"")</f>
        <v/>
      </c>
      <c r="AR1351" s="288">
        <f>IFERROR(AS1351/SUM(AS1351:AS1356)*AL1351,0)</f>
        <v>0</v>
      </c>
      <c r="AS1351" s="197" t="str">
        <f>IFERROR(VLOOKUP($G1351,нормы!$A$14:$BC$57,55,0)*W1351,"")</f>
        <v/>
      </c>
      <c r="AT1351" s="288">
        <f>IFERROR(AU1351/SUM(AU1351:AU1356)*AM1351,0)</f>
        <v>0</v>
      </c>
      <c r="AU1351" s="197" t="str">
        <f>IFERROR(VLOOKUP($G1351,нормы!$A$14:$BI$57,56,0)*W1351,"")</f>
        <v/>
      </c>
      <c r="AV1351" s="288">
        <f>IFERROR(AW1351/SUM(AW1351:AW1356)*AK1351,0)</f>
        <v>0</v>
      </c>
      <c r="AW1351" s="202" t="str">
        <f>IFERROR(VLOOKUP($G1351,нормы!$A$14:$BI$57,57,0)*W1351,"")</f>
        <v/>
      </c>
      <c r="AX1351" s="33"/>
      <c r="AY1351" s="203" t="str">
        <f>IFERROR(VLOOKUP($G1351,нормы!$A$14:$BI$57,58,0)*W1351,"")</f>
        <v/>
      </c>
      <c r="AZ1351" s="204"/>
      <c r="BA1351" s="200" t="str">
        <f>IFERROR(VLOOKUP($G1351,нормы!$A$14:$BI$57,61,0)*$W1351,"")</f>
        <v/>
      </c>
      <c r="BB1351" s="33"/>
      <c r="BC1351" s="203" t="str">
        <f>IFERROR(VLOOKUP($G1351,нормы!$A$14:$BI$57,60,0)*W1351,"")</f>
        <v/>
      </c>
      <c r="BD1351" s="200" t="str">
        <f>IFERROR(VLOOKUP($G1351,нормы!$A$14:$BG$57,44,0),"")</f>
        <v/>
      </c>
      <c r="BE1351" s="199" t="str">
        <f>IFERROR(W1351/VLOOKUP($G1351,нормы!$A$14:$BI$57,45,0),"")</f>
        <v/>
      </c>
    </row>
    <row r="1352" spans="1:57" s="1" customFormat="1" ht="21.6" customHeight="1" x14ac:dyDescent="0.4">
      <c r="A1352" s="37" t="str">
        <f t="shared" si="530"/>
        <v>22Н</v>
      </c>
      <c r="B1352" s="12">
        <f t="shared" ref="B1352:D1356" si="533">B1351</f>
        <v>22</v>
      </c>
      <c r="C1352" s="97">
        <f t="shared" si="533"/>
        <v>0</v>
      </c>
      <c r="D1352" s="97">
        <f t="shared" si="533"/>
        <v>2</v>
      </c>
      <c r="E1352" s="54"/>
      <c r="F1352" s="151" t="str">
        <f>IFERROR(VLOOKUP($G1352,нормы!$A$14:$BC$57,2,0),"")</f>
        <v/>
      </c>
      <c r="G1352" s="93"/>
      <c r="H1352" s="54">
        <f t="shared" ref="H1352:H1356" si="534">IF(C1352=1,"Кульков С.А.", IF(C1352=2,"Чудаков А.А.",IF(C1352=3,"Королев В.Н.",IF(C1352=4,"Николашин М.П.",IF(C1352=5," Кульков С.А.",IF(C1352=6,"А.А. Чудаков",IF(C1352=7,"В.Н. Королев",IF(C1352=8,"М.П. Николашин",0))))))))</f>
        <v>0</v>
      </c>
      <c r="I1352" s="55"/>
      <c r="J1352" s="333"/>
      <c r="K1352" s="30">
        <f>IFERROR(VLOOKUP($G1352,[1]нормы!$A$21:$BC$151,15,0),"")</f>
        <v>0</v>
      </c>
      <c r="L1352" s="31">
        <f>IFERROR(VLOOKUP($G1352,[1]нормы!$A$21:$BC$151,17,0),"")</f>
        <v>0</v>
      </c>
      <c r="M1352" s="306">
        <f>IFERROR(VLOOKUP($G1352,[1]нормы!$A$21:$BC$151,27,0),"")</f>
        <v>0</v>
      </c>
      <c r="N1352" s="307" t="str">
        <f>IFERROR(Y1352/Y1357*(1.1*J1351*I1356),"")</f>
        <v/>
      </c>
      <c r="O1352" s="300">
        <f>IFERROR(VLOOKUP($G1352,[1]нормы!$A$21:$BC$151,21,0),"")</f>
        <v>0</v>
      </c>
      <c r="P1352" s="35">
        <f>IFERROR(VLOOKUP($G1352,[1]нормы!$A$21:$BC$151,19,0),"")</f>
        <v>0</v>
      </c>
      <c r="Q1352" s="35">
        <f>IFERROR(VLOOKUP($G1352,[1]нормы!$A$21:$BC$151,23,0),"")</f>
        <v>0</v>
      </c>
      <c r="R1352" s="231">
        <f>IFERROR(VLOOKUP($G1352,[1]нормы!$A$21:$BC$151,29,0),"")</f>
        <v>0</v>
      </c>
      <c r="S1352" s="35">
        <f>IFERROR(VLOOKUP($G1352,[1]нормы!$A$21:$BC$151,31,0),"")</f>
        <v>0</v>
      </c>
      <c r="T1352" s="32">
        <f>IFERROR(VLOOKUP($G1352,[1]нормы!$A$21:$BC$151,25,0),"")</f>
        <v>0</v>
      </c>
      <c r="U1352" s="233" t="str">
        <f>IFERROR(W1352/(((100*Y1352/Y1357)*I1356)/100),"")</f>
        <v/>
      </c>
      <c r="V1352" s="234" t="str">
        <f>IFERROR(VLOOKUP($G1352,нормы!$A$14:$BC$57,38,0),"")</f>
        <v/>
      </c>
      <c r="W1352" s="136"/>
      <c r="X1352" s="237"/>
      <c r="Y1352" s="152" t="str">
        <f>IFERROR(VLOOKUP($G1352,нормы!$A$14:$BC$57,42,0)*W1352,"")</f>
        <v/>
      </c>
      <c r="Z1352" s="163">
        <f>IFERROR(VLOOKUP($G1352,нормы!$A$14:$BC$57,14,0)*W1352/1000,0)</f>
        <v>0</v>
      </c>
      <c r="AA1352" s="142"/>
      <c r="AB1352" s="35"/>
      <c r="AC1352" s="35"/>
      <c r="AD1352" s="35"/>
      <c r="AE1352" s="31"/>
      <c r="AF1352" s="160"/>
      <c r="AG1352" s="391"/>
      <c r="AH1352" s="394"/>
      <c r="AI1352" s="397"/>
      <c r="AJ1352" s="408"/>
      <c r="AK1352" s="360"/>
      <c r="AL1352" s="360"/>
      <c r="AM1352" s="360"/>
      <c r="AN1352" s="289">
        <f>IFERROR(Y1352*AJ1351/Y1357,)</f>
        <v>0</v>
      </c>
      <c r="AO1352" s="197" t="str">
        <f>IFERROR(VLOOKUP($G1352,нормы!$A$14:$BC$57,53,0)*$W1352,"")</f>
        <v/>
      </c>
      <c r="AP1352" s="290">
        <f>IFERROR(Y1352*AI1351/Y1357,)</f>
        <v>0</v>
      </c>
      <c r="AQ1352" s="197" t="str">
        <f>IFERROR(VLOOKUP($G1352,нормы!$A$14:$BC$57,54,0)*$W1352,"")</f>
        <v/>
      </c>
      <c r="AR1352" s="290">
        <f>IFERROR(AS1352/SUM(AS1351:AS1356)*AL1351,0)</f>
        <v>0</v>
      </c>
      <c r="AS1352" s="197" t="str">
        <f>IFERROR(VLOOKUP($G1352,нормы!$A$14:$BC$57,55,0)*W1352,"")</f>
        <v/>
      </c>
      <c r="AT1352" s="290">
        <f>IFERROR(AU1352/SUM(AU1351:AU1356)*AM1351,0)</f>
        <v>0</v>
      </c>
      <c r="AU1352" s="197" t="str">
        <f>IFERROR(VLOOKUP($G1352,нормы!$A$14:$BI$57,56,0)*W1352,"")</f>
        <v/>
      </c>
      <c r="AV1352" s="290">
        <f>IFERROR(AW1352/SUM(AW1351:AW1356)*AK1351,0)</f>
        <v>0</v>
      </c>
      <c r="AW1352" s="202" t="str">
        <f>IFERROR(VLOOKUP($G1352,нормы!$A$14:$BI$57,57,0)*W1352,"")</f>
        <v/>
      </c>
      <c r="AX1352" s="30"/>
      <c r="AY1352" s="203" t="str">
        <f>IFERROR(VLOOKUP($G1352,нормы!$A$14:$BI$57,58,0)*W1352,"")</f>
        <v/>
      </c>
      <c r="AZ1352" s="205"/>
      <c r="BA1352" s="200" t="str">
        <f>IFERROR(VLOOKUP($G1352,нормы!$A$14:$BI$57,61,0)*$W1352,"")</f>
        <v/>
      </c>
      <c r="BB1352" s="30"/>
      <c r="BC1352" s="203" t="str">
        <f>IFERROR(VLOOKUP($G1352,нормы!$A$14:$BI$57,60,0)*W1352,"")</f>
        <v/>
      </c>
      <c r="BD1352" s="200" t="str">
        <f>IFERROR(VLOOKUP($G1352,нормы!$A$14:$BG$57,44,0),"")</f>
        <v/>
      </c>
      <c r="BE1352" s="199" t="str">
        <f>IFERROR(W1352/VLOOKUP($G1352,нормы!$A$14:$BI$57,45,0),"")</f>
        <v/>
      </c>
    </row>
    <row r="1353" spans="1:57" s="1" customFormat="1" ht="20.25" customHeight="1" x14ac:dyDescent="0.4">
      <c r="A1353" s="37" t="str">
        <f t="shared" si="530"/>
        <v>22Н</v>
      </c>
      <c r="B1353" s="12">
        <f t="shared" si="533"/>
        <v>22</v>
      </c>
      <c r="C1353" s="97">
        <f t="shared" si="533"/>
        <v>0</v>
      </c>
      <c r="D1353" s="97">
        <f t="shared" si="533"/>
        <v>2</v>
      </c>
      <c r="E1353" s="54"/>
      <c r="F1353" s="151" t="str">
        <f>IFERROR(VLOOKUP($G1353,нормы!$A$14:$BC$57,2,0),"")</f>
        <v/>
      </c>
      <c r="G1353" s="38"/>
      <c r="H1353" s="54">
        <f t="shared" si="534"/>
        <v>0</v>
      </c>
      <c r="I1353" s="89" t="s">
        <v>212</v>
      </c>
      <c r="J1353" s="333"/>
      <c r="K1353" s="30">
        <f>IFERROR(VLOOKUP($G1353,[1]нормы!$A$21:$BC$151,15,0),"")</f>
        <v>0</v>
      </c>
      <c r="L1353" s="31">
        <f>IFERROR(VLOOKUP($G1353,[1]нормы!$A$21:$BC$151,17,0),"")</f>
        <v>0</v>
      </c>
      <c r="M1353" s="306">
        <f>IFERROR(VLOOKUP($G1353,[1]нормы!$A$21:$BC$151,27,0),"")</f>
        <v>0</v>
      </c>
      <c r="N1353" s="307" t="str">
        <f>IFERROR(Y1353/Y1357*(1.1*J1351*I1356),"")</f>
        <v/>
      </c>
      <c r="O1353" s="300">
        <f>IFERROR(VLOOKUP($G1353,[1]нормы!$A$21:$BC$151,21,0),"")</f>
        <v>0</v>
      </c>
      <c r="P1353" s="35">
        <f>IFERROR(VLOOKUP($G1353,[1]нормы!$A$21:$BC$151,19,0),"")</f>
        <v>0</v>
      </c>
      <c r="Q1353" s="35">
        <f>IFERROR(VLOOKUP($G1353,[1]нормы!$A$21:$BC$151,23,0),"")</f>
        <v>0</v>
      </c>
      <c r="R1353" s="231">
        <f>IFERROR(VLOOKUP($G1353,[1]нормы!$A$21:$BC$151,29,0),"")</f>
        <v>0</v>
      </c>
      <c r="S1353" s="35">
        <f>IFERROR(VLOOKUP($G1353,[1]нормы!$A$21:$BC$151,31,0),"")</f>
        <v>0</v>
      </c>
      <c r="T1353" s="32">
        <f>IFERROR(VLOOKUP($G1353,[1]нормы!$A$21:$BC$151,25,0),"")</f>
        <v>0</v>
      </c>
      <c r="U1353" s="233" t="str">
        <f>IFERROR(W1353/(((100*Y1353/Y1357)*I1356)/100),"")</f>
        <v/>
      </c>
      <c r="V1353" s="234" t="str">
        <f>IFERROR(VLOOKUP($G1353,нормы!$A$14:$BC$57,38,0),"")</f>
        <v/>
      </c>
      <c r="W1353" s="136"/>
      <c r="X1353" s="237"/>
      <c r="Y1353" s="152" t="str">
        <f>IFERROR(VLOOKUP($G1353,нормы!$A$14:$BC$57,42,0)*W1353,"")</f>
        <v/>
      </c>
      <c r="Z1353" s="163">
        <f>IFERROR(VLOOKUP($G1353,нормы!$A$14:$BC$57,14,0)*W1353/1000,0)</f>
        <v>0</v>
      </c>
      <c r="AA1353" s="30"/>
      <c r="AB1353" s="35"/>
      <c r="AC1353" s="35"/>
      <c r="AD1353" s="35"/>
      <c r="AE1353" s="31"/>
      <c r="AF1353" s="160"/>
      <c r="AG1353" s="391"/>
      <c r="AH1353" s="394"/>
      <c r="AI1353" s="397"/>
      <c r="AJ1353" s="408"/>
      <c r="AK1353" s="360"/>
      <c r="AL1353" s="360"/>
      <c r="AM1353" s="360"/>
      <c r="AN1353" s="289">
        <f>IFERROR(Y1353*AJ1351/Y1357,)</f>
        <v>0</v>
      </c>
      <c r="AO1353" s="197" t="str">
        <f>IFERROR(VLOOKUP($G1353,нормы!$A$14:$BC$57,53,0)*$W1353,"")</f>
        <v/>
      </c>
      <c r="AP1353" s="290">
        <f>IFERROR(Y1353*AI1351/Y1357,)</f>
        <v>0</v>
      </c>
      <c r="AQ1353" s="197" t="str">
        <f>IFERROR(VLOOKUP($G1353,нормы!$A$14:$BC$57,54,0)*$W1353,"")</f>
        <v/>
      </c>
      <c r="AR1353" s="290">
        <f>IFERROR(AS1353/SUM(AS1351:AS1356)*AL1351,0)</f>
        <v>0</v>
      </c>
      <c r="AS1353" s="197" t="str">
        <f>IFERROR(VLOOKUP($G1353,нормы!$A$14:$BC$57,55,0)*W1353,"")</f>
        <v/>
      </c>
      <c r="AT1353" s="290">
        <f>IFERROR(AU1353/SUM(AU1351:AU1356)*AM1351,0)</f>
        <v>0</v>
      </c>
      <c r="AU1353" s="197" t="str">
        <f>IFERROR(VLOOKUP($G1353,нормы!$A$14:$BI$57,56,0)*W1353,"")</f>
        <v/>
      </c>
      <c r="AV1353" s="290">
        <f>IFERROR(AW1353/SUM(AW1351:AW1356)*AK1351,0)</f>
        <v>0</v>
      </c>
      <c r="AW1353" s="202" t="str">
        <f>IFERROR(VLOOKUP($G1353,нормы!$A$14:$BI$57,57,0)*W1353,"")</f>
        <v/>
      </c>
      <c r="AX1353" s="30"/>
      <c r="AY1353" s="203" t="str">
        <f>IFERROR(VLOOKUP($G1353,нормы!$A$14:$BI$57,58,0)*W1353,"")</f>
        <v/>
      </c>
      <c r="AZ1353" s="205"/>
      <c r="BA1353" s="200" t="str">
        <f>IFERROR(VLOOKUP($G1353,нормы!$A$14:$BI$57,61,0)*$W1353,"")</f>
        <v/>
      </c>
      <c r="BB1353" s="30"/>
      <c r="BC1353" s="203" t="str">
        <f>IFERROR(VLOOKUP($G1353,нормы!$A$14:$BI$57,60,0)*W1353,"")</f>
        <v/>
      </c>
      <c r="BD1353" s="200" t="str">
        <f>IFERROR(VLOOKUP($G1353,нормы!$A$14:$BG$57,44,0),"")</f>
        <v/>
      </c>
      <c r="BE1353" s="199" t="str">
        <f>IFERROR(W1353/VLOOKUP($G1353,нормы!$A$14:$BI$57,45,0),"")</f>
        <v/>
      </c>
    </row>
    <row r="1354" spans="1:57" s="1" customFormat="1" ht="20.25" customHeight="1" x14ac:dyDescent="0.4">
      <c r="A1354" s="37" t="str">
        <f t="shared" si="530"/>
        <v>22Н</v>
      </c>
      <c r="B1354" s="12">
        <f t="shared" si="533"/>
        <v>22</v>
      </c>
      <c r="C1354" s="97">
        <f t="shared" si="533"/>
        <v>0</v>
      </c>
      <c r="D1354" s="97">
        <f t="shared" si="533"/>
        <v>2</v>
      </c>
      <c r="E1354" s="54"/>
      <c r="F1354" s="151" t="str">
        <f>IFERROR(VLOOKUP($G1354,нормы!$A$14:$BC$57,2,0),"")</f>
        <v/>
      </c>
      <c r="G1354" s="93"/>
      <c r="H1354" s="54">
        <f t="shared" si="534"/>
        <v>0</v>
      </c>
      <c r="I1354" s="55"/>
      <c r="J1354" s="333"/>
      <c r="K1354" s="30">
        <f>IFERROR(VLOOKUP($G1354,[1]нормы!$A$21:$BC$151,15,0),"")</f>
        <v>0</v>
      </c>
      <c r="L1354" s="31">
        <f>IFERROR(VLOOKUP($G1354,[1]нормы!$A$21:$BC$151,17,0),"")</f>
        <v>0</v>
      </c>
      <c r="M1354" s="306">
        <f>IFERROR(VLOOKUP($G1354,[1]нормы!$A$21:$BC$151,27,0),"")</f>
        <v>0</v>
      </c>
      <c r="N1354" s="307" t="str">
        <f>IFERROR(Y1354/Y1357*(1.1*J1351*I1359),"")</f>
        <v/>
      </c>
      <c r="O1354" s="300">
        <f>IFERROR(VLOOKUP($G1354,[1]нормы!$A$21:$BC$151,21,0),"")</f>
        <v>0</v>
      </c>
      <c r="P1354" s="35">
        <f>IFERROR(VLOOKUP($G1354,[1]нормы!$A$21:$BC$151,19,0),"")</f>
        <v>0</v>
      </c>
      <c r="Q1354" s="35">
        <f>IFERROR(VLOOKUP($G1354,[1]нормы!$A$21:$BC$151,23,0),"")</f>
        <v>0</v>
      </c>
      <c r="R1354" s="231">
        <f>IFERROR(VLOOKUP($G1354,[1]нормы!$A$21:$BC$151,29,0),"")</f>
        <v>0</v>
      </c>
      <c r="S1354" s="35">
        <f>IFERROR(VLOOKUP($G1354,[1]нормы!$A$21:$BC$151,31,0),"")</f>
        <v>0</v>
      </c>
      <c r="T1354" s="32">
        <f>IFERROR(VLOOKUP($G1354,[1]нормы!$A$21:$BC$151,25,0),"")</f>
        <v>0</v>
      </c>
      <c r="U1354" s="233" t="str">
        <f>IFERROR(W1354/(((100*Y1354/Y1357)*I1356)/100),"")</f>
        <v/>
      </c>
      <c r="V1354" s="234" t="str">
        <f>IFERROR(VLOOKUP($G1354,нормы!$A$14:$BC$57,38,0),"")</f>
        <v/>
      </c>
      <c r="W1354" s="136"/>
      <c r="X1354" s="237"/>
      <c r="Y1354" s="152" t="str">
        <f>IFERROR(VLOOKUP($G1354,нормы!$A$14:$BC$57,42,0)*W1354,"")</f>
        <v/>
      </c>
      <c r="Z1354" s="163">
        <f>IFERROR(VLOOKUP($G1354,нормы!$A$14:$BC$57,14,0)*W1354/1000,0)</f>
        <v>0</v>
      </c>
      <c r="AA1354" s="30"/>
      <c r="AB1354" s="35"/>
      <c r="AC1354" s="35"/>
      <c r="AD1354" s="35"/>
      <c r="AE1354" s="31"/>
      <c r="AF1354" s="160"/>
      <c r="AG1354" s="391"/>
      <c r="AH1354" s="394"/>
      <c r="AI1354" s="397"/>
      <c r="AJ1354" s="408"/>
      <c r="AK1354" s="360"/>
      <c r="AL1354" s="360"/>
      <c r="AM1354" s="360"/>
      <c r="AN1354" s="289">
        <f>IFERROR(Y1354*AJ1351/Y1357,)</f>
        <v>0</v>
      </c>
      <c r="AO1354" s="197" t="str">
        <f>IFERROR(VLOOKUP($G1354,нормы!$A$14:$BC$57,53,0)*$W1354,"")</f>
        <v/>
      </c>
      <c r="AP1354" s="290">
        <f>IFERROR(Y1354*AI1351/Y1357,)</f>
        <v>0</v>
      </c>
      <c r="AQ1354" s="197" t="str">
        <f>IFERROR(VLOOKUP($G1354,нормы!$A$14:$BC$57,54,0)*$W1354,"")</f>
        <v/>
      </c>
      <c r="AR1354" s="290">
        <f>IFERROR(AS1354/SUM(AS1351:AS1356)*AL1351,0)</f>
        <v>0</v>
      </c>
      <c r="AS1354" s="197" t="str">
        <f>IFERROR(VLOOKUP($G1354,нормы!$A$14:$BC$57,55,0)*W1354,"")</f>
        <v/>
      </c>
      <c r="AT1354" s="290">
        <f>IFERROR(AU1354/SUM(AU1351:AU1356)*AM1351,0)</f>
        <v>0</v>
      </c>
      <c r="AU1354" s="197" t="str">
        <f>IFERROR(VLOOKUP($G1354,нормы!$A$14:$BI$57,56,0)*W1354,"")</f>
        <v/>
      </c>
      <c r="AV1354" s="290">
        <f>IFERROR(AW1354/SUM(AW1351:AW1356)*AK1351,0)</f>
        <v>0</v>
      </c>
      <c r="AW1354" s="202" t="str">
        <f>IFERROR(VLOOKUP($G1354,нормы!$A$14:$BI$57,57,0)*W1354,"")</f>
        <v/>
      </c>
      <c r="AX1354" s="30"/>
      <c r="AY1354" s="203" t="str">
        <f>IFERROR(VLOOKUP($G1354,нормы!$A$14:$BI$57,58,0)*W1354,"")</f>
        <v/>
      </c>
      <c r="AZ1354" s="205"/>
      <c r="BA1354" s="200" t="str">
        <f>IFERROR(VLOOKUP($G1354,нормы!$A$14:$BI$57,61,0)*$W1354,"")</f>
        <v/>
      </c>
      <c r="BB1354" s="30"/>
      <c r="BC1354" s="203" t="str">
        <f>IFERROR(VLOOKUP($G1354,нормы!$A$14:$BI$57,60,0)*W1354,"")</f>
        <v/>
      </c>
      <c r="BD1354" s="200" t="str">
        <f>IFERROR(VLOOKUP($G1354,нормы!$A$14:$BG$57,44,0),"")</f>
        <v/>
      </c>
      <c r="BE1354" s="199" t="str">
        <f>IFERROR(W1354/VLOOKUP($G1354,нормы!$A$14:$BI$57,45,0),"")</f>
        <v/>
      </c>
    </row>
    <row r="1355" spans="1:57" s="1" customFormat="1" ht="20.25" customHeight="1" x14ac:dyDescent="0.4">
      <c r="A1355" s="37" t="str">
        <f t="shared" si="530"/>
        <v>22Н</v>
      </c>
      <c r="B1355" s="12">
        <f t="shared" si="533"/>
        <v>22</v>
      </c>
      <c r="C1355" s="97">
        <f t="shared" si="533"/>
        <v>0</v>
      </c>
      <c r="D1355" s="97">
        <f t="shared" si="533"/>
        <v>2</v>
      </c>
      <c r="E1355" s="54"/>
      <c r="F1355" s="151" t="str">
        <f>IFERROR(VLOOKUP($G1355,нормы!$A$14:$BC$57,2,0),"")</f>
        <v/>
      </c>
      <c r="G1355" s="38"/>
      <c r="H1355" s="54">
        <f t="shared" si="534"/>
        <v>0</v>
      </c>
      <c r="I1355" s="89" t="s">
        <v>73</v>
      </c>
      <c r="J1355" s="333"/>
      <c r="K1355" s="30">
        <f>IFERROR(VLOOKUP($G1355,[1]нормы!$A$21:$BC$151,15,0),"")</f>
        <v>0</v>
      </c>
      <c r="L1355" s="31">
        <f>IFERROR(VLOOKUP($G1355,[1]нормы!$A$21:$BC$151,17,0),"")</f>
        <v>0</v>
      </c>
      <c r="M1355" s="306">
        <f>IFERROR(VLOOKUP($G1355,[1]нормы!$A$21:$BC$151,27,0),"")</f>
        <v>0</v>
      </c>
      <c r="N1355" s="307" t="str">
        <f>IFERROR(Y1355/Y1357*(1.1*J1351*I1360),"")</f>
        <v/>
      </c>
      <c r="O1355" s="300">
        <f>IFERROR(VLOOKUP($G1355,[1]нормы!$A$21:$BC$151,21,0),"")</f>
        <v>0</v>
      </c>
      <c r="P1355" s="35">
        <f>IFERROR(VLOOKUP($G1355,[1]нормы!$A$21:$BC$151,19,0),"")</f>
        <v>0</v>
      </c>
      <c r="Q1355" s="35">
        <f>IFERROR(VLOOKUP($G1355,[1]нормы!$A$21:$BC$151,23,0),"")</f>
        <v>0</v>
      </c>
      <c r="R1355" s="231">
        <f>IFERROR(VLOOKUP($G1355,[1]нормы!$A$21:$BC$151,29,0),"")</f>
        <v>0</v>
      </c>
      <c r="S1355" s="35">
        <f>IFERROR(VLOOKUP($G1355,[1]нормы!$A$21:$BC$151,31,0),"")</f>
        <v>0</v>
      </c>
      <c r="T1355" s="32">
        <f>IFERROR(VLOOKUP($G1355,[1]нормы!$A$21:$BC$151,25,0),"")</f>
        <v>0</v>
      </c>
      <c r="U1355" s="233" t="str">
        <f>IFERROR(W1355/(((100*Y1355/Y1357)*I1356)/100),"")</f>
        <v/>
      </c>
      <c r="V1355" s="234" t="str">
        <f>IFERROR(VLOOKUP($G1355,нормы!$A$14:$BC$57,38,0),"")</f>
        <v/>
      </c>
      <c r="W1355" s="136"/>
      <c r="X1355" s="237"/>
      <c r="Y1355" s="152" t="str">
        <f>IFERROR(VLOOKUP($G1355,нормы!$A$14:$BC$57,42,0)*W1355,"")</f>
        <v/>
      </c>
      <c r="Z1355" s="163">
        <f>IFERROR(VLOOKUP($G1355,нормы!$A$14:$BC$57,14,0)*W1355/1000,0)</f>
        <v>0</v>
      </c>
      <c r="AA1355" s="30"/>
      <c r="AB1355" s="35"/>
      <c r="AC1355" s="35"/>
      <c r="AD1355" s="35"/>
      <c r="AE1355" s="31"/>
      <c r="AF1355" s="160"/>
      <c r="AG1355" s="391"/>
      <c r="AH1355" s="394"/>
      <c r="AI1355" s="397"/>
      <c r="AJ1355" s="408"/>
      <c r="AK1355" s="360"/>
      <c r="AL1355" s="360"/>
      <c r="AM1355" s="360"/>
      <c r="AN1355" s="289">
        <f>IFERROR(Y1355*AJ1351/Y1357,)</f>
        <v>0</v>
      </c>
      <c r="AO1355" s="197" t="str">
        <f>IFERROR(VLOOKUP($G1355,нормы!$A$14:$BC$57,53,0)*$W1355,"")</f>
        <v/>
      </c>
      <c r="AP1355" s="290">
        <f>IFERROR(Y1355*AI1351/Y1357,)</f>
        <v>0</v>
      </c>
      <c r="AQ1355" s="197" t="str">
        <f>IFERROR(VLOOKUP($G1355,нормы!$A$14:$BC$57,54,0)*$W1355,"")</f>
        <v/>
      </c>
      <c r="AR1355" s="290">
        <f>IFERROR(AS1355/SUM(AS1351:AS1356)*AL1351,0)</f>
        <v>0</v>
      </c>
      <c r="AS1355" s="197" t="str">
        <f>IFERROR(VLOOKUP($G1355,нормы!$A$14:$BC$57,55,0)*W1355,"")</f>
        <v/>
      </c>
      <c r="AT1355" s="290">
        <f>IFERROR(AU1355/SUM(AU1351:AU1356)*AM1351,0)</f>
        <v>0</v>
      </c>
      <c r="AU1355" s="197" t="str">
        <f>IFERROR(VLOOKUP($G1355,нормы!$A$14:$BI$57,56,0)*W1355,"")</f>
        <v/>
      </c>
      <c r="AV1355" s="290">
        <f>IFERROR(AW1355/SUM(AW1351:AW1356)*AK1351,0)</f>
        <v>0</v>
      </c>
      <c r="AW1355" s="202" t="str">
        <f>IFERROR(VLOOKUP($G1355,нормы!$A$14:$BI$57,57,0)*W1355,"")</f>
        <v/>
      </c>
      <c r="AX1355" s="30"/>
      <c r="AY1355" s="203" t="str">
        <f>IFERROR(VLOOKUP($G1355,нормы!$A$14:$BI$57,58,0)*W1355,"")</f>
        <v/>
      </c>
      <c r="AZ1355" s="205"/>
      <c r="BA1355" s="200" t="str">
        <f>IFERROR(VLOOKUP($G1355,нормы!$A$14:$BI$57,61,0)*$W1355,"")</f>
        <v/>
      </c>
      <c r="BB1355" s="30"/>
      <c r="BC1355" s="203" t="str">
        <f>IFERROR(VLOOKUP($G1355,нормы!$A$14:$BI$57,60,0)*W1355,"")</f>
        <v/>
      </c>
      <c r="BD1355" s="200" t="str">
        <f>IFERROR(VLOOKUP($G1355,нормы!$A$14:$BG$57,44,0),"")</f>
        <v/>
      </c>
      <c r="BE1355" s="199" t="str">
        <f>IFERROR(W1355/VLOOKUP($G1355,нормы!$A$14:$BI$57,45,0),"")</f>
        <v/>
      </c>
    </row>
    <row r="1356" spans="1:57" s="1" customFormat="1" ht="21" customHeight="1" thickBot="1" x14ac:dyDescent="0.45">
      <c r="A1356" s="37" t="str">
        <f t="shared" si="530"/>
        <v>22Н</v>
      </c>
      <c r="B1356" s="12">
        <f t="shared" si="533"/>
        <v>22</v>
      </c>
      <c r="C1356" s="97">
        <f t="shared" si="533"/>
        <v>0</v>
      </c>
      <c r="D1356" s="97">
        <f t="shared" si="533"/>
        <v>2</v>
      </c>
      <c r="E1356" s="54"/>
      <c r="F1356" s="151" t="str">
        <f>IFERROR(VLOOKUP($G1356,нормы!$A$14:$BC$57,2,0),"")</f>
        <v/>
      </c>
      <c r="G1356" s="93"/>
      <c r="H1356" s="63">
        <f t="shared" si="534"/>
        <v>0</v>
      </c>
      <c r="I1356" s="153">
        <f>I1352+I1354</f>
        <v>0</v>
      </c>
      <c r="J1356" s="334"/>
      <c r="K1356" s="30">
        <f>IFERROR(VLOOKUP($G1356,[1]нормы!$A$21:$BC$151,15,0),"")</f>
        <v>0</v>
      </c>
      <c r="L1356" s="31">
        <f>IFERROR(VLOOKUP($G1356,[1]нормы!$A$21:$BC$151,17,0),"")</f>
        <v>0</v>
      </c>
      <c r="M1356" s="308">
        <f>IFERROR(VLOOKUP($G1356,[1]нормы!$A$21:$BC$151,27,0),"")</f>
        <v>0</v>
      </c>
      <c r="N1356" s="309" t="str">
        <f>IFERROR(Y1356/Y1357*(1.1*J1351*I1361),"")</f>
        <v/>
      </c>
      <c r="O1356" s="300">
        <f>IFERROR(VLOOKUP($G1356,[1]нормы!$A$21:$BC$151,21,0),"")</f>
        <v>0</v>
      </c>
      <c r="P1356" s="35">
        <f>IFERROR(VLOOKUP($G1356,[1]нормы!$A$21:$BC$151,19,0),"")</f>
        <v>0</v>
      </c>
      <c r="Q1356" s="35">
        <f>IFERROR(VLOOKUP($G1356,[1]нормы!$A$21:$BC$151,23,0),"")</f>
        <v>0</v>
      </c>
      <c r="R1356" s="231">
        <f>IFERROR(VLOOKUP($G1356,[1]нормы!$A$21:$BC$151,29,0),"")</f>
        <v>0</v>
      </c>
      <c r="S1356" s="35">
        <f>IFERROR(VLOOKUP($G1356,[1]нормы!$A$21:$BC$151,31,0),"")</f>
        <v>0</v>
      </c>
      <c r="T1356" s="32">
        <f>IFERROR(VLOOKUP($G1356,[1]нормы!$A$21:$BC$151,25,0),"")</f>
        <v>0</v>
      </c>
      <c r="U1356" s="235" t="str">
        <f>IFERROR(W1356/(((100*Y1356/Y1357)*I1356)/100),"")</f>
        <v/>
      </c>
      <c r="V1356" s="234" t="str">
        <f>IFERROR(VLOOKUP($G1356,нормы!$A$14:$BC$57,38,0),"")</f>
        <v/>
      </c>
      <c r="W1356" s="154"/>
      <c r="X1356" s="238"/>
      <c r="Y1356" s="152" t="str">
        <f>IFERROR(VLOOKUP($G1356,нормы!$A$14:$BC$57,42,0)*W1356,"")</f>
        <v/>
      </c>
      <c r="Z1356" s="163">
        <f>IFERROR(VLOOKUP($G1356,нормы!$A$14:$BC$57,14,0)*W1356/1000,0)</f>
        <v>0</v>
      </c>
      <c r="AA1356" s="56"/>
      <c r="AB1356" s="58"/>
      <c r="AC1356" s="58"/>
      <c r="AD1356" s="58"/>
      <c r="AE1356" s="57"/>
      <c r="AF1356" s="161"/>
      <c r="AG1356" s="392"/>
      <c r="AH1356" s="395"/>
      <c r="AI1356" s="398"/>
      <c r="AJ1356" s="409"/>
      <c r="AK1356" s="361"/>
      <c r="AL1356" s="361"/>
      <c r="AM1356" s="361"/>
      <c r="AN1356" s="291">
        <f>IFERROR(Y1356*AJ1351/Y1357,)</f>
        <v>0</v>
      </c>
      <c r="AO1356" s="197" t="str">
        <f>IFERROR(VLOOKUP($G1356,нормы!$A$14:$BC$57,53,0)*$W1356,"")</f>
        <v/>
      </c>
      <c r="AP1356" s="292">
        <f>IFERROR(Y1356*AI1351/Y1357,)</f>
        <v>0</v>
      </c>
      <c r="AQ1356" s="197" t="str">
        <f>IFERROR(VLOOKUP($G1356,нормы!$A$14:$BC$57,54,0)*$W1356,"")</f>
        <v/>
      </c>
      <c r="AR1356" s="290">
        <f>IFERROR(AS1356/SUM(AS1351:AS1356)*AL1351,0)</f>
        <v>0</v>
      </c>
      <c r="AS1356" s="197" t="str">
        <f>IFERROR(VLOOKUP($G1356,нормы!$A$14:$BC$57,55,0)*W1356,"")</f>
        <v/>
      </c>
      <c r="AT1356" s="292">
        <f>IFERROR(AU1356/SUM(AU1351:AU1356)*AM1351,0)</f>
        <v>0</v>
      </c>
      <c r="AU1356" s="197" t="str">
        <f>IFERROR(VLOOKUP($G1356,нормы!$A$14:$BI$57,56,0)*W1356,"")</f>
        <v/>
      </c>
      <c r="AV1356" s="292">
        <f>IFERROR(AW1356/SUM(AW1351:AW1356)*AK1351,0)</f>
        <v>0</v>
      </c>
      <c r="AW1356" s="202" t="str">
        <f>IFERROR(VLOOKUP($G1356,нормы!$A$14:$BI$57,57,0)*W1356,"")</f>
        <v/>
      </c>
      <c r="AX1356" s="56"/>
      <c r="AY1356" s="203" t="str">
        <f>IFERROR(VLOOKUP($G1356,нормы!$A$14:$BI$57,58,0)*W1356,"")</f>
        <v/>
      </c>
      <c r="AZ1356" s="206"/>
      <c r="BA1356" s="200" t="str">
        <f>IFERROR(VLOOKUP($G1356,нормы!$A$14:$BI$57,61,0)*$W1356,"")</f>
        <v/>
      </c>
      <c r="BB1356" s="56"/>
      <c r="BC1356" s="203" t="str">
        <f>IFERROR(VLOOKUP($G1356,нормы!$A$14:$BI$57,60,0)*W1356,"")</f>
        <v/>
      </c>
      <c r="BD1356" s="200" t="str">
        <f>IFERROR(VLOOKUP($G1356,нормы!$A$14:$BG$57,44,0),"")</f>
        <v/>
      </c>
      <c r="BE1356" s="199" t="str">
        <f>IFERROR(W1356/VLOOKUP($G1356,нормы!$A$14:$BI$57,45,0),"")</f>
        <v/>
      </c>
    </row>
    <row r="1357" spans="1:57" s="1" customFormat="1" ht="29.4" customHeight="1" thickBot="1" x14ac:dyDescent="0.45">
      <c r="A1357" s="37" t="str">
        <f t="shared" si="530"/>
        <v>22Н</v>
      </c>
      <c r="B1357" s="59"/>
      <c r="C1357" s="51"/>
      <c r="D1357" s="51"/>
      <c r="E1357" s="51"/>
      <c r="F1357" s="51"/>
      <c r="G1357" s="51"/>
      <c r="H1357" s="51"/>
      <c r="I1357" s="60"/>
      <c r="J1357" s="60"/>
      <c r="K1357" s="319" t="s">
        <v>213</v>
      </c>
      <c r="L1357" s="316"/>
      <c r="M1357" s="303" t="s">
        <v>213</v>
      </c>
      <c r="N1357" s="317">
        <f>SUM(N1351:N1356)</f>
        <v>0</v>
      </c>
      <c r="O1357" s="304" t="s">
        <v>217</v>
      </c>
      <c r="P1357" s="318">
        <f>N1357*8.937/1000</f>
        <v>0</v>
      </c>
      <c r="Q1357" s="305" t="s">
        <v>215</v>
      </c>
      <c r="R1357" s="61"/>
      <c r="S1357" s="61"/>
      <c r="T1357" s="61"/>
      <c r="U1357" s="109"/>
      <c r="V1357" s="109"/>
      <c r="W1357" s="94"/>
      <c r="X1357" s="155"/>
      <c r="Y1357" s="96">
        <f>SUM(Y1351:Y1356)</f>
        <v>0</v>
      </c>
      <c r="Z1357" s="164">
        <f>SUM(Z1351:Z1356)</f>
        <v>0</v>
      </c>
      <c r="AA1357" s="207">
        <f>(AA1343+AA1344+AA1345+AA1346+AA1347+AA1348+AA1349+AA1351+AA1352+AA1353+AA1354+AA1355+AA1356)-AG1344</f>
        <v>1</v>
      </c>
      <c r="AB1357" s="208">
        <f>(AB1343+AB1344+AB1345+AB1346+AB1347+AB1348+AB1349+AB1351+AB1352+AB1353+AB1354+AB1355+AB1356)-AH1344</f>
        <v>2</v>
      </c>
      <c r="AC1357" s="208">
        <f>(AC1343+AC1344+AC1345+AC1346+AC1347+AC1348+AC1349+AC1351+AC1352+AC1353+AC1354+AC1355+AC1356)-AG1351</f>
        <v>3</v>
      </c>
      <c r="AD1357" s="208">
        <f>(AD1343+AD1344+AD1345+AD1346+AD1347+AD1348+AD1349+AD1351+AD1352+AD1353+AD1354+AD1355+AD1356)-AH1351</f>
        <v>4</v>
      </c>
      <c r="AE1357" s="208">
        <f>(AE1343+AE1344+AE1345+AE1346+AE1347+AE1348+AE1349+AE1351+AE1352+AE1353+AE1354+AE1355+AE1356)-AI1344</f>
        <v>5</v>
      </c>
      <c r="AF1357" s="209">
        <f>(AF1343+AF1344+AF1345+AF1346+AF1347+AF1348+AF1349+AF1351+AF1352+AF1353+AF1354+AF1355+AF1356)-AI1351</f>
        <v>6</v>
      </c>
      <c r="AG1357" s="62"/>
      <c r="AH1357" s="62"/>
      <c r="AI1357" s="62"/>
      <c r="AJ1357" s="62"/>
      <c r="AK1357" s="62"/>
      <c r="AL1357" s="62"/>
      <c r="AM1357" s="62"/>
      <c r="AN1357" s="91">
        <f>SUM(AN1351:AN1356)</f>
        <v>0</v>
      </c>
      <c r="AO1357" s="91">
        <f>SUM(AO1351:AO1356)</f>
        <v>0</v>
      </c>
      <c r="AP1357" s="91"/>
      <c r="AQ1357" s="91"/>
      <c r="AR1357" s="91">
        <f>SUM(AR1351:AR1356)</f>
        <v>0</v>
      </c>
      <c r="AS1357" s="91">
        <f t="shared" ref="AS1357:AW1357" si="535">SUM(AS1351:AS1356)</f>
        <v>0</v>
      </c>
      <c r="AT1357" s="91">
        <f t="shared" si="535"/>
        <v>0</v>
      </c>
      <c r="AU1357" s="91">
        <f t="shared" si="535"/>
        <v>0</v>
      </c>
      <c r="AV1357" s="91">
        <f t="shared" si="535"/>
        <v>0</v>
      </c>
      <c r="AW1357" s="91">
        <f t="shared" si="535"/>
        <v>0</v>
      </c>
      <c r="AX1357" s="91">
        <f>SUM(AX1351:AX1356)</f>
        <v>0</v>
      </c>
      <c r="AY1357" s="91">
        <f>SUM(AY1351:AY1356)</f>
        <v>0</v>
      </c>
      <c r="AZ1357" s="91">
        <f>SUM(AZ1351:AZ1356)</f>
        <v>0</v>
      </c>
      <c r="BA1357" s="91"/>
      <c r="BB1357" s="91"/>
      <c r="BC1357" s="91"/>
      <c r="BD1357" s="91" t="str">
        <f>IFERROR(VLOOKUP($G1357,нормы!$A$14:$BG$15,27,0),"")</f>
        <v/>
      </c>
      <c r="BE1357" s="53" t="str">
        <f>IFERROR(W1357/VLOOKUP($G1357,нормы!$A$14:$BI$15,28,0),"")</f>
        <v/>
      </c>
    </row>
    <row r="1358" spans="1:57" s="1" customFormat="1" ht="29.4" customHeight="1" thickBot="1" x14ac:dyDescent="0.5">
      <c r="A1358" s="37" t="str">
        <f t="shared" si="530"/>
        <v>22Н</v>
      </c>
      <c r="B1358" s="166" t="s">
        <v>130</v>
      </c>
      <c r="C1358" s="167"/>
      <c r="D1358" s="167"/>
      <c r="E1358" s="167"/>
      <c r="F1358" s="165"/>
      <c r="G1358" s="167"/>
      <c r="H1358" s="167"/>
      <c r="I1358" s="168"/>
      <c r="J1358" s="168"/>
      <c r="K1358" s="168"/>
      <c r="L1358" s="168"/>
      <c r="M1358" s="168"/>
      <c r="N1358" s="168"/>
      <c r="O1358" s="167"/>
      <c r="P1358" s="169"/>
      <c r="Q1358" s="169"/>
      <c r="R1358" s="169"/>
      <c r="S1358" s="169"/>
      <c r="T1358" s="169"/>
      <c r="U1358" s="170"/>
      <c r="V1358" s="170"/>
      <c r="W1358" s="171"/>
      <c r="X1358" s="171"/>
      <c r="Y1358" s="172"/>
      <c r="Z1358" s="172"/>
      <c r="AA1358" s="201" t="s">
        <v>144</v>
      </c>
      <c r="AB1358" s="167"/>
      <c r="AC1358" s="167"/>
      <c r="AD1358" s="167"/>
      <c r="AE1358" s="167"/>
      <c r="AF1358" s="167"/>
      <c r="AG1358" s="167"/>
      <c r="AH1358" s="167"/>
      <c r="AI1358" s="167"/>
      <c r="AJ1358" s="167"/>
      <c r="AK1358" s="167"/>
      <c r="AL1358" s="167"/>
      <c r="AM1358" s="64"/>
      <c r="AN1358" s="167"/>
      <c r="AO1358" s="167"/>
      <c r="AP1358" s="167"/>
      <c r="AQ1358" s="167"/>
      <c r="AR1358" s="64"/>
      <c r="AS1358" s="64"/>
      <c r="AT1358" s="65"/>
      <c r="AU1358" s="64"/>
      <c r="AV1358" s="49"/>
      <c r="AW1358" s="49"/>
      <c r="AX1358" s="167"/>
      <c r="AY1358" s="167"/>
      <c r="AZ1358" s="167"/>
      <c r="BA1358" s="167"/>
      <c r="BB1358" s="167"/>
      <c r="BC1358" s="167"/>
      <c r="BD1358" s="66"/>
      <c r="BE1358" s="66"/>
    </row>
    <row r="1359" spans="1:57" s="1" customFormat="1" ht="23.25" customHeight="1" x14ac:dyDescent="0.4">
      <c r="A1359" s="37" t="str">
        <f t="shared" si="530"/>
        <v>22Н</v>
      </c>
      <c r="B1359" s="183"/>
      <c r="C1359" s="100"/>
      <c r="D1359" s="185"/>
      <c r="E1359" s="186" t="s">
        <v>57</v>
      </c>
      <c r="F1359" s="66" t="s">
        <v>87</v>
      </c>
      <c r="G1359" s="66"/>
      <c r="H1359" s="108" t="s">
        <v>131</v>
      </c>
      <c r="I1359" s="101"/>
      <c r="J1359" s="101"/>
      <c r="K1359" s="101"/>
      <c r="L1359" s="101"/>
      <c r="M1359" s="101"/>
      <c r="N1359" s="101"/>
      <c r="O1359" s="67"/>
      <c r="P1359" s="102"/>
      <c r="Q1359" s="102"/>
      <c r="R1359" s="102"/>
      <c r="S1359" s="102"/>
      <c r="T1359" s="102"/>
      <c r="U1359" s="67"/>
      <c r="V1359" s="67"/>
      <c r="W1359" s="103"/>
      <c r="X1359" s="187"/>
      <c r="Y1359" s="68" t="s">
        <v>74</v>
      </c>
      <c r="Z1359" s="69"/>
      <c r="AA1359" s="90"/>
      <c r="AB1359" s="100"/>
      <c r="AC1359" s="100"/>
      <c r="AD1359" s="186" t="s">
        <v>57</v>
      </c>
      <c r="AE1359" s="66"/>
      <c r="AF1359" s="66"/>
      <c r="AG1359" s="66"/>
      <c r="AH1359" s="66"/>
      <c r="AI1359" s="66"/>
      <c r="AJ1359" s="66"/>
      <c r="AK1359" s="66"/>
      <c r="AL1359" s="66"/>
      <c r="AM1359" s="66"/>
      <c r="AN1359" s="66"/>
      <c r="AO1359" s="66"/>
      <c r="AP1359" s="66"/>
      <c r="AQ1359" s="66"/>
      <c r="AR1359" s="66"/>
      <c r="AS1359" s="66"/>
      <c r="AT1359" s="190"/>
      <c r="AU1359" s="66"/>
      <c r="AV1359" s="165"/>
      <c r="AW1359" s="293"/>
      <c r="AX1359" s="66"/>
      <c r="AY1359" s="66"/>
      <c r="AZ1359" s="66"/>
      <c r="BA1359" s="66"/>
      <c r="BB1359" s="66"/>
      <c r="BC1359" s="66"/>
      <c r="BD1359" s="68" t="s">
        <v>74</v>
      </c>
      <c r="BE1359" s="69"/>
    </row>
    <row r="1360" spans="1:57" s="1" customFormat="1" ht="23.25" customHeight="1" thickBot="1" x14ac:dyDescent="0.45">
      <c r="A1360" s="37" t="str">
        <f t="shared" si="530"/>
        <v>22Н</v>
      </c>
      <c r="B1360" s="183"/>
      <c r="C1360" s="41"/>
      <c r="D1360" s="184"/>
      <c r="E1360" s="50"/>
      <c r="F1360" s="70"/>
      <c r="G1360" s="70"/>
      <c r="H1360" s="70"/>
      <c r="I1360" s="104"/>
      <c r="J1360" s="104"/>
      <c r="K1360" s="104"/>
      <c r="L1360" s="104"/>
      <c r="M1360" s="104"/>
      <c r="N1360" s="104"/>
      <c r="O1360" s="71"/>
      <c r="P1360" s="105"/>
      <c r="Q1360" s="105"/>
      <c r="R1360" s="105"/>
      <c r="S1360" s="105"/>
      <c r="T1360" s="105"/>
      <c r="U1360" s="71"/>
      <c r="V1360" s="71"/>
      <c r="W1360" s="106"/>
      <c r="X1360" s="188"/>
      <c r="Y1360" s="72"/>
      <c r="Z1360" s="73"/>
      <c r="AA1360" s="90"/>
      <c r="AB1360" s="41"/>
      <c r="AC1360" s="41"/>
      <c r="AD1360" s="50"/>
      <c r="AE1360" s="47"/>
      <c r="AF1360" s="47"/>
      <c r="AG1360" s="47"/>
      <c r="AH1360" s="47"/>
      <c r="AI1360" s="47"/>
      <c r="AJ1360" s="47"/>
      <c r="AK1360" s="47"/>
      <c r="AL1360" s="47"/>
      <c r="AM1360" s="70"/>
      <c r="AN1360" s="47"/>
      <c r="AO1360" s="70"/>
      <c r="AP1360" s="70"/>
      <c r="AQ1360" s="70"/>
      <c r="AR1360" s="70"/>
      <c r="AS1360" s="70"/>
      <c r="AT1360" s="191"/>
      <c r="AU1360" s="70"/>
      <c r="AV1360" s="192"/>
      <c r="AW1360" s="294"/>
      <c r="AX1360" s="70"/>
      <c r="AY1360" s="70"/>
      <c r="AZ1360" s="70"/>
      <c r="BA1360" s="70"/>
      <c r="BB1360" s="70"/>
      <c r="BC1360" s="70"/>
      <c r="BD1360" s="72"/>
      <c r="BE1360" s="73"/>
    </row>
    <row r="1361" spans="1:57" s="1" customFormat="1" ht="21.9" customHeight="1" x14ac:dyDescent="0.4">
      <c r="A1361" s="37" t="str">
        <f t="shared" si="530"/>
        <v>22Н</v>
      </c>
      <c r="B1361" s="183"/>
      <c r="C1361" s="41"/>
      <c r="D1361" s="184"/>
      <c r="E1361" s="281">
        <f>B1356</f>
        <v>22</v>
      </c>
      <c r="F1361" s="337"/>
      <c r="G1361" s="338"/>
      <c r="H1361" s="338"/>
      <c r="I1361" s="338"/>
      <c r="J1361" s="338"/>
      <c r="K1361" s="338"/>
      <c r="L1361" s="338"/>
      <c r="M1361" s="338"/>
      <c r="N1361" s="338"/>
      <c r="O1361" s="338"/>
      <c r="P1361" s="338"/>
      <c r="Q1361" s="338"/>
      <c r="R1361" s="338"/>
      <c r="S1361" s="338"/>
      <c r="T1361" s="338"/>
      <c r="U1361" s="338"/>
      <c r="V1361" s="338"/>
      <c r="W1361" s="338"/>
      <c r="X1361" s="98">
        <v>1</v>
      </c>
      <c r="Y1361" s="74">
        <v>1</v>
      </c>
      <c r="Z1361" s="75">
        <f t="shared" ref="Z1361:Z1372" si="536">Y1361-X1361</f>
        <v>0</v>
      </c>
      <c r="AA1361" s="189"/>
      <c r="AB1361" s="41"/>
      <c r="AC1361" s="184"/>
      <c r="AD1361" s="210">
        <f>E1361</f>
        <v>22</v>
      </c>
      <c r="AE1361" s="387"/>
      <c r="AF1361" s="388"/>
      <c r="AG1361" s="388"/>
      <c r="AH1361" s="388"/>
      <c r="AI1361" s="388"/>
      <c r="AJ1361" s="388"/>
      <c r="AK1361" s="388"/>
      <c r="AL1361" s="388"/>
      <c r="AM1361" s="388"/>
      <c r="AN1361" s="388"/>
      <c r="AO1361" s="388"/>
      <c r="AP1361" s="388"/>
      <c r="AQ1361" s="388"/>
      <c r="AR1361" s="388"/>
      <c r="AS1361" s="388"/>
      <c r="AT1361" s="388"/>
      <c r="AU1361" s="388"/>
      <c r="AV1361" s="388"/>
      <c r="AW1361" s="388"/>
      <c r="AX1361" s="388"/>
      <c r="AY1361" s="388"/>
      <c r="AZ1361" s="388"/>
      <c r="BA1361" s="388"/>
      <c r="BB1361" s="389"/>
      <c r="BC1361" s="98">
        <v>1</v>
      </c>
      <c r="BD1361" s="74">
        <v>1</v>
      </c>
      <c r="BE1361" s="75">
        <f t="shared" ref="BE1361:BE1372" si="537">BD1361-BC1361</f>
        <v>0</v>
      </c>
    </row>
    <row r="1362" spans="1:57" s="1" customFormat="1" ht="21.9" customHeight="1" x14ac:dyDescent="0.4">
      <c r="A1362" s="37" t="str">
        <f t="shared" si="530"/>
        <v>22Н</v>
      </c>
      <c r="B1362" s="183"/>
      <c r="C1362" s="41"/>
      <c r="D1362" s="184"/>
      <c r="E1362" s="282">
        <f>E1361</f>
        <v>22</v>
      </c>
      <c r="F1362" s="335"/>
      <c r="G1362" s="336"/>
      <c r="H1362" s="336"/>
      <c r="I1362" s="336"/>
      <c r="J1362" s="336"/>
      <c r="K1362" s="336"/>
      <c r="L1362" s="336"/>
      <c r="M1362" s="336"/>
      <c r="N1362" s="336"/>
      <c r="O1362" s="336"/>
      <c r="P1362" s="336"/>
      <c r="Q1362" s="336"/>
      <c r="R1362" s="336"/>
      <c r="S1362" s="336"/>
      <c r="T1362" s="336"/>
      <c r="U1362" s="336"/>
      <c r="V1362" s="336"/>
      <c r="W1362" s="336"/>
      <c r="X1362" s="98">
        <v>1</v>
      </c>
      <c r="Y1362" s="74">
        <v>1</v>
      </c>
      <c r="Z1362" s="75">
        <f t="shared" si="536"/>
        <v>0</v>
      </c>
      <c r="AA1362" s="107">
        <f>AA1361</f>
        <v>0</v>
      </c>
      <c r="AB1362" s="41"/>
      <c r="AC1362" s="184"/>
      <c r="AD1362" s="212">
        <f>AD1361</f>
        <v>22</v>
      </c>
      <c r="AE1362" s="387"/>
      <c r="AF1362" s="388"/>
      <c r="AG1362" s="388"/>
      <c r="AH1362" s="388"/>
      <c r="AI1362" s="388"/>
      <c r="AJ1362" s="388"/>
      <c r="AK1362" s="388"/>
      <c r="AL1362" s="388"/>
      <c r="AM1362" s="388"/>
      <c r="AN1362" s="388"/>
      <c r="AO1362" s="388"/>
      <c r="AP1362" s="388"/>
      <c r="AQ1362" s="388"/>
      <c r="AR1362" s="388"/>
      <c r="AS1362" s="388"/>
      <c r="AT1362" s="388"/>
      <c r="AU1362" s="388"/>
      <c r="AV1362" s="388"/>
      <c r="AW1362" s="388"/>
      <c r="AX1362" s="388"/>
      <c r="AY1362" s="388"/>
      <c r="AZ1362" s="388"/>
      <c r="BA1362" s="388"/>
      <c r="BB1362" s="389"/>
      <c r="BC1362" s="98">
        <v>1</v>
      </c>
      <c r="BD1362" s="74">
        <v>1</v>
      </c>
      <c r="BE1362" s="75">
        <f t="shared" si="537"/>
        <v>0</v>
      </c>
    </row>
    <row r="1363" spans="1:57" s="1" customFormat="1" ht="21.9" customHeight="1" x14ac:dyDescent="0.4">
      <c r="A1363" s="37" t="str">
        <f t="shared" si="530"/>
        <v>22Н</v>
      </c>
      <c r="B1363" s="183"/>
      <c r="C1363" s="41"/>
      <c r="D1363" s="184"/>
      <c r="E1363" s="282">
        <f t="shared" ref="E1363:E1372" si="538">E1362</f>
        <v>22</v>
      </c>
      <c r="F1363" s="335"/>
      <c r="G1363" s="336"/>
      <c r="H1363" s="336"/>
      <c r="I1363" s="336"/>
      <c r="J1363" s="336"/>
      <c r="K1363" s="336"/>
      <c r="L1363" s="336"/>
      <c r="M1363" s="336"/>
      <c r="N1363" s="336"/>
      <c r="O1363" s="336"/>
      <c r="P1363" s="336"/>
      <c r="Q1363" s="336"/>
      <c r="R1363" s="336"/>
      <c r="S1363" s="336"/>
      <c r="T1363" s="336"/>
      <c r="U1363" s="336"/>
      <c r="V1363" s="336"/>
      <c r="W1363" s="336"/>
      <c r="X1363" s="98">
        <v>1</v>
      </c>
      <c r="Y1363" s="74">
        <v>1</v>
      </c>
      <c r="Z1363" s="75">
        <f t="shared" si="536"/>
        <v>0</v>
      </c>
      <c r="AA1363" s="107">
        <f>AA1362</f>
        <v>0</v>
      </c>
      <c r="AB1363" s="41"/>
      <c r="AC1363" s="184"/>
      <c r="AD1363" s="212">
        <f t="shared" ref="AD1363:AD1372" si="539">AD1362</f>
        <v>22</v>
      </c>
      <c r="AE1363" s="387"/>
      <c r="AF1363" s="388"/>
      <c r="AG1363" s="388"/>
      <c r="AH1363" s="388"/>
      <c r="AI1363" s="388"/>
      <c r="AJ1363" s="388"/>
      <c r="AK1363" s="388"/>
      <c r="AL1363" s="388"/>
      <c r="AM1363" s="388"/>
      <c r="AN1363" s="388"/>
      <c r="AO1363" s="388"/>
      <c r="AP1363" s="388"/>
      <c r="AQ1363" s="388"/>
      <c r="AR1363" s="388"/>
      <c r="AS1363" s="388"/>
      <c r="AT1363" s="388"/>
      <c r="AU1363" s="388"/>
      <c r="AV1363" s="388"/>
      <c r="AW1363" s="388"/>
      <c r="AX1363" s="388"/>
      <c r="AY1363" s="388"/>
      <c r="AZ1363" s="388"/>
      <c r="BA1363" s="388"/>
      <c r="BB1363" s="389"/>
      <c r="BC1363" s="98">
        <v>1</v>
      </c>
      <c r="BD1363" s="74">
        <v>1</v>
      </c>
      <c r="BE1363" s="75">
        <f t="shared" si="537"/>
        <v>0</v>
      </c>
    </row>
    <row r="1364" spans="1:57" s="1" customFormat="1" ht="21.9" customHeight="1" x14ac:dyDescent="0.4">
      <c r="A1364" s="37" t="str">
        <f t="shared" si="530"/>
        <v>22Н</v>
      </c>
      <c r="B1364" s="183"/>
      <c r="C1364" s="41"/>
      <c r="D1364" s="184"/>
      <c r="E1364" s="282">
        <f t="shared" si="538"/>
        <v>22</v>
      </c>
      <c r="F1364" s="335"/>
      <c r="G1364" s="336"/>
      <c r="H1364" s="336"/>
      <c r="I1364" s="336"/>
      <c r="J1364" s="336"/>
      <c r="K1364" s="336"/>
      <c r="L1364" s="336"/>
      <c r="M1364" s="336"/>
      <c r="N1364" s="336"/>
      <c r="O1364" s="336"/>
      <c r="P1364" s="336"/>
      <c r="Q1364" s="336"/>
      <c r="R1364" s="336"/>
      <c r="S1364" s="336"/>
      <c r="T1364" s="336"/>
      <c r="U1364" s="336"/>
      <c r="V1364" s="336"/>
      <c r="W1364" s="336"/>
      <c r="X1364" s="98">
        <v>1</v>
      </c>
      <c r="Y1364" s="74">
        <v>1</v>
      </c>
      <c r="Z1364" s="75">
        <f t="shared" si="536"/>
        <v>0</v>
      </c>
      <c r="AA1364" s="107">
        <f t="shared" ref="AA1364:AA1372" si="540">AA1363</f>
        <v>0</v>
      </c>
      <c r="AB1364" s="41"/>
      <c r="AC1364" s="184"/>
      <c r="AD1364" s="212">
        <f t="shared" si="539"/>
        <v>22</v>
      </c>
      <c r="AE1364" s="387"/>
      <c r="AF1364" s="388"/>
      <c r="AG1364" s="388"/>
      <c r="AH1364" s="388"/>
      <c r="AI1364" s="388"/>
      <c r="AJ1364" s="388"/>
      <c r="AK1364" s="388"/>
      <c r="AL1364" s="388"/>
      <c r="AM1364" s="388"/>
      <c r="AN1364" s="388"/>
      <c r="AO1364" s="388"/>
      <c r="AP1364" s="388"/>
      <c r="AQ1364" s="388"/>
      <c r="AR1364" s="388"/>
      <c r="AS1364" s="388"/>
      <c r="AT1364" s="388"/>
      <c r="AU1364" s="388"/>
      <c r="AV1364" s="388"/>
      <c r="AW1364" s="388"/>
      <c r="AX1364" s="388"/>
      <c r="AY1364" s="388"/>
      <c r="AZ1364" s="388"/>
      <c r="BA1364" s="388"/>
      <c r="BB1364" s="389"/>
      <c r="BC1364" s="98">
        <v>1</v>
      </c>
      <c r="BD1364" s="74">
        <v>1</v>
      </c>
      <c r="BE1364" s="75">
        <f t="shared" si="537"/>
        <v>0</v>
      </c>
    </row>
    <row r="1365" spans="1:57" s="1" customFormat="1" ht="18" customHeight="1" x14ac:dyDescent="0.4">
      <c r="A1365" s="37" t="str">
        <f t="shared" si="530"/>
        <v>22Н</v>
      </c>
      <c r="B1365" s="183"/>
      <c r="C1365" s="41"/>
      <c r="D1365" s="184"/>
      <c r="E1365" s="282">
        <f t="shared" si="538"/>
        <v>22</v>
      </c>
      <c r="F1365" s="335"/>
      <c r="G1365" s="336"/>
      <c r="H1365" s="336"/>
      <c r="I1365" s="336"/>
      <c r="J1365" s="336"/>
      <c r="K1365" s="336"/>
      <c r="L1365" s="336"/>
      <c r="M1365" s="336"/>
      <c r="N1365" s="336"/>
      <c r="O1365" s="336"/>
      <c r="P1365" s="336"/>
      <c r="Q1365" s="336"/>
      <c r="R1365" s="336"/>
      <c r="S1365" s="336"/>
      <c r="T1365" s="336"/>
      <c r="U1365" s="336"/>
      <c r="V1365" s="336"/>
      <c r="W1365" s="336"/>
      <c r="X1365" s="98">
        <v>1</v>
      </c>
      <c r="Y1365" s="74">
        <v>1</v>
      </c>
      <c r="Z1365" s="75">
        <f t="shared" si="536"/>
        <v>0</v>
      </c>
      <c r="AA1365" s="107">
        <f t="shared" si="540"/>
        <v>0</v>
      </c>
      <c r="AB1365" s="41"/>
      <c r="AC1365" s="184"/>
      <c r="AD1365" s="212">
        <f t="shared" si="539"/>
        <v>22</v>
      </c>
      <c r="AE1365" s="387"/>
      <c r="AF1365" s="388"/>
      <c r="AG1365" s="388"/>
      <c r="AH1365" s="388"/>
      <c r="AI1365" s="388"/>
      <c r="AJ1365" s="388"/>
      <c r="AK1365" s="388"/>
      <c r="AL1365" s="388"/>
      <c r="AM1365" s="388"/>
      <c r="AN1365" s="388"/>
      <c r="AO1365" s="388"/>
      <c r="AP1365" s="388"/>
      <c r="AQ1365" s="388"/>
      <c r="AR1365" s="388"/>
      <c r="AS1365" s="388"/>
      <c r="AT1365" s="388"/>
      <c r="AU1365" s="388"/>
      <c r="AV1365" s="388"/>
      <c r="AW1365" s="388"/>
      <c r="AX1365" s="388"/>
      <c r="AY1365" s="388"/>
      <c r="AZ1365" s="388"/>
      <c r="BA1365" s="388"/>
      <c r="BB1365" s="389"/>
      <c r="BC1365" s="98">
        <v>1</v>
      </c>
      <c r="BD1365" s="74">
        <v>1</v>
      </c>
      <c r="BE1365" s="75">
        <f t="shared" si="537"/>
        <v>0</v>
      </c>
    </row>
    <row r="1366" spans="1:57" s="1" customFormat="1" ht="18" customHeight="1" x14ac:dyDescent="0.4">
      <c r="A1366" s="37" t="str">
        <f t="shared" si="530"/>
        <v>22Н</v>
      </c>
      <c r="B1366" s="183"/>
      <c r="C1366" s="41"/>
      <c r="D1366" s="184"/>
      <c r="E1366" s="282">
        <f t="shared" si="538"/>
        <v>22</v>
      </c>
      <c r="F1366" s="335"/>
      <c r="G1366" s="336"/>
      <c r="H1366" s="336"/>
      <c r="I1366" s="336"/>
      <c r="J1366" s="336"/>
      <c r="K1366" s="336"/>
      <c r="L1366" s="336"/>
      <c r="M1366" s="336"/>
      <c r="N1366" s="336"/>
      <c r="O1366" s="336"/>
      <c r="P1366" s="336"/>
      <c r="Q1366" s="336"/>
      <c r="R1366" s="336"/>
      <c r="S1366" s="336"/>
      <c r="T1366" s="336"/>
      <c r="U1366" s="336"/>
      <c r="V1366" s="336"/>
      <c r="W1366" s="336"/>
      <c r="X1366" s="98">
        <v>1</v>
      </c>
      <c r="Y1366" s="74">
        <v>1</v>
      </c>
      <c r="Z1366" s="75">
        <f t="shared" si="536"/>
        <v>0</v>
      </c>
      <c r="AA1366" s="107">
        <f t="shared" si="540"/>
        <v>0</v>
      </c>
      <c r="AB1366" s="41"/>
      <c r="AC1366" s="184"/>
      <c r="AD1366" s="212">
        <f t="shared" si="539"/>
        <v>22</v>
      </c>
      <c r="AE1366" s="387"/>
      <c r="AF1366" s="388"/>
      <c r="AG1366" s="388"/>
      <c r="AH1366" s="388"/>
      <c r="AI1366" s="388"/>
      <c r="AJ1366" s="388"/>
      <c r="AK1366" s="388"/>
      <c r="AL1366" s="388"/>
      <c r="AM1366" s="388"/>
      <c r="AN1366" s="388"/>
      <c r="AO1366" s="388"/>
      <c r="AP1366" s="388"/>
      <c r="AQ1366" s="388"/>
      <c r="AR1366" s="388"/>
      <c r="AS1366" s="388"/>
      <c r="AT1366" s="388"/>
      <c r="AU1366" s="388"/>
      <c r="AV1366" s="388"/>
      <c r="AW1366" s="388"/>
      <c r="AX1366" s="388"/>
      <c r="AY1366" s="388"/>
      <c r="AZ1366" s="388"/>
      <c r="BA1366" s="388"/>
      <c r="BB1366" s="389"/>
      <c r="BC1366" s="98">
        <v>1</v>
      </c>
      <c r="BD1366" s="74">
        <v>1</v>
      </c>
      <c r="BE1366" s="75">
        <f t="shared" si="537"/>
        <v>0</v>
      </c>
    </row>
    <row r="1367" spans="1:57" s="1" customFormat="1" ht="18" customHeight="1" x14ac:dyDescent="0.4">
      <c r="A1367" s="37" t="str">
        <f t="shared" si="530"/>
        <v>22Н</v>
      </c>
      <c r="B1367" s="183"/>
      <c r="C1367" s="41"/>
      <c r="D1367" s="184"/>
      <c r="E1367" s="282">
        <f t="shared" si="538"/>
        <v>22</v>
      </c>
      <c r="F1367" s="335"/>
      <c r="G1367" s="336"/>
      <c r="H1367" s="336"/>
      <c r="I1367" s="336"/>
      <c r="J1367" s="336"/>
      <c r="K1367" s="336"/>
      <c r="L1367" s="336"/>
      <c r="M1367" s="336"/>
      <c r="N1367" s="336"/>
      <c r="O1367" s="336"/>
      <c r="P1367" s="336"/>
      <c r="Q1367" s="336"/>
      <c r="R1367" s="336"/>
      <c r="S1367" s="336"/>
      <c r="T1367" s="336"/>
      <c r="U1367" s="336"/>
      <c r="V1367" s="336"/>
      <c r="W1367" s="336"/>
      <c r="X1367" s="98">
        <v>1</v>
      </c>
      <c r="Y1367" s="74">
        <v>1</v>
      </c>
      <c r="Z1367" s="75">
        <f t="shared" si="536"/>
        <v>0</v>
      </c>
      <c r="AA1367" s="107">
        <f t="shared" si="540"/>
        <v>0</v>
      </c>
      <c r="AB1367" s="41"/>
      <c r="AC1367" s="184"/>
      <c r="AD1367" s="212">
        <f t="shared" si="539"/>
        <v>22</v>
      </c>
      <c r="AE1367" s="387"/>
      <c r="AF1367" s="388"/>
      <c r="AG1367" s="388"/>
      <c r="AH1367" s="388"/>
      <c r="AI1367" s="388"/>
      <c r="AJ1367" s="388"/>
      <c r="AK1367" s="388"/>
      <c r="AL1367" s="388"/>
      <c r="AM1367" s="388"/>
      <c r="AN1367" s="388"/>
      <c r="AO1367" s="388"/>
      <c r="AP1367" s="388"/>
      <c r="AQ1367" s="388"/>
      <c r="AR1367" s="388"/>
      <c r="AS1367" s="388"/>
      <c r="AT1367" s="388"/>
      <c r="AU1367" s="388"/>
      <c r="AV1367" s="388"/>
      <c r="AW1367" s="388"/>
      <c r="AX1367" s="388"/>
      <c r="AY1367" s="388"/>
      <c r="AZ1367" s="388"/>
      <c r="BA1367" s="388"/>
      <c r="BB1367" s="389"/>
      <c r="BC1367" s="98">
        <v>1</v>
      </c>
      <c r="BD1367" s="74">
        <v>1</v>
      </c>
      <c r="BE1367" s="75">
        <f t="shared" si="537"/>
        <v>0</v>
      </c>
    </row>
    <row r="1368" spans="1:57" s="1" customFormat="1" ht="18" customHeight="1" x14ac:dyDescent="0.4">
      <c r="A1368" s="37" t="str">
        <f t="shared" si="530"/>
        <v>22Н</v>
      </c>
      <c r="B1368" s="183"/>
      <c r="C1368" s="41"/>
      <c r="D1368" s="184"/>
      <c r="E1368" s="282">
        <f t="shared" si="538"/>
        <v>22</v>
      </c>
      <c r="F1368" s="335"/>
      <c r="G1368" s="336"/>
      <c r="H1368" s="336"/>
      <c r="I1368" s="336"/>
      <c r="J1368" s="336"/>
      <c r="K1368" s="336"/>
      <c r="L1368" s="336"/>
      <c r="M1368" s="336"/>
      <c r="N1368" s="336"/>
      <c r="O1368" s="336"/>
      <c r="P1368" s="336"/>
      <c r="Q1368" s="336"/>
      <c r="R1368" s="336"/>
      <c r="S1368" s="336"/>
      <c r="T1368" s="336"/>
      <c r="U1368" s="336"/>
      <c r="V1368" s="336"/>
      <c r="W1368" s="336"/>
      <c r="X1368" s="98">
        <v>1</v>
      </c>
      <c r="Y1368" s="74">
        <v>1</v>
      </c>
      <c r="Z1368" s="75">
        <f t="shared" si="536"/>
        <v>0</v>
      </c>
      <c r="AA1368" s="107">
        <f t="shared" si="540"/>
        <v>0</v>
      </c>
      <c r="AB1368" s="41"/>
      <c r="AC1368" s="184"/>
      <c r="AD1368" s="212">
        <f t="shared" si="539"/>
        <v>22</v>
      </c>
      <c r="AE1368" s="387"/>
      <c r="AF1368" s="388"/>
      <c r="AG1368" s="388"/>
      <c r="AH1368" s="388"/>
      <c r="AI1368" s="388"/>
      <c r="AJ1368" s="388"/>
      <c r="AK1368" s="388"/>
      <c r="AL1368" s="388"/>
      <c r="AM1368" s="388"/>
      <c r="AN1368" s="388"/>
      <c r="AO1368" s="388"/>
      <c r="AP1368" s="388"/>
      <c r="AQ1368" s="388"/>
      <c r="AR1368" s="388"/>
      <c r="AS1368" s="388"/>
      <c r="AT1368" s="388"/>
      <c r="AU1368" s="388"/>
      <c r="AV1368" s="388"/>
      <c r="AW1368" s="388"/>
      <c r="AX1368" s="388"/>
      <c r="AY1368" s="388"/>
      <c r="AZ1368" s="388"/>
      <c r="BA1368" s="388"/>
      <c r="BB1368" s="389"/>
      <c r="BC1368" s="98">
        <v>1</v>
      </c>
      <c r="BD1368" s="74">
        <v>1</v>
      </c>
      <c r="BE1368" s="75">
        <f t="shared" si="537"/>
        <v>0</v>
      </c>
    </row>
    <row r="1369" spans="1:57" s="1" customFormat="1" ht="18" customHeight="1" x14ac:dyDescent="0.4">
      <c r="A1369" s="37" t="str">
        <f t="shared" si="530"/>
        <v>22Н</v>
      </c>
      <c r="B1369" s="183"/>
      <c r="C1369" s="41"/>
      <c r="D1369" s="184"/>
      <c r="E1369" s="282">
        <f t="shared" si="538"/>
        <v>22</v>
      </c>
      <c r="F1369" s="335"/>
      <c r="G1369" s="336"/>
      <c r="H1369" s="336"/>
      <c r="I1369" s="336"/>
      <c r="J1369" s="336"/>
      <c r="K1369" s="336"/>
      <c r="L1369" s="336"/>
      <c r="M1369" s="336"/>
      <c r="N1369" s="336"/>
      <c r="O1369" s="336"/>
      <c r="P1369" s="336"/>
      <c r="Q1369" s="336"/>
      <c r="R1369" s="336"/>
      <c r="S1369" s="336"/>
      <c r="T1369" s="336"/>
      <c r="U1369" s="336"/>
      <c r="V1369" s="336"/>
      <c r="W1369" s="336"/>
      <c r="X1369" s="98">
        <v>1</v>
      </c>
      <c r="Y1369" s="74">
        <v>1</v>
      </c>
      <c r="Z1369" s="75">
        <f t="shared" si="536"/>
        <v>0</v>
      </c>
      <c r="AA1369" s="107">
        <f t="shared" si="540"/>
        <v>0</v>
      </c>
      <c r="AB1369" s="41"/>
      <c r="AC1369" s="184"/>
      <c r="AD1369" s="212">
        <f t="shared" si="539"/>
        <v>22</v>
      </c>
      <c r="AE1369" s="387"/>
      <c r="AF1369" s="388"/>
      <c r="AG1369" s="388"/>
      <c r="AH1369" s="388"/>
      <c r="AI1369" s="388"/>
      <c r="AJ1369" s="388"/>
      <c r="AK1369" s="388"/>
      <c r="AL1369" s="388"/>
      <c r="AM1369" s="388"/>
      <c r="AN1369" s="388"/>
      <c r="AO1369" s="388"/>
      <c r="AP1369" s="388"/>
      <c r="AQ1369" s="388"/>
      <c r="AR1369" s="388"/>
      <c r="AS1369" s="388"/>
      <c r="AT1369" s="388"/>
      <c r="AU1369" s="388"/>
      <c r="AV1369" s="388"/>
      <c r="AW1369" s="388"/>
      <c r="AX1369" s="388"/>
      <c r="AY1369" s="388"/>
      <c r="AZ1369" s="388"/>
      <c r="BA1369" s="388"/>
      <c r="BB1369" s="389"/>
      <c r="BC1369" s="98">
        <v>1</v>
      </c>
      <c r="BD1369" s="74">
        <v>1</v>
      </c>
      <c r="BE1369" s="75">
        <f t="shared" si="537"/>
        <v>0</v>
      </c>
    </row>
    <row r="1370" spans="1:57" s="1" customFormat="1" ht="18" customHeight="1" x14ac:dyDescent="0.4">
      <c r="A1370" s="37" t="str">
        <f t="shared" si="530"/>
        <v>22Н</v>
      </c>
      <c r="B1370" s="183"/>
      <c r="C1370" s="41"/>
      <c r="D1370" s="184"/>
      <c r="E1370" s="282">
        <f t="shared" si="538"/>
        <v>22</v>
      </c>
      <c r="F1370" s="335"/>
      <c r="G1370" s="336"/>
      <c r="H1370" s="336"/>
      <c r="I1370" s="336"/>
      <c r="J1370" s="336"/>
      <c r="K1370" s="336"/>
      <c r="L1370" s="336"/>
      <c r="M1370" s="336"/>
      <c r="N1370" s="336"/>
      <c r="O1370" s="336"/>
      <c r="P1370" s="336"/>
      <c r="Q1370" s="336"/>
      <c r="R1370" s="336"/>
      <c r="S1370" s="336"/>
      <c r="T1370" s="336"/>
      <c r="U1370" s="336"/>
      <c r="V1370" s="336"/>
      <c r="W1370" s="336"/>
      <c r="X1370" s="98">
        <v>1</v>
      </c>
      <c r="Y1370" s="74">
        <v>1</v>
      </c>
      <c r="Z1370" s="75">
        <f t="shared" si="536"/>
        <v>0</v>
      </c>
      <c r="AA1370" s="107">
        <f t="shared" si="540"/>
        <v>0</v>
      </c>
      <c r="AB1370" s="41"/>
      <c r="AC1370" s="184"/>
      <c r="AD1370" s="212">
        <f t="shared" si="539"/>
        <v>22</v>
      </c>
      <c r="AE1370" s="387"/>
      <c r="AF1370" s="388"/>
      <c r="AG1370" s="388"/>
      <c r="AH1370" s="388"/>
      <c r="AI1370" s="388"/>
      <c r="AJ1370" s="388"/>
      <c r="AK1370" s="388"/>
      <c r="AL1370" s="388"/>
      <c r="AM1370" s="388"/>
      <c r="AN1370" s="388"/>
      <c r="AO1370" s="388"/>
      <c r="AP1370" s="388"/>
      <c r="AQ1370" s="388"/>
      <c r="AR1370" s="388"/>
      <c r="AS1370" s="388"/>
      <c r="AT1370" s="388"/>
      <c r="AU1370" s="388"/>
      <c r="AV1370" s="388"/>
      <c r="AW1370" s="388"/>
      <c r="AX1370" s="388"/>
      <c r="AY1370" s="388"/>
      <c r="AZ1370" s="388"/>
      <c r="BA1370" s="388"/>
      <c r="BB1370" s="389"/>
      <c r="BC1370" s="98">
        <v>1</v>
      </c>
      <c r="BD1370" s="74">
        <v>1</v>
      </c>
      <c r="BE1370" s="75">
        <f t="shared" si="537"/>
        <v>0</v>
      </c>
    </row>
    <row r="1371" spans="1:57" s="1" customFormat="1" ht="18" customHeight="1" x14ac:dyDescent="0.4">
      <c r="A1371" s="37" t="str">
        <f t="shared" si="530"/>
        <v>22Н</v>
      </c>
      <c r="B1371" s="183"/>
      <c r="C1371" s="41"/>
      <c r="D1371" s="184"/>
      <c r="E1371" s="282">
        <f t="shared" si="538"/>
        <v>22</v>
      </c>
      <c r="F1371" s="335"/>
      <c r="G1371" s="336"/>
      <c r="H1371" s="336"/>
      <c r="I1371" s="336"/>
      <c r="J1371" s="336"/>
      <c r="K1371" s="336"/>
      <c r="L1371" s="336"/>
      <c r="M1371" s="336"/>
      <c r="N1371" s="336"/>
      <c r="O1371" s="336"/>
      <c r="P1371" s="336"/>
      <c r="Q1371" s="336"/>
      <c r="R1371" s="336"/>
      <c r="S1371" s="336"/>
      <c r="T1371" s="336"/>
      <c r="U1371" s="336"/>
      <c r="V1371" s="336"/>
      <c r="W1371" s="336"/>
      <c r="X1371" s="98">
        <v>1</v>
      </c>
      <c r="Y1371" s="74">
        <v>1</v>
      </c>
      <c r="Z1371" s="75">
        <f t="shared" si="536"/>
        <v>0</v>
      </c>
      <c r="AA1371" s="107">
        <f t="shared" si="540"/>
        <v>0</v>
      </c>
      <c r="AB1371" s="41"/>
      <c r="AC1371" s="184"/>
      <c r="AD1371" s="212">
        <f t="shared" si="539"/>
        <v>22</v>
      </c>
      <c r="AE1371" s="387"/>
      <c r="AF1371" s="388"/>
      <c r="AG1371" s="388"/>
      <c r="AH1371" s="388"/>
      <c r="AI1371" s="388"/>
      <c r="AJ1371" s="388"/>
      <c r="AK1371" s="388"/>
      <c r="AL1371" s="388"/>
      <c r="AM1371" s="388"/>
      <c r="AN1371" s="388"/>
      <c r="AO1371" s="388"/>
      <c r="AP1371" s="388"/>
      <c r="AQ1371" s="388"/>
      <c r="AR1371" s="388"/>
      <c r="AS1371" s="388"/>
      <c r="AT1371" s="388"/>
      <c r="AU1371" s="388"/>
      <c r="AV1371" s="388"/>
      <c r="AW1371" s="388"/>
      <c r="AX1371" s="388"/>
      <c r="AY1371" s="388"/>
      <c r="AZ1371" s="388"/>
      <c r="BA1371" s="388"/>
      <c r="BB1371" s="389"/>
      <c r="BC1371" s="98">
        <v>1</v>
      </c>
      <c r="BD1371" s="74">
        <v>1</v>
      </c>
      <c r="BE1371" s="75">
        <f t="shared" si="537"/>
        <v>0</v>
      </c>
    </row>
    <row r="1372" spans="1:57" s="1" customFormat="1" ht="18" customHeight="1" thickBot="1" x14ac:dyDescent="0.45">
      <c r="A1372" s="37" t="str">
        <f t="shared" si="530"/>
        <v>22Н</v>
      </c>
      <c r="B1372" s="183"/>
      <c r="C1372" s="41"/>
      <c r="D1372" s="184"/>
      <c r="E1372" s="283">
        <f t="shared" si="538"/>
        <v>22</v>
      </c>
      <c r="F1372" s="339"/>
      <c r="G1372" s="340"/>
      <c r="H1372" s="340"/>
      <c r="I1372" s="340"/>
      <c r="J1372" s="340"/>
      <c r="K1372" s="340"/>
      <c r="L1372" s="340"/>
      <c r="M1372" s="340"/>
      <c r="N1372" s="340"/>
      <c r="O1372" s="340"/>
      <c r="P1372" s="340"/>
      <c r="Q1372" s="340"/>
      <c r="R1372" s="340"/>
      <c r="S1372" s="340"/>
      <c r="T1372" s="340"/>
      <c r="U1372" s="340"/>
      <c r="V1372" s="340"/>
      <c r="W1372" s="340"/>
      <c r="X1372" s="99">
        <v>1</v>
      </c>
      <c r="Y1372" s="76">
        <v>1</v>
      </c>
      <c r="Z1372" s="77">
        <f t="shared" si="536"/>
        <v>0</v>
      </c>
      <c r="AA1372" s="107">
        <f t="shared" si="540"/>
        <v>0</v>
      </c>
      <c r="AB1372" s="41"/>
      <c r="AC1372" s="184"/>
      <c r="AD1372" s="211">
        <f t="shared" si="539"/>
        <v>22</v>
      </c>
      <c r="AE1372" s="410"/>
      <c r="AF1372" s="411"/>
      <c r="AG1372" s="411"/>
      <c r="AH1372" s="411"/>
      <c r="AI1372" s="411"/>
      <c r="AJ1372" s="411"/>
      <c r="AK1372" s="411"/>
      <c r="AL1372" s="411"/>
      <c r="AM1372" s="411"/>
      <c r="AN1372" s="411"/>
      <c r="AO1372" s="411"/>
      <c r="AP1372" s="411"/>
      <c r="AQ1372" s="411"/>
      <c r="AR1372" s="411"/>
      <c r="AS1372" s="411"/>
      <c r="AT1372" s="411"/>
      <c r="AU1372" s="411"/>
      <c r="AV1372" s="411"/>
      <c r="AW1372" s="411"/>
      <c r="AX1372" s="411"/>
      <c r="AY1372" s="411"/>
      <c r="AZ1372" s="411"/>
      <c r="BA1372" s="411"/>
      <c r="BB1372" s="412"/>
      <c r="BC1372" s="99">
        <v>1</v>
      </c>
      <c r="BD1372" s="76">
        <v>1</v>
      </c>
      <c r="BE1372" s="75">
        <f t="shared" si="537"/>
        <v>0</v>
      </c>
    </row>
    <row r="1373" spans="1:57" s="1" customFormat="1" ht="23.25" customHeight="1" thickBot="1" x14ac:dyDescent="0.45">
      <c r="A1373" s="37" t="str">
        <f t="shared" si="530"/>
        <v>22Н</v>
      </c>
      <c r="B1373" s="193"/>
      <c r="C1373" s="47"/>
      <c r="D1373" s="47"/>
      <c r="E1373" s="47"/>
      <c r="F1373" s="78"/>
      <c r="G1373" s="78"/>
      <c r="H1373" s="78"/>
      <c r="I1373" s="80"/>
      <c r="J1373" s="80"/>
      <c r="K1373" s="80"/>
      <c r="L1373" s="80"/>
      <c r="M1373" s="80"/>
      <c r="N1373" s="80"/>
      <c r="O1373" s="78"/>
      <c r="P1373" s="81"/>
      <c r="Q1373" s="81"/>
      <c r="R1373" s="81"/>
      <c r="S1373" s="81"/>
      <c r="T1373" s="81"/>
      <c r="U1373" s="82"/>
      <c r="V1373" s="82"/>
      <c r="W1373" s="86"/>
      <c r="X1373" s="194"/>
      <c r="Y1373" s="83"/>
      <c r="Z1373" s="83"/>
      <c r="AA1373" s="78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84"/>
      <c r="AN1373" s="47"/>
      <c r="AO1373" s="78"/>
      <c r="AP1373" s="78"/>
      <c r="AQ1373" s="78"/>
      <c r="AR1373" s="84"/>
      <c r="AS1373" s="78"/>
      <c r="AT1373" s="85"/>
      <c r="AU1373" s="78"/>
      <c r="AV1373" s="83"/>
      <c r="AW1373" s="83"/>
      <c r="AX1373" s="78"/>
      <c r="AY1373" s="78"/>
      <c r="AZ1373" s="78"/>
      <c r="BA1373" s="78"/>
      <c r="BB1373" s="78"/>
      <c r="BC1373" s="78"/>
      <c r="BD1373" s="79"/>
      <c r="BE1373" s="79"/>
    </row>
    <row r="1374" spans="1:57" s="1" customFormat="1" ht="21.6" customHeight="1" thickBot="1" x14ac:dyDescent="0.45">
      <c r="A1374" s="37" t="s">
        <v>190</v>
      </c>
      <c r="B1374" s="59"/>
      <c r="C1374" s="51"/>
      <c r="D1374" s="51"/>
      <c r="E1374" s="51"/>
      <c r="F1374" s="158" t="s">
        <v>147</v>
      </c>
      <c r="G1374" s="51"/>
      <c r="H1374" s="51"/>
      <c r="I1374" s="156"/>
      <c r="J1374" s="156"/>
      <c r="K1374" s="156"/>
      <c r="L1374" s="156"/>
      <c r="M1374" s="156"/>
      <c r="N1374" s="156"/>
      <c r="O1374" s="91"/>
      <c r="P1374" s="52"/>
      <c r="Q1374" s="52"/>
      <c r="R1374" s="52"/>
      <c r="S1374" s="52"/>
      <c r="T1374" s="52"/>
      <c r="U1374" s="157"/>
      <c r="V1374" s="157"/>
      <c r="W1374" s="94"/>
      <c r="X1374" s="94"/>
      <c r="Y1374" s="51"/>
      <c r="Z1374" s="51"/>
      <c r="AA1374" s="157">
        <f>AA1357</f>
        <v>1</v>
      </c>
      <c r="AB1374" s="157">
        <f t="shared" ref="AB1374:AF1374" si="541">AB1357</f>
        <v>2</v>
      </c>
      <c r="AC1374" s="157">
        <f t="shared" si="541"/>
        <v>3</v>
      </c>
      <c r="AD1374" s="157">
        <f t="shared" si="541"/>
        <v>4</v>
      </c>
      <c r="AE1374" s="157">
        <f t="shared" si="541"/>
        <v>5</v>
      </c>
      <c r="AF1374" s="157">
        <f t="shared" si="541"/>
        <v>6</v>
      </c>
      <c r="AG1374" s="162" t="s">
        <v>123</v>
      </c>
      <c r="AH1374" s="162" t="s">
        <v>124</v>
      </c>
      <c r="AI1374" s="162" t="s">
        <v>125</v>
      </c>
      <c r="AJ1374" s="91" t="s">
        <v>126</v>
      </c>
      <c r="AK1374" s="198" t="s">
        <v>136</v>
      </c>
      <c r="AL1374" s="198" t="s">
        <v>137</v>
      </c>
      <c r="AM1374" s="198" t="s">
        <v>138</v>
      </c>
      <c r="AN1374" s="91"/>
      <c r="AO1374" s="91"/>
      <c r="AP1374" s="91"/>
      <c r="AQ1374" s="91"/>
      <c r="AR1374" s="91"/>
      <c r="AS1374" s="91"/>
      <c r="AT1374" s="91"/>
      <c r="AU1374" s="91"/>
      <c r="AV1374" s="91"/>
      <c r="AW1374" s="91"/>
      <c r="AX1374" s="91"/>
      <c r="AY1374" s="91"/>
      <c r="AZ1374" s="91"/>
      <c r="BA1374" s="91"/>
      <c r="BB1374" s="91"/>
      <c r="BC1374" s="91"/>
      <c r="BD1374" s="91"/>
      <c r="BE1374" s="91"/>
    </row>
    <row r="1375" spans="1:57" s="1" customFormat="1" ht="21.6" customHeight="1" x14ac:dyDescent="0.4">
      <c r="A1375" s="37" t="str">
        <f>A1374</f>
        <v>23Д</v>
      </c>
      <c r="B1375" s="12">
        <f>B1356+1</f>
        <v>23</v>
      </c>
      <c r="C1375" s="97"/>
      <c r="D1375" s="97">
        <v>1</v>
      </c>
      <c r="E1375" s="29"/>
      <c r="F1375" s="151" t="str">
        <f>IFERROR(VLOOKUP($G1375,нормы!$A$14:$BC$57,2,0),"")</f>
        <v/>
      </c>
      <c r="G1375" s="93"/>
      <c r="H1375" s="54">
        <f>IF(C1375=1,"Кульков С.А.", IF(C1375=2,"Чудаков А.А.",IF(C1375=3,"Королев В.Н.",IF(C1375=4,"Николашин М.П.",IF(C1375=5," Кульков С.А.",IF(C1375=6,"А.А. Чудаков",IF(C1375=7,"В.Н. Королев",IF(C1375=8,"М.П. Николашин",0))))))))</f>
        <v>0</v>
      </c>
      <c r="I1375" s="88" t="s">
        <v>84</v>
      </c>
      <c r="J1375" s="332"/>
      <c r="K1375" s="30">
        <f>IFERROR(VLOOKUP($G1375,[1]нормы!$A$21:$BC$151,15,0),"")</f>
        <v>0</v>
      </c>
      <c r="L1375" s="31">
        <f>IFERROR(VLOOKUP($G1375,[1]нормы!$A$21:$BC$151,17,0),"")</f>
        <v>0</v>
      </c>
      <c r="M1375" s="310">
        <f>IFERROR(VLOOKUP($G1375,[1]нормы!$A$21:$BC$151,27,0),"")</f>
        <v>0</v>
      </c>
      <c r="N1375" s="311" t="str">
        <f>IFERROR(Y1375/Y1381*(1.1*J1375*I1380),"")</f>
        <v/>
      </c>
      <c r="O1375" s="300">
        <f>IFERROR(VLOOKUP($G1375,[1]нормы!$A$21:$BC$151,21,0),"")</f>
        <v>0</v>
      </c>
      <c r="P1375" s="35">
        <f>IFERROR(VLOOKUP($G1375,[1]нормы!$A$21:$BC$151,19,0),"")</f>
        <v>0</v>
      </c>
      <c r="Q1375" s="35">
        <f>IFERROR(VLOOKUP($G1375,[1]нормы!$A$21:$BC$151,23,0),"")</f>
        <v>0</v>
      </c>
      <c r="R1375" s="231">
        <f>IFERROR(VLOOKUP($G1375,[1]нормы!$A$21:$BC$151,29,0),"")</f>
        <v>0</v>
      </c>
      <c r="S1375" s="35">
        <f>IFERROR(VLOOKUP($G1375,[1]нормы!$A$21:$BC$151,31,0),"")</f>
        <v>0</v>
      </c>
      <c r="T1375" s="32">
        <f>IFERROR(VLOOKUP($G1375,[1]нормы!$A$21:$BC$151,25,0),"")</f>
        <v>0</v>
      </c>
      <c r="U1375" s="232" t="str">
        <f>IFERROR(W1375/(((100*Y1375/Y1381)*I1380)/100),"")</f>
        <v/>
      </c>
      <c r="V1375" s="234" t="str">
        <f>IFERROR(VLOOKUP($G1375,нормы!$A$14:$BC$57,38,0),"")</f>
        <v/>
      </c>
      <c r="W1375" s="136"/>
      <c r="X1375" s="236"/>
      <c r="Y1375" s="152" t="str">
        <f>IFERROR(VLOOKUP($G1375,нормы!$A$14:$BC$57,42,0)*W1375,"")</f>
        <v/>
      </c>
      <c r="Z1375" s="163">
        <f>IFERROR(VLOOKUP($G1375,нормы!$A$14:$BC$57,14,0)*W1375/1000,0)</f>
        <v>0</v>
      </c>
      <c r="AA1375" s="33"/>
      <c r="AB1375" s="36"/>
      <c r="AC1375" s="36"/>
      <c r="AD1375" s="36"/>
      <c r="AE1375" s="34"/>
      <c r="AF1375" s="159"/>
      <c r="AG1375" s="390"/>
      <c r="AH1375" s="393"/>
      <c r="AI1375" s="396"/>
      <c r="AJ1375" s="407">
        <f>AG1375+AH1375</f>
        <v>0</v>
      </c>
      <c r="AK1375" s="359"/>
      <c r="AL1375" s="359"/>
      <c r="AM1375" s="359"/>
      <c r="AN1375" s="287">
        <f>IFERROR(Y1375*AJ1375/Y1381,)</f>
        <v>0</v>
      </c>
      <c r="AO1375" s="197" t="str">
        <f>IFERROR(VLOOKUP($G1375,нормы!$A$14:$BC$57,53,0)*$W1375,"")</f>
        <v/>
      </c>
      <c r="AP1375" s="288">
        <f>IFERROR(Y1375*AI1375/Y1381,)</f>
        <v>0</v>
      </c>
      <c r="AQ1375" s="197" t="str">
        <f>IFERROR(VLOOKUP($G1375,нормы!$A$14:$BC$57,54,0)*$W1375,"")</f>
        <v/>
      </c>
      <c r="AR1375" s="288">
        <f>IFERROR(AS1375/SUM(AS1375:AS1380)*AL1375,0)</f>
        <v>0</v>
      </c>
      <c r="AS1375" s="197" t="str">
        <f>IFERROR(VLOOKUP($G1375,нормы!$A$14:$BC$57,55,0)*W1375,"")</f>
        <v/>
      </c>
      <c r="AT1375" s="288">
        <f>IFERROR(AU1375/SUM(AU1375:AU1380)*AM1375,0)</f>
        <v>0</v>
      </c>
      <c r="AU1375" s="197" t="str">
        <f>IFERROR(VLOOKUP($G1375,нормы!$A$14:$BI$57,56,0)*W1375,"")</f>
        <v/>
      </c>
      <c r="AV1375" s="288">
        <f>IFERROR(AW1375/SUM(AW1375:AW1380)*AK1375,0)</f>
        <v>0</v>
      </c>
      <c r="AW1375" s="202" t="str">
        <f>IFERROR(VLOOKUP($G1375,нормы!$A$14:$BI$57,57,0)*W1375,"")</f>
        <v/>
      </c>
      <c r="AX1375" s="33"/>
      <c r="AY1375" s="203" t="str">
        <f>IFERROR(VLOOKUP($G1375,нормы!$A$14:$BI$57,58,0)*W1375,"")</f>
        <v/>
      </c>
      <c r="AZ1375" s="204"/>
      <c r="BA1375" s="200" t="str">
        <f>IFERROR(VLOOKUP($G1375,нормы!$A$14:$BI$57,61,0)*$W1375,"")</f>
        <v/>
      </c>
      <c r="BB1375" s="33"/>
      <c r="BC1375" s="203" t="str">
        <f>IFERROR(VLOOKUP($G1375,нормы!$A$14:$BI$57,60,0)*W1375,"")</f>
        <v/>
      </c>
      <c r="BD1375" s="200" t="str">
        <f>IFERROR(VLOOKUP($G1375,нормы!$A$14:$BG$57,44,0),"")</f>
        <v/>
      </c>
      <c r="BE1375" s="199" t="str">
        <f>IFERROR(W1375/VLOOKUP($G1375,нормы!$A$14:$BI$57,45,0),"")</f>
        <v/>
      </c>
    </row>
    <row r="1376" spans="1:57" s="1" customFormat="1" ht="21.6" customHeight="1" x14ac:dyDescent="0.4">
      <c r="A1376" s="37" t="str">
        <f t="shared" ref="A1376:A1404" si="542">A1375</f>
        <v>23Д</v>
      </c>
      <c r="B1376" s="12">
        <f t="shared" ref="B1376:D1380" si="543">B1375</f>
        <v>23</v>
      </c>
      <c r="C1376" s="97">
        <f t="shared" si="543"/>
        <v>0</v>
      </c>
      <c r="D1376" s="97">
        <f t="shared" si="543"/>
        <v>1</v>
      </c>
      <c r="E1376" s="54"/>
      <c r="F1376" s="151" t="str">
        <f>IFERROR(VLOOKUP($G1376,нормы!$A$14:$BC$57,2,0),"")</f>
        <v/>
      </c>
      <c r="G1376" s="93"/>
      <c r="H1376" s="54">
        <f t="shared" ref="H1376:H1380" si="544">IF(C1376=1,"Кульков С.А.", IF(C1376=2,"Чудаков А.А.",IF(C1376=3,"Королев В.Н.",IF(C1376=4,"Николашин М.П.",IF(C1376=5," Кульков С.А.",IF(C1376=6,"А.А. Чудаков",IF(C1376=7,"В.Н. Королев",IF(C1376=8,"М.П. Николашин",0))))))))</f>
        <v>0</v>
      </c>
      <c r="I1376" s="55"/>
      <c r="J1376" s="333"/>
      <c r="K1376" s="30">
        <f>IFERROR(VLOOKUP($G1376,[1]нормы!$A$21:$BC$151,15,0),"")</f>
        <v>0</v>
      </c>
      <c r="L1376" s="31">
        <f>IFERROR(VLOOKUP($G1376,[1]нормы!$A$21:$BC$151,17,0),"")</f>
        <v>0</v>
      </c>
      <c r="M1376" s="306">
        <f>IFERROR(VLOOKUP($G1376,[1]нормы!$A$21:$BC$151,27,0),"")</f>
        <v>0</v>
      </c>
      <c r="N1376" s="307" t="str">
        <f>IFERROR(Y1376/Y1381*(1.1*J1375*I1380),"")</f>
        <v/>
      </c>
      <c r="O1376" s="300">
        <f>IFERROR(VLOOKUP($G1376,[1]нормы!$A$21:$BC$151,21,0),"")</f>
        <v>0</v>
      </c>
      <c r="P1376" s="35">
        <f>IFERROR(VLOOKUP($G1376,[1]нормы!$A$21:$BC$151,19,0),"")</f>
        <v>0</v>
      </c>
      <c r="Q1376" s="35">
        <f>IFERROR(VLOOKUP($G1376,[1]нормы!$A$21:$BC$151,23,0),"")</f>
        <v>0</v>
      </c>
      <c r="R1376" s="231">
        <f>IFERROR(VLOOKUP($G1376,[1]нормы!$A$21:$BC$151,29,0),"")</f>
        <v>0</v>
      </c>
      <c r="S1376" s="35">
        <f>IFERROR(VLOOKUP($G1376,[1]нормы!$A$21:$BC$151,31,0),"")</f>
        <v>0</v>
      </c>
      <c r="T1376" s="32">
        <f>IFERROR(VLOOKUP($G1376,[1]нормы!$A$21:$BC$151,25,0),"")</f>
        <v>0</v>
      </c>
      <c r="U1376" s="233" t="str">
        <f>IFERROR(W1376/(((100*Y1376/Y1381)*I1380)/100),"")</f>
        <v/>
      </c>
      <c r="V1376" s="234" t="str">
        <f>IFERROR(VLOOKUP($G1376,нормы!$A$14:$BC$57,38,0),"")</f>
        <v/>
      </c>
      <c r="W1376" s="136"/>
      <c r="X1376" s="237"/>
      <c r="Y1376" s="152" t="str">
        <f>IFERROR(VLOOKUP($G1376,нормы!$A$14:$BC$57,42,0)*W1376,"")</f>
        <v/>
      </c>
      <c r="Z1376" s="163">
        <f>IFERROR(VLOOKUP($G1376,нормы!$A$14:$BC$57,14,0)*W1376/1000,0)</f>
        <v>0</v>
      </c>
      <c r="AA1376" s="142"/>
      <c r="AB1376" s="35"/>
      <c r="AC1376" s="35"/>
      <c r="AD1376" s="35"/>
      <c r="AE1376" s="31"/>
      <c r="AF1376" s="160"/>
      <c r="AG1376" s="391"/>
      <c r="AH1376" s="394"/>
      <c r="AI1376" s="397"/>
      <c r="AJ1376" s="408"/>
      <c r="AK1376" s="360"/>
      <c r="AL1376" s="360"/>
      <c r="AM1376" s="360"/>
      <c r="AN1376" s="289">
        <f>IFERROR(Y1376*AJ1375/Y1381,)</f>
        <v>0</v>
      </c>
      <c r="AO1376" s="197" t="str">
        <f>IFERROR(VLOOKUP($G1376,нормы!$A$14:$BC$57,53,0)*$W1376,"")</f>
        <v/>
      </c>
      <c r="AP1376" s="290">
        <f>IFERROR(Y1376*AI1375/Y1381,)</f>
        <v>0</v>
      </c>
      <c r="AQ1376" s="197" t="str">
        <f>IFERROR(VLOOKUP($G1376,нормы!$A$14:$BC$57,54,0)*$W1376,"")</f>
        <v/>
      </c>
      <c r="AR1376" s="290">
        <f>IFERROR(AS1376/SUM(AS1375:AS1380)*AL1375,0)</f>
        <v>0</v>
      </c>
      <c r="AS1376" s="197" t="str">
        <f>IFERROR(VLOOKUP($G1376,нормы!$A$14:$BC$57,55,0)*W1376,"")</f>
        <v/>
      </c>
      <c r="AT1376" s="290">
        <f>IFERROR(AU1376/SUM(AU1375:AU1380)*AM1375,0)</f>
        <v>0</v>
      </c>
      <c r="AU1376" s="197" t="str">
        <f>IFERROR(VLOOKUP($G1376,нормы!$A$14:$BI$57,56,0)*W1376,"")</f>
        <v/>
      </c>
      <c r="AV1376" s="290">
        <f>IFERROR(AW1376/SUM(AW1375:AW1380)*AK1375,0)</f>
        <v>0</v>
      </c>
      <c r="AW1376" s="202" t="str">
        <f>IFERROR(VLOOKUP($G1376,нормы!$A$14:$BI$57,57,0)*W1376,"")</f>
        <v/>
      </c>
      <c r="AX1376" s="30"/>
      <c r="AY1376" s="203" t="str">
        <f>IFERROR(VLOOKUP($G1376,нормы!$A$14:$BI$57,58,0)*W1376,"")</f>
        <v/>
      </c>
      <c r="AZ1376" s="205"/>
      <c r="BA1376" s="200" t="str">
        <f>IFERROR(VLOOKUP($G1376,нормы!$A$14:$BI$57,61,0)*$W1376,"")</f>
        <v/>
      </c>
      <c r="BB1376" s="30"/>
      <c r="BC1376" s="203" t="str">
        <f>IFERROR(VLOOKUP($G1376,нормы!$A$14:$BI$57,60,0)*W1376,"")</f>
        <v/>
      </c>
      <c r="BD1376" s="200" t="str">
        <f>IFERROR(VLOOKUP($G1376,нормы!$A$14:$BG$57,44,0),"")</f>
        <v/>
      </c>
      <c r="BE1376" s="199" t="str">
        <f>IFERROR(W1376/VLOOKUP($G1376,нормы!$A$14:$BI$57,45,0),"")</f>
        <v/>
      </c>
    </row>
    <row r="1377" spans="1:57" s="1" customFormat="1" ht="20.25" customHeight="1" x14ac:dyDescent="0.4">
      <c r="A1377" s="37" t="str">
        <f t="shared" si="542"/>
        <v>23Д</v>
      </c>
      <c r="B1377" s="12">
        <f t="shared" si="543"/>
        <v>23</v>
      </c>
      <c r="C1377" s="97">
        <f t="shared" si="543"/>
        <v>0</v>
      </c>
      <c r="D1377" s="97">
        <f t="shared" si="543"/>
        <v>1</v>
      </c>
      <c r="E1377" s="54"/>
      <c r="F1377" s="151" t="str">
        <f>IFERROR(VLOOKUP($G1377,нормы!$A$14:$BC$57,2,0),"")</f>
        <v/>
      </c>
      <c r="G1377" s="38"/>
      <c r="H1377" s="54">
        <f t="shared" si="544"/>
        <v>0</v>
      </c>
      <c r="I1377" s="89" t="s">
        <v>85</v>
      </c>
      <c r="J1377" s="333"/>
      <c r="K1377" s="30">
        <f>IFERROR(VLOOKUP($G1377,[1]нормы!$A$21:$BC$151,15,0),"")</f>
        <v>0</v>
      </c>
      <c r="L1377" s="31">
        <f>IFERROR(VLOOKUP($G1377,[1]нормы!$A$21:$BC$151,17,0),"")</f>
        <v>0</v>
      </c>
      <c r="M1377" s="306">
        <f>IFERROR(VLOOKUP($G1377,[1]нормы!$A$21:$BC$151,27,0),"")</f>
        <v>0</v>
      </c>
      <c r="N1377" s="307" t="str">
        <f>IFERROR(Y1377/Y1381*(1.1*J1375*I1380),"")</f>
        <v/>
      </c>
      <c r="O1377" s="300">
        <f>IFERROR(VLOOKUP($G1377,[1]нормы!$A$21:$BC$151,21,0),"")</f>
        <v>0</v>
      </c>
      <c r="P1377" s="35">
        <f>IFERROR(VLOOKUP($G1377,[1]нормы!$A$21:$BC$151,19,0),"")</f>
        <v>0</v>
      </c>
      <c r="Q1377" s="35">
        <f>IFERROR(VLOOKUP($G1377,[1]нормы!$A$21:$BC$151,23,0),"")</f>
        <v>0</v>
      </c>
      <c r="R1377" s="231">
        <f>IFERROR(VLOOKUP($G1377,[1]нормы!$A$21:$BC$151,29,0),"")</f>
        <v>0</v>
      </c>
      <c r="S1377" s="35">
        <f>IFERROR(VLOOKUP($G1377,[1]нормы!$A$21:$BC$151,31,0),"")</f>
        <v>0</v>
      </c>
      <c r="T1377" s="32">
        <f>IFERROR(VLOOKUP($G1377,[1]нормы!$A$21:$BC$151,25,0),"")</f>
        <v>0</v>
      </c>
      <c r="U1377" s="233" t="str">
        <f>IFERROR(W1377/(((100*Y1377/Y1381)*I1380)/100),"")</f>
        <v/>
      </c>
      <c r="V1377" s="234" t="str">
        <f>IFERROR(VLOOKUP($G1377,нормы!$A$14:$BC$57,38,0),"")</f>
        <v/>
      </c>
      <c r="W1377" s="136"/>
      <c r="X1377" s="237"/>
      <c r="Y1377" s="152" t="str">
        <f>IFERROR(VLOOKUP($G1377,нормы!$A$14:$BC$57,42,0)*W1377,"")</f>
        <v/>
      </c>
      <c r="Z1377" s="163">
        <f>IFERROR(VLOOKUP($G1377,нормы!$A$14:$BC$57,14,0)*W1377/1000,0)</f>
        <v>0</v>
      </c>
      <c r="AA1377" s="30"/>
      <c r="AB1377" s="35"/>
      <c r="AC1377" s="35"/>
      <c r="AD1377" s="35"/>
      <c r="AE1377" s="31"/>
      <c r="AF1377" s="160"/>
      <c r="AG1377" s="391"/>
      <c r="AH1377" s="394"/>
      <c r="AI1377" s="397"/>
      <c r="AJ1377" s="408"/>
      <c r="AK1377" s="360"/>
      <c r="AL1377" s="360"/>
      <c r="AM1377" s="360"/>
      <c r="AN1377" s="289">
        <f>IFERROR(Y1377*AJ1375/Y1381,)</f>
        <v>0</v>
      </c>
      <c r="AO1377" s="197" t="str">
        <f>IFERROR(VLOOKUP($G1377,нормы!$A$14:$BC$57,53,0)*$W1377,"")</f>
        <v/>
      </c>
      <c r="AP1377" s="290">
        <f>IFERROR(Y1377*AI1375/Y1381,)</f>
        <v>0</v>
      </c>
      <c r="AQ1377" s="197" t="str">
        <f>IFERROR(VLOOKUP($G1377,нормы!$A$14:$BC$57,54,0)*$W1377,"")</f>
        <v/>
      </c>
      <c r="AR1377" s="290">
        <f>IFERROR(AS1377/SUM(AS1375:AS1380)*AL1375,0)</f>
        <v>0</v>
      </c>
      <c r="AS1377" s="197" t="str">
        <f>IFERROR(VLOOKUP($G1377,нормы!$A$14:$BC$57,55,0)*W1377,"")</f>
        <v/>
      </c>
      <c r="AT1377" s="290">
        <f>IFERROR(AU1377/SUM(AU1375:AU1380)*AM1375,0)</f>
        <v>0</v>
      </c>
      <c r="AU1377" s="197" t="str">
        <f>IFERROR(VLOOKUP($G1377,нормы!$A$14:$BI$57,56,0)*W1377,"")</f>
        <v/>
      </c>
      <c r="AV1377" s="290">
        <f>IFERROR(AW1377/SUM(AW1375:AW1380)*AK1375,0)</f>
        <v>0</v>
      </c>
      <c r="AW1377" s="202" t="str">
        <f>IFERROR(VLOOKUP($G1377,нормы!$A$14:$BI$57,57,0)*W1377,"")</f>
        <v/>
      </c>
      <c r="AX1377" s="30"/>
      <c r="AY1377" s="203" t="str">
        <f>IFERROR(VLOOKUP($G1377,нормы!$A$14:$BI$57,58,0)*W1377,"")</f>
        <v/>
      </c>
      <c r="AZ1377" s="205"/>
      <c r="BA1377" s="200" t="str">
        <f>IFERROR(VLOOKUP($G1377,нормы!$A$14:$BI$57,61,0)*$W1377,"")</f>
        <v/>
      </c>
      <c r="BB1377" s="30"/>
      <c r="BC1377" s="203" t="str">
        <f>IFERROR(VLOOKUP($G1377,нормы!$A$14:$BI$57,60,0)*W1377,"")</f>
        <v/>
      </c>
      <c r="BD1377" s="200" t="str">
        <f>IFERROR(VLOOKUP($G1377,нормы!$A$14:$BG$57,44,0),"")</f>
        <v/>
      </c>
      <c r="BE1377" s="199" t="str">
        <f>IFERROR(W1377/VLOOKUP($G1377,нормы!$A$14:$BI$57,45,0),"")</f>
        <v/>
      </c>
    </row>
    <row r="1378" spans="1:57" s="1" customFormat="1" ht="20.25" customHeight="1" x14ac:dyDescent="0.4">
      <c r="A1378" s="37" t="str">
        <f t="shared" si="542"/>
        <v>23Д</v>
      </c>
      <c r="B1378" s="12">
        <f t="shared" si="543"/>
        <v>23</v>
      </c>
      <c r="C1378" s="97">
        <f t="shared" si="543"/>
        <v>0</v>
      </c>
      <c r="D1378" s="97">
        <f t="shared" si="543"/>
        <v>1</v>
      </c>
      <c r="E1378" s="54"/>
      <c r="F1378" s="151" t="str">
        <f>IFERROR(VLOOKUP($G1378,нормы!$A$14:$BC$57,2,0),"")</f>
        <v/>
      </c>
      <c r="G1378" s="93"/>
      <c r="H1378" s="54">
        <f t="shared" si="544"/>
        <v>0</v>
      </c>
      <c r="I1378" s="55"/>
      <c r="J1378" s="333"/>
      <c r="K1378" s="30">
        <f>IFERROR(VLOOKUP($G1378,[1]нормы!$A$21:$BC$151,15,0),"")</f>
        <v>0</v>
      </c>
      <c r="L1378" s="31">
        <f>IFERROR(VLOOKUP($G1378,[1]нормы!$A$21:$BC$151,17,0),"")</f>
        <v>0</v>
      </c>
      <c r="M1378" s="306">
        <f>IFERROR(VLOOKUP($G1378,[1]нормы!$A$21:$BC$151,27,0),"")</f>
        <v>0</v>
      </c>
      <c r="N1378" s="307" t="str">
        <f>IFERROR(Y1378/Y1381*(1.1*J1375*I1383),"")</f>
        <v/>
      </c>
      <c r="O1378" s="300">
        <f>IFERROR(VLOOKUP($G1378,[1]нормы!$A$21:$BC$151,21,0),"")</f>
        <v>0</v>
      </c>
      <c r="P1378" s="35">
        <f>IFERROR(VLOOKUP($G1378,[1]нормы!$A$21:$BC$151,19,0),"")</f>
        <v>0</v>
      </c>
      <c r="Q1378" s="35">
        <f>IFERROR(VLOOKUP($G1378,[1]нормы!$A$21:$BC$151,23,0),"")</f>
        <v>0</v>
      </c>
      <c r="R1378" s="231">
        <f>IFERROR(VLOOKUP($G1378,[1]нормы!$A$21:$BC$151,29,0),"")</f>
        <v>0</v>
      </c>
      <c r="S1378" s="35">
        <f>IFERROR(VLOOKUP($G1378,[1]нормы!$A$21:$BC$151,31,0),"")</f>
        <v>0</v>
      </c>
      <c r="T1378" s="32">
        <f>IFERROR(VLOOKUP($G1378,[1]нормы!$A$21:$BC$151,25,0),"")</f>
        <v>0</v>
      </c>
      <c r="U1378" s="233" t="str">
        <f>IFERROR(W1378/(((100*Y1378/Y1381)*I1380)/100),"")</f>
        <v/>
      </c>
      <c r="V1378" s="234" t="str">
        <f>IFERROR(VLOOKUP($G1378,нормы!$A$14:$BC$57,38,0),"")</f>
        <v/>
      </c>
      <c r="W1378" s="136"/>
      <c r="X1378" s="237"/>
      <c r="Y1378" s="152" t="str">
        <f>IFERROR(VLOOKUP($G1378,нормы!$A$14:$BC$57,42,0)*W1378,"")</f>
        <v/>
      </c>
      <c r="Z1378" s="163">
        <f>IFERROR(VLOOKUP($G1378,нормы!$A$14:$BC$57,14,0)*W1378/1000,0)</f>
        <v>0</v>
      </c>
      <c r="AA1378" s="30"/>
      <c r="AB1378" s="35"/>
      <c r="AC1378" s="35"/>
      <c r="AD1378" s="35"/>
      <c r="AE1378" s="31"/>
      <c r="AF1378" s="160"/>
      <c r="AG1378" s="391"/>
      <c r="AH1378" s="394"/>
      <c r="AI1378" s="397"/>
      <c r="AJ1378" s="408"/>
      <c r="AK1378" s="360"/>
      <c r="AL1378" s="360"/>
      <c r="AM1378" s="360"/>
      <c r="AN1378" s="289">
        <f>IFERROR(Y1378*AJ1375/Y1381,)</f>
        <v>0</v>
      </c>
      <c r="AO1378" s="197" t="str">
        <f>IFERROR(VLOOKUP($G1378,нормы!$A$14:$BC$57,53,0)*$W1378,"")</f>
        <v/>
      </c>
      <c r="AP1378" s="290">
        <f>IFERROR(Y1378*AI1375/Y1381,)</f>
        <v>0</v>
      </c>
      <c r="AQ1378" s="197" t="str">
        <f>IFERROR(VLOOKUP($G1378,нормы!$A$14:$BC$57,54,0)*$W1378,"")</f>
        <v/>
      </c>
      <c r="AR1378" s="290">
        <f>IFERROR(AS1378/SUM(AS1375:AS1380)*AL1375,0)</f>
        <v>0</v>
      </c>
      <c r="AS1378" s="197" t="str">
        <f>IFERROR(VLOOKUP($G1378,нормы!$A$14:$BC$57,55,0)*W1378,"")</f>
        <v/>
      </c>
      <c r="AT1378" s="290">
        <f>IFERROR(AU1378/SUM(AU1375:AU1380)*AM1375,0)</f>
        <v>0</v>
      </c>
      <c r="AU1378" s="197" t="str">
        <f>IFERROR(VLOOKUP($G1378,нормы!$A$14:$BI$57,56,0)*W1378,"")</f>
        <v/>
      </c>
      <c r="AV1378" s="290">
        <f>IFERROR(AW1378/SUM(AW1375:AW1380)*AK1375,0)</f>
        <v>0</v>
      </c>
      <c r="AW1378" s="202" t="str">
        <f>IFERROR(VLOOKUP($G1378,нормы!$A$14:$BI$57,57,0)*W1378,"")</f>
        <v/>
      </c>
      <c r="AX1378" s="30"/>
      <c r="AY1378" s="203" t="str">
        <f>IFERROR(VLOOKUP($G1378,нормы!$A$14:$BI$57,58,0)*W1378,"")</f>
        <v/>
      </c>
      <c r="AZ1378" s="205"/>
      <c r="BA1378" s="200" t="str">
        <f>IFERROR(VLOOKUP($G1378,нормы!$A$14:$BI$57,61,0)*$W1378,"")</f>
        <v/>
      </c>
      <c r="BB1378" s="30"/>
      <c r="BC1378" s="203" t="str">
        <f>IFERROR(VLOOKUP($G1378,нормы!$A$14:$BI$57,60,0)*W1378,"")</f>
        <v/>
      </c>
      <c r="BD1378" s="200" t="str">
        <f>IFERROR(VLOOKUP($G1378,нормы!$A$14:$BG$57,44,0),"")</f>
        <v/>
      </c>
      <c r="BE1378" s="199" t="str">
        <f>IFERROR(W1378/VLOOKUP($G1378,нормы!$A$14:$BI$57,45,0),"")</f>
        <v/>
      </c>
    </row>
    <row r="1379" spans="1:57" s="1" customFormat="1" ht="20.25" customHeight="1" x14ac:dyDescent="0.4">
      <c r="A1379" s="37" t="str">
        <f t="shared" si="542"/>
        <v>23Д</v>
      </c>
      <c r="B1379" s="12">
        <f t="shared" si="543"/>
        <v>23</v>
      </c>
      <c r="C1379" s="97">
        <f t="shared" si="543"/>
        <v>0</v>
      </c>
      <c r="D1379" s="97">
        <f t="shared" si="543"/>
        <v>1</v>
      </c>
      <c r="E1379" s="54"/>
      <c r="F1379" s="151" t="str">
        <f>IFERROR(VLOOKUP($G1379,нормы!$A$14:$BC$57,2,0),"")</f>
        <v/>
      </c>
      <c r="G1379" s="38"/>
      <c r="H1379" s="54">
        <f t="shared" si="544"/>
        <v>0</v>
      </c>
      <c r="I1379" s="89" t="s">
        <v>73</v>
      </c>
      <c r="J1379" s="333"/>
      <c r="K1379" s="30">
        <f>IFERROR(VLOOKUP($G1379,[1]нормы!$A$21:$BC$151,15,0),"")</f>
        <v>0</v>
      </c>
      <c r="L1379" s="31">
        <f>IFERROR(VLOOKUP($G1379,[1]нормы!$A$21:$BC$151,17,0),"")</f>
        <v>0</v>
      </c>
      <c r="M1379" s="306">
        <f>IFERROR(VLOOKUP($G1379,[1]нормы!$A$21:$BC$151,27,0),"")</f>
        <v>0</v>
      </c>
      <c r="N1379" s="307" t="str">
        <f>IFERROR(Y1379/Y1381*(1.1*J1375*I1384),"")</f>
        <v/>
      </c>
      <c r="O1379" s="300">
        <f>IFERROR(VLOOKUP($G1379,[1]нормы!$A$21:$BC$151,21,0),"")</f>
        <v>0</v>
      </c>
      <c r="P1379" s="35">
        <f>IFERROR(VLOOKUP($G1379,[1]нормы!$A$21:$BC$151,19,0),"")</f>
        <v>0</v>
      </c>
      <c r="Q1379" s="35">
        <f>IFERROR(VLOOKUP($G1379,[1]нормы!$A$21:$BC$151,23,0),"")</f>
        <v>0</v>
      </c>
      <c r="R1379" s="231">
        <f>IFERROR(VLOOKUP($G1379,[1]нормы!$A$21:$BC$151,29,0),"")</f>
        <v>0</v>
      </c>
      <c r="S1379" s="35">
        <f>IFERROR(VLOOKUP($G1379,[1]нормы!$A$21:$BC$151,31,0),"")</f>
        <v>0</v>
      </c>
      <c r="T1379" s="32">
        <f>IFERROR(VLOOKUP($G1379,[1]нормы!$A$21:$BC$151,25,0),"")</f>
        <v>0</v>
      </c>
      <c r="U1379" s="233" t="str">
        <f>IFERROR(W1379/(((100*Y1379/Y1381)*I1380)/100),"")</f>
        <v/>
      </c>
      <c r="V1379" s="234" t="str">
        <f>IFERROR(VLOOKUP($G1379,нормы!$A$14:$BC$57,38,0),"")</f>
        <v/>
      </c>
      <c r="W1379" s="136"/>
      <c r="X1379" s="237"/>
      <c r="Y1379" s="152" t="str">
        <f>IFERROR(VLOOKUP($G1379,нормы!$A$14:$BC$57,42,0)*W1379,"")</f>
        <v/>
      </c>
      <c r="Z1379" s="163">
        <f>IFERROR(VLOOKUP($G1379,нормы!$A$14:$BC$57,14,0)*W1379/1000,0)</f>
        <v>0</v>
      </c>
      <c r="AA1379" s="30"/>
      <c r="AB1379" s="35"/>
      <c r="AC1379" s="35"/>
      <c r="AD1379" s="35"/>
      <c r="AE1379" s="31"/>
      <c r="AF1379" s="160"/>
      <c r="AG1379" s="391"/>
      <c r="AH1379" s="394"/>
      <c r="AI1379" s="397"/>
      <c r="AJ1379" s="408"/>
      <c r="AK1379" s="360"/>
      <c r="AL1379" s="360"/>
      <c r="AM1379" s="360"/>
      <c r="AN1379" s="289">
        <f>IFERROR(Y1379*AJ1375/Y1381,)</f>
        <v>0</v>
      </c>
      <c r="AO1379" s="197" t="str">
        <f>IFERROR(VLOOKUP($G1379,нормы!$A$14:$BC$57,53,0)*$W1379,"")</f>
        <v/>
      </c>
      <c r="AP1379" s="290">
        <f>IFERROR(Y1379*AI1375/Y1381,)</f>
        <v>0</v>
      </c>
      <c r="AQ1379" s="197" t="str">
        <f>IFERROR(VLOOKUP($G1379,нормы!$A$14:$BC$57,54,0)*$W1379,"")</f>
        <v/>
      </c>
      <c r="AR1379" s="290">
        <f>IFERROR(AS1379/SUM(AS1375:AS1380)*AL1375,0)</f>
        <v>0</v>
      </c>
      <c r="AS1379" s="197" t="str">
        <f>IFERROR(VLOOKUP($G1379,нормы!$A$14:$BC$57,55,0)*W1379,"")</f>
        <v/>
      </c>
      <c r="AT1379" s="290">
        <f>IFERROR(AU1379/SUM(AU1375:AU1380)*AM1375,0)</f>
        <v>0</v>
      </c>
      <c r="AU1379" s="197" t="str">
        <f>IFERROR(VLOOKUP($G1379,нормы!$A$14:$BI$57,56,0)*W1379,"")</f>
        <v/>
      </c>
      <c r="AV1379" s="290">
        <f>IFERROR(AW1379/SUM(AW1375:AW1380)*AK1375,0)</f>
        <v>0</v>
      </c>
      <c r="AW1379" s="202" t="str">
        <f>IFERROR(VLOOKUP($G1379,нормы!$A$14:$BI$57,57,0)*W1379,"")</f>
        <v/>
      </c>
      <c r="AX1379" s="30"/>
      <c r="AY1379" s="203" t="str">
        <f>IFERROR(VLOOKUP($G1379,нормы!$A$14:$BI$57,58,0)*W1379,"")</f>
        <v/>
      </c>
      <c r="AZ1379" s="205"/>
      <c r="BA1379" s="200" t="str">
        <f>IFERROR(VLOOKUP($G1379,нормы!$A$14:$BI$57,61,0)*$W1379,"")</f>
        <v/>
      </c>
      <c r="BB1379" s="30"/>
      <c r="BC1379" s="203" t="str">
        <f>IFERROR(VLOOKUP($G1379,нормы!$A$14:$BI$57,60,0)*W1379,"")</f>
        <v/>
      </c>
      <c r="BD1379" s="200" t="str">
        <f>IFERROR(VLOOKUP($G1379,нормы!$A$14:$BG$57,44,0),"")</f>
        <v/>
      </c>
      <c r="BE1379" s="199" t="str">
        <f>IFERROR(W1379/VLOOKUP($G1379,нормы!$A$14:$BI$57,45,0),"")</f>
        <v/>
      </c>
    </row>
    <row r="1380" spans="1:57" s="1" customFormat="1" ht="21" customHeight="1" thickBot="1" x14ac:dyDescent="0.45">
      <c r="A1380" s="37" t="str">
        <f t="shared" si="542"/>
        <v>23Д</v>
      </c>
      <c r="B1380" s="12">
        <f t="shared" si="543"/>
        <v>23</v>
      </c>
      <c r="C1380" s="97">
        <f t="shared" si="543"/>
        <v>0</v>
      </c>
      <c r="D1380" s="97">
        <f t="shared" si="543"/>
        <v>1</v>
      </c>
      <c r="E1380" s="54"/>
      <c r="F1380" s="151" t="str">
        <f>IFERROR(VLOOKUP($G1380,нормы!$A$14:$BC$57,2,0),"")</f>
        <v/>
      </c>
      <c r="G1380" s="93"/>
      <c r="H1380" s="63">
        <f t="shared" si="544"/>
        <v>0</v>
      </c>
      <c r="I1380" s="153">
        <f>I1376+I1378</f>
        <v>0</v>
      </c>
      <c r="J1380" s="334"/>
      <c r="K1380" s="30">
        <f>IFERROR(VLOOKUP($G1380,[1]нормы!$A$21:$BC$151,15,0),"")</f>
        <v>0</v>
      </c>
      <c r="L1380" s="31">
        <f>IFERROR(VLOOKUP($G1380,[1]нормы!$A$21:$BC$151,17,0),"")</f>
        <v>0</v>
      </c>
      <c r="M1380" s="308">
        <f>IFERROR(VLOOKUP($G1380,[1]нормы!$A$21:$BC$151,27,0),"")</f>
        <v>0</v>
      </c>
      <c r="N1380" s="309" t="str">
        <f>IFERROR(Y1380/Y1381*(1.1*J1375*I1385),"")</f>
        <v/>
      </c>
      <c r="O1380" s="300">
        <f>IFERROR(VLOOKUP($G1380,[1]нормы!$A$21:$BC$151,21,0),"")</f>
        <v>0</v>
      </c>
      <c r="P1380" s="35">
        <f>IFERROR(VLOOKUP($G1380,[1]нормы!$A$21:$BC$151,19,0),"")</f>
        <v>0</v>
      </c>
      <c r="Q1380" s="35">
        <f>IFERROR(VLOOKUP($G1380,[1]нормы!$A$21:$BC$151,23,0),"")</f>
        <v>0</v>
      </c>
      <c r="R1380" s="231">
        <f>IFERROR(VLOOKUP($G1380,[1]нормы!$A$21:$BC$151,29,0),"")</f>
        <v>0</v>
      </c>
      <c r="S1380" s="35">
        <f>IFERROR(VLOOKUP($G1380,[1]нормы!$A$21:$BC$151,31,0),"")</f>
        <v>0</v>
      </c>
      <c r="T1380" s="32">
        <f>IFERROR(VLOOKUP($G1380,[1]нормы!$A$21:$BC$151,25,0),"")</f>
        <v>0</v>
      </c>
      <c r="U1380" s="235" t="str">
        <f>IFERROR(W1380/(((100*Y1380/Y1381)*I1380)/100),"")</f>
        <v/>
      </c>
      <c r="V1380" s="234" t="str">
        <f>IFERROR(VLOOKUP($G1380,нормы!$A$14:$BC$57,38,0),"")</f>
        <v/>
      </c>
      <c r="W1380" s="154"/>
      <c r="X1380" s="238"/>
      <c r="Y1380" s="152" t="str">
        <f>IFERROR(VLOOKUP($G1380,нормы!$A$14:$BC$57,42,0)*W1380,"")</f>
        <v/>
      </c>
      <c r="Z1380" s="163">
        <f>IFERROR(VLOOKUP($G1380,нормы!$A$14:$BC$57,14,0)*W1380/1000,0)</f>
        <v>0</v>
      </c>
      <c r="AA1380" s="56"/>
      <c r="AB1380" s="58"/>
      <c r="AC1380" s="58"/>
      <c r="AD1380" s="58"/>
      <c r="AE1380" s="57"/>
      <c r="AF1380" s="161"/>
      <c r="AG1380" s="392"/>
      <c r="AH1380" s="395"/>
      <c r="AI1380" s="398"/>
      <c r="AJ1380" s="409"/>
      <c r="AK1380" s="361"/>
      <c r="AL1380" s="361"/>
      <c r="AM1380" s="361"/>
      <c r="AN1380" s="291">
        <f>IFERROR(Y1380*AJ1375/Y1381,)</f>
        <v>0</v>
      </c>
      <c r="AO1380" s="197" t="str">
        <f>IFERROR(VLOOKUP($G1380,нормы!$A$14:$BC$57,53,0)*$W1380,"")</f>
        <v/>
      </c>
      <c r="AP1380" s="292">
        <f>IFERROR(Y1380*AI1375/Y1381,)</f>
        <v>0</v>
      </c>
      <c r="AQ1380" s="197" t="str">
        <f>IFERROR(VLOOKUP($G1380,нормы!$A$14:$BC$57,54,0)*$W1380,"")</f>
        <v/>
      </c>
      <c r="AR1380" s="290">
        <f>IFERROR(AS1380/SUM(AS1375:AS1380)*AL1375,0)</f>
        <v>0</v>
      </c>
      <c r="AS1380" s="197" t="str">
        <f>IFERROR(VLOOKUP($G1380,нормы!$A$14:$BC$57,55,0)*W1380,"")</f>
        <v/>
      </c>
      <c r="AT1380" s="292">
        <f>IFERROR(AU1380/SUM(AU1375:AU1380)*AM1375,0)</f>
        <v>0</v>
      </c>
      <c r="AU1380" s="197" t="str">
        <f>IFERROR(VLOOKUP($G1380,нормы!$A$14:$BI$57,56,0)*W1380,"")</f>
        <v/>
      </c>
      <c r="AV1380" s="292">
        <f>IFERROR(AW1380/SUM(AW1375:AW1380)*AK1375,0)</f>
        <v>0</v>
      </c>
      <c r="AW1380" s="202" t="str">
        <f>IFERROR(VLOOKUP($G1380,нормы!$A$14:$BI$57,57,0)*W1380,"")</f>
        <v/>
      </c>
      <c r="AX1380" s="56"/>
      <c r="AY1380" s="203" t="str">
        <f>IFERROR(VLOOKUP($G1380,нормы!$A$14:$BI$57,58,0)*W1380,"")</f>
        <v/>
      </c>
      <c r="AZ1380" s="206"/>
      <c r="BA1380" s="200" t="str">
        <f>IFERROR(VLOOKUP($G1380,нормы!$A$14:$BI$57,61,0)*$W1380,"")</f>
        <v/>
      </c>
      <c r="BB1380" s="56"/>
      <c r="BC1380" s="203" t="str">
        <f>IFERROR(VLOOKUP($G1380,нормы!$A$14:$BI$57,60,0)*W1380,"")</f>
        <v/>
      </c>
      <c r="BD1380" s="200" t="str">
        <f>IFERROR(VLOOKUP($G1380,нормы!$A$14:$BG$57,44,0),"")</f>
        <v/>
      </c>
      <c r="BE1380" s="199" t="str">
        <f>IFERROR(W1380/VLOOKUP($G1380,нормы!$A$14:$BI$57,45,0),"")</f>
        <v/>
      </c>
    </row>
    <row r="1381" spans="1:57" s="1" customFormat="1" ht="29.4" customHeight="1" thickBot="1" x14ac:dyDescent="0.45">
      <c r="A1381" s="37" t="str">
        <f t="shared" si="542"/>
        <v>23Д</v>
      </c>
      <c r="B1381" s="59"/>
      <c r="C1381" s="51"/>
      <c r="D1381" s="51"/>
      <c r="E1381" s="51"/>
      <c r="F1381" s="295" t="s">
        <v>148</v>
      </c>
      <c r="G1381" s="51"/>
      <c r="H1381" s="51"/>
      <c r="I1381" s="60"/>
      <c r="J1381" s="60"/>
      <c r="K1381" s="319" t="s">
        <v>213</v>
      </c>
      <c r="L1381" s="316"/>
      <c r="M1381" s="303" t="s">
        <v>213</v>
      </c>
      <c r="N1381" s="317">
        <f>SUM(N1375:N1380)</f>
        <v>0</v>
      </c>
      <c r="O1381" s="304" t="s">
        <v>216</v>
      </c>
      <c r="P1381" s="318">
        <f>N1381*8.937/1000</f>
        <v>0</v>
      </c>
      <c r="Q1381" s="305" t="s">
        <v>215</v>
      </c>
      <c r="R1381" s="61"/>
      <c r="S1381" s="61"/>
      <c r="T1381" s="61"/>
      <c r="U1381" s="109"/>
      <c r="V1381" s="109"/>
      <c r="W1381" s="94"/>
      <c r="X1381" s="155"/>
      <c r="Y1381" s="96">
        <f>SUM(Y1375:Y1380)</f>
        <v>0</v>
      </c>
      <c r="Z1381" s="164">
        <f>SUM(Z1375:Z1380)</f>
        <v>0</v>
      </c>
      <c r="AA1381" s="62"/>
      <c r="AB1381" s="62"/>
      <c r="AC1381" s="62"/>
      <c r="AD1381" s="62"/>
      <c r="AE1381" s="62"/>
      <c r="AF1381" s="62"/>
      <c r="AG1381" s="162" t="s">
        <v>140</v>
      </c>
      <c r="AH1381" s="162" t="s">
        <v>141</v>
      </c>
      <c r="AI1381" s="162" t="s">
        <v>142</v>
      </c>
      <c r="AJ1381" s="91" t="s">
        <v>126</v>
      </c>
      <c r="AK1381" s="198" t="s">
        <v>136</v>
      </c>
      <c r="AL1381" s="198" t="s">
        <v>137</v>
      </c>
      <c r="AM1381" s="198" t="s">
        <v>138</v>
      </c>
      <c r="AN1381" s="91"/>
      <c r="AO1381" s="91"/>
      <c r="AP1381" s="91"/>
      <c r="AQ1381" s="91"/>
      <c r="AR1381" s="91"/>
      <c r="AS1381" s="91"/>
      <c r="AT1381" s="91"/>
      <c r="AU1381" s="91"/>
      <c r="AV1381" s="91"/>
      <c r="AW1381" s="91"/>
      <c r="AX1381" s="91"/>
      <c r="AY1381" s="91"/>
      <c r="AZ1381" s="91"/>
      <c r="BA1381" s="91"/>
      <c r="BB1381" s="91"/>
      <c r="BC1381" s="91"/>
      <c r="BD1381" s="91"/>
      <c r="BE1381" s="53" t="str">
        <f>IFERROR(W1381/VLOOKUP($G1381,нормы!$A$14:$BI$15,28,0),"")</f>
        <v/>
      </c>
    </row>
    <row r="1382" spans="1:57" s="1" customFormat="1" ht="21.6" customHeight="1" x14ac:dyDescent="0.4">
      <c r="A1382" s="37" t="str">
        <f t="shared" si="542"/>
        <v>23Д</v>
      </c>
      <c r="B1382" s="12">
        <f>B1380</f>
        <v>23</v>
      </c>
      <c r="C1382" s="97"/>
      <c r="D1382" s="97">
        <v>2</v>
      </c>
      <c r="E1382" s="29"/>
      <c r="F1382" s="151" t="str">
        <f>IFERROR(VLOOKUP($G1382,нормы!$A$14:$BC$57,2,0),"")</f>
        <v/>
      </c>
      <c r="G1382" s="93"/>
      <c r="H1382" s="54">
        <f>IF(C1382=1,"Кульков С.А.", IF(C1382=2,"Чудаков А.А.",IF(C1382=3,"Королев В.Н.",IF(C1382=4,"Николашин М.П.",IF(C1382=5," Кульков С.А.",IF(C1382=6,"А.А. Чудаков",IF(C1382=7,"В.Н. Королев",IF(C1382=8,"М.П. Николашин",0))))))))</f>
        <v>0</v>
      </c>
      <c r="I1382" s="88" t="s">
        <v>211</v>
      </c>
      <c r="J1382" s="332"/>
      <c r="K1382" s="30">
        <f>IFERROR(VLOOKUP($G1382,[1]нормы!$A$21:$BC$151,15,0),"")</f>
        <v>0</v>
      </c>
      <c r="L1382" s="31">
        <f>IFERROR(VLOOKUP($G1382,[1]нормы!$A$21:$BC$151,17,0),"")</f>
        <v>0</v>
      </c>
      <c r="M1382" s="310">
        <f>IFERROR(VLOOKUP($G1382,[1]нормы!$A$21:$BC$151,27,0),"")</f>
        <v>0</v>
      </c>
      <c r="N1382" s="311" t="str">
        <f>IFERROR(Y1382/Y1388*(1.1*J1382*I1387),"")</f>
        <v/>
      </c>
      <c r="O1382" s="300">
        <f>IFERROR(VLOOKUP($G1382,[1]нормы!$A$21:$BC$151,21,0),"")</f>
        <v>0</v>
      </c>
      <c r="P1382" s="35">
        <f>IFERROR(VLOOKUP($G1382,[1]нормы!$A$21:$BC$151,19,0),"")</f>
        <v>0</v>
      </c>
      <c r="Q1382" s="35">
        <f>IFERROR(VLOOKUP($G1382,[1]нормы!$A$21:$BC$151,23,0),"")</f>
        <v>0</v>
      </c>
      <c r="R1382" s="231">
        <f>IFERROR(VLOOKUP($G1382,[1]нормы!$A$21:$BC$151,29,0),"")</f>
        <v>0</v>
      </c>
      <c r="S1382" s="35">
        <f>IFERROR(VLOOKUP($G1382,[1]нормы!$A$21:$BC$151,31,0),"")</f>
        <v>0</v>
      </c>
      <c r="T1382" s="32">
        <f>IFERROR(VLOOKUP($G1382,[1]нормы!$A$21:$BC$151,25,0),"")</f>
        <v>0</v>
      </c>
      <c r="U1382" s="232" t="str">
        <f>IFERROR(W1382/(((100*Y1382/Y1388)*I1387)/100),"")</f>
        <v/>
      </c>
      <c r="V1382" s="234" t="str">
        <f>IFERROR(VLOOKUP($G1382,нормы!$A$14:$BC$57,38,0),"")</f>
        <v/>
      </c>
      <c r="W1382" s="136"/>
      <c r="X1382" s="236"/>
      <c r="Y1382" s="152" t="str">
        <f>IFERROR(VLOOKUP($G1382,нормы!$A$14:$BC$57,42,0)*W1382,"")</f>
        <v/>
      </c>
      <c r="Z1382" s="163">
        <f>IFERROR(VLOOKUP($G1382,нормы!$A$14:$BC$57,14,0)*W1382/1000,0)</f>
        <v>0</v>
      </c>
      <c r="AA1382" s="33"/>
      <c r="AB1382" s="36"/>
      <c r="AC1382" s="36"/>
      <c r="AD1382" s="36"/>
      <c r="AE1382" s="34"/>
      <c r="AF1382" s="159"/>
      <c r="AG1382" s="390"/>
      <c r="AH1382" s="393"/>
      <c r="AI1382" s="396"/>
      <c r="AJ1382" s="407">
        <f>AG1382+AH1382</f>
        <v>0</v>
      </c>
      <c r="AK1382" s="359"/>
      <c r="AL1382" s="359"/>
      <c r="AM1382" s="359"/>
      <c r="AN1382" s="287">
        <f>IFERROR(Y1382*AJ1382/Y1388,)</f>
        <v>0</v>
      </c>
      <c r="AO1382" s="197" t="str">
        <f>IFERROR(VLOOKUP($G1382,нормы!$A$14:$BC$57,53,0)*$W1382,"")</f>
        <v/>
      </c>
      <c r="AP1382" s="288">
        <f>IFERROR(Y1382*AI1382/Y1388,)</f>
        <v>0</v>
      </c>
      <c r="AQ1382" s="197" t="str">
        <f>IFERROR(VLOOKUP($G1382,нормы!$A$14:$BC$57,54,0)*$W1382,"")</f>
        <v/>
      </c>
      <c r="AR1382" s="288">
        <f>IFERROR(AS1382/SUM(AS1382:AS1387)*AL1382,0)</f>
        <v>0</v>
      </c>
      <c r="AS1382" s="197" t="str">
        <f>IFERROR(VLOOKUP($G1382,нормы!$A$14:$BC$57,55,0)*W1382,"")</f>
        <v/>
      </c>
      <c r="AT1382" s="288">
        <f>IFERROR(AU1382/SUM(AU1382:AU1387)*AM1382,0)</f>
        <v>0</v>
      </c>
      <c r="AU1382" s="197" t="str">
        <f>IFERROR(VLOOKUP($G1382,нормы!$A$14:$BI$57,56,0)*W1382,"")</f>
        <v/>
      </c>
      <c r="AV1382" s="288">
        <f>IFERROR(AW1382/SUM(AW1382:AW1387)*AK1382,0)</f>
        <v>0</v>
      </c>
      <c r="AW1382" s="202" t="str">
        <f>IFERROR(VLOOKUP($G1382,нормы!$A$14:$BI$57,57,0)*W1382,"")</f>
        <v/>
      </c>
      <c r="AX1382" s="33"/>
      <c r="AY1382" s="203" t="str">
        <f>IFERROR(VLOOKUP($G1382,нормы!$A$14:$BI$57,58,0)*W1382,"")</f>
        <v/>
      </c>
      <c r="AZ1382" s="204"/>
      <c r="BA1382" s="200" t="str">
        <f>IFERROR(VLOOKUP($G1382,нормы!$A$14:$BI$57,61,0)*$W1382,"")</f>
        <v/>
      </c>
      <c r="BB1382" s="33"/>
      <c r="BC1382" s="203" t="str">
        <f>IFERROR(VLOOKUP($G1382,нормы!$A$14:$BI$57,60,0)*W1382,"")</f>
        <v/>
      </c>
      <c r="BD1382" s="200" t="str">
        <f>IFERROR(VLOOKUP($G1382,нормы!$A$14:$BG$57,44,0),"")</f>
        <v/>
      </c>
      <c r="BE1382" s="199" t="str">
        <f>IFERROR(W1382/VLOOKUP($G1382,нормы!$A$14:$BI$57,45,0),"")</f>
        <v/>
      </c>
    </row>
    <row r="1383" spans="1:57" s="1" customFormat="1" ht="21.6" customHeight="1" x14ac:dyDescent="0.4">
      <c r="A1383" s="37" t="str">
        <f t="shared" si="542"/>
        <v>23Д</v>
      </c>
      <c r="B1383" s="12">
        <f t="shared" ref="B1383:D1387" si="545">B1382</f>
        <v>23</v>
      </c>
      <c r="C1383" s="97">
        <f t="shared" si="545"/>
        <v>0</v>
      </c>
      <c r="D1383" s="97">
        <f t="shared" si="545"/>
        <v>2</v>
      </c>
      <c r="E1383" s="54"/>
      <c r="F1383" s="151" t="str">
        <f>IFERROR(VLOOKUP($G1383,нормы!$A$14:$BC$57,2,0),"")</f>
        <v/>
      </c>
      <c r="G1383" s="93"/>
      <c r="H1383" s="54">
        <f t="shared" ref="H1383:H1387" si="546">IF(C1383=1,"Кульков С.А.", IF(C1383=2,"Чудаков А.А.",IF(C1383=3,"Королев В.Н.",IF(C1383=4,"Николашин М.П.",IF(C1383=5," Кульков С.А.",IF(C1383=6,"А.А. Чудаков",IF(C1383=7,"В.Н. Королев",IF(C1383=8,"М.П. Николашин",0))))))))</f>
        <v>0</v>
      </c>
      <c r="I1383" s="55"/>
      <c r="J1383" s="333"/>
      <c r="K1383" s="30">
        <f>IFERROR(VLOOKUP($G1383,[1]нормы!$A$21:$BC$151,15,0),"")</f>
        <v>0</v>
      </c>
      <c r="L1383" s="31">
        <f>IFERROR(VLOOKUP($G1383,[1]нормы!$A$21:$BC$151,17,0),"")</f>
        <v>0</v>
      </c>
      <c r="M1383" s="306">
        <f>IFERROR(VLOOKUP($G1383,[1]нормы!$A$21:$BC$151,27,0),"")</f>
        <v>0</v>
      </c>
      <c r="N1383" s="307" t="str">
        <f>IFERROR(Y1383/Y1388*(1.1*J1382*I1387),"")</f>
        <v/>
      </c>
      <c r="O1383" s="300">
        <f>IFERROR(VLOOKUP($G1383,[1]нормы!$A$21:$BC$151,21,0),"")</f>
        <v>0</v>
      </c>
      <c r="P1383" s="35">
        <f>IFERROR(VLOOKUP($G1383,[1]нормы!$A$21:$BC$151,19,0),"")</f>
        <v>0</v>
      </c>
      <c r="Q1383" s="35">
        <f>IFERROR(VLOOKUP($G1383,[1]нормы!$A$21:$BC$151,23,0),"")</f>
        <v>0</v>
      </c>
      <c r="R1383" s="231">
        <f>IFERROR(VLOOKUP($G1383,[1]нормы!$A$21:$BC$151,29,0),"")</f>
        <v>0</v>
      </c>
      <c r="S1383" s="35">
        <f>IFERROR(VLOOKUP($G1383,[1]нормы!$A$21:$BC$151,31,0),"")</f>
        <v>0</v>
      </c>
      <c r="T1383" s="32">
        <f>IFERROR(VLOOKUP($G1383,[1]нормы!$A$21:$BC$151,25,0),"")</f>
        <v>0</v>
      </c>
      <c r="U1383" s="233" t="str">
        <f>IFERROR(W1383/(((100*Y1383/Y1388)*I1387)/100),"")</f>
        <v/>
      </c>
      <c r="V1383" s="234" t="str">
        <f>IFERROR(VLOOKUP($G1383,нормы!$A$14:$BC$57,38,0),"")</f>
        <v/>
      </c>
      <c r="W1383" s="136"/>
      <c r="X1383" s="237"/>
      <c r="Y1383" s="152" t="str">
        <f>IFERROR(VLOOKUP($G1383,нормы!$A$14:$BC$57,42,0)*W1383,"")</f>
        <v/>
      </c>
      <c r="Z1383" s="163">
        <f>IFERROR(VLOOKUP($G1383,нормы!$A$14:$BC$57,14,0)*W1383/1000,0)</f>
        <v>0</v>
      </c>
      <c r="AA1383" s="142"/>
      <c r="AB1383" s="35"/>
      <c r="AC1383" s="35"/>
      <c r="AD1383" s="35"/>
      <c r="AE1383" s="31"/>
      <c r="AF1383" s="160"/>
      <c r="AG1383" s="391"/>
      <c r="AH1383" s="394"/>
      <c r="AI1383" s="397"/>
      <c r="AJ1383" s="408"/>
      <c r="AK1383" s="360"/>
      <c r="AL1383" s="360"/>
      <c r="AM1383" s="360"/>
      <c r="AN1383" s="289">
        <f>IFERROR(Y1383*AJ1382/Y1388,)</f>
        <v>0</v>
      </c>
      <c r="AO1383" s="197" t="str">
        <f>IFERROR(VLOOKUP($G1383,нормы!$A$14:$BC$57,53,0)*$W1383,"")</f>
        <v/>
      </c>
      <c r="AP1383" s="290">
        <f>IFERROR(Y1383*AI1382/Y1388,)</f>
        <v>0</v>
      </c>
      <c r="AQ1383" s="197" t="str">
        <f>IFERROR(VLOOKUP($G1383,нормы!$A$14:$BC$57,54,0)*$W1383,"")</f>
        <v/>
      </c>
      <c r="AR1383" s="290">
        <f>IFERROR(AS1383/SUM(AS1382:AS1387)*AL1382,0)</f>
        <v>0</v>
      </c>
      <c r="AS1383" s="197" t="str">
        <f>IFERROR(VLOOKUP($G1383,нормы!$A$14:$BC$57,55,0)*W1383,"")</f>
        <v/>
      </c>
      <c r="AT1383" s="290">
        <f>IFERROR(AU1383/SUM(AU1382:AU1387)*AM1382,0)</f>
        <v>0</v>
      </c>
      <c r="AU1383" s="197" t="str">
        <f>IFERROR(VLOOKUP($G1383,нормы!$A$14:$BI$57,56,0)*W1383,"")</f>
        <v/>
      </c>
      <c r="AV1383" s="290">
        <f>IFERROR(AW1383/SUM(AW1382:AW1387)*AK1382,0)</f>
        <v>0</v>
      </c>
      <c r="AW1383" s="202" t="str">
        <f>IFERROR(VLOOKUP($G1383,нормы!$A$14:$BI$57,57,0)*W1383,"")</f>
        <v/>
      </c>
      <c r="AX1383" s="30"/>
      <c r="AY1383" s="203" t="str">
        <f>IFERROR(VLOOKUP($G1383,нормы!$A$14:$BI$57,58,0)*W1383,"")</f>
        <v/>
      </c>
      <c r="AZ1383" s="205"/>
      <c r="BA1383" s="200" t="str">
        <f>IFERROR(VLOOKUP($G1383,нормы!$A$14:$BI$57,61,0)*$W1383,"")</f>
        <v/>
      </c>
      <c r="BB1383" s="30"/>
      <c r="BC1383" s="203" t="str">
        <f>IFERROR(VLOOKUP($G1383,нормы!$A$14:$BI$57,60,0)*W1383,"")</f>
        <v/>
      </c>
      <c r="BD1383" s="200" t="str">
        <f>IFERROR(VLOOKUP($G1383,нормы!$A$14:$BG$57,44,0),"")</f>
        <v/>
      </c>
      <c r="BE1383" s="199" t="str">
        <f>IFERROR(W1383/VLOOKUP($G1383,нормы!$A$14:$BI$57,45,0),"")</f>
        <v/>
      </c>
    </row>
    <row r="1384" spans="1:57" s="1" customFormat="1" ht="20.25" customHeight="1" x14ac:dyDescent="0.4">
      <c r="A1384" s="37" t="str">
        <f t="shared" si="542"/>
        <v>23Д</v>
      </c>
      <c r="B1384" s="12">
        <f t="shared" si="545"/>
        <v>23</v>
      </c>
      <c r="C1384" s="97">
        <f t="shared" si="545"/>
        <v>0</v>
      </c>
      <c r="D1384" s="97">
        <f t="shared" si="545"/>
        <v>2</v>
      </c>
      <c r="E1384" s="54"/>
      <c r="F1384" s="151" t="str">
        <f>IFERROR(VLOOKUP($G1384,нормы!$A$14:$BC$57,2,0),"")</f>
        <v/>
      </c>
      <c r="G1384" s="38"/>
      <c r="H1384" s="54">
        <f t="shared" si="546"/>
        <v>0</v>
      </c>
      <c r="I1384" s="89" t="s">
        <v>212</v>
      </c>
      <c r="J1384" s="333"/>
      <c r="K1384" s="30">
        <f>IFERROR(VLOOKUP($G1384,[1]нормы!$A$21:$BC$151,15,0),"")</f>
        <v>0</v>
      </c>
      <c r="L1384" s="31">
        <f>IFERROR(VLOOKUP($G1384,[1]нормы!$A$21:$BC$151,17,0),"")</f>
        <v>0</v>
      </c>
      <c r="M1384" s="306">
        <f>IFERROR(VLOOKUP($G1384,[1]нормы!$A$21:$BC$151,27,0),"")</f>
        <v>0</v>
      </c>
      <c r="N1384" s="307" t="str">
        <f>IFERROR(Y1384/Y1388*(1.1*J1382*I1387),"")</f>
        <v/>
      </c>
      <c r="O1384" s="300">
        <f>IFERROR(VLOOKUP($G1384,[1]нормы!$A$21:$BC$151,21,0),"")</f>
        <v>0</v>
      </c>
      <c r="P1384" s="35">
        <f>IFERROR(VLOOKUP($G1384,[1]нормы!$A$21:$BC$151,19,0),"")</f>
        <v>0</v>
      </c>
      <c r="Q1384" s="35">
        <f>IFERROR(VLOOKUP($G1384,[1]нормы!$A$21:$BC$151,23,0),"")</f>
        <v>0</v>
      </c>
      <c r="R1384" s="231">
        <f>IFERROR(VLOOKUP($G1384,[1]нормы!$A$21:$BC$151,29,0),"")</f>
        <v>0</v>
      </c>
      <c r="S1384" s="35">
        <f>IFERROR(VLOOKUP($G1384,[1]нормы!$A$21:$BC$151,31,0),"")</f>
        <v>0</v>
      </c>
      <c r="T1384" s="32">
        <f>IFERROR(VLOOKUP($G1384,[1]нормы!$A$21:$BC$151,25,0),"")</f>
        <v>0</v>
      </c>
      <c r="U1384" s="233" t="str">
        <f>IFERROR(W1384/(((100*Y1384/Y1388)*I1387)/100),"")</f>
        <v/>
      </c>
      <c r="V1384" s="234" t="str">
        <f>IFERROR(VLOOKUP($G1384,нормы!$A$14:$BC$57,38,0),"")</f>
        <v/>
      </c>
      <c r="W1384" s="136"/>
      <c r="X1384" s="237"/>
      <c r="Y1384" s="152" t="str">
        <f>IFERROR(VLOOKUP($G1384,нормы!$A$14:$BC$57,42,0)*W1384,"")</f>
        <v/>
      </c>
      <c r="Z1384" s="163">
        <f>IFERROR(VLOOKUP($G1384,нормы!$A$14:$BC$57,14,0)*W1384/1000,0)</f>
        <v>0</v>
      </c>
      <c r="AA1384" s="30"/>
      <c r="AB1384" s="35"/>
      <c r="AC1384" s="35"/>
      <c r="AD1384" s="35"/>
      <c r="AE1384" s="31"/>
      <c r="AF1384" s="160"/>
      <c r="AG1384" s="391"/>
      <c r="AH1384" s="394"/>
      <c r="AI1384" s="397"/>
      <c r="AJ1384" s="408"/>
      <c r="AK1384" s="360"/>
      <c r="AL1384" s="360"/>
      <c r="AM1384" s="360"/>
      <c r="AN1384" s="289">
        <f>IFERROR(Y1384*AJ1382/Y1388,)</f>
        <v>0</v>
      </c>
      <c r="AO1384" s="197" t="str">
        <f>IFERROR(VLOOKUP($G1384,нормы!$A$14:$BC$57,53,0)*$W1384,"")</f>
        <v/>
      </c>
      <c r="AP1384" s="290">
        <f>IFERROR(Y1384*AI1382/Y1388,)</f>
        <v>0</v>
      </c>
      <c r="AQ1384" s="197" t="str">
        <f>IFERROR(VLOOKUP($G1384,нормы!$A$14:$BC$57,54,0)*$W1384,"")</f>
        <v/>
      </c>
      <c r="AR1384" s="290">
        <f>IFERROR(AS1384/SUM(AS1382:AS1387)*AL1382,0)</f>
        <v>0</v>
      </c>
      <c r="AS1384" s="197" t="str">
        <f>IFERROR(VLOOKUP($G1384,нормы!$A$14:$BC$57,55,0)*W1384,"")</f>
        <v/>
      </c>
      <c r="AT1384" s="290">
        <f>IFERROR(AU1384/SUM(AU1382:AU1387)*AM1382,0)</f>
        <v>0</v>
      </c>
      <c r="AU1384" s="197" t="str">
        <f>IFERROR(VLOOKUP($G1384,нормы!$A$14:$BI$57,56,0)*W1384,"")</f>
        <v/>
      </c>
      <c r="AV1384" s="290">
        <f>IFERROR(AW1384/SUM(AW1382:AW1387)*AK1382,0)</f>
        <v>0</v>
      </c>
      <c r="AW1384" s="202" t="str">
        <f>IFERROR(VLOOKUP($G1384,нормы!$A$14:$BI$57,57,0)*W1384,"")</f>
        <v/>
      </c>
      <c r="AX1384" s="30"/>
      <c r="AY1384" s="203" t="str">
        <f>IFERROR(VLOOKUP($G1384,нормы!$A$14:$BI$57,58,0)*W1384,"")</f>
        <v/>
      </c>
      <c r="AZ1384" s="205"/>
      <c r="BA1384" s="200" t="str">
        <f>IFERROR(VLOOKUP($G1384,нормы!$A$14:$BI$57,61,0)*$W1384,"")</f>
        <v/>
      </c>
      <c r="BB1384" s="30"/>
      <c r="BC1384" s="203" t="str">
        <f>IFERROR(VLOOKUP($G1384,нормы!$A$14:$BI$57,60,0)*W1384,"")</f>
        <v/>
      </c>
      <c r="BD1384" s="200" t="str">
        <f>IFERROR(VLOOKUP($G1384,нормы!$A$14:$BG$57,44,0),"")</f>
        <v/>
      </c>
      <c r="BE1384" s="199" t="str">
        <f>IFERROR(W1384/VLOOKUP($G1384,нормы!$A$14:$BI$57,45,0),"")</f>
        <v/>
      </c>
    </row>
    <row r="1385" spans="1:57" s="1" customFormat="1" ht="20.25" customHeight="1" x14ac:dyDescent="0.4">
      <c r="A1385" s="37" t="str">
        <f t="shared" si="542"/>
        <v>23Д</v>
      </c>
      <c r="B1385" s="12">
        <f t="shared" si="545"/>
        <v>23</v>
      </c>
      <c r="C1385" s="97">
        <f t="shared" si="545"/>
        <v>0</v>
      </c>
      <c r="D1385" s="97">
        <f t="shared" si="545"/>
        <v>2</v>
      </c>
      <c r="E1385" s="54"/>
      <c r="F1385" s="151" t="str">
        <f>IFERROR(VLOOKUP($G1385,нормы!$A$14:$BC$57,2,0),"")</f>
        <v/>
      </c>
      <c r="G1385" s="93"/>
      <c r="H1385" s="54">
        <f t="shared" si="546"/>
        <v>0</v>
      </c>
      <c r="I1385" s="55"/>
      <c r="J1385" s="333"/>
      <c r="K1385" s="30">
        <f>IFERROR(VLOOKUP($G1385,[1]нормы!$A$21:$BC$151,15,0),"")</f>
        <v>0</v>
      </c>
      <c r="L1385" s="31">
        <f>IFERROR(VLOOKUP($G1385,[1]нормы!$A$21:$BC$151,17,0),"")</f>
        <v>0</v>
      </c>
      <c r="M1385" s="306">
        <f>IFERROR(VLOOKUP($G1385,[1]нормы!$A$21:$BC$151,27,0),"")</f>
        <v>0</v>
      </c>
      <c r="N1385" s="307" t="str">
        <f>IFERROR(Y1385/Y1388*(1.1*J1382*I1390),"")</f>
        <v/>
      </c>
      <c r="O1385" s="300">
        <f>IFERROR(VLOOKUP($G1385,[1]нормы!$A$21:$BC$151,21,0),"")</f>
        <v>0</v>
      </c>
      <c r="P1385" s="35">
        <f>IFERROR(VLOOKUP($G1385,[1]нормы!$A$21:$BC$151,19,0),"")</f>
        <v>0</v>
      </c>
      <c r="Q1385" s="35">
        <f>IFERROR(VLOOKUP($G1385,[1]нормы!$A$21:$BC$151,23,0),"")</f>
        <v>0</v>
      </c>
      <c r="R1385" s="231">
        <f>IFERROR(VLOOKUP($G1385,[1]нормы!$A$21:$BC$151,29,0),"")</f>
        <v>0</v>
      </c>
      <c r="S1385" s="35">
        <f>IFERROR(VLOOKUP($G1385,[1]нормы!$A$21:$BC$151,31,0),"")</f>
        <v>0</v>
      </c>
      <c r="T1385" s="32">
        <f>IFERROR(VLOOKUP($G1385,[1]нормы!$A$21:$BC$151,25,0),"")</f>
        <v>0</v>
      </c>
      <c r="U1385" s="233" t="str">
        <f>IFERROR(W1385/(((100*Y1385/Y1388)*I1387)/100),"")</f>
        <v/>
      </c>
      <c r="V1385" s="234" t="str">
        <f>IFERROR(VLOOKUP($G1385,нормы!$A$14:$BC$57,38,0),"")</f>
        <v/>
      </c>
      <c r="W1385" s="136"/>
      <c r="X1385" s="237"/>
      <c r="Y1385" s="152" t="str">
        <f>IFERROR(VLOOKUP($G1385,нормы!$A$14:$BC$57,42,0)*W1385,"")</f>
        <v/>
      </c>
      <c r="Z1385" s="163">
        <f>IFERROR(VLOOKUP($G1385,нормы!$A$14:$BC$57,14,0)*W1385/1000,0)</f>
        <v>0</v>
      </c>
      <c r="AA1385" s="30"/>
      <c r="AB1385" s="35"/>
      <c r="AC1385" s="35"/>
      <c r="AD1385" s="35"/>
      <c r="AE1385" s="31"/>
      <c r="AF1385" s="160"/>
      <c r="AG1385" s="391"/>
      <c r="AH1385" s="394"/>
      <c r="AI1385" s="397"/>
      <c r="AJ1385" s="408"/>
      <c r="AK1385" s="360"/>
      <c r="AL1385" s="360"/>
      <c r="AM1385" s="360"/>
      <c r="AN1385" s="289">
        <f>IFERROR(Y1385*AJ1382/Y1388,)</f>
        <v>0</v>
      </c>
      <c r="AO1385" s="197" t="str">
        <f>IFERROR(VLOOKUP($G1385,нормы!$A$14:$BC$57,53,0)*$W1385,"")</f>
        <v/>
      </c>
      <c r="AP1385" s="290">
        <f>IFERROR(Y1385*AI1382/Y1388,)</f>
        <v>0</v>
      </c>
      <c r="AQ1385" s="197" t="str">
        <f>IFERROR(VLOOKUP($G1385,нормы!$A$14:$BC$57,54,0)*$W1385,"")</f>
        <v/>
      </c>
      <c r="AR1385" s="290">
        <f>IFERROR(AS1385/SUM(AS1382:AS1387)*AL1382,0)</f>
        <v>0</v>
      </c>
      <c r="AS1385" s="197" t="str">
        <f>IFERROR(VLOOKUP($G1385,нормы!$A$14:$BC$57,55,0)*W1385,"")</f>
        <v/>
      </c>
      <c r="AT1385" s="290">
        <f>IFERROR(AU1385/SUM(AU1382:AU1387)*AM1382,0)</f>
        <v>0</v>
      </c>
      <c r="AU1385" s="197" t="str">
        <f>IFERROR(VLOOKUP($G1385,нормы!$A$14:$BI$57,56,0)*W1385,"")</f>
        <v/>
      </c>
      <c r="AV1385" s="290">
        <f>IFERROR(AW1385/SUM(AW1382:AW1387)*AK1382,0)</f>
        <v>0</v>
      </c>
      <c r="AW1385" s="202" t="str">
        <f>IFERROR(VLOOKUP($G1385,нормы!$A$14:$BI$57,57,0)*W1385,"")</f>
        <v/>
      </c>
      <c r="AX1385" s="30"/>
      <c r="AY1385" s="203" t="str">
        <f>IFERROR(VLOOKUP($G1385,нормы!$A$14:$BI$57,58,0)*W1385,"")</f>
        <v/>
      </c>
      <c r="AZ1385" s="205"/>
      <c r="BA1385" s="200" t="str">
        <f>IFERROR(VLOOKUP($G1385,нормы!$A$14:$BI$57,61,0)*$W1385,"")</f>
        <v/>
      </c>
      <c r="BB1385" s="30"/>
      <c r="BC1385" s="203" t="str">
        <f>IFERROR(VLOOKUP($G1385,нормы!$A$14:$BI$57,60,0)*W1385,"")</f>
        <v/>
      </c>
      <c r="BD1385" s="200" t="str">
        <f>IFERROR(VLOOKUP($G1385,нормы!$A$14:$BG$57,44,0),"")</f>
        <v/>
      </c>
      <c r="BE1385" s="199" t="str">
        <f>IFERROR(W1385/VLOOKUP($G1385,нормы!$A$14:$BI$57,45,0),"")</f>
        <v/>
      </c>
    </row>
    <row r="1386" spans="1:57" s="1" customFormat="1" ht="20.25" customHeight="1" x14ac:dyDescent="0.4">
      <c r="A1386" s="37" t="str">
        <f t="shared" si="542"/>
        <v>23Д</v>
      </c>
      <c r="B1386" s="12">
        <f t="shared" si="545"/>
        <v>23</v>
      </c>
      <c r="C1386" s="97">
        <f t="shared" si="545"/>
        <v>0</v>
      </c>
      <c r="D1386" s="97">
        <f t="shared" si="545"/>
        <v>2</v>
      </c>
      <c r="E1386" s="54"/>
      <c r="F1386" s="151" t="str">
        <f>IFERROR(VLOOKUP($G1386,нормы!$A$14:$BC$57,2,0),"")</f>
        <v/>
      </c>
      <c r="G1386" s="38"/>
      <c r="H1386" s="54">
        <f t="shared" si="546"/>
        <v>0</v>
      </c>
      <c r="I1386" s="89" t="s">
        <v>73</v>
      </c>
      <c r="J1386" s="333"/>
      <c r="K1386" s="30">
        <f>IFERROR(VLOOKUP($G1386,[1]нормы!$A$21:$BC$151,15,0),"")</f>
        <v>0</v>
      </c>
      <c r="L1386" s="31">
        <f>IFERROR(VLOOKUP($G1386,[1]нормы!$A$21:$BC$151,17,0),"")</f>
        <v>0</v>
      </c>
      <c r="M1386" s="306">
        <f>IFERROR(VLOOKUP($G1386,[1]нормы!$A$21:$BC$151,27,0),"")</f>
        <v>0</v>
      </c>
      <c r="N1386" s="307" t="str">
        <f>IFERROR(Y1386/Y1388*(1.1*J1382*I1391),"")</f>
        <v/>
      </c>
      <c r="O1386" s="300">
        <f>IFERROR(VLOOKUP($G1386,[1]нормы!$A$21:$BC$151,21,0),"")</f>
        <v>0</v>
      </c>
      <c r="P1386" s="35">
        <f>IFERROR(VLOOKUP($G1386,[1]нормы!$A$21:$BC$151,19,0),"")</f>
        <v>0</v>
      </c>
      <c r="Q1386" s="35">
        <f>IFERROR(VLOOKUP($G1386,[1]нормы!$A$21:$BC$151,23,0),"")</f>
        <v>0</v>
      </c>
      <c r="R1386" s="231">
        <f>IFERROR(VLOOKUP($G1386,[1]нормы!$A$21:$BC$151,29,0),"")</f>
        <v>0</v>
      </c>
      <c r="S1386" s="35">
        <f>IFERROR(VLOOKUP($G1386,[1]нормы!$A$21:$BC$151,31,0),"")</f>
        <v>0</v>
      </c>
      <c r="T1386" s="32">
        <f>IFERROR(VLOOKUP($G1386,[1]нормы!$A$21:$BC$151,25,0),"")</f>
        <v>0</v>
      </c>
      <c r="U1386" s="233" t="str">
        <f>IFERROR(W1386/(((100*Y1386/Y1388)*I1387)/100),"")</f>
        <v/>
      </c>
      <c r="V1386" s="234" t="str">
        <f>IFERROR(VLOOKUP($G1386,нормы!$A$14:$BC$57,38,0),"")</f>
        <v/>
      </c>
      <c r="W1386" s="136"/>
      <c r="X1386" s="237"/>
      <c r="Y1386" s="152" t="str">
        <f>IFERROR(VLOOKUP($G1386,нормы!$A$14:$BC$57,42,0)*W1386,"")</f>
        <v/>
      </c>
      <c r="Z1386" s="163">
        <f>IFERROR(VLOOKUP($G1386,нормы!$A$14:$BC$57,14,0)*W1386/1000,0)</f>
        <v>0</v>
      </c>
      <c r="AA1386" s="30"/>
      <c r="AB1386" s="35"/>
      <c r="AC1386" s="35"/>
      <c r="AD1386" s="35"/>
      <c r="AE1386" s="31"/>
      <c r="AF1386" s="160"/>
      <c r="AG1386" s="391"/>
      <c r="AH1386" s="394"/>
      <c r="AI1386" s="397"/>
      <c r="AJ1386" s="408"/>
      <c r="AK1386" s="360"/>
      <c r="AL1386" s="360"/>
      <c r="AM1386" s="360"/>
      <c r="AN1386" s="289">
        <f>IFERROR(Y1386*AJ1382/Y1388,)</f>
        <v>0</v>
      </c>
      <c r="AO1386" s="197" t="str">
        <f>IFERROR(VLOOKUP($G1386,нормы!$A$14:$BC$57,53,0)*$W1386,"")</f>
        <v/>
      </c>
      <c r="AP1386" s="290">
        <f>IFERROR(Y1386*AI1382/Y1388,)</f>
        <v>0</v>
      </c>
      <c r="AQ1386" s="197" t="str">
        <f>IFERROR(VLOOKUP($G1386,нормы!$A$14:$BC$57,54,0)*$W1386,"")</f>
        <v/>
      </c>
      <c r="AR1386" s="290">
        <f>IFERROR(AS1386/SUM(AS1382:AS1387)*AL1382,0)</f>
        <v>0</v>
      </c>
      <c r="AS1386" s="197" t="str">
        <f>IFERROR(VLOOKUP($G1386,нормы!$A$14:$BC$57,55,0)*W1386,"")</f>
        <v/>
      </c>
      <c r="AT1386" s="290">
        <f>IFERROR(AU1386/SUM(AU1382:AU1387)*AM1382,0)</f>
        <v>0</v>
      </c>
      <c r="AU1386" s="197" t="str">
        <f>IFERROR(VLOOKUP($G1386,нормы!$A$14:$BI$57,56,0)*W1386,"")</f>
        <v/>
      </c>
      <c r="AV1386" s="290">
        <f>IFERROR(AW1386/SUM(AW1382:AW1387)*AK1382,0)</f>
        <v>0</v>
      </c>
      <c r="AW1386" s="202" t="str">
        <f>IFERROR(VLOOKUP($G1386,нормы!$A$14:$BI$57,57,0)*W1386,"")</f>
        <v/>
      </c>
      <c r="AX1386" s="30"/>
      <c r="AY1386" s="203" t="str">
        <f>IFERROR(VLOOKUP($G1386,нормы!$A$14:$BI$57,58,0)*W1386,"")</f>
        <v/>
      </c>
      <c r="AZ1386" s="205"/>
      <c r="BA1386" s="200" t="str">
        <f>IFERROR(VLOOKUP($G1386,нормы!$A$14:$BI$57,61,0)*$W1386,"")</f>
        <v/>
      </c>
      <c r="BB1386" s="30"/>
      <c r="BC1386" s="203" t="str">
        <f>IFERROR(VLOOKUP($G1386,нормы!$A$14:$BI$57,60,0)*W1386,"")</f>
        <v/>
      </c>
      <c r="BD1386" s="200" t="str">
        <f>IFERROR(VLOOKUP($G1386,нормы!$A$14:$BG$57,44,0),"")</f>
        <v/>
      </c>
      <c r="BE1386" s="199" t="str">
        <f>IFERROR(W1386/VLOOKUP($G1386,нормы!$A$14:$BI$57,45,0),"")</f>
        <v/>
      </c>
    </row>
    <row r="1387" spans="1:57" s="1" customFormat="1" ht="21" customHeight="1" thickBot="1" x14ac:dyDescent="0.45">
      <c r="A1387" s="37" t="str">
        <f t="shared" si="542"/>
        <v>23Д</v>
      </c>
      <c r="B1387" s="12">
        <f t="shared" si="545"/>
        <v>23</v>
      </c>
      <c r="C1387" s="97">
        <f t="shared" si="545"/>
        <v>0</v>
      </c>
      <c r="D1387" s="97">
        <f t="shared" si="545"/>
        <v>2</v>
      </c>
      <c r="E1387" s="54"/>
      <c r="F1387" s="151" t="str">
        <f>IFERROR(VLOOKUP($G1387,нормы!$A$14:$BC$57,2,0),"")</f>
        <v/>
      </c>
      <c r="G1387" s="93"/>
      <c r="H1387" s="63">
        <f t="shared" si="546"/>
        <v>0</v>
      </c>
      <c r="I1387" s="153">
        <f>I1383+I1385</f>
        <v>0</v>
      </c>
      <c r="J1387" s="334"/>
      <c r="K1387" s="30">
        <f>IFERROR(VLOOKUP($G1387,[1]нормы!$A$21:$BC$151,15,0),"")</f>
        <v>0</v>
      </c>
      <c r="L1387" s="31">
        <f>IFERROR(VLOOKUP($G1387,[1]нормы!$A$21:$BC$151,17,0),"")</f>
        <v>0</v>
      </c>
      <c r="M1387" s="308">
        <f>IFERROR(VLOOKUP($G1387,[1]нормы!$A$21:$BC$151,27,0),"")</f>
        <v>0</v>
      </c>
      <c r="N1387" s="309" t="str">
        <f>IFERROR(Y1387/Y1388*(1.1*J1382*I1392),"")</f>
        <v/>
      </c>
      <c r="O1387" s="300">
        <f>IFERROR(VLOOKUP($G1387,[1]нормы!$A$21:$BC$151,21,0),"")</f>
        <v>0</v>
      </c>
      <c r="P1387" s="35">
        <f>IFERROR(VLOOKUP($G1387,[1]нормы!$A$21:$BC$151,19,0),"")</f>
        <v>0</v>
      </c>
      <c r="Q1387" s="35">
        <f>IFERROR(VLOOKUP($G1387,[1]нормы!$A$21:$BC$151,23,0),"")</f>
        <v>0</v>
      </c>
      <c r="R1387" s="231">
        <f>IFERROR(VLOOKUP($G1387,[1]нормы!$A$21:$BC$151,29,0),"")</f>
        <v>0</v>
      </c>
      <c r="S1387" s="35">
        <f>IFERROR(VLOOKUP($G1387,[1]нормы!$A$21:$BC$151,31,0),"")</f>
        <v>0</v>
      </c>
      <c r="T1387" s="32">
        <f>IFERROR(VLOOKUP($G1387,[1]нормы!$A$21:$BC$151,25,0),"")</f>
        <v>0</v>
      </c>
      <c r="U1387" s="235" t="str">
        <f>IFERROR(W1387/(((100*Y1387/Y1388)*I1387)/100),"")</f>
        <v/>
      </c>
      <c r="V1387" s="234" t="str">
        <f>IFERROR(VLOOKUP($G1387,нормы!$A$14:$BC$57,38,0),"")</f>
        <v/>
      </c>
      <c r="W1387" s="154"/>
      <c r="X1387" s="238"/>
      <c r="Y1387" s="152" t="str">
        <f>IFERROR(VLOOKUP($G1387,нормы!$A$14:$BC$57,42,0)*W1387,"")</f>
        <v/>
      </c>
      <c r="Z1387" s="163">
        <f>IFERROR(VLOOKUP($G1387,нормы!$A$14:$BC$57,14,0)*W1387/1000,0)</f>
        <v>0</v>
      </c>
      <c r="AA1387" s="56"/>
      <c r="AB1387" s="58"/>
      <c r="AC1387" s="58"/>
      <c r="AD1387" s="58"/>
      <c r="AE1387" s="57"/>
      <c r="AF1387" s="161"/>
      <c r="AG1387" s="392"/>
      <c r="AH1387" s="395"/>
      <c r="AI1387" s="398"/>
      <c r="AJ1387" s="409"/>
      <c r="AK1387" s="361"/>
      <c r="AL1387" s="361"/>
      <c r="AM1387" s="361"/>
      <c r="AN1387" s="291">
        <f>IFERROR(Y1387*AJ1382/Y1388,)</f>
        <v>0</v>
      </c>
      <c r="AO1387" s="197" t="str">
        <f>IFERROR(VLOOKUP($G1387,нормы!$A$14:$BC$57,53,0)*$W1387,"")</f>
        <v/>
      </c>
      <c r="AP1387" s="292">
        <f>IFERROR(Y1387*AI1382/Y1388,)</f>
        <v>0</v>
      </c>
      <c r="AQ1387" s="197" t="str">
        <f>IFERROR(VLOOKUP($G1387,нормы!$A$14:$BC$57,54,0)*$W1387,"")</f>
        <v/>
      </c>
      <c r="AR1387" s="290">
        <f>IFERROR(AS1387/SUM(AS1382:AS1387)*AL1382,0)</f>
        <v>0</v>
      </c>
      <c r="AS1387" s="197" t="str">
        <f>IFERROR(VLOOKUP($G1387,нормы!$A$14:$BC$57,55,0)*W1387,"")</f>
        <v/>
      </c>
      <c r="AT1387" s="292">
        <f>IFERROR(AU1387/SUM(AU1382:AU1387)*AM1382,0)</f>
        <v>0</v>
      </c>
      <c r="AU1387" s="197" t="str">
        <f>IFERROR(VLOOKUP($G1387,нормы!$A$14:$BI$57,56,0)*W1387,"")</f>
        <v/>
      </c>
      <c r="AV1387" s="292">
        <f>IFERROR(AW1387/SUM(AW1382:AW1387)*AK1382,0)</f>
        <v>0</v>
      </c>
      <c r="AW1387" s="202" t="str">
        <f>IFERROR(VLOOKUP($G1387,нормы!$A$14:$BI$57,57,0)*W1387,"")</f>
        <v/>
      </c>
      <c r="AX1387" s="56"/>
      <c r="AY1387" s="203" t="str">
        <f>IFERROR(VLOOKUP($G1387,нормы!$A$14:$BI$57,58,0)*W1387,"")</f>
        <v/>
      </c>
      <c r="AZ1387" s="206"/>
      <c r="BA1387" s="200" t="str">
        <f>IFERROR(VLOOKUP($G1387,нормы!$A$14:$BI$57,61,0)*$W1387,"")</f>
        <v/>
      </c>
      <c r="BB1387" s="56"/>
      <c r="BC1387" s="203" t="str">
        <f>IFERROR(VLOOKUP($G1387,нормы!$A$14:$BI$57,60,0)*W1387,"")</f>
        <v/>
      </c>
      <c r="BD1387" s="200" t="str">
        <f>IFERROR(VLOOKUP($G1387,нормы!$A$14:$BG$57,44,0),"")</f>
        <v/>
      </c>
      <c r="BE1387" s="199" t="str">
        <f>IFERROR(W1387/VLOOKUP($G1387,нормы!$A$14:$BI$57,45,0),"")</f>
        <v/>
      </c>
    </row>
    <row r="1388" spans="1:57" s="1" customFormat="1" ht="29.4" customHeight="1" thickBot="1" x14ac:dyDescent="0.45">
      <c r="A1388" s="37" t="str">
        <f t="shared" si="542"/>
        <v>23Д</v>
      </c>
      <c r="B1388" s="59"/>
      <c r="C1388" s="51"/>
      <c r="D1388" s="51"/>
      <c r="E1388" s="51"/>
      <c r="F1388" s="51"/>
      <c r="G1388" s="51"/>
      <c r="H1388" s="51"/>
      <c r="I1388" s="60"/>
      <c r="J1388" s="60"/>
      <c r="K1388" s="319" t="s">
        <v>213</v>
      </c>
      <c r="L1388" s="316"/>
      <c r="M1388" s="303" t="s">
        <v>213</v>
      </c>
      <c r="N1388" s="317">
        <f>SUM(N1382:N1387)</f>
        <v>0</v>
      </c>
      <c r="O1388" s="304" t="s">
        <v>217</v>
      </c>
      <c r="P1388" s="318">
        <f>N1388*8.937/1000</f>
        <v>0</v>
      </c>
      <c r="Q1388" s="305" t="s">
        <v>215</v>
      </c>
      <c r="R1388" s="61"/>
      <c r="S1388" s="61"/>
      <c r="T1388" s="61"/>
      <c r="U1388" s="109"/>
      <c r="V1388" s="109"/>
      <c r="W1388" s="94"/>
      <c r="X1388" s="155"/>
      <c r="Y1388" s="96">
        <f>SUM(Y1382:Y1387)</f>
        <v>0</v>
      </c>
      <c r="Z1388" s="164">
        <f>SUM(Z1382:Z1387)</f>
        <v>0</v>
      </c>
      <c r="AA1388" s="207">
        <f>(AA1374+AA1375+AA1376+AA1377+AA1378+AA1379+AA1380+AA1382+AA1383+AA1384+AA1385+AA1386+AA1387)-AG1375</f>
        <v>1</v>
      </c>
      <c r="AB1388" s="208">
        <f>(AB1374+AB1375+AB1376+AB1377+AB1378+AB1379+AB1380+AB1382+AB1383+AB1384+AB1385+AB1386+AB1387)-AH1375</f>
        <v>2</v>
      </c>
      <c r="AC1388" s="208">
        <f>(AC1374+AC1375+AC1376+AC1377+AC1378+AC1379+AC1380+AC1382+AC1383+AC1384+AC1385+AC1386+AC1387)-AG1382</f>
        <v>3</v>
      </c>
      <c r="AD1388" s="208">
        <f>(AD1374+AD1375+AD1376+AD1377+AD1378+AD1379+AD1380+AD1382+AD1383+AD1384+AD1385+AD1386+AD1387)-AH1382</f>
        <v>4</v>
      </c>
      <c r="AE1388" s="208">
        <f>(AE1374+AE1375+AE1376+AE1377+AE1378+AE1379+AE1380+AE1382+AE1383+AE1384+AE1385+AE1386+AE1387)-AI1375</f>
        <v>5</v>
      </c>
      <c r="AF1388" s="209">
        <f>(AF1374+AF1375+AF1376+AF1377+AF1378+AF1379+AF1380+AF1382+AF1383+AF1384+AF1385+AF1386+AF1387)-AI1382</f>
        <v>6</v>
      </c>
      <c r="AG1388" s="62"/>
      <c r="AH1388" s="62"/>
      <c r="AI1388" s="62"/>
      <c r="AJ1388" s="62"/>
      <c r="AK1388" s="62"/>
      <c r="AL1388" s="62"/>
      <c r="AM1388" s="62"/>
      <c r="AN1388" s="91">
        <f>SUM(AN1382:AN1387)</f>
        <v>0</v>
      </c>
      <c r="AO1388" s="91">
        <f>SUM(AO1382:AO1387)</f>
        <v>0</v>
      </c>
      <c r="AP1388" s="91"/>
      <c r="AQ1388" s="91"/>
      <c r="AR1388" s="91">
        <f>SUM(AR1382:AR1387)</f>
        <v>0</v>
      </c>
      <c r="AS1388" s="91">
        <f t="shared" ref="AS1388:AW1388" si="547">SUM(AS1382:AS1387)</f>
        <v>0</v>
      </c>
      <c r="AT1388" s="91">
        <f t="shared" si="547"/>
        <v>0</v>
      </c>
      <c r="AU1388" s="91">
        <f t="shared" si="547"/>
        <v>0</v>
      </c>
      <c r="AV1388" s="91">
        <f t="shared" si="547"/>
        <v>0</v>
      </c>
      <c r="AW1388" s="91">
        <f t="shared" si="547"/>
        <v>0</v>
      </c>
      <c r="AX1388" s="91">
        <f>SUM(AX1382:AX1387)</f>
        <v>0</v>
      </c>
      <c r="AY1388" s="91">
        <f>SUM(AY1382:AY1387)</f>
        <v>0</v>
      </c>
      <c r="AZ1388" s="91">
        <f>SUM(AZ1382:AZ1387)</f>
        <v>0</v>
      </c>
      <c r="BA1388" s="91"/>
      <c r="BB1388" s="91"/>
      <c r="BC1388" s="91"/>
      <c r="BD1388" s="91" t="str">
        <f>IFERROR(VLOOKUP($G1388,нормы!$A$14:$BG$15,27,0),"")</f>
        <v/>
      </c>
      <c r="BE1388" s="53" t="str">
        <f>IFERROR(W1388/VLOOKUP($G1388,нормы!$A$14:$BI$15,28,0),"")</f>
        <v/>
      </c>
    </row>
    <row r="1389" spans="1:57" s="1" customFormat="1" ht="29.4" customHeight="1" thickBot="1" x14ac:dyDescent="0.5">
      <c r="A1389" s="37" t="str">
        <f t="shared" si="542"/>
        <v>23Д</v>
      </c>
      <c r="B1389" s="166" t="s">
        <v>130</v>
      </c>
      <c r="C1389" s="167"/>
      <c r="D1389" s="167"/>
      <c r="E1389" s="167"/>
      <c r="F1389" s="165"/>
      <c r="G1389" s="167"/>
      <c r="H1389" s="167"/>
      <c r="I1389" s="168"/>
      <c r="J1389" s="168"/>
      <c r="K1389" s="168"/>
      <c r="L1389" s="168"/>
      <c r="M1389" s="168"/>
      <c r="N1389" s="168"/>
      <c r="O1389" s="167"/>
      <c r="P1389" s="169"/>
      <c r="Q1389" s="169"/>
      <c r="R1389" s="169"/>
      <c r="S1389" s="169"/>
      <c r="T1389" s="169"/>
      <c r="U1389" s="170"/>
      <c r="V1389" s="170"/>
      <c r="W1389" s="171"/>
      <c r="X1389" s="171"/>
      <c r="Y1389" s="172"/>
      <c r="Z1389" s="172"/>
      <c r="AA1389" s="201" t="s">
        <v>144</v>
      </c>
      <c r="AB1389" s="167"/>
      <c r="AC1389" s="167"/>
      <c r="AD1389" s="167"/>
      <c r="AE1389" s="167"/>
      <c r="AF1389" s="167"/>
      <c r="AG1389" s="167"/>
      <c r="AH1389" s="167"/>
      <c r="AI1389" s="167"/>
      <c r="AJ1389" s="167"/>
      <c r="AK1389" s="167"/>
      <c r="AL1389" s="167"/>
      <c r="AM1389" s="64"/>
      <c r="AN1389" s="167"/>
      <c r="AO1389" s="167"/>
      <c r="AP1389" s="167"/>
      <c r="AQ1389" s="167"/>
      <c r="AR1389" s="64"/>
      <c r="AS1389" s="64"/>
      <c r="AT1389" s="65"/>
      <c r="AU1389" s="64"/>
      <c r="AV1389" s="49"/>
      <c r="AW1389" s="49"/>
      <c r="AX1389" s="167"/>
      <c r="AY1389" s="167"/>
      <c r="AZ1389" s="167"/>
      <c r="BA1389" s="167"/>
      <c r="BB1389" s="167"/>
      <c r="BC1389" s="167"/>
      <c r="BD1389" s="66"/>
      <c r="BE1389" s="66"/>
    </row>
    <row r="1390" spans="1:57" s="1" customFormat="1" ht="23.25" customHeight="1" x14ac:dyDescent="0.4">
      <c r="A1390" s="37" t="str">
        <f t="shared" si="542"/>
        <v>23Д</v>
      </c>
      <c r="B1390" s="183"/>
      <c r="C1390" s="100"/>
      <c r="D1390" s="185"/>
      <c r="E1390" s="186" t="s">
        <v>57</v>
      </c>
      <c r="F1390" s="66" t="s">
        <v>87</v>
      </c>
      <c r="G1390" s="66"/>
      <c r="H1390" s="108" t="s">
        <v>131</v>
      </c>
      <c r="I1390" s="101"/>
      <c r="J1390" s="101"/>
      <c r="K1390" s="101"/>
      <c r="L1390" s="101"/>
      <c r="M1390" s="101"/>
      <c r="N1390" s="101"/>
      <c r="O1390" s="67"/>
      <c r="P1390" s="102"/>
      <c r="Q1390" s="102"/>
      <c r="R1390" s="102"/>
      <c r="S1390" s="102"/>
      <c r="T1390" s="102"/>
      <c r="U1390" s="67"/>
      <c r="V1390" s="67"/>
      <c r="W1390" s="103"/>
      <c r="X1390" s="187"/>
      <c r="Y1390" s="68" t="s">
        <v>74</v>
      </c>
      <c r="Z1390" s="69"/>
      <c r="AA1390" s="90"/>
      <c r="AB1390" s="100"/>
      <c r="AC1390" s="100"/>
      <c r="AD1390" s="186" t="s">
        <v>57</v>
      </c>
      <c r="AE1390" s="66"/>
      <c r="AF1390" s="66"/>
      <c r="AG1390" s="66"/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6"/>
      <c r="AS1390" s="66"/>
      <c r="AT1390" s="190"/>
      <c r="AU1390" s="66"/>
      <c r="AV1390" s="165"/>
      <c r="AW1390" s="293"/>
      <c r="AX1390" s="66"/>
      <c r="AY1390" s="66"/>
      <c r="AZ1390" s="66"/>
      <c r="BA1390" s="66"/>
      <c r="BB1390" s="66"/>
      <c r="BC1390" s="66"/>
      <c r="BD1390" s="68" t="s">
        <v>74</v>
      </c>
      <c r="BE1390" s="69"/>
    </row>
    <row r="1391" spans="1:57" s="1" customFormat="1" ht="23.25" customHeight="1" thickBot="1" x14ac:dyDescent="0.45">
      <c r="A1391" s="37" t="str">
        <f t="shared" si="542"/>
        <v>23Д</v>
      </c>
      <c r="B1391" s="183"/>
      <c r="C1391" s="41"/>
      <c r="D1391" s="184"/>
      <c r="E1391" s="50"/>
      <c r="F1391" s="70"/>
      <c r="G1391" s="70"/>
      <c r="H1391" s="70"/>
      <c r="I1391" s="104"/>
      <c r="J1391" s="104"/>
      <c r="K1391" s="104"/>
      <c r="L1391" s="104"/>
      <c r="M1391" s="104"/>
      <c r="N1391" s="104"/>
      <c r="O1391" s="71"/>
      <c r="P1391" s="105"/>
      <c r="Q1391" s="105"/>
      <c r="R1391" s="105"/>
      <c r="S1391" s="105"/>
      <c r="T1391" s="105"/>
      <c r="U1391" s="71"/>
      <c r="V1391" s="71"/>
      <c r="W1391" s="106"/>
      <c r="X1391" s="188"/>
      <c r="Y1391" s="72"/>
      <c r="Z1391" s="73"/>
      <c r="AA1391" s="90"/>
      <c r="AB1391" s="41"/>
      <c r="AC1391" s="41"/>
      <c r="AD1391" s="50"/>
      <c r="AE1391" s="47"/>
      <c r="AF1391" s="47"/>
      <c r="AG1391" s="47"/>
      <c r="AH1391" s="47"/>
      <c r="AI1391" s="47"/>
      <c r="AJ1391" s="47"/>
      <c r="AK1391" s="47"/>
      <c r="AL1391" s="47"/>
      <c r="AM1391" s="70"/>
      <c r="AN1391" s="47"/>
      <c r="AO1391" s="70"/>
      <c r="AP1391" s="70"/>
      <c r="AQ1391" s="70"/>
      <c r="AR1391" s="70"/>
      <c r="AS1391" s="70"/>
      <c r="AT1391" s="191"/>
      <c r="AU1391" s="70"/>
      <c r="AV1391" s="192"/>
      <c r="AW1391" s="294"/>
      <c r="AX1391" s="70"/>
      <c r="AY1391" s="70"/>
      <c r="AZ1391" s="70"/>
      <c r="BA1391" s="70"/>
      <c r="BB1391" s="70"/>
      <c r="BC1391" s="70"/>
      <c r="BD1391" s="72"/>
      <c r="BE1391" s="73"/>
    </row>
    <row r="1392" spans="1:57" s="1" customFormat="1" ht="65.25" customHeight="1" x14ac:dyDescent="0.4">
      <c r="A1392" s="37" t="str">
        <f t="shared" si="542"/>
        <v>23Д</v>
      </c>
      <c r="B1392" s="183"/>
      <c r="C1392" s="41"/>
      <c r="D1392" s="184"/>
      <c r="E1392" s="281">
        <f>B1387</f>
        <v>23</v>
      </c>
      <c r="F1392" s="337"/>
      <c r="G1392" s="338"/>
      <c r="H1392" s="338"/>
      <c r="I1392" s="338"/>
      <c r="J1392" s="338"/>
      <c r="K1392" s="338"/>
      <c r="L1392" s="338"/>
      <c r="M1392" s="338"/>
      <c r="N1392" s="338"/>
      <c r="O1392" s="338"/>
      <c r="P1392" s="338"/>
      <c r="Q1392" s="338"/>
      <c r="R1392" s="338"/>
      <c r="S1392" s="338"/>
      <c r="T1392" s="338"/>
      <c r="U1392" s="338"/>
      <c r="V1392" s="338"/>
      <c r="W1392" s="338"/>
      <c r="X1392" s="98">
        <v>1</v>
      </c>
      <c r="Y1392" s="74">
        <v>1</v>
      </c>
      <c r="Z1392" s="75">
        <f t="shared" ref="Z1392:Z1403" si="548">Y1392-X1392</f>
        <v>0</v>
      </c>
      <c r="AA1392" s="189"/>
      <c r="AB1392" s="41"/>
      <c r="AC1392" s="184"/>
      <c r="AD1392" s="210">
        <f>E1392</f>
        <v>23</v>
      </c>
      <c r="AE1392" s="387"/>
      <c r="AF1392" s="388"/>
      <c r="AG1392" s="388"/>
      <c r="AH1392" s="388"/>
      <c r="AI1392" s="388"/>
      <c r="AJ1392" s="388"/>
      <c r="AK1392" s="388"/>
      <c r="AL1392" s="388"/>
      <c r="AM1392" s="388"/>
      <c r="AN1392" s="388"/>
      <c r="AO1392" s="388"/>
      <c r="AP1392" s="388"/>
      <c r="AQ1392" s="388"/>
      <c r="AR1392" s="388"/>
      <c r="AS1392" s="388"/>
      <c r="AT1392" s="388"/>
      <c r="AU1392" s="388"/>
      <c r="AV1392" s="388"/>
      <c r="AW1392" s="388"/>
      <c r="AX1392" s="388"/>
      <c r="AY1392" s="388"/>
      <c r="AZ1392" s="388"/>
      <c r="BA1392" s="388"/>
      <c r="BB1392" s="389"/>
      <c r="BC1392" s="98">
        <v>1</v>
      </c>
      <c r="BD1392" s="74">
        <v>1</v>
      </c>
      <c r="BE1392" s="75">
        <f t="shared" ref="BE1392:BE1403" si="549">BD1392-BC1392</f>
        <v>0</v>
      </c>
    </row>
    <row r="1393" spans="1:57" s="1" customFormat="1" ht="30.75" customHeight="1" x14ac:dyDescent="0.4">
      <c r="A1393" s="37" t="str">
        <f t="shared" si="542"/>
        <v>23Д</v>
      </c>
      <c r="B1393" s="183"/>
      <c r="C1393" s="41"/>
      <c r="D1393" s="184"/>
      <c r="E1393" s="282">
        <f>E1392</f>
        <v>23</v>
      </c>
      <c r="F1393" s="335"/>
      <c r="G1393" s="336"/>
      <c r="H1393" s="336"/>
      <c r="I1393" s="336"/>
      <c r="J1393" s="336"/>
      <c r="K1393" s="336"/>
      <c r="L1393" s="336"/>
      <c r="M1393" s="336"/>
      <c r="N1393" s="336"/>
      <c r="O1393" s="336"/>
      <c r="P1393" s="336"/>
      <c r="Q1393" s="336"/>
      <c r="R1393" s="336"/>
      <c r="S1393" s="336"/>
      <c r="T1393" s="336"/>
      <c r="U1393" s="336"/>
      <c r="V1393" s="336"/>
      <c r="W1393" s="336"/>
      <c r="X1393" s="98">
        <v>1</v>
      </c>
      <c r="Y1393" s="74">
        <v>1</v>
      </c>
      <c r="Z1393" s="75">
        <f t="shared" si="548"/>
        <v>0</v>
      </c>
      <c r="AA1393" s="107">
        <f>AA1392</f>
        <v>0</v>
      </c>
      <c r="AB1393" s="41"/>
      <c r="AC1393" s="184"/>
      <c r="AD1393" s="212">
        <f>AD1392</f>
        <v>23</v>
      </c>
      <c r="AE1393" s="387"/>
      <c r="AF1393" s="388"/>
      <c r="AG1393" s="388"/>
      <c r="AH1393" s="388"/>
      <c r="AI1393" s="388"/>
      <c r="AJ1393" s="388"/>
      <c r="AK1393" s="388"/>
      <c r="AL1393" s="388"/>
      <c r="AM1393" s="388"/>
      <c r="AN1393" s="388"/>
      <c r="AO1393" s="388"/>
      <c r="AP1393" s="388"/>
      <c r="AQ1393" s="388"/>
      <c r="AR1393" s="388"/>
      <c r="AS1393" s="388"/>
      <c r="AT1393" s="388"/>
      <c r="AU1393" s="388"/>
      <c r="AV1393" s="388"/>
      <c r="AW1393" s="388"/>
      <c r="AX1393" s="388"/>
      <c r="AY1393" s="388"/>
      <c r="AZ1393" s="388"/>
      <c r="BA1393" s="388"/>
      <c r="BB1393" s="389"/>
      <c r="BC1393" s="98">
        <v>1</v>
      </c>
      <c r="BD1393" s="74">
        <v>1</v>
      </c>
      <c r="BE1393" s="75">
        <f t="shared" si="549"/>
        <v>0</v>
      </c>
    </row>
    <row r="1394" spans="1:57" s="1" customFormat="1" ht="30.75" customHeight="1" x14ac:dyDescent="0.4">
      <c r="A1394" s="37" t="str">
        <f t="shared" si="542"/>
        <v>23Д</v>
      </c>
      <c r="B1394" s="183"/>
      <c r="C1394" s="41"/>
      <c r="D1394" s="184"/>
      <c r="E1394" s="282">
        <f t="shared" ref="E1394:E1403" si="550">E1393</f>
        <v>23</v>
      </c>
      <c r="F1394" s="335"/>
      <c r="G1394" s="336"/>
      <c r="H1394" s="336"/>
      <c r="I1394" s="336"/>
      <c r="J1394" s="336"/>
      <c r="K1394" s="336"/>
      <c r="L1394" s="336"/>
      <c r="M1394" s="336"/>
      <c r="N1394" s="336"/>
      <c r="O1394" s="336"/>
      <c r="P1394" s="336"/>
      <c r="Q1394" s="336"/>
      <c r="R1394" s="336"/>
      <c r="S1394" s="336"/>
      <c r="T1394" s="336"/>
      <c r="U1394" s="336"/>
      <c r="V1394" s="336"/>
      <c r="W1394" s="336"/>
      <c r="X1394" s="98">
        <v>1</v>
      </c>
      <c r="Y1394" s="74">
        <v>1</v>
      </c>
      <c r="Z1394" s="75">
        <f t="shared" si="548"/>
        <v>0</v>
      </c>
      <c r="AA1394" s="107">
        <f>AA1393</f>
        <v>0</v>
      </c>
      <c r="AB1394" s="41"/>
      <c r="AC1394" s="184"/>
      <c r="AD1394" s="212">
        <f t="shared" ref="AD1394:AD1403" si="551">AD1393</f>
        <v>23</v>
      </c>
      <c r="AE1394" s="387"/>
      <c r="AF1394" s="388"/>
      <c r="AG1394" s="388"/>
      <c r="AH1394" s="388"/>
      <c r="AI1394" s="388"/>
      <c r="AJ1394" s="388"/>
      <c r="AK1394" s="388"/>
      <c r="AL1394" s="388"/>
      <c r="AM1394" s="388"/>
      <c r="AN1394" s="388"/>
      <c r="AO1394" s="388"/>
      <c r="AP1394" s="388"/>
      <c r="AQ1394" s="388"/>
      <c r="AR1394" s="388"/>
      <c r="AS1394" s="388"/>
      <c r="AT1394" s="388"/>
      <c r="AU1394" s="388"/>
      <c r="AV1394" s="388"/>
      <c r="AW1394" s="388"/>
      <c r="AX1394" s="388"/>
      <c r="AY1394" s="388"/>
      <c r="AZ1394" s="388"/>
      <c r="BA1394" s="388"/>
      <c r="BB1394" s="389"/>
      <c r="BC1394" s="98">
        <v>1</v>
      </c>
      <c r="BD1394" s="74">
        <v>1</v>
      </c>
      <c r="BE1394" s="75">
        <f t="shared" si="549"/>
        <v>0</v>
      </c>
    </row>
    <row r="1395" spans="1:57" s="1" customFormat="1" ht="30.75" customHeight="1" x14ac:dyDescent="0.4">
      <c r="A1395" s="37" t="str">
        <f t="shared" si="542"/>
        <v>23Д</v>
      </c>
      <c r="B1395" s="183"/>
      <c r="C1395" s="41"/>
      <c r="D1395" s="184"/>
      <c r="E1395" s="282">
        <f t="shared" si="550"/>
        <v>23</v>
      </c>
      <c r="F1395" s="335"/>
      <c r="G1395" s="336"/>
      <c r="H1395" s="336"/>
      <c r="I1395" s="336"/>
      <c r="J1395" s="336"/>
      <c r="K1395" s="336"/>
      <c r="L1395" s="336"/>
      <c r="M1395" s="336"/>
      <c r="N1395" s="336"/>
      <c r="O1395" s="336"/>
      <c r="P1395" s="336"/>
      <c r="Q1395" s="336"/>
      <c r="R1395" s="336"/>
      <c r="S1395" s="336"/>
      <c r="T1395" s="336"/>
      <c r="U1395" s="336"/>
      <c r="V1395" s="336"/>
      <c r="W1395" s="336"/>
      <c r="X1395" s="98">
        <v>1</v>
      </c>
      <c r="Y1395" s="74">
        <v>1</v>
      </c>
      <c r="Z1395" s="75">
        <f t="shared" si="548"/>
        <v>0</v>
      </c>
      <c r="AA1395" s="107">
        <f t="shared" ref="AA1395:AA1403" si="552">AA1394</f>
        <v>0</v>
      </c>
      <c r="AB1395" s="41"/>
      <c r="AC1395" s="184"/>
      <c r="AD1395" s="212">
        <f t="shared" si="551"/>
        <v>23</v>
      </c>
      <c r="AE1395" s="387"/>
      <c r="AF1395" s="388"/>
      <c r="AG1395" s="388"/>
      <c r="AH1395" s="388"/>
      <c r="AI1395" s="388"/>
      <c r="AJ1395" s="388"/>
      <c r="AK1395" s="388"/>
      <c r="AL1395" s="388"/>
      <c r="AM1395" s="388"/>
      <c r="AN1395" s="388"/>
      <c r="AO1395" s="388"/>
      <c r="AP1395" s="388"/>
      <c r="AQ1395" s="388"/>
      <c r="AR1395" s="388"/>
      <c r="AS1395" s="388"/>
      <c r="AT1395" s="388"/>
      <c r="AU1395" s="388"/>
      <c r="AV1395" s="388"/>
      <c r="AW1395" s="388"/>
      <c r="AX1395" s="388"/>
      <c r="AY1395" s="388"/>
      <c r="AZ1395" s="388"/>
      <c r="BA1395" s="388"/>
      <c r="BB1395" s="389"/>
      <c r="BC1395" s="98">
        <v>1</v>
      </c>
      <c r="BD1395" s="74">
        <v>1</v>
      </c>
      <c r="BE1395" s="75">
        <f t="shared" si="549"/>
        <v>0</v>
      </c>
    </row>
    <row r="1396" spans="1:57" s="1" customFormat="1" ht="18" customHeight="1" x14ac:dyDescent="0.4">
      <c r="A1396" s="37" t="str">
        <f t="shared" si="542"/>
        <v>23Д</v>
      </c>
      <c r="B1396" s="183"/>
      <c r="C1396" s="41"/>
      <c r="D1396" s="184"/>
      <c r="E1396" s="282">
        <f t="shared" si="550"/>
        <v>23</v>
      </c>
      <c r="F1396" s="335"/>
      <c r="G1396" s="336"/>
      <c r="H1396" s="336"/>
      <c r="I1396" s="336"/>
      <c r="J1396" s="336"/>
      <c r="K1396" s="336"/>
      <c r="L1396" s="336"/>
      <c r="M1396" s="336"/>
      <c r="N1396" s="336"/>
      <c r="O1396" s="336"/>
      <c r="P1396" s="336"/>
      <c r="Q1396" s="336"/>
      <c r="R1396" s="336"/>
      <c r="S1396" s="336"/>
      <c r="T1396" s="336"/>
      <c r="U1396" s="336"/>
      <c r="V1396" s="336"/>
      <c r="W1396" s="336"/>
      <c r="X1396" s="98">
        <v>1</v>
      </c>
      <c r="Y1396" s="74">
        <v>1</v>
      </c>
      <c r="Z1396" s="75">
        <f t="shared" si="548"/>
        <v>0</v>
      </c>
      <c r="AA1396" s="107">
        <f t="shared" si="552"/>
        <v>0</v>
      </c>
      <c r="AB1396" s="41"/>
      <c r="AC1396" s="184"/>
      <c r="AD1396" s="212">
        <f t="shared" si="551"/>
        <v>23</v>
      </c>
      <c r="AE1396" s="387"/>
      <c r="AF1396" s="388"/>
      <c r="AG1396" s="388"/>
      <c r="AH1396" s="388"/>
      <c r="AI1396" s="388"/>
      <c r="AJ1396" s="388"/>
      <c r="AK1396" s="388"/>
      <c r="AL1396" s="388"/>
      <c r="AM1396" s="388"/>
      <c r="AN1396" s="388"/>
      <c r="AO1396" s="388"/>
      <c r="AP1396" s="388"/>
      <c r="AQ1396" s="388"/>
      <c r="AR1396" s="388"/>
      <c r="AS1396" s="388"/>
      <c r="AT1396" s="388"/>
      <c r="AU1396" s="388"/>
      <c r="AV1396" s="388"/>
      <c r="AW1396" s="388"/>
      <c r="AX1396" s="388"/>
      <c r="AY1396" s="388"/>
      <c r="AZ1396" s="388"/>
      <c r="BA1396" s="388"/>
      <c r="BB1396" s="389"/>
      <c r="BC1396" s="98">
        <v>1</v>
      </c>
      <c r="BD1396" s="74">
        <v>1</v>
      </c>
      <c r="BE1396" s="75">
        <f t="shared" si="549"/>
        <v>0</v>
      </c>
    </row>
    <row r="1397" spans="1:57" s="1" customFormat="1" ht="18" customHeight="1" x14ac:dyDescent="0.4">
      <c r="A1397" s="37" t="str">
        <f t="shared" si="542"/>
        <v>23Д</v>
      </c>
      <c r="B1397" s="183"/>
      <c r="C1397" s="41"/>
      <c r="D1397" s="184"/>
      <c r="E1397" s="282">
        <f t="shared" si="550"/>
        <v>23</v>
      </c>
      <c r="F1397" s="335"/>
      <c r="G1397" s="336"/>
      <c r="H1397" s="336"/>
      <c r="I1397" s="336"/>
      <c r="J1397" s="336"/>
      <c r="K1397" s="336"/>
      <c r="L1397" s="336"/>
      <c r="M1397" s="336"/>
      <c r="N1397" s="336"/>
      <c r="O1397" s="336"/>
      <c r="P1397" s="336"/>
      <c r="Q1397" s="336"/>
      <c r="R1397" s="336"/>
      <c r="S1397" s="336"/>
      <c r="T1397" s="336"/>
      <c r="U1397" s="336"/>
      <c r="V1397" s="336"/>
      <c r="W1397" s="336"/>
      <c r="X1397" s="98">
        <v>1</v>
      </c>
      <c r="Y1397" s="74">
        <v>1</v>
      </c>
      <c r="Z1397" s="75">
        <f t="shared" si="548"/>
        <v>0</v>
      </c>
      <c r="AA1397" s="107">
        <f t="shared" si="552"/>
        <v>0</v>
      </c>
      <c r="AB1397" s="41"/>
      <c r="AC1397" s="184"/>
      <c r="AD1397" s="212">
        <f t="shared" si="551"/>
        <v>23</v>
      </c>
      <c r="AE1397" s="387"/>
      <c r="AF1397" s="388"/>
      <c r="AG1397" s="388"/>
      <c r="AH1397" s="388"/>
      <c r="AI1397" s="388"/>
      <c r="AJ1397" s="388"/>
      <c r="AK1397" s="388"/>
      <c r="AL1397" s="388"/>
      <c r="AM1397" s="388"/>
      <c r="AN1397" s="388"/>
      <c r="AO1397" s="388"/>
      <c r="AP1397" s="388"/>
      <c r="AQ1397" s="388"/>
      <c r="AR1397" s="388"/>
      <c r="AS1397" s="388"/>
      <c r="AT1397" s="388"/>
      <c r="AU1397" s="388"/>
      <c r="AV1397" s="388"/>
      <c r="AW1397" s="388"/>
      <c r="AX1397" s="388"/>
      <c r="AY1397" s="388"/>
      <c r="AZ1397" s="388"/>
      <c r="BA1397" s="388"/>
      <c r="BB1397" s="389"/>
      <c r="BC1397" s="98">
        <v>1</v>
      </c>
      <c r="BD1397" s="74">
        <v>1</v>
      </c>
      <c r="BE1397" s="75">
        <f t="shared" si="549"/>
        <v>0</v>
      </c>
    </row>
    <row r="1398" spans="1:57" s="1" customFormat="1" ht="18" customHeight="1" x14ac:dyDescent="0.4">
      <c r="A1398" s="37" t="str">
        <f t="shared" si="542"/>
        <v>23Д</v>
      </c>
      <c r="B1398" s="183"/>
      <c r="C1398" s="41"/>
      <c r="D1398" s="184"/>
      <c r="E1398" s="282">
        <f t="shared" si="550"/>
        <v>23</v>
      </c>
      <c r="F1398" s="335"/>
      <c r="G1398" s="336"/>
      <c r="H1398" s="336"/>
      <c r="I1398" s="336"/>
      <c r="J1398" s="336"/>
      <c r="K1398" s="336"/>
      <c r="L1398" s="336"/>
      <c r="M1398" s="336"/>
      <c r="N1398" s="336"/>
      <c r="O1398" s="336"/>
      <c r="P1398" s="336"/>
      <c r="Q1398" s="336"/>
      <c r="R1398" s="336"/>
      <c r="S1398" s="336"/>
      <c r="T1398" s="336"/>
      <c r="U1398" s="336"/>
      <c r="V1398" s="336"/>
      <c r="W1398" s="336"/>
      <c r="X1398" s="98">
        <v>1</v>
      </c>
      <c r="Y1398" s="74">
        <v>1</v>
      </c>
      <c r="Z1398" s="75">
        <f t="shared" si="548"/>
        <v>0</v>
      </c>
      <c r="AA1398" s="107">
        <f t="shared" si="552"/>
        <v>0</v>
      </c>
      <c r="AB1398" s="41"/>
      <c r="AC1398" s="184"/>
      <c r="AD1398" s="212">
        <f t="shared" si="551"/>
        <v>23</v>
      </c>
      <c r="AE1398" s="387"/>
      <c r="AF1398" s="388"/>
      <c r="AG1398" s="388"/>
      <c r="AH1398" s="388"/>
      <c r="AI1398" s="388"/>
      <c r="AJ1398" s="388"/>
      <c r="AK1398" s="388"/>
      <c r="AL1398" s="388"/>
      <c r="AM1398" s="388"/>
      <c r="AN1398" s="388"/>
      <c r="AO1398" s="388"/>
      <c r="AP1398" s="388"/>
      <c r="AQ1398" s="388"/>
      <c r="AR1398" s="388"/>
      <c r="AS1398" s="388"/>
      <c r="AT1398" s="388"/>
      <c r="AU1398" s="388"/>
      <c r="AV1398" s="388"/>
      <c r="AW1398" s="388"/>
      <c r="AX1398" s="388"/>
      <c r="AY1398" s="388"/>
      <c r="AZ1398" s="388"/>
      <c r="BA1398" s="388"/>
      <c r="BB1398" s="389"/>
      <c r="BC1398" s="98">
        <v>1</v>
      </c>
      <c r="BD1398" s="74">
        <v>1</v>
      </c>
      <c r="BE1398" s="75">
        <f t="shared" si="549"/>
        <v>0</v>
      </c>
    </row>
    <row r="1399" spans="1:57" s="1" customFormat="1" ht="18" customHeight="1" x14ac:dyDescent="0.4">
      <c r="A1399" s="37" t="str">
        <f t="shared" si="542"/>
        <v>23Д</v>
      </c>
      <c r="B1399" s="183"/>
      <c r="C1399" s="41"/>
      <c r="D1399" s="184"/>
      <c r="E1399" s="282">
        <f t="shared" si="550"/>
        <v>23</v>
      </c>
      <c r="F1399" s="335"/>
      <c r="G1399" s="336"/>
      <c r="H1399" s="336"/>
      <c r="I1399" s="336"/>
      <c r="J1399" s="336"/>
      <c r="K1399" s="336"/>
      <c r="L1399" s="336"/>
      <c r="M1399" s="336"/>
      <c r="N1399" s="336"/>
      <c r="O1399" s="336"/>
      <c r="P1399" s="336"/>
      <c r="Q1399" s="336"/>
      <c r="R1399" s="336"/>
      <c r="S1399" s="336"/>
      <c r="T1399" s="336"/>
      <c r="U1399" s="336"/>
      <c r="V1399" s="336"/>
      <c r="W1399" s="336"/>
      <c r="X1399" s="98">
        <v>1</v>
      </c>
      <c r="Y1399" s="74">
        <v>1</v>
      </c>
      <c r="Z1399" s="75">
        <f t="shared" si="548"/>
        <v>0</v>
      </c>
      <c r="AA1399" s="107">
        <f t="shared" si="552"/>
        <v>0</v>
      </c>
      <c r="AB1399" s="41"/>
      <c r="AC1399" s="184"/>
      <c r="AD1399" s="212">
        <f t="shared" si="551"/>
        <v>23</v>
      </c>
      <c r="AE1399" s="387"/>
      <c r="AF1399" s="388"/>
      <c r="AG1399" s="388"/>
      <c r="AH1399" s="388"/>
      <c r="AI1399" s="388"/>
      <c r="AJ1399" s="388"/>
      <c r="AK1399" s="388"/>
      <c r="AL1399" s="388"/>
      <c r="AM1399" s="388"/>
      <c r="AN1399" s="388"/>
      <c r="AO1399" s="388"/>
      <c r="AP1399" s="388"/>
      <c r="AQ1399" s="388"/>
      <c r="AR1399" s="388"/>
      <c r="AS1399" s="388"/>
      <c r="AT1399" s="388"/>
      <c r="AU1399" s="388"/>
      <c r="AV1399" s="388"/>
      <c r="AW1399" s="388"/>
      <c r="AX1399" s="388"/>
      <c r="AY1399" s="388"/>
      <c r="AZ1399" s="388"/>
      <c r="BA1399" s="388"/>
      <c r="BB1399" s="389"/>
      <c r="BC1399" s="98">
        <v>1</v>
      </c>
      <c r="BD1399" s="74">
        <v>1</v>
      </c>
      <c r="BE1399" s="75">
        <f t="shared" si="549"/>
        <v>0</v>
      </c>
    </row>
    <row r="1400" spans="1:57" s="1" customFormat="1" ht="18" customHeight="1" x14ac:dyDescent="0.4">
      <c r="A1400" s="37" t="str">
        <f t="shared" si="542"/>
        <v>23Д</v>
      </c>
      <c r="B1400" s="183"/>
      <c r="C1400" s="41"/>
      <c r="D1400" s="184"/>
      <c r="E1400" s="282">
        <f t="shared" si="550"/>
        <v>23</v>
      </c>
      <c r="F1400" s="335"/>
      <c r="G1400" s="336"/>
      <c r="H1400" s="336"/>
      <c r="I1400" s="336"/>
      <c r="J1400" s="336"/>
      <c r="K1400" s="336"/>
      <c r="L1400" s="336"/>
      <c r="M1400" s="336"/>
      <c r="N1400" s="336"/>
      <c r="O1400" s="336"/>
      <c r="P1400" s="336"/>
      <c r="Q1400" s="336"/>
      <c r="R1400" s="336"/>
      <c r="S1400" s="336"/>
      <c r="T1400" s="336"/>
      <c r="U1400" s="336"/>
      <c r="V1400" s="336"/>
      <c r="W1400" s="336"/>
      <c r="X1400" s="98">
        <v>1</v>
      </c>
      <c r="Y1400" s="74">
        <v>1</v>
      </c>
      <c r="Z1400" s="75">
        <f t="shared" si="548"/>
        <v>0</v>
      </c>
      <c r="AA1400" s="107">
        <f t="shared" si="552"/>
        <v>0</v>
      </c>
      <c r="AB1400" s="41"/>
      <c r="AC1400" s="184"/>
      <c r="AD1400" s="212">
        <f t="shared" si="551"/>
        <v>23</v>
      </c>
      <c r="AE1400" s="387"/>
      <c r="AF1400" s="388"/>
      <c r="AG1400" s="388"/>
      <c r="AH1400" s="388"/>
      <c r="AI1400" s="388"/>
      <c r="AJ1400" s="388"/>
      <c r="AK1400" s="388"/>
      <c r="AL1400" s="388"/>
      <c r="AM1400" s="388"/>
      <c r="AN1400" s="388"/>
      <c r="AO1400" s="388"/>
      <c r="AP1400" s="388"/>
      <c r="AQ1400" s="388"/>
      <c r="AR1400" s="388"/>
      <c r="AS1400" s="388"/>
      <c r="AT1400" s="388"/>
      <c r="AU1400" s="388"/>
      <c r="AV1400" s="388"/>
      <c r="AW1400" s="388"/>
      <c r="AX1400" s="388"/>
      <c r="AY1400" s="388"/>
      <c r="AZ1400" s="388"/>
      <c r="BA1400" s="388"/>
      <c r="BB1400" s="389"/>
      <c r="BC1400" s="98">
        <v>1</v>
      </c>
      <c r="BD1400" s="74">
        <v>1</v>
      </c>
      <c r="BE1400" s="75">
        <f t="shared" si="549"/>
        <v>0</v>
      </c>
    </row>
    <row r="1401" spans="1:57" s="1" customFormat="1" ht="18" customHeight="1" x14ac:dyDescent="0.4">
      <c r="A1401" s="37" t="str">
        <f t="shared" si="542"/>
        <v>23Д</v>
      </c>
      <c r="B1401" s="183"/>
      <c r="C1401" s="41"/>
      <c r="D1401" s="184"/>
      <c r="E1401" s="282">
        <f t="shared" si="550"/>
        <v>23</v>
      </c>
      <c r="F1401" s="335"/>
      <c r="G1401" s="336"/>
      <c r="H1401" s="336"/>
      <c r="I1401" s="336"/>
      <c r="J1401" s="336"/>
      <c r="K1401" s="336"/>
      <c r="L1401" s="336"/>
      <c r="M1401" s="336"/>
      <c r="N1401" s="336"/>
      <c r="O1401" s="336"/>
      <c r="P1401" s="336"/>
      <c r="Q1401" s="336"/>
      <c r="R1401" s="336"/>
      <c r="S1401" s="336"/>
      <c r="T1401" s="336"/>
      <c r="U1401" s="336"/>
      <c r="V1401" s="336"/>
      <c r="W1401" s="336"/>
      <c r="X1401" s="98">
        <v>1</v>
      </c>
      <c r="Y1401" s="74">
        <v>1</v>
      </c>
      <c r="Z1401" s="75">
        <f t="shared" si="548"/>
        <v>0</v>
      </c>
      <c r="AA1401" s="107">
        <f t="shared" si="552"/>
        <v>0</v>
      </c>
      <c r="AB1401" s="41"/>
      <c r="AC1401" s="184"/>
      <c r="AD1401" s="212">
        <f t="shared" si="551"/>
        <v>23</v>
      </c>
      <c r="AE1401" s="387"/>
      <c r="AF1401" s="388"/>
      <c r="AG1401" s="388"/>
      <c r="AH1401" s="388"/>
      <c r="AI1401" s="388"/>
      <c r="AJ1401" s="388"/>
      <c r="AK1401" s="388"/>
      <c r="AL1401" s="388"/>
      <c r="AM1401" s="388"/>
      <c r="AN1401" s="388"/>
      <c r="AO1401" s="388"/>
      <c r="AP1401" s="388"/>
      <c r="AQ1401" s="388"/>
      <c r="AR1401" s="388"/>
      <c r="AS1401" s="388"/>
      <c r="AT1401" s="388"/>
      <c r="AU1401" s="388"/>
      <c r="AV1401" s="388"/>
      <c r="AW1401" s="388"/>
      <c r="AX1401" s="388"/>
      <c r="AY1401" s="388"/>
      <c r="AZ1401" s="388"/>
      <c r="BA1401" s="388"/>
      <c r="BB1401" s="389"/>
      <c r="BC1401" s="98">
        <v>1</v>
      </c>
      <c r="BD1401" s="74">
        <v>1</v>
      </c>
      <c r="BE1401" s="75">
        <f t="shared" si="549"/>
        <v>0</v>
      </c>
    </row>
    <row r="1402" spans="1:57" s="1" customFormat="1" ht="18" customHeight="1" x14ac:dyDescent="0.4">
      <c r="A1402" s="37" t="str">
        <f t="shared" si="542"/>
        <v>23Д</v>
      </c>
      <c r="B1402" s="183"/>
      <c r="C1402" s="41"/>
      <c r="D1402" s="184"/>
      <c r="E1402" s="282">
        <f t="shared" si="550"/>
        <v>23</v>
      </c>
      <c r="F1402" s="335"/>
      <c r="G1402" s="336"/>
      <c r="H1402" s="336"/>
      <c r="I1402" s="336"/>
      <c r="J1402" s="336"/>
      <c r="K1402" s="336"/>
      <c r="L1402" s="336"/>
      <c r="M1402" s="336"/>
      <c r="N1402" s="336"/>
      <c r="O1402" s="336"/>
      <c r="P1402" s="336"/>
      <c r="Q1402" s="336"/>
      <c r="R1402" s="336"/>
      <c r="S1402" s="336"/>
      <c r="T1402" s="336"/>
      <c r="U1402" s="336"/>
      <c r="V1402" s="336"/>
      <c r="W1402" s="336"/>
      <c r="X1402" s="98">
        <v>1</v>
      </c>
      <c r="Y1402" s="74">
        <v>1</v>
      </c>
      <c r="Z1402" s="75">
        <f t="shared" si="548"/>
        <v>0</v>
      </c>
      <c r="AA1402" s="107">
        <f t="shared" si="552"/>
        <v>0</v>
      </c>
      <c r="AB1402" s="41"/>
      <c r="AC1402" s="184"/>
      <c r="AD1402" s="212">
        <f t="shared" si="551"/>
        <v>23</v>
      </c>
      <c r="AE1402" s="387"/>
      <c r="AF1402" s="388"/>
      <c r="AG1402" s="388"/>
      <c r="AH1402" s="388"/>
      <c r="AI1402" s="388"/>
      <c r="AJ1402" s="388"/>
      <c r="AK1402" s="388"/>
      <c r="AL1402" s="388"/>
      <c r="AM1402" s="388"/>
      <c r="AN1402" s="388"/>
      <c r="AO1402" s="388"/>
      <c r="AP1402" s="388"/>
      <c r="AQ1402" s="388"/>
      <c r="AR1402" s="388"/>
      <c r="AS1402" s="388"/>
      <c r="AT1402" s="388"/>
      <c r="AU1402" s="388"/>
      <c r="AV1402" s="388"/>
      <c r="AW1402" s="388"/>
      <c r="AX1402" s="388"/>
      <c r="AY1402" s="388"/>
      <c r="AZ1402" s="388"/>
      <c r="BA1402" s="388"/>
      <c r="BB1402" s="389"/>
      <c r="BC1402" s="98">
        <v>1</v>
      </c>
      <c r="BD1402" s="74">
        <v>1</v>
      </c>
      <c r="BE1402" s="75">
        <f t="shared" si="549"/>
        <v>0</v>
      </c>
    </row>
    <row r="1403" spans="1:57" s="1" customFormat="1" ht="18" customHeight="1" thickBot="1" x14ac:dyDescent="0.45">
      <c r="A1403" s="37" t="str">
        <f t="shared" si="542"/>
        <v>23Д</v>
      </c>
      <c r="B1403" s="183"/>
      <c r="C1403" s="41"/>
      <c r="D1403" s="184"/>
      <c r="E1403" s="283">
        <f t="shared" si="550"/>
        <v>23</v>
      </c>
      <c r="F1403" s="339"/>
      <c r="G1403" s="340"/>
      <c r="H1403" s="340"/>
      <c r="I1403" s="340"/>
      <c r="J1403" s="340"/>
      <c r="K1403" s="340"/>
      <c r="L1403" s="340"/>
      <c r="M1403" s="340"/>
      <c r="N1403" s="340"/>
      <c r="O1403" s="340"/>
      <c r="P1403" s="340"/>
      <c r="Q1403" s="340"/>
      <c r="R1403" s="340"/>
      <c r="S1403" s="340"/>
      <c r="T1403" s="340"/>
      <c r="U1403" s="340"/>
      <c r="V1403" s="340"/>
      <c r="W1403" s="340"/>
      <c r="X1403" s="99">
        <v>1</v>
      </c>
      <c r="Y1403" s="76">
        <v>1</v>
      </c>
      <c r="Z1403" s="77">
        <f t="shared" si="548"/>
        <v>0</v>
      </c>
      <c r="AA1403" s="107">
        <f t="shared" si="552"/>
        <v>0</v>
      </c>
      <c r="AB1403" s="41"/>
      <c r="AC1403" s="184"/>
      <c r="AD1403" s="211">
        <f t="shared" si="551"/>
        <v>23</v>
      </c>
      <c r="AE1403" s="410"/>
      <c r="AF1403" s="411"/>
      <c r="AG1403" s="411"/>
      <c r="AH1403" s="411"/>
      <c r="AI1403" s="411"/>
      <c r="AJ1403" s="411"/>
      <c r="AK1403" s="411"/>
      <c r="AL1403" s="411"/>
      <c r="AM1403" s="411"/>
      <c r="AN1403" s="411"/>
      <c r="AO1403" s="411"/>
      <c r="AP1403" s="411"/>
      <c r="AQ1403" s="411"/>
      <c r="AR1403" s="411"/>
      <c r="AS1403" s="411"/>
      <c r="AT1403" s="411"/>
      <c r="AU1403" s="411"/>
      <c r="AV1403" s="411"/>
      <c r="AW1403" s="411"/>
      <c r="AX1403" s="411"/>
      <c r="AY1403" s="411"/>
      <c r="AZ1403" s="411"/>
      <c r="BA1403" s="411"/>
      <c r="BB1403" s="412"/>
      <c r="BC1403" s="99">
        <v>1</v>
      </c>
      <c r="BD1403" s="76">
        <v>1</v>
      </c>
      <c r="BE1403" s="75">
        <f t="shared" si="549"/>
        <v>0</v>
      </c>
    </row>
    <row r="1404" spans="1:57" s="1" customFormat="1" ht="23.25" customHeight="1" thickBot="1" x14ac:dyDescent="0.45">
      <c r="A1404" s="37" t="str">
        <f t="shared" si="542"/>
        <v>23Д</v>
      </c>
      <c r="B1404" s="193"/>
      <c r="C1404" s="47"/>
      <c r="D1404" s="47"/>
      <c r="E1404" s="47"/>
      <c r="F1404" s="78"/>
      <c r="G1404" s="78"/>
      <c r="H1404" s="78"/>
      <c r="I1404" s="80"/>
      <c r="J1404" s="80"/>
      <c r="K1404" s="80"/>
      <c r="L1404" s="80"/>
      <c r="M1404" s="80"/>
      <c r="N1404" s="80"/>
      <c r="O1404" s="78"/>
      <c r="P1404" s="81"/>
      <c r="Q1404" s="81"/>
      <c r="R1404" s="81"/>
      <c r="S1404" s="81"/>
      <c r="T1404" s="81"/>
      <c r="U1404" s="82"/>
      <c r="V1404" s="82"/>
      <c r="W1404" s="86"/>
      <c r="X1404" s="194"/>
      <c r="Y1404" s="83"/>
      <c r="Z1404" s="83"/>
      <c r="AA1404" s="78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84"/>
      <c r="AN1404" s="47"/>
      <c r="AO1404" s="78"/>
      <c r="AP1404" s="78"/>
      <c r="AQ1404" s="78"/>
      <c r="AR1404" s="84"/>
      <c r="AS1404" s="78"/>
      <c r="AT1404" s="85"/>
      <c r="AU1404" s="78"/>
      <c r="AV1404" s="83"/>
      <c r="AW1404" s="83"/>
      <c r="AX1404" s="78"/>
      <c r="AY1404" s="78"/>
      <c r="AZ1404" s="78"/>
      <c r="BA1404" s="78"/>
      <c r="BB1404" s="78"/>
      <c r="BC1404" s="78"/>
      <c r="BD1404" s="79"/>
      <c r="BE1404" s="79"/>
    </row>
    <row r="1405" spans="1:57" s="1" customFormat="1" ht="21.6" customHeight="1" thickBot="1" x14ac:dyDescent="0.45">
      <c r="A1405" s="37" t="s">
        <v>191</v>
      </c>
      <c r="B1405" s="59"/>
      <c r="C1405" s="51"/>
      <c r="D1405" s="51"/>
      <c r="E1405" s="51"/>
      <c r="F1405" s="158" t="s">
        <v>220</v>
      </c>
      <c r="G1405" s="51"/>
      <c r="H1405" s="51"/>
      <c r="I1405" s="156"/>
      <c r="J1405" s="156"/>
      <c r="K1405" s="156"/>
      <c r="L1405" s="156"/>
      <c r="M1405" s="156"/>
      <c r="N1405" s="156"/>
      <c r="O1405" s="91"/>
      <c r="P1405" s="52"/>
      <c r="Q1405" s="52"/>
      <c r="R1405" s="52"/>
      <c r="S1405" s="52"/>
      <c r="T1405" s="52"/>
      <c r="U1405" s="157"/>
      <c r="V1405" s="157"/>
      <c r="W1405" s="94"/>
      <c r="X1405" s="94"/>
      <c r="Y1405" s="51"/>
      <c r="Z1405" s="51"/>
      <c r="AA1405" s="157">
        <f>AA1388</f>
        <v>1</v>
      </c>
      <c r="AB1405" s="157">
        <f t="shared" ref="AB1405:AF1405" si="553">AB1388</f>
        <v>2</v>
      </c>
      <c r="AC1405" s="157">
        <f t="shared" si="553"/>
        <v>3</v>
      </c>
      <c r="AD1405" s="157">
        <f t="shared" si="553"/>
        <v>4</v>
      </c>
      <c r="AE1405" s="157">
        <f t="shared" si="553"/>
        <v>5</v>
      </c>
      <c r="AF1405" s="157">
        <f t="shared" si="553"/>
        <v>6</v>
      </c>
      <c r="AG1405" s="162" t="s">
        <v>123</v>
      </c>
      <c r="AH1405" s="162" t="s">
        <v>124</v>
      </c>
      <c r="AI1405" s="162" t="s">
        <v>125</v>
      </c>
      <c r="AJ1405" s="91" t="s">
        <v>126</v>
      </c>
      <c r="AK1405" s="198" t="s">
        <v>136</v>
      </c>
      <c r="AL1405" s="198" t="s">
        <v>137</v>
      </c>
      <c r="AM1405" s="198" t="s">
        <v>138</v>
      </c>
      <c r="AN1405" s="91"/>
      <c r="AO1405" s="91"/>
      <c r="AP1405" s="91"/>
      <c r="AQ1405" s="91"/>
      <c r="AR1405" s="91"/>
      <c r="AS1405" s="91"/>
      <c r="AT1405" s="91"/>
      <c r="AU1405" s="91"/>
      <c r="AV1405" s="91"/>
      <c r="AW1405" s="91"/>
      <c r="AX1405" s="91"/>
      <c r="AY1405" s="91"/>
      <c r="AZ1405" s="91"/>
      <c r="BA1405" s="91"/>
      <c r="BB1405" s="91"/>
      <c r="BC1405" s="91"/>
      <c r="BD1405" s="91"/>
      <c r="BE1405" s="91"/>
    </row>
    <row r="1406" spans="1:57" s="1" customFormat="1" ht="21.6" customHeight="1" x14ac:dyDescent="0.4">
      <c r="A1406" s="37" t="str">
        <f>A1405</f>
        <v>23Н</v>
      </c>
      <c r="B1406" s="12">
        <f>B1387</f>
        <v>23</v>
      </c>
      <c r="C1406" s="97"/>
      <c r="D1406" s="97">
        <v>1</v>
      </c>
      <c r="E1406" s="29"/>
      <c r="F1406" s="151" t="str">
        <f>IFERROR(VLOOKUP($G1406,нормы!$A$14:$BC$57,2,0),"")</f>
        <v/>
      </c>
      <c r="G1406" s="93"/>
      <c r="H1406" s="54">
        <f>IF(C1406=1,"Кульков С.А.", IF(C1406=2,"Чудаков А.А.",IF(C1406=3,"Королев В.Н.",IF(C1406=4,"Николашин М.П.",IF(C1406=5," Кульков С.А.",IF(C1406=6,"А.А. Чудаков",IF(C1406=7,"В.Н. Королев",IF(C1406=8,"М.П. Николашин",0))))))))</f>
        <v>0</v>
      </c>
      <c r="I1406" s="88" t="s">
        <v>84</v>
      </c>
      <c r="J1406" s="332"/>
      <c r="K1406" s="30">
        <f>IFERROR(VLOOKUP($G1406,[1]нормы!$A$21:$BC$151,15,0),"")</f>
        <v>0</v>
      </c>
      <c r="L1406" s="31">
        <f>IFERROR(VLOOKUP($G1406,[1]нормы!$A$21:$BC$151,17,0),"")</f>
        <v>0</v>
      </c>
      <c r="M1406" s="310">
        <f>IFERROR(VLOOKUP($G1406,[1]нормы!$A$21:$BC$151,27,0),"")</f>
        <v>0</v>
      </c>
      <c r="N1406" s="311" t="str">
        <f>IFERROR(Y1406/Y1412*(1.1*J1406*I1411),"")</f>
        <v/>
      </c>
      <c r="O1406" s="300">
        <f>IFERROR(VLOOKUP($G1406,[1]нормы!$A$21:$BC$151,21,0),"")</f>
        <v>0</v>
      </c>
      <c r="P1406" s="35">
        <f>IFERROR(VLOOKUP($G1406,[1]нормы!$A$21:$BC$151,19,0),"")</f>
        <v>0</v>
      </c>
      <c r="Q1406" s="35">
        <f>IFERROR(VLOOKUP($G1406,[1]нормы!$A$21:$BC$151,23,0),"")</f>
        <v>0</v>
      </c>
      <c r="R1406" s="231">
        <f>IFERROR(VLOOKUP($G1406,[1]нормы!$A$21:$BC$151,29,0),"")</f>
        <v>0</v>
      </c>
      <c r="S1406" s="35">
        <f>IFERROR(VLOOKUP($G1406,[1]нормы!$A$21:$BC$151,31,0),"")</f>
        <v>0</v>
      </c>
      <c r="T1406" s="32">
        <f>IFERROR(VLOOKUP($G1406,[1]нормы!$A$21:$BC$151,25,0),"")</f>
        <v>0</v>
      </c>
      <c r="U1406" s="232" t="str">
        <f>IFERROR(W1406/(((100*Y1406/Y1412)*I1411)/100),"")</f>
        <v/>
      </c>
      <c r="V1406" s="234" t="str">
        <f>IFERROR(VLOOKUP($G1406,нормы!$A$14:$BC$57,38,0),"")</f>
        <v/>
      </c>
      <c r="W1406" s="136"/>
      <c r="X1406" s="236"/>
      <c r="Y1406" s="152" t="str">
        <f>IFERROR(VLOOKUP($G1406,нормы!$A$14:$BC$57,42,0)*W1406,"")</f>
        <v/>
      </c>
      <c r="Z1406" s="163">
        <f>IFERROR(VLOOKUP($G1406,нормы!$A$14:$BC$57,14,0)*W1406/1000,0)</f>
        <v>0</v>
      </c>
      <c r="AA1406" s="33"/>
      <c r="AB1406" s="36"/>
      <c r="AC1406" s="36"/>
      <c r="AD1406" s="36"/>
      <c r="AE1406" s="34"/>
      <c r="AF1406" s="159"/>
      <c r="AG1406" s="390"/>
      <c r="AH1406" s="393"/>
      <c r="AI1406" s="396"/>
      <c r="AJ1406" s="407">
        <f>AG1406+AH1406</f>
        <v>0</v>
      </c>
      <c r="AK1406" s="359"/>
      <c r="AL1406" s="359"/>
      <c r="AM1406" s="359"/>
      <c r="AN1406" s="287">
        <f>IFERROR(Y1406*AJ1406/Y1412,)</f>
        <v>0</v>
      </c>
      <c r="AO1406" s="197" t="str">
        <f>IFERROR(VLOOKUP($G1406,нормы!$A$14:$BC$57,53,0)*$W1406,"")</f>
        <v/>
      </c>
      <c r="AP1406" s="288">
        <f>IFERROR(Y1406*AI1406/Y1412,)</f>
        <v>0</v>
      </c>
      <c r="AQ1406" s="197" t="str">
        <f>IFERROR(VLOOKUP($G1406,нормы!$A$14:$BC$57,54,0)*$W1406,"")</f>
        <v/>
      </c>
      <c r="AR1406" s="288">
        <f>IFERROR(AS1406/SUM(AS1406:AS1411)*AL1406,0)</f>
        <v>0</v>
      </c>
      <c r="AS1406" s="197" t="str">
        <f>IFERROR(VLOOKUP($G1406,нормы!$A$14:$BC$57,55,0)*W1406,"")</f>
        <v/>
      </c>
      <c r="AT1406" s="288">
        <f>IFERROR(AU1406/SUM(AU1406:AU1411)*AM1406,0)</f>
        <v>0</v>
      </c>
      <c r="AU1406" s="197" t="str">
        <f>IFERROR(VLOOKUP($G1406,нормы!$A$14:$BI$57,56,0)*W1406,"")</f>
        <v/>
      </c>
      <c r="AV1406" s="288">
        <f>IFERROR(AW1406/SUM(AW1406:AW1411)*AK1406,0)</f>
        <v>0</v>
      </c>
      <c r="AW1406" s="202" t="str">
        <f>IFERROR(VLOOKUP($G1406,нормы!$A$14:$BI$57,57,0)*W1406,"")</f>
        <v/>
      </c>
      <c r="AX1406" s="33"/>
      <c r="AY1406" s="203" t="str">
        <f>IFERROR(VLOOKUP($G1406,нормы!$A$14:$BI$57,58,0)*W1406,"")</f>
        <v/>
      </c>
      <c r="AZ1406" s="204"/>
      <c r="BA1406" s="200" t="str">
        <f>IFERROR(VLOOKUP($G1406,нормы!$A$14:$BI$57,61,0)*$W1406,"")</f>
        <v/>
      </c>
      <c r="BB1406" s="33"/>
      <c r="BC1406" s="203" t="str">
        <f>IFERROR(VLOOKUP($G1406,нормы!$A$14:$BI$57,60,0)*W1406,"")</f>
        <v/>
      </c>
      <c r="BD1406" s="200" t="str">
        <f>IFERROR(VLOOKUP($G1406,нормы!$A$14:$BG$57,44,0),"")</f>
        <v/>
      </c>
      <c r="BE1406" s="199" t="str">
        <f>IFERROR(W1406/VLOOKUP($G1406,нормы!$A$14:$BI$57,45,0),"")</f>
        <v/>
      </c>
    </row>
    <row r="1407" spans="1:57" s="1" customFormat="1" ht="21.6" customHeight="1" x14ac:dyDescent="0.4">
      <c r="A1407" s="37" t="str">
        <f t="shared" ref="A1407:A1435" si="554">A1406</f>
        <v>23Н</v>
      </c>
      <c r="B1407" s="12">
        <f t="shared" ref="B1407:D1411" si="555">B1406</f>
        <v>23</v>
      </c>
      <c r="C1407" s="97">
        <f t="shared" si="555"/>
        <v>0</v>
      </c>
      <c r="D1407" s="97">
        <f t="shared" si="555"/>
        <v>1</v>
      </c>
      <c r="E1407" s="54"/>
      <c r="F1407" s="151" t="str">
        <f>IFERROR(VLOOKUP($G1407,нормы!$A$14:$BC$57,2,0),"")</f>
        <v/>
      </c>
      <c r="G1407" s="93"/>
      <c r="H1407" s="54">
        <f t="shared" ref="H1407:H1411" si="556">IF(C1407=1,"Кульков С.А.", IF(C1407=2,"Чудаков А.А.",IF(C1407=3,"Королев В.Н.",IF(C1407=4,"Николашин М.П.",IF(C1407=5," Кульков С.А.",IF(C1407=6,"А.А. Чудаков",IF(C1407=7,"В.Н. Королев",IF(C1407=8,"М.П. Николашин",0))))))))</f>
        <v>0</v>
      </c>
      <c r="I1407" s="55"/>
      <c r="J1407" s="333"/>
      <c r="K1407" s="30">
        <f>IFERROR(VLOOKUP($G1407,[1]нормы!$A$21:$BC$151,15,0),"")</f>
        <v>0</v>
      </c>
      <c r="L1407" s="31">
        <f>IFERROR(VLOOKUP($G1407,[1]нормы!$A$21:$BC$151,17,0),"")</f>
        <v>0</v>
      </c>
      <c r="M1407" s="306">
        <f>IFERROR(VLOOKUP($G1407,[1]нормы!$A$21:$BC$151,27,0),"")</f>
        <v>0</v>
      </c>
      <c r="N1407" s="307" t="str">
        <f>IFERROR(Y1407/Y1412*(1.1*J1406*I1411),"")</f>
        <v/>
      </c>
      <c r="O1407" s="300">
        <f>IFERROR(VLOOKUP($G1407,[1]нормы!$A$21:$BC$151,21,0),"")</f>
        <v>0</v>
      </c>
      <c r="P1407" s="35">
        <f>IFERROR(VLOOKUP($G1407,[1]нормы!$A$21:$BC$151,19,0),"")</f>
        <v>0</v>
      </c>
      <c r="Q1407" s="35">
        <f>IFERROR(VLOOKUP($G1407,[1]нормы!$A$21:$BC$151,23,0),"")</f>
        <v>0</v>
      </c>
      <c r="R1407" s="231">
        <f>IFERROR(VLOOKUP($G1407,[1]нормы!$A$21:$BC$151,29,0),"")</f>
        <v>0</v>
      </c>
      <c r="S1407" s="35">
        <f>IFERROR(VLOOKUP($G1407,[1]нормы!$A$21:$BC$151,31,0),"")</f>
        <v>0</v>
      </c>
      <c r="T1407" s="32">
        <f>IFERROR(VLOOKUP($G1407,[1]нормы!$A$21:$BC$151,25,0),"")</f>
        <v>0</v>
      </c>
      <c r="U1407" s="233" t="str">
        <f>IFERROR(W1407/(((100*Y1407/Y1412)*I1411)/100),"")</f>
        <v/>
      </c>
      <c r="V1407" s="234" t="str">
        <f>IFERROR(VLOOKUP($G1407,нормы!$A$14:$BC$57,38,0),"")</f>
        <v/>
      </c>
      <c r="W1407" s="136"/>
      <c r="X1407" s="237"/>
      <c r="Y1407" s="152" t="str">
        <f>IFERROR(VLOOKUP($G1407,нормы!$A$14:$BC$57,42,0)*W1407,"")</f>
        <v/>
      </c>
      <c r="Z1407" s="163">
        <f>IFERROR(VLOOKUP($G1407,нормы!$A$14:$BC$57,14,0)*W1407/1000,0)</f>
        <v>0</v>
      </c>
      <c r="AA1407" s="142"/>
      <c r="AB1407" s="35"/>
      <c r="AC1407" s="35"/>
      <c r="AD1407" s="35"/>
      <c r="AE1407" s="31"/>
      <c r="AF1407" s="160"/>
      <c r="AG1407" s="391"/>
      <c r="AH1407" s="394"/>
      <c r="AI1407" s="397"/>
      <c r="AJ1407" s="408"/>
      <c r="AK1407" s="360"/>
      <c r="AL1407" s="360"/>
      <c r="AM1407" s="360"/>
      <c r="AN1407" s="289">
        <f>IFERROR(Y1407*AJ1406/Y1412,)</f>
        <v>0</v>
      </c>
      <c r="AO1407" s="197" t="str">
        <f>IFERROR(VLOOKUP($G1407,нормы!$A$14:$BC$57,53,0)*$W1407,"")</f>
        <v/>
      </c>
      <c r="AP1407" s="290">
        <f>IFERROR(Y1407*AI1406/Y1412,)</f>
        <v>0</v>
      </c>
      <c r="AQ1407" s="197" t="str">
        <f>IFERROR(VLOOKUP($G1407,нормы!$A$14:$BC$57,54,0)*$W1407,"")</f>
        <v/>
      </c>
      <c r="AR1407" s="290">
        <f>IFERROR(AS1407/SUM(AS1406:AS1411)*AL1406,0)</f>
        <v>0</v>
      </c>
      <c r="AS1407" s="197" t="str">
        <f>IFERROR(VLOOKUP($G1407,нормы!$A$14:$BC$57,55,0)*W1407,"")</f>
        <v/>
      </c>
      <c r="AT1407" s="290">
        <f>IFERROR(AU1407/SUM(AU1406:AU1411)*AM1406,0)</f>
        <v>0</v>
      </c>
      <c r="AU1407" s="197" t="str">
        <f>IFERROR(VLOOKUP($G1407,нормы!$A$14:$BI$57,56,0)*W1407,"")</f>
        <v/>
      </c>
      <c r="AV1407" s="290">
        <f>IFERROR(AW1407/SUM(AW1406:AW1411)*AK1406,0)</f>
        <v>0</v>
      </c>
      <c r="AW1407" s="202" t="str">
        <f>IFERROR(VLOOKUP($G1407,нормы!$A$14:$BI$57,57,0)*W1407,"")</f>
        <v/>
      </c>
      <c r="AX1407" s="30"/>
      <c r="AY1407" s="203" t="str">
        <f>IFERROR(VLOOKUP($G1407,нормы!$A$14:$BI$57,58,0)*W1407,"")</f>
        <v/>
      </c>
      <c r="AZ1407" s="205"/>
      <c r="BA1407" s="200" t="str">
        <f>IFERROR(VLOOKUP($G1407,нормы!$A$14:$BI$57,61,0)*$W1407,"")</f>
        <v/>
      </c>
      <c r="BB1407" s="30"/>
      <c r="BC1407" s="203" t="str">
        <f>IFERROR(VLOOKUP($G1407,нормы!$A$14:$BI$57,60,0)*W1407,"")</f>
        <v/>
      </c>
      <c r="BD1407" s="200" t="str">
        <f>IFERROR(VLOOKUP($G1407,нормы!$A$14:$BG$57,44,0),"")</f>
        <v/>
      </c>
      <c r="BE1407" s="199" t="str">
        <f>IFERROR(W1407/VLOOKUP($G1407,нормы!$A$14:$BI$57,45,0),"")</f>
        <v/>
      </c>
    </row>
    <row r="1408" spans="1:57" s="1" customFormat="1" ht="20.25" customHeight="1" x14ac:dyDescent="0.4">
      <c r="A1408" s="37" t="str">
        <f t="shared" si="554"/>
        <v>23Н</v>
      </c>
      <c r="B1408" s="12">
        <f t="shared" si="555"/>
        <v>23</v>
      </c>
      <c r="C1408" s="97">
        <f t="shared" si="555"/>
        <v>0</v>
      </c>
      <c r="D1408" s="97">
        <f t="shared" si="555"/>
        <v>1</v>
      </c>
      <c r="E1408" s="54"/>
      <c r="F1408" s="151" t="str">
        <f>IFERROR(VLOOKUP($G1408,нормы!$A$14:$BC$57,2,0),"")</f>
        <v/>
      </c>
      <c r="G1408" s="38"/>
      <c r="H1408" s="54">
        <f t="shared" si="556"/>
        <v>0</v>
      </c>
      <c r="I1408" s="89" t="s">
        <v>85</v>
      </c>
      <c r="J1408" s="333"/>
      <c r="K1408" s="30">
        <f>IFERROR(VLOOKUP($G1408,[1]нормы!$A$21:$BC$151,15,0),"")</f>
        <v>0</v>
      </c>
      <c r="L1408" s="31">
        <f>IFERROR(VLOOKUP($G1408,[1]нормы!$A$21:$BC$151,17,0),"")</f>
        <v>0</v>
      </c>
      <c r="M1408" s="306">
        <f>IFERROR(VLOOKUP($G1408,[1]нормы!$A$21:$BC$151,27,0),"")</f>
        <v>0</v>
      </c>
      <c r="N1408" s="307" t="str">
        <f>IFERROR(Y1408/Y1412*(1.1*J1406*I1411),"")</f>
        <v/>
      </c>
      <c r="O1408" s="300">
        <f>IFERROR(VLOOKUP($G1408,[1]нормы!$A$21:$BC$151,21,0),"")</f>
        <v>0</v>
      </c>
      <c r="P1408" s="35">
        <f>IFERROR(VLOOKUP($G1408,[1]нормы!$A$21:$BC$151,19,0),"")</f>
        <v>0</v>
      </c>
      <c r="Q1408" s="35">
        <f>IFERROR(VLOOKUP($G1408,[1]нормы!$A$21:$BC$151,23,0),"")</f>
        <v>0</v>
      </c>
      <c r="R1408" s="231">
        <f>IFERROR(VLOOKUP($G1408,[1]нормы!$A$21:$BC$151,29,0),"")</f>
        <v>0</v>
      </c>
      <c r="S1408" s="35">
        <f>IFERROR(VLOOKUP($G1408,[1]нормы!$A$21:$BC$151,31,0),"")</f>
        <v>0</v>
      </c>
      <c r="T1408" s="32">
        <f>IFERROR(VLOOKUP($G1408,[1]нормы!$A$21:$BC$151,25,0),"")</f>
        <v>0</v>
      </c>
      <c r="U1408" s="233" t="str">
        <f>IFERROR(W1408/(((100*Y1408/Y1412)*I1411)/100),"")</f>
        <v/>
      </c>
      <c r="V1408" s="234" t="str">
        <f>IFERROR(VLOOKUP($G1408,нормы!$A$14:$BC$57,38,0),"")</f>
        <v/>
      </c>
      <c r="W1408" s="136"/>
      <c r="X1408" s="237"/>
      <c r="Y1408" s="152" t="str">
        <f>IFERROR(VLOOKUP($G1408,нормы!$A$14:$BC$57,42,0)*W1408,"")</f>
        <v/>
      </c>
      <c r="Z1408" s="163">
        <f>IFERROR(VLOOKUP($G1408,нормы!$A$14:$BC$57,14,0)*W1408/1000,0)</f>
        <v>0</v>
      </c>
      <c r="AA1408" s="30"/>
      <c r="AB1408" s="35"/>
      <c r="AC1408" s="35"/>
      <c r="AD1408" s="35"/>
      <c r="AE1408" s="31"/>
      <c r="AF1408" s="160"/>
      <c r="AG1408" s="391"/>
      <c r="AH1408" s="394"/>
      <c r="AI1408" s="397"/>
      <c r="AJ1408" s="408"/>
      <c r="AK1408" s="360"/>
      <c r="AL1408" s="360"/>
      <c r="AM1408" s="360"/>
      <c r="AN1408" s="289">
        <f>IFERROR(Y1408*AJ1406/Y1412,)</f>
        <v>0</v>
      </c>
      <c r="AO1408" s="197" t="str">
        <f>IFERROR(VLOOKUP($G1408,нормы!$A$14:$BC$57,53,0)*$W1408,"")</f>
        <v/>
      </c>
      <c r="AP1408" s="290">
        <f>IFERROR(Y1408*AI1406/Y1412,)</f>
        <v>0</v>
      </c>
      <c r="AQ1408" s="197" t="str">
        <f>IFERROR(VLOOKUP($G1408,нормы!$A$14:$BC$57,54,0)*$W1408,"")</f>
        <v/>
      </c>
      <c r="AR1408" s="290">
        <f>IFERROR(AS1408/SUM(AS1406:AS1411)*AL1406,0)</f>
        <v>0</v>
      </c>
      <c r="AS1408" s="197" t="str">
        <f>IFERROR(VLOOKUP($G1408,нормы!$A$14:$BC$57,55,0)*W1408,"")</f>
        <v/>
      </c>
      <c r="AT1408" s="290">
        <f>IFERROR(AU1408/SUM(AU1406:AU1411)*AM1406,0)</f>
        <v>0</v>
      </c>
      <c r="AU1408" s="197" t="str">
        <f>IFERROR(VLOOKUP($G1408,нормы!$A$14:$BI$57,56,0)*W1408,"")</f>
        <v/>
      </c>
      <c r="AV1408" s="290">
        <f>IFERROR(AW1408/SUM(AW1406:AW1411)*AK1406,0)</f>
        <v>0</v>
      </c>
      <c r="AW1408" s="202" t="str">
        <f>IFERROR(VLOOKUP($G1408,нормы!$A$14:$BI$57,57,0)*W1408,"")</f>
        <v/>
      </c>
      <c r="AX1408" s="30"/>
      <c r="AY1408" s="203" t="str">
        <f>IFERROR(VLOOKUP($G1408,нормы!$A$14:$BI$57,58,0)*W1408,"")</f>
        <v/>
      </c>
      <c r="AZ1408" s="205"/>
      <c r="BA1408" s="200" t="str">
        <f>IFERROR(VLOOKUP($G1408,нормы!$A$14:$BI$57,61,0)*$W1408,"")</f>
        <v/>
      </c>
      <c r="BB1408" s="30"/>
      <c r="BC1408" s="203" t="str">
        <f>IFERROR(VLOOKUP($G1408,нормы!$A$14:$BI$57,60,0)*W1408,"")</f>
        <v/>
      </c>
      <c r="BD1408" s="200" t="str">
        <f>IFERROR(VLOOKUP($G1408,нормы!$A$14:$BG$57,44,0),"")</f>
        <v/>
      </c>
      <c r="BE1408" s="199" t="str">
        <f>IFERROR(W1408/VLOOKUP($G1408,нормы!$A$14:$BI$57,45,0),"")</f>
        <v/>
      </c>
    </row>
    <row r="1409" spans="1:57" s="1" customFormat="1" ht="20.25" customHeight="1" x14ac:dyDescent="0.4">
      <c r="A1409" s="37" t="str">
        <f t="shared" si="554"/>
        <v>23Н</v>
      </c>
      <c r="B1409" s="12">
        <f t="shared" si="555"/>
        <v>23</v>
      </c>
      <c r="C1409" s="97">
        <f t="shared" si="555"/>
        <v>0</v>
      </c>
      <c r="D1409" s="97">
        <f t="shared" si="555"/>
        <v>1</v>
      </c>
      <c r="E1409" s="54"/>
      <c r="F1409" s="151" t="str">
        <f>IFERROR(VLOOKUP($G1409,нормы!$A$14:$BC$57,2,0),"")</f>
        <v/>
      </c>
      <c r="G1409" s="93"/>
      <c r="H1409" s="54">
        <f t="shared" si="556"/>
        <v>0</v>
      </c>
      <c r="I1409" s="55"/>
      <c r="J1409" s="333"/>
      <c r="K1409" s="30">
        <f>IFERROR(VLOOKUP($G1409,[1]нормы!$A$21:$BC$151,15,0),"")</f>
        <v>0</v>
      </c>
      <c r="L1409" s="31">
        <f>IFERROR(VLOOKUP($G1409,[1]нормы!$A$21:$BC$151,17,0),"")</f>
        <v>0</v>
      </c>
      <c r="M1409" s="306">
        <f>IFERROR(VLOOKUP($G1409,[1]нормы!$A$21:$BC$151,27,0),"")</f>
        <v>0</v>
      </c>
      <c r="N1409" s="307" t="str">
        <f>IFERROR(Y1409/Y1412*(1.1*J1406*I1414),"")</f>
        <v/>
      </c>
      <c r="O1409" s="300">
        <f>IFERROR(VLOOKUP($G1409,[1]нормы!$A$21:$BC$151,21,0),"")</f>
        <v>0</v>
      </c>
      <c r="P1409" s="35">
        <f>IFERROR(VLOOKUP($G1409,[1]нормы!$A$21:$BC$151,19,0),"")</f>
        <v>0</v>
      </c>
      <c r="Q1409" s="35">
        <f>IFERROR(VLOOKUP($G1409,[1]нормы!$A$21:$BC$151,23,0),"")</f>
        <v>0</v>
      </c>
      <c r="R1409" s="231">
        <f>IFERROR(VLOOKUP($G1409,[1]нормы!$A$21:$BC$151,29,0),"")</f>
        <v>0</v>
      </c>
      <c r="S1409" s="35">
        <f>IFERROR(VLOOKUP($G1409,[1]нормы!$A$21:$BC$151,31,0),"")</f>
        <v>0</v>
      </c>
      <c r="T1409" s="32">
        <f>IFERROR(VLOOKUP($G1409,[1]нормы!$A$21:$BC$151,25,0),"")</f>
        <v>0</v>
      </c>
      <c r="U1409" s="233" t="str">
        <f>IFERROR(W1409/(((100*Y1409/Y1412)*I1411)/100),"")</f>
        <v/>
      </c>
      <c r="V1409" s="234" t="str">
        <f>IFERROR(VLOOKUP($G1409,нормы!$A$14:$BC$57,38,0),"")</f>
        <v/>
      </c>
      <c r="W1409" s="136"/>
      <c r="X1409" s="237"/>
      <c r="Y1409" s="152" t="str">
        <f>IFERROR(VLOOKUP($G1409,нормы!$A$14:$BC$57,42,0)*W1409,"")</f>
        <v/>
      </c>
      <c r="Z1409" s="163">
        <f>IFERROR(VLOOKUP($G1409,нормы!$A$14:$BC$57,14,0)*W1409/1000,0)</f>
        <v>0</v>
      </c>
      <c r="AA1409" s="30"/>
      <c r="AB1409" s="35"/>
      <c r="AC1409" s="35"/>
      <c r="AD1409" s="35"/>
      <c r="AE1409" s="31"/>
      <c r="AF1409" s="160"/>
      <c r="AG1409" s="391"/>
      <c r="AH1409" s="394"/>
      <c r="AI1409" s="397"/>
      <c r="AJ1409" s="408"/>
      <c r="AK1409" s="360"/>
      <c r="AL1409" s="360"/>
      <c r="AM1409" s="360"/>
      <c r="AN1409" s="289">
        <f>IFERROR(Y1409*AJ1406/Y1412,)</f>
        <v>0</v>
      </c>
      <c r="AO1409" s="197" t="str">
        <f>IFERROR(VLOOKUP($G1409,нормы!$A$14:$BC$57,53,0)*$W1409,"")</f>
        <v/>
      </c>
      <c r="AP1409" s="290">
        <f>IFERROR(Y1409*AI1406/Y1412,)</f>
        <v>0</v>
      </c>
      <c r="AQ1409" s="197" t="str">
        <f>IFERROR(VLOOKUP($G1409,нормы!$A$14:$BC$57,54,0)*$W1409,"")</f>
        <v/>
      </c>
      <c r="AR1409" s="290">
        <f>IFERROR(AS1409/SUM(AS1406:AS1411)*AL1406,0)</f>
        <v>0</v>
      </c>
      <c r="AS1409" s="197" t="str">
        <f>IFERROR(VLOOKUP($G1409,нормы!$A$14:$BC$57,55,0)*W1409,"")</f>
        <v/>
      </c>
      <c r="AT1409" s="290">
        <f>IFERROR(AU1409/SUM(AU1406:AU1411)*AM1406,0)</f>
        <v>0</v>
      </c>
      <c r="AU1409" s="197" t="str">
        <f>IFERROR(VLOOKUP($G1409,нормы!$A$14:$BI$57,56,0)*W1409,"")</f>
        <v/>
      </c>
      <c r="AV1409" s="290">
        <f>IFERROR(AW1409/SUM(AW1406:AW1411)*AK1406,0)</f>
        <v>0</v>
      </c>
      <c r="AW1409" s="202" t="str">
        <f>IFERROR(VLOOKUP($G1409,нормы!$A$14:$BI$57,57,0)*W1409,"")</f>
        <v/>
      </c>
      <c r="AX1409" s="30"/>
      <c r="AY1409" s="203" t="str">
        <f>IFERROR(VLOOKUP($G1409,нормы!$A$14:$BI$57,58,0)*W1409,"")</f>
        <v/>
      </c>
      <c r="AZ1409" s="205"/>
      <c r="BA1409" s="200" t="str">
        <f>IFERROR(VLOOKUP($G1409,нормы!$A$14:$BI$57,61,0)*$W1409,"")</f>
        <v/>
      </c>
      <c r="BB1409" s="30"/>
      <c r="BC1409" s="203" t="str">
        <f>IFERROR(VLOOKUP($G1409,нормы!$A$14:$BI$57,60,0)*W1409,"")</f>
        <v/>
      </c>
      <c r="BD1409" s="200" t="str">
        <f>IFERROR(VLOOKUP($G1409,нормы!$A$14:$BG$57,44,0),"")</f>
        <v/>
      </c>
      <c r="BE1409" s="199" t="str">
        <f>IFERROR(W1409/VLOOKUP($G1409,нормы!$A$14:$BI$57,45,0),"")</f>
        <v/>
      </c>
    </row>
    <row r="1410" spans="1:57" s="1" customFormat="1" ht="20.25" customHeight="1" x14ac:dyDescent="0.4">
      <c r="A1410" s="37" t="str">
        <f t="shared" si="554"/>
        <v>23Н</v>
      </c>
      <c r="B1410" s="12">
        <f t="shared" si="555"/>
        <v>23</v>
      </c>
      <c r="C1410" s="97">
        <f t="shared" si="555"/>
        <v>0</v>
      </c>
      <c r="D1410" s="97">
        <f t="shared" si="555"/>
        <v>1</v>
      </c>
      <c r="E1410" s="54"/>
      <c r="F1410" s="151" t="str">
        <f>IFERROR(VLOOKUP($G1410,нормы!$A$14:$BC$57,2,0),"")</f>
        <v/>
      </c>
      <c r="G1410" s="38"/>
      <c r="H1410" s="54">
        <f t="shared" si="556"/>
        <v>0</v>
      </c>
      <c r="I1410" s="89" t="s">
        <v>73</v>
      </c>
      <c r="J1410" s="333"/>
      <c r="K1410" s="30">
        <f>IFERROR(VLOOKUP($G1410,[1]нормы!$A$21:$BC$151,15,0),"")</f>
        <v>0</v>
      </c>
      <c r="L1410" s="31">
        <f>IFERROR(VLOOKUP($G1410,[1]нормы!$A$21:$BC$151,17,0),"")</f>
        <v>0</v>
      </c>
      <c r="M1410" s="306">
        <f>IFERROR(VLOOKUP($G1410,[1]нормы!$A$21:$BC$151,27,0),"")</f>
        <v>0</v>
      </c>
      <c r="N1410" s="307" t="str">
        <f>IFERROR(Y1410/Y1412*(1.1*J1406*I1415),"")</f>
        <v/>
      </c>
      <c r="O1410" s="300">
        <f>IFERROR(VLOOKUP($G1410,[1]нормы!$A$21:$BC$151,21,0),"")</f>
        <v>0</v>
      </c>
      <c r="P1410" s="35">
        <f>IFERROR(VLOOKUP($G1410,[1]нормы!$A$21:$BC$151,19,0),"")</f>
        <v>0</v>
      </c>
      <c r="Q1410" s="35">
        <f>IFERROR(VLOOKUP($G1410,[1]нормы!$A$21:$BC$151,23,0),"")</f>
        <v>0</v>
      </c>
      <c r="R1410" s="231">
        <f>IFERROR(VLOOKUP($G1410,[1]нормы!$A$21:$BC$151,29,0),"")</f>
        <v>0</v>
      </c>
      <c r="S1410" s="35">
        <f>IFERROR(VLOOKUP($G1410,[1]нормы!$A$21:$BC$151,31,0),"")</f>
        <v>0</v>
      </c>
      <c r="T1410" s="32">
        <f>IFERROR(VLOOKUP($G1410,[1]нормы!$A$21:$BC$151,25,0),"")</f>
        <v>0</v>
      </c>
      <c r="U1410" s="233" t="str">
        <f>IFERROR(W1410/(((100*Y1410/Y1412)*I1411)/100),"")</f>
        <v/>
      </c>
      <c r="V1410" s="234" t="str">
        <f>IFERROR(VLOOKUP($G1410,нормы!$A$14:$BC$57,38,0),"")</f>
        <v/>
      </c>
      <c r="W1410" s="136"/>
      <c r="X1410" s="237"/>
      <c r="Y1410" s="152" t="str">
        <f>IFERROR(VLOOKUP($G1410,нормы!$A$14:$BC$57,42,0)*W1410,"")</f>
        <v/>
      </c>
      <c r="Z1410" s="163">
        <f>IFERROR(VLOOKUP($G1410,нормы!$A$14:$BC$57,14,0)*W1410/1000,0)</f>
        <v>0</v>
      </c>
      <c r="AA1410" s="30"/>
      <c r="AB1410" s="35"/>
      <c r="AC1410" s="35"/>
      <c r="AD1410" s="35"/>
      <c r="AE1410" s="31"/>
      <c r="AF1410" s="160"/>
      <c r="AG1410" s="391"/>
      <c r="AH1410" s="394"/>
      <c r="AI1410" s="397"/>
      <c r="AJ1410" s="408"/>
      <c r="AK1410" s="360"/>
      <c r="AL1410" s="360"/>
      <c r="AM1410" s="360"/>
      <c r="AN1410" s="289">
        <f>IFERROR(Y1410*AJ1406/Y1412,)</f>
        <v>0</v>
      </c>
      <c r="AO1410" s="197" t="str">
        <f>IFERROR(VLOOKUP($G1410,нормы!$A$14:$BC$57,53,0)*$W1410,"")</f>
        <v/>
      </c>
      <c r="AP1410" s="290">
        <f>IFERROR(Y1410*AI1406/Y1412,)</f>
        <v>0</v>
      </c>
      <c r="AQ1410" s="197" t="str">
        <f>IFERROR(VLOOKUP($G1410,нормы!$A$14:$BC$57,54,0)*$W1410,"")</f>
        <v/>
      </c>
      <c r="AR1410" s="290">
        <f>IFERROR(AS1410/SUM(AS1406:AS1411)*AL1406,0)</f>
        <v>0</v>
      </c>
      <c r="AS1410" s="197" t="str">
        <f>IFERROR(VLOOKUP($G1410,нормы!$A$14:$BC$57,55,0)*W1410,"")</f>
        <v/>
      </c>
      <c r="AT1410" s="290">
        <f>IFERROR(AU1410/SUM(AU1406:AU1411)*AM1406,0)</f>
        <v>0</v>
      </c>
      <c r="AU1410" s="197" t="str">
        <f>IFERROR(VLOOKUP($G1410,нормы!$A$14:$BI$57,56,0)*W1410,"")</f>
        <v/>
      </c>
      <c r="AV1410" s="290">
        <f>IFERROR(AW1410/SUM(AW1406:AW1411)*AK1406,0)</f>
        <v>0</v>
      </c>
      <c r="AW1410" s="202" t="str">
        <f>IFERROR(VLOOKUP($G1410,нормы!$A$14:$BI$57,57,0)*W1410,"")</f>
        <v/>
      </c>
      <c r="AX1410" s="30"/>
      <c r="AY1410" s="203" t="str">
        <f>IFERROR(VLOOKUP($G1410,нормы!$A$14:$BI$57,58,0)*W1410,"")</f>
        <v/>
      </c>
      <c r="AZ1410" s="205"/>
      <c r="BA1410" s="200" t="str">
        <f>IFERROR(VLOOKUP($G1410,нормы!$A$14:$BI$57,61,0)*$W1410,"")</f>
        <v/>
      </c>
      <c r="BB1410" s="30"/>
      <c r="BC1410" s="203" t="str">
        <f>IFERROR(VLOOKUP($G1410,нормы!$A$14:$BI$57,60,0)*W1410,"")</f>
        <v/>
      </c>
      <c r="BD1410" s="200" t="str">
        <f>IFERROR(VLOOKUP($G1410,нормы!$A$14:$BG$57,44,0),"")</f>
        <v/>
      </c>
      <c r="BE1410" s="199" t="str">
        <f>IFERROR(W1410/VLOOKUP($G1410,нормы!$A$14:$BI$57,45,0),"")</f>
        <v/>
      </c>
    </row>
    <row r="1411" spans="1:57" s="1" customFormat="1" ht="21" customHeight="1" thickBot="1" x14ac:dyDescent="0.45">
      <c r="A1411" s="37" t="str">
        <f t="shared" si="554"/>
        <v>23Н</v>
      </c>
      <c r="B1411" s="12">
        <f t="shared" si="555"/>
        <v>23</v>
      </c>
      <c r="C1411" s="97">
        <f t="shared" si="555"/>
        <v>0</v>
      </c>
      <c r="D1411" s="97">
        <f t="shared" si="555"/>
        <v>1</v>
      </c>
      <c r="E1411" s="54"/>
      <c r="F1411" s="151" t="str">
        <f>IFERROR(VLOOKUP($G1411,нормы!$A$14:$BC$57,2,0),"")</f>
        <v/>
      </c>
      <c r="G1411" s="93"/>
      <c r="H1411" s="63">
        <f t="shared" si="556"/>
        <v>0</v>
      </c>
      <c r="I1411" s="153">
        <f>I1407+I1409</f>
        <v>0</v>
      </c>
      <c r="J1411" s="334"/>
      <c r="K1411" s="30">
        <f>IFERROR(VLOOKUP($G1411,[1]нормы!$A$21:$BC$151,15,0),"")</f>
        <v>0</v>
      </c>
      <c r="L1411" s="31">
        <f>IFERROR(VLOOKUP($G1411,[1]нормы!$A$21:$BC$151,17,0),"")</f>
        <v>0</v>
      </c>
      <c r="M1411" s="308">
        <f>IFERROR(VLOOKUP($G1411,[1]нормы!$A$21:$BC$151,27,0),"")</f>
        <v>0</v>
      </c>
      <c r="N1411" s="309" t="str">
        <f>IFERROR(Y1411/Y1412*(1.1*J1406*I1416),"")</f>
        <v/>
      </c>
      <c r="O1411" s="300">
        <f>IFERROR(VLOOKUP($G1411,[1]нормы!$A$21:$BC$151,21,0),"")</f>
        <v>0</v>
      </c>
      <c r="P1411" s="35">
        <f>IFERROR(VLOOKUP($G1411,[1]нормы!$A$21:$BC$151,19,0),"")</f>
        <v>0</v>
      </c>
      <c r="Q1411" s="35">
        <f>IFERROR(VLOOKUP($G1411,[1]нормы!$A$21:$BC$151,23,0),"")</f>
        <v>0</v>
      </c>
      <c r="R1411" s="231">
        <f>IFERROR(VLOOKUP($G1411,[1]нормы!$A$21:$BC$151,29,0),"")</f>
        <v>0</v>
      </c>
      <c r="S1411" s="35">
        <f>IFERROR(VLOOKUP($G1411,[1]нормы!$A$21:$BC$151,31,0),"")</f>
        <v>0</v>
      </c>
      <c r="T1411" s="32">
        <f>IFERROR(VLOOKUP($G1411,[1]нормы!$A$21:$BC$151,25,0),"")</f>
        <v>0</v>
      </c>
      <c r="U1411" s="235" t="str">
        <f>IFERROR(W1411/(((100*Y1411/Y1412)*I1411)/100),"")</f>
        <v/>
      </c>
      <c r="V1411" s="234" t="str">
        <f>IFERROR(VLOOKUP($G1411,нормы!$A$14:$BC$57,38,0),"")</f>
        <v/>
      </c>
      <c r="W1411" s="154"/>
      <c r="X1411" s="238"/>
      <c r="Y1411" s="152" t="str">
        <f>IFERROR(VLOOKUP($G1411,нормы!$A$14:$BC$57,42,0)*W1411,"")</f>
        <v/>
      </c>
      <c r="Z1411" s="163">
        <f>IFERROR(VLOOKUP($G1411,нормы!$A$14:$BC$57,14,0)*W1411/1000,0)</f>
        <v>0</v>
      </c>
      <c r="AA1411" s="56"/>
      <c r="AB1411" s="58"/>
      <c r="AC1411" s="58"/>
      <c r="AD1411" s="58"/>
      <c r="AE1411" s="57"/>
      <c r="AF1411" s="161"/>
      <c r="AG1411" s="392"/>
      <c r="AH1411" s="395"/>
      <c r="AI1411" s="398"/>
      <c r="AJ1411" s="409"/>
      <c r="AK1411" s="361"/>
      <c r="AL1411" s="361"/>
      <c r="AM1411" s="361"/>
      <c r="AN1411" s="291">
        <f>IFERROR(Y1411*AJ1406/Y1412,)</f>
        <v>0</v>
      </c>
      <c r="AO1411" s="197" t="str">
        <f>IFERROR(VLOOKUP($G1411,нормы!$A$14:$BC$57,53,0)*$W1411,"")</f>
        <v/>
      </c>
      <c r="AP1411" s="292">
        <f>IFERROR(Y1411*AI1406/Y1412,)</f>
        <v>0</v>
      </c>
      <c r="AQ1411" s="197" t="str">
        <f>IFERROR(VLOOKUP($G1411,нормы!$A$14:$BC$57,54,0)*$W1411,"")</f>
        <v/>
      </c>
      <c r="AR1411" s="290">
        <f>IFERROR(AS1411/SUM(AS1406:AS1411)*AL1406,0)</f>
        <v>0</v>
      </c>
      <c r="AS1411" s="197" t="str">
        <f>IFERROR(VLOOKUP($G1411,нормы!$A$14:$BC$57,55,0)*W1411,"")</f>
        <v/>
      </c>
      <c r="AT1411" s="292">
        <f>IFERROR(AU1411/SUM(AU1406:AU1411)*AM1406,0)</f>
        <v>0</v>
      </c>
      <c r="AU1411" s="197" t="str">
        <f>IFERROR(VLOOKUP($G1411,нормы!$A$14:$BI$57,56,0)*W1411,"")</f>
        <v/>
      </c>
      <c r="AV1411" s="292">
        <f>IFERROR(AW1411/SUM(AW1406:AW1411)*AK1406,0)</f>
        <v>0</v>
      </c>
      <c r="AW1411" s="202" t="str">
        <f>IFERROR(VLOOKUP($G1411,нормы!$A$14:$BI$57,57,0)*W1411,"")</f>
        <v/>
      </c>
      <c r="AX1411" s="56"/>
      <c r="AY1411" s="203" t="str">
        <f>IFERROR(VLOOKUP($G1411,нормы!$A$14:$BI$57,58,0)*W1411,"")</f>
        <v/>
      </c>
      <c r="AZ1411" s="206"/>
      <c r="BA1411" s="200" t="str">
        <f>IFERROR(VLOOKUP($G1411,нормы!$A$14:$BI$57,61,0)*$W1411,"")</f>
        <v/>
      </c>
      <c r="BB1411" s="56"/>
      <c r="BC1411" s="203" t="str">
        <f>IFERROR(VLOOKUP($G1411,нормы!$A$14:$BI$57,60,0)*W1411,"")</f>
        <v/>
      </c>
      <c r="BD1411" s="200" t="str">
        <f>IFERROR(VLOOKUP($G1411,нормы!$A$14:$BG$57,44,0),"")</f>
        <v/>
      </c>
      <c r="BE1411" s="199" t="str">
        <f>IFERROR(W1411/VLOOKUP($G1411,нормы!$A$14:$BI$57,45,0),"")</f>
        <v/>
      </c>
    </row>
    <row r="1412" spans="1:57" s="1" customFormat="1" ht="29.4" customHeight="1" thickBot="1" x14ac:dyDescent="0.45">
      <c r="A1412" s="37" t="str">
        <f t="shared" si="554"/>
        <v>23Н</v>
      </c>
      <c r="B1412" s="59"/>
      <c r="C1412" s="51"/>
      <c r="D1412" s="51"/>
      <c r="E1412" s="51"/>
      <c r="F1412" s="295" t="s">
        <v>149</v>
      </c>
      <c r="G1412" s="51"/>
      <c r="H1412" s="51"/>
      <c r="I1412" s="60"/>
      <c r="J1412" s="60"/>
      <c r="K1412" s="319" t="s">
        <v>213</v>
      </c>
      <c r="L1412" s="316"/>
      <c r="M1412" s="303" t="s">
        <v>213</v>
      </c>
      <c r="N1412" s="317">
        <f>SUM(N1406:N1411)</f>
        <v>0</v>
      </c>
      <c r="O1412" s="304" t="s">
        <v>216</v>
      </c>
      <c r="P1412" s="318">
        <f>N1412*8.937/1000</f>
        <v>0</v>
      </c>
      <c r="Q1412" s="305" t="s">
        <v>215</v>
      </c>
      <c r="R1412" s="61"/>
      <c r="S1412" s="61"/>
      <c r="T1412" s="61"/>
      <c r="U1412" s="109"/>
      <c r="V1412" s="109"/>
      <c r="W1412" s="94"/>
      <c r="X1412" s="155"/>
      <c r="Y1412" s="96">
        <f>SUM(Y1406:Y1411)</f>
        <v>0</v>
      </c>
      <c r="Z1412" s="164">
        <f>SUM(Z1406:Z1411)</f>
        <v>0</v>
      </c>
      <c r="AA1412" s="62"/>
      <c r="AB1412" s="62"/>
      <c r="AC1412" s="62"/>
      <c r="AD1412" s="62"/>
      <c r="AE1412" s="62"/>
      <c r="AF1412" s="62"/>
      <c r="AG1412" s="162" t="s">
        <v>140</v>
      </c>
      <c r="AH1412" s="162" t="s">
        <v>141</v>
      </c>
      <c r="AI1412" s="162" t="s">
        <v>142</v>
      </c>
      <c r="AJ1412" s="91" t="s">
        <v>126</v>
      </c>
      <c r="AK1412" s="198" t="s">
        <v>136</v>
      </c>
      <c r="AL1412" s="198" t="s">
        <v>137</v>
      </c>
      <c r="AM1412" s="198" t="s">
        <v>138</v>
      </c>
      <c r="AN1412" s="91"/>
      <c r="AO1412" s="91"/>
      <c r="AP1412" s="91"/>
      <c r="AQ1412" s="91"/>
      <c r="AR1412" s="91"/>
      <c r="AS1412" s="91"/>
      <c r="AT1412" s="91"/>
      <c r="AU1412" s="91"/>
      <c r="AV1412" s="91"/>
      <c r="AW1412" s="91"/>
      <c r="AX1412" s="91"/>
      <c r="AY1412" s="91"/>
      <c r="AZ1412" s="91"/>
      <c r="BA1412" s="91"/>
      <c r="BB1412" s="91"/>
      <c r="BC1412" s="91"/>
      <c r="BD1412" s="91"/>
      <c r="BE1412" s="53" t="str">
        <f>IFERROR(W1412/VLOOKUP($G1412,нормы!$A$14:$BI$15,28,0),"")</f>
        <v/>
      </c>
    </row>
    <row r="1413" spans="1:57" s="1" customFormat="1" ht="21.6" customHeight="1" x14ac:dyDescent="0.4">
      <c r="A1413" s="37" t="str">
        <f t="shared" si="554"/>
        <v>23Н</v>
      </c>
      <c r="B1413" s="12">
        <f>B1411</f>
        <v>23</v>
      </c>
      <c r="C1413" s="97"/>
      <c r="D1413" s="97">
        <v>2</v>
      </c>
      <c r="E1413" s="29"/>
      <c r="F1413" s="151" t="str">
        <f>IFERROR(VLOOKUP($G1413,нормы!$A$14:$BC$57,2,0),"")</f>
        <v/>
      </c>
      <c r="G1413" s="93"/>
      <c r="H1413" s="54">
        <f>IF(C1413=1,"Кульков С.А.", IF(C1413=2,"Чудаков А.А.",IF(C1413=3,"Королев В.Н.",IF(C1413=4,"Николашин М.П.",IF(C1413=5," Кульков С.А.",IF(C1413=6,"А.А. Чудаков",IF(C1413=7,"В.Н. Королев",IF(C1413=8,"М.П. Николашин",0))))))))</f>
        <v>0</v>
      </c>
      <c r="I1413" s="88" t="s">
        <v>211</v>
      </c>
      <c r="J1413" s="332"/>
      <c r="K1413" s="30">
        <f>IFERROR(VLOOKUP($G1413,[1]нормы!$A$21:$BC$151,15,0),"")</f>
        <v>0</v>
      </c>
      <c r="L1413" s="31">
        <f>IFERROR(VLOOKUP($G1413,[1]нормы!$A$21:$BC$151,17,0),"")</f>
        <v>0</v>
      </c>
      <c r="M1413" s="310">
        <f>IFERROR(VLOOKUP($G1413,[1]нормы!$A$21:$BC$151,27,0),"")</f>
        <v>0</v>
      </c>
      <c r="N1413" s="311" t="str">
        <f>IFERROR(Y1413/Y1419*(1.1*J1413*I1418),"")</f>
        <v/>
      </c>
      <c r="O1413" s="300">
        <f>IFERROR(VLOOKUP($G1413,[1]нормы!$A$21:$BC$151,21,0),"")</f>
        <v>0</v>
      </c>
      <c r="P1413" s="35">
        <f>IFERROR(VLOOKUP($G1413,[1]нормы!$A$21:$BC$151,19,0),"")</f>
        <v>0</v>
      </c>
      <c r="Q1413" s="35">
        <f>IFERROR(VLOOKUP($G1413,[1]нормы!$A$21:$BC$151,23,0),"")</f>
        <v>0</v>
      </c>
      <c r="R1413" s="231">
        <f>IFERROR(VLOOKUP($G1413,[1]нормы!$A$21:$BC$151,29,0),"")</f>
        <v>0</v>
      </c>
      <c r="S1413" s="35">
        <f>IFERROR(VLOOKUP($G1413,[1]нормы!$A$21:$BC$151,31,0),"")</f>
        <v>0</v>
      </c>
      <c r="T1413" s="32">
        <f>IFERROR(VLOOKUP($G1413,[1]нормы!$A$21:$BC$151,25,0),"")</f>
        <v>0</v>
      </c>
      <c r="U1413" s="232" t="str">
        <f>IFERROR(W1413/(((100*Y1413/Y1419)*I1418)/100),"")</f>
        <v/>
      </c>
      <c r="V1413" s="234" t="str">
        <f>IFERROR(VLOOKUP($G1413,нормы!$A$14:$BC$57,38,0),"")</f>
        <v/>
      </c>
      <c r="W1413" s="136"/>
      <c r="X1413" s="236"/>
      <c r="Y1413" s="152" t="str">
        <f>IFERROR(VLOOKUP($G1413,нормы!$A$14:$BC$57,42,0)*W1413,"")</f>
        <v/>
      </c>
      <c r="Z1413" s="163">
        <f>IFERROR(VLOOKUP($G1413,нормы!$A$14:$BC$57,14,0)*W1413/1000,0)</f>
        <v>0</v>
      </c>
      <c r="AA1413" s="33"/>
      <c r="AB1413" s="36"/>
      <c r="AC1413" s="36"/>
      <c r="AD1413" s="36"/>
      <c r="AE1413" s="34"/>
      <c r="AF1413" s="159"/>
      <c r="AG1413" s="390"/>
      <c r="AH1413" s="393"/>
      <c r="AI1413" s="396"/>
      <c r="AJ1413" s="407">
        <f>AG1413+AH1413</f>
        <v>0</v>
      </c>
      <c r="AK1413" s="359"/>
      <c r="AL1413" s="359"/>
      <c r="AM1413" s="359"/>
      <c r="AN1413" s="287">
        <f>IFERROR(Y1413*AJ1413/Y1419,)</f>
        <v>0</v>
      </c>
      <c r="AO1413" s="197" t="str">
        <f>IFERROR(VLOOKUP($G1413,нормы!$A$14:$BC$57,53,0)*$W1413,"")</f>
        <v/>
      </c>
      <c r="AP1413" s="288">
        <f>IFERROR(Y1413*AI1413/Y1419,)</f>
        <v>0</v>
      </c>
      <c r="AQ1413" s="197" t="str">
        <f>IFERROR(VLOOKUP($G1413,нормы!$A$14:$BC$57,54,0)*$W1413,"")</f>
        <v/>
      </c>
      <c r="AR1413" s="288">
        <f>IFERROR(AS1413/SUM(AS1413:AS1418)*AL1413,0)</f>
        <v>0</v>
      </c>
      <c r="AS1413" s="197" t="str">
        <f>IFERROR(VLOOKUP($G1413,нормы!$A$14:$BC$57,55,0)*W1413,"")</f>
        <v/>
      </c>
      <c r="AT1413" s="288">
        <f>IFERROR(AU1413/SUM(AU1413:AU1418)*AM1413,0)</f>
        <v>0</v>
      </c>
      <c r="AU1413" s="197" t="str">
        <f>IFERROR(VLOOKUP($G1413,нормы!$A$14:$BI$57,56,0)*W1413,"")</f>
        <v/>
      </c>
      <c r="AV1413" s="288">
        <f>IFERROR(AW1413/SUM(AW1413:AW1418)*AK1413,0)</f>
        <v>0</v>
      </c>
      <c r="AW1413" s="202" t="str">
        <f>IFERROR(VLOOKUP($G1413,нормы!$A$14:$BI$57,57,0)*W1413,"")</f>
        <v/>
      </c>
      <c r="AX1413" s="33"/>
      <c r="AY1413" s="203" t="str">
        <f>IFERROR(VLOOKUP($G1413,нормы!$A$14:$BI$57,58,0)*W1413,"")</f>
        <v/>
      </c>
      <c r="AZ1413" s="204"/>
      <c r="BA1413" s="200" t="str">
        <f>IFERROR(VLOOKUP($G1413,нормы!$A$14:$BI$57,61,0)*$W1413,"")</f>
        <v/>
      </c>
      <c r="BB1413" s="33"/>
      <c r="BC1413" s="203" t="str">
        <f>IFERROR(VLOOKUP($G1413,нормы!$A$14:$BI$57,60,0)*W1413,"")</f>
        <v/>
      </c>
      <c r="BD1413" s="200" t="str">
        <f>IFERROR(VLOOKUP($G1413,нормы!$A$14:$BG$57,44,0),"")</f>
        <v/>
      </c>
      <c r="BE1413" s="199" t="str">
        <f>IFERROR(W1413/VLOOKUP($G1413,нормы!$A$14:$BI$57,45,0),"")</f>
        <v/>
      </c>
    </row>
    <row r="1414" spans="1:57" s="1" customFormat="1" ht="21.6" customHeight="1" x14ac:dyDescent="0.4">
      <c r="A1414" s="37" t="str">
        <f t="shared" si="554"/>
        <v>23Н</v>
      </c>
      <c r="B1414" s="12">
        <f t="shared" ref="B1414:D1418" si="557">B1413</f>
        <v>23</v>
      </c>
      <c r="C1414" s="97">
        <f t="shared" si="557"/>
        <v>0</v>
      </c>
      <c r="D1414" s="97">
        <f t="shared" si="557"/>
        <v>2</v>
      </c>
      <c r="E1414" s="54"/>
      <c r="F1414" s="151" t="str">
        <f>IFERROR(VLOOKUP($G1414,нормы!$A$14:$BC$57,2,0),"")</f>
        <v/>
      </c>
      <c r="G1414" s="93"/>
      <c r="H1414" s="54">
        <f t="shared" ref="H1414:H1418" si="558">IF(C1414=1,"Кульков С.А.", IF(C1414=2,"Чудаков А.А.",IF(C1414=3,"Королев В.Н.",IF(C1414=4,"Николашин М.П.",IF(C1414=5," Кульков С.А.",IF(C1414=6,"А.А. Чудаков",IF(C1414=7,"В.Н. Королев",IF(C1414=8,"М.П. Николашин",0))))))))</f>
        <v>0</v>
      </c>
      <c r="I1414" s="55"/>
      <c r="J1414" s="333"/>
      <c r="K1414" s="30">
        <f>IFERROR(VLOOKUP($G1414,[1]нормы!$A$21:$BC$151,15,0),"")</f>
        <v>0</v>
      </c>
      <c r="L1414" s="31">
        <f>IFERROR(VLOOKUP($G1414,[1]нормы!$A$21:$BC$151,17,0),"")</f>
        <v>0</v>
      </c>
      <c r="M1414" s="306">
        <f>IFERROR(VLOOKUP($G1414,[1]нормы!$A$21:$BC$151,27,0),"")</f>
        <v>0</v>
      </c>
      <c r="N1414" s="307" t="str">
        <f>IFERROR(Y1414/Y1419*(1.1*J1413*I1418),"")</f>
        <v/>
      </c>
      <c r="O1414" s="300">
        <f>IFERROR(VLOOKUP($G1414,[1]нормы!$A$21:$BC$151,21,0),"")</f>
        <v>0</v>
      </c>
      <c r="P1414" s="35">
        <f>IFERROR(VLOOKUP($G1414,[1]нормы!$A$21:$BC$151,19,0),"")</f>
        <v>0</v>
      </c>
      <c r="Q1414" s="35">
        <f>IFERROR(VLOOKUP($G1414,[1]нормы!$A$21:$BC$151,23,0),"")</f>
        <v>0</v>
      </c>
      <c r="R1414" s="231">
        <f>IFERROR(VLOOKUP($G1414,[1]нормы!$A$21:$BC$151,29,0),"")</f>
        <v>0</v>
      </c>
      <c r="S1414" s="35">
        <f>IFERROR(VLOOKUP($G1414,[1]нормы!$A$21:$BC$151,31,0),"")</f>
        <v>0</v>
      </c>
      <c r="T1414" s="32">
        <f>IFERROR(VLOOKUP($G1414,[1]нормы!$A$21:$BC$151,25,0),"")</f>
        <v>0</v>
      </c>
      <c r="U1414" s="233" t="str">
        <f>IFERROR(W1414/(((100*Y1414/Y1419)*I1418)/100),"")</f>
        <v/>
      </c>
      <c r="V1414" s="234" t="str">
        <f>IFERROR(VLOOKUP($G1414,нормы!$A$14:$BC$57,38,0),"")</f>
        <v/>
      </c>
      <c r="W1414" s="136"/>
      <c r="X1414" s="237"/>
      <c r="Y1414" s="152" t="str">
        <f>IFERROR(VLOOKUP($G1414,нормы!$A$14:$BC$57,42,0)*W1414,"")</f>
        <v/>
      </c>
      <c r="Z1414" s="163">
        <f>IFERROR(VLOOKUP($G1414,нормы!$A$14:$BC$57,14,0)*W1414/1000,0)</f>
        <v>0</v>
      </c>
      <c r="AA1414" s="142"/>
      <c r="AB1414" s="35"/>
      <c r="AC1414" s="35"/>
      <c r="AD1414" s="35"/>
      <c r="AE1414" s="31"/>
      <c r="AF1414" s="160"/>
      <c r="AG1414" s="391"/>
      <c r="AH1414" s="394"/>
      <c r="AI1414" s="397"/>
      <c r="AJ1414" s="408"/>
      <c r="AK1414" s="360"/>
      <c r="AL1414" s="360"/>
      <c r="AM1414" s="360"/>
      <c r="AN1414" s="289">
        <f>IFERROR(Y1414*AJ1413/Y1419,)</f>
        <v>0</v>
      </c>
      <c r="AO1414" s="197" t="str">
        <f>IFERROR(VLOOKUP($G1414,нормы!$A$14:$BC$57,53,0)*$W1414,"")</f>
        <v/>
      </c>
      <c r="AP1414" s="290">
        <f>IFERROR(Y1414*AI1413/Y1419,)</f>
        <v>0</v>
      </c>
      <c r="AQ1414" s="197" t="str">
        <f>IFERROR(VLOOKUP($G1414,нормы!$A$14:$BC$57,54,0)*$W1414,"")</f>
        <v/>
      </c>
      <c r="AR1414" s="290">
        <f>IFERROR(AS1414/SUM(AS1413:AS1418)*AL1413,0)</f>
        <v>0</v>
      </c>
      <c r="AS1414" s="197" t="str">
        <f>IFERROR(VLOOKUP($G1414,нормы!$A$14:$BC$57,55,0)*W1414,"")</f>
        <v/>
      </c>
      <c r="AT1414" s="290">
        <f>IFERROR(AU1414/SUM(AU1413:AU1418)*AM1413,0)</f>
        <v>0</v>
      </c>
      <c r="AU1414" s="197" t="str">
        <f>IFERROR(VLOOKUP($G1414,нормы!$A$14:$BI$57,56,0)*W1414,"")</f>
        <v/>
      </c>
      <c r="AV1414" s="290">
        <f>IFERROR(AW1414/SUM(AW1413:AW1418)*AK1413,0)</f>
        <v>0</v>
      </c>
      <c r="AW1414" s="202" t="str">
        <f>IFERROR(VLOOKUP($G1414,нормы!$A$14:$BI$57,57,0)*W1414,"")</f>
        <v/>
      </c>
      <c r="AX1414" s="30"/>
      <c r="AY1414" s="203" t="str">
        <f>IFERROR(VLOOKUP($G1414,нормы!$A$14:$BI$57,58,0)*W1414,"")</f>
        <v/>
      </c>
      <c r="AZ1414" s="205"/>
      <c r="BA1414" s="200" t="str">
        <f>IFERROR(VLOOKUP($G1414,нормы!$A$14:$BI$57,61,0)*$W1414,"")</f>
        <v/>
      </c>
      <c r="BB1414" s="30"/>
      <c r="BC1414" s="203" t="str">
        <f>IFERROR(VLOOKUP($G1414,нормы!$A$14:$BI$57,60,0)*W1414,"")</f>
        <v/>
      </c>
      <c r="BD1414" s="200" t="str">
        <f>IFERROR(VLOOKUP($G1414,нормы!$A$14:$BG$57,44,0),"")</f>
        <v/>
      </c>
      <c r="BE1414" s="199" t="str">
        <f>IFERROR(W1414/VLOOKUP($G1414,нормы!$A$14:$BI$57,45,0),"")</f>
        <v/>
      </c>
    </row>
    <row r="1415" spans="1:57" s="1" customFormat="1" ht="20.25" customHeight="1" x14ac:dyDescent="0.4">
      <c r="A1415" s="37" t="str">
        <f t="shared" si="554"/>
        <v>23Н</v>
      </c>
      <c r="B1415" s="12">
        <f t="shared" si="557"/>
        <v>23</v>
      </c>
      <c r="C1415" s="97">
        <f t="shared" si="557"/>
        <v>0</v>
      </c>
      <c r="D1415" s="97">
        <f t="shared" si="557"/>
        <v>2</v>
      </c>
      <c r="E1415" s="54"/>
      <c r="F1415" s="151" t="str">
        <f>IFERROR(VLOOKUP($G1415,нормы!$A$14:$BC$57,2,0),"")</f>
        <v/>
      </c>
      <c r="G1415" s="38"/>
      <c r="H1415" s="54">
        <f t="shared" si="558"/>
        <v>0</v>
      </c>
      <c r="I1415" s="89" t="s">
        <v>212</v>
      </c>
      <c r="J1415" s="333"/>
      <c r="K1415" s="30">
        <f>IFERROR(VLOOKUP($G1415,[1]нормы!$A$21:$BC$151,15,0),"")</f>
        <v>0</v>
      </c>
      <c r="L1415" s="31">
        <f>IFERROR(VLOOKUP($G1415,[1]нормы!$A$21:$BC$151,17,0),"")</f>
        <v>0</v>
      </c>
      <c r="M1415" s="306">
        <f>IFERROR(VLOOKUP($G1415,[1]нормы!$A$21:$BC$151,27,0),"")</f>
        <v>0</v>
      </c>
      <c r="N1415" s="307" t="str">
        <f>IFERROR(Y1415/Y1419*(1.1*J1413*I1418),"")</f>
        <v/>
      </c>
      <c r="O1415" s="300">
        <f>IFERROR(VLOOKUP($G1415,[1]нормы!$A$21:$BC$151,21,0),"")</f>
        <v>0</v>
      </c>
      <c r="P1415" s="35">
        <f>IFERROR(VLOOKUP($G1415,[1]нормы!$A$21:$BC$151,19,0),"")</f>
        <v>0</v>
      </c>
      <c r="Q1415" s="35">
        <f>IFERROR(VLOOKUP($G1415,[1]нормы!$A$21:$BC$151,23,0),"")</f>
        <v>0</v>
      </c>
      <c r="R1415" s="231">
        <f>IFERROR(VLOOKUP($G1415,[1]нормы!$A$21:$BC$151,29,0),"")</f>
        <v>0</v>
      </c>
      <c r="S1415" s="35">
        <f>IFERROR(VLOOKUP($G1415,[1]нормы!$A$21:$BC$151,31,0),"")</f>
        <v>0</v>
      </c>
      <c r="T1415" s="32">
        <f>IFERROR(VLOOKUP($G1415,[1]нормы!$A$21:$BC$151,25,0),"")</f>
        <v>0</v>
      </c>
      <c r="U1415" s="233" t="str">
        <f>IFERROR(W1415/(((100*Y1415/Y1419)*I1418)/100),"")</f>
        <v/>
      </c>
      <c r="V1415" s="234" t="str">
        <f>IFERROR(VLOOKUP($G1415,нормы!$A$14:$BC$57,38,0),"")</f>
        <v/>
      </c>
      <c r="W1415" s="136"/>
      <c r="X1415" s="237"/>
      <c r="Y1415" s="152" t="str">
        <f>IFERROR(VLOOKUP($G1415,нормы!$A$14:$BC$57,42,0)*W1415,"")</f>
        <v/>
      </c>
      <c r="Z1415" s="163">
        <f>IFERROR(VLOOKUP($G1415,нормы!$A$14:$BC$57,14,0)*W1415/1000,0)</f>
        <v>0</v>
      </c>
      <c r="AA1415" s="30"/>
      <c r="AB1415" s="35"/>
      <c r="AC1415" s="35"/>
      <c r="AD1415" s="35"/>
      <c r="AE1415" s="31"/>
      <c r="AF1415" s="160"/>
      <c r="AG1415" s="391"/>
      <c r="AH1415" s="394"/>
      <c r="AI1415" s="397"/>
      <c r="AJ1415" s="408"/>
      <c r="AK1415" s="360"/>
      <c r="AL1415" s="360"/>
      <c r="AM1415" s="360"/>
      <c r="AN1415" s="289">
        <f>IFERROR(Y1415*AJ1413/Y1419,)</f>
        <v>0</v>
      </c>
      <c r="AO1415" s="197" t="str">
        <f>IFERROR(VLOOKUP($G1415,нормы!$A$14:$BC$57,53,0)*$W1415,"")</f>
        <v/>
      </c>
      <c r="AP1415" s="290">
        <f>IFERROR(Y1415*AI1413/Y1419,)</f>
        <v>0</v>
      </c>
      <c r="AQ1415" s="197" t="str">
        <f>IFERROR(VLOOKUP($G1415,нормы!$A$14:$BC$57,54,0)*$W1415,"")</f>
        <v/>
      </c>
      <c r="AR1415" s="290">
        <f>IFERROR(AS1415/SUM(AS1413:AS1418)*AL1413,0)</f>
        <v>0</v>
      </c>
      <c r="AS1415" s="197" t="str">
        <f>IFERROR(VLOOKUP($G1415,нормы!$A$14:$BC$57,55,0)*W1415,"")</f>
        <v/>
      </c>
      <c r="AT1415" s="290">
        <f>IFERROR(AU1415/SUM(AU1413:AU1418)*AM1413,0)</f>
        <v>0</v>
      </c>
      <c r="AU1415" s="197" t="str">
        <f>IFERROR(VLOOKUP($G1415,нормы!$A$14:$BI$57,56,0)*W1415,"")</f>
        <v/>
      </c>
      <c r="AV1415" s="290">
        <f>IFERROR(AW1415/SUM(AW1413:AW1418)*AK1413,0)</f>
        <v>0</v>
      </c>
      <c r="AW1415" s="202" t="str">
        <f>IFERROR(VLOOKUP($G1415,нормы!$A$14:$BI$57,57,0)*W1415,"")</f>
        <v/>
      </c>
      <c r="AX1415" s="30"/>
      <c r="AY1415" s="203" t="str">
        <f>IFERROR(VLOOKUP($G1415,нормы!$A$14:$BI$57,58,0)*W1415,"")</f>
        <v/>
      </c>
      <c r="AZ1415" s="205"/>
      <c r="BA1415" s="200" t="str">
        <f>IFERROR(VLOOKUP($G1415,нормы!$A$14:$BI$57,61,0)*$W1415,"")</f>
        <v/>
      </c>
      <c r="BB1415" s="30"/>
      <c r="BC1415" s="203" t="str">
        <f>IFERROR(VLOOKUP($G1415,нормы!$A$14:$BI$57,60,0)*W1415,"")</f>
        <v/>
      </c>
      <c r="BD1415" s="200" t="str">
        <f>IFERROR(VLOOKUP($G1415,нормы!$A$14:$BG$57,44,0),"")</f>
        <v/>
      </c>
      <c r="BE1415" s="199" t="str">
        <f>IFERROR(W1415/VLOOKUP($G1415,нормы!$A$14:$BI$57,45,0),"")</f>
        <v/>
      </c>
    </row>
    <row r="1416" spans="1:57" s="1" customFormat="1" ht="20.25" customHeight="1" x14ac:dyDescent="0.4">
      <c r="A1416" s="37" t="str">
        <f t="shared" si="554"/>
        <v>23Н</v>
      </c>
      <c r="B1416" s="12">
        <f t="shared" si="557"/>
        <v>23</v>
      </c>
      <c r="C1416" s="97">
        <f t="shared" si="557"/>
        <v>0</v>
      </c>
      <c r="D1416" s="97">
        <f t="shared" si="557"/>
        <v>2</v>
      </c>
      <c r="E1416" s="54"/>
      <c r="F1416" s="151" t="str">
        <f>IFERROR(VLOOKUP($G1416,нормы!$A$14:$BC$57,2,0),"")</f>
        <v/>
      </c>
      <c r="G1416" s="93"/>
      <c r="H1416" s="54">
        <f t="shared" si="558"/>
        <v>0</v>
      </c>
      <c r="I1416" s="55"/>
      <c r="J1416" s="333"/>
      <c r="K1416" s="30">
        <f>IFERROR(VLOOKUP($G1416,[1]нормы!$A$21:$BC$151,15,0),"")</f>
        <v>0</v>
      </c>
      <c r="L1416" s="31">
        <f>IFERROR(VLOOKUP($G1416,[1]нормы!$A$21:$BC$151,17,0),"")</f>
        <v>0</v>
      </c>
      <c r="M1416" s="306">
        <f>IFERROR(VLOOKUP($G1416,[1]нормы!$A$21:$BC$151,27,0),"")</f>
        <v>0</v>
      </c>
      <c r="N1416" s="307" t="str">
        <f>IFERROR(Y1416/Y1419*(1.1*J1413*I1421),"")</f>
        <v/>
      </c>
      <c r="O1416" s="300">
        <f>IFERROR(VLOOKUP($G1416,[1]нормы!$A$21:$BC$151,21,0),"")</f>
        <v>0</v>
      </c>
      <c r="P1416" s="35">
        <f>IFERROR(VLOOKUP($G1416,[1]нормы!$A$21:$BC$151,19,0),"")</f>
        <v>0</v>
      </c>
      <c r="Q1416" s="35">
        <f>IFERROR(VLOOKUP($G1416,[1]нормы!$A$21:$BC$151,23,0),"")</f>
        <v>0</v>
      </c>
      <c r="R1416" s="231">
        <f>IFERROR(VLOOKUP($G1416,[1]нормы!$A$21:$BC$151,29,0),"")</f>
        <v>0</v>
      </c>
      <c r="S1416" s="35">
        <f>IFERROR(VLOOKUP($G1416,[1]нормы!$A$21:$BC$151,31,0),"")</f>
        <v>0</v>
      </c>
      <c r="T1416" s="32">
        <f>IFERROR(VLOOKUP($G1416,[1]нормы!$A$21:$BC$151,25,0),"")</f>
        <v>0</v>
      </c>
      <c r="U1416" s="233" t="str">
        <f>IFERROR(W1416/(((100*Y1416/Y1419)*I1418)/100),"")</f>
        <v/>
      </c>
      <c r="V1416" s="234" t="str">
        <f>IFERROR(VLOOKUP($G1416,нормы!$A$14:$BC$57,38,0),"")</f>
        <v/>
      </c>
      <c r="W1416" s="136"/>
      <c r="X1416" s="237"/>
      <c r="Y1416" s="152" t="str">
        <f>IFERROR(VLOOKUP($G1416,нормы!$A$14:$BC$57,42,0)*W1416,"")</f>
        <v/>
      </c>
      <c r="Z1416" s="163">
        <f>IFERROR(VLOOKUP($G1416,нормы!$A$14:$BC$57,14,0)*W1416/1000,0)</f>
        <v>0</v>
      </c>
      <c r="AA1416" s="30"/>
      <c r="AB1416" s="35"/>
      <c r="AC1416" s="35"/>
      <c r="AD1416" s="35"/>
      <c r="AE1416" s="31"/>
      <c r="AF1416" s="160"/>
      <c r="AG1416" s="391"/>
      <c r="AH1416" s="394"/>
      <c r="AI1416" s="397"/>
      <c r="AJ1416" s="408"/>
      <c r="AK1416" s="360"/>
      <c r="AL1416" s="360"/>
      <c r="AM1416" s="360"/>
      <c r="AN1416" s="289">
        <f>IFERROR(Y1416*AJ1413/Y1419,)</f>
        <v>0</v>
      </c>
      <c r="AO1416" s="197" t="str">
        <f>IFERROR(VLOOKUP($G1416,нормы!$A$14:$BC$57,53,0)*$W1416,"")</f>
        <v/>
      </c>
      <c r="AP1416" s="290">
        <f>IFERROR(Y1416*AI1413/Y1419,)</f>
        <v>0</v>
      </c>
      <c r="AQ1416" s="197" t="str">
        <f>IFERROR(VLOOKUP($G1416,нормы!$A$14:$BC$57,54,0)*$W1416,"")</f>
        <v/>
      </c>
      <c r="AR1416" s="290">
        <f>IFERROR(AS1416/SUM(AS1413:AS1418)*AL1413,0)</f>
        <v>0</v>
      </c>
      <c r="AS1416" s="197" t="str">
        <f>IFERROR(VLOOKUP($G1416,нормы!$A$14:$BC$57,55,0)*W1416,"")</f>
        <v/>
      </c>
      <c r="AT1416" s="290">
        <f>IFERROR(AU1416/SUM(AU1413:AU1418)*AM1413,0)</f>
        <v>0</v>
      </c>
      <c r="AU1416" s="197" t="str">
        <f>IFERROR(VLOOKUP($G1416,нормы!$A$14:$BI$57,56,0)*W1416,"")</f>
        <v/>
      </c>
      <c r="AV1416" s="290">
        <f>IFERROR(AW1416/SUM(AW1413:AW1418)*AK1413,0)</f>
        <v>0</v>
      </c>
      <c r="AW1416" s="202" t="str">
        <f>IFERROR(VLOOKUP($G1416,нормы!$A$14:$BI$57,57,0)*W1416,"")</f>
        <v/>
      </c>
      <c r="AX1416" s="30"/>
      <c r="AY1416" s="203" t="str">
        <f>IFERROR(VLOOKUP($G1416,нормы!$A$14:$BI$57,58,0)*W1416,"")</f>
        <v/>
      </c>
      <c r="AZ1416" s="205"/>
      <c r="BA1416" s="200" t="str">
        <f>IFERROR(VLOOKUP($G1416,нормы!$A$14:$BI$57,61,0)*$W1416,"")</f>
        <v/>
      </c>
      <c r="BB1416" s="30"/>
      <c r="BC1416" s="203" t="str">
        <f>IFERROR(VLOOKUP($G1416,нормы!$A$14:$BI$57,60,0)*W1416,"")</f>
        <v/>
      </c>
      <c r="BD1416" s="200" t="str">
        <f>IFERROR(VLOOKUP($G1416,нормы!$A$14:$BG$57,44,0),"")</f>
        <v/>
      </c>
      <c r="BE1416" s="199" t="str">
        <f>IFERROR(W1416/VLOOKUP($G1416,нормы!$A$14:$BI$57,45,0),"")</f>
        <v/>
      </c>
    </row>
    <row r="1417" spans="1:57" s="1" customFormat="1" ht="20.25" customHeight="1" x14ac:dyDescent="0.4">
      <c r="A1417" s="37" t="str">
        <f t="shared" si="554"/>
        <v>23Н</v>
      </c>
      <c r="B1417" s="12">
        <f t="shared" si="557"/>
        <v>23</v>
      </c>
      <c r="C1417" s="97">
        <f t="shared" si="557"/>
        <v>0</v>
      </c>
      <c r="D1417" s="97">
        <f t="shared" si="557"/>
        <v>2</v>
      </c>
      <c r="E1417" s="54"/>
      <c r="F1417" s="151" t="str">
        <f>IFERROR(VLOOKUP($G1417,нормы!$A$14:$BC$57,2,0),"")</f>
        <v/>
      </c>
      <c r="G1417" s="38"/>
      <c r="H1417" s="54">
        <f t="shared" si="558"/>
        <v>0</v>
      </c>
      <c r="I1417" s="89" t="s">
        <v>73</v>
      </c>
      <c r="J1417" s="333"/>
      <c r="K1417" s="30">
        <f>IFERROR(VLOOKUP($G1417,[1]нормы!$A$21:$BC$151,15,0),"")</f>
        <v>0</v>
      </c>
      <c r="L1417" s="31">
        <f>IFERROR(VLOOKUP($G1417,[1]нормы!$A$21:$BC$151,17,0),"")</f>
        <v>0</v>
      </c>
      <c r="M1417" s="306">
        <f>IFERROR(VLOOKUP($G1417,[1]нормы!$A$21:$BC$151,27,0),"")</f>
        <v>0</v>
      </c>
      <c r="N1417" s="307" t="str">
        <f>IFERROR(Y1417/Y1419*(1.1*J1413*I1422),"")</f>
        <v/>
      </c>
      <c r="O1417" s="300">
        <f>IFERROR(VLOOKUP($G1417,[1]нормы!$A$21:$BC$151,21,0),"")</f>
        <v>0</v>
      </c>
      <c r="P1417" s="35">
        <f>IFERROR(VLOOKUP($G1417,[1]нормы!$A$21:$BC$151,19,0),"")</f>
        <v>0</v>
      </c>
      <c r="Q1417" s="35">
        <f>IFERROR(VLOOKUP($G1417,[1]нормы!$A$21:$BC$151,23,0),"")</f>
        <v>0</v>
      </c>
      <c r="R1417" s="231">
        <f>IFERROR(VLOOKUP($G1417,[1]нормы!$A$21:$BC$151,29,0),"")</f>
        <v>0</v>
      </c>
      <c r="S1417" s="35">
        <f>IFERROR(VLOOKUP($G1417,[1]нормы!$A$21:$BC$151,31,0),"")</f>
        <v>0</v>
      </c>
      <c r="T1417" s="32">
        <f>IFERROR(VLOOKUP($G1417,[1]нормы!$A$21:$BC$151,25,0),"")</f>
        <v>0</v>
      </c>
      <c r="U1417" s="233" t="str">
        <f>IFERROR(W1417/(((100*Y1417/Y1419)*I1418)/100),"")</f>
        <v/>
      </c>
      <c r="V1417" s="234" t="str">
        <f>IFERROR(VLOOKUP($G1417,нормы!$A$14:$BC$57,38,0),"")</f>
        <v/>
      </c>
      <c r="W1417" s="136"/>
      <c r="X1417" s="237"/>
      <c r="Y1417" s="152" t="str">
        <f>IFERROR(VLOOKUP($G1417,нормы!$A$14:$BC$57,42,0)*W1417,"")</f>
        <v/>
      </c>
      <c r="Z1417" s="163">
        <f>IFERROR(VLOOKUP($G1417,нормы!$A$14:$BC$57,14,0)*W1417/1000,0)</f>
        <v>0</v>
      </c>
      <c r="AA1417" s="30"/>
      <c r="AB1417" s="35"/>
      <c r="AC1417" s="35"/>
      <c r="AD1417" s="35"/>
      <c r="AE1417" s="31"/>
      <c r="AF1417" s="160"/>
      <c r="AG1417" s="391"/>
      <c r="AH1417" s="394"/>
      <c r="AI1417" s="397"/>
      <c r="AJ1417" s="408"/>
      <c r="AK1417" s="360"/>
      <c r="AL1417" s="360"/>
      <c r="AM1417" s="360"/>
      <c r="AN1417" s="289">
        <f>IFERROR(Y1417*AJ1413/Y1419,)</f>
        <v>0</v>
      </c>
      <c r="AO1417" s="197" t="str">
        <f>IFERROR(VLOOKUP($G1417,нормы!$A$14:$BC$57,53,0)*$W1417,"")</f>
        <v/>
      </c>
      <c r="AP1417" s="290">
        <f>IFERROR(Y1417*AI1413/Y1419,)</f>
        <v>0</v>
      </c>
      <c r="AQ1417" s="197" t="str">
        <f>IFERROR(VLOOKUP($G1417,нормы!$A$14:$BC$57,54,0)*$W1417,"")</f>
        <v/>
      </c>
      <c r="AR1417" s="290">
        <f>IFERROR(AS1417/SUM(AS1413:AS1418)*AL1413,0)</f>
        <v>0</v>
      </c>
      <c r="AS1417" s="197" t="str">
        <f>IFERROR(VLOOKUP($G1417,нормы!$A$14:$BC$57,55,0)*W1417,"")</f>
        <v/>
      </c>
      <c r="AT1417" s="290">
        <f>IFERROR(AU1417/SUM(AU1413:AU1418)*AM1413,0)</f>
        <v>0</v>
      </c>
      <c r="AU1417" s="197" t="str">
        <f>IFERROR(VLOOKUP($G1417,нормы!$A$14:$BI$57,56,0)*W1417,"")</f>
        <v/>
      </c>
      <c r="AV1417" s="290">
        <f>IFERROR(AW1417/SUM(AW1413:AW1418)*AK1413,0)</f>
        <v>0</v>
      </c>
      <c r="AW1417" s="202" t="str">
        <f>IFERROR(VLOOKUP($G1417,нормы!$A$14:$BI$57,57,0)*W1417,"")</f>
        <v/>
      </c>
      <c r="AX1417" s="30"/>
      <c r="AY1417" s="203" t="str">
        <f>IFERROR(VLOOKUP($G1417,нормы!$A$14:$BI$57,58,0)*W1417,"")</f>
        <v/>
      </c>
      <c r="AZ1417" s="205"/>
      <c r="BA1417" s="200" t="str">
        <f>IFERROR(VLOOKUP($G1417,нормы!$A$14:$BI$57,61,0)*$W1417,"")</f>
        <v/>
      </c>
      <c r="BB1417" s="30"/>
      <c r="BC1417" s="203" t="str">
        <f>IFERROR(VLOOKUP($G1417,нормы!$A$14:$BI$57,60,0)*W1417,"")</f>
        <v/>
      </c>
      <c r="BD1417" s="200" t="str">
        <f>IFERROR(VLOOKUP($G1417,нормы!$A$14:$BG$57,44,0),"")</f>
        <v/>
      </c>
      <c r="BE1417" s="199" t="str">
        <f>IFERROR(W1417/VLOOKUP($G1417,нормы!$A$14:$BI$57,45,0),"")</f>
        <v/>
      </c>
    </row>
    <row r="1418" spans="1:57" s="1" customFormat="1" ht="21" customHeight="1" thickBot="1" x14ac:dyDescent="0.45">
      <c r="A1418" s="37" t="str">
        <f t="shared" si="554"/>
        <v>23Н</v>
      </c>
      <c r="B1418" s="12">
        <f t="shared" si="557"/>
        <v>23</v>
      </c>
      <c r="C1418" s="97">
        <f t="shared" si="557"/>
        <v>0</v>
      </c>
      <c r="D1418" s="97">
        <f t="shared" si="557"/>
        <v>2</v>
      </c>
      <c r="E1418" s="54"/>
      <c r="F1418" s="151" t="str">
        <f>IFERROR(VLOOKUP($G1418,нормы!$A$14:$BC$57,2,0),"")</f>
        <v/>
      </c>
      <c r="G1418" s="93"/>
      <c r="H1418" s="63">
        <f t="shared" si="558"/>
        <v>0</v>
      </c>
      <c r="I1418" s="153">
        <f>I1414+I1416</f>
        <v>0</v>
      </c>
      <c r="J1418" s="334"/>
      <c r="K1418" s="30">
        <f>IFERROR(VLOOKUP($G1418,[1]нормы!$A$21:$BC$151,15,0),"")</f>
        <v>0</v>
      </c>
      <c r="L1418" s="31">
        <f>IFERROR(VLOOKUP($G1418,[1]нормы!$A$21:$BC$151,17,0),"")</f>
        <v>0</v>
      </c>
      <c r="M1418" s="308">
        <f>IFERROR(VLOOKUP($G1418,[1]нормы!$A$21:$BC$151,27,0),"")</f>
        <v>0</v>
      </c>
      <c r="N1418" s="309" t="str">
        <f>IFERROR(Y1418/Y1419*(1.1*J1413*I1423),"")</f>
        <v/>
      </c>
      <c r="O1418" s="300">
        <f>IFERROR(VLOOKUP($G1418,[1]нормы!$A$21:$BC$151,21,0),"")</f>
        <v>0</v>
      </c>
      <c r="P1418" s="35">
        <f>IFERROR(VLOOKUP($G1418,[1]нормы!$A$21:$BC$151,19,0),"")</f>
        <v>0</v>
      </c>
      <c r="Q1418" s="35">
        <f>IFERROR(VLOOKUP($G1418,[1]нормы!$A$21:$BC$151,23,0),"")</f>
        <v>0</v>
      </c>
      <c r="R1418" s="231">
        <f>IFERROR(VLOOKUP($G1418,[1]нормы!$A$21:$BC$151,29,0),"")</f>
        <v>0</v>
      </c>
      <c r="S1418" s="35">
        <f>IFERROR(VLOOKUP($G1418,[1]нормы!$A$21:$BC$151,31,0),"")</f>
        <v>0</v>
      </c>
      <c r="T1418" s="32">
        <f>IFERROR(VLOOKUP($G1418,[1]нормы!$A$21:$BC$151,25,0),"")</f>
        <v>0</v>
      </c>
      <c r="U1418" s="235" t="str">
        <f>IFERROR(W1418/(((100*Y1418/Y1419)*I1418)/100),"")</f>
        <v/>
      </c>
      <c r="V1418" s="234" t="str">
        <f>IFERROR(VLOOKUP($G1418,нормы!$A$14:$BC$57,38,0),"")</f>
        <v/>
      </c>
      <c r="W1418" s="154"/>
      <c r="X1418" s="238"/>
      <c r="Y1418" s="152" t="str">
        <f>IFERROR(VLOOKUP($G1418,нормы!$A$14:$BC$57,42,0)*W1418,"")</f>
        <v/>
      </c>
      <c r="Z1418" s="163">
        <f>IFERROR(VLOOKUP($G1418,нормы!$A$14:$BC$57,14,0)*W1418/1000,0)</f>
        <v>0</v>
      </c>
      <c r="AA1418" s="56"/>
      <c r="AB1418" s="58"/>
      <c r="AC1418" s="58"/>
      <c r="AD1418" s="58"/>
      <c r="AE1418" s="57"/>
      <c r="AF1418" s="161"/>
      <c r="AG1418" s="392"/>
      <c r="AH1418" s="395"/>
      <c r="AI1418" s="398"/>
      <c r="AJ1418" s="409"/>
      <c r="AK1418" s="361"/>
      <c r="AL1418" s="361"/>
      <c r="AM1418" s="361"/>
      <c r="AN1418" s="291">
        <f>IFERROR(Y1418*AJ1413/Y1419,)</f>
        <v>0</v>
      </c>
      <c r="AO1418" s="197" t="str">
        <f>IFERROR(VLOOKUP($G1418,нормы!$A$14:$BC$57,53,0)*$W1418,"")</f>
        <v/>
      </c>
      <c r="AP1418" s="292">
        <f>IFERROR(Y1418*AI1413/Y1419,)</f>
        <v>0</v>
      </c>
      <c r="AQ1418" s="197" t="str">
        <f>IFERROR(VLOOKUP($G1418,нормы!$A$14:$BC$57,54,0)*$W1418,"")</f>
        <v/>
      </c>
      <c r="AR1418" s="290">
        <f>IFERROR(AS1418/SUM(AS1413:AS1418)*AL1413,0)</f>
        <v>0</v>
      </c>
      <c r="AS1418" s="197" t="str">
        <f>IFERROR(VLOOKUP($G1418,нормы!$A$14:$BC$57,55,0)*W1418,"")</f>
        <v/>
      </c>
      <c r="AT1418" s="292">
        <f>IFERROR(AU1418/SUM(AU1413:AU1418)*AM1413,0)</f>
        <v>0</v>
      </c>
      <c r="AU1418" s="197" t="str">
        <f>IFERROR(VLOOKUP($G1418,нормы!$A$14:$BI$57,56,0)*W1418,"")</f>
        <v/>
      </c>
      <c r="AV1418" s="292">
        <f>IFERROR(AW1418/SUM(AW1413:AW1418)*AK1413,0)</f>
        <v>0</v>
      </c>
      <c r="AW1418" s="202" t="str">
        <f>IFERROR(VLOOKUP($G1418,нормы!$A$14:$BI$57,57,0)*W1418,"")</f>
        <v/>
      </c>
      <c r="AX1418" s="56"/>
      <c r="AY1418" s="203" t="str">
        <f>IFERROR(VLOOKUP($G1418,нормы!$A$14:$BI$57,58,0)*W1418,"")</f>
        <v/>
      </c>
      <c r="AZ1418" s="206"/>
      <c r="BA1418" s="200" t="str">
        <f>IFERROR(VLOOKUP($G1418,нормы!$A$14:$BI$57,61,0)*$W1418,"")</f>
        <v/>
      </c>
      <c r="BB1418" s="56"/>
      <c r="BC1418" s="203" t="str">
        <f>IFERROR(VLOOKUP($G1418,нормы!$A$14:$BI$57,60,0)*W1418,"")</f>
        <v/>
      </c>
      <c r="BD1418" s="200" t="str">
        <f>IFERROR(VLOOKUP($G1418,нормы!$A$14:$BG$57,44,0),"")</f>
        <v/>
      </c>
      <c r="BE1418" s="199" t="str">
        <f>IFERROR(W1418/VLOOKUP($G1418,нормы!$A$14:$BI$57,45,0),"")</f>
        <v/>
      </c>
    </row>
    <row r="1419" spans="1:57" s="1" customFormat="1" ht="29.4" customHeight="1" thickBot="1" x14ac:dyDescent="0.45">
      <c r="A1419" s="37" t="str">
        <f t="shared" si="554"/>
        <v>23Н</v>
      </c>
      <c r="B1419" s="59"/>
      <c r="C1419" s="51"/>
      <c r="D1419" s="51"/>
      <c r="E1419" s="51"/>
      <c r="F1419" s="51"/>
      <c r="G1419" s="51"/>
      <c r="H1419" s="51"/>
      <c r="I1419" s="60"/>
      <c r="J1419" s="60"/>
      <c r="K1419" s="319" t="s">
        <v>213</v>
      </c>
      <c r="L1419" s="316"/>
      <c r="M1419" s="303" t="s">
        <v>213</v>
      </c>
      <c r="N1419" s="317">
        <f>SUM(N1413:N1418)</f>
        <v>0</v>
      </c>
      <c r="O1419" s="304" t="s">
        <v>217</v>
      </c>
      <c r="P1419" s="318">
        <f>N1419*8.937/1000</f>
        <v>0</v>
      </c>
      <c r="Q1419" s="305" t="s">
        <v>215</v>
      </c>
      <c r="R1419" s="61"/>
      <c r="S1419" s="61"/>
      <c r="T1419" s="61"/>
      <c r="U1419" s="109"/>
      <c r="V1419" s="109"/>
      <c r="W1419" s="94"/>
      <c r="X1419" s="155"/>
      <c r="Y1419" s="96">
        <f>SUM(Y1413:Y1418)</f>
        <v>0</v>
      </c>
      <c r="Z1419" s="164">
        <f>SUM(Z1413:Z1418)</f>
        <v>0</v>
      </c>
      <c r="AA1419" s="207">
        <f>(AA1405+AA1406+AA1407+AA1408+AA1409+AA1410+AA1411+AA1413+AA1414+AA1415+AA1416+AA1417+AA1418)-AG1406</f>
        <v>1</v>
      </c>
      <c r="AB1419" s="208">
        <f>(AB1405+AB1406+AB1407+AB1408+AB1409+AB1410+AB1411+AB1413+AB1414+AB1415+AB1416+AB1417+AB1418)-AH1406</f>
        <v>2</v>
      </c>
      <c r="AC1419" s="208">
        <f>(AC1405+AC1406+AC1407+AC1408+AC1409+AC1410+AC1411+AC1413+AC1414+AC1415+AC1416+AC1417+AC1418)-AG1413</f>
        <v>3</v>
      </c>
      <c r="AD1419" s="208">
        <f>(AD1405+AD1406+AD1407+AD1408+AD1409+AD1410+AD1411+AD1413+AD1414+AD1415+AD1416+AD1417+AD1418)-AH1413</f>
        <v>4</v>
      </c>
      <c r="AE1419" s="208">
        <f>(AE1405+AE1406+AE1407+AE1408+AE1409+AE1410+AE1411+AE1413+AE1414+AE1415+AE1416+AE1417+AE1418)-AI1406</f>
        <v>5</v>
      </c>
      <c r="AF1419" s="209">
        <f>(AF1405+AF1406+AF1407+AF1408+AF1409+AF1410+AF1411+AF1413+AF1414+AF1415+AF1416+AF1417+AF1418)-AI1413</f>
        <v>6</v>
      </c>
      <c r="AG1419" s="62"/>
      <c r="AH1419" s="62"/>
      <c r="AI1419" s="62"/>
      <c r="AJ1419" s="62"/>
      <c r="AK1419" s="62"/>
      <c r="AL1419" s="62"/>
      <c r="AM1419" s="62"/>
      <c r="AN1419" s="91">
        <f>SUM(AN1413:AN1418)</f>
        <v>0</v>
      </c>
      <c r="AO1419" s="91">
        <f>SUM(AO1413:AO1418)</f>
        <v>0</v>
      </c>
      <c r="AP1419" s="91"/>
      <c r="AQ1419" s="91"/>
      <c r="AR1419" s="91">
        <f>SUM(AR1413:AR1418)</f>
        <v>0</v>
      </c>
      <c r="AS1419" s="91">
        <f t="shared" ref="AS1419:AW1419" si="559">SUM(AS1413:AS1418)</f>
        <v>0</v>
      </c>
      <c r="AT1419" s="91">
        <f t="shared" si="559"/>
        <v>0</v>
      </c>
      <c r="AU1419" s="91">
        <f t="shared" si="559"/>
        <v>0</v>
      </c>
      <c r="AV1419" s="91">
        <f t="shared" si="559"/>
        <v>0</v>
      </c>
      <c r="AW1419" s="91">
        <f t="shared" si="559"/>
        <v>0</v>
      </c>
      <c r="AX1419" s="91">
        <f>SUM(AX1413:AX1418)</f>
        <v>0</v>
      </c>
      <c r="AY1419" s="91">
        <f>SUM(AY1413:AY1418)</f>
        <v>0</v>
      </c>
      <c r="AZ1419" s="91">
        <f>SUM(AZ1413:AZ1418)</f>
        <v>0</v>
      </c>
      <c r="BA1419" s="91"/>
      <c r="BB1419" s="91"/>
      <c r="BC1419" s="91"/>
      <c r="BD1419" s="91" t="str">
        <f>IFERROR(VLOOKUP($G1419,нормы!$A$14:$BG$15,27,0),"")</f>
        <v/>
      </c>
      <c r="BE1419" s="53" t="str">
        <f>IFERROR(W1419/VLOOKUP($G1419,нормы!$A$14:$BI$15,28,0),"")</f>
        <v/>
      </c>
    </row>
    <row r="1420" spans="1:57" s="1" customFormat="1" ht="29.4" customHeight="1" thickBot="1" x14ac:dyDescent="0.5">
      <c r="A1420" s="37" t="str">
        <f t="shared" si="554"/>
        <v>23Н</v>
      </c>
      <c r="B1420" s="166" t="s">
        <v>130</v>
      </c>
      <c r="C1420" s="167"/>
      <c r="D1420" s="167"/>
      <c r="E1420" s="167"/>
      <c r="F1420" s="165"/>
      <c r="G1420" s="167"/>
      <c r="H1420" s="167"/>
      <c r="I1420" s="168"/>
      <c r="J1420" s="168"/>
      <c r="K1420" s="168"/>
      <c r="L1420" s="168"/>
      <c r="M1420" s="168"/>
      <c r="N1420" s="168"/>
      <c r="O1420" s="167"/>
      <c r="P1420" s="169"/>
      <c r="Q1420" s="169"/>
      <c r="R1420" s="169"/>
      <c r="S1420" s="169"/>
      <c r="T1420" s="169"/>
      <c r="U1420" s="170"/>
      <c r="V1420" s="170"/>
      <c r="W1420" s="171"/>
      <c r="X1420" s="171"/>
      <c r="Y1420" s="172"/>
      <c r="Z1420" s="172"/>
      <c r="AA1420" s="201" t="s">
        <v>144</v>
      </c>
      <c r="AB1420" s="167"/>
      <c r="AC1420" s="167"/>
      <c r="AD1420" s="167"/>
      <c r="AE1420" s="167"/>
      <c r="AF1420" s="167"/>
      <c r="AG1420" s="167"/>
      <c r="AH1420" s="167"/>
      <c r="AI1420" s="167"/>
      <c r="AJ1420" s="167"/>
      <c r="AK1420" s="167"/>
      <c r="AL1420" s="167"/>
      <c r="AM1420" s="64"/>
      <c r="AN1420" s="167"/>
      <c r="AO1420" s="167"/>
      <c r="AP1420" s="167"/>
      <c r="AQ1420" s="167"/>
      <c r="AR1420" s="64"/>
      <c r="AS1420" s="64"/>
      <c r="AT1420" s="65"/>
      <c r="AU1420" s="64"/>
      <c r="AV1420" s="49"/>
      <c r="AW1420" s="49"/>
      <c r="AX1420" s="167"/>
      <c r="AY1420" s="167"/>
      <c r="AZ1420" s="167"/>
      <c r="BA1420" s="167"/>
      <c r="BB1420" s="167"/>
      <c r="BC1420" s="167"/>
      <c r="BD1420" s="66"/>
      <c r="BE1420" s="66"/>
    </row>
    <row r="1421" spans="1:57" s="1" customFormat="1" ht="23.25" customHeight="1" x14ac:dyDescent="0.4">
      <c r="A1421" s="37" t="str">
        <f t="shared" si="554"/>
        <v>23Н</v>
      </c>
      <c r="B1421" s="183"/>
      <c r="C1421" s="100"/>
      <c r="D1421" s="185"/>
      <c r="E1421" s="186" t="s">
        <v>57</v>
      </c>
      <c r="F1421" s="66" t="s">
        <v>87</v>
      </c>
      <c r="G1421" s="66"/>
      <c r="H1421" s="108" t="s">
        <v>131</v>
      </c>
      <c r="I1421" s="101"/>
      <c r="J1421" s="101"/>
      <c r="K1421" s="101"/>
      <c r="L1421" s="101"/>
      <c r="M1421" s="101"/>
      <c r="N1421" s="101"/>
      <c r="O1421" s="67"/>
      <c r="P1421" s="102"/>
      <c r="Q1421" s="102"/>
      <c r="R1421" s="102"/>
      <c r="S1421" s="102"/>
      <c r="T1421" s="102"/>
      <c r="U1421" s="67"/>
      <c r="V1421" s="67"/>
      <c r="W1421" s="103"/>
      <c r="X1421" s="187"/>
      <c r="Y1421" s="68" t="s">
        <v>74</v>
      </c>
      <c r="Z1421" s="69"/>
      <c r="AA1421" s="90"/>
      <c r="AB1421" s="100"/>
      <c r="AC1421" s="100"/>
      <c r="AD1421" s="186" t="s">
        <v>57</v>
      </c>
      <c r="AE1421" s="66"/>
      <c r="AF1421" s="66"/>
      <c r="AG1421" s="66"/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6"/>
      <c r="AS1421" s="66"/>
      <c r="AT1421" s="190"/>
      <c r="AU1421" s="66"/>
      <c r="AV1421" s="165"/>
      <c r="AW1421" s="293"/>
      <c r="AX1421" s="66"/>
      <c r="AY1421" s="66"/>
      <c r="AZ1421" s="66"/>
      <c r="BA1421" s="66"/>
      <c r="BB1421" s="66"/>
      <c r="BC1421" s="66"/>
      <c r="BD1421" s="68" t="s">
        <v>74</v>
      </c>
      <c r="BE1421" s="69"/>
    </row>
    <row r="1422" spans="1:57" s="1" customFormat="1" ht="23.25" customHeight="1" thickBot="1" x14ac:dyDescent="0.45">
      <c r="A1422" s="37" t="str">
        <f t="shared" si="554"/>
        <v>23Н</v>
      </c>
      <c r="B1422" s="183"/>
      <c r="C1422" s="41"/>
      <c r="D1422" s="184"/>
      <c r="E1422" s="50"/>
      <c r="F1422" s="70"/>
      <c r="G1422" s="70"/>
      <c r="H1422" s="70"/>
      <c r="I1422" s="104"/>
      <c r="J1422" s="104"/>
      <c r="K1422" s="104"/>
      <c r="L1422" s="104"/>
      <c r="M1422" s="104"/>
      <c r="N1422" s="104"/>
      <c r="O1422" s="71"/>
      <c r="P1422" s="105"/>
      <c r="Q1422" s="105"/>
      <c r="R1422" s="105"/>
      <c r="S1422" s="105"/>
      <c r="T1422" s="105"/>
      <c r="U1422" s="71"/>
      <c r="V1422" s="71"/>
      <c r="W1422" s="106"/>
      <c r="X1422" s="188"/>
      <c r="Y1422" s="72"/>
      <c r="Z1422" s="73"/>
      <c r="AA1422" s="90"/>
      <c r="AB1422" s="41"/>
      <c r="AC1422" s="41"/>
      <c r="AD1422" s="50"/>
      <c r="AE1422" s="47"/>
      <c r="AF1422" s="47"/>
      <c r="AG1422" s="47"/>
      <c r="AH1422" s="47"/>
      <c r="AI1422" s="47"/>
      <c r="AJ1422" s="47"/>
      <c r="AK1422" s="47"/>
      <c r="AL1422" s="47"/>
      <c r="AM1422" s="70"/>
      <c r="AN1422" s="47"/>
      <c r="AO1422" s="70"/>
      <c r="AP1422" s="70"/>
      <c r="AQ1422" s="70"/>
      <c r="AR1422" s="70"/>
      <c r="AS1422" s="70"/>
      <c r="AT1422" s="191"/>
      <c r="AU1422" s="70"/>
      <c r="AV1422" s="192"/>
      <c r="AW1422" s="294"/>
      <c r="AX1422" s="70"/>
      <c r="AY1422" s="70"/>
      <c r="AZ1422" s="70"/>
      <c r="BA1422" s="70"/>
      <c r="BB1422" s="70"/>
      <c r="BC1422" s="70"/>
      <c r="BD1422" s="72"/>
      <c r="BE1422" s="73"/>
    </row>
    <row r="1423" spans="1:57" s="1" customFormat="1" ht="27" customHeight="1" x14ac:dyDescent="0.4">
      <c r="A1423" s="37" t="str">
        <f t="shared" si="554"/>
        <v>23Н</v>
      </c>
      <c r="B1423" s="183"/>
      <c r="C1423" s="41"/>
      <c r="D1423" s="184"/>
      <c r="E1423" s="281">
        <f>B1418</f>
        <v>23</v>
      </c>
      <c r="F1423" s="337"/>
      <c r="G1423" s="338"/>
      <c r="H1423" s="338"/>
      <c r="I1423" s="338"/>
      <c r="J1423" s="338"/>
      <c r="K1423" s="338"/>
      <c r="L1423" s="338"/>
      <c r="M1423" s="338"/>
      <c r="N1423" s="338"/>
      <c r="O1423" s="338"/>
      <c r="P1423" s="338"/>
      <c r="Q1423" s="338"/>
      <c r="R1423" s="338"/>
      <c r="S1423" s="338"/>
      <c r="T1423" s="338"/>
      <c r="U1423" s="338"/>
      <c r="V1423" s="338"/>
      <c r="W1423" s="338"/>
      <c r="X1423" s="98">
        <v>1</v>
      </c>
      <c r="Y1423" s="74">
        <v>1</v>
      </c>
      <c r="Z1423" s="75">
        <f t="shared" ref="Z1423:Z1434" si="560">Y1423-X1423</f>
        <v>0</v>
      </c>
      <c r="AA1423" s="189"/>
      <c r="AB1423" s="41"/>
      <c r="AC1423" s="184"/>
      <c r="AD1423" s="210">
        <f>E1423</f>
        <v>23</v>
      </c>
      <c r="AE1423" s="387"/>
      <c r="AF1423" s="388"/>
      <c r="AG1423" s="388"/>
      <c r="AH1423" s="388"/>
      <c r="AI1423" s="388"/>
      <c r="AJ1423" s="388"/>
      <c r="AK1423" s="388"/>
      <c r="AL1423" s="388"/>
      <c r="AM1423" s="388"/>
      <c r="AN1423" s="388"/>
      <c r="AO1423" s="388"/>
      <c r="AP1423" s="388"/>
      <c r="AQ1423" s="388"/>
      <c r="AR1423" s="388"/>
      <c r="AS1423" s="388"/>
      <c r="AT1423" s="388"/>
      <c r="AU1423" s="388"/>
      <c r="AV1423" s="388"/>
      <c r="AW1423" s="388"/>
      <c r="AX1423" s="388"/>
      <c r="AY1423" s="388"/>
      <c r="AZ1423" s="388"/>
      <c r="BA1423" s="388"/>
      <c r="BB1423" s="389"/>
      <c r="BC1423" s="98">
        <v>1</v>
      </c>
      <c r="BD1423" s="74">
        <v>1</v>
      </c>
      <c r="BE1423" s="75">
        <f t="shared" ref="BE1423:BE1434" si="561">BD1423-BC1423</f>
        <v>0</v>
      </c>
    </row>
    <row r="1424" spans="1:57" s="1" customFormat="1" ht="27" customHeight="1" x14ac:dyDescent="0.4">
      <c r="A1424" s="37" t="str">
        <f t="shared" si="554"/>
        <v>23Н</v>
      </c>
      <c r="B1424" s="183"/>
      <c r="C1424" s="41"/>
      <c r="D1424" s="184"/>
      <c r="E1424" s="282">
        <f>E1423</f>
        <v>23</v>
      </c>
      <c r="F1424" s="335"/>
      <c r="G1424" s="336"/>
      <c r="H1424" s="336"/>
      <c r="I1424" s="336"/>
      <c r="J1424" s="336"/>
      <c r="K1424" s="336"/>
      <c r="L1424" s="336"/>
      <c r="M1424" s="336"/>
      <c r="N1424" s="336"/>
      <c r="O1424" s="336"/>
      <c r="P1424" s="336"/>
      <c r="Q1424" s="336"/>
      <c r="R1424" s="336"/>
      <c r="S1424" s="336"/>
      <c r="T1424" s="336"/>
      <c r="U1424" s="336"/>
      <c r="V1424" s="336"/>
      <c r="W1424" s="336"/>
      <c r="X1424" s="98">
        <v>1</v>
      </c>
      <c r="Y1424" s="74">
        <v>1</v>
      </c>
      <c r="Z1424" s="75">
        <f t="shared" si="560"/>
        <v>0</v>
      </c>
      <c r="AA1424" s="107">
        <f>AA1423</f>
        <v>0</v>
      </c>
      <c r="AB1424" s="41"/>
      <c r="AC1424" s="184"/>
      <c r="AD1424" s="212">
        <f>AD1423</f>
        <v>23</v>
      </c>
      <c r="AE1424" s="387"/>
      <c r="AF1424" s="388"/>
      <c r="AG1424" s="388"/>
      <c r="AH1424" s="388"/>
      <c r="AI1424" s="388"/>
      <c r="AJ1424" s="388"/>
      <c r="AK1424" s="388"/>
      <c r="AL1424" s="388"/>
      <c r="AM1424" s="388"/>
      <c r="AN1424" s="388"/>
      <c r="AO1424" s="388"/>
      <c r="AP1424" s="388"/>
      <c r="AQ1424" s="388"/>
      <c r="AR1424" s="388"/>
      <c r="AS1424" s="388"/>
      <c r="AT1424" s="388"/>
      <c r="AU1424" s="388"/>
      <c r="AV1424" s="388"/>
      <c r="AW1424" s="388"/>
      <c r="AX1424" s="388"/>
      <c r="AY1424" s="388"/>
      <c r="AZ1424" s="388"/>
      <c r="BA1424" s="388"/>
      <c r="BB1424" s="389"/>
      <c r="BC1424" s="98">
        <v>1</v>
      </c>
      <c r="BD1424" s="74">
        <v>1</v>
      </c>
      <c r="BE1424" s="75">
        <f t="shared" si="561"/>
        <v>0</v>
      </c>
    </row>
    <row r="1425" spans="1:57" s="1" customFormat="1" ht="18" customHeight="1" x14ac:dyDescent="0.4">
      <c r="A1425" s="37" t="str">
        <f t="shared" si="554"/>
        <v>23Н</v>
      </c>
      <c r="B1425" s="183"/>
      <c r="C1425" s="41"/>
      <c r="D1425" s="184"/>
      <c r="E1425" s="282">
        <f t="shared" ref="E1425:E1434" si="562">E1424</f>
        <v>23</v>
      </c>
      <c r="F1425" s="335"/>
      <c r="G1425" s="336"/>
      <c r="H1425" s="336"/>
      <c r="I1425" s="336"/>
      <c r="J1425" s="336"/>
      <c r="K1425" s="336"/>
      <c r="L1425" s="336"/>
      <c r="M1425" s="336"/>
      <c r="N1425" s="336"/>
      <c r="O1425" s="336"/>
      <c r="P1425" s="336"/>
      <c r="Q1425" s="336"/>
      <c r="R1425" s="336"/>
      <c r="S1425" s="336"/>
      <c r="T1425" s="336"/>
      <c r="U1425" s="336"/>
      <c r="V1425" s="336"/>
      <c r="W1425" s="336"/>
      <c r="X1425" s="98">
        <v>1</v>
      </c>
      <c r="Y1425" s="74">
        <v>1</v>
      </c>
      <c r="Z1425" s="75">
        <f t="shared" si="560"/>
        <v>0</v>
      </c>
      <c r="AA1425" s="107">
        <f>AA1424</f>
        <v>0</v>
      </c>
      <c r="AB1425" s="41"/>
      <c r="AC1425" s="184"/>
      <c r="AD1425" s="212">
        <f t="shared" ref="AD1425:AD1434" si="563">AD1424</f>
        <v>23</v>
      </c>
      <c r="AE1425" s="387"/>
      <c r="AF1425" s="388"/>
      <c r="AG1425" s="388"/>
      <c r="AH1425" s="388"/>
      <c r="AI1425" s="388"/>
      <c r="AJ1425" s="388"/>
      <c r="AK1425" s="388"/>
      <c r="AL1425" s="388"/>
      <c r="AM1425" s="388"/>
      <c r="AN1425" s="388"/>
      <c r="AO1425" s="388"/>
      <c r="AP1425" s="388"/>
      <c r="AQ1425" s="388"/>
      <c r="AR1425" s="388"/>
      <c r="AS1425" s="388"/>
      <c r="AT1425" s="388"/>
      <c r="AU1425" s="388"/>
      <c r="AV1425" s="388"/>
      <c r="AW1425" s="388"/>
      <c r="AX1425" s="388"/>
      <c r="AY1425" s="388"/>
      <c r="AZ1425" s="388"/>
      <c r="BA1425" s="388"/>
      <c r="BB1425" s="389"/>
      <c r="BC1425" s="98">
        <v>1</v>
      </c>
      <c r="BD1425" s="74">
        <v>1</v>
      </c>
      <c r="BE1425" s="75">
        <f t="shared" si="561"/>
        <v>0</v>
      </c>
    </row>
    <row r="1426" spans="1:57" s="1" customFormat="1" ht="18" customHeight="1" x14ac:dyDescent="0.4">
      <c r="A1426" s="37" t="str">
        <f t="shared" si="554"/>
        <v>23Н</v>
      </c>
      <c r="B1426" s="183"/>
      <c r="C1426" s="41"/>
      <c r="D1426" s="184"/>
      <c r="E1426" s="282">
        <f t="shared" si="562"/>
        <v>23</v>
      </c>
      <c r="F1426" s="335"/>
      <c r="G1426" s="336"/>
      <c r="H1426" s="336"/>
      <c r="I1426" s="336"/>
      <c r="J1426" s="336"/>
      <c r="K1426" s="336"/>
      <c r="L1426" s="336"/>
      <c r="M1426" s="336"/>
      <c r="N1426" s="336"/>
      <c r="O1426" s="336"/>
      <c r="P1426" s="336"/>
      <c r="Q1426" s="336"/>
      <c r="R1426" s="336"/>
      <c r="S1426" s="336"/>
      <c r="T1426" s="336"/>
      <c r="U1426" s="336"/>
      <c r="V1426" s="336"/>
      <c r="W1426" s="336"/>
      <c r="X1426" s="98">
        <v>1</v>
      </c>
      <c r="Y1426" s="74">
        <v>1</v>
      </c>
      <c r="Z1426" s="75">
        <f t="shared" si="560"/>
        <v>0</v>
      </c>
      <c r="AA1426" s="107">
        <f t="shared" ref="AA1426:AA1434" si="564">AA1425</f>
        <v>0</v>
      </c>
      <c r="AB1426" s="41"/>
      <c r="AC1426" s="184"/>
      <c r="AD1426" s="212">
        <f t="shared" si="563"/>
        <v>23</v>
      </c>
      <c r="AE1426" s="387"/>
      <c r="AF1426" s="388"/>
      <c r="AG1426" s="388"/>
      <c r="AH1426" s="388"/>
      <c r="AI1426" s="388"/>
      <c r="AJ1426" s="388"/>
      <c r="AK1426" s="388"/>
      <c r="AL1426" s="388"/>
      <c r="AM1426" s="388"/>
      <c r="AN1426" s="388"/>
      <c r="AO1426" s="388"/>
      <c r="AP1426" s="388"/>
      <c r="AQ1426" s="388"/>
      <c r="AR1426" s="388"/>
      <c r="AS1426" s="388"/>
      <c r="AT1426" s="388"/>
      <c r="AU1426" s="388"/>
      <c r="AV1426" s="388"/>
      <c r="AW1426" s="388"/>
      <c r="AX1426" s="388"/>
      <c r="AY1426" s="388"/>
      <c r="AZ1426" s="388"/>
      <c r="BA1426" s="388"/>
      <c r="BB1426" s="389"/>
      <c r="BC1426" s="98">
        <v>1</v>
      </c>
      <c r="BD1426" s="74">
        <v>1</v>
      </c>
      <c r="BE1426" s="75">
        <f t="shared" si="561"/>
        <v>0</v>
      </c>
    </row>
    <row r="1427" spans="1:57" s="1" customFormat="1" ht="18" customHeight="1" x14ac:dyDescent="0.4">
      <c r="A1427" s="37" t="str">
        <f t="shared" si="554"/>
        <v>23Н</v>
      </c>
      <c r="B1427" s="183"/>
      <c r="C1427" s="41"/>
      <c r="D1427" s="184"/>
      <c r="E1427" s="282">
        <f t="shared" si="562"/>
        <v>23</v>
      </c>
      <c r="F1427" s="335"/>
      <c r="G1427" s="336"/>
      <c r="H1427" s="336"/>
      <c r="I1427" s="336"/>
      <c r="J1427" s="336"/>
      <c r="K1427" s="336"/>
      <c r="L1427" s="336"/>
      <c r="M1427" s="336"/>
      <c r="N1427" s="336"/>
      <c r="O1427" s="336"/>
      <c r="P1427" s="336"/>
      <c r="Q1427" s="336"/>
      <c r="R1427" s="336"/>
      <c r="S1427" s="336"/>
      <c r="T1427" s="336"/>
      <c r="U1427" s="336"/>
      <c r="V1427" s="336"/>
      <c r="W1427" s="336"/>
      <c r="X1427" s="98">
        <v>1</v>
      </c>
      <c r="Y1427" s="74">
        <v>1</v>
      </c>
      <c r="Z1427" s="75">
        <f t="shared" si="560"/>
        <v>0</v>
      </c>
      <c r="AA1427" s="107">
        <f t="shared" si="564"/>
        <v>0</v>
      </c>
      <c r="AB1427" s="41"/>
      <c r="AC1427" s="184"/>
      <c r="AD1427" s="212">
        <f t="shared" si="563"/>
        <v>23</v>
      </c>
      <c r="AE1427" s="387"/>
      <c r="AF1427" s="388"/>
      <c r="AG1427" s="388"/>
      <c r="AH1427" s="388"/>
      <c r="AI1427" s="388"/>
      <c r="AJ1427" s="388"/>
      <c r="AK1427" s="388"/>
      <c r="AL1427" s="388"/>
      <c r="AM1427" s="388"/>
      <c r="AN1427" s="388"/>
      <c r="AO1427" s="388"/>
      <c r="AP1427" s="388"/>
      <c r="AQ1427" s="388"/>
      <c r="AR1427" s="388"/>
      <c r="AS1427" s="388"/>
      <c r="AT1427" s="388"/>
      <c r="AU1427" s="388"/>
      <c r="AV1427" s="388"/>
      <c r="AW1427" s="388"/>
      <c r="AX1427" s="388"/>
      <c r="AY1427" s="388"/>
      <c r="AZ1427" s="388"/>
      <c r="BA1427" s="388"/>
      <c r="BB1427" s="389"/>
      <c r="BC1427" s="98">
        <v>1</v>
      </c>
      <c r="BD1427" s="74">
        <v>1</v>
      </c>
      <c r="BE1427" s="75">
        <f t="shared" si="561"/>
        <v>0</v>
      </c>
    </row>
    <row r="1428" spans="1:57" s="1" customFormat="1" ht="18" customHeight="1" x14ac:dyDescent="0.4">
      <c r="A1428" s="37" t="str">
        <f t="shared" si="554"/>
        <v>23Н</v>
      </c>
      <c r="B1428" s="183"/>
      <c r="C1428" s="41"/>
      <c r="D1428" s="184"/>
      <c r="E1428" s="282">
        <f t="shared" si="562"/>
        <v>23</v>
      </c>
      <c r="F1428" s="335"/>
      <c r="G1428" s="336"/>
      <c r="H1428" s="336"/>
      <c r="I1428" s="336"/>
      <c r="J1428" s="336"/>
      <c r="K1428" s="336"/>
      <c r="L1428" s="336"/>
      <c r="M1428" s="336"/>
      <c r="N1428" s="336"/>
      <c r="O1428" s="336"/>
      <c r="P1428" s="336"/>
      <c r="Q1428" s="336"/>
      <c r="R1428" s="336"/>
      <c r="S1428" s="336"/>
      <c r="T1428" s="336"/>
      <c r="U1428" s="336"/>
      <c r="V1428" s="336"/>
      <c r="W1428" s="336"/>
      <c r="X1428" s="98">
        <v>1</v>
      </c>
      <c r="Y1428" s="74">
        <v>1</v>
      </c>
      <c r="Z1428" s="75">
        <f t="shared" si="560"/>
        <v>0</v>
      </c>
      <c r="AA1428" s="107">
        <f t="shared" si="564"/>
        <v>0</v>
      </c>
      <c r="AB1428" s="41"/>
      <c r="AC1428" s="184"/>
      <c r="AD1428" s="212">
        <f t="shared" si="563"/>
        <v>23</v>
      </c>
      <c r="AE1428" s="387"/>
      <c r="AF1428" s="388"/>
      <c r="AG1428" s="388"/>
      <c r="AH1428" s="388"/>
      <c r="AI1428" s="388"/>
      <c r="AJ1428" s="388"/>
      <c r="AK1428" s="388"/>
      <c r="AL1428" s="388"/>
      <c r="AM1428" s="388"/>
      <c r="AN1428" s="388"/>
      <c r="AO1428" s="388"/>
      <c r="AP1428" s="388"/>
      <c r="AQ1428" s="388"/>
      <c r="AR1428" s="388"/>
      <c r="AS1428" s="388"/>
      <c r="AT1428" s="388"/>
      <c r="AU1428" s="388"/>
      <c r="AV1428" s="388"/>
      <c r="AW1428" s="388"/>
      <c r="AX1428" s="388"/>
      <c r="AY1428" s="388"/>
      <c r="AZ1428" s="388"/>
      <c r="BA1428" s="388"/>
      <c r="BB1428" s="389"/>
      <c r="BC1428" s="98">
        <v>1</v>
      </c>
      <c r="BD1428" s="74">
        <v>1</v>
      </c>
      <c r="BE1428" s="75">
        <f t="shared" si="561"/>
        <v>0</v>
      </c>
    </row>
    <row r="1429" spans="1:57" s="1" customFormat="1" ht="18" customHeight="1" x14ac:dyDescent="0.4">
      <c r="A1429" s="37" t="str">
        <f t="shared" si="554"/>
        <v>23Н</v>
      </c>
      <c r="B1429" s="183"/>
      <c r="C1429" s="41"/>
      <c r="D1429" s="184"/>
      <c r="E1429" s="282">
        <f t="shared" si="562"/>
        <v>23</v>
      </c>
      <c r="F1429" s="335"/>
      <c r="G1429" s="336"/>
      <c r="H1429" s="336"/>
      <c r="I1429" s="336"/>
      <c r="J1429" s="336"/>
      <c r="K1429" s="336"/>
      <c r="L1429" s="336"/>
      <c r="M1429" s="336"/>
      <c r="N1429" s="336"/>
      <c r="O1429" s="336"/>
      <c r="P1429" s="336"/>
      <c r="Q1429" s="336"/>
      <c r="R1429" s="336"/>
      <c r="S1429" s="336"/>
      <c r="T1429" s="336"/>
      <c r="U1429" s="336"/>
      <c r="V1429" s="336"/>
      <c r="W1429" s="336"/>
      <c r="X1429" s="98">
        <v>1</v>
      </c>
      <c r="Y1429" s="74">
        <v>1</v>
      </c>
      <c r="Z1429" s="75">
        <f t="shared" si="560"/>
        <v>0</v>
      </c>
      <c r="AA1429" s="107">
        <f t="shared" si="564"/>
        <v>0</v>
      </c>
      <c r="AB1429" s="41"/>
      <c r="AC1429" s="184"/>
      <c r="AD1429" s="212">
        <f t="shared" si="563"/>
        <v>23</v>
      </c>
      <c r="AE1429" s="387"/>
      <c r="AF1429" s="388"/>
      <c r="AG1429" s="388"/>
      <c r="AH1429" s="388"/>
      <c r="AI1429" s="388"/>
      <c r="AJ1429" s="388"/>
      <c r="AK1429" s="388"/>
      <c r="AL1429" s="388"/>
      <c r="AM1429" s="388"/>
      <c r="AN1429" s="388"/>
      <c r="AO1429" s="388"/>
      <c r="AP1429" s="388"/>
      <c r="AQ1429" s="388"/>
      <c r="AR1429" s="388"/>
      <c r="AS1429" s="388"/>
      <c r="AT1429" s="388"/>
      <c r="AU1429" s="388"/>
      <c r="AV1429" s="388"/>
      <c r="AW1429" s="388"/>
      <c r="AX1429" s="388"/>
      <c r="AY1429" s="388"/>
      <c r="AZ1429" s="388"/>
      <c r="BA1429" s="388"/>
      <c r="BB1429" s="389"/>
      <c r="BC1429" s="98">
        <v>1</v>
      </c>
      <c r="BD1429" s="74">
        <v>1</v>
      </c>
      <c r="BE1429" s="75">
        <f t="shared" si="561"/>
        <v>0</v>
      </c>
    </row>
    <row r="1430" spans="1:57" s="1" customFormat="1" ht="18" customHeight="1" x14ac:dyDescent="0.4">
      <c r="A1430" s="37" t="str">
        <f t="shared" si="554"/>
        <v>23Н</v>
      </c>
      <c r="B1430" s="183"/>
      <c r="C1430" s="41"/>
      <c r="D1430" s="184"/>
      <c r="E1430" s="282">
        <f t="shared" si="562"/>
        <v>23</v>
      </c>
      <c r="F1430" s="335"/>
      <c r="G1430" s="336"/>
      <c r="H1430" s="336"/>
      <c r="I1430" s="336"/>
      <c r="J1430" s="336"/>
      <c r="K1430" s="336"/>
      <c r="L1430" s="336"/>
      <c r="M1430" s="336"/>
      <c r="N1430" s="336"/>
      <c r="O1430" s="336"/>
      <c r="P1430" s="336"/>
      <c r="Q1430" s="336"/>
      <c r="R1430" s="336"/>
      <c r="S1430" s="336"/>
      <c r="T1430" s="336"/>
      <c r="U1430" s="336"/>
      <c r="V1430" s="336"/>
      <c r="W1430" s="336"/>
      <c r="X1430" s="98">
        <v>1</v>
      </c>
      <c r="Y1430" s="74">
        <v>1</v>
      </c>
      <c r="Z1430" s="75">
        <f t="shared" si="560"/>
        <v>0</v>
      </c>
      <c r="AA1430" s="107">
        <f t="shared" si="564"/>
        <v>0</v>
      </c>
      <c r="AB1430" s="41"/>
      <c r="AC1430" s="184"/>
      <c r="AD1430" s="212">
        <f t="shared" si="563"/>
        <v>23</v>
      </c>
      <c r="AE1430" s="387"/>
      <c r="AF1430" s="388"/>
      <c r="AG1430" s="388"/>
      <c r="AH1430" s="388"/>
      <c r="AI1430" s="388"/>
      <c r="AJ1430" s="388"/>
      <c r="AK1430" s="388"/>
      <c r="AL1430" s="388"/>
      <c r="AM1430" s="388"/>
      <c r="AN1430" s="388"/>
      <c r="AO1430" s="388"/>
      <c r="AP1430" s="388"/>
      <c r="AQ1430" s="388"/>
      <c r="AR1430" s="388"/>
      <c r="AS1430" s="388"/>
      <c r="AT1430" s="388"/>
      <c r="AU1430" s="388"/>
      <c r="AV1430" s="388"/>
      <c r="AW1430" s="388"/>
      <c r="AX1430" s="388"/>
      <c r="AY1430" s="388"/>
      <c r="AZ1430" s="388"/>
      <c r="BA1430" s="388"/>
      <c r="BB1430" s="389"/>
      <c r="BC1430" s="98">
        <v>1</v>
      </c>
      <c r="BD1430" s="74">
        <v>1</v>
      </c>
      <c r="BE1430" s="75">
        <f t="shared" si="561"/>
        <v>0</v>
      </c>
    </row>
    <row r="1431" spans="1:57" s="1" customFormat="1" ht="18" customHeight="1" x14ac:dyDescent="0.4">
      <c r="A1431" s="37" t="str">
        <f t="shared" si="554"/>
        <v>23Н</v>
      </c>
      <c r="B1431" s="183"/>
      <c r="C1431" s="41"/>
      <c r="D1431" s="184"/>
      <c r="E1431" s="282">
        <f t="shared" si="562"/>
        <v>23</v>
      </c>
      <c r="F1431" s="335"/>
      <c r="G1431" s="336"/>
      <c r="H1431" s="336"/>
      <c r="I1431" s="336"/>
      <c r="J1431" s="336"/>
      <c r="K1431" s="336"/>
      <c r="L1431" s="336"/>
      <c r="M1431" s="336"/>
      <c r="N1431" s="336"/>
      <c r="O1431" s="336"/>
      <c r="P1431" s="336"/>
      <c r="Q1431" s="336"/>
      <c r="R1431" s="336"/>
      <c r="S1431" s="336"/>
      <c r="T1431" s="336"/>
      <c r="U1431" s="336"/>
      <c r="V1431" s="336"/>
      <c r="W1431" s="336"/>
      <c r="X1431" s="98">
        <v>1</v>
      </c>
      <c r="Y1431" s="74">
        <v>1</v>
      </c>
      <c r="Z1431" s="75">
        <f t="shared" si="560"/>
        <v>0</v>
      </c>
      <c r="AA1431" s="107">
        <f t="shared" si="564"/>
        <v>0</v>
      </c>
      <c r="AB1431" s="41"/>
      <c r="AC1431" s="184"/>
      <c r="AD1431" s="212">
        <f t="shared" si="563"/>
        <v>23</v>
      </c>
      <c r="AE1431" s="387"/>
      <c r="AF1431" s="388"/>
      <c r="AG1431" s="388"/>
      <c r="AH1431" s="388"/>
      <c r="AI1431" s="388"/>
      <c r="AJ1431" s="388"/>
      <c r="AK1431" s="388"/>
      <c r="AL1431" s="388"/>
      <c r="AM1431" s="388"/>
      <c r="AN1431" s="388"/>
      <c r="AO1431" s="388"/>
      <c r="AP1431" s="388"/>
      <c r="AQ1431" s="388"/>
      <c r="AR1431" s="388"/>
      <c r="AS1431" s="388"/>
      <c r="AT1431" s="388"/>
      <c r="AU1431" s="388"/>
      <c r="AV1431" s="388"/>
      <c r="AW1431" s="388"/>
      <c r="AX1431" s="388"/>
      <c r="AY1431" s="388"/>
      <c r="AZ1431" s="388"/>
      <c r="BA1431" s="388"/>
      <c r="BB1431" s="389"/>
      <c r="BC1431" s="98">
        <v>1</v>
      </c>
      <c r="BD1431" s="74">
        <v>1</v>
      </c>
      <c r="BE1431" s="75">
        <f t="shared" si="561"/>
        <v>0</v>
      </c>
    </row>
    <row r="1432" spans="1:57" s="1" customFormat="1" ht="18" customHeight="1" x14ac:dyDescent="0.4">
      <c r="A1432" s="37" t="str">
        <f t="shared" si="554"/>
        <v>23Н</v>
      </c>
      <c r="B1432" s="183"/>
      <c r="C1432" s="41"/>
      <c r="D1432" s="184"/>
      <c r="E1432" s="282">
        <f t="shared" si="562"/>
        <v>23</v>
      </c>
      <c r="F1432" s="335"/>
      <c r="G1432" s="336"/>
      <c r="H1432" s="336"/>
      <c r="I1432" s="336"/>
      <c r="J1432" s="336"/>
      <c r="K1432" s="336"/>
      <c r="L1432" s="336"/>
      <c r="M1432" s="336"/>
      <c r="N1432" s="336"/>
      <c r="O1432" s="336"/>
      <c r="P1432" s="336"/>
      <c r="Q1432" s="336"/>
      <c r="R1432" s="336"/>
      <c r="S1432" s="336"/>
      <c r="T1432" s="336"/>
      <c r="U1432" s="336"/>
      <c r="V1432" s="336"/>
      <c r="W1432" s="336"/>
      <c r="X1432" s="98">
        <v>1</v>
      </c>
      <c r="Y1432" s="74">
        <v>1</v>
      </c>
      <c r="Z1432" s="75">
        <f t="shared" si="560"/>
        <v>0</v>
      </c>
      <c r="AA1432" s="107">
        <f t="shared" si="564"/>
        <v>0</v>
      </c>
      <c r="AB1432" s="41"/>
      <c r="AC1432" s="184"/>
      <c r="AD1432" s="212">
        <f t="shared" si="563"/>
        <v>23</v>
      </c>
      <c r="AE1432" s="387"/>
      <c r="AF1432" s="388"/>
      <c r="AG1432" s="388"/>
      <c r="AH1432" s="388"/>
      <c r="AI1432" s="388"/>
      <c r="AJ1432" s="388"/>
      <c r="AK1432" s="388"/>
      <c r="AL1432" s="388"/>
      <c r="AM1432" s="388"/>
      <c r="AN1432" s="388"/>
      <c r="AO1432" s="388"/>
      <c r="AP1432" s="388"/>
      <c r="AQ1432" s="388"/>
      <c r="AR1432" s="388"/>
      <c r="AS1432" s="388"/>
      <c r="AT1432" s="388"/>
      <c r="AU1432" s="388"/>
      <c r="AV1432" s="388"/>
      <c r="AW1432" s="388"/>
      <c r="AX1432" s="388"/>
      <c r="AY1432" s="388"/>
      <c r="AZ1432" s="388"/>
      <c r="BA1432" s="388"/>
      <c r="BB1432" s="389"/>
      <c r="BC1432" s="98">
        <v>1</v>
      </c>
      <c r="BD1432" s="74">
        <v>1</v>
      </c>
      <c r="BE1432" s="75">
        <f t="shared" si="561"/>
        <v>0</v>
      </c>
    </row>
    <row r="1433" spans="1:57" s="1" customFormat="1" ht="18" customHeight="1" x14ac:dyDescent="0.4">
      <c r="A1433" s="37" t="str">
        <f t="shared" si="554"/>
        <v>23Н</v>
      </c>
      <c r="B1433" s="183"/>
      <c r="C1433" s="41"/>
      <c r="D1433" s="184"/>
      <c r="E1433" s="282">
        <f t="shared" si="562"/>
        <v>23</v>
      </c>
      <c r="F1433" s="335"/>
      <c r="G1433" s="336"/>
      <c r="H1433" s="336"/>
      <c r="I1433" s="336"/>
      <c r="J1433" s="336"/>
      <c r="K1433" s="336"/>
      <c r="L1433" s="336"/>
      <c r="M1433" s="336"/>
      <c r="N1433" s="336"/>
      <c r="O1433" s="336"/>
      <c r="P1433" s="336"/>
      <c r="Q1433" s="336"/>
      <c r="R1433" s="336"/>
      <c r="S1433" s="336"/>
      <c r="T1433" s="336"/>
      <c r="U1433" s="336"/>
      <c r="V1433" s="336"/>
      <c r="W1433" s="336"/>
      <c r="X1433" s="98">
        <v>1</v>
      </c>
      <c r="Y1433" s="74">
        <v>1</v>
      </c>
      <c r="Z1433" s="75">
        <f t="shared" si="560"/>
        <v>0</v>
      </c>
      <c r="AA1433" s="107">
        <f t="shared" si="564"/>
        <v>0</v>
      </c>
      <c r="AB1433" s="41"/>
      <c r="AC1433" s="184"/>
      <c r="AD1433" s="212">
        <f t="shared" si="563"/>
        <v>23</v>
      </c>
      <c r="AE1433" s="387"/>
      <c r="AF1433" s="388"/>
      <c r="AG1433" s="388"/>
      <c r="AH1433" s="388"/>
      <c r="AI1433" s="388"/>
      <c r="AJ1433" s="388"/>
      <c r="AK1433" s="388"/>
      <c r="AL1433" s="388"/>
      <c r="AM1433" s="388"/>
      <c r="AN1433" s="388"/>
      <c r="AO1433" s="388"/>
      <c r="AP1433" s="388"/>
      <c r="AQ1433" s="388"/>
      <c r="AR1433" s="388"/>
      <c r="AS1433" s="388"/>
      <c r="AT1433" s="388"/>
      <c r="AU1433" s="388"/>
      <c r="AV1433" s="388"/>
      <c r="AW1433" s="388"/>
      <c r="AX1433" s="388"/>
      <c r="AY1433" s="388"/>
      <c r="AZ1433" s="388"/>
      <c r="BA1433" s="388"/>
      <c r="BB1433" s="389"/>
      <c r="BC1433" s="98">
        <v>1</v>
      </c>
      <c r="BD1433" s="74">
        <v>1</v>
      </c>
      <c r="BE1433" s="75">
        <f t="shared" si="561"/>
        <v>0</v>
      </c>
    </row>
    <row r="1434" spans="1:57" s="1" customFormat="1" ht="18" customHeight="1" thickBot="1" x14ac:dyDescent="0.45">
      <c r="A1434" s="37" t="str">
        <f t="shared" si="554"/>
        <v>23Н</v>
      </c>
      <c r="B1434" s="183"/>
      <c r="C1434" s="41"/>
      <c r="D1434" s="184"/>
      <c r="E1434" s="283">
        <f t="shared" si="562"/>
        <v>23</v>
      </c>
      <c r="F1434" s="339"/>
      <c r="G1434" s="340"/>
      <c r="H1434" s="340"/>
      <c r="I1434" s="340"/>
      <c r="J1434" s="340"/>
      <c r="K1434" s="340"/>
      <c r="L1434" s="340"/>
      <c r="M1434" s="340"/>
      <c r="N1434" s="340"/>
      <c r="O1434" s="340"/>
      <c r="P1434" s="340"/>
      <c r="Q1434" s="340"/>
      <c r="R1434" s="340"/>
      <c r="S1434" s="340"/>
      <c r="T1434" s="340"/>
      <c r="U1434" s="340"/>
      <c r="V1434" s="340"/>
      <c r="W1434" s="340"/>
      <c r="X1434" s="99">
        <v>1</v>
      </c>
      <c r="Y1434" s="76">
        <v>1</v>
      </c>
      <c r="Z1434" s="77">
        <f t="shared" si="560"/>
        <v>0</v>
      </c>
      <c r="AA1434" s="107">
        <f t="shared" si="564"/>
        <v>0</v>
      </c>
      <c r="AB1434" s="41"/>
      <c r="AC1434" s="184"/>
      <c r="AD1434" s="211">
        <f t="shared" si="563"/>
        <v>23</v>
      </c>
      <c r="AE1434" s="410"/>
      <c r="AF1434" s="411"/>
      <c r="AG1434" s="411"/>
      <c r="AH1434" s="411"/>
      <c r="AI1434" s="411"/>
      <c r="AJ1434" s="411"/>
      <c r="AK1434" s="411"/>
      <c r="AL1434" s="411"/>
      <c r="AM1434" s="411"/>
      <c r="AN1434" s="411"/>
      <c r="AO1434" s="411"/>
      <c r="AP1434" s="411"/>
      <c r="AQ1434" s="411"/>
      <c r="AR1434" s="411"/>
      <c r="AS1434" s="411"/>
      <c r="AT1434" s="411"/>
      <c r="AU1434" s="411"/>
      <c r="AV1434" s="411"/>
      <c r="AW1434" s="411"/>
      <c r="AX1434" s="411"/>
      <c r="AY1434" s="411"/>
      <c r="AZ1434" s="411"/>
      <c r="BA1434" s="411"/>
      <c r="BB1434" s="412"/>
      <c r="BC1434" s="99">
        <v>1</v>
      </c>
      <c r="BD1434" s="76">
        <v>1</v>
      </c>
      <c r="BE1434" s="75">
        <f t="shared" si="561"/>
        <v>0</v>
      </c>
    </row>
    <row r="1435" spans="1:57" s="1" customFormat="1" ht="23.25" customHeight="1" thickBot="1" x14ac:dyDescent="0.45">
      <c r="A1435" s="37" t="str">
        <f t="shared" si="554"/>
        <v>23Н</v>
      </c>
      <c r="B1435" s="193"/>
      <c r="C1435" s="47"/>
      <c r="D1435" s="47"/>
      <c r="E1435" s="47"/>
      <c r="F1435" s="78"/>
      <c r="G1435" s="78"/>
      <c r="H1435" s="78"/>
      <c r="I1435" s="80"/>
      <c r="J1435" s="80"/>
      <c r="K1435" s="80"/>
      <c r="L1435" s="80"/>
      <c r="M1435" s="80"/>
      <c r="N1435" s="80"/>
      <c r="O1435" s="78"/>
      <c r="P1435" s="81"/>
      <c r="Q1435" s="81"/>
      <c r="R1435" s="81"/>
      <c r="S1435" s="81"/>
      <c r="T1435" s="81"/>
      <c r="U1435" s="82"/>
      <c r="V1435" s="82"/>
      <c r="W1435" s="86"/>
      <c r="X1435" s="194"/>
      <c r="Y1435" s="83"/>
      <c r="Z1435" s="83"/>
      <c r="AA1435" s="78"/>
      <c r="AB1435" s="47"/>
      <c r="AC1435" s="47"/>
      <c r="AD1435" s="47"/>
      <c r="AE1435" s="47"/>
      <c r="AF1435" s="47"/>
      <c r="AG1435" s="47"/>
      <c r="AH1435" s="47"/>
      <c r="AI1435" s="47"/>
      <c r="AJ1435" s="47"/>
      <c r="AK1435" s="47"/>
      <c r="AL1435" s="47"/>
      <c r="AM1435" s="84"/>
      <c r="AN1435" s="47"/>
      <c r="AO1435" s="78"/>
      <c r="AP1435" s="78"/>
      <c r="AQ1435" s="78"/>
      <c r="AR1435" s="84"/>
      <c r="AS1435" s="78"/>
      <c r="AT1435" s="85"/>
      <c r="AU1435" s="78"/>
      <c r="AV1435" s="83"/>
      <c r="AW1435" s="83"/>
      <c r="AX1435" s="78"/>
      <c r="AY1435" s="78"/>
      <c r="AZ1435" s="78"/>
      <c r="BA1435" s="78"/>
      <c r="BB1435" s="78"/>
      <c r="BC1435" s="78"/>
      <c r="BD1435" s="79"/>
      <c r="BE1435" s="79"/>
    </row>
    <row r="1436" spans="1:57" s="1" customFormat="1" ht="21.6" customHeight="1" thickBot="1" x14ac:dyDescent="0.45">
      <c r="A1436" s="37" t="s">
        <v>192</v>
      </c>
      <c r="B1436" s="59"/>
      <c r="C1436" s="51"/>
      <c r="D1436" s="51"/>
      <c r="E1436" s="51"/>
      <c r="F1436" s="158" t="s">
        <v>147</v>
      </c>
      <c r="G1436" s="51"/>
      <c r="H1436" s="51"/>
      <c r="I1436" s="156"/>
      <c r="J1436" s="156"/>
      <c r="K1436" s="156"/>
      <c r="L1436" s="156"/>
      <c r="M1436" s="156"/>
      <c r="N1436" s="156"/>
      <c r="O1436" s="91"/>
      <c r="P1436" s="52"/>
      <c r="Q1436" s="52"/>
      <c r="R1436" s="52"/>
      <c r="S1436" s="52"/>
      <c r="T1436" s="52"/>
      <c r="U1436" s="157"/>
      <c r="V1436" s="157"/>
      <c r="W1436" s="94"/>
      <c r="X1436" s="94"/>
      <c r="Y1436" s="51"/>
      <c r="Z1436" s="51"/>
      <c r="AA1436" s="157">
        <f>AA1419</f>
        <v>1</v>
      </c>
      <c r="AB1436" s="157">
        <f t="shared" ref="AB1436:AF1436" si="565">AB1419</f>
        <v>2</v>
      </c>
      <c r="AC1436" s="157">
        <f t="shared" si="565"/>
        <v>3</v>
      </c>
      <c r="AD1436" s="157">
        <f t="shared" si="565"/>
        <v>4</v>
      </c>
      <c r="AE1436" s="157">
        <f t="shared" si="565"/>
        <v>5</v>
      </c>
      <c r="AF1436" s="157">
        <f t="shared" si="565"/>
        <v>6</v>
      </c>
      <c r="AG1436" s="162" t="s">
        <v>123</v>
      </c>
      <c r="AH1436" s="162" t="s">
        <v>124</v>
      </c>
      <c r="AI1436" s="162" t="s">
        <v>125</v>
      </c>
      <c r="AJ1436" s="91" t="s">
        <v>126</v>
      </c>
      <c r="AK1436" s="198" t="s">
        <v>136</v>
      </c>
      <c r="AL1436" s="198" t="s">
        <v>137</v>
      </c>
      <c r="AM1436" s="198" t="s">
        <v>138</v>
      </c>
      <c r="AN1436" s="91"/>
      <c r="AO1436" s="91"/>
      <c r="AP1436" s="91"/>
      <c r="AQ1436" s="91"/>
      <c r="AR1436" s="91"/>
      <c r="AS1436" s="91"/>
      <c r="AT1436" s="91"/>
      <c r="AU1436" s="91"/>
      <c r="AV1436" s="91"/>
      <c r="AW1436" s="91"/>
      <c r="AX1436" s="91"/>
      <c r="AY1436" s="91"/>
      <c r="AZ1436" s="91"/>
      <c r="BA1436" s="91"/>
      <c r="BB1436" s="91"/>
      <c r="BC1436" s="91"/>
      <c r="BD1436" s="91"/>
      <c r="BE1436" s="91"/>
    </row>
    <row r="1437" spans="1:57" s="1" customFormat="1" ht="21.6" customHeight="1" x14ac:dyDescent="0.4">
      <c r="A1437" s="37" t="str">
        <f>A1436</f>
        <v>24Д</v>
      </c>
      <c r="B1437" s="12">
        <f>B1418+1</f>
        <v>24</v>
      </c>
      <c r="C1437" s="97"/>
      <c r="D1437" s="97">
        <v>1</v>
      </c>
      <c r="E1437" s="29"/>
      <c r="F1437" s="151" t="str">
        <f>IFERROR(VLOOKUP($G1437,нормы!$A$14:$BC$57,2,0),"")</f>
        <v/>
      </c>
      <c r="G1437" s="93"/>
      <c r="H1437" s="54">
        <f>IF(C1437=1,"Кульков С.А.", IF(C1437=2,"Чудаков А.А.",IF(C1437=3,"Королев В.Н.",IF(C1437=4,"Николашин М.П.",IF(C1437=5," Кульков С.А.",IF(C1437=6,"А.А. Чудаков",IF(C1437=7,"В.Н. Королев",IF(C1437=8,"М.П. Николашин",0))))))))</f>
        <v>0</v>
      </c>
      <c r="I1437" s="88" t="s">
        <v>84</v>
      </c>
      <c r="J1437" s="332"/>
      <c r="K1437" s="30">
        <f>IFERROR(VLOOKUP($G1437,[1]нормы!$A$21:$BC$151,15,0),"")</f>
        <v>0</v>
      </c>
      <c r="L1437" s="31">
        <f>IFERROR(VLOOKUP($G1437,[1]нормы!$A$21:$BC$151,17,0),"")</f>
        <v>0</v>
      </c>
      <c r="M1437" s="310">
        <f>IFERROR(VLOOKUP($G1437,[1]нормы!$A$21:$BC$151,27,0),"")</f>
        <v>0</v>
      </c>
      <c r="N1437" s="311" t="str">
        <f>IFERROR(Y1437/Y1443*(1.1*J1437*I1442),"")</f>
        <v/>
      </c>
      <c r="O1437" s="300">
        <f>IFERROR(VLOOKUP($G1437,[1]нормы!$A$21:$BC$151,21,0),"")</f>
        <v>0</v>
      </c>
      <c r="P1437" s="35">
        <f>IFERROR(VLOOKUP($G1437,[1]нормы!$A$21:$BC$151,19,0),"")</f>
        <v>0</v>
      </c>
      <c r="Q1437" s="35">
        <f>IFERROR(VLOOKUP($G1437,[1]нормы!$A$21:$BC$151,23,0),"")</f>
        <v>0</v>
      </c>
      <c r="R1437" s="231">
        <f>IFERROR(VLOOKUP($G1437,[1]нормы!$A$21:$BC$151,29,0),"")</f>
        <v>0</v>
      </c>
      <c r="S1437" s="35">
        <f>IFERROR(VLOOKUP($G1437,[1]нормы!$A$21:$BC$151,31,0),"")</f>
        <v>0</v>
      </c>
      <c r="T1437" s="32">
        <f>IFERROR(VLOOKUP($G1437,[1]нормы!$A$21:$BC$151,25,0),"")</f>
        <v>0</v>
      </c>
      <c r="U1437" s="232" t="str">
        <f>IFERROR(W1437/(((100*Y1437/Y1443)*I1442)/100),"")</f>
        <v/>
      </c>
      <c r="V1437" s="234" t="str">
        <f>IFERROR(VLOOKUP($G1437,нормы!$A$14:$BC$57,38,0),"")</f>
        <v/>
      </c>
      <c r="W1437" s="136"/>
      <c r="X1437" s="236"/>
      <c r="Y1437" s="152" t="str">
        <f>IFERROR(VLOOKUP($G1437,нормы!$A$14:$BC$57,42,0)*W1437,"")</f>
        <v/>
      </c>
      <c r="Z1437" s="163">
        <f>IFERROR(VLOOKUP($G1437,нормы!$A$14:$BC$57,14,0)*W1437/1000,0)</f>
        <v>0</v>
      </c>
      <c r="AA1437" s="33"/>
      <c r="AB1437" s="36"/>
      <c r="AC1437" s="36"/>
      <c r="AD1437" s="36"/>
      <c r="AE1437" s="34"/>
      <c r="AF1437" s="159"/>
      <c r="AG1437" s="390"/>
      <c r="AH1437" s="393"/>
      <c r="AI1437" s="396"/>
      <c r="AJ1437" s="407">
        <f>AG1437+AH1437</f>
        <v>0</v>
      </c>
      <c r="AK1437" s="359"/>
      <c r="AL1437" s="359"/>
      <c r="AM1437" s="359"/>
      <c r="AN1437" s="287">
        <f>IFERROR(Y1437*AJ1437/Y1443,)</f>
        <v>0</v>
      </c>
      <c r="AO1437" s="197" t="str">
        <f>IFERROR(VLOOKUP($G1437,нормы!$A$14:$BC$57,53,0)*$W1437,"")</f>
        <v/>
      </c>
      <c r="AP1437" s="288">
        <f>IFERROR(Y1437*AI1437/Y1443,)</f>
        <v>0</v>
      </c>
      <c r="AQ1437" s="197" t="str">
        <f>IFERROR(VLOOKUP($G1437,нормы!$A$14:$BC$57,54,0)*$W1437,"")</f>
        <v/>
      </c>
      <c r="AR1437" s="288">
        <f>IFERROR(AS1437/SUM(AS1437:AS1442)*AL1437,0)</f>
        <v>0</v>
      </c>
      <c r="AS1437" s="197" t="str">
        <f>IFERROR(VLOOKUP($G1437,нормы!$A$14:$BC$57,55,0)*W1437,"")</f>
        <v/>
      </c>
      <c r="AT1437" s="288">
        <f>IFERROR(AU1437/SUM(AU1437:AU1442)*AM1437,0)</f>
        <v>0</v>
      </c>
      <c r="AU1437" s="197" t="str">
        <f>IFERROR(VLOOKUP($G1437,нормы!$A$14:$BI$57,56,0)*W1437,"")</f>
        <v/>
      </c>
      <c r="AV1437" s="288">
        <f>IFERROR(AW1437/SUM(AW1437:AW1442)*AK1437,0)</f>
        <v>0</v>
      </c>
      <c r="AW1437" s="202" t="str">
        <f>IFERROR(VLOOKUP($G1437,нормы!$A$14:$BI$57,57,0)*W1437,"")</f>
        <v/>
      </c>
      <c r="AX1437" s="33"/>
      <c r="AY1437" s="203" t="str">
        <f>IFERROR(VLOOKUP($G1437,нормы!$A$14:$BI$57,58,0)*W1437,"")</f>
        <v/>
      </c>
      <c r="AZ1437" s="204"/>
      <c r="BA1437" s="200" t="str">
        <f>IFERROR(VLOOKUP($G1437,нормы!$A$14:$BI$57,61,0)*$W1437,"")</f>
        <v/>
      </c>
      <c r="BB1437" s="33"/>
      <c r="BC1437" s="203" t="str">
        <f>IFERROR(VLOOKUP($G1437,нормы!$A$14:$BI$57,60,0)*W1437,"")</f>
        <v/>
      </c>
      <c r="BD1437" s="200" t="str">
        <f>IFERROR(VLOOKUP($G1437,нормы!$A$14:$BG$57,44,0),"")</f>
        <v/>
      </c>
      <c r="BE1437" s="199" t="str">
        <f>IFERROR(W1437/VLOOKUP($G1437,нормы!$A$14:$BI$57,45,0),"")</f>
        <v/>
      </c>
    </row>
    <row r="1438" spans="1:57" s="1" customFormat="1" ht="21.6" customHeight="1" x14ac:dyDescent="0.4">
      <c r="A1438" s="37" t="str">
        <f t="shared" ref="A1438:A1466" si="566">A1437</f>
        <v>24Д</v>
      </c>
      <c r="B1438" s="12">
        <f t="shared" ref="B1438:D1442" si="567">B1437</f>
        <v>24</v>
      </c>
      <c r="C1438" s="97">
        <f t="shared" si="567"/>
        <v>0</v>
      </c>
      <c r="D1438" s="97">
        <f t="shared" si="567"/>
        <v>1</v>
      </c>
      <c r="E1438" s="54"/>
      <c r="F1438" s="151" t="str">
        <f>IFERROR(VLOOKUP($G1438,нормы!$A$14:$BC$57,2,0),"")</f>
        <v/>
      </c>
      <c r="G1438" s="93"/>
      <c r="H1438" s="54">
        <f t="shared" ref="H1438:H1442" si="568">IF(C1438=1,"Кульков С.А.", IF(C1438=2,"Чудаков А.А.",IF(C1438=3,"Королев В.Н.",IF(C1438=4,"Николашин М.П.",IF(C1438=5," Кульков С.А.",IF(C1438=6,"А.А. Чудаков",IF(C1438=7,"В.Н. Королев",IF(C1438=8,"М.П. Николашин",0))))))))</f>
        <v>0</v>
      </c>
      <c r="I1438" s="55"/>
      <c r="J1438" s="333"/>
      <c r="K1438" s="30">
        <f>IFERROR(VLOOKUP($G1438,[1]нормы!$A$21:$BC$151,15,0),"")</f>
        <v>0</v>
      </c>
      <c r="L1438" s="31">
        <f>IFERROR(VLOOKUP($G1438,[1]нормы!$A$21:$BC$151,17,0),"")</f>
        <v>0</v>
      </c>
      <c r="M1438" s="306">
        <f>IFERROR(VLOOKUP($G1438,[1]нормы!$A$21:$BC$151,27,0),"")</f>
        <v>0</v>
      </c>
      <c r="N1438" s="307" t="str">
        <f>IFERROR(Y1438/Y1443*(1.1*J1437*I1442),"")</f>
        <v/>
      </c>
      <c r="O1438" s="300">
        <f>IFERROR(VLOOKUP($G1438,[1]нормы!$A$21:$BC$151,21,0),"")</f>
        <v>0</v>
      </c>
      <c r="P1438" s="35">
        <f>IFERROR(VLOOKUP($G1438,[1]нормы!$A$21:$BC$151,19,0),"")</f>
        <v>0</v>
      </c>
      <c r="Q1438" s="35">
        <f>IFERROR(VLOOKUP($G1438,[1]нормы!$A$21:$BC$151,23,0),"")</f>
        <v>0</v>
      </c>
      <c r="R1438" s="231">
        <f>IFERROR(VLOOKUP($G1438,[1]нормы!$A$21:$BC$151,29,0),"")</f>
        <v>0</v>
      </c>
      <c r="S1438" s="35">
        <f>IFERROR(VLOOKUP($G1438,[1]нормы!$A$21:$BC$151,31,0),"")</f>
        <v>0</v>
      </c>
      <c r="T1438" s="32">
        <f>IFERROR(VLOOKUP($G1438,[1]нормы!$A$21:$BC$151,25,0),"")</f>
        <v>0</v>
      </c>
      <c r="U1438" s="233" t="str">
        <f>IFERROR(W1438/(((100*Y1438/Y1443)*I1442)/100),"")</f>
        <v/>
      </c>
      <c r="V1438" s="234" t="str">
        <f>IFERROR(VLOOKUP($G1438,нормы!$A$14:$BC$57,38,0),"")</f>
        <v/>
      </c>
      <c r="W1438" s="136"/>
      <c r="X1438" s="237"/>
      <c r="Y1438" s="152" t="str">
        <f>IFERROR(VLOOKUP($G1438,нормы!$A$14:$BC$57,42,0)*W1438,"")</f>
        <v/>
      </c>
      <c r="Z1438" s="163">
        <f>IFERROR(VLOOKUP($G1438,нормы!$A$14:$BC$57,14,0)*W1438/1000,0)</f>
        <v>0</v>
      </c>
      <c r="AA1438" s="142"/>
      <c r="AB1438" s="35"/>
      <c r="AC1438" s="35"/>
      <c r="AD1438" s="35"/>
      <c r="AE1438" s="31"/>
      <c r="AF1438" s="160"/>
      <c r="AG1438" s="391"/>
      <c r="AH1438" s="394"/>
      <c r="AI1438" s="397"/>
      <c r="AJ1438" s="408"/>
      <c r="AK1438" s="360"/>
      <c r="AL1438" s="360"/>
      <c r="AM1438" s="360"/>
      <c r="AN1438" s="289">
        <f>IFERROR(Y1438*AJ1437/Y1443,)</f>
        <v>0</v>
      </c>
      <c r="AO1438" s="197" t="str">
        <f>IFERROR(VLOOKUP($G1438,нормы!$A$14:$BC$57,53,0)*$W1438,"")</f>
        <v/>
      </c>
      <c r="AP1438" s="290">
        <f>IFERROR(Y1438*AI1437/Y1443,)</f>
        <v>0</v>
      </c>
      <c r="AQ1438" s="197" t="str">
        <f>IFERROR(VLOOKUP($G1438,нормы!$A$14:$BC$57,54,0)*$W1438,"")</f>
        <v/>
      </c>
      <c r="AR1438" s="290">
        <f>IFERROR(AS1438/SUM(AS1437:AS1442)*AL1437,0)</f>
        <v>0</v>
      </c>
      <c r="AS1438" s="197" t="str">
        <f>IFERROR(VLOOKUP($G1438,нормы!$A$14:$BC$57,55,0)*W1438,"")</f>
        <v/>
      </c>
      <c r="AT1438" s="290">
        <f>IFERROR(AU1438/SUM(AU1437:AU1442)*AM1437,0)</f>
        <v>0</v>
      </c>
      <c r="AU1438" s="197" t="str">
        <f>IFERROR(VLOOKUP($G1438,нормы!$A$14:$BI$57,56,0)*W1438,"")</f>
        <v/>
      </c>
      <c r="AV1438" s="290">
        <f>IFERROR(AW1438/SUM(AW1437:AW1442)*AK1437,0)</f>
        <v>0</v>
      </c>
      <c r="AW1438" s="202" t="str">
        <f>IFERROR(VLOOKUP($G1438,нормы!$A$14:$BI$57,57,0)*W1438,"")</f>
        <v/>
      </c>
      <c r="AX1438" s="30"/>
      <c r="AY1438" s="203" t="str">
        <f>IFERROR(VLOOKUP($G1438,нормы!$A$14:$BI$57,58,0)*W1438,"")</f>
        <v/>
      </c>
      <c r="AZ1438" s="205"/>
      <c r="BA1438" s="200" t="str">
        <f>IFERROR(VLOOKUP($G1438,нормы!$A$14:$BI$57,61,0)*$W1438,"")</f>
        <v/>
      </c>
      <c r="BB1438" s="30"/>
      <c r="BC1438" s="203" t="str">
        <f>IFERROR(VLOOKUP($G1438,нормы!$A$14:$BI$57,60,0)*W1438,"")</f>
        <v/>
      </c>
      <c r="BD1438" s="200" t="str">
        <f>IFERROR(VLOOKUP($G1438,нормы!$A$14:$BG$57,44,0),"")</f>
        <v/>
      </c>
      <c r="BE1438" s="199" t="str">
        <f>IFERROR(W1438/VLOOKUP($G1438,нормы!$A$14:$BI$57,45,0),"")</f>
        <v/>
      </c>
    </row>
    <row r="1439" spans="1:57" s="1" customFormat="1" ht="20.25" customHeight="1" x14ac:dyDescent="0.4">
      <c r="A1439" s="37" t="str">
        <f t="shared" si="566"/>
        <v>24Д</v>
      </c>
      <c r="B1439" s="12">
        <f t="shared" si="567"/>
        <v>24</v>
      </c>
      <c r="C1439" s="97">
        <f t="shared" si="567"/>
        <v>0</v>
      </c>
      <c r="D1439" s="97">
        <f t="shared" si="567"/>
        <v>1</v>
      </c>
      <c r="E1439" s="54"/>
      <c r="F1439" s="151" t="str">
        <f>IFERROR(VLOOKUP($G1439,нормы!$A$14:$BC$57,2,0),"")</f>
        <v/>
      </c>
      <c r="G1439" s="38"/>
      <c r="H1439" s="54">
        <f t="shared" si="568"/>
        <v>0</v>
      </c>
      <c r="I1439" s="89" t="s">
        <v>85</v>
      </c>
      <c r="J1439" s="333"/>
      <c r="K1439" s="30">
        <f>IFERROR(VLOOKUP($G1439,[1]нормы!$A$21:$BC$151,15,0),"")</f>
        <v>0</v>
      </c>
      <c r="L1439" s="31">
        <f>IFERROR(VLOOKUP($G1439,[1]нормы!$A$21:$BC$151,17,0),"")</f>
        <v>0</v>
      </c>
      <c r="M1439" s="306">
        <f>IFERROR(VLOOKUP($G1439,[1]нормы!$A$21:$BC$151,27,0),"")</f>
        <v>0</v>
      </c>
      <c r="N1439" s="307" t="str">
        <f>IFERROR(Y1439/Y1443*(1.1*J1437*I1442),"")</f>
        <v/>
      </c>
      <c r="O1439" s="300">
        <f>IFERROR(VLOOKUP($G1439,[1]нормы!$A$21:$BC$151,21,0),"")</f>
        <v>0</v>
      </c>
      <c r="P1439" s="35">
        <f>IFERROR(VLOOKUP($G1439,[1]нормы!$A$21:$BC$151,19,0),"")</f>
        <v>0</v>
      </c>
      <c r="Q1439" s="35">
        <f>IFERROR(VLOOKUP($G1439,[1]нормы!$A$21:$BC$151,23,0),"")</f>
        <v>0</v>
      </c>
      <c r="R1439" s="231">
        <f>IFERROR(VLOOKUP($G1439,[1]нормы!$A$21:$BC$151,29,0),"")</f>
        <v>0</v>
      </c>
      <c r="S1439" s="35">
        <f>IFERROR(VLOOKUP($G1439,[1]нормы!$A$21:$BC$151,31,0),"")</f>
        <v>0</v>
      </c>
      <c r="T1439" s="32">
        <f>IFERROR(VLOOKUP($G1439,[1]нормы!$A$21:$BC$151,25,0),"")</f>
        <v>0</v>
      </c>
      <c r="U1439" s="233" t="str">
        <f>IFERROR(W1439/(((100*Y1439/Y1443)*I1442)/100),"")</f>
        <v/>
      </c>
      <c r="V1439" s="234" t="str">
        <f>IFERROR(VLOOKUP($G1439,нормы!$A$14:$BC$57,38,0),"")</f>
        <v/>
      </c>
      <c r="W1439" s="136"/>
      <c r="X1439" s="237"/>
      <c r="Y1439" s="152" t="str">
        <f>IFERROR(VLOOKUP($G1439,нормы!$A$14:$BC$57,42,0)*W1439,"")</f>
        <v/>
      </c>
      <c r="Z1439" s="163">
        <f>IFERROR(VLOOKUP($G1439,нормы!$A$14:$BC$57,14,0)*W1439/1000,0)</f>
        <v>0</v>
      </c>
      <c r="AA1439" s="30"/>
      <c r="AB1439" s="35"/>
      <c r="AC1439" s="35"/>
      <c r="AD1439" s="35"/>
      <c r="AE1439" s="31"/>
      <c r="AF1439" s="160"/>
      <c r="AG1439" s="391"/>
      <c r="AH1439" s="394"/>
      <c r="AI1439" s="397"/>
      <c r="AJ1439" s="408"/>
      <c r="AK1439" s="360"/>
      <c r="AL1439" s="360"/>
      <c r="AM1439" s="360"/>
      <c r="AN1439" s="289">
        <f>IFERROR(Y1439*AJ1437/Y1443,)</f>
        <v>0</v>
      </c>
      <c r="AO1439" s="197" t="str">
        <f>IFERROR(VLOOKUP($G1439,нормы!$A$14:$BC$57,53,0)*$W1439,"")</f>
        <v/>
      </c>
      <c r="AP1439" s="290">
        <f>IFERROR(Y1439*AI1437/Y1443,)</f>
        <v>0</v>
      </c>
      <c r="AQ1439" s="197" t="str">
        <f>IFERROR(VLOOKUP($G1439,нормы!$A$14:$BC$57,54,0)*$W1439,"")</f>
        <v/>
      </c>
      <c r="AR1439" s="290">
        <f>IFERROR(AS1439/SUM(AS1437:AS1442)*AL1437,0)</f>
        <v>0</v>
      </c>
      <c r="AS1439" s="197" t="str">
        <f>IFERROR(VLOOKUP($G1439,нормы!$A$14:$BC$57,55,0)*W1439,"")</f>
        <v/>
      </c>
      <c r="AT1439" s="290">
        <f>IFERROR(AU1439/SUM(AU1437:AU1442)*AM1437,0)</f>
        <v>0</v>
      </c>
      <c r="AU1439" s="197" t="str">
        <f>IFERROR(VLOOKUP($G1439,нормы!$A$14:$BI$57,56,0)*W1439,"")</f>
        <v/>
      </c>
      <c r="AV1439" s="290">
        <f>IFERROR(AW1439/SUM(AW1437:AW1442)*AK1437,0)</f>
        <v>0</v>
      </c>
      <c r="AW1439" s="202" t="str">
        <f>IFERROR(VLOOKUP($G1439,нормы!$A$14:$BI$57,57,0)*W1439,"")</f>
        <v/>
      </c>
      <c r="AX1439" s="30"/>
      <c r="AY1439" s="203" t="str">
        <f>IFERROR(VLOOKUP($G1439,нормы!$A$14:$BI$57,58,0)*W1439,"")</f>
        <v/>
      </c>
      <c r="AZ1439" s="205"/>
      <c r="BA1439" s="200" t="str">
        <f>IFERROR(VLOOKUP($G1439,нормы!$A$14:$BI$57,61,0)*$W1439,"")</f>
        <v/>
      </c>
      <c r="BB1439" s="30"/>
      <c r="BC1439" s="203" t="str">
        <f>IFERROR(VLOOKUP($G1439,нормы!$A$14:$BI$57,60,0)*W1439,"")</f>
        <v/>
      </c>
      <c r="BD1439" s="200" t="str">
        <f>IFERROR(VLOOKUP($G1439,нормы!$A$14:$BG$57,44,0),"")</f>
        <v/>
      </c>
      <c r="BE1439" s="199" t="str">
        <f>IFERROR(W1439/VLOOKUP($G1439,нормы!$A$14:$BI$57,45,0),"")</f>
        <v/>
      </c>
    </row>
    <row r="1440" spans="1:57" s="1" customFormat="1" ht="20.25" customHeight="1" x14ac:dyDescent="0.4">
      <c r="A1440" s="37" t="str">
        <f t="shared" si="566"/>
        <v>24Д</v>
      </c>
      <c r="B1440" s="12">
        <f t="shared" si="567"/>
        <v>24</v>
      </c>
      <c r="C1440" s="97">
        <f t="shared" si="567"/>
        <v>0</v>
      </c>
      <c r="D1440" s="97">
        <f t="shared" si="567"/>
        <v>1</v>
      </c>
      <c r="E1440" s="54"/>
      <c r="F1440" s="151" t="str">
        <f>IFERROR(VLOOKUP($G1440,нормы!$A$14:$BC$57,2,0),"")</f>
        <v/>
      </c>
      <c r="G1440" s="93"/>
      <c r="H1440" s="54">
        <f t="shared" si="568"/>
        <v>0</v>
      </c>
      <c r="I1440" s="55"/>
      <c r="J1440" s="333"/>
      <c r="K1440" s="30">
        <f>IFERROR(VLOOKUP($G1440,[1]нормы!$A$21:$BC$151,15,0),"")</f>
        <v>0</v>
      </c>
      <c r="L1440" s="31">
        <f>IFERROR(VLOOKUP($G1440,[1]нормы!$A$21:$BC$151,17,0),"")</f>
        <v>0</v>
      </c>
      <c r="M1440" s="306">
        <f>IFERROR(VLOOKUP($G1440,[1]нормы!$A$21:$BC$151,27,0),"")</f>
        <v>0</v>
      </c>
      <c r="N1440" s="307" t="str">
        <f>IFERROR(Y1440/Y1443*(1.1*J1437*I1445),"")</f>
        <v/>
      </c>
      <c r="O1440" s="300">
        <f>IFERROR(VLOOKUP($G1440,[1]нормы!$A$21:$BC$151,21,0),"")</f>
        <v>0</v>
      </c>
      <c r="P1440" s="35">
        <f>IFERROR(VLOOKUP($G1440,[1]нормы!$A$21:$BC$151,19,0),"")</f>
        <v>0</v>
      </c>
      <c r="Q1440" s="35">
        <f>IFERROR(VLOOKUP($G1440,[1]нормы!$A$21:$BC$151,23,0),"")</f>
        <v>0</v>
      </c>
      <c r="R1440" s="231">
        <f>IFERROR(VLOOKUP($G1440,[1]нормы!$A$21:$BC$151,29,0),"")</f>
        <v>0</v>
      </c>
      <c r="S1440" s="35">
        <f>IFERROR(VLOOKUP($G1440,[1]нормы!$A$21:$BC$151,31,0),"")</f>
        <v>0</v>
      </c>
      <c r="T1440" s="32">
        <f>IFERROR(VLOOKUP($G1440,[1]нормы!$A$21:$BC$151,25,0),"")</f>
        <v>0</v>
      </c>
      <c r="U1440" s="233" t="str">
        <f>IFERROR(W1440/(((100*Y1440/Y1443)*I1442)/100),"")</f>
        <v/>
      </c>
      <c r="V1440" s="234" t="str">
        <f>IFERROR(VLOOKUP($G1440,нормы!$A$14:$BC$57,38,0),"")</f>
        <v/>
      </c>
      <c r="W1440" s="136"/>
      <c r="X1440" s="237"/>
      <c r="Y1440" s="152" t="str">
        <f>IFERROR(VLOOKUP($G1440,нормы!$A$14:$BC$57,42,0)*W1440,"")</f>
        <v/>
      </c>
      <c r="Z1440" s="163">
        <f>IFERROR(VLOOKUP($G1440,нормы!$A$14:$BC$57,14,0)*W1440/1000,0)</f>
        <v>0</v>
      </c>
      <c r="AA1440" s="30"/>
      <c r="AB1440" s="35"/>
      <c r="AC1440" s="35"/>
      <c r="AD1440" s="35"/>
      <c r="AE1440" s="31"/>
      <c r="AF1440" s="160"/>
      <c r="AG1440" s="391"/>
      <c r="AH1440" s="394"/>
      <c r="AI1440" s="397"/>
      <c r="AJ1440" s="408"/>
      <c r="AK1440" s="360"/>
      <c r="AL1440" s="360"/>
      <c r="AM1440" s="360"/>
      <c r="AN1440" s="289">
        <f>IFERROR(Y1440*AJ1437/Y1443,)</f>
        <v>0</v>
      </c>
      <c r="AO1440" s="197" t="str">
        <f>IFERROR(VLOOKUP($G1440,нормы!$A$14:$BC$57,53,0)*$W1440,"")</f>
        <v/>
      </c>
      <c r="AP1440" s="290">
        <f>IFERROR(Y1440*AI1437/Y1443,)</f>
        <v>0</v>
      </c>
      <c r="AQ1440" s="197" t="str">
        <f>IFERROR(VLOOKUP($G1440,нормы!$A$14:$BC$57,54,0)*$W1440,"")</f>
        <v/>
      </c>
      <c r="AR1440" s="290">
        <f>IFERROR(AS1440/SUM(AS1437:AS1442)*AL1437,0)</f>
        <v>0</v>
      </c>
      <c r="AS1440" s="197" t="str">
        <f>IFERROR(VLOOKUP($G1440,нормы!$A$14:$BC$57,55,0)*W1440,"")</f>
        <v/>
      </c>
      <c r="AT1440" s="290">
        <f>IFERROR(AU1440/SUM(AU1437:AU1442)*AM1437,0)</f>
        <v>0</v>
      </c>
      <c r="AU1440" s="197" t="str">
        <f>IFERROR(VLOOKUP($G1440,нормы!$A$14:$BI$57,56,0)*W1440,"")</f>
        <v/>
      </c>
      <c r="AV1440" s="290">
        <f>IFERROR(AW1440/SUM(AW1437:AW1442)*AK1437,0)</f>
        <v>0</v>
      </c>
      <c r="AW1440" s="202" t="str">
        <f>IFERROR(VLOOKUP($G1440,нормы!$A$14:$BI$57,57,0)*W1440,"")</f>
        <v/>
      </c>
      <c r="AX1440" s="30"/>
      <c r="AY1440" s="203" t="str">
        <f>IFERROR(VLOOKUP($G1440,нормы!$A$14:$BI$57,58,0)*W1440,"")</f>
        <v/>
      </c>
      <c r="AZ1440" s="205"/>
      <c r="BA1440" s="200" t="str">
        <f>IFERROR(VLOOKUP($G1440,нормы!$A$14:$BI$57,61,0)*$W1440,"")</f>
        <v/>
      </c>
      <c r="BB1440" s="30"/>
      <c r="BC1440" s="203" t="str">
        <f>IFERROR(VLOOKUP($G1440,нормы!$A$14:$BI$57,60,0)*W1440,"")</f>
        <v/>
      </c>
      <c r="BD1440" s="200" t="str">
        <f>IFERROR(VLOOKUP($G1440,нормы!$A$14:$BG$57,44,0),"")</f>
        <v/>
      </c>
      <c r="BE1440" s="199" t="str">
        <f>IFERROR(W1440/VLOOKUP($G1440,нормы!$A$14:$BI$57,45,0),"")</f>
        <v/>
      </c>
    </row>
    <row r="1441" spans="1:57" s="1" customFormat="1" ht="20.25" customHeight="1" x14ac:dyDescent="0.4">
      <c r="A1441" s="37" t="str">
        <f t="shared" si="566"/>
        <v>24Д</v>
      </c>
      <c r="B1441" s="12">
        <f t="shared" si="567"/>
        <v>24</v>
      </c>
      <c r="C1441" s="97">
        <f t="shared" si="567"/>
        <v>0</v>
      </c>
      <c r="D1441" s="97">
        <f t="shared" si="567"/>
        <v>1</v>
      </c>
      <c r="E1441" s="54"/>
      <c r="F1441" s="151" t="str">
        <f>IFERROR(VLOOKUP($G1441,нормы!$A$14:$BC$57,2,0),"")</f>
        <v/>
      </c>
      <c r="G1441" s="38"/>
      <c r="H1441" s="54">
        <f t="shared" si="568"/>
        <v>0</v>
      </c>
      <c r="I1441" s="89" t="s">
        <v>73</v>
      </c>
      <c r="J1441" s="333"/>
      <c r="K1441" s="30">
        <f>IFERROR(VLOOKUP($G1441,[1]нормы!$A$21:$BC$151,15,0),"")</f>
        <v>0</v>
      </c>
      <c r="L1441" s="31">
        <f>IFERROR(VLOOKUP($G1441,[1]нормы!$A$21:$BC$151,17,0),"")</f>
        <v>0</v>
      </c>
      <c r="M1441" s="306">
        <f>IFERROR(VLOOKUP($G1441,[1]нормы!$A$21:$BC$151,27,0),"")</f>
        <v>0</v>
      </c>
      <c r="N1441" s="307" t="str">
        <f>IFERROR(Y1441/Y1443*(1.1*J1437*I1446),"")</f>
        <v/>
      </c>
      <c r="O1441" s="300">
        <f>IFERROR(VLOOKUP($G1441,[1]нормы!$A$21:$BC$151,21,0),"")</f>
        <v>0</v>
      </c>
      <c r="P1441" s="35">
        <f>IFERROR(VLOOKUP($G1441,[1]нормы!$A$21:$BC$151,19,0),"")</f>
        <v>0</v>
      </c>
      <c r="Q1441" s="35">
        <f>IFERROR(VLOOKUP($G1441,[1]нормы!$A$21:$BC$151,23,0),"")</f>
        <v>0</v>
      </c>
      <c r="R1441" s="231">
        <f>IFERROR(VLOOKUP($G1441,[1]нормы!$A$21:$BC$151,29,0),"")</f>
        <v>0</v>
      </c>
      <c r="S1441" s="35">
        <f>IFERROR(VLOOKUP($G1441,[1]нормы!$A$21:$BC$151,31,0),"")</f>
        <v>0</v>
      </c>
      <c r="T1441" s="32">
        <f>IFERROR(VLOOKUP($G1441,[1]нормы!$A$21:$BC$151,25,0),"")</f>
        <v>0</v>
      </c>
      <c r="U1441" s="233" t="str">
        <f>IFERROR(W1441/(((100*Y1441/Y1443)*I1442)/100),"")</f>
        <v/>
      </c>
      <c r="V1441" s="234" t="str">
        <f>IFERROR(VLOOKUP($G1441,нормы!$A$14:$BC$57,38,0),"")</f>
        <v/>
      </c>
      <c r="W1441" s="136"/>
      <c r="X1441" s="237"/>
      <c r="Y1441" s="152" t="str">
        <f>IFERROR(VLOOKUP($G1441,нормы!$A$14:$BC$57,42,0)*W1441,"")</f>
        <v/>
      </c>
      <c r="Z1441" s="163">
        <f>IFERROR(VLOOKUP($G1441,нормы!$A$14:$BC$57,14,0)*W1441/1000,0)</f>
        <v>0</v>
      </c>
      <c r="AA1441" s="30"/>
      <c r="AB1441" s="35"/>
      <c r="AC1441" s="35"/>
      <c r="AD1441" s="35"/>
      <c r="AE1441" s="31"/>
      <c r="AF1441" s="160"/>
      <c r="AG1441" s="391"/>
      <c r="AH1441" s="394"/>
      <c r="AI1441" s="397"/>
      <c r="AJ1441" s="408"/>
      <c r="AK1441" s="360"/>
      <c r="AL1441" s="360"/>
      <c r="AM1441" s="360"/>
      <c r="AN1441" s="289">
        <f>IFERROR(Y1441*AJ1437/Y1443,)</f>
        <v>0</v>
      </c>
      <c r="AO1441" s="197" t="str">
        <f>IFERROR(VLOOKUP($G1441,нормы!$A$14:$BC$57,53,0)*$W1441,"")</f>
        <v/>
      </c>
      <c r="AP1441" s="290">
        <f>IFERROR(Y1441*AI1437/Y1443,)</f>
        <v>0</v>
      </c>
      <c r="AQ1441" s="197" t="str">
        <f>IFERROR(VLOOKUP($G1441,нормы!$A$14:$BC$57,54,0)*$W1441,"")</f>
        <v/>
      </c>
      <c r="AR1441" s="290">
        <f>IFERROR(AS1441/SUM(AS1437:AS1442)*AL1437,0)</f>
        <v>0</v>
      </c>
      <c r="AS1441" s="197" t="str">
        <f>IFERROR(VLOOKUP($G1441,нормы!$A$14:$BC$57,55,0)*W1441,"")</f>
        <v/>
      </c>
      <c r="AT1441" s="290">
        <f>IFERROR(AU1441/SUM(AU1437:AU1442)*AM1437,0)</f>
        <v>0</v>
      </c>
      <c r="AU1441" s="197" t="str">
        <f>IFERROR(VLOOKUP($G1441,нормы!$A$14:$BI$57,56,0)*W1441,"")</f>
        <v/>
      </c>
      <c r="AV1441" s="290">
        <f>IFERROR(AW1441/SUM(AW1437:AW1442)*AK1437,0)</f>
        <v>0</v>
      </c>
      <c r="AW1441" s="202" t="str">
        <f>IFERROR(VLOOKUP($G1441,нормы!$A$14:$BI$57,57,0)*W1441,"")</f>
        <v/>
      </c>
      <c r="AX1441" s="30"/>
      <c r="AY1441" s="203" t="str">
        <f>IFERROR(VLOOKUP($G1441,нормы!$A$14:$BI$57,58,0)*W1441,"")</f>
        <v/>
      </c>
      <c r="AZ1441" s="205"/>
      <c r="BA1441" s="200" t="str">
        <f>IFERROR(VLOOKUP($G1441,нормы!$A$14:$BI$57,61,0)*$W1441,"")</f>
        <v/>
      </c>
      <c r="BB1441" s="30"/>
      <c r="BC1441" s="203" t="str">
        <f>IFERROR(VLOOKUP($G1441,нормы!$A$14:$BI$57,60,0)*W1441,"")</f>
        <v/>
      </c>
      <c r="BD1441" s="200" t="str">
        <f>IFERROR(VLOOKUP($G1441,нормы!$A$14:$BG$57,44,0),"")</f>
        <v/>
      </c>
      <c r="BE1441" s="199" t="str">
        <f>IFERROR(W1441/VLOOKUP($G1441,нормы!$A$14:$BI$57,45,0),"")</f>
        <v/>
      </c>
    </row>
    <row r="1442" spans="1:57" s="1" customFormat="1" ht="21" customHeight="1" thickBot="1" x14ac:dyDescent="0.45">
      <c r="A1442" s="37" t="str">
        <f t="shared" si="566"/>
        <v>24Д</v>
      </c>
      <c r="B1442" s="12">
        <f t="shared" si="567"/>
        <v>24</v>
      </c>
      <c r="C1442" s="97">
        <f t="shared" si="567"/>
        <v>0</v>
      </c>
      <c r="D1442" s="97">
        <f t="shared" si="567"/>
        <v>1</v>
      </c>
      <c r="E1442" s="54"/>
      <c r="F1442" s="151" t="str">
        <f>IFERROR(VLOOKUP($G1442,нормы!$A$14:$BC$57,2,0),"")</f>
        <v/>
      </c>
      <c r="G1442" s="93"/>
      <c r="H1442" s="63">
        <f t="shared" si="568"/>
        <v>0</v>
      </c>
      <c r="I1442" s="153">
        <f>I1438+I1440</f>
        <v>0</v>
      </c>
      <c r="J1442" s="334"/>
      <c r="K1442" s="30">
        <f>IFERROR(VLOOKUP($G1442,[1]нормы!$A$21:$BC$151,15,0),"")</f>
        <v>0</v>
      </c>
      <c r="L1442" s="31">
        <f>IFERROR(VLOOKUP($G1442,[1]нормы!$A$21:$BC$151,17,0),"")</f>
        <v>0</v>
      </c>
      <c r="M1442" s="308">
        <f>IFERROR(VLOOKUP($G1442,[1]нормы!$A$21:$BC$151,27,0),"")</f>
        <v>0</v>
      </c>
      <c r="N1442" s="309" t="str">
        <f>IFERROR(Y1442/Y1443*(1.1*J1437*I1447),"")</f>
        <v/>
      </c>
      <c r="O1442" s="300">
        <f>IFERROR(VLOOKUP($G1442,[1]нормы!$A$21:$BC$151,21,0),"")</f>
        <v>0</v>
      </c>
      <c r="P1442" s="35">
        <f>IFERROR(VLOOKUP($G1442,[1]нормы!$A$21:$BC$151,19,0),"")</f>
        <v>0</v>
      </c>
      <c r="Q1442" s="35">
        <f>IFERROR(VLOOKUP($G1442,[1]нормы!$A$21:$BC$151,23,0),"")</f>
        <v>0</v>
      </c>
      <c r="R1442" s="231">
        <f>IFERROR(VLOOKUP($G1442,[1]нормы!$A$21:$BC$151,29,0),"")</f>
        <v>0</v>
      </c>
      <c r="S1442" s="35">
        <f>IFERROR(VLOOKUP($G1442,[1]нормы!$A$21:$BC$151,31,0),"")</f>
        <v>0</v>
      </c>
      <c r="T1442" s="32">
        <f>IFERROR(VLOOKUP($G1442,[1]нормы!$A$21:$BC$151,25,0),"")</f>
        <v>0</v>
      </c>
      <c r="U1442" s="235" t="str">
        <f>IFERROR(W1442/(((100*Y1442/Y1443)*I1442)/100),"")</f>
        <v/>
      </c>
      <c r="V1442" s="234" t="str">
        <f>IFERROR(VLOOKUP($G1442,нормы!$A$14:$BC$57,38,0),"")</f>
        <v/>
      </c>
      <c r="W1442" s="154"/>
      <c r="X1442" s="238"/>
      <c r="Y1442" s="152" t="str">
        <f>IFERROR(VLOOKUP($G1442,нормы!$A$14:$BC$57,42,0)*W1442,"")</f>
        <v/>
      </c>
      <c r="Z1442" s="163">
        <f>IFERROR(VLOOKUP($G1442,нормы!$A$14:$BC$57,14,0)*W1442/1000,0)</f>
        <v>0</v>
      </c>
      <c r="AA1442" s="56"/>
      <c r="AB1442" s="58"/>
      <c r="AC1442" s="58"/>
      <c r="AD1442" s="58"/>
      <c r="AE1442" s="57"/>
      <c r="AF1442" s="161"/>
      <c r="AG1442" s="392"/>
      <c r="AH1442" s="395"/>
      <c r="AI1442" s="398"/>
      <c r="AJ1442" s="409"/>
      <c r="AK1442" s="361"/>
      <c r="AL1442" s="361"/>
      <c r="AM1442" s="361"/>
      <c r="AN1442" s="291">
        <f>IFERROR(Y1442*AJ1437/Y1443,)</f>
        <v>0</v>
      </c>
      <c r="AO1442" s="197" t="str">
        <f>IFERROR(VLOOKUP($G1442,нормы!$A$14:$BC$57,53,0)*$W1442,"")</f>
        <v/>
      </c>
      <c r="AP1442" s="292">
        <f>IFERROR(Y1442*AI1437/Y1443,)</f>
        <v>0</v>
      </c>
      <c r="AQ1442" s="197" t="str">
        <f>IFERROR(VLOOKUP($G1442,нормы!$A$14:$BC$57,54,0)*$W1442,"")</f>
        <v/>
      </c>
      <c r="AR1442" s="290">
        <f>IFERROR(AS1442/SUM(AS1437:AS1442)*AL1437,0)</f>
        <v>0</v>
      </c>
      <c r="AS1442" s="197" t="str">
        <f>IFERROR(VLOOKUP($G1442,нормы!$A$14:$BC$57,55,0)*W1442,"")</f>
        <v/>
      </c>
      <c r="AT1442" s="292">
        <f>IFERROR(AU1442/SUM(AU1437:AU1442)*AM1437,0)</f>
        <v>0</v>
      </c>
      <c r="AU1442" s="197" t="str">
        <f>IFERROR(VLOOKUP($G1442,нормы!$A$14:$BI$57,56,0)*W1442,"")</f>
        <v/>
      </c>
      <c r="AV1442" s="292">
        <f>IFERROR(AW1442/SUM(AW1437:AW1442)*AK1437,0)</f>
        <v>0</v>
      </c>
      <c r="AW1442" s="202" t="str">
        <f>IFERROR(VLOOKUP($G1442,нормы!$A$14:$BI$57,57,0)*W1442,"")</f>
        <v/>
      </c>
      <c r="AX1442" s="56"/>
      <c r="AY1442" s="203" t="str">
        <f>IFERROR(VLOOKUP($G1442,нормы!$A$14:$BI$57,58,0)*W1442,"")</f>
        <v/>
      </c>
      <c r="AZ1442" s="206"/>
      <c r="BA1442" s="200" t="str">
        <f>IFERROR(VLOOKUP($G1442,нормы!$A$14:$BI$57,61,0)*$W1442,"")</f>
        <v/>
      </c>
      <c r="BB1442" s="56"/>
      <c r="BC1442" s="203" t="str">
        <f>IFERROR(VLOOKUP($G1442,нормы!$A$14:$BI$57,60,0)*W1442,"")</f>
        <v/>
      </c>
      <c r="BD1442" s="200" t="str">
        <f>IFERROR(VLOOKUP($G1442,нормы!$A$14:$BG$57,44,0),"")</f>
        <v/>
      </c>
      <c r="BE1442" s="199" t="str">
        <f>IFERROR(W1442/VLOOKUP($G1442,нормы!$A$14:$BI$57,45,0),"")</f>
        <v/>
      </c>
    </row>
    <row r="1443" spans="1:57" s="1" customFormat="1" ht="29.4" customHeight="1" thickBot="1" x14ac:dyDescent="0.45">
      <c r="A1443" s="37" t="str">
        <f t="shared" si="566"/>
        <v>24Д</v>
      </c>
      <c r="B1443" s="59"/>
      <c r="C1443" s="51"/>
      <c r="D1443" s="51"/>
      <c r="E1443" s="51"/>
      <c r="F1443" s="295" t="s">
        <v>148</v>
      </c>
      <c r="G1443" s="51"/>
      <c r="H1443" s="51"/>
      <c r="I1443" s="60"/>
      <c r="J1443" s="60"/>
      <c r="K1443" s="319" t="s">
        <v>213</v>
      </c>
      <c r="L1443" s="316"/>
      <c r="M1443" s="303" t="s">
        <v>213</v>
      </c>
      <c r="N1443" s="317">
        <f>SUM(N1437:N1442)</f>
        <v>0</v>
      </c>
      <c r="O1443" s="304" t="s">
        <v>216</v>
      </c>
      <c r="P1443" s="318">
        <f>N1443*8.937/1000</f>
        <v>0</v>
      </c>
      <c r="Q1443" s="305" t="s">
        <v>215</v>
      </c>
      <c r="R1443" s="61"/>
      <c r="S1443" s="61"/>
      <c r="T1443" s="61"/>
      <c r="U1443" s="109"/>
      <c r="V1443" s="109"/>
      <c r="W1443" s="94"/>
      <c r="X1443" s="155"/>
      <c r="Y1443" s="96">
        <f>SUM(Y1437:Y1442)</f>
        <v>0</v>
      </c>
      <c r="Z1443" s="164">
        <f>SUM(Z1437:Z1442)</f>
        <v>0</v>
      </c>
      <c r="AA1443" s="62"/>
      <c r="AB1443" s="62"/>
      <c r="AC1443" s="62"/>
      <c r="AD1443" s="62"/>
      <c r="AE1443" s="62"/>
      <c r="AF1443" s="62"/>
      <c r="AG1443" s="162" t="s">
        <v>140</v>
      </c>
      <c r="AH1443" s="162" t="s">
        <v>141</v>
      </c>
      <c r="AI1443" s="162" t="s">
        <v>142</v>
      </c>
      <c r="AJ1443" s="91" t="s">
        <v>126</v>
      </c>
      <c r="AK1443" s="198" t="s">
        <v>136</v>
      </c>
      <c r="AL1443" s="198" t="s">
        <v>137</v>
      </c>
      <c r="AM1443" s="198" t="s">
        <v>138</v>
      </c>
      <c r="AN1443" s="91"/>
      <c r="AO1443" s="91"/>
      <c r="AP1443" s="91"/>
      <c r="AQ1443" s="91"/>
      <c r="AR1443" s="91"/>
      <c r="AS1443" s="91"/>
      <c r="AT1443" s="91"/>
      <c r="AU1443" s="91"/>
      <c r="AV1443" s="91"/>
      <c r="AW1443" s="91"/>
      <c r="AX1443" s="91"/>
      <c r="AY1443" s="91"/>
      <c r="AZ1443" s="91"/>
      <c r="BA1443" s="91"/>
      <c r="BB1443" s="91"/>
      <c r="BC1443" s="91"/>
      <c r="BD1443" s="91"/>
      <c r="BE1443" s="53" t="str">
        <f>IFERROR(W1443/VLOOKUP($G1443,нормы!$A$14:$BI$15,28,0),"")</f>
        <v/>
      </c>
    </row>
    <row r="1444" spans="1:57" s="1" customFormat="1" ht="21.6" customHeight="1" x14ac:dyDescent="0.4">
      <c r="A1444" s="37" t="str">
        <f t="shared" si="566"/>
        <v>24Д</v>
      </c>
      <c r="B1444" s="12">
        <f>B1442</f>
        <v>24</v>
      </c>
      <c r="C1444" s="97"/>
      <c r="D1444" s="97">
        <v>2</v>
      </c>
      <c r="E1444" s="29"/>
      <c r="F1444" s="151" t="str">
        <f>IFERROR(VLOOKUP($G1444,нормы!$A$14:$BC$57,2,0),"")</f>
        <v/>
      </c>
      <c r="G1444" s="93"/>
      <c r="H1444" s="54">
        <f>IF(C1444=1,"Кульков С.А.", IF(C1444=2,"Чудаков А.А.",IF(C1444=3,"Королев В.Н.",IF(C1444=4,"Николашин М.П.",IF(C1444=5," Кульков С.А.",IF(C1444=6,"А.А. Чудаков",IF(C1444=7,"В.Н. Королев",IF(C1444=8,"М.П. Николашин",0))))))))</f>
        <v>0</v>
      </c>
      <c r="I1444" s="88" t="s">
        <v>211</v>
      </c>
      <c r="J1444" s="332"/>
      <c r="K1444" s="30">
        <f>IFERROR(VLOOKUP($G1444,[1]нормы!$A$21:$BC$151,15,0),"")</f>
        <v>0</v>
      </c>
      <c r="L1444" s="31">
        <f>IFERROR(VLOOKUP($G1444,[1]нормы!$A$21:$BC$151,17,0),"")</f>
        <v>0</v>
      </c>
      <c r="M1444" s="310">
        <f>IFERROR(VLOOKUP($G1444,[1]нормы!$A$21:$BC$151,27,0),"")</f>
        <v>0</v>
      </c>
      <c r="N1444" s="311" t="str">
        <f>IFERROR(Y1444/Y1450*(1.1*J1444*I1449),"")</f>
        <v/>
      </c>
      <c r="O1444" s="300">
        <f>IFERROR(VLOOKUP($G1444,[1]нормы!$A$21:$BC$151,21,0),"")</f>
        <v>0</v>
      </c>
      <c r="P1444" s="35">
        <f>IFERROR(VLOOKUP($G1444,[1]нормы!$A$21:$BC$151,19,0),"")</f>
        <v>0</v>
      </c>
      <c r="Q1444" s="35">
        <f>IFERROR(VLOOKUP($G1444,[1]нормы!$A$21:$BC$151,23,0),"")</f>
        <v>0</v>
      </c>
      <c r="R1444" s="231">
        <f>IFERROR(VLOOKUP($G1444,[1]нормы!$A$21:$BC$151,29,0),"")</f>
        <v>0</v>
      </c>
      <c r="S1444" s="35">
        <f>IFERROR(VLOOKUP($G1444,[1]нормы!$A$21:$BC$151,31,0),"")</f>
        <v>0</v>
      </c>
      <c r="T1444" s="32">
        <f>IFERROR(VLOOKUP($G1444,[1]нормы!$A$21:$BC$151,25,0),"")</f>
        <v>0</v>
      </c>
      <c r="U1444" s="232" t="str">
        <f>IFERROR(W1444/(((100*Y1444/Y1450)*I1449)/100),"")</f>
        <v/>
      </c>
      <c r="V1444" s="234" t="str">
        <f>IFERROR(VLOOKUP($G1444,нормы!$A$14:$BC$57,38,0),"")</f>
        <v/>
      </c>
      <c r="W1444" s="136"/>
      <c r="X1444" s="236"/>
      <c r="Y1444" s="152" t="str">
        <f>IFERROR(VLOOKUP($G1444,нормы!$A$14:$BC$57,42,0)*W1444,"")</f>
        <v/>
      </c>
      <c r="Z1444" s="163">
        <f>IFERROR(VLOOKUP($G1444,нормы!$A$14:$BC$57,14,0)*W1444/1000,0)</f>
        <v>0</v>
      </c>
      <c r="AA1444" s="33"/>
      <c r="AB1444" s="36"/>
      <c r="AC1444" s="36"/>
      <c r="AD1444" s="36"/>
      <c r="AE1444" s="34"/>
      <c r="AF1444" s="159"/>
      <c r="AG1444" s="390"/>
      <c r="AH1444" s="393"/>
      <c r="AI1444" s="396"/>
      <c r="AJ1444" s="407">
        <f>AG1444+AH1444</f>
        <v>0</v>
      </c>
      <c r="AK1444" s="359"/>
      <c r="AL1444" s="359"/>
      <c r="AM1444" s="359"/>
      <c r="AN1444" s="287">
        <f>IFERROR(Y1444*AJ1444/Y1450,)</f>
        <v>0</v>
      </c>
      <c r="AO1444" s="197" t="str">
        <f>IFERROR(VLOOKUP($G1444,нормы!$A$14:$BC$57,53,0)*$W1444,"")</f>
        <v/>
      </c>
      <c r="AP1444" s="288">
        <f>IFERROR(Y1444*AI1444/Y1450,)</f>
        <v>0</v>
      </c>
      <c r="AQ1444" s="197" t="str">
        <f>IFERROR(VLOOKUP($G1444,нормы!$A$14:$BC$57,54,0)*$W1444,"")</f>
        <v/>
      </c>
      <c r="AR1444" s="288">
        <f>IFERROR(AS1444/SUM(AS1444:AS1449)*AL1444,0)</f>
        <v>0</v>
      </c>
      <c r="AS1444" s="197" t="str">
        <f>IFERROR(VLOOKUP($G1444,нормы!$A$14:$BC$57,55,0)*W1444,"")</f>
        <v/>
      </c>
      <c r="AT1444" s="288">
        <f>IFERROR(AU1444/SUM(AU1444:AU1449)*AM1444,0)</f>
        <v>0</v>
      </c>
      <c r="AU1444" s="197" t="str">
        <f>IFERROR(VLOOKUP($G1444,нормы!$A$14:$BI$57,56,0)*W1444,"")</f>
        <v/>
      </c>
      <c r="AV1444" s="288">
        <f>IFERROR(AW1444/SUM(AW1444:AW1449)*AK1444,0)</f>
        <v>0</v>
      </c>
      <c r="AW1444" s="202" t="str">
        <f>IFERROR(VLOOKUP($G1444,нормы!$A$14:$BI$57,57,0)*W1444,"")</f>
        <v/>
      </c>
      <c r="AX1444" s="33"/>
      <c r="AY1444" s="203" t="str">
        <f>IFERROR(VLOOKUP($G1444,нормы!$A$14:$BI$57,58,0)*W1444,"")</f>
        <v/>
      </c>
      <c r="AZ1444" s="204"/>
      <c r="BA1444" s="200" t="str">
        <f>IFERROR(VLOOKUP($G1444,нормы!$A$14:$BI$57,61,0)*$W1444,"")</f>
        <v/>
      </c>
      <c r="BB1444" s="33"/>
      <c r="BC1444" s="203" t="str">
        <f>IFERROR(VLOOKUP($G1444,нормы!$A$14:$BI$57,60,0)*W1444,"")</f>
        <v/>
      </c>
      <c r="BD1444" s="200" t="str">
        <f>IFERROR(VLOOKUP($G1444,нормы!$A$14:$BG$57,44,0),"")</f>
        <v/>
      </c>
      <c r="BE1444" s="199" t="str">
        <f>IFERROR(W1444/VLOOKUP($G1444,нормы!$A$14:$BI$57,45,0),"")</f>
        <v/>
      </c>
    </row>
    <row r="1445" spans="1:57" s="1" customFormat="1" ht="21.6" customHeight="1" x14ac:dyDescent="0.4">
      <c r="A1445" s="37" t="str">
        <f t="shared" si="566"/>
        <v>24Д</v>
      </c>
      <c r="B1445" s="12">
        <f t="shared" ref="B1445:D1449" si="569">B1444</f>
        <v>24</v>
      </c>
      <c r="C1445" s="97">
        <f t="shared" si="569"/>
        <v>0</v>
      </c>
      <c r="D1445" s="97">
        <f t="shared" si="569"/>
        <v>2</v>
      </c>
      <c r="E1445" s="54"/>
      <c r="F1445" s="151" t="str">
        <f>IFERROR(VLOOKUP($G1445,нормы!$A$14:$BC$57,2,0),"")</f>
        <v/>
      </c>
      <c r="G1445" s="93"/>
      <c r="H1445" s="54">
        <f t="shared" ref="H1445:H1449" si="570">IF(C1445=1,"Кульков С.А.", IF(C1445=2,"Чудаков А.А.",IF(C1445=3,"Королев В.Н.",IF(C1445=4,"Николашин М.П.",IF(C1445=5," Кульков С.А.",IF(C1445=6,"А.А. Чудаков",IF(C1445=7,"В.Н. Королев",IF(C1445=8,"М.П. Николашин",0))))))))</f>
        <v>0</v>
      </c>
      <c r="I1445" s="55"/>
      <c r="J1445" s="333"/>
      <c r="K1445" s="30">
        <f>IFERROR(VLOOKUP($G1445,[1]нормы!$A$21:$BC$151,15,0),"")</f>
        <v>0</v>
      </c>
      <c r="L1445" s="31">
        <f>IFERROR(VLOOKUP($G1445,[1]нормы!$A$21:$BC$151,17,0),"")</f>
        <v>0</v>
      </c>
      <c r="M1445" s="306">
        <f>IFERROR(VLOOKUP($G1445,[1]нормы!$A$21:$BC$151,27,0),"")</f>
        <v>0</v>
      </c>
      <c r="N1445" s="307" t="str">
        <f>IFERROR(Y1445/Y1450*(1.1*J1444*I1449),"")</f>
        <v/>
      </c>
      <c r="O1445" s="300">
        <f>IFERROR(VLOOKUP($G1445,[1]нормы!$A$21:$BC$151,21,0),"")</f>
        <v>0</v>
      </c>
      <c r="P1445" s="35">
        <f>IFERROR(VLOOKUP($G1445,[1]нормы!$A$21:$BC$151,19,0),"")</f>
        <v>0</v>
      </c>
      <c r="Q1445" s="35">
        <f>IFERROR(VLOOKUP($G1445,[1]нормы!$A$21:$BC$151,23,0),"")</f>
        <v>0</v>
      </c>
      <c r="R1445" s="231">
        <f>IFERROR(VLOOKUP($G1445,[1]нормы!$A$21:$BC$151,29,0),"")</f>
        <v>0</v>
      </c>
      <c r="S1445" s="35">
        <f>IFERROR(VLOOKUP($G1445,[1]нормы!$A$21:$BC$151,31,0),"")</f>
        <v>0</v>
      </c>
      <c r="T1445" s="32">
        <f>IFERROR(VLOOKUP($G1445,[1]нормы!$A$21:$BC$151,25,0),"")</f>
        <v>0</v>
      </c>
      <c r="U1445" s="233" t="str">
        <f>IFERROR(W1445/(((100*Y1445/Y1450)*I1449)/100),"")</f>
        <v/>
      </c>
      <c r="V1445" s="234" t="str">
        <f>IFERROR(VLOOKUP($G1445,нормы!$A$14:$BC$57,38,0),"")</f>
        <v/>
      </c>
      <c r="W1445" s="136"/>
      <c r="X1445" s="237"/>
      <c r="Y1445" s="152" t="str">
        <f>IFERROR(VLOOKUP($G1445,нормы!$A$14:$BC$57,42,0)*W1445,"")</f>
        <v/>
      </c>
      <c r="Z1445" s="163">
        <f>IFERROR(VLOOKUP($G1445,нормы!$A$14:$BC$57,14,0)*W1445/1000,0)</f>
        <v>0</v>
      </c>
      <c r="AA1445" s="142"/>
      <c r="AB1445" s="35"/>
      <c r="AC1445" s="35"/>
      <c r="AD1445" s="35"/>
      <c r="AE1445" s="31"/>
      <c r="AF1445" s="160"/>
      <c r="AG1445" s="391"/>
      <c r="AH1445" s="394"/>
      <c r="AI1445" s="397"/>
      <c r="AJ1445" s="408"/>
      <c r="AK1445" s="360"/>
      <c r="AL1445" s="360"/>
      <c r="AM1445" s="360"/>
      <c r="AN1445" s="289">
        <f>IFERROR(Y1445*AJ1444/Y1450,)</f>
        <v>0</v>
      </c>
      <c r="AO1445" s="197" t="str">
        <f>IFERROR(VLOOKUP($G1445,нормы!$A$14:$BC$57,53,0)*$W1445,"")</f>
        <v/>
      </c>
      <c r="AP1445" s="290">
        <f>IFERROR(Y1445*AI1444/Y1450,)</f>
        <v>0</v>
      </c>
      <c r="AQ1445" s="197" t="str">
        <f>IFERROR(VLOOKUP($G1445,нормы!$A$14:$BC$57,54,0)*$W1445,"")</f>
        <v/>
      </c>
      <c r="AR1445" s="290">
        <f>IFERROR(AS1445/SUM(AS1444:AS1449)*AL1444,0)</f>
        <v>0</v>
      </c>
      <c r="AS1445" s="197" t="str">
        <f>IFERROR(VLOOKUP($G1445,нормы!$A$14:$BC$57,55,0)*W1445,"")</f>
        <v/>
      </c>
      <c r="AT1445" s="290">
        <f>IFERROR(AU1445/SUM(AU1444:AU1449)*AM1444,0)</f>
        <v>0</v>
      </c>
      <c r="AU1445" s="197" t="str">
        <f>IFERROR(VLOOKUP($G1445,нормы!$A$14:$BI$57,56,0)*W1445,"")</f>
        <v/>
      </c>
      <c r="AV1445" s="290">
        <f>IFERROR(AW1445/SUM(AW1444:AW1449)*AK1444,0)</f>
        <v>0</v>
      </c>
      <c r="AW1445" s="202" t="str">
        <f>IFERROR(VLOOKUP($G1445,нормы!$A$14:$BI$57,57,0)*W1445,"")</f>
        <v/>
      </c>
      <c r="AX1445" s="30"/>
      <c r="AY1445" s="203" t="str">
        <f>IFERROR(VLOOKUP($G1445,нормы!$A$14:$BI$57,58,0)*W1445,"")</f>
        <v/>
      </c>
      <c r="AZ1445" s="205"/>
      <c r="BA1445" s="200" t="str">
        <f>IFERROR(VLOOKUP($G1445,нормы!$A$14:$BI$57,61,0)*$W1445,"")</f>
        <v/>
      </c>
      <c r="BB1445" s="30"/>
      <c r="BC1445" s="203" t="str">
        <f>IFERROR(VLOOKUP($G1445,нормы!$A$14:$BI$57,60,0)*W1445,"")</f>
        <v/>
      </c>
      <c r="BD1445" s="200" t="str">
        <f>IFERROR(VLOOKUP($G1445,нормы!$A$14:$BG$57,44,0),"")</f>
        <v/>
      </c>
      <c r="BE1445" s="199" t="str">
        <f>IFERROR(W1445/VLOOKUP($G1445,нормы!$A$14:$BI$57,45,0),"")</f>
        <v/>
      </c>
    </row>
    <row r="1446" spans="1:57" s="1" customFormat="1" ht="20.25" customHeight="1" x14ac:dyDescent="0.4">
      <c r="A1446" s="37" t="str">
        <f t="shared" si="566"/>
        <v>24Д</v>
      </c>
      <c r="B1446" s="12">
        <f t="shared" si="569"/>
        <v>24</v>
      </c>
      <c r="C1446" s="97">
        <f t="shared" si="569"/>
        <v>0</v>
      </c>
      <c r="D1446" s="97">
        <f t="shared" si="569"/>
        <v>2</v>
      </c>
      <c r="E1446" s="54"/>
      <c r="F1446" s="151" t="str">
        <f>IFERROR(VLOOKUP($G1446,нормы!$A$14:$BC$57,2,0),"")</f>
        <v/>
      </c>
      <c r="G1446" s="38"/>
      <c r="H1446" s="54">
        <f t="shared" si="570"/>
        <v>0</v>
      </c>
      <c r="I1446" s="89" t="s">
        <v>212</v>
      </c>
      <c r="J1446" s="333"/>
      <c r="K1446" s="30">
        <f>IFERROR(VLOOKUP($G1446,[1]нормы!$A$21:$BC$151,15,0),"")</f>
        <v>0</v>
      </c>
      <c r="L1446" s="31">
        <f>IFERROR(VLOOKUP($G1446,[1]нормы!$A$21:$BC$151,17,0),"")</f>
        <v>0</v>
      </c>
      <c r="M1446" s="306">
        <f>IFERROR(VLOOKUP($G1446,[1]нормы!$A$21:$BC$151,27,0),"")</f>
        <v>0</v>
      </c>
      <c r="N1446" s="307" t="str">
        <f>IFERROR(Y1446/Y1450*(1.1*J1444*I1449),"")</f>
        <v/>
      </c>
      <c r="O1446" s="300">
        <f>IFERROR(VLOOKUP($G1446,[1]нормы!$A$21:$BC$151,21,0),"")</f>
        <v>0</v>
      </c>
      <c r="P1446" s="35">
        <f>IFERROR(VLOOKUP($G1446,[1]нормы!$A$21:$BC$151,19,0),"")</f>
        <v>0</v>
      </c>
      <c r="Q1446" s="35">
        <f>IFERROR(VLOOKUP($G1446,[1]нормы!$A$21:$BC$151,23,0),"")</f>
        <v>0</v>
      </c>
      <c r="R1446" s="231">
        <f>IFERROR(VLOOKUP($G1446,[1]нормы!$A$21:$BC$151,29,0),"")</f>
        <v>0</v>
      </c>
      <c r="S1446" s="35">
        <f>IFERROR(VLOOKUP($G1446,[1]нормы!$A$21:$BC$151,31,0),"")</f>
        <v>0</v>
      </c>
      <c r="T1446" s="32">
        <f>IFERROR(VLOOKUP($G1446,[1]нормы!$A$21:$BC$151,25,0),"")</f>
        <v>0</v>
      </c>
      <c r="U1446" s="233" t="str">
        <f>IFERROR(W1446/(((100*Y1446/Y1450)*I1449)/100),"")</f>
        <v/>
      </c>
      <c r="V1446" s="234" t="str">
        <f>IFERROR(VLOOKUP($G1446,нормы!$A$14:$BC$57,38,0),"")</f>
        <v/>
      </c>
      <c r="W1446" s="136"/>
      <c r="X1446" s="237"/>
      <c r="Y1446" s="152" t="str">
        <f>IFERROR(VLOOKUP($G1446,нормы!$A$14:$BC$57,42,0)*W1446,"")</f>
        <v/>
      </c>
      <c r="Z1446" s="163">
        <f>IFERROR(VLOOKUP($G1446,нормы!$A$14:$BC$57,14,0)*W1446/1000,0)</f>
        <v>0</v>
      </c>
      <c r="AA1446" s="30"/>
      <c r="AB1446" s="35"/>
      <c r="AC1446" s="35"/>
      <c r="AD1446" s="35"/>
      <c r="AE1446" s="31"/>
      <c r="AF1446" s="160"/>
      <c r="AG1446" s="391"/>
      <c r="AH1446" s="394"/>
      <c r="AI1446" s="397"/>
      <c r="AJ1446" s="408"/>
      <c r="AK1446" s="360"/>
      <c r="AL1446" s="360"/>
      <c r="AM1446" s="360"/>
      <c r="AN1446" s="289">
        <f>IFERROR(Y1446*AJ1444/Y1450,)</f>
        <v>0</v>
      </c>
      <c r="AO1446" s="197" t="str">
        <f>IFERROR(VLOOKUP($G1446,нормы!$A$14:$BC$57,53,0)*$W1446,"")</f>
        <v/>
      </c>
      <c r="AP1446" s="290">
        <f>IFERROR(Y1446*AI1444/Y1450,)</f>
        <v>0</v>
      </c>
      <c r="AQ1446" s="197" t="str">
        <f>IFERROR(VLOOKUP($G1446,нормы!$A$14:$BC$57,54,0)*$W1446,"")</f>
        <v/>
      </c>
      <c r="AR1446" s="290">
        <f>IFERROR(AS1446/SUM(AS1444:AS1449)*AL1444,0)</f>
        <v>0</v>
      </c>
      <c r="AS1446" s="197" t="str">
        <f>IFERROR(VLOOKUP($G1446,нормы!$A$14:$BC$57,55,0)*W1446,"")</f>
        <v/>
      </c>
      <c r="AT1446" s="290">
        <f>IFERROR(AU1446/SUM(AU1444:AU1449)*AM1444,0)</f>
        <v>0</v>
      </c>
      <c r="AU1446" s="197" t="str">
        <f>IFERROR(VLOOKUP($G1446,нормы!$A$14:$BI$57,56,0)*W1446,"")</f>
        <v/>
      </c>
      <c r="AV1446" s="290">
        <f>IFERROR(AW1446/SUM(AW1444:AW1449)*AK1444,0)</f>
        <v>0</v>
      </c>
      <c r="AW1446" s="202" t="str">
        <f>IFERROR(VLOOKUP($G1446,нормы!$A$14:$BI$57,57,0)*W1446,"")</f>
        <v/>
      </c>
      <c r="AX1446" s="30"/>
      <c r="AY1446" s="203" t="str">
        <f>IFERROR(VLOOKUP($G1446,нормы!$A$14:$BI$57,58,0)*W1446,"")</f>
        <v/>
      </c>
      <c r="AZ1446" s="205"/>
      <c r="BA1446" s="200" t="str">
        <f>IFERROR(VLOOKUP($G1446,нормы!$A$14:$BI$57,61,0)*$W1446,"")</f>
        <v/>
      </c>
      <c r="BB1446" s="30"/>
      <c r="BC1446" s="203" t="str">
        <f>IFERROR(VLOOKUP($G1446,нормы!$A$14:$BI$57,60,0)*W1446,"")</f>
        <v/>
      </c>
      <c r="BD1446" s="200" t="str">
        <f>IFERROR(VLOOKUP($G1446,нормы!$A$14:$BG$57,44,0),"")</f>
        <v/>
      </c>
      <c r="BE1446" s="199" t="str">
        <f>IFERROR(W1446/VLOOKUP($G1446,нормы!$A$14:$BI$57,45,0),"")</f>
        <v/>
      </c>
    </row>
    <row r="1447" spans="1:57" s="1" customFormat="1" ht="20.25" customHeight="1" x14ac:dyDescent="0.4">
      <c r="A1447" s="37" t="str">
        <f t="shared" si="566"/>
        <v>24Д</v>
      </c>
      <c r="B1447" s="12">
        <f t="shared" si="569"/>
        <v>24</v>
      </c>
      <c r="C1447" s="97">
        <f t="shared" si="569"/>
        <v>0</v>
      </c>
      <c r="D1447" s="97">
        <f t="shared" si="569"/>
        <v>2</v>
      </c>
      <c r="E1447" s="54"/>
      <c r="F1447" s="151" t="str">
        <f>IFERROR(VLOOKUP($G1447,нормы!$A$14:$BC$57,2,0),"")</f>
        <v/>
      </c>
      <c r="G1447" s="93"/>
      <c r="H1447" s="54">
        <f t="shared" si="570"/>
        <v>0</v>
      </c>
      <c r="I1447" s="55"/>
      <c r="J1447" s="333"/>
      <c r="K1447" s="30">
        <f>IFERROR(VLOOKUP($G1447,[1]нормы!$A$21:$BC$151,15,0),"")</f>
        <v>0</v>
      </c>
      <c r="L1447" s="31">
        <f>IFERROR(VLOOKUP($G1447,[1]нормы!$A$21:$BC$151,17,0),"")</f>
        <v>0</v>
      </c>
      <c r="M1447" s="306">
        <f>IFERROR(VLOOKUP($G1447,[1]нормы!$A$21:$BC$151,27,0),"")</f>
        <v>0</v>
      </c>
      <c r="N1447" s="307" t="str">
        <f>IFERROR(Y1447/Y1450*(1.1*J1444*I1452),"")</f>
        <v/>
      </c>
      <c r="O1447" s="300">
        <f>IFERROR(VLOOKUP($G1447,[1]нормы!$A$21:$BC$151,21,0),"")</f>
        <v>0</v>
      </c>
      <c r="P1447" s="35">
        <f>IFERROR(VLOOKUP($G1447,[1]нормы!$A$21:$BC$151,19,0),"")</f>
        <v>0</v>
      </c>
      <c r="Q1447" s="35">
        <f>IFERROR(VLOOKUP($G1447,[1]нормы!$A$21:$BC$151,23,0),"")</f>
        <v>0</v>
      </c>
      <c r="R1447" s="231">
        <f>IFERROR(VLOOKUP($G1447,[1]нормы!$A$21:$BC$151,29,0),"")</f>
        <v>0</v>
      </c>
      <c r="S1447" s="35">
        <f>IFERROR(VLOOKUP($G1447,[1]нормы!$A$21:$BC$151,31,0),"")</f>
        <v>0</v>
      </c>
      <c r="T1447" s="32">
        <f>IFERROR(VLOOKUP($G1447,[1]нормы!$A$21:$BC$151,25,0),"")</f>
        <v>0</v>
      </c>
      <c r="U1447" s="233" t="str">
        <f>IFERROR(W1447/(((100*Y1447/Y1450)*I1449)/100),"")</f>
        <v/>
      </c>
      <c r="V1447" s="234" t="str">
        <f>IFERROR(VLOOKUP($G1447,нормы!$A$14:$BC$57,38,0),"")</f>
        <v/>
      </c>
      <c r="W1447" s="136"/>
      <c r="X1447" s="237"/>
      <c r="Y1447" s="152" t="str">
        <f>IFERROR(VLOOKUP($G1447,нормы!$A$14:$BC$57,42,0)*W1447,"")</f>
        <v/>
      </c>
      <c r="Z1447" s="163">
        <f>IFERROR(VLOOKUP($G1447,нормы!$A$14:$BC$57,14,0)*W1447/1000,0)</f>
        <v>0</v>
      </c>
      <c r="AA1447" s="30"/>
      <c r="AB1447" s="35"/>
      <c r="AC1447" s="35"/>
      <c r="AD1447" s="35"/>
      <c r="AE1447" s="31"/>
      <c r="AF1447" s="160"/>
      <c r="AG1447" s="391"/>
      <c r="AH1447" s="394"/>
      <c r="AI1447" s="397"/>
      <c r="AJ1447" s="408"/>
      <c r="AK1447" s="360"/>
      <c r="AL1447" s="360"/>
      <c r="AM1447" s="360"/>
      <c r="AN1447" s="289">
        <f>IFERROR(Y1447*AJ1444/Y1450,)</f>
        <v>0</v>
      </c>
      <c r="AO1447" s="197" t="str">
        <f>IFERROR(VLOOKUP($G1447,нормы!$A$14:$BC$57,53,0)*$W1447,"")</f>
        <v/>
      </c>
      <c r="AP1447" s="290">
        <f>IFERROR(Y1447*AI1444/Y1450,)</f>
        <v>0</v>
      </c>
      <c r="AQ1447" s="197" t="str">
        <f>IFERROR(VLOOKUP($G1447,нормы!$A$14:$BC$57,54,0)*$W1447,"")</f>
        <v/>
      </c>
      <c r="AR1447" s="290">
        <f>IFERROR(AS1447/SUM(AS1444:AS1449)*AL1444,0)</f>
        <v>0</v>
      </c>
      <c r="AS1447" s="197" t="str">
        <f>IFERROR(VLOOKUP($G1447,нормы!$A$14:$BC$57,55,0)*W1447,"")</f>
        <v/>
      </c>
      <c r="AT1447" s="290">
        <f>IFERROR(AU1447/SUM(AU1444:AU1449)*AM1444,0)</f>
        <v>0</v>
      </c>
      <c r="AU1447" s="197" t="str">
        <f>IFERROR(VLOOKUP($G1447,нормы!$A$14:$BI$57,56,0)*W1447,"")</f>
        <v/>
      </c>
      <c r="AV1447" s="290">
        <f>IFERROR(AW1447/SUM(AW1444:AW1449)*AK1444,0)</f>
        <v>0</v>
      </c>
      <c r="AW1447" s="202" t="str">
        <f>IFERROR(VLOOKUP($G1447,нормы!$A$14:$BI$57,57,0)*W1447,"")</f>
        <v/>
      </c>
      <c r="AX1447" s="30"/>
      <c r="AY1447" s="203" t="str">
        <f>IFERROR(VLOOKUP($G1447,нормы!$A$14:$BI$57,58,0)*W1447,"")</f>
        <v/>
      </c>
      <c r="AZ1447" s="205"/>
      <c r="BA1447" s="200" t="str">
        <f>IFERROR(VLOOKUP($G1447,нормы!$A$14:$BI$57,61,0)*$W1447,"")</f>
        <v/>
      </c>
      <c r="BB1447" s="30"/>
      <c r="BC1447" s="203" t="str">
        <f>IFERROR(VLOOKUP($G1447,нормы!$A$14:$BI$57,60,0)*W1447,"")</f>
        <v/>
      </c>
      <c r="BD1447" s="200" t="str">
        <f>IFERROR(VLOOKUP($G1447,нормы!$A$14:$BG$57,44,0),"")</f>
        <v/>
      </c>
      <c r="BE1447" s="199" t="str">
        <f>IFERROR(W1447/VLOOKUP($G1447,нормы!$A$14:$BI$57,45,0),"")</f>
        <v/>
      </c>
    </row>
    <row r="1448" spans="1:57" s="1" customFormat="1" ht="20.25" customHeight="1" x14ac:dyDescent="0.4">
      <c r="A1448" s="37" t="str">
        <f t="shared" si="566"/>
        <v>24Д</v>
      </c>
      <c r="B1448" s="12">
        <f t="shared" si="569"/>
        <v>24</v>
      </c>
      <c r="C1448" s="97">
        <f t="shared" si="569"/>
        <v>0</v>
      </c>
      <c r="D1448" s="97">
        <f t="shared" si="569"/>
        <v>2</v>
      </c>
      <c r="E1448" s="54"/>
      <c r="F1448" s="151" t="str">
        <f>IFERROR(VLOOKUP($G1448,нормы!$A$14:$BC$57,2,0),"")</f>
        <v/>
      </c>
      <c r="G1448" s="38"/>
      <c r="H1448" s="54">
        <f t="shared" si="570"/>
        <v>0</v>
      </c>
      <c r="I1448" s="89" t="s">
        <v>73</v>
      </c>
      <c r="J1448" s="333"/>
      <c r="K1448" s="30">
        <f>IFERROR(VLOOKUP($G1448,[1]нормы!$A$21:$BC$151,15,0),"")</f>
        <v>0</v>
      </c>
      <c r="L1448" s="31">
        <f>IFERROR(VLOOKUP($G1448,[1]нормы!$A$21:$BC$151,17,0),"")</f>
        <v>0</v>
      </c>
      <c r="M1448" s="306">
        <f>IFERROR(VLOOKUP($G1448,[1]нормы!$A$21:$BC$151,27,0),"")</f>
        <v>0</v>
      </c>
      <c r="N1448" s="307" t="str">
        <f>IFERROR(Y1448/Y1450*(1.1*J1444*I1453),"")</f>
        <v/>
      </c>
      <c r="O1448" s="300">
        <f>IFERROR(VLOOKUP($G1448,[1]нормы!$A$21:$BC$151,21,0),"")</f>
        <v>0</v>
      </c>
      <c r="P1448" s="35">
        <f>IFERROR(VLOOKUP($G1448,[1]нормы!$A$21:$BC$151,19,0),"")</f>
        <v>0</v>
      </c>
      <c r="Q1448" s="35">
        <f>IFERROR(VLOOKUP($G1448,[1]нормы!$A$21:$BC$151,23,0),"")</f>
        <v>0</v>
      </c>
      <c r="R1448" s="231">
        <f>IFERROR(VLOOKUP($G1448,[1]нормы!$A$21:$BC$151,29,0),"")</f>
        <v>0</v>
      </c>
      <c r="S1448" s="35">
        <f>IFERROR(VLOOKUP($G1448,[1]нормы!$A$21:$BC$151,31,0),"")</f>
        <v>0</v>
      </c>
      <c r="T1448" s="32">
        <f>IFERROR(VLOOKUP($G1448,[1]нормы!$A$21:$BC$151,25,0),"")</f>
        <v>0</v>
      </c>
      <c r="U1448" s="233" t="str">
        <f>IFERROR(W1448/(((100*Y1448/Y1450)*I1449)/100),"")</f>
        <v/>
      </c>
      <c r="V1448" s="234" t="str">
        <f>IFERROR(VLOOKUP($G1448,нормы!$A$14:$BC$57,38,0),"")</f>
        <v/>
      </c>
      <c r="W1448" s="136"/>
      <c r="X1448" s="237"/>
      <c r="Y1448" s="152" t="str">
        <f>IFERROR(VLOOKUP($G1448,нормы!$A$14:$BC$57,42,0)*W1448,"")</f>
        <v/>
      </c>
      <c r="Z1448" s="163">
        <f>IFERROR(VLOOKUP($G1448,нормы!$A$14:$BC$57,14,0)*W1448/1000,0)</f>
        <v>0</v>
      </c>
      <c r="AA1448" s="30"/>
      <c r="AB1448" s="35"/>
      <c r="AC1448" s="35"/>
      <c r="AD1448" s="35"/>
      <c r="AE1448" s="31"/>
      <c r="AF1448" s="160"/>
      <c r="AG1448" s="391"/>
      <c r="AH1448" s="394"/>
      <c r="AI1448" s="397"/>
      <c r="AJ1448" s="408"/>
      <c r="AK1448" s="360"/>
      <c r="AL1448" s="360"/>
      <c r="AM1448" s="360"/>
      <c r="AN1448" s="289">
        <f>IFERROR(Y1448*AJ1444/Y1450,)</f>
        <v>0</v>
      </c>
      <c r="AO1448" s="197" t="str">
        <f>IFERROR(VLOOKUP($G1448,нормы!$A$14:$BC$57,53,0)*$W1448,"")</f>
        <v/>
      </c>
      <c r="AP1448" s="290">
        <f>IFERROR(Y1448*AI1444/Y1450,)</f>
        <v>0</v>
      </c>
      <c r="AQ1448" s="197" t="str">
        <f>IFERROR(VLOOKUP($G1448,нормы!$A$14:$BC$57,54,0)*$W1448,"")</f>
        <v/>
      </c>
      <c r="AR1448" s="290">
        <f>IFERROR(AS1448/SUM(AS1444:AS1449)*AL1444,0)</f>
        <v>0</v>
      </c>
      <c r="AS1448" s="197" t="str">
        <f>IFERROR(VLOOKUP($G1448,нормы!$A$14:$BC$57,55,0)*W1448,"")</f>
        <v/>
      </c>
      <c r="AT1448" s="290">
        <f>IFERROR(AU1448/SUM(AU1444:AU1449)*AM1444,0)</f>
        <v>0</v>
      </c>
      <c r="AU1448" s="197" t="str">
        <f>IFERROR(VLOOKUP($G1448,нормы!$A$14:$BI$57,56,0)*W1448,"")</f>
        <v/>
      </c>
      <c r="AV1448" s="290">
        <f>IFERROR(AW1448/SUM(AW1444:AW1449)*AK1444,0)</f>
        <v>0</v>
      </c>
      <c r="AW1448" s="202" t="str">
        <f>IFERROR(VLOOKUP($G1448,нормы!$A$14:$BI$57,57,0)*W1448,"")</f>
        <v/>
      </c>
      <c r="AX1448" s="30"/>
      <c r="AY1448" s="203" t="str">
        <f>IFERROR(VLOOKUP($G1448,нормы!$A$14:$BI$57,58,0)*W1448,"")</f>
        <v/>
      </c>
      <c r="AZ1448" s="205"/>
      <c r="BA1448" s="200" t="str">
        <f>IFERROR(VLOOKUP($G1448,нормы!$A$14:$BI$57,61,0)*$W1448,"")</f>
        <v/>
      </c>
      <c r="BB1448" s="30"/>
      <c r="BC1448" s="203" t="str">
        <f>IFERROR(VLOOKUP($G1448,нормы!$A$14:$BI$57,60,0)*W1448,"")</f>
        <v/>
      </c>
      <c r="BD1448" s="200" t="str">
        <f>IFERROR(VLOOKUP($G1448,нормы!$A$14:$BG$57,44,0),"")</f>
        <v/>
      </c>
      <c r="BE1448" s="199" t="str">
        <f>IFERROR(W1448/VLOOKUP($G1448,нормы!$A$14:$BI$57,45,0),"")</f>
        <v/>
      </c>
    </row>
    <row r="1449" spans="1:57" s="1" customFormat="1" ht="21" customHeight="1" thickBot="1" x14ac:dyDescent="0.45">
      <c r="A1449" s="37" t="str">
        <f t="shared" si="566"/>
        <v>24Д</v>
      </c>
      <c r="B1449" s="12">
        <f t="shared" si="569"/>
        <v>24</v>
      </c>
      <c r="C1449" s="97">
        <f t="shared" si="569"/>
        <v>0</v>
      </c>
      <c r="D1449" s="97">
        <f t="shared" si="569"/>
        <v>2</v>
      </c>
      <c r="E1449" s="54"/>
      <c r="F1449" s="151" t="str">
        <f>IFERROR(VLOOKUP($G1449,нормы!$A$14:$BC$57,2,0),"")</f>
        <v/>
      </c>
      <c r="G1449" s="93"/>
      <c r="H1449" s="63">
        <f t="shared" si="570"/>
        <v>0</v>
      </c>
      <c r="I1449" s="153">
        <f>I1445+I1447</f>
        <v>0</v>
      </c>
      <c r="J1449" s="334"/>
      <c r="K1449" s="30">
        <f>IFERROR(VLOOKUP($G1449,[1]нормы!$A$21:$BC$151,15,0),"")</f>
        <v>0</v>
      </c>
      <c r="L1449" s="31">
        <f>IFERROR(VLOOKUP($G1449,[1]нормы!$A$21:$BC$151,17,0),"")</f>
        <v>0</v>
      </c>
      <c r="M1449" s="308">
        <f>IFERROR(VLOOKUP($G1449,[1]нормы!$A$21:$BC$151,27,0),"")</f>
        <v>0</v>
      </c>
      <c r="N1449" s="309" t="str">
        <f>IFERROR(Y1449/Y1450*(1.1*J1444*I1454),"")</f>
        <v/>
      </c>
      <c r="O1449" s="300">
        <f>IFERROR(VLOOKUP($G1449,[1]нормы!$A$21:$BC$151,21,0),"")</f>
        <v>0</v>
      </c>
      <c r="P1449" s="35">
        <f>IFERROR(VLOOKUP($G1449,[1]нормы!$A$21:$BC$151,19,0),"")</f>
        <v>0</v>
      </c>
      <c r="Q1449" s="35">
        <f>IFERROR(VLOOKUP($G1449,[1]нормы!$A$21:$BC$151,23,0),"")</f>
        <v>0</v>
      </c>
      <c r="R1449" s="231">
        <f>IFERROR(VLOOKUP($G1449,[1]нормы!$A$21:$BC$151,29,0),"")</f>
        <v>0</v>
      </c>
      <c r="S1449" s="35">
        <f>IFERROR(VLOOKUP($G1449,[1]нормы!$A$21:$BC$151,31,0),"")</f>
        <v>0</v>
      </c>
      <c r="T1449" s="32">
        <f>IFERROR(VLOOKUP($G1449,[1]нормы!$A$21:$BC$151,25,0),"")</f>
        <v>0</v>
      </c>
      <c r="U1449" s="235" t="str">
        <f>IFERROR(W1449/(((100*Y1449/Y1450)*I1449)/100),"")</f>
        <v/>
      </c>
      <c r="V1449" s="234" t="str">
        <f>IFERROR(VLOOKUP($G1449,нормы!$A$14:$BC$57,38,0),"")</f>
        <v/>
      </c>
      <c r="W1449" s="154"/>
      <c r="X1449" s="238"/>
      <c r="Y1449" s="152" t="str">
        <f>IFERROR(VLOOKUP($G1449,нормы!$A$14:$BC$57,42,0)*W1449,"")</f>
        <v/>
      </c>
      <c r="Z1449" s="163">
        <f>IFERROR(VLOOKUP($G1449,нормы!$A$14:$BC$57,14,0)*W1449/1000,0)</f>
        <v>0</v>
      </c>
      <c r="AA1449" s="56"/>
      <c r="AB1449" s="58"/>
      <c r="AC1449" s="58"/>
      <c r="AD1449" s="58"/>
      <c r="AE1449" s="57"/>
      <c r="AF1449" s="161"/>
      <c r="AG1449" s="392"/>
      <c r="AH1449" s="395"/>
      <c r="AI1449" s="398"/>
      <c r="AJ1449" s="409"/>
      <c r="AK1449" s="361"/>
      <c r="AL1449" s="361"/>
      <c r="AM1449" s="361"/>
      <c r="AN1449" s="291">
        <f>IFERROR(Y1449*AJ1444/Y1450,)</f>
        <v>0</v>
      </c>
      <c r="AO1449" s="197" t="str">
        <f>IFERROR(VLOOKUP($G1449,нормы!$A$14:$BC$57,53,0)*$W1449,"")</f>
        <v/>
      </c>
      <c r="AP1449" s="292">
        <f>IFERROR(Y1449*AI1444/Y1450,)</f>
        <v>0</v>
      </c>
      <c r="AQ1449" s="197" t="str">
        <f>IFERROR(VLOOKUP($G1449,нормы!$A$14:$BC$57,54,0)*$W1449,"")</f>
        <v/>
      </c>
      <c r="AR1449" s="290">
        <f>IFERROR(AS1449/SUM(AS1444:AS1449)*AL1444,0)</f>
        <v>0</v>
      </c>
      <c r="AS1449" s="197" t="str">
        <f>IFERROR(VLOOKUP($G1449,нормы!$A$14:$BC$57,55,0)*W1449,"")</f>
        <v/>
      </c>
      <c r="AT1449" s="292">
        <f>IFERROR(AU1449/SUM(AU1444:AU1449)*AM1444,0)</f>
        <v>0</v>
      </c>
      <c r="AU1449" s="197" t="str">
        <f>IFERROR(VLOOKUP($G1449,нормы!$A$14:$BI$57,56,0)*W1449,"")</f>
        <v/>
      </c>
      <c r="AV1449" s="292">
        <f>IFERROR(AW1449/SUM(AW1444:AW1449)*AK1444,0)</f>
        <v>0</v>
      </c>
      <c r="AW1449" s="202" t="str">
        <f>IFERROR(VLOOKUP($G1449,нормы!$A$14:$BI$57,57,0)*W1449,"")</f>
        <v/>
      </c>
      <c r="AX1449" s="56"/>
      <c r="AY1449" s="203" t="str">
        <f>IFERROR(VLOOKUP($G1449,нормы!$A$14:$BI$57,58,0)*W1449,"")</f>
        <v/>
      </c>
      <c r="AZ1449" s="206"/>
      <c r="BA1449" s="200" t="str">
        <f>IFERROR(VLOOKUP($G1449,нормы!$A$14:$BI$57,61,0)*$W1449,"")</f>
        <v/>
      </c>
      <c r="BB1449" s="56"/>
      <c r="BC1449" s="203" t="str">
        <f>IFERROR(VLOOKUP($G1449,нормы!$A$14:$BI$57,60,0)*W1449,"")</f>
        <v/>
      </c>
      <c r="BD1449" s="200" t="str">
        <f>IFERROR(VLOOKUP($G1449,нормы!$A$14:$BG$57,44,0),"")</f>
        <v/>
      </c>
      <c r="BE1449" s="199" t="str">
        <f>IFERROR(W1449/VLOOKUP($G1449,нормы!$A$14:$BI$57,45,0),"")</f>
        <v/>
      </c>
    </row>
    <row r="1450" spans="1:57" s="1" customFormat="1" ht="29.4" customHeight="1" thickBot="1" x14ac:dyDescent="0.45">
      <c r="A1450" s="37" t="str">
        <f t="shared" si="566"/>
        <v>24Д</v>
      </c>
      <c r="B1450" s="59"/>
      <c r="C1450" s="51"/>
      <c r="D1450" s="51"/>
      <c r="E1450" s="51"/>
      <c r="F1450" s="51"/>
      <c r="G1450" s="51"/>
      <c r="H1450" s="51"/>
      <c r="I1450" s="60"/>
      <c r="J1450" s="60"/>
      <c r="K1450" s="319" t="s">
        <v>213</v>
      </c>
      <c r="L1450" s="316"/>
      <c r="M1450" s="303" t="s">
        <v>213</v>
      </c>
      <c r="N1450" s="317">
        <f>SUM(N1444:N1449)</f>
        <v>0</v>
      </c>
      <c r="O1450" s="304" t="s">
        <v>217</v>
      </c>
      <c r="P1450" s="318">
        <f>N1450*8.937/1000</f>
        <v>0</v>
      </c>
      <c r="Q1450" s="305" t="s">
        <v>215</v>
      </c>
      <c r="R1450" s="61"/>
      <c r="S1450" s="61"/>
      <c r="T1450" s="61"/>
      <c r="U1450" s="109"/>
      <c r="V1450" s="109"/>
      <c r="W1450" s="94"/>
      <c r="X1450" s="155"/>
      <c r="Y1450" s="96">
        <f>SUM(Y1444:Y1449)</f>
        <v>0</v>
      </c>
      <c r="Z1450" s="164">
        <f>SUM(Z1444:Z1449)</f>
        <v>0</v>
      </c>
      <c r="AA1450" s="207">
        <f>(AA1436+AA1437+AA1438+AA1439+AA1440+AA1441+AA1442+AA1444+AA1445+AA1446+AA1447+AA1448+AA1449)-AG1437</f>
        <v>1</v>
      </c>
      <c r="AB1450" s="208">
        <f>(AB1436+AB1437+AB1438+AB1439+AB1440+AB1441+AB1442+AB1444+AB1445+AB1446+AB1447+AB1448+AB1449)-AH1437</f>
        <v>2</v>
      </c>
      <c r="AC1450" s="208">
        <f>(AC1436+AC1437+AC1438+AC1439+AC1440+AC1441+AC1442+AC1444+AC1445+AC1446+AC1447+AC1448+AC1449)-AG1444</f>
        <v>3</v>
      </c>
      <c r="AD1450" s="208">
        <f>(AD1436+AD1437+AD1438+AD1439+AD1440+AD1441+AD1442+AD1444+AD1445+AD1446+AD1447+AD1448+AD1449)-AH1444</f>
        <v>4</v>
      </c>
      <c r="AE1450" s="208">
        <f>(AE1436+AE1437+AE1438+AE1439+AE1440+AE1441+AE1442+AE1444+AE1445+AE1446+AE1447+AE1448+AE1449)-AI1437</f>
        <v>5</v>
      </c>
      <c r="AF1450" s="209">
        <f>(AF1436+AF1437+AF1438+AF1439+AF1440+AF1441+AF1442+AF1444+AF1445+AF1446+AF1447+AF1448+AF1449)-AI1444</f>
        <v>6</v>
      </c>
      <c r="AG1450" s="62"/>
      <c r="AH1450" s="62"/>
      <c r="AI1450" s="62"/>
      <c r="AJ1450" s="62"/>
      <c r="AK1450" s="62"/>
      <c r="AL1450" s="62"/>
      <c r="AM1450" s="62"/>
      <c r="AN1450" s="91">
        <f>SUM(AN1444:AN1449)</f>
        <v>0</v>
      </c>
      <c r="AO1450" s="91">
        <f>SUM(AO1444:AO1449)</f>
        <v>0</v>
      </c>
      <c r="AP1450" s="91"/>
      <c r="AQ1450" s="91"/>
      <c r="AR1450" s="91">
        <f>SUM(AR1444:AR1449)</f>
        <v>0</v>
      </c>
      <c r="AS1450" s="91">
        <f t="shared" ref="AS1450:AW1450" si="571">SUM(AS1444:AS1449)</f>
        <v>0</v>
      </c>
      <c r="AT1450" s="91">
        <f t="shared" si="571"/>
        <v>0</v>
      </c>
      <c r="AU1450" s="91">
        <f t="shared" si="571"/>
        <v>0</v>
      </c>
      <c r="AV1450" s="91">
        <f t="shared" si="571"/>
        <v>0</v>
      </c>
      <c r="AW1450" s="91">
        <f t="shared" si="571"/>
        <v>0</v>
      </c>
      <c r="AX1450" s="91">
        <f>SUM(AX1444:AX1449)</f>
        <v>0</v>
      </c>
      <c r="AY1450" s="91">
        <f>SUM(AY1444:AY1449)</f>
        <v>0</v>
      </c>
      <c r="AZ1450" s="91">
        <f>SUM(AZ1444:AZ1449)</f>
        <v>0</v>
      </c>
      <c r="BA1450" s="91"/>
      <c r="BB1450" s="91"/>
      <c r="BC1450" s="91"/>
      <c r="BD1450" s="91" t="str">
        <f>IFERROR(VLOOKUP($G1450,нормы!$A$14:$BG$15,27,0),"")</f>
        <v/>
      </c>
      <c r="BE1450" s="53" t="str">
        <f>IFERROR(W1450/VLOOKUP($G1450,нормы!$A$14:$BI$15,28,0),"")</f>
        <v/>
      </c>
    </row>
    <row r="1451" spans="1:57" s="1" customFormat="1" ht="29.4" customHeight="1" thickBot="1" x14ac:dyDescent="0.5">
      <c r="A1451" s="37" t="str">
        <f t="shared" si="566"/>
        <v>24Д</v>
      </c>
      <c r="B1451" s="166" t="s">
        <v>130</v>
      </c>
      <c r="C1451" s="167"/>
      <c r="D1451" s="167"/>
      <c r="E1451" s="167"/>
      <c r="F1451" s="165"/>
      <c r="G1451" s="167"/>
      <c r="H1451" s="167"/>
      <c r="I1451" s="168"/>
      <c r="J1451" s="168"/>
      <c r="K1451" s="168"/>
      <c r="L1451" s="168"/>
      <c r="M1451" s="168"/>
      <c r="N1451" s="168"/>
      <c r="O1451" s="167"/>
      <c r="P1451" s="169"/>
      <c r="Q1451" s="169"/>
      <c r="R1451" s="169"/>
      <c r="S1451" s="169"/>
      <c r="T1451" s="169"/>
      <c r="U1451" s="170"/>
      <c r="V1451" s="170"/>
      <c r="W1451" s="171"/>
      <c r="X1451" s="171"/>
      <c r="Y1451" s="172"/>
      <c r="Z1451" s="172"/>
      <c r="AA1451" s="201" t="s">
        <v>144</v>
      </c>
      <c r="AB1451" s="167"/>
      <c r="AC1451" s="167"/>
      <c r="AD1451" s="167"/>
      <c r="AE1451" s="167"/>
      <c r="AF1451" s="167"/>
      <c r="AG1451" s="167"/>
      <c r="AH1451" s="167"/>
      <c r="AI1451" s="167"/>
      <c r="AJ1451" s="167"/>
      <c r="AK1451" s="167"/>
      <c r="AL1451" s="167"/>
      <c r="AM1451" s="64"/>
      <c r="AN1451" s="167"/>
      <c r="AO1451" s="167"/>
      <c r="AP1451" s="167"/>
      <c r="AQ1451" s="167"/>
      <c r="AR1451" s="64"/>
      <c r="AS1451" s="64"/>
      <c r="AT1451" s="65"/>
      <c r="AU1451" s="64"/>
      <c r="AV1451" s="49"/>
      <c r="AW1451" s="49"/>
      <c r="AX1451" s="167"/>
      <c r="AY1451" s="167"/>
      <c r="AZ1451" s="167"/>
      <c r="BA1451" s="167"/>
      <c r="BB1451" s="167"/>
      <c r="BC1451" s="167"/>
      <c r="BD1451" s="66"/>
      <c r="BE1451" s="66"/>
    </row>
    <row r="1452" spans="1:57" s="1" customFormat="1" ht="23.25" customHeight="1" x14ac:dyDescent="0.4">
      <c r="A1452" s="37" t="str">
        <f t="shared" si="566"/>
        <v>24Д</v>
      </c>
      <c r="B1452" s="183"/>
      <c r="C1452" s="100"/>
      <c r="D1452" s="185"/>
      <c r="E1452" s="186" t="s">
        <v>57</v>
      </c>
      <c r="F1452" s="66" t="s">
        <v>87</v>
      </c>
      <c r="G1452" s="66"/>
      <c r="H1452" s="108" t="s">
        <v>131</v>
      </c>
      <c r="I1452" s="101"/>
      <c r="J1452" s="101"/>
      <c r="K1452" s="101"/>
      <c r="L1452" s="101"/>
      <c r="M1452" s="101"/>
      <c r="N1452" s="101"/>
      <c r="O1452" s="67"/>
      <c r="P1452" s="102"/>
      <c r="Q1452" s="102"/>
      <c r="R1452" s="102"/>
      <c r="S1452" s="102"/>
      <c r="T1452" s="102"/>
      <c r="U1452" s="67"/>
      <c r="V1452" s="67"/>
      <c r="W1452" s="103"/>
      <c r="X1452" s="187"/>
      <c r="Y1452" s="68" t="s">
        <v>74</v>
      </c>
      <c r="Z1452" s="69"/>
      <c r="AA1452" s="90"/>
      <c r="AB1452" s="100"/>
      <c r="AC1452" s="100"/>
      <c r="AD1452" s="186" t="s">
        <v>57</v>
      </c>
      <c r="AE1452" s="66"/>
      <c r="AF1452" s="66"/>
      <c r="AG1452" s="66"/>
      <c r="AH1452" s="66"/>
      <c r="AI1452" s="66"/>
      <c r="AJ1452" s="66"/>
      <c r="AK1452" s="66"/>
      <c r="AL1452" s="66"/>
      <c r="AM1452" s="66"/>
      <c r="AN1452" s="66"/>
      <c r="AO1452" s="66"/>
      <c r="AP1452" s="66"/>
      <c r="AQ1452" s="66"/>
      <c r="AR1452" s="66"/>
      <c r="AS1452" s="66"/>
      <c r="AT1452" s="190"/>
      <c r="AU1452" s="66"/>
      <c r="AV1452" s="165"/>
      <c r="AW1452" s="293"/>
      <c r="AX1452" s="66"/>
      <c r="AY1452" s="66"/>
      <c r="AZ1452" s="66"/>
      <c r="BA1452" s="66"/>
      <c r="BB1452" s="66"/>
      <c r="BC1452" s="66"/>
      <c r="BD1452" s="68" t="s">
        <v>74</v>
      </c>
      <c r="BE1452" s="69"/>
    </row>
    <row r="1453" spans="1:57" s="1" customFormat="1" ht="23.25" customHeight="1" thickBot="1" x14ac:dyDescent="0.45">
      <c r="A1453" s="37" t="str">
        <f t="shared" si="566"/>
        <v>24Д</v>
      </c>
      <c r="B1453" s="183"/>
      <c r="C1453" s="41"/>
      <c r="D1453" s="184"/>
      <c r="E1453" s="50"/>
      <c r="F1453" s="70"/>
      <c r="G1453" s="70"/>
      <c r="H1453" s="70"/>
      <c r="I1453" s="104"/>
      <c r="J1453" s="104"/>
      <c r="K1453" s="104"/>
      <c r="L1453" s="104"/>
      <c r="M1453" s="104"/>
      <c r="N1453" s="104"/>
      <c r="O1453" s="71"/>
      <c r="P1453" s="105"/>
      <c r="Q1453" s="105"/>
      <c r="R1453" s="105"/>
      <c r="S1453" s="105"/>
      <c r="T1453" s="105"/>
      <c r="U1453" s="71"/>
      <c r="V1453" s="71"/>
      <c r="W1453" s="106"/>
      <c r="X1453" s="188"/>
      <c r="Y1453" s="72"/>
      <c r="Z1453" s="73"/>
      <c r="AA1453" s="90"/>
      <c r="AB1453" s="41"/>
      <c r="AC1453" s="41"/>
      <c r="AD1453" s="50"/>
      <c r="AE1453" s="47"/>
      <c r="AF1453" s="47"/>
      <c r="AG1453" s="47"/>
      <c r="AH1453" s="47"/>
      <c r="AI1453" s="47"/>
      <c r="AJ1453" s="47"/>
      <c r="AK1453" s="47"/>
      <c r="AL1453" s="47"/>
      <c r="AM1453" s="70"/>
      <c r="AN1453" s="47"/>
      <c r="AO1453" s="70"/>
      <c r="AP1453" s="70"/>
      <c r="AQ1453" s="70"/>
      <c r="AR1453" s="70"/>
      <c r="AS1453" s="70"/>
      <c r="AT1453" s="191"/>
      <c r="AU1453" s="70"/>
      <c r="AV1453" s="192"/>
      <c r="AW1453" s="294"/>
      <c r="AX1453" s="70"/>
      <c r="AY1453" s="70"/>
      <c r="AZ1453" s="70"/>
      <c r="BA1453" s="70"/>
      <c r="BB1453" s="70"/>
      <c r="BC1453" s="70"/>
      <c r="BD1453" s="72"/>
      <c r="BE1453" s="73"/>
    </row>
    <row r="1454" spans="1:57" s="1" customFormat="1" ht="21.9" customHeight="1" x14ac:dyDescent="0.4">
      <c r="A1454" s="37" t="str">
        <f t="shared" si="566"/>
        <v>24Д</v>
      </c>
      <c r="B1454" s="183"/>
      <c r="C1454" s="41"/>
      <c r="D1454" s="184"/>
      <c r="E1454" s="281">
        <f>B1449</f>
        <v>24</v>
      </c>
      <c r="F1454" s="337"/>
      <c r="G1454" s="338"/>
      <c r="H1454" s="338"/>
      <c r="I1454" s="338"/>
      <c r="J1454" s="338"/>
      <c r="K1454" s="338"/>
      <c r="L1454" s="338"/>
      <c r="M1454" s="338"/>
      <c r="N1454" s="338"/>
      <c r="O1454" s="338"/>
      <c r="P1454" s="338"/>
      <c r="Q1454" s="338"/>
      <c r="R1454" s="338"/>
      <c r="S1454" s="338"/>
      <c r="T1454" s="338"/>
      <c r="U1454" s="338"/>
      <c r="V1454" s="338"/>
      <c r="W1454" s="338"/>
      <c r="X1454" s="98">
        <v>1</v>
      </c>
      <c r="Y1454" s="74">
        <v>1</v>
      </c>
      <c r="Z1454" s="75">
        <f t="shared" ref="Z1454:Z1465" si="572">Y1454-X1454</f>
        <v>0</v>
      </c>
      <c r="AA1454" s="189"/>
      <c r="AB1454" s="41"/>
      <c r="AC1454" s="184"/>
      <c r="AD1454" s="210">
        <f>E1454</f>
        <v>24</v>
      </c>
      <c r="AE1454" s="387"/>
      <c r="AF1454" s="388"/>
      <c r="AG1454" s="388"/>
      <c r="AH1454" s="388"/>
      <c r="AI1454" s="388"/>
      <c r="AJ1454" s="388"/>
      <c r="AK1454" s="388"/>
      <c r="AL1454" s="388"/>
      <c r="AM1454" s="388"/>
      <c r="AN1454" s="388"/>
      <c r="AO1454" s="388"/>
      <c r="AP1454" s="388"/>
      <c r="AQ1454" s="388"/>
      <c r="AR1454" s="388"/>
      <c r="AS1454" s="388"/>
      <c r="AT1454" s="388"/>
      <c r="AU1454" s="388"/>
      <c r="AV1454" s="388"/>
      <c r="AW1454" s="388"/>
      <c r="AX1454" s="388"/>
      <c r="AY1454" s="388"/>
      <c r="AZ1454" s="388"/>
      <c r="BA1454" s="388"/>
      <c r="BB1454" s="389"/>
      <c r="BC1454" s="98">
        <v>1</v>
      </c>
      <c r="BD1454" s="74">
        <v>1</v>
      </c>
      <c r="BE1454" s="75">
        <f t="shared" ref="BE1454:BE1465" si="573">BD1454-BC1454</f>
        <v>0</v>
      </c>
    </row>
    <row r="1455" spans="1:57" s="1" customFormat="1" ht="21.9" customHeight="1" x14ac:dyDescent="0.4">
      <c r="A1455" s="37" t="str">
        <f t="shared" si="566"/>
        <v>24Д</v>
      </c>
      <c r="B1455" s="183"/>
      <c r="C1455" s="41"/>
      <c r="D1455" s="184"/>
      <c r="E1455" s="282">
        <f>E1454</f>
        <v>24</v>
      </c>
      <c r="F1455" s="335"/>
      <c r="G1455" s="336"/>
      <c r="H1455" s="336"/>
      <c r="I1455" s="336"/>
      <c r="J1455" s="336"/>
      <c r="K1455" s="336"/>
      <c r="L1455" s="336"/>
      <c r="M1455" s="336"/>
      <c r="N1455" s="336"/>
      <c r="O1455" s="336"/>
      <c r="P1455" s="336"/>
      <c r="Q1455" s="336"/>
      <c r="R1455" s="336"/>
      <c r="S1455" s="336"/>
      <c r="T1455" s="336"/>
      <c r="U1455" s="336"/>
      <c r="V1455" s="336"/>
      <c r="W1455" s="336"/>
      <c r="X1455" s="98">
        <v>1</v>
      </c>
      <c r="Y1455" s="74">
        <v>1</v>
      </c>
      <c r="Z1455" s="75">
        <f t="shared" si="572"/>
        <v>0</v>
      </c>
      <c r="AA1455" s="107">
        <f>AA1454</f>
        <v>0</v>
      </c>
      <c r="AB1455" s="41"/>
      <c r="AC1455" s="184"/>
      <c r="AD1455" s="212">
        <f>AD1454</f>
        <v>24</v>
      </c>
      <c r="AE1455" s="387"/>
      <c r="AF1455" s="388"/>
      <c r="AG1455" s="388"/>
      <c r="AH1455" s="388"/>
      <c r="AI1455" s="388"/>
      <c r="AJ1455" s="388"/>
      <c r="AK1455" s="388"/>
      <c r="AL1455" s="388"/>
      <c r="AM1455" s="388"/>
      <c r="AN1455" s="388"/>
      <c r="AO1455" s="388"/>
      <c r="AP1455" s="388"/>
      <c r="AQ1455" s="388"/>
      <c r="AR1455" s="388"/>
      <c r="AS1455" s="388"/>
      <c r="AT1455" s="388"/>
      <c r="AU1455" s="388"/>
      <c r="AV1455" s="388"/>
      <c r="AW1455" s="388"/>
      <c r="AX1455" s="388"/>
      <c r="AY1455" s="388"/>
      <c r="AZ1455" s="388"/>
      <c r="BA1455" s="388"/>
      <c r="BB1455" s="389"/>
      <c r="BC1455" s="98">
        <v>1</v>
      </c>
      <c r="BD1455" s="74">
        <v>1</v>
      </c>
      <c r="BE1455" s="75">
        <f t="shared" si="573"/>
        <v>0</v>
      </c>
    </row>
    <row r="1456" spans="1:57" s="1" customFormat="1" ht="18" customHeight="1" x14ac:dyDescent="0.4">
      <c r="A1456" s="37" t="str">
        <f t="shared" si="566"/>
        <v>24Д</v>
      </c>
      <c r="B1456" s="183"/>
      <c r="C1456" s="41"/>
      <c r="D1456" s="184"/>
      <c r="E1456" s="282">
        <f t="shared" ref="E1456:E1465" si="574">E1455</f>
        <v>24</v>
      </c>
      <c r="F1456" s="335"/>
      <c r="G1456" s="336"/>
      <c r="H1456" s="336"/>
      <c r="I1456" s="336"/>
      <c r="J1456" s="336"/>
      <c r="K1456" s="336"/>
      <c r="L1456" s="336"/>
      <c r="M1456" s="336"/>
      <c r="N1456" s="336"/>
      <c r="O1456" s="336"/>
      <c r="P1456" s="336"/>
      <c r="Q1456" s="336"/>
      <c r="R1456" s="336"/>
      <c r="S1456" s="336"/>
      <c r="T1456" s="336"/>
      <c r="U1456" s="336"/>
      <c r="V1456" s="336"/>
      <c r="W1456" s="336"/>
      <c r="X1456" s="98">
        <v>1</v>
      </c>
      <c r="Y1456" s="74">
        <v>1</v>
      </c>
      <c r="Z1456" s="75">
        <f t="shared" si="572"/>
        <v>0</v>
      </c>
      <c r="AA1456" s="107">
        <f>AA1455</f>
        <v>0</v>
      </c>
      <c r="AB1456" s="41"/>
      <c r="AC1456" s="184"/>
      <c r="AD1456" s="212">
        <f t="shared" ref="AD1456:AD1465" si="575">AD1455</f>
        <v>24</v>
      </c>
      <c r="AE1456" s="387"/>
      <c r="AF1456" s="388"/>
      <c r="AG1456" s="388"/>
      <c r="AH1456" s="388"/>
      <c r="AI1456" s="388"/>
      <c r="AJ1456" s="388"/>
      <c r="AK1456" s="388"/>
      <c r="AL1456" s="388"/>
      <c r="AM1456" s="388"/>
      <c r="AN1456" s="388"/>
      <c r="AO1456" s="388"/>
      <c r="AP1456" s="388"/>
      <c r="AQ1456" s="388"/>
      <c r="AR1456" s="388"/>
      <c r="AS1456" s="388"/>
      <c r="AT1456" s="388"/>
      <c r="AU1456" s="388"/>
      <c r="AV1456" s="388"/>
      <c r="AW1456" s="388"/>
      <c r="AX1456" s="388"/>
      <c r="AY1456" s="388"/>
      <c r="AZ1456" s="388"/>
      <c r="BA1456" s="388"/>
      <c r="BB1456" s="389"/>
      <c r="BC1456" s="98">
        <v>1</v>
      </c>
      <c r="BD1456" s="74">
        <v>1</v>
      </c>
      <c r="BE1456" s="75">
        <f t="shared" si="573"/>
        <v>0</v>
      </c>
    </row>
    <row r="1457" spans="1:57" s="1" customFormat="1" ht="18" customHeight="1" x14ac:dyDescent="0.4">
      <c r="A1457" s="37" t="str">
        <f t="shared" si="566"/>
        <v>24Д</v>
      </c>
      <c r="B1457" s="183"/>
      <c r="C1457" s="41"/>
      <c r="D1457" s="184"/>
      <c r="E1457" s="282">
        <f t="shared" si="574"/>
        <v>24</v>
      </c>
      <c r="F1457" s="335"/>
      <c r="G1457" s="336"/>
      <c r="H1457" s="336"/>
      <c r="I1457" s="336"/>
      <c r="J1457" s="336"/>
      <c r="K1457" s="336"/>
      <c r="L1457" s="336"/>
      <c r="M1457" s="336"/>
      <c r="N1457" s="336"/>
      <c r="O1457" s="336"/>
      <c r="P1457" s="336"/>
      <c r="Q1457" s="336"/>
      <c r="R1457" s="336"/>
      <c r="S1457" s="336"/>
      <c r="T1457" s="336"/>
      <c r="U1457" s="336"/>
      <c r="V1457" s="336"/>
      <c r="W1457" s="336"/>
      <c r="X1457" s="98">
        <v>1</v>
      </c>
      <c r="Y1457" s="74">
        <v>1</v>
      </c>
      <c r="Z1457" s="75">
        <f t="shared" si="572"/>
        <v>0</v>
      </c>
      <c r="AA1457" s="107">
        <f t="shared" ref="AA1457:AA1465" si="576">AA1456</f>
        <v>0</v>
      </c>
      <c r="AB1457" s="41"/>
      <c r="AC1457" s="184"/>
      <c r="AD1457" s="212">
        <f t="shared" si="575"/>
        <v>24</v>
      </c>
      <c r="AE1457" s="387"/>
      <c r="AF1457" s="388"/>
      <c r="AG1457" s="388"/>
      <c r="AH1457" s="388"/>
      <c r="AI1457" s="388"/>
      <c r="AJ1457" s="388"/>
      <c r="AK1457" s="388"/>
      <c r="AL1457" s="388"/>
      <c r="AM1457" s="388"/>
      <c r="AN1457" s="388"/>
      <c r="AO1457" s="388"/>
      <c r="AP1457" s="388"/>
      <c r="AQ1457" s="388"/>
      <c r="AR1457" s="388"/>
      <c r="AS1457" s="388"/>
      <c r="AT1457" s="388"/>
      <c r="AU1457" s="388"/>
      <c r="AV1457" s="388"/>
      <c r="AW1457" s="388"/>
      <c r="AX1457" s="388"/>
      <c r="AY1457" s="388"/>
      <c r="AZ1457" s="388"/>
      <c r="BA1457" s="388"/>
      <c r="BB1457" s="389"/>
      <c r="BC1457" s="98">
        <v>1</v>
      </c>
      <c r="BD1457" s="74">
        <v>1</v>
      </c>
      <c r="BE1457" s="75">
        <f t="shared" si="573"/>
        <v>0</v>
      </c>
    </row>
    <row r="1458" spans="1:57" s="1" customFormat="1" ht="18" customHeight="1" x14ac:dyDescent="0.4">
      <c r="A1458" s="37" t="str">
        <f t="shared" si="566"/>
        <v>24Д</v>
      </c>
      <c r="B1458" s="183"/>
      <c r="C1458" s="41"/>
      <c r="D1458" s="184"/>
      <c r="E1458" s="282">
        <f t="shared" si="574"/>
        <v>24</v>
      </c>
      <c r="F1458" s="335"/>
      <c r="G1458" s="336"/>
      <c r="H1458" s="336"/>
      <c r="I1458" s="336"/>
      <c r="J1458" s="336"/>
      <c r="K1458" s="336"/>
      <c r="L1458" s="336"/>
      <c r="M1458" s="336"/>
      <c r="N1458" s="336"/>
      <c r="O1458" s="336"/>
      <c r="P1458" s="336"/>
      <c r="Q1458" s="336"/>
      <c r="R1458" s="336"/>
      <c r="S1458" s="336"/>
      <c r="T1458" s="336"/>
      <c r="U1458" s="336"/>
      <c r="V1458" s="336"/>
      <c r="W1458" s="336"/>
      <c r="X1458" s="98">
        <v>1</v>
      </c>
      <c r="Y1458" s="74">
        <v>1</v>
      </c>
      <c r="Z1458" s="75">
        <f t="shared" si="572"/>
        <v>0</v>
      </c>
      <c r="AA1458" s="107">
        <f t="shared" si="576"/>
        <v>0</v>
      </c>
      <c r="AB1458" s="41"/>
      <c r="AC1458" s="184"/>
      <c r="AD1458" s="212">
        <f t="shared" si="575"/>
        <v>24</v>
      </c>
      <c r="AE1458" s="387"/>
      <c r="AF1458" s="388"/>
      <c r="AG1458" s="388"/>
      <c r="AH1458" s="388"/>
      <c r="AI1458" s="388"/>
      <c r="AJ1458" s="388"/>
      <c r="AK1458" s="388"/>
      <c r="AL1458" s="388"/>
      <c r="AM1458" s="388"/>
      <c r="AN1458" s="388"/>
      <c r="AO1458" s="388"/>
      <c r="AP1458" s="388"/>
      <c r="AQ1458" s="388"/>
      <c r="AR1458" s="388"/>
      <c r="AS1458" s="388"/>
      <c r="AT1458" s="388"/>
      <c r="AU1458" s="388"/>
      <c r="AV1458" s="388"/>
      <c r="AW1458" s="388"/>
      <c r="AX1458" s="388"/>
      <c r="AY1458" s="388"/>
      <c r="AZ1458" s="388"/>
      <c r="BA1458" s="388"/>
      <c r="BB1458" s="389"/>
      <c r="BC1458" s="98">
        <v>1</v>
      </c>
      <c r="BD1458" s="74">
        <v>1</v>
      </c>
      <c r="BE1458" s="75">
        <f t="shared" si="573"/>
        <v>0</v>
      </c>
    </row>
    <row r="1459" spans="1:57" s="1" customFormat="1" ht="18" customHeight="1" x14ac:dyDescent="0.4">
      <c r="A1459" s="37" t="str">
        <f t="shared" si="566"/>
        <v>24Д</v>
      </c>
      <c r="B1459" s="183"/>
      <c r="C1459" s="41"/>
      <c r="D1459" s="184"/>
      <c r="E1459" s="282">
        <f t="shared" si="574"/>
        <v>24</v>
      </c>
      <c r="F1459" s="335"/>
      <c r="G1459" s="336"/>
      <c r="H1459" s="336"/>
      <c r="I1459" s="336"/>
      <c r="J1459" s="336"/>
      <c r="K1459" s="336"/>
      <c r="L1459" s="336"/>
      <c r="M1459" s="336"/>
      <c r="N1459" s="336"/>
      <c r="O1459" s="336"/>
      <c r="P1459" s="336"/>
      <c r="Q1459" s="336"/>
      <c r="R1459" s="336"/>
      <c r="S1459" s="336"/>
      <c r="T1459" s="336"/>
      <c r="U1459" s="336"/>
      <c r="V1459" s="336"/>
      <c r="W1459" s="336"/>
      <c r="X1459" s="98">
        <v>1</v>
      </c>
      <c r="Y1459" s="74">
        <v>1</v>
      </c>
      <c r="Z1459" s="75">
        <f t="shared" si="572"/>
        <v>0</v>
      </c>
      <c r="AA1459" s="107">
        <f t="shared" si="576"/>
        <v>0</v>
      </c>
      <c r="AB1459" s="41"/>
      <c r="AC1459" s="184"/>
      <c r="AD1459" s="212">
        <f t="shared" si="575"/>
        <v>24</v>
      </c>
      <c r="AE1459" s="387"/>
      <c r="AF1459" s="388"/>
      <c r="AG1459" s="388"/>
      <c r="AH1459" s="388"/>
      <c r="AI1459" s="388"/>
      <c r="AJ1459" s="388"/>
      <c r="AK1459" s="388"/>
      <c r="AL1459" s="388"/>
      <c r="AM1459" s="388"/>
      <c r="AN1459" s="388"/>
      <c r="AO1459" s="388"/>
      <c r="AP1459" s="388"/>
      <c r="AQ1459" s="388"/>
      <c r="AR1459" s="388"/>
      <c r="AS1459" s="388"/>
      <c r="AT1459" s="388"/>
      <c r="AU1459" s="388"/>
      <c r="AV1459" s="388"/>
      <c r="AW1459" s="388"/>
      <c r="AX1459" s="388"/>
      <c r="AY1459" s="388"/>
      <c r="AZ1459" s="388"/>
      <c r="BA1459" s="388"/>
      <c r="BB1459" s="389"/>
      <c r="BC1459" s="98">
        <v>1</v>
      </c>
      <c r="BD1459" s="74">
        <v>1</v>
      </c>
      <c r="BE1459" s="75">
        <f t="shared" si="573"/>
        <v>0</v>
      </c>
    </row>
    <row r="1460" spans="1:57" s="1" customFormat="1" ht="18" customHeight="1" x14ac:dyDescent="0.4">
      <c r="A1460" s="37" t="str">
        <f t="shared" si="566"/>
        <v>24Д</v>
      </c>
      <c r="B1460" s="183"/>
      <c r="C1460" s="41"/>
      <c r="D1460" s="184"/>
      <c r="E1460" s="282">
        <f t="shared" si="574"/>
        <v>24</v>
      </c>
      <c r="F1460" s="335"/>
      <c r="G1460" s="336"/>
      <c r="H1460" s="336"/>
      <c r="I1460" s="336"/>
      <c r="J1460" s="336"/>
      <c r="K1460" s="336"/>
      <c r="L1460" s="336"/>
      <c r="M1460" s="336"/>
      <c r="N1460" s="336"/>
      <c r="O1460" s="336"/>
      <c r="P1460" s="336"/>
      <c r="Q1460" s="336"/>
      <c r="R1460" s="336"/>
      <c r="S1460" s="336"/>
      <c r="T1460" s="336"/>
      <c r="U1460" s="336"/>
      <c r="V1460" s="336"/>
      <c r="W1460" s="336"/>
      <c r="X1460" s="98">
        <v>1</v>
      </c>
      <c r="Y1460" s="74">
        <v>1</v>
      </c>
      <c r="Z1460" s="75">
        <f t="shared" si="572"/>
        <v>0</v>
      </c>
      <c r="AA1460" s="107">
        <f t="shared" si="576"/>
        <v>0</v>
      </c>
      <c r="AB1460" s="41"/>
      <c r="AC1460" s="184"/>
      <c r="AD1460" s="212">
        <f t="shared" si="575"/>
        <v>24</v>
      </c>
      <c r="AE1460" s="387"/>
      <c r="AF1460" s="388"/>
      <c r="AG1460" s="388"/>
      <c r="AH1460" s="388"/>
      <c r="AI1460" s="388"/>
      <c r="AJ1460" s="388"/>
      <c r="AK1460" s="388"/>
      <c r="AL1460" s="388"/>
      <c r="AM1460" s="388"/>
      <c r="AN1460" s="388"/>
      <c r="AO1460" s="388"/>
      <c r="AP1460" s="388"/>
      <c r="AQ1460" s="388"/>
      <c r="AR1460" s="388"/>
      <c r="AS1460" s="388"/>
      <c r="AT1460" s="388"/>
      <c r="AU1460" s="388"/>
      <c r="AV1460" s="388"/>
      <c r="AW1460" s="388"/>
      <c r="AX1460" s="388"/>
      <c r="AY1460" s="388"/>
      <c r="AZ1460" s="388"/>
      <c r="BA1460" s="388"/>
      <c r="BB1460" s="389"/>
      <c r="BC1460" s="98">
        <v>1</v>
      </c>
      <c r="BD1460" s="74">
        <v>1</v>
      </c>
      <c r="BE1460" s="75">
        <f t="shared" si="573"/>
        <v>0</v>
      </c>
    </row>
    <row r="1461" spans="1:57" s="1" customFormat="1" ht="18" customHeight="1" x14ac:dyDescent="0.4">
      <c r="A1461" s="37" t="str">
        <f t="shared" si="566"/>
        <v>24Д</v>
      </c>
      <c r="B1461" s="183"/>
      <c r="C1461" s="41"/>
      <c r="D1461" s="184"/>
      <c r="E1461" s="282">
        <f t="shared" si="574"/>
        <v>24</v>
      </c>
      <c r="F1461" s="335"/>
      <c r="G1461" s="336"/>
      <c r="H1461" s="336"/>
      <c r="I1461" s="336"/>
      <c r="J1461" s="336"/>
      <c r="K1461" s="336"/>
      <c r="L1461" s="336"/>
      <c r="M1461" s="336"/>
      <c r="N1461" s="336"/>
      <c r="O1461" s="336"/>
      <c r="P1461" s="336"/>
      <c r="Q1461" s="336"/>
      <c r="R1461" s="336"/>
      <c r="S1461" s="336"/>
      <c r="T1461" s="336"/>
      <c r="U1461" s="336"/>
      <c r="V1461" s="336"/>
      <c r="W1461" s="336"/>
      <c r="X1461" s="98">
        <v>1</v>
      </c>
      <c r="Y1461" s="74">
        <v>1</v>
      </c>
      <c r="Z1461" s="75">
        <f t="shared" si="572"/>
        <v>0</v>
      </c>
      <c r="AA1461" s="107">
        <f t="shared" si="576"/>
        <v>0</v>
      </c>
      <c r="AB1461" s="41"/>
      <c r="AC1461" s="184"/>
      <c r="AD1461" s="212">
        <f t="shared" si="575"/>
        <v>24</v>
      </c>
      <c r="AE1461" s="387"/>
      <c r="AF1461" s="388"/>
      <c r="AG1461" s="388"/>
      <c r="AH1461" s="388"/>
      <c r="AI1461" s="388"/>
      <c r="AJ1461" s="388"/>
      <c r="AK1461" s="388"/>
      <c r="AL1461" s="388"/>
      <c r="AM1461" s="388"/>
      <c r="AN1461" s="388"/>
      <c r="AO1461" s="388"/>
      <c r="AP1461" s="388"/>
      <c r="AQ1461" s="388"/>
      <c r="AR1461" s="388"/>
      <c r="AS1461" s="388"/>
      <c r="AT1461" s="388"/>
      <c r="AU1461" s="388"/>
      <c r="AV1461" s="388"/>
      <c r="AW1461" s="388"/>
      <c r="AX1461" s="388"/>
      <c r="AY1461" s="388"/>
      <c r="AZ1461" s="388"/>
      <c r="BA1461" s="388"/>
      <c r="BB1461" s="389"/>
      <c r="BC1461" s="98">
        <v>1</v>
      </c>
      <c r="BD1461" s="74">
        <v>1</v>
      </c>
      <c r="BE1461" s="75">
        <f t="shared" si="573"/>
        <v>0</v>
      </c>
    </row>
    <row r="1462" spans="1:57" s="1" customFormat="1" ht="18" customHeight="1" x14ac:dyDescent="0.4">
      <c r="A1462" s="37" t="str">
        <f t="shared" si="566"/>
        <v>24Д</v>
      </c>
      <c r="B1462" s="183"/>
      <c r="C1462" s="41"/>
      <c r="D1462" s="184"/>
      <c r="E1462" s="282">
        <f t="shared" si="574"/>
        <v>24</v>
      </c>
      <c r="F1462" s="335"/>
      <c r="G1462" s="336"/>
      <c r="H1462" s="336"/>
      <c r="I1462" s="336"/>
      <c r="J1462" s="336"/>
      <c r="K1462" s="336"/>
      <c r="L1462" s="336"/>
      <c r="M1462" s="336"/>
      <c r="N1462" s="336"/>
      <c r="O1462" s="336"/>
      <c r="P1462" s="336"/>
      <c r="Q1462" s="336"/>
      <c r="R1462" s="336"/>
      <c r="S1462" s="336"/>
      <c r="T1462" s="336"/>
      <c r="U1462" s="336"/>
      <c r="V1462" s="336"/>
      <c r="W1462" s="336"/>
      <c r="X1462" s="98">
        <v>1</v>
      </c>
      <c r="Y1462" s="74">
        <v>1</v>
      </c>
      <c r="Z1462" s="75">
        <f t="shared" si="572"/>
        <v>0</v>
      </c>
      <c r="AA1462" s="107">
        <f t="shared" si="576"/>
        <v>0</v>
      </c>
      <c r="AB1462" s="41"/>
      <c r="AC1462" s="184"/>
      <c r="AD1462" s="212">
        <f t="shared" si="575"/>
        <v>24</v>
      </c>
      <c r="AE1462" s="387"/>
      <c r="AF1462" s="388"/>
      <c r="AG1462" s="388"/>
      <c r="AH1462" s="388"/>
      <c r="AI1462" s="388"/>
      <c r="AJ1462" s="388"/>
      <c r="AK1462" s="388"/>
      <c r="AL1462" s="388"/>
      <c r="AM1462" s="388"/>
      <c r="AN1462" s="388"/>
      <c r="AO1462" s="388"/>
      <c r="AP1462" s="388"/>
      <c r="AQ1462" s="388"/>
      <c r="AR1462" s="388"/>
      <c r="AS1462" s="388"/>
      <c r="AT1462" s="388"/>
      <c r="AU1462" s="388"/>
      <c r="AV1462" s="388"/>
      <c r="AW1462" s="388"/>
      <c r="AX1462" s="388"/>
      <c r="AY1462" s="388"/>
      <c r="AZ1462" s="388"/>
      <c r="BA1462" s="388"/>
      <c r="BB1462" s="389"/>
      <c r="BC1462" s="98">
        <v>1</v>
      </c>
      <c r="BD1462" s="74">
        <v>1</v>
      </c>
      <c r="BE1462" s="75">
        <f t="shared" si="573"/>
        <v>0</v>
      </c>
    </row>
    <row r="1463" spans="1:57" s="1" customFormat="1" ht="18" customHeight="1" x14ac:dyDescent="0.4">
      <c r="A1463" s="37" t="str">
        <f t="shared" si="566"/>
        <v>24Д</v>
      </c>
      <c r="B1463" s="183"/>
      <c r="C1463" s="41"/>
      <c r="D1463" s="184"/>
      <c r="E1463" s="282">
        <f t="shared" si="574"/>
        <v>24</v>
      </c>
      <c r="F1463" s="335"/>
      <c r="G1463" s="336"/>
      <c r="H1463" s="336"/>
      <c r="I1463" s="336"/>
      <c r="J1463" s="336"/>
      <c r="K1463" s="336"/>
      <c r="L1463" s="336"/>
      <c r="M1463" s="336"/>
      <c r="N1463" s="336"/>
      <c r="O1463" s="336"/>
      <c r="P1463" s="336"/>
      <c r="Q1463" s="336"/>
      <c r="R1463" s="336"/>
      <c r="S1463" s="336"/>
      <c r="T1463" s="336"/>
      <c r="U1463" s="336"/>
      <c r="V1463" s="336"/>
      <c r="W1463" s="336"/>
      <c r="X1463" s="98">
        <v>1</v>
      </c>
      <c r="Y1463" s="74">
        <v>1</v>
      </c>
      <c r="Z1463" s="75">
        <f t="shared" si="572"/>
        <v>0</v>
      </c>
      <c r="AA1463" s="107">
        <f t="shared" si="576"/>
        <v>0</v>
      </c>
      <c r="AB1463" s="41"/>
      <c r="AC1463" s="184"/>
      <c r="AD1463" s="212">
        <f t="shared" si="575"/>
        <v>24</v>
      </c>
      <c r="AE1463" s="387"/>
      <c r="AF1463" s="388"/>
      <c r="AG1463" s="388"/>
      <c r="AH1463" s="388"/>
      <c r="AI1463" s="388"/>
      <c r="AJ1463" s="388"/>
      <c r="AK1463" s="388"/>
      <c r="AL1463" s="388"/>
      <c r="AM1463" s="388"/>
      <c r="AN1463" s="388"/>
      <c r="AO1463" s="388"/>
      <c r="AP1463" s="388"/>
      <c r="AQ1463" s="388"/>
      <c r="AR1463" s="388"/>
      <c r="AS1463" s="388"/>
      <c r="AT1463" s="388"/>
      <c r="AU1463" s="388"/>
      <c r="AV1463" s="388"/>
      <c r="AW1463" s="388"/>
      <c r="AX1463" s="388"/>
      <c r="AY1463" s="388"/>
      <c r="AZ1463" s="388"/>
      <c r="BA1463" s="388"/>
      <c r="BB1463" s="389"/>
      <c r="BC1463" s="98">
        <v>1</v>
      </c>
      <c r="BD1463" s="74">
        <v>1</v>
      </c>
      <c r="BE1463" s="75">
        <f t="shared" si="573"/>
        <v>0</v>
      </c>
    </row>
    <row r="1464" spans="1:57" s="1" customFormat="1" ht="18" customHeight="1" x14ac:dyDescent="0.4">
      <c r="A1464" s="37" t="str">
        <f t="shared" si="566"/>
        <v>24Д</v>
      </c>
      <c r="B1464" s="183"/>
      <c r="C1464" s="41"/>
      <c r="D1464" s="184"/>
      <c r="E1464" s="282">
        <f t="shared" si="574"/>
        <v>24</v>
      </c>
      <c r="F1464" s="335"/>
      <c r="G1464" s="336"/>
      <c r="H1464" s="336"/>
      <c r="I1464" s="336"/>
      <c r="J1464" s="336"/>
      <c r="K1464" s="336"/>
      <c r="L1464" s="336"/>
      <c r="M1464" s="336"/>
      <c r="N1464" s="336"/>
      <c r="O1464" s="336"/>
      <c r="P1464" s="336"/>
      <c r="Q1464" s="336"/>
      <c r="R1464" s="336"/>
      <c r="S1464" s="336"/>
      <c r="T1464" s="336"/>
      <c r="U1464" s="336"/>
      <c r="V1464" s="336"/>
      <c r="W1464" s="336"/>
      <c r="X1464" s="98">
        <v>1</v>
      </c>
      <c r="Y1464" s="74">
        <v>1</v>
      </c>
      <c r="Z1464" s="75">
        <f t="shared" si="572"/>
        <v>0</v>
      </c>
      <c r="AA1464" s="107">
        <f t="shared" si="576"/>
        <v>0</v>
      </c>
      <c r="AB1464" s="41"/>
      <c r="AC1464" s="184"/>
      <c r="AD1464" s="212">
        <f t="shared" si="575"/>
        <v>24</v>
      </c>
      <c r="AE1464" s="387"/>
      <c r="AF1464" s="388"/>
      <c r="AG1464" s="388"/>
      <c r="AH1464" s="388"/>
      <c r="AI1464" s="388"/>
      <c r="AJ1464" s="388"/>
      <c r="AK1464" s="388"/>
      <c r="AL1464" s="388"/>
      <c r="AM1464" s="388"/>
      <c r="AN1464" s="388"/>
      <c r="AO1464" s="388"/>
      <c r="AP1464" s="388"/>
      <c r="AQ1464" s="388"/>
      <c r="AR1464" s="388"/>
      <c r="AS1464" s="388"/>
      <c r="AT1464" s="388"/>
      <c r="AU1464" s="388"/>
      <c r="AV1464" s="388"/>
      <c r="AW1464" s="388"/>
      <c r="AX1464" s="388"/>
      <c r="AY1464" s="388"/>
      <c r="AZ1464" s="388"/>
      <c r="BA1464" s="388"/>
      <c r="BB1464" s="389"/>
      <c r="BC1464" s="98">
        <v>1</v>
      </c>
      <c r="BD1464" s="74">
        <v>1</v>
      </c>
      <c r="BE1464" s="75">
        <f t="shared" si="573"/>
        <v>0</v>
      </c>
    </row>
    <row r="1465" spans="1:57" s="1" customFormat="1" ht="18" customHeight="1" thickBot="1" x14ac:dyDescent="0.45">
      <c r="A1465" s="37" t="str">
        <f t="shared" si="566"/>
        <v>24Д</v>
      </c>
      <c r="B1465" s="183"/>
      <c r="C1465" s="41"/>
      <c r="D1465" s="184"/>
      <c r="E1465" s="283">
        <f t="shared" si="574"/>
        <v>24</v>
      </c>
      <c r="F1465" s="339"/>
      <c r="G1465" s="340"/>
      <c r="H1465" s="340"/>
      <c r="I1465" s="340"/>
      <c r="J1465" s="340"/>
      <c r="K1465" s="340"/>
      <c r="L1465" s="340"/>
      <c r="M1465" s="340"/>
      <c r="N1465" s="340"/>
      <c r="O1465" s="340"/>
      <c r="P1465" s="340"/>
      <c r="Q1465" s="340"/>
      <c r="R1465" s="340"/>
      <c r="S1465" s="340"/>
      <c r="T1465" s="340"/>
      <c r="U1465" s="340"/>
      <c r="V1465" s="340"/>
      <c r="W1465" s="340"/>
      <c r="X1465" s="99">
        <v>1</v>
      </c>
      <c r="Y1465" s="76">
        <v>1</v>
      </c>
      <c r="Z1465" s="77">
        <f t="shared" si="572"/>
        <v>0</v>
      </c>
      <c r="AA1465" s="107">
        <f t="shared" si="576"/>
        <v>0</v>
      </c>
      <c r="AB1465" s="41"/>
      <c r="AC1465" s="184"/>
      <c r="AD1465" s="211">
        <f t="shared" si="575"/>
        <v>24</v>
      </c>
      <c r="AE1465" s="410"/>
      <c r="AF1465" s="411"/>
      <c r="AG1465" s="411"/>
      <c r="AH1465" s="411"/>
      <c r="AI1465" s="411"/>
      <c r="AJ1465" s="411"/>
      <c r="AK1465" s="411"/>
      <c r="AL1465" s="411"/>
      <c r="AM1465" s="411"/>
      <c r="AN1465" s="411"/>
      <c r="AO1465" s="411"/>
      <c r="AP1465" s="411"/>
      <c r="AQ1465" s="411"/>
      <c r="AR1465" s="411"/>
      <c r="AS1465" s="411"/>
      <c r="AT1465" s="411"/>
      <c r="AU1465" s="411"/>
      <c r="AV1465" s="411"/>
      <c r="AW1465" s="411"/>
      <c r="AX1465" s="411"/>
      <c r="AY1465" s="411"/>
      <c r="AZ1465" s="411"/>
      <c r="BA1465" s="411"/>
      <c r="BB1465" s="412"/>
      <c r="BC1465" s="99">
        <v>1</v>
      </c>
      <c r="BD1465" s="76">
        <v>1</v>
      </c>
      <c r="BE1465" s="75">
        <f t="shared" si="573"/>
        <v>0</v>
      </c>
    </row>
    <row r="1466" spans="1:57" s="1" customFormat="1" ht="23.25" customHeight="1" thickBot="1" x14ac:dyDescent="0.45">
      <c r="A1466" s="37" t="str">
        <f t="shared" si="566"/>
        <v>24Д</v>
      </c>
      <c r="B1466" s="193"/>
      <c r="C1466" s="47"/>
      <c r="D1466" s="47"/>
      <c r="E1466" s="47"/>
      <c r="F1466" s="78"/>
      <c r="G1466" s="78"/>
      <c r="H1466" s="78"/>
      <c r="I1466" s="80"/>
      <c r="J1466" s="80"/>
      <c r="K1466" s="80"/>
      <c r="L1466" s="80"/>
      <c r="M1466" s="80"/>
      <c r="N1466" s="80"/>
      <c r="O1466" s="78"/>
      <c r="P1466" s="81"/>
      <c r="Q1466" s="81"/>
      <c r="R1466" s="81"/>
      <c r="S1466" s="81"/>
      <c r="T1466" s="81"/>
      <c r="U1466" s="82"/>
      <c r="V1466" s="82"/>
      <c r="W1466" s="86"/>
      <c r="X1466" s="194"/>
      <c r="Y1466" s="83"/>
      <c r="Z1466" s="83"/>
      <c r="AA1466" s="78"/>
      <c r="AB1466" s="47"/>
      <c r="AC1466" s="47"/>
      <c r="AD1466" s="47"/>
      <c r="AE1466" s="47"/>
      <c r="AF1466" s="47"/>
      <c r="AG1466" s="47"/>
      <c r="AH1466" s="47"/>
      <c r="AI1466" s="47"/>
      <c r="AJ1466" s="47"/>
      <c r="AK1466" s="47"/>
      <c r="AL1466" s="47"/>
      <c r="AM1466" s="84"/>
      <c r="AN1466" s="47"/>
      <c r="AO1466" s="78"/>
      <c r="AP1466" s="78"/>
      <c r="AQ1466" s="78"/>
      <c r="AR1466" s="84"/>
      <c r="AS1466" s="78"/>
      <c r="AT1466" s="85"/>
      <c r="AU1466" s="78"/>
      <c r="AV1466" s="83"/>
      <c r="AW1466" s="83"/>
      <c r="AX1466" s="78"/>
      <c r="AY1466" s="78"/>
      <c r="AZ1466" s="78"/>
      <c r="BA1466" s="78"/>
      <c r="BB1466" s="78"/>
      <c r="BC1466" s="78"/>
      <c r="BD1466" s="79"/>
      <c r="BE1466" s="79"/>
    </row>
    <row r="1467" spans="1:57" s="1" customFormat="1" ht="21.6" customHeight="1" thickBot="1" x14ac:dyDescent="0.45">
      <c r="A1467" s="37" t="s">
        <v>193</v>
      </c>
      <c r="B1467" s="59"/>
      <c r="C1467" s="51"/>
      <c r="D1467" s="51"/>
      <c r="E1467" s="51"/>
      <c r="F1467" s="158" t="s">
        <v>220</v>
      </c>
      <c r="G1467" s="51"/>
      <c r="H1467" s="51"/>
      <c r="I1467" s="156"/>
      <c r="J1467" s="156"/>
      <c r="K1467" s="156"/>
      <c r="L1467" s="156"/>
      <c r="M1467" s="156"/>
      <c r="N1467" s="156"/>
      <c r="O1467" s="91"/>
      <c r="P1467" s="52"/>
      <c r="Q1467" s="52"/>
      <c r="R1467" s="52"/>
      <c r="S1467" s="52"/>
      <c r="T1467" s="52"/>
      <c r="U1467" s="157"/>
      <c r="V1467" s="157"/>
      <c r="W1467" s="94"/>
      <c r="X1467" s="94"/>
      <c r="Y1467" s="51"/>
      <c r="Z1467" s="51"/>
      <c r="AA1467" s="157">
        <f>AA1450</f>
        <v>1</v>
      </c>
      <c r="AB1467" s="157">
        <f t="shared" ref="AB1467:AF1467" si="577">AB1450</f>
        <v>2</v>
      </c>
      <c r="AC1467" s="157">
        <f t="shared" si="577"/>
        <v>3</v>
      </c>
      <c r="AD1467" s="157">
        <f t="shared" si="577"/>
        <v>4</v>
      </c>
      <c r="AE1467" s="157">
        <f t="shared" si="577"/>
        <v>5</v>
      </c>
      <c r="AF1467" s="157">
        <f t="shared" si="577"/>
        <v>6</v>
      </c>
      <c r="AG1467" s="162" t="s">
        <v>123</v>
      </c>
      <c r="AH1467" s="162" t="s">
        <v>124</v>
      </c>
      <c r="AI1467" s="162" t="s">
        <v>125</v>
      </c>
      <c r="AJ1467" s="91" t="s">
        <v>126</v>
      </c>
      <c r="AK1467" s="198" t="s">
        <v>136</v>
      </c>
      <c r="AL1467" s="198" t="s">
        <v>137</v>
      </c>
      <c r="AM1467" s="198" t="s">
        <v>138</v>
      </c>
      <c r="AN1467" s="91"/>
      <c r="AO1467" s="91"/>
      <c r="AP1467" s="91"/>
      <c r="AQ1467" s="91"/>
      <c r="AR1467" s="91"/>
      <c r="AS1467" s="91"/>
      <c r="AT1467" s="91"/>
      <c r="AU1467" s="91"/>
      <c r="AV1467" s="91"/>
      <c r="AW1467" s="91"/>
      <c r="AX1467" s="91"/>
      <c r="AY1467" s="91"/>
      <c r="AZ1467" s="91"/>
      <c r="BA1467" s="91"/>
      <c r="BB1467" s="91"/>
      <c r="BC1467" s="91"/>
      <c r="BD1467" s="91"/>
      <c r="BE1467" s="91"/>
    </row>
    <row r="1468" spans="1:57" s="1" customFormat="1" ht="21.6" customHeight="1" x14ac:dyDescent="0.4">
      <c r="A1468" s="37" t="str">
        <f>A1467</f>
        <v>24Н</v>
      </c>
      <c r="B1468" s="12">
        <f>B1449</f>
        <v>24</v>
      </c>
      <c r="C1468" s="97"/>
      <c r="D1468" s="97">
        <v>1</v>
      </c>
      <c r="E1468" s="29"/>
      <c r="F1468" s="151" t="str">
        <f>IFERROR(VLOOKUP($G1468,нормы!$A$14:$BC$57,2,0),"")</f>
        <v/>
      </c>
      <c r="G1468" s="93"/>
      <c r="H1468" s="54">
        <f>IF(C1468=1,"Кульков С.А.", IF(C1468=2,"Чудаков А.А.",IF(C1468=3,"Королев В.Н.",IF(C1468=4,"Николашин М.П.",IF(C1468=5," Кульков С.А.",IF(C1468=6,"А.А. Чудаков",IF(C1468=7,"В.Н. Королев",IF(C1468=8,"М.П. Николашин",0))))))))</f>
        <v>0</v>
      </c>
      <c r="I1468" s="88" t="s">
        <v>84</v>
      </c>
      <c r="J1468" s="332"/>
      <c r="K1468" s="30">
        <f>IFERROR(VLOOKUP($G1468,[1]нормы!$A$21:$BC$151,15,0),"")</f>
        <v>0</v>
      </c>
      <c r="L1468" s="31">
        <f>IFERROR(VLOOKUP($G1468,[1]нормы!$A$21:$BC$151,17,0),"")</f>
        <v>0</v>
      </c>
      <c r="M1468" s="310">
        <f>IFERROR(VLOOKUP($G1468,[1]нормы!$A$21:$BC$151,27,0),"")</f>
        <v>0</v>
      </c>
      <c r="N1468" s="311" t="str">
        <f>IFERROR(Y1468/Y1474*(1.1*J1468*I1473),"")</f>
        <v/>
      </c>
      <c r="O1468" s="300">
        <f>IFERROR(VLOOKUP($G1468,[1]нормы!$A$21:$BC$151,21,0),"")</f>
        <v>0</v>
      </c>
      <c r="P1468" s="35">
        <f>IFERROR(VLOOKUP($G1468,[1]нормы!$A$21:$BC$151,19,0),"")</f>
        <v>0</v>
      </c>
      <c r="Q1468" s="35">
        <f>IFERROR(VLOOKUP($G1468,[1]нормы!$A$21:$BC$151,23,0),"")</f>
        <v>0</v>
      </c>
      <c r="R1468" s="231">
        <f>IFERROR(VLOOKUP($G1468,[1]нормы!$A$21:$BC$151,29,0),"")</f>
        <v>0</v>
      </c>
      <c r="S1468" s="35">
        <f>IFERROR(VLOOKUP($G1468,[1]нормы!$A$21:$BC$151,31,0),"")</f>
        <v>0</v>
      </c>
      <c r="T1468" s="32">
        <f>IFERROR(VLOOKUP($G1468,[1]нормы!$A$21:$BC$151,25,0),"")</f>
        <v>0</v>
      </c>
      <c r="U1468" s="232" t="str">
        <f>IFERROR(W1468/(((100*Y1468/Y1474)*I1473)/100),"")</f>
        <v/>
      </c>
      <c r="V1468" s="234" t="str">
        <f>IFERROR(VLOOKUP($G1468,нормы!$A$14:$BC$57,38,0),"")</f>
        <v/>
      </c>
      <c r="W1468" s="136"/>
      <c r="X1468" s="236"/>
      <c r="Y1468" s="152" t="str">
        <f>IFERROR(VLOOKUP($G1468,нормы!$A$14:$BC$57,42,0)*W1468,"")</f>
        <v/>
      </c>
      <c r="Z1468" s="163">
        <f>IFERROR(VLOOKUP($G1468,нормы!$A$14:$BC$57,14,0)*W1468/1000,0)</f>
        <v>0</v>
      </c>
      <c r="AA1468" s="33"/>
      <c r="AB1468" s="36"/>
      <c r="AC1468" s="36"/>
      <c r="AD1468" s="36"/>
      <c r="AE1468" s="34"/>
      <c r="AF1468" s="159"/>
      <c r="AG1468" s="390"/>
      <c r="AH1468" s="393"/>
      <c r="AI1468" s="396"/>
      <c r="AJ1468" s="407">
        <f>AG1468+AH1468</f>
        <v>0</v>
      </c>
      <c r="AK1468" s="359"/>
      <c r="AL1468" s="359"/>
      <c r="AM1468" s="359"/>
      <c r="AN1468" s="287">
        <f>IFERROR(Y1468*AJ1468/Y1474,)</f>
        <v>0</v>
      </c>
      <c r="AO1468" s="197" t="str">
        <f>IFERROR(VLOOKUP($G1468,нормы!$A$14:$BC$57,53,0)*$W1468,"")</f>
        <v/>
      </c>
      <c r="AP1468" s="288">
        <f>IFERROR(Y1468*AI1468/Y1474,)</f>
        <v>0</v>
      </c>
      <c r="AQ1468" s="197" t="str">
        <f>IFERROR(VLOOKUP($G1468,нормы!$A$14:$BC$57,54,0)*$W1468,"")</f>
        <v/>
      </c>
      <c r="AR1468" s="288">
        <f>IFERROR(AS1468/SUM(AS1468:AS1473)*AL1468,0)</f>
        <v>0</v>
      </c>
      <c r="AS1468" s="197" t="str">
        <f>IFERROR(VLOOKUP($G1468,нормы!$A$14:$BC$57,55,0)*W1468,"")</f>
        <v/>
      </c>
      <c r="AT1468" s="288">
        <f>IFERROR(AU1468/SUM(AU1468:AU1473)*AM1468,0)</f>
        <v>0</v>
      </c>
      <c r="AU1468" s="197" t="str">
        <f>IFERROR(VLOOKUP($G1468,нормы!$A$14:$BI$57,56,0)*W1468,"")</f>
        <v/>
      </c>
      <c r="AV1468" s="288">
        <f>IFERROR(AW1468/SUM(AW1468:AW1473)*AK1468,0)</f>
        <v>0</v>
      </c>
      <c r="AW1468" s="202" t="str">
        <f>IFERROR(VLOOKUP($G1468,нормы!$A$14:$BI$57,57,0)*W1468,"")</f>
        <v/>
      </c>
      <c r="AX1468" s="33"/>
      <c r="AY1468" s="203" t="str">
        <f>IFERROR(VLOOKUP($G1468,нормы!$A$14:$BI$57,58,0)*W1468,"")</f>
        <v/>
      </c>
      <c r="AZ1468" s="204"/>
      <c r="BA1468" s="200" t="str">
        <f>IFERROR(VLOOKUP($G1468,нормы!$A$14:$BI$57,61,0)*$W1468,"")</f>
        <v/>
      </c>
      <c r="BB1468" s="33"/>
      <c r="BC1468" s="203" t="str">
        <f>IFERROR(VLOOKUP($G1468,нормы!$A$14:$BI$57,60,0)*W1468,"")</f>
        <v/>
      </c>
      <c r="BD1468" s="200" t="str">
        <f>IFERROR(VLOOKUP($G1468,нормы!$A$14:$BG$57,44,0),"")</f>
        <v/>
      </c>
      <c r="BE1468" s="199" t="str">
        <f>IFERROR(W1468/VLOOKUP($G1468,нормы!$A$14:$BI$57,45,0),"")</f>
        <v/>
      </c>
    </row>
    <row r="1469" spans="1:57" s="1" customFormat="1" ht="21.6" customHeight="1" x14ac:dyDescent="0.4">
      <c r="A1469" s="37" t="str">
        <f t="shared" ref="A1469:A1497" si="578">A1468</f>
        <v>24Н</v>
      </c>
      <c r="B1469" s="12">
        <f t="shared" ref="B1469:D1473" si="579">B1468</f>
        <v>24</v>
      </c>
      <c r="C1469" s="97">
        <f t="shared" si="579"/>
        <v>0</v>
      </c>
      <c r="D1469" s="97">
        <f t="shared" si="579"/>
        <v>1</v>
      </c>
      <c r="E1469" s="54"/>
      <c r="F1469" s="151" t="str">
        <f>IFERROR(VLOOKUP($G1469,нормы!$A$14:$BC$57,2,0),"")</f>
        <v/>
      </c>
      <c r="G1469" s="93"/>
      <c r="H1469" s="54">
        <f t="shared" ref="H1469:H1473" si="580">IF(C1469=1,"Кульков С.А.", IF(C1469=2,"Чудаков А.А.",IF(C1469=3,"Королев В.Н.",IF(C1469=4,"Николашин М.П.",IF(C1469=5," Кульков С.А.",IF(C1469=6,"А.А. Чудаков",IF(C1469=7,"В.Н. Королев",IF(C1469=8,"М.П. Николашин",0))))))))</f>
        <v>0</v>
      </c>
      <c r="I1469" s="55"/>
      <c r="J1469" s="333"/>
      <c r="K1469" s="30">
        <f>IFERROR(VLOOKUP($G1469,[1]нормы!$A$21:$BC$151,15,0),"")</f>
        <v>0</v>
      </c>
      <c r="L1469" s="31">
        <f>IFERROR(VLOOKUP($G1469,[1]нормы!$A$21:$BC$151,17,0),"")</f>
        <v>0</v>
      </c>
      <c r="M1469" s="306">
        <f>IFERROR(VLOOKUP($G1469,[1]нормы!$A$21:$BC$151,27,0),"")</f>
        <v>0</v>
      </c>
      <c r="N1469" s="307" t="str">
        <f>IFERROR(Y1469/Y1474*(1.1*J1468*I1473),"")</f>
        <v/>
      </c>
      <c r="O1469" s="300">
        <f>IFERROR(VLOOKUP($G1469,[1]нормы!$A$21:$BC$151,21,0),"")</f>
        <v>0</v>
      </c>
      <c r="P1469" s="35">
        <f>IFERROR(VLOOKUP($G1469,[1]нормы!$A$21:$BC$151,19,0),"")</f>
        <v>0</v>
      </c>
      <c r="Q1469" s="35">
        <f>IFERROR(VLOOKUP($G1469,[1]нормы!$A$21:$BC$151,23,0),"")</f>
        <v>0</v>
      </c>
      <c r="R1469" s="231">
        <f>IFERROR(VLOOKUP($G1469,[1]нормы!$A$21:$BC$151,29,0),"")</f>
        <v>0</v>
      </c>
      <c r="S1469" s="35">
        <f>IFERROR(VLOOKUP($G1469,[1]нормы!$A$21:$BC$151,31,0),"")</f>
        <v>0</v>
      </c>
      <c r="T1469" s="32">
        <f>IFERROR(VLOOKUP($G1469,[1]нормы!$A$21:$BC$151,25,0),"")</f>
        <v>0</v>
      </c>
      <c r="U1469" s="233" t="str">
        <f>IFERROR(W1469/(((100*Y1469/Y1474)*I1473)/100),"")</f>
        <v/>
      </c>
      <c r="V1469" s="234" t="str">
        <f>IFERROR(VLOOKUP($G1469,нормы!$A$14:$BC$57,38,0),"")</f>
        <v/>
      </c>
      <c r="W1469" s="136"/>
      <c r="X1469" s="237"/>
      <c r="Y1469" s="152" t="str">
        <f>IFERROR(VLOOKUP($G1469,нормы!$A$14:$BC$57,42,0)*W1469,"")</f>
        <v/>
      </c>
      <c r="Z1469" s="163">
        <f>IFERROR(VLOOKUP($G1469,нормы!$A$14:$BC$57,14,0)*W1469/1000,0)</f>
        <v>0</v>
      </c>
      <c r="AA1469" s="142"/>
      <c r="AB1469" s="35"/>
      <c r="AC1469" s="35"/>
      <c r="AD1469" s="35"/>
      <c r="AE1469" s="31"/>
      <c r="AF1469" s="160"/>
      <c r="AG1469" s="391"/>
      <c r="AH1469" s="394"/>
      <c r="AI1469" s="397"/>
      <c r="AJ1469" s="408"/>
      <c r="AK1469" s="360"/>
      <c r="AL1469" s="360"/>
      <c r="AM1469" s="360"/>
      <c r="AN1469" s="289">
        <f>IFERROR(Y1469*AJ1468/Y1474,)</f>
        <v>0</v>
      </c>
      <c r="AO1469" s="197" t="str">
        <f>IFERROR(VLOOKUP($G1469,нормы!$A$14:$BC$57,53,0)*$W1469,"")</f>
        <v/>
      </c>
      <c r="AP1469" s="290">
        <f>IFERROR(Y1469*AI1468/Y1474,)</f>
        <v>0</v>
      </c>
      <c r="AQ1469" s="197" t="str">
        <f>IFERROR(VLOOKUP($G1469,нормы!$A$14:$BC$57,54,0)*$W1469,"")</f>
        <v/>
      </c>
      <c r="AR1469" s="290">
        <f>IFERROR(AS1469/SUM(AS1468:AS1473)*AL1468,0)</f>
        <v>0</v>
      </c>
      <c r="AS1469" s="197" t="str">
        <f>IFERROR(VLOOKUP($G1469,нормы!$A$14:$BC$57,55,0)*W1469,"")</f>
        <v/>
      </c>
      <c r="AT1469" s="290">
        <f>IFERROR(AU1469/SUM(AU1468:AU1473)*AM1468,0)</f>
        <v>0</v>
      </c>
      <c r="AU1469" s="197" t="str">
        <f>IFERROR(VLOOKUP($G1469,нормы!$A$14:$BI$57,56,0)*W1469,"")</f>
        <v/>
      </c>
      <c r="AV1469" s="290">
        <f>IFERROR(AW1469/SUM(AW1468:AW1473)*AK1468,0)</f>
        <v>0</v>
      </c>
      <c r="AW1469" s="202" t="str">
        <f>IFERROR(VLOOKUP($G1469,нормы!$A$14:$BI$57,57,0)*W1469,"")</f>
        <v/>
      </c>
      <c r="AX1469" s="30"/>
      <c r="AY1469" s="203" t="str">
        <f>IFERROR(VLOOKUP($G1469,нормы!$A$14:$BI$57,58,0)*W1469,"")</f>
        <v/>
      </c>
      <c r="AZ1469" s="205"/>
      <c r="BA1469" s="200" t="str">
        <f>IFERROR(VLOOKUP($G1469,нормы!$A$14:$BI$57,61,0)*$W1469,"")</f>
        <v/>
      </c>
      <c r="BB1469" s="30"/>
      <c r="BC1469" s="203" t="str">
        <f>IFERROR(VLOOKUP($G1469,нормы!$A$14:$BI$57,60,0)*W1469,"")</f>
        <v/>
      </c>
      <c r="BD1469" s="200" t="str">
        <f>IFERROR(VLOOKUP($G1469,нормы!$A$14:$BG$57,44,0),"")</f>
        <v/>
      </c>
      <c r="BE1469" s="199" t="str">
        <f>IFERROR(W1469/VLOOKUP($G1469,нормы!$A$14:$BI$57,45,0),"")</f>
        <v/>
      </c>
    </row>
    <row r="1470" spans="1:57" s="1" customFormat="1" ht="20.25" customHeight="1" x14ac:dyDescent="0.4">
      <c r="A1470" s="37" t="str">
        <f t="shared" si="578"/>
        <v>24Н</v>
      </c>
      <c r="B1470" s="12">
        <f t="shared" si="579"/>
        <v>24</v>
      </c>
      <c r="C1470" s="97">
        <f t="shared" si="579"/>
        <v>0</v>
      </c>
      <c r="D1470" s="97">
        <f t="shared" si="579"/>
        <v>1</v>
      </c>
      <c r="E1470" s="54"/>
      <c r="F1470" s="151" t="str">
        <f>IFERROR(VLOOKUP($G1470,нормы!$A$14:$BC$57,2,0),"")</f>
        <v/>
      </c>
      <c r="G1470" s="38"/>
      <c r="H1470" s="54">
        <f t="shared" si="580"/>
        <v>0</v>
      </c>
      <c r="I1470" s="89" t="s">
        <v>85</v>
      </c>
      <c r="J1470" s="333"/>
      <c r="K1470" s="30">
        <f>IFERROR(VLOOKUP($G1470,[1]нормы!$A$21:$BC$151,15,0),"")</f>
        <v>0</v>
      </c>
      <c r="L1470" s="31">
        <f>IFERROR(VLOOKUP($G1470,[1]нормы!$A$21:$BC$151,17,0),"")</f>
        <v>0</v>
      </c>
      <c r="M1470" s="306">
        <f>IFERROR(VLOOKUP($G1470,[1]нормы!$A$21:$BC$151,27,0),"")</f>
        <v>0</v>
      </c>
      <c r="N1470" s="307" t="str">
        <f>IFERROR(Y1470/Y1474*(1.1*J1468*I1473),"")</f>
        <v/>
      </c>
      <c r="O1470" s="300">
        <f>IFERROR(VLOOKUP($G1470,[1]нормы!$A$21:$BC$151,21,0),"")</f>
        <v>0</v>
      </c>
      <c r="P1470" s="35">
        <f>IFERROR(VLOOKUP($G1470,[1]нормы!$A$21:$BC$151,19,0),"")</f>
        <v>0</v>
      </c>
      <c r="Q1470" s="35">
        <f>IFERROR(VLOOKUP($G1470,[1]нормы!$A$21:$BC$151,23,0),"")</f>
        <v>0</v>
      </c>
      <c r="R1470" s="231">
        <f>IFERROR(VLOOKUP($G1470,[1]нормы!$A$21:$BC$151,29,0),"")</f>
        <v>0</v>
      </c>
      <c r="S1470" s="35">
        <f>IFERROR(VLOOKUP($G1470,[1]нормы!$A$21:$BC$151,31,0),"")</f>
        <v>0</v>
      </c>
      <c r="T1470" s="32">
        <f>IFERROR(VLOOKUP($G1470,[1]нормы!$A$21:$BC$151,25,0),"")</f>
        <v>0</v>
      </c>
      <c r="U1470" s="233" t="str">
        <f>IFERROR(W1470/(((100*Y1470/Y1474)*I1473)/100),"")</f>
        <v/>
      </c>
      <c r="V1470" s="234" t="str">
        <f>IFERROR(VLOOKUP($G1470,нормы!$A$14:$BC$57,38,0),"")</f>
        <v/>
      </c>
      <c r="W1470" s="136"/>
      <c r="X1470" s="237"/>
      <c r="Y1470" s="152" t="str">
        <f>IFERROR(VLOOKUP($G1470,нормы!$A$14:$BC$57,42,0)*W1470,"")</f>
        <v/>
      </c>
      <c r="Z1470" s="163">
        <f>IFERROR(VLOOKUP($G1470,нормы!$A$14:$BC$57,14,0)*W1470/1000,0)</f>
        <v>0</v>
      </c>
      <c r="AA1470" s="30"/>
      <c r="AB1470" s="35"/>
      <c r="AC1470" s="35"/>
      <c r="AD1470" s="35"/>
      <c r="AE1470" s="31"/>
      <c r="AF1470" s="160"/>
      <c r="AG1470" s="391"/>
      <c r="AH1470" s="394"/>
      <c r="AI1470" s="397"/>
      <c r="AJ1470" s="408"/>
      <c r="AK1470" s="360"/>
      <c r="AL1470" s="360"/>
      <c r="AM1470" s="360"/>
      <c r="AN1470" s="289">
        <f>IFERROR(Y1470*AJ1468/Y1474,)</f>
        <v>0</v>
      </c>
      <c r="AO1470" s="197" t="str">
        <f>IFERROR(VLOOKUP($G1470,нормы!$A$14:$BC$57,53,0)*$W1470,"")</f>
        <v/>
      </c>
      <c r="AP1470" s="290">
        <f>IFERROR(Y1470*AI1468/Y1474,)</f>
        <v>0</v>
      </c>
      <c r="AQ1470" s="197" t="str">
        <f>IFERROR(VLOOKUP($G1470,нормы!$A$14:$BC$57,54,0)*$W1470,"")</f>
        <v/>
      </c>
      <c r="AR1470" s="290">
        <f>IFERROR(AS1470/SUM(AS1468:AS1473)*AL1468,0)</f>
        <v>0</v>
      </c>
      <c r="AS1470" s="197" t="str">
        <f>IFERROR(VLOOKUP($G1470,нормы!$A$14:$BC$57,55,0)*W1470,"")</f>
        <v/>
      </c>
      <c r="AT1470" s="290">
        <f>IFERROR(AU1470/SUM(AU1468:AU1473)*AM1468,0)</f>
        <v>0</v>
      </c>
      <c r="AU1470" s="197" t="str">
        <f>IFERROR(VLOOKUP($G1470,нормы!$A$14:$BI$57,56,0)*W1470,"")</f>
        <v/>
      </c>
      <c r="AV1470" s="290">
        <f>IFERROR(AW1470/SUM(AW1468:AW1473)*AK1468,0)</f>
        <v>0</v>
      </c>
      <c r="AW1470" s="202" t="str">
        <f>IFERROR(VLOOKUP($G1470,нормы!$A$14:$BI$57,57,0)*W1470,"")</f>
        <v/>
      </c>
      <c r="AX1470" s="30"/>
      <c r="AY1470" s="203" t="str">
        <f>IFERROR(VLOOKUP($G1470,нормы!$A$14:$BI$57,58,0)*W1470,"")</f>
        <v/>
      </c>
      <c r="AZ1470" s="205"/>
      <c r="BA1470" s="200" t="str">
        <f>IFERROR(VLOOKUP($G1470,нормы!$A$14:$BI$57,61,0)*$W1470,"")</f>
        <v/>
      </c>
      <c r="BB1470" s="30"/>
      <c r="BC1470" s="203" t="str">
        <f>IFERROR(VLOOKUP($G1470,нормы!$A$14:$BI$57,60,0)*W1470,"")</f>
        <v/>
      </c>
      <c r="BD1470" s="200" t="str">
        <f>IFERROR(VLOOKUP($G1470,нормы!$A$14:$BG$57,44,0),"")</f>
        <v/>
      </c>
      <c r="BE1470" s="199" t="str">
        <f>IFERROR(W1470/VLOOKUP($G1470,нормы!$A$14:$BI$57,45,0),"")</f>
        <v/>
      </c>
    </row>
    <row r="1471" spans="1:57" s="1" customFormat="1" ht="20.25" customHeight="1" x14ac:dyDescent="0.4">
      <c r="A1471" s="37" t="str">
        <f t="shared" si="578"/>
        <v>24Н</v>
      </c>
      <c r="B1471" s="12">
        <f t="shared" si="579"/>
        <v>24</v>
      </c>
      <c r="C1471" s="97">
        <f t="shared" si="579"/>
        <v>0</v>
      </c>
      <c r="D1471" s="97">
        <f t="shared" si="579"/>
        <v>1</v>
      </c>
      <c r="E1471" s="54"/>
      <c r="F1471" s="151" t="str">
        <f>IFERROR(VLOOKUP($G1471,нормы!$A$14:$BC$57,2,0),"")</f>
        <v/>
      </c>
      <c r="G1471" s="93"/>
      <c r="H1471" s="54">
        <f t="shared" si="580"/>
        <v>0</v>
      </c>
      <c r="I1471" s="55"/>
      <c r="J1471" s="333"/>
      <c r="K1471" s="30">
        <f>IFERROR(VLOOKUP($G1471,[1]нормы!$A$21:$BC$151,15,0),"")</f>
        <v>0</v>
      </c>
      <c r="L1471" s="31">
        <f>IFERROR(VLOOKUP($G1471,[1]нормы!$A$21:$BC$151,17,0),"")</f>
        <v>0</v>
      </c>
      <c r="M1471" s="306">
        <f>IFERROR(VLOOKUP($G1471,[1]нормы!$A$21:$BC$151,27,0),"")</f>
        <v>0</v>
      </c>
      <c r="N1471" s="307" t="str">
        <f>IFERROR(Y1471/Y1474*(1.1*J1468*I1476),"")</f>
        <v/>
      </c>
      <c r="O1471" s="300">
        <f>IFERROR(VLOOKUP($G1471,[1]нормы!$A$21:$BC$151,21,0),"")</f>
        <v>0</v>
      </c>
      <c r="P1471" s="35">
        <f>IFERROR(VLOOKUP($G1471,[1]нормы!$A$21:$BC$151,19,0),"")</f>
        <v>0</v>
      </c>
      <c r="Q1471" s="35">
        <f>IFERROR(VLOOKUP($G1471,[1]нормы!$A$21:$BC$151,23,0),"")</f>
        <v>0</v>
      </c>
      <c r="R1471" s="231">
        <f>IFERROR(VLOOKUP($G1471,[1]нормы!$A$21:$BC$151,29,0),"")</f>
        <v>0</v>
      </c>
      <c r="S1471" s="35">
        <f>IFERROR(VLOOKUP($G1471,[1]нормы!$A$21:$BC$151,31,0),"")</f>
        <v>0</v>
      </c>
      <c r="T1471" s="32">
        <f>IFERROR(VLOOKUP($G1471,[1]нормы!$A$21:$BC$151,25,0),"")</f>
        <v>0</v>
      </c>
      <c r="U1471" s="233" t="str">
        <f>IFERROR(W1471/(((100*Y1471/Y1474)*I1473)/100),"")</f>
        <v/>
      </c>
      <c r="V1471" s="234" t="str">
        <f>IFERROR(VLOOKUP($G1471,нормы!$A$14:$BC$57,38,0),"")</f>
        <v/>
      </c>
      <c r="W1471" s="136"/>
      <c r="X1471" s="237"/>
      <c r="Y1471" s="152" t="str">
        <f>IFERROR(VLOOKUP($G1471,нормы!$A$14:$BC$57,42,0)*W1471,"")</f>
        <v/>
      </c>
      <c r="Z1471" s="163">
        <f>IFERROR(VLOOKUP($G1471,нормы!$A$14:$BC$57,14,0)*W1471/1000,0)</f>
        <v>0</v>
      </c>
      <c r="AA1471" s="30"/>
      <c r="AB1471" s="35"/>
      <c r="AC1471" s="35"/>
      <c r="AD1471" s="35"/>
      <c r="AE1471" s="31"/>
      <c r="AF1471" s="160"/>
      <c r="AG1471" s="391"/>
      <c r="AH1471" s="394"/>
      <c r="AI1471" s="397"/>
      <c r="AJ1471" s="408"/>
      <c r="AK1471" s="360"/>
      <c r="AL1471" s="360"/>
      <c r="AM1471" s="360"/>
      <c r="AN1471" s="289">
        <f>IFERROR(Y1471*AJ1468/Y1474,)</f>
        <v>0</v>
      </c>
      <c r="AO1471" s="197" t="str">
        <f>IFERROR(VLOOKUP($G1471,нормы!$A$14:$BC$57,53,0)*$W1471,"")</f>
        <v/>
      </c>
      <c r="AP1471" s="290">
        <f>IFERROR(Y1471*AI1468/Y1474,)</f>
        <v>0</v>
      </c>
      <c r="AQ1471" s="197" t="str">
        <f>IFERROR(VLOOKUP($G1471,нормы!$A$14:$BC$57,54,0)*$W1471,"")</f>
        <v/>
      </c>
      <c r="AR1471" s="290">
        <f>IFERROR(AS1471/SUM(AS1468:AS1473)*AL1468,0)</f>
        <v>0</v>
      </c>
      <c r="AS1471" s="197" t="str">
        <f>IFERROR(VLOOKUP($G1471,нормы!$A$14:$BC$57,55,0)*W1471,"")</f>
        <v/>
      </c>
      <c r="AT1471" s="290">
        <f>IFERROR(AU1471/SUM(AU1468:AU1473)*AM1468,0)</f>
        <v>0</v>
      </c>
      <c r="AU1471" s="197" t="str">
        <f>IFERROR(VLOOKUP($G1471,нормы!$A$14:$BI$57,56,0)*W1471,"")</f>
        <v/>
      </c>
      <c r="AV1471" s="290">
        <f>IFERROR(AW1471/SUM(AW1468:AW1473)*AK1468,0)</f>
        <v>0</v>
      </c>
      <c r="AW1471" s="202" t="str">
        <f>IFERROR(VLOOKUP($G1471,нормы!$A$14:$BI$57,57,0)*W1471,"")</f>
        <v/>
      </c>
      <c r="AX1471" s="30"/>
      <c r="AY1471" s="203" t="str">
        <f>IFERROR(VLOOKUP($G1471,нормы!$A$14:$BI$57,58,0)*W1471,"")</f>
        <v/>
      </c>
      <c r="AZ1471" s="205"/>
      <c r="BA1471" s="200" t="str">
        <f>IFERROR(VLOOKUP($G1471,нормы!$A$14:$BI$57,61,0)*$W1471,"")</f>
        <v/>
      </c>
      <c r="BB1471" s="30"/>
      <c r="BC1471" s="203" t="str">
        <f>IFERROR(VLOOKUP($G1471,нормы!$A$14:$BI$57,60,0)*W1471,"")</f>
        <v/>
      </c>
      <c r="BD1471" s="200" t="str">
        <f>IFERROR(VLOOKUP($G1471,нормы!$A$14:$BG$57,44,0),"")</f>
        <v/>
      </c>
      <c r="BE1471" s="199" t="str">
        <f>IFERROR(W1471/VLOOKUP($G1471,нормы!$A$14:$BI$57,45,0),"")</f>
        <v/>
      </c>
    </row>
    <row r="1472" spans="1:57" s="1" customFormat="1" ht="20.25" customHeight="1" x14ac:dyDescent="0.4">
      <c r="A1472" s="37" t="str">
        <f t="shared" si="578"/>
        <v>24Н</v>
      </c>
      <c r="B1472" s="12">
        <f t="shared" si="579"/>
        <v>24</v>
      </c>
      <c r="C1472" s="97">
        <f t="shared" si="579"/>
        <v>0</v>
      </c>
      <c r="D1472" s="97">
        <f t="shared" si="579"/>
        <v>1</v>
      </c>
      <c r="E1472" s="54"/>
      <c r="F1472" s="151" t="str">
        <f>IFERROR(VLOOKUP($G1472,нормы!$A$14:$BC$57,2,0),"")</f>
        <v/>
      </c>
      <c r="G1472" s="38"/>
      <c r="H1472" s="54">
        <f t="shared" si="580"/>
        <v>0</v>
      </c>
      <c r="I1472" s="89" t="s">
        <v>73</v>
      </c>
      <c r="J1472" s="333"/>
      <c r="K1472" s="30">
        <f>IFERROR(VLOOKUP($G1472,[1]нормы!$A$21:$BC$151,15,0),"")</f>
        <v>0</v>
      </c>
      <c r="L1472" s="31">
        <f>IFERROR(VLOOKUP($G1472,[1]нормы!$A$21:$BC$151,17,0),"")</f>
        <v>0</v>
      </c>
      <c r="M1472" s="306">
        <f>IFERROR(VLOOKUP($G1472,[1]нормы!$A$21:$BC$151,27,0),"")</f>
        <v>0</v>
      </c>
      <c r="N1472" s="307" t="str">
        <f>IFERROR(Y1472/Y1474*(1.1*J1468*I1477),"")</f>
        <v/>
      </c>
      <c r="O1472" s="300">
        <f>IFERROR(VLOOKUP($G1472,[1]нормы!$A$21:$BC$151,21,0),"")</f>
        <v>0</v>
      </c>
      <c r="P1472" s="35">
        <f>IFERROR(VLOOKUP($G1472,[1]нормы!$A$21:$BC$151,19,0),"")</f>
        <v>0</v>
      </c>
      <c r="Q1472" s="35">
        <f>IFERROR(VLOOKUP($G1472,[1]нормы!$A$21:$BC$151,23,0),"")</f>
        <v>0</v>
      </c>
      <c r="R1472" s="231">
        <f>IFERROR(VLOOKUP($G1472,[1]нормы!$A$21:$BC$151,29,0),"")</f>
        <v>0</v>
      </c>
      <c r="S1472" s="35">
        <f>IFERROR(VLOOKUP($G1472,[1]нормы!$A$21:$BC$151,31,0),"")</f>
        <v>0</v>
      </c>
      <c r="T1472" s="32">
        <f>IFERROR(VLOOKUP($G1472,[1]нормы!$A$21:$BC$151,25,0),"")</f>
        <v>0</v>
      </c>
      <c r="U1472" s="233" t="str">
        <f>IFERROR(W1472/(((100*Y1472/Y1474)*I1473)/100),"")</f>
        <v/>
      </c>
      <c r="V1472" s="234" t="str">
        <f>IFERROR(VLOOKUP($G1472,нормы!$A$14:$BC$57,38,0),"")</f>
        <v/>
      </c>
      <c r="W1472" s="136"/>
      <c r="X1472" s="237"/>
      <c r="Y1472" s="152" t="str">
        <f>IFERROR(VLOOKUP($G1472,нормы!$A$14:$BC$57,42,0)*W1472,"")</f>
        <v/>
      </c>
      <c r="Z1472" s="163">
        <f>IFERROR(VLOOKUP($G1472,нормы!$A$14:$BC$57,14,0)*W1472/1000,0)</f>
        <v>0</v>
      </c>
      <c r="AA1472" s="30"/>
      <c r="AB1472" s="35"/>
      <c r="AC1472" s="35"/>
      <c r="AD1472" s="35"/>
      <c r="AE1472" s="31"/>
      <c r="AF1472" s="160"/>
      <c r="AG1472" s="391"/>
      <c r="AH1472" s="394"/>
      <c r="AI1472" s="397"/>
      <c r="AJ1472" s="408"/>
      <c r="AK1472" s="360"/>
      <c r="AL1472" s="360"/>
      <c r="AM1472" s="360"/>
      <c r="AN1472" s="289">
        <f>IFERROR(Y1472*AJ1468/Y1474,)</f>
        <v>0</v>
      </c>
      <c r="AO1472" s="197" t="str">
        <f>IFERROR(VLOOKUP($G1472,нормы!$A$14:$BC$57,53,0)*$W1472,"")</f>
        <v/>
      </c>
      <c r="AP1472" s="290">
        <f>IFERROR(Y1472*AI1468/Y1474,)</f>
        <v>0</v>
      </c>
      <c r="AQ1472" s="197" t="str">
        <f>IFERROR(VLOOKUP($G1472,нормы!$A$14:$BC$57,54,0)*$W1472,"")</f>
        <v/>
      </c>
      <c r="AR1472" s="290">
        <f>IFERROR(AS1472/SUM(AS1468:AS1473)*AL1468,0)</f>
        <v>0</v>
      </c>
      <c r="AS1472" s="197" t="str">
        <f>IFERROR(VLOOKUP($G1472,нормы!$A$14:$BC$57,55,0)*W1472,"")</f>
        <v/>
      </c>
      <c r="AT1472" s="290">
        <f>IFERROR(AU1472/SUM(AU1468:AU1473)*AM1468,0)</f>
        <v>0</v>
      </c>
      <c r="AU1472" s="197" t="str">
        <f>IFERROR(VLOOKUP($G1472,нормы!$A$14:$BI$57,56,0)*W1472,"")</f>
        <v/>
      </c>
      <c r="AV1472" s="290">
        <f>IFERROR(AW1472/SUM(AW1468:AW1473)*AK1468,0)</f>
        <v>0</v>
      </c>
      <c r="AW1472" s="202" t="str">
        <f>IFERROR(VLOOKUP($G1472,нормы!$A$14:$BI$57,57,0)*W1472,"")</f>
        <v/>
      </c>
      <c r="AX1472" s="30"/>
      <c r="AY1472" s="203" t="str">
        <f>IFERROR(VLOOKUP($G1472,нормы!$A$14:$BI$57,58,0)*W1472,"")</f>
        <v/>
      </c>
      <c r="AZ1472" s="205"/>
      <c r="BA1472" s="200" t="str">
        <f>IFERROR(VLOOKUP($G1472,нормы!$A$14:$BI$57,61,0)*$W1472,"")</f>
        <v/>
      </c>
      <c r="BB1472" s="30"/>
      <c r="BC1472" s="203" t="str">
        <f>IFERROR(VLOOKUP($G1472,нормы!$A$14:$BI$57,60,0)*W1472,"")</f>
        <v/>
      </c>
      <c r="BD1472" s="200" t="str">
        <f>IFERROR(VLOOKUP($G1472,нормы!$A$14:$BG$57,44,0),"")</f>
        <v/>
      </c>
      <c r="BE1472" s="199" t="str">
        <f>IFERROR(W1472/VLOOKUP($G1472,нормы!$A$14:$BI$57,45,0),"")</f>
        <v/>
      </c>
    </row>
    <row r="1473" spans="1:57" s="1" customFormat="1" ht="21" customHeight="1" thickBot="1" x14ac:dyDescent="0.45">
      <c r="A1473" s="37" t="str">
        <f t="shared" si="578"/>
        <v>24Н</v>
      </c>
      <c r="B1473" s="12">
        <f t="shared" si="579"/>
        <v>24</v>
      </c>
      <c r="C1473" s="97">
        <f t="shared" si="579"/>
        <v>0</v>
      </c>
      <c r="D1473" s="97">
        <f t="shared" si="579"/>
        <v>1</v>
      </c>
      <c r="E1473" s="54"/>
      <c r="F1473" s="151" t="str">
        <f>IFERROR(VLOOKUP($G1473,нормы!$A$14:$BC$57,2,0),"")</f>
        <v/>
      </c>
      <c r="G1473" s="93"/>
      <c r="H1473" s="63">
        <f t="shared" si="580"/>
        <v>0</v>
      </c>
      <c r="I1473" s="153">
        <f>I1469+I1471</f>
        <v>0</v>
      </c>
      <c r="J1473" s="334"/>
      <c r="K1473" s="30">
        <f>IFERROR(VLOOKUP($G1473,[1]нормы!$A$21:$BC$151,15,0),"")</f>
        <v>0</v>
      </c>
      <c r="L1473" s="31">
        <f>IFERROR(VLOOKUP($G1473,[1]нормы!$A$21:$BC$151,17,0),"")</f>
        <v>0</v>
      </c>
      <c r="M1473" s="308">
        <f>IFERROR(VLOOKUP($G1473,[1]нормы!$A$21:$BC$151,27,0),"")</f>
        <v>0</v>
      </c>
      <c r="N1473" s="309" t="str">
        <f>IFERROR(Y1473/Y1474*(1.1*J1468*I1478),"")</f>
        <v/>
      </c>
      <c r="O1473" s="300">
        <f>IFERROR(VLOOKUP($G1473,[1]нормы!$A$21:$BC$151,21,0),"")</f>
        <v>0</v>
      </c>
      <c r="P1473" s="35">
        <f>IFERROR(VLOOKUP($G1473,[1]нормы!$A$21:$BC$151,19,0),"")</f>
        <v>0</v>
      </c>
      <c r="Q1473" s="35">
        <f>IFERROR(VLOOKUP($G1473,[1]нормы!$A$21:$BC$151,23,0),"")</f>
        <v>0</v>
      </c>
      <c r="R1473" s="231">
        <f>IFERROR(VLOOKUP($G1473,[1]нормы!$A$21:$BC$151,29,0),"")</f>
        <v>0</v>
      </c>
      <c r="S1473" s="35">
        <f>IFERROR(VLOOKUP($G1473,[1]нормы!$A$21:$BC$151,31,0),"")</f>
        <v>0</v>
      </c>
      <c r="T1473" s="32">
        <f>IFERROR(VLOOKUP($G1473,[1]нормы!$A$21:$BC$151,25,0),"")</f>
        <v>0</v>
      </c>
      <c r="U1473" s="235" t="str">
        <f>IFERROR(W1473/(((100*Y1473/Y1474)*I1473)/100),"")</f>
        <v/>
      </c>
      <c r="V1473" s="234" t="str">
        <f>IFERROR(VLOOKUP($G1473,нормы!$A$14:$BC$57,38,0),"")</f>
        <v/>
      </c>
      <c r="W1473" s="154"/>
      <c r="X1473" s="238"/>
      <c r="Y1473" s="152" t="str">
        <f>IFERROR(VLOOKUP($G1473,нормы!$A$14:$BC$57,42,0)*W1473,"")</f>
        <v/>
      </c>
      <c r="Z1473" s="163">
        <f>IFERROR(VLOOKUP($G1473,нормы!$A$14:$BC$57,14,0)*W1473/1000,0)</f>
        <v>0</v>
      </c>
      <c r="AA1473" s="56"/>
      <c r="AB1473" s="58"/>
      <c r="AC1473" s="58"/>
      <c r="AD1473" s="58"/>
      <c r="AE1473" s="57"/>
      <c r="AF1473" s="161"/>
      <c r="AG1473" s="392"/>
      <c r="AH1473" s="395"/>
      <c r="AI1473" s="398"/>
      <c r="AJ1473" s="409"/>
      <c r="AK1473" s="361"/>
      <c r="AL1473" s="361"/>
      <c r="AM1473" s="361"/>
      <c r="AN1473" s="291">
        <f>IFERROR(Y1473*AJ1468/Y1474,)</f>
        <v>0</v>
      </c>
      <c r="AO1473" s="197" t="str">
        <f>IFERROR(VLOOKUP($G1473,нормы!$A$14:$BC$57,53,0)*$W1473,"")</f>
        <v/>
      </c>
      <c r="AP1473" s="292">
        <f>IFERROR(Y1473*AI1468/Y1474,)</f>
        <v>0</v>
      </c>
      <c r="AQ1473" s="197" t="str">
        <f>IFERROR(VLOOKUP($G1473,нормы!$A$14:$BC$57,54,0)*$W1473,"")</f>
        <v/>
      </c>
      <c r="AR1473" s="290">
        <f>IFERROR(AS1473/SUM(AS1468:AS1473)*AL1468,0)</f>
        <v>0</v>
      </c>
      <c r="AS1473" s="197" t="str">
        <f>IFERROR(VLOOKUP($G1473,нормы!$A$14:$BC$57,55,0)*W1473,"")</f>
        <v/>
      </c>
      <c r="AT1473" s="292">
        <f>IFERROR(AU1473/SUM(AU1468:AU1473)*AM1468,0)</f>
        <v>0</v>
      </c>
      <c r="AU1473" s="197" t="str">
        <f>IFERROR(VLOOKUP($G1473,нормы!$A$14:$BI$57,56,0)*W1473,"")</f>
        <v/>
      </c>
      <c r="AV1473" s="292">
        <f>IFERROR(AW1473/SUM(AW1468:AW1473)*AK1468,0)</f>
        <v>0</v>
      </c>
      <c r="AW1473" s="202" t="str">
        <f>IFERROR(VLOOKUP($G1473,нормы!$A$14:$BI$57,57,0)*W1473,"")</f>
        <v/>
      </c>
      <c r="AX1473" s="56"/>
      <c r="AY1473" s="203" t="str">
        <f>IFERROR(VLOOKUP($G1473,нормы!$A$14:$BI$57,58,0)*W1473,"")</f>
        <v/>
      </c>
      <c r="AZ1473" s="206"/>
      <c r="BA1473" s="200" t="str">
        <f>IFERROR(VLOOKUP($G1473,нормы!$A$14:$BI$57,61,0)*$W1473,"")</f>
        <v/>
      </c>
      <c r="BB1473" s="56"/>
      <c r="BC1473" s="203" t="str">
        <f>IFERROR(VLOOKUP($G1473,нормы!$A$14:$BI$57,60,0)*W1473,"")</f>
        <v/>
      </c>
      <c r="BD1473" s="200" t="str">
        <f>IFERROR(VLOOKUP($G1473,нормы!$A$14:$BG$57,44,0),"")</f>
        <v/>
      </c>
      <c r="BE1473" s="199" t="str">
        <f>IFERROR(W1473/VLOOKUP($G1473,нормы!$A$14:$BI$57,45,0),"")</f>
        <v/>
      </c>
    </row>
    <row r="1474" spans="1:57" s="1" customFormat="1" ht="29.4" customHeight="1" thickBot="1" x14ac:dyDescent="0.45">
      <c r="A1474" s="37" t="str">
        <f t="shared" si="578"/>
        <v>24Н</v>
      </c>
      <c r="B1474" s="59"/>
      <c r="C1474" s="51"/>
      <c r="D1474" s="51"/>
      <c r="E1474" s="51"/>
      <c r="F1474" s="295" t="s">
        <v>149</v>
      </c>
      <c r="G1474" s="51"/>
      <c r="H1474" s="51"/>
      <c r="I1474" s="60"/>
      <c r="J1474" s="60"/>
      <c r="K1474" s="319" t="s">
        <v>213</v>
      </c>
      <c r="L1474" s="316"/>
      <c r="M1474" s="303" t="s">
        <v>213</v>
      </c>
      <c r="N1474" s="317">
        <f>SUM(N1468:N1473)</f>
        <v>0</v>
      </c>
      <c r="O1474" s="304" t="s">
        <v>216</v>
      </c>
      <c r="P1474" s="318">
        <f>N1474*8.937/1000</f>
        <v>0</v>
      </c>
      <c r="Q1474" s="305" t="s">
        <v>215</v>
      </c>
      <c r="R1474" s="61"/>
      <c r="S1474" s="61"/>
      <c r="T1474" s="61"/>
      <c r="U1474" s="109"/>
      <c r="V1474" s="109"/>
      <c r="W1474" s="94"/>
      <c r="X1474" s="155"/>
      <c r="Y1474" s="96">
        <f>SUM(Y1468:Y1473)</f>
        <v>0</v>
      </c>
      <c r="Z1474" s="164">
        <f>SUM(Z1468:Z1473)</f>
        <v>0</v>
      </c>
      <c r="AA1474" s="62"/>
      <c r="AB1474" s="62"/>
      <c r="AC1474" s="62"/>
      <c r="AD1474" s="62"/>
      <c r="AE1474" s="62"/>
      <c r="AF1474" s="62"/>
      <c r="AG1474" s="162" t="s">
        <v>140</v>
      </c>
      <c r="AH1474" s="162" t="s">
        <v>141</v>
      </c>
      <c r="AI1474" s="162" t="s">
        <v>142</v>
      </c>
      <c r="AJ1474" s="91" t="s">
        <v>126</v>
      </c>
      <c r="AK1474" s="198" t="s">
        <v>136</v>
      </c>
      <c r="AL1474" s="198" t="s">
        <v>137</v>
      </c>
      <c r="AM1474" s="198" t="s">
        <v>138</v>
      </c>
      <c r="AN1474" s="91"/>
      <c r="AO1474" s="91"/>
      <c r="AP1474" s="91"/>
      <c r="AQ1474" s="91"/>
      <c r="AR1474" s="91"/>
      <c r="AS1474" s="91"/>
      <c r="AT1474" s="91"/>
      <c r="AU1474" s="91"/>
      <c r="AV1474" s="91"/>
      <c r="AW1474" s="91"/>
      <c r="AX1474" s="91"/>
      <c r="AY1474" s="91"/>
      <c r="AZ1474" s="91"/>
      <c r="BA1474" s="91"/>
      <c r="BB1474" s="91"/>
      <c r="BC1474" s="91"/>
      <c r="BD1474" s="91"/>
      <c r="BE1474" s="53" t="str">
        <f>IFERROR(W1474/VLOOKUP($G1474,нормы!$A$14:$BI$15,28,0),"")</f>
        <v/>
      </c>
    </row>
    <row r="1475" spans="1:57" s="1" customFormat="1" ht="21.6" customHeight="1" x14ac:dyDescent="0.4">
      <c r="A1475" s="37" t="str">
        <f t="shared" si="578"/>
        <v>24Н</v>
      </c>
      <c r="B1475" s="12">
        <f>B1473</f>
        <v>24</v>
      </c>
      <c r="C1475" s="97"/>
      <c r="D1475" s="97">
        <v>2</v>
      </c>
      <c r="E1475" s="29"/>
      <c r="F1475" s="151" t="str">
        <f>IFERROR(VLOOKUP($G1475,нормы!$A$14:$BC$57,2,0),"")</f>
        <v/>
      </c>
      <c r="G1475" s="93"/>
      <c r="H1475" s="54">
        <f>IF(C1475=1,"Кульков С.А.", IF(C1475=2,"Чудаков А.А.",IF(C1475=3,"Королев В.Н.",IF(C1475=4,"Николашин М.П.",IF(C1475=5," Кульков С.А.",IF(C1475=6,"А.А. Чудаков",IF(C1475=7,"В.Н. Королев",IF(C1475=8,"М.П. Николашин",0))))))))</f>
        <v>0</v>
      </c>
      <c r="I1475" s="88" t="s">
        <v>211</v>
      </c>
      <c r="J1475" s="332"/>
      <c r="K1475" s="30">
        <f>IFERROR(VLOOKUP($G1475,[1]нормы!$A$21:$BC$151,15,0),"")</f>
        <v>0</v>
      </c>
      <c r="L1475" s="31">
        <f>IFERROR(VLOOKUP($G1475,[1]нормы!$A$21:$BC$151,17,0),"")</f>
        <v>0</v>
      </c>
      <c r="M1475" s="310">
        <f>IFERROR(VLOOKUP($G1475,[1]нормы!$A$21:$BC$151,27,0),"")</f>
        <v>0</v>
      </c>
      <c r="N1475" s="311" t="str">
        <f>IFERROR(Y1475/Y1481*(1.1*J1475*I1480),"")</f>
        <v/>
      </c>
      <c r="O1475" s="300">
        <f>IFERROR(VLOOKUP($G1475,[1]нормы!$A$21:$BC$151,21,0),"")</f>
        <v>0</v>
      </c>
      <c r="P1475" s="35">
        <f>IFERROR(VLOOKUP($G1475,[1]нормы!$A$21:$BC$151,19,0),"")</f>
        <v>0</v>
      </c>
      <c r="Q1475" s="35">
        <f>IFERROR(VLOOKUP($G1475,[1]нормы!$A$21:$BC$151,23,0),"")</f>
        <v>0</v>
      </c>
      <c r="R1475" s="231">
        <f>IFERROR(VLOOKUP($G1475,[1]нормы!$A$21:$BC$151,29,0),"")</f>
        <v>0</v>
      </c>
      <c r="S1475" s="35">
        <f>IFERROR(VLOOKUP($G1475,[1]нормы!$A$21:$BC$151,31,0),"")</f>
        <v>0</v>
      </c>
      <c r="T1475" s="32">
        <f>IFERROR(VLOOKUP($G1475,[1]нормы!$A$21:$BC$151,25,0),"")</f>
        <v>0</v>
      </c>
      <c r="U1475" s="232" t="str">
        <f>IFERROR(W1475/(((100*Y1475/Y1481)*I1480)/100),"")</f>
        <v/>
      </c>
      <c r="V1475" s="234" t="str">
        <f>IFERROR(VLOOKUP($G1475,нормы!$A$14:$BC$57,38,0),"")</f>
        <v/>
      </c>
      <c r="W1475" s="136"/>
      <c r="X1475" s="236"/>
      <c r="Y1475" s="152" t="str">
        <f>IFERROR(VLOOKUP($G1475,нормы!$A$14:$BC$57,42,0)*W1475,"")</f>
        <v/>
      </c>
      <c r="Z1475" s="163">
        <f>IFERROR(VLOOKUP($G1475,нормы!$A$14:$BC$57,14,0)*W1475/1000,0)</f>
        <v>0</v>
      </c>
      <c r="AA1475" s="33"/>
      <c r="AB1475" s="36"/>
      <c r="AC1475" s="36"/>
      <c r="AD1475" s="36"/>
      <c r="AE1475" s="34"/>
      <c r="AF1475" s="159"/>
      <c r="AG1475" s="390"/>
      <c r="AH1475" s="393"/>
      <c r="AI1475" s="396"/>
      <c r="AJ1475" s="407">
        <f>AG1475+AH1475</f>
        <v>0</v>
      </c>
      <c r="AK1475" s="359"/>
      <c r="AL1475" s="359"/>
      <c r="AM1475" s="359"/>
      <c r="AN1475" s="287">
        <f>IFERROR(Y1475*AJ1475/Y1481,)</f>
        <v>0</v>
      </c>
      <c r="AO1475" s="197" t="str">
        <f>IFERROR(VLOOKUP($G1475,нормы!$A$14:$BC$57,53,0)*$W1475,"")</f>
        <v/>
      </c>
      <c r="AP1475" s="288">
        <f>IFERROR(Y1475*AI1475/Y1481,)</f>
        <v>0</v>
      </c>
      <c r="AQ1475" s="197" t="str">
        <f>IFERROR(VLOOKUP($G1475,нормы!$A$14:$BC$57,54,0)*$W1475,"")</f>
        <v/>
      </c>
      <c r="AR1475" s="288">
        <f>IFERROR(AS1475/SUM(AS1475:AS1480)*AL1475,0)</f>
        <v>0</v>
      </c>
      <c r="AS1475" s="197" t="str">
        <f>IFERROR(VLOOKUP($G1475,нормы!$A$14:$BC$57,55,0)*W1475,"")</f>
        <v/>
      </c>
      <c r="AT1475" s="288">
        <f>IFERROR(AU1475/SUM(AU1475:AU1480)*AM1475,0)</f>
        <v>0</v>
      </c>
      <c r="AU1475" s="197" t="str">
        <f>IFERROR(VLOOKUP($G1475,нормы!$A$14:$BI$57,56,0)*W1475,"")</f>
        <v/>
      </c>
      <c r="AV1475" s="288">
        <f>IFERROR(AW1475/SUM(AW1475:AW1480)*AK1475,0)</f>
        <v>0</v>
      </c>
      <c r="AW1475" s="202" t="str">
        <f>IFERROR(VLOOKUP($G1475,нормы!$A$14:$BI$57,57,0)*W1475,"")</f>
        <v/>
      </c>
      <c r="AX1475" s="33"/>
      <c r="AY1475" s="203" t="str">
        <f>IFERROR(VLOOKUP($G1475,нормы!$A$14:$BI$57,58,0)*W1475,"")</f>
        <v/>
      </c>
      <c r="AZ1475" s="204"/>
      <c r="BA1475" s="200" t="str">
        <f>IFERROR(VLOOKUP($G1475,нормы!$A$14:$BI$57,61,0)*$W1475,"")</f>
        <v/>
      </c>
      <c r="BB1475" s="33"/>
      <c r="BC1475" s="203" t="str">
        <f>IFERROR(VLOOKUP($G1475,нормы!$A$14:$BI$57,60,0)*W1475,"")</f>
        <v/>
      </c>
      <c r="BD1475" s="200" t="str">
        <f>IFERROR(VLOOKUP($G1475,нормы!$A$14:$BG$57,44,0),"")</f>
        <v/>
      </c>
      <c r="BE1475" s="199" t="str">
        <f>IFERROR(W1475/VLOOKUP($G1475,нормы!$A$14:$BI$57,45,0),"")</f>
        <v/>
      </c>
    </row>
    <row r="1476" spans="1:57" s="1" customFormat="1" ht="21.6" customHeight="1" x14ac:dyDescent="0.4">
      <c r="A1476" s="37" t="str">
        <f t="shared" si="578"/>
        <v>24Н</v>
      </c>
      <c r="B1476" s="12">
        <f t="shared" ref="B1476:D1480" si="581">B1475</f>
        <v>24</v>
      </c>
      <c r="C1476" s="97">
        <f t="shared" si="581"/>
        <v>0</v>
      </c>
      <c r="D1476" s="97">
        <f t="shared" si="581"/>
        <v>2</v>
      </c>
      <c r="E1476" s="54"/>
      <c r="F1476" s="151" t="str">
        <f>IFERROR(VLOOKUP($G1476,нормы!$A$14:$BC$57,2,0),"")</f>
        <v/>
      </c>
      <c r="G1476" s="93"/>
      <c r="H1476" s="54">
        <f t="shared" ref="H1476:H1480" si="582">IF(C1476=1,"Кульков С.А.", IF(C1476=2,"Чудаков А.А.",IF(C1476=3,"Королев В.Н.",IF(C1476=4,"Николашин М.П.",IF(C1476=5," Кульков С.А.",IF(C1476=6,"А.А. Чудаков",IF(C1476=7,"В.Н. Королев",IF(C1476=8,"М.П. Николашин",0))))))))</f>
        <v>0</v>
      </c>
      <c r="I1476" s="55"/>
      <c r="J1476" s="333"/>
      <c r="K1476" s="30">
        <f>IFERROR(VLOOKUP($G1476,[1]нормы!$A$21:$BC$151,15,0),"")</f>
        <v>0</v>
      </c>
      <c r="L1476" s="31">
        <f>IFERROR(VLOOKUP($G1476,[1]нормы!$A$21:$BC$151,17,0),"")</f>
        <v>0</v>
      </c>
      <c r="M1476" s="306">
        <f>IFERROR(VLOOKUP($G1476,[1]нормы!$A$21:$BC$151,27,0),"")</f>
        <v>0</v>
      </c>
      <c r="N1476" s="307" t="str">
        <f>IFERROR(Y1476/Y1481*(1.1*J1475*I1480),"")</f>
        <v/>
      </c>
      <c r="O1476" s="300">
        <f>IFERROR(VLOOKUP($G1476,[1]нормы!$A$21:$BC$151,21,0),"")</f>
        <v>0</v>
      </c>
      <c r="P1476" s="35">
        <f>IFERROR(VLOOKUP($G1476,[1]нормы!$A$21:$BC$151,19,0),"")</f>
        <v>0</v>
      </c>
      <c r="Q1476" s="35">
        <f>IFERROR(VLOOKUP($G1476,[1]нормы!$A$21:$BC$151,23,0),"")</f>
        <v>0</v>
      </c>
      <c r="R1476" s="231">
        <f>IFERROR(VLOOKUP($G1476,[1]нормы!$A$21:$BC$151,29,0),"")</f>
        <v>0</v>
      </c>
      <c r="S1476" s="35">
        <f>IFERROR(VLOOKUP($G1476,[1]нормы!$A$21:$BC$151,31,0),"")</f>
        <v>0</v>
      </c>
      <c r="T1476" s="32">
        <f>IFERROR(VLOOKUP($G1476,[1]нормы!$A$21:$BC$151,25,0),"")</f>
        <v>0</v>
      </c>
      <c r="U1476" s="233" t="str">
        <f>IFERROR(W1476/(((100*Y1476/Y1481)*I1480)/100),"")</f>
        <v/>
      </c>
      <c r="V1476" s="234" t="str">
        <f>IFERROR(VLOOKUP($G1476,нормы!$A$14:$BC$57,38,0),"")</f>
        <v/>
      </c>
      <c r="W1476" s="136"/>
      <c r="X1476" s="237"/>
      <c r="Y1476" s="152" t="str">
        <f>IFERROR(VLOOKUP($G1476,нормы!$A$14:$BC$57,42,0)*W1476,"")</f>
        <v/>
      </c>
      <c r="Z1476" s="163">
        <f>IFERROR(VLOOKUP($G1476,нормы!$A$14:$BC$57,14,0)*W1476/1000,0)</f>
        <v>0</v>
      </c>
      <c r="AA1476" s="142"/>
      <c r="AB1476" s="35"/>
      <c r="AC1476" s="35"/>
      <c r="AD1476" s="35"/>
      <c r="AE1476" s="31"/>
      <c r="AF1476" s="160"/>
      <c r="AG1476" s="391"/>
      <c r="AH1476" s="394"/>
      <c r="AI1476" s="397"/>
      <c r="AJ1476" s="408"/>
      <c r="AK1476" s="360"/>
      <c r="AL1476" s="360"/>
      <c r="AM1476" s="360"/>
      <c r="AN1476" s="289">
        <f>IFERROR(Y1476*AJ1475/Y1481,)</f>
        <v>0</v>
      </c>
      <c r="AO1476" s="197" t="str">
        <f>IFERROR(VLOOKUP($G1476,нормы!$A$14:$BC$57,53,0)*$W1476,"")</f>
        <v/>
      </c>
      <c r="AP1476" s="290">
        <f>IFERROR(Y1476*AI1475/Y1481,)</f>
        <v>0</v>
      </c>
      <c r="AQ1476" s="197" t="str">
        <f>IFERROR(VLOOKUP($G1476,нормы!$A$14:$BC$57,54,0)*$W1476,"")</f>
        <v/>
      </c>
      <c r="AR1476" s="290">
        <f>IFERROR(AS1476/SUM(AS1475:AS1480)*AL1475,0)</f>
        <v>0</v>
      </c>
      <c r="AS1476" s="197" t="str">
        <f>IFERROR(VLOOKUP($G1476,нормы!$A$14:$BC$57,55,0)*W1476,"")</f>
        <v/>
      </c>
      <c r="AT1476" s="290">
        <f>IFERROR(AU1476/SUM(AU1475:AU1480)*AM1475,0)</f>
        <v>0</v>
      </c>
      <c r="AU1476" s="197" t="str">
        <f>IFERROR(VLOOKUP($G1476,нормы!$A$14:$BI$57,56,0)*W1476,"")</f>
        <v/>
      </c>
      <c r="AV1476" s="290">
        <f>IFERROR(AW1476/SUM(AW1475:AW1480)*AK1475,0)</f>
        <v>0</v>
      </c>
      <c r="AW1476" s="202" t="str">
        <f>IFERROR(VLOOKUP($G1476,нормы!$A$14:$BI$57,57,0)*W1476,"")</f>
        <v/>
      </c>
      <c r="AX1476" s="30"/>
      <c r="AY1476" s="203" t="str">
        <f>IFERROR(VLOOKUP($G1476,нормы!$A$14:$BI$57,58,0)*W1476,"")</f>
        <v/>
      </c>
      <c r="AZ1476" s="205"/>
      <c r="BA1476" s="200" t="str">
        <f>IFERROR(VLOOKUP($G1476,нормы!$A$14:$BI$57,61,0)*$W1476,"")</f>
        <v/>
      </c>
      <c r="BB1476" s="30"/>
      <c r="BC1476" s="203" t="str">
        <f>IFERROR(VLOOKUP($G1476,нормы!$A$14:$BI$57,60,0)*W1476,"")</f>
        <v/>
      </c>
      <c r="BD1476" s="200" t="str">
        <f>IFERROR(VLOOKUP($G1476,нормы!$A$14:$BG$57,44,0),"")</f>
        <v/>
      </c>
      <c r="BE1476" s="199" t="str">
        <f>IFERROR(W1476/VLOOKUP($G1476,нормы!$A$14:$BI$57,45,0),"")</f>
        <v/>
      </c>
    </row>
    <row r="1477" spans="1:57" s="1" customFormat="1" ht="20.25" customHeight="1" x14ac:dyDescent="0.4">
      <c r="A1477" s="37" t="str">
        <f t="shared" si="578"/>
        <v>24Н</v>
      </c>
      <c r="B1477" s="12">
        <f t="shared" si="581"/>
        <v>24</v>
      </c>
      <c r="C1477" s="97">
        <f t="shared" si="581"/>
        <v>0</v>
      </c>
      <c r="D1477" s="97">
        <f t="shared" si="581"/>
        <v>2</v>
      </c>
      <c r="E1477" s="54"/>
      <c r="F1477" s="151" t="str">
        <f>IFERROR(VLOOKUP($G1477,нормы!$A$14:$BC$57,2,0),"")</f>
        <v/>
      </c>
      <c r="G1477" s="38"/>
      <c r="H1477" s="54">
        <f t="shared" si="582"/>
        <v>0</v>
      </c>
      <c r="I1477" s="89" t="s">
        <v>212</v>
      </c>
      <c r="J1477" s="333"/>
      <c r="K1477" s="30">
        <f>IFERROR(VLOOKUP($G1477,[1]нормы!$A$21:$BC$151,15,0),"")</f>
        <v>0</v>
      </c>
      <c r="L1477" s="31">
        <f>IFERROR(VLOOKUP($G1477,[1]нормы!$A$21:$BC$151,17,0),"")</f>
        <v>0</v>
      </c>
      <c r="M1477" s="306">
        <f>IFERROR(VLOOKUP($G1477,[1]нормы!$A$21:$BC$151,27,0),"")</f>
        <v>0</v>
      </c>
      <c r="N1477" s="307" t="str">
        <f>IFERROR(Y1477/Y1481*(1.1*J1475*I1480),"")</f>
        <v/>
      </c>
      <c r="O1477" s="300">
        <f>IFERROR(VLOOKUP($G1477,[1]нормы!$A$21:$BC$151,21,0),"")</f>
        <v>0</v>
      </c>
      <c r="P1477" s="35">
        <f>IFERROR(VLOOKUP($G1477,[1]нормы!$A$21:$BC$151,19,0),"")</f>
        <v>0</v>
      </c>
      <c r="Q1477" s="35">
        <f>IFERROR(VLOOKUP($G1477,[1]нормы!$A$21:$BC$151,23,0),"")</f>
        <v>0</v>
      </c>
      <c r="R1477" s="231">
        <f>IFERROR(VLOOKUP($G1477,[1]нормы!$A$21:$BC$151,29,0),"")</f>
        <v>0</v>
      </c>
      <c r="S1477" s="35">
        <f>IFERROR(VLOOKUP($G1477,[1]нормы!$A$21:$BC$151,31,0),"")</f>
        <v>0</v>
      </c>
      <c r="T1477" s="32">
        <f>IFERROR(VLOOKUP($G1477,[1]нормы!$A$21:$BC$151,25,0),"")</f>
        <v>0</v>
      </c>
      <c r="U1477" s="233" t="str">
        <f>IFERROR(W1477/(((100*Y1477/Y1481)*I1480)/100),"")</f>
        <v/>
      </c>
      <c r="V1477" s="234" t="str">
        <f>IFERROR(VLOOKUP($G1477,нормы!$A$14:$BC$57,38,0),"")</f>
        <v/>
      </c>
      <c r="W1477" s="136"/>
      <c r="X1477" s="237"/>
      <c r="Y1477" s="152" t="str">
        <f>IFERROR(VLOOKUP($G1477,нормы!$A$14:$BC$57,42,0)*W1477,"")</f>
        <v/>
      </c>
      <c r="Z1477" s="163">
        <f>IFERROR(VLOOKUP($G1477,нормы!$A$14:$BC$57,14,0)*W1477/1000,0)</f>
        <v>0</v>
      </c>
      <c r="AA1477" s="30"/>
      <c r="AB1477" s="35"/>
      <c r="AC1477" s="35"/>
      <c r="AD1477" s="35"/>
      <c r="AE1477" s="31"/>
      <c r="AF1477" s="160"/>
      <c r="AG1477" s="391"/>
      <c r="AH1477" s="394"/>
      <c r="AI1477" s="397"/>
      <c r="AJ1477" s="408"/>
      <c r="AK1477" s="360"/>
      <c r="AL1477" s="360"/>
      <c r="AM1477" s="360"/>
      <c r="AN1477" s="289">
        <f>IFERROR(Y1477*AJ1475/Y1481,)</f>
        <v>0</v>
      </c>
      <c r="AO1477" s="197" t="str">
        <f>IFERROR(VLOOKUP($G1477,нормы!$A$14:$BC$57,53,0)*$W1477,"")</f>
        <v/>
      </c>
      <c r="AP1477" s="290">
        <f>IFERROR(Y1477*AI1475/Y1481,)</f>
        <v>0</v>
      </c>
      <c r="AQ1477" s="197" t="str">
        <f>IFERROR(VLOOKUP($G1477,нормы!$A$14:$BC$57,54,0)*$W1477,"")</f>
        <v/>
      </c>
      <c r="AR1477" s="290">
        <f>IFERROR(AS1477/SUM(AS1475:AS1480)*AL1475,0)</f>
        <v>0</v>
      </c>
      <c r="AS1477" s="197" t="str">
        <f>IFERROR(VLOOKUP($G1477,нормы!$A$14:$BC$57,55,0)*W1477,"")</f>
        <v/>
      </c>
      <c r="AT1477" s="290">
        <f>IFERROR(AU1477/SUM(AU1475:AU1480)*AM1475,0)</f>
        <v>0</v>
      </c>
      <c r="AU1477" s="197" t="str">
        <f>IFERROR(VLOOKUP($G1477,нормы!$A$14:$BI$57,56,0)*W1477,"")</f>
        <v/>
      </c>
      <c r="AV1477" s="290">
        <f>IFERROR(AW1477/SUM(AW1475:AW1480)*AK1475,0)</f>
        <v>0</v>
      </c>
      <c r="AW1477" s="202" t="str">
        <f>IFERROR(VLOOKUP($G1477,нормы!$A$14:$BI$57,57,0)*W1477,"")</f>
        <v/>
      </c>
      <c r="AX1477" s="30"/>
      <c r="AY1477" s="203" t="str">
        <f>IFERROR(VLOOKUP($G1477,нормы!$A$14:$BI$57,58,0)*W1477,"")</f>
        <v/>
      </c>
      <c r="AZ1477" s="205"/>
      <c r="BA1477" s="200" t="str">
        <f>IFERROR(VLOOKUP($G1477,нормы!$A$14:$BI$57,61,0)*$W1477,"")</f>
        <v/>
      </c>
      <c r="BB1477" s="30"/>
      <c r="BC1477" s="203" t="str">
        <f>IFERROR(VLOOKUP($G1477,нормы!$A$14:$BI$57,60,0)*W1477,"")</f>
        <v/>
      </c>
      <c r="BD1477" s="200" t="str">
        <f>IFERROR(VLOOKUP($G1477,нормы!$A$14:$BG$57,44,0),"")</f>
        <v/>
      </c>
      <c r="BE1477" s="199" t="str">
        <f>IFERROR(W1477/VLOOKUP($G1477,нормы!$A$14:$BI$57,45,0),"")</f>
        <v/>
      </c>
    </row>
    <row r="1478" spans="1:57" s="1" customFormat="1" ht="20.25" customHeight="1" x14ac:dyDescent="0.4">
      <c r="A1478" s="37" t="str">
        <f t="shared" si="578"/>
        <v>24Н</v>
      </c>
      <c r="B1478" s="12">
        <f t="shared" si="581"/>
        <v>24</v>
      </c>
      <c r="C1478" s="97">
        <f t="shared" si="581"/>
        <v>0</v>
      </c>
      <c r="D1478" s="97">
        <f t="shared" si="581"/>
        <v>2</v>
      </c>
      <c r="E1478" s="54"/>
      <c r="F1478" s="151" t="str">
        <f>IFERROR(VLOOKUP($G1478,нормы!$A$14:$BC$57,2,0),"")</f>
        <v/>
      </c>
      <c r="G1478" s="93"/>
      <c r="H1478" s="54">
        <f t="shared" si="582"/>
        <v>0</v>
      </c>
      <c r="I1478" s="55"/>
      <c r="J1478" s="333"/>
      <c r="K1478" s="30">
        <f>IFERROR(VLOOKUP($G1478,[1]нормы!$A$21:$BC$151,15,0),"")</f>
        <v>0</v>
      </c>
      <c r="L1478" s="31">
        <f>IFERROR(VLOOKUP($G1478,[1]нормы!$A$21:$BC$151,17,0),"")</f>
        <v>0</v>
      </c>
      <c r="M1478" s="306">
        <f>IFERROR(VLOOKUP($G1478,[1]нормы!$A$21:$BC$151,27,0),"")</f>
        <v>0</v>
      </c>
      <c r="N1478" s="307" t="str">
        <f>IFERROR(Y1478/Y1481*(1.1*J1475*I1483),"")</f>
        <v/>
      </c>
      <c r="O1478" s="300">
        <f>IFERROR(VLOOKUP($G1478,[1]нормы!$A$21:$BC$151,21,0),"")</f>
        <v>0</v>
      </c>
      <c r="P1478" s="35">
        <f>IFERROR(VLOOKUP($G1478,[1]нормы!$A$21:$BC$151,19,0),"")</f>
        <v>0</v>
      </c>
      <c r="Q1478" s="35">
        <f>IFERROR(VLOOKUP($G1478,[1]нормы!$A$21:$BC$151,23,0),"")</f>
        <v>0</v>
      </c>
      <c r="R1478" s="231">
        <f>IFERROR(VLOOKUP($G1478,[1]нормы!$A$21:$BC$151,29,0),"")</f>
        <v>0</v>
      </c>
      <c r="S1478" s="35">
        <f>IFERROR(VLOOKUP($G1478,[1]нормы!$A$21:$BC$151,31,0),"")</f>
        <v>0</v>
      </c>
      <c r="T1478" s="32">
        <f>IFERROR(VLOOKUP($G1478,[1]нормы!$A$21:$BC$151,25,0),"")</f>
        <v>0</v>
      </c>
      <c r="U1478" s="233" t="str">
        <f>IFERROR(W1478/(((100*Y1478/Y1481)*I1480)/100),"")</f>
        <v/>
      </c>
      <c r="V1478" s="234" t="str">
        <f>IFERROR(VLOOKUP($G1478,нормы!$A$14:$BC$57,38,0),"")</f>
        <v/>
      </c>
      <c r="W1478" s="136"/>
      <c r="X1478" s="237"/>
      <c r="Y1478" s="152" t="str">
        <f>IFERROR(VLOOKUP($G1478,нормы!$A$14:$BC$57,42,0)*W1478,"")</f>
        <v/>
      </c>
      <c r="Z1478" s="163">
        <f>IFERROR(VLOOKUP($G1478,нормы!$A$14:$BC$57,14,0)*W1478/1000,0)</f>
        <v>0</v>
      </c>
      <c r="AA1478" s="30"/>
      <c r="AB1478" s="35"/>
      <c r="AC1478" s="35"/>
      <c r="AD1478" s="35"/>
      <c r="AE1478" s="31"/>
      <c r="AF1478" s="160"/>
      <c r="AG1478" s="391"/>
      <c r="AH1478" s="394"/>
      <c r="AI1478" s="397"/>
      <c r="AJ1478" s="408"/>
      <c r="AK1478" s="360"/>
      <c r="AL1478" s="360"/>
      <c r="AM1478" s="360"/>
      <c r="AN1478" s="289">
        <f>IFERROR(Y1478*AJ1475/Y1481,)</f>
        <v>0</v>
      </c>
      <c r="AO1478" s="197" t="str">
        <f>IFERROR(VLOOKUP($G1478,нормы!$A$14:$BC$57,53,0)*$W1478,"")</f>
        <v/>
      </c>
      <c r="AP1478" s="290">
        <f>IFERROR(Y1478*AI1475/Y1481,)</f>
        <v>0</v>
      </c>
      <c r="AQ1478" s="197" t="str">
        <f>IFERROR(VLOOKUP($G1478,нормы!$A$14:$BC$57,54,0)*$W1478,"")</f>
        <v/>
      </c>
      <c r="AR1478" s="290">
        <f>IFERROR(AS1478/SUM(AS1475:AS1480)*AL1475,0)</f>
        <v>0</v>
      </c>
      <c r="AS1478" s="197" t="str">
        <f>IFERROR(VLOOKUP($G1478,нормы!$A$14:$BC$57,55,0)*W1478,"")</f>
        <v/>
      </c>
      <c r="AT1478" s="290">
        <f>IFERROR(AU1478/SUM(AU1475:AU1480)*AM1475,0)</f>
        <v>0</v>
      </c>
      <c r="AU1478" s="197" t="str">
        <f>IFERROR(VLOOKUP($G1478,нормы!$A$14:$BI$57,56,0)*W1478,"")</f>
        <v/>
      </c>
      <c r="AV1478" s="290">
        <f>IFERROR(AW1478/SUM(AW1475:AW1480)*AK1475,0)</f>
        <v>0</v>
      </c>
      <c r="AW1478" s="202" t="str">
        <f>IFERROR(VLOOKUP($G1478,нормы!$A$14:$BI$57,57,0)*W1478,"")</f>
        <v/>
      </c>
      <c r="AX1478" s="30"/>
      <c r="AY1478" s="203" t="str">
        <f>IFERROR(VLOOKUP($G1478,нормы!$A$14:$BI$57,58,0)*W1478,"")</f>
        <v/>
      </c>
      <c r="AZ1478" s="205"/>
      <c r="BA1478" s="200" t="str">
        <f>IFERROR(VLOOKUP($G1478,нормы!$A$14:$BI$57,61,0)*$W1478,"")</f>
        <v/>
      </c>
      <c r="BB1478" s="30"/>
      <c r="BC1478" s="203" t="str">
        <f>IFERROR(VLOOKUP($G1478,нормы!$A$14:$BI$57,60,0)*W1478,"")</f>
        <v/>
      </c>
      <c r="BD1478" s="200" t="str">
        <f>IFERROR(VLOOKUP($G1478,нормы!$A$14:$BG$57,44,0),"")</f>
        <v/>
      </c>
      <c r="BE1478" s="199" t="str">
        <f>IFERROR(W1478/VLOOKUP($G1478,нормы!$A$14:$BI$57,45,0),"")</f>
        <v/>
      </c>
    </row>
    <row r="1479" spans="1:57" s="1" customFormat="1" ht="20.25" customHeight="1" x14ac:dyDescent="0.4">
      <c r="A1479" s="37" t="str">
        <f t="shared" si="578"/>
        <v>24Н</v>
      </c>
      <c r="B1479" s="12">
        <f t="shared" si="581"/>
        <v>24</v>
      </c>
      <c r="C1479" s="97">
        <f t="shared" si="581"/>
        <v>0</v>
      </c>
      <c r="D1479" s="97">
        <f t="shared" si="581"/>
        <v>2</v>
      </c>
      <c r="E1479" s="54"/>
      <c r="F1479" s="151" t="str">
        <f>IFERROR(VLOOKUP($G1479,нормы!$A$14:$BC$57,2,0),"")</f>
        <v/>
      </c>
      <c r="G1479" s="38"/>
      <c r="H1479" s="54">
        <f t="shared" si="582"/>
        <v>0</v>
      </c>
      <c r="I1479" s="89" t="s">
        <v>73</v>
      </c>
      <c r="J1479" s="333"/>
      <c r="K1479" s="30">
        <f>IFERROR(VLOOKUP($G1479,[1]нормы!$A$21:$BC$151,15,0),"")</f>
        <v>0</v>
      </c>
      <c r="L1479" s="31">
        <f>IFERROR(VLOOKUP($G1479,[1]нормы!$A$21:$BC$151,17,0),"")</f>
        <v>0</v>
      </c>
      <c r="M1479" s="306">
        <f>IFERROR(VLOOKUP($G1479,[1]нормы!$A$21:$BC$151,27,0),"")</f>
        <v>0</v>
      </c>
      <c r="N1479" s="307" t="str">
        <f>IFERROR(Y1479/Y1481*(1.1*J1475*I1484),"")</f>
        <v/>
      </c>
      <c r="O1479" s="300">
        <f>IFERROR(VLOOKUP($G1479,[1]нормы!$A$21:$BC$151,21,0),"")</f>
        <v>0</v>
      </c>
      <c r="P1479" s="35">
        <f>IFERROR(VLOOKUP($G1479,[1]нормы!$A$21:$BC$151,19,0),"")</f>
        <v>0</v>
      </c>
      <c r="Q1479" s="35">
        <f>IFERROR(VLOOKUP($G1479,[1]нормы!$A$21:$BC$151,23,0),"")</f>
        <v>0</v>
      </c>
      <c r="R1479" s="231">
        <f>IFERROR(VLOOKUP($G1479,[1]нормы!$A$21:$BC$151,29,0),"")</f>
        <v>0</v>
      </c>
      <c r="S1479" s="35">
        <f>IFERROR(VLOOKUP($G1479,[1]нормы!$A$21:$BC$151,31,0),"")</f>
        <v>0</v>
      </c>
      <c r="T1479" s="32">
        <f>IFERROR(VLOOKUP($G1479,[1]нормы!$A$21:$BC$151,25,0),"")</f>
        <v>0</v>
      </c>
      <c r="U1479" s="233" t="str">
        <f>IFERROR(W1479/(((100*Y1479/Y1481)*I1480)/100),"")</f>
        <v/>
      </c>
      <c r="V1479" s="234" t="str">
        <f>IFERROR(VLOOKUP($G1479,нормы!$A$14:$BC$57,38,0),"")</f>
        <v/>
      </c>
      <c r="W1479" s="136"/>
      <c r="X1479" s="237"/>
      <c r="Y1479" s="152" t="str">
        <f>IFERROR(VLOOKUP($G1479,нормы!$A$14:$BC$57,42,0)*W1479,"")</f>
        <v/>
      </c>
      <c r="Z1479" s="163">
        <f>IFERROR(VLOOKUP($G1479,нормы!$A$14:$BC$57,14,0)*W1479/1000,0)</f>
        <v>0</v>
      </c>
      <c r="AA1479" s="30"/>
      <c r="AB1479" s="35"/>
      <c r="AC1479" s="35"/>
      <c r="AD1479" s="35"/>
      <c r="AE1479" s="31"/>
      <c r="AF1479" s="160"/>
      <c r="AG1479" s="391"/>
      <c r="AH1479" s="394"/>
      <c r="AI1479" s="397"/>
      <c r="AJ1479" s="408"/>
      <c r="AK1479" s="360"/>
      <c r="AL1479" s="360"/>
      <c r="AM1479" s="360"/>
      <c r="AN1479" s="289">
        <f>IFERROR(Y1479*AJ1475/Y1481,)</f>
        <v>0</v>
      </c>
      <c r="AO1479" s="197" t="str">
        <f>IFERROR(VLOOKUP($G1479,нормы!$A$14:$BC$57,53,0)*$W1479,"")</f>
        <v/>
      </c>
      <c r="AP1479" s="290">
        <f>IFERROR(Y1479*AI1475/Y1481,)</f>
        <v>0</v>
      </c>
      <c r="AQ1479" s="197" t="str">
        <f>IFERROR(VLOOKUP($G1479,нормы!$A$14:$BC$57,54,0)*$W1479,"")</f>
        <v/>
      </c>
      <c r="AR1479" s="290">
        <f>IFERROR(AS1479/SUM(AS1475:AS1480)*AL1475,0)</f>
        <v>0</v>
      </c>
      <c r="AS1479" s="197" t="str">
        <f>IFERROR(VLOOKUP($G1479,нормы!$A$14:$BC$57,55,0)*W1479,"")</f>
        <v/>
      </c>
      <c r="AT1479" s="290">
        <f>IFERROR(AU1479/SUM(AU1475:AU1480)*AM1475,0)</f>
        <v>0</v>
      </c>
      <c r="AU1479" s="197" t="str">
        <f>IFERROR(VLOOKUP($G1479,нормы!$A$14:$BI$57,56,0)*W1479,"")</f>
        <v/>
      </c>
      <c r="AV1479" s="290">
        <f>IFERROR(AW1479/SUM(AW1475:AW1480)*AK1475,0)</f>
        <v>0</v>
      </c>
      <c r="AW1479" s="202" t="str">
        <f>IFERROR(VLOOKUP($G1479,нормы!$A$14:$BI$57,57,0)*W1479,"")</f>
        <v/>
      </c>
      <c r="AX1479" s="30"/>
      <c r="AY1479" s="203" t="str">
        <f>IFERROR(VLOOKUP($G1479,нормы!$A$14:$BI$57,58,0)*W1479,"")</f>
        <v/>
      </c>
      <c r="AZ1479" s="205"/>
      <c r="BA1479" s="200" t="str">
        <f>IFERROR(VLOOKUP($G1479,нормы!$A$14:$BI$57,61,0)*$W1479,"")</f>
        <v/>
      </c>
      <c r="BB1479" s="30"/>
      <c r="BC1479" s="203" t="str">
        <f>IFERROR(VLOOKUP($G1479,нормы!$A$14:$BI$57,60,0)*W1479,"")</f>
        <v/>
      </c>
      <c r="BD1479" s="200" t="str">
        <f>IFERROR(VLOOKUP($G1479,нормы!$A$14:$BG$57,44,0),"")</f>
        <v/>
      </c>
      <c r="BE1479" s="199" t="str">
        <f>IFERROR(W1479/VLOOKUP($G1479,нормы!$A$14:$BI$57,45,0),"")</f>
        <v/>
      </c>
    </row>
    <row r="1480" spans="1:57" s="1" customFormat="1" ht="21" customHeight="1" thickBot="1" x14ac:dyDescent="0.45">
      <c r="A1480" s="37" t="str">
        <f t="shared" si="578"/>
        <v>24Н</v>
      </c>
      <c r="B1480" s="12">
        <f t="shared" si="581"/>
        <v>24</v>
      </c>
      <c r="C1480" s="97">
        <f t="shared" si="581"/>
        <v>0</v>
      </c>
      <c r="D1480" s="97">
        <f t="shared" si="581"/>
        <v>2</v>
      </c>
      <c r="E1480" s="54"/>
      <c r="F1480" s="151" t="str">
        <f>IFERROR(VLOOKUP($G1480,нормы!$A$14:$BC$57,2,0),"")</f>
        <v/>
      </c>
      <c r="G1480" s="93"/>
      <c r="H1480" s="63">
        <f t="shared" si="582"/>
        <v>0</v>
      </c>
      <c r="I1480" s="153">
        <f>I1476+I1478</f>
        <v>0</v>
      </c>
      <c r="J1480" s="334"/>
      <c r="K1480" s="30">
        <f>IFERROR(VLOOKUP($G1480,[1]нормы!$A$21:$BC$151,15,0),"")</f>
        <v>0</v>
      </c>
      <c r="L1480" s="31">
        <f>IFERROR(VLOOKUP($G1480,[1]нормы!$A$21:$BC$151,17,0),"")</f>
        <v>0</v>
      </c>
      <c r="M1480" s="308">
        <f>IFERROR(VLOOKUP($G1480,[1]нормы!$A$21:$BC$151,27,0),"")</f>
        <v>0</v>
      </c>
      <c r="N1480" s="309" t="str">
        <f>IFERROR(Y1480/Y1481*(1.1*J1475*I1485),"")</f>
        <v/>
      </c>
      <c r="O1480" s="300">
        <f>IFERROR(VLOOKUP($G1480,[1]нормы!$A$21:$BC$151,21,0),"")</f>
        <v>0</v>
      </c>
      <c r="P1480" s="35">
        <f>IFERROR(VLOOKUP($G1480,[1]нормы!$A$21:$BC$151,19,0),"")</f>
        <v>0</v>
      </c>
      <c r="Q1480" s="35">
        <f>IFERROR(VLOOKUP($G1480,[1]нормы!$A$21:$BC$151,23,0),"")</f>
        <v>0</v>
      </c>
      <c r="R1480" s="231">
        <f>IFERROR(VLOOKUP($G1480,[1]нормы!$A$21:$BC$151,29,0),"")</f>
        <v>0</v>
      </c>
      <c r="S1480" s="35">
        <f>IFERROR(VLOOKUP($G1480,[1]нормы!$A$21:$BC$151,31,0),"")</f>
        <v>0</v>
      </c>
      <c r="T1480" s="32">
        <f>IFERROR(VLOOKUP($G1480,[1]нормы!$A$21:$BC$151,25,0),"")</f>
        <v>0</v>
      </c>
      <c r="U1480" s="235" t="str">
        <f>IFERROR(W1480/(((100*Y1480/Y1481)*I1480)/100),"")</f>
        <v/>
      </c>
      <c r="V1480" s="234" t="str">
        <f>IFERROR(VLOOKUP($G1480,нормы!$A$14:$BC$57,38,0),"")</f>
        <v/>
      </c>
      <c r="W1480" s="154"/>
      <c r="X1480" s="238"/>
      <c r="Y1480" s="152" t="str">
        <f>IFERROR(VLOOKUP($G1480,нормы!$A$14:$BC$57,42,0)*W1480,"")</f>
        <v/>
      </c>
      <c r="Z1480" s="163">
        <f>IFERROR(VLOOKUP($G1480,нормы!$A$14:$BC$57,14,0)*W1480/1000,0)</f>
        <v>0</v>
      </c>
      <c r="AA1480" s="56"/>
      <c r="AB1480" s="58"/>
      <c r="AC1480" s="58"/>
      <c r="AD1480" s="58"/>
      <c r="AE1480" s="57"/>
      <c r="AF1480" s="161"/>
      <c r="AG1480" s="392"/>
      <c r="AH1480" s="395"/>
      <c r="AI1480" s="398"/>
      <c r="AJ1480" s="409"/>
      <c r="AK1480" s="361"/>
      <c r="AL1480" s="361"/>
      <c r="AM1480" s="361"/>
      <c r="AN1480" s="291">
        <f>IFERROR(Y1480*AJ1475/Y1481,)</f>
        <v>0</v>
      </c>
      <c r="AO1480" s="197" t="str">
        <f>IFERROR(VLOOKUP($G1480,нормы!$A$14:$BC$57,53,0)*$W1480,"")</f>
        <v/>
      </c>
      <c r="AP1480" s="292">
        <f>IFERROR(Y1480*AI1475/Y1481,)</f>
        <v>0</v>
      </c>
      <c r="AQ1480" s="197" t="str">
        <f>IFERROR(VLOOKUP($G1480,нормы!$A$14:$BC$57,54,0)*$W1480,"")</f>
        <v/>
      </c>
      <c r="AR1480" s="290">
        <f>IFERROR(AS1480/SUM(AS1475:AS1480)*AL1475,0)</f>
        <v>0</v>
      </c>
      <c r="AS1480" s="197" t="str">
        <f>IFERROR(VLOOKUP($G1480,нормы!$A$14:$BC$57,55,0)*W1480,"")</f>
        <v/>
      </c>
      <c r="AT1480" s="292">
        <f>IFERROR(AU1480/SUM(AU1475:AU1480)*AM1475,0)</f>
        <v>0</v>
      </c>
      <c r="AU1480" s="197" t="str">
        <f>IFERROR(VLOOKUP($G1480,нормы!$A$14:$BI$57,56,0)*W1480,"")</f>
        <v/>
      </c>
      <c r="AV1480" s="292">
        <f>IFERROR(AW1480/SUM(AW1475:AW1480)*AK1475,0)</f>
        <v>0</v>
      </c>
      <c r="AW1480" s="202" t="str">
        <f>IFERROR(VLOOKUP($G1480,нормы!$A$14:$BI$57,57,0)*W1480,"")</f>
        <v/>
      </c>
      <c r="AX1480" s="56"/>
      <c r="AY1480" s="203" t="str">
        <f>IFERROR(VLOOKUP($G1480,нормы!$A$14:$BI$57,58,0)*W1480,"")</f>
        <v/>
      </c>
      <c r="AZ1480" s="206"/>
      <c r="BA1480" s="200" t="str">
        <f>IFERROR(VLOOKUP($G1480,нормы!$A$14:$BI$57,61,0)*$W1480,"")</f>
        <v/>
      </c>
      <c r="BB1480" s="56"/>
      <c r="BC1480" s="203" t="str">
        <f>IFERROR(VLOOKUP($G1480,нормы!$A$14:$BI$57,60,0)*W1480,"")</f>
        <v/>
      </c>
      <c r="BD1480" s="200" t="str">
        <f>IFERROR(VLOOKUP($G1480,нормы!$A$14:$BG$57,44,0),"")</f>
        <v/>
      </c>
      <c r="BE1480" s="199" t="str">
        <f>IFERROR(W1480/VLOOKUP($G1480,нормы!$A$14:$BI$57,45,0),"")</f>
        <v/>
      </c>
    </row>
    <row r="1481" spans="1:57" s="1" customFormat="1" ht="29.4" customHeight="1" thickBot="1" x14ac:dyDescent="0.45">
      <c r="A1481" s="37" t="str">
        <f t="shared" si="578"/>
        <v>24Н</v>
      </c>
      <c r="B1481" s="59"/>
      <c r="C1481" s="51"/>
      <c r="D1481" s="51"/>
      <c r="E1481" s="51"/>
      <c r="F1481" s="51"/>
      <c r="G1481" s="51"/>
      <c r="H1481" s="51"/>
      <c r="I1481" s="60"/>
      <c r="J1481" s="60"/>
      <c r="K1481" s="319" t="s">
        <v>213</v>
      </c>
      <c r="L1481" s="316"/>
      <c r="M1481" s="303" t="s">
        <v>213</v>
      </c>
      <c r="N1481" s="317">
        <f>SUM(N1475:N1480)</f>
        <v>0</v>
      </c>
      <c r="O1481" s="304" t="s">
        <v>217</v>
      </c>
      <c r="P1481" s="318">
        <f>N1481*8.937/1000</f>
        <v>0</v>
      </c>
      <c r="Q1481" s="305" t="s">
        <v>215</v>
      </c>
      <c r="R1481" s="61"/>
      <c r="S1481" s="61"/>
      <c r="T1481" s="61"/>
      <c r="U1481" s="109"/>
      <c r="V1481" s="109"/>
      <c r="W1481" s="94"/>
      <c r="X1481" s="155"/>
      <c r="Y1481" s="96">
        <f>SUM(Y1475:Y1480)</f>
        <v>0</v>
      </c>
      <c r="Z1481" s="164">
        <f>SUM(Z1475:Z1480)</f>
        <v>0</v>
      </c>
      <c r="AA1481" s="207">
        <f>(AA1467+AA1468+AA1469+AA1470+AA1471+AA1472+AA1473+AA1475+AA1476+AA1477+AA1478+AA1479+AA1480)-AG1468</f>
        <v>1</v>
      </c>
      <c r="AB1481" s="208">
        <f>(AB1467+AB1468+AB1469+AB1470+AB1471+AB1472+AB1473+AB1475+AB1476+AB1477+AB1478+AB1479+AB1480)-AH1468</f>
        <v>2</v>
      </c>
      <c r="AC1481" s="208">
        <f>(AC1467+AC1468+AC1469+AC1470+AC1471+AC1472+AC1473+AC1475+AC1476+AC1477+AC1478+AC1479+AC1480)-AG1475</f>
        <v>3</v>
      </c>
      <c r="AD1481" s="208">
        <f>(AD1467+AD1468+AD1469+AD1470+AD1471+AD1472+AD1473+AD1475+AD1476+AD1477+AD1478+AD1479+AD1480)-AH1475</f>
        <v>4</v>
      </c>
      <c r="AE1481" s="208">
        <f>(AE1467+AE1468+AE1469+AE1470+AE1471+AE1472+AE1473+AE1475+AE1476+AE1477+AE1478+AE1479+AE1480)-AI1468</f>
        <v>5</v>
      </c>
      <c r="AF1481" s="209">
        <f>(AF1467+AF1468+AF1469+AF1470+AF1471+AF1472+AF1473+AF1475+AF1476+AF1477+AF1478+AF1479+AF1480)-AI1475</f>
        <v>6</v>
      </c>
      <c r="AG1481" s="62"/>
      <c r="AH1481" s="62"/>
      <c r="AI1481" s="62"/>
      <c r="AJ1481" s="62"/>
      <c r="AK1481" s="62"/>
      <c r="AL1481" s="62"/>
      <c r="AM1481" s="62"/>
      <c r="AN1481" s="91">
        <f>SUM(AN1475:AN1480)</f>
        <v>0</v>
      </c>
      <c r="AO1481" s="91">
        <f>SUM(AO1475:AO1480)</f>
        <v>0</v>
      </c>
      <c r="AP1481" s="91"/>
      <c r="AQ1481" s="91"/>
      <c r="AR1481" s="91">
        <f>SUM(AR1475:AR1480)</f>
        <v>0</v>
      </c>
      <c r="AS1481" s="91">
        <f t="shared" ref="AS1481:AW1481" si="583">SUM(AS1475:AS1480)</f>
        <v>0</v>
      </c>
      <c r="AT1481" s="91">
        <f t="shared" si="583"/>
        <v>0</v>
      </c>
      <c r="AU1481" s="91">
        <f t="shared" si="583"/>
        <v>0</v>
      </c>
      <c r="AV1481" s="91">
        <f t="shared" si="583"/>
        <v>0</v>
      </c>
      <c r="AW1481" s="91">
        <f t="shared" si="583"/>
        <v>0</v>
      </c>
      <c r="AX1481" s="91">
        <f>SUM(AX1475:AX1480)</f>
        <v>0</v>
      </c>
      <c r="AY1481" s="91">
        <f>SUM(AY1475:AY1480)</f>
        <v>0</v>
      </c>
      <c r="AZ1481" s="91">
        <f>SUM(AZ1475:AZ1480)</f>
        <v>0</v>
      </c>
      <c r="BA1481" s="91"/>
      <c r="BB1481" s="91"/>
      <c r="BC1481" s="91"/>
      <c r="BD1481" s="91" t="str">
        <f>IFERROR(VLOOKUP($G1481,нормы!$A$14:$BG$15,27,0),"")</f>
        <v/>
      </c>
      <c r="BE1481" s="53" t="str">
        <f>IFERROR(W1481/VLOOKUP($G1481,нормы!$A$14:$BI$15,28,0),"")</f>
        <v/>
      </c>
    </row>
    <row r="1482" spans="1:57" s="1" customFormat="1" ht="29.4" customHeight="1" thickBot="1" x14ac:dyDescent="0.5">
      <c r="A1482" s="37" t="str">
        <f t="shared" si="578"/>
        <v>24Н</v>
      </c>
      <c r="B1482" s="166" t="s">
        <v>130</v>
      </c>
      <c r="C1482" s="167"/>
      <c r="D1482" s="167"/>
      <c r="E1482" s="167"/>
      <c r="F1482" s="165"/>
      <c r="G1482" s="167"/>
      <c r="H1482" s="167"/>
      <c r="I1482" s="168"/>
      <c r="J1482" s="168"/>
      <c r="K1482" s="168"/>
      <c r="L1482" s="168"/>
      <c r="M1482" s="168"/>
      <c r="N1482" s="168"/>
      <c r="O1482" s="167"/>
      <c r="P1482" s="169"/>
      <c r="Q1482" s="169"/>
      <c r="R1482" s="169"/>
      <c r="S1482" s="169"/>
      <c r="T1482" s="169"/>
      <c r="U1482" s="170"/>
      <c r="V1482" s="170"/>
      <c r="W1482" s="171"/>
      <c r="X1482" s="171"/>
      <c r="Y1482" s="172"/>
      <c r="Z1482" s="172"/>
      <c r="AA1482" s="201" t="s">
        <v>144</v>
      </c>
      <c r="AB1482" s="167"/>
      <c r="AC1482" s="167"/>
      <c r="AD1482" s="167"/>
      <c r="AE1482" s="167"/>
      <c r="AF1482" s="167"/>
      <c r="AG1482" s="167"/>
      <c r="AH1482" s="167"/>
      <c r="AI1482" s="167"/>
      <c r="AJ1482" s="167"/>
      <c r="AK1482" s="167"/>
      <c r="AL1482" s="167"/>
      <c r="AM1482" s="64"/>
      <c r="AN1482" s="167"/>
      <c r="AO1482" s="167"/>
      <c r="AP1482" s="167"/>
      <c r="AQ1482" s="167"/>
      <c r="AR1482" s="64"/>
      <c r="AS1482" s="64"/>
      <c r="AT1482" s="65"/>
      <c r="AU1482" s="64"/>
      <c r="AV1482" s="49"/>
      <c r="AW1482" s="49"/>
      <c r="AX1482" s="167"/>
      <c r="AY1482" s="167"/>
      <c r="AZ1482" s="167"/>
      <c r="BA1482" s="167"/>
      <c r="BB1482" s="167"/>
      <c r="BC1482" s="167"/>
      <c r="BD1482" s="66"/>
      <c r="BE1482" s="66"/>
    </row>
    <row r="1483" spans="1:57" s="1" customFormat="1" ht="23.25" customHeight="1" x14ac:dyDescent="0.4">
      <c r="A1483" s="37" t="str">
        <f t="shared" si="578"/>
        <v>24Н</v>
      </c>
      <c r="B1483" s="183"/>
      <c r="C1483" s="100"/>
      <c r="D1483" s="185"/>
      <c r="E1483" s="186" t="s">
        <v>57</v>
      </c>
      <c r="F1483" s="66" t="s">
        <v>87</v>
      </c>
      <c r="G1483" s="66"/>
      <c r="H1483" s="108" t="s">
        <v>131</v>
      </c>
      <c r="I1483" s="101"/>
      <c r="J1483" s="101"/>
      <c r="K1483" s="101"/>
      <c r="L1483" s="101"/>
      <c r="M1483" s="101"/>
      <c r="N1483" s="101"/>
      <c r="O1483" s="67"/>
      <c r="P1483" s="102"/>
      <c r="Q1483" s="102"/>
      <c r="R1483" s="102"/>
      <c r="S1483" s="102"/>
      <c r="T1483" s="102"/>
      <c r="U1483" s="67"/>
      <c r="V1483" s="67"/>
      <c r="W1483" s="103"/>
      <c r="X1483" s="187"/>
      <c r="Y1483" s="68" t="s">
        <v>74</v>
      </c>
      <c r="Z1483" s="69"/>
      <c r="AA1483" s="90"/>
      <c r="AB1483" s="100"/>
      <c r="AC1483" s="100"/>
      <c r="AD1483" s="186" t="s">
        <v>57</v>
      </c>
      <c r="AE1483" s="66"/>
      <c r="AF1483" s="66"/>
      <c r="AG1483" s="66"/>
      <c r="AH1483" s="66"/>
      <c r="AI1483" s="66"/>
      <c r="AJ1483" s="66"/>
      <c r="AK1483" s="66"/>
      <c r="AL1483" s="66"/>
      <c r="AM1483" s="66"/>
      <c r="AN1483" s="66"/>
      <c r="AO1483" s="66"/>
      <c r="AP1483" s="66"/>
      <c r="AQ1483" s="66"/>
      <c r="AR1483" s="66"/>
      <c r="AS1483" s="66"/>
      <c r="AT1483" s="190"/>
      <c r="AU1483" s="66"/>
      <c r="AV1483" s="165"/>
      <c r="AW1483" s="293"/>
      <c r="AX1483" s="66"/>
      <c r="AY1483" s="66"/>
      <c r="AZ1483" s="66"/>
      <c r="BA1483" s="66"/>
      <c r="BB1483" s="66"/>
      <c r="BC1483" s="66"/>
      <c r="BD1483" s="68" t="s">
        <v>74</v>
      </c>
      <c r="BE1483" s="69"/>
    </row>
    <row r="1484" spans="1:57" s="1" customFormat="1" ht="23.25" customHeight="1" thickBot="1" x14ac:dyDescent="0.45">
      <c r="A1484" s="37" t="str">
        <f t="shared" si="578"/>
        <v>24Н</v>
      </c>
      <c r="B1484" s="183"/>
      <c r="C1484" s="41"/>
      <c r="D1484" s="184"/>
      <c r="E1484" s="50"/>
      <c r="F1484" s="70"/>
      <c r="G1484" s="70"/>
      <c r="H1484" s="70"/>
      <c r="I1484" s="104"/>
      <c r="J1484" s="104"/>
      <c r="K1484" s="104"/>
      <c r="L1484" s="104"/>
      <c r="M1484" s="104"/>
      <c r="N1484" s="104"/>
      <c r="O1484" s="71"/>
      <c r="P1484" s="105"/>
      <c r="Q1484" s="105"/>
      <c r="R1484" s="105"/>
      <c r="S1484" s="105"/>
      <c r="T1484" s="105"/>
      <c r="U1484" s="71"/>
      <c r="V1484" s="71"/>
      <c r="W1484" s="106"/>
      <c r="X1484" s="188"/>
      <c r="Y1484" s="72"/>
      <c r="Z1484" s="73"/>
      <c r="AA1484" s="90"/>
      <c r="AB1484" s="41"/>
      <c r="AC1484" s="41"/>
      <c r="AD1484" s="50"/>
      <c r="AE1484" s="47"/>
      <c r="AF1484" s="47"/>
      <c r="AG1484" s="47"/>
      <c r="AH1484" s="47"/>
      <c r="AI1484" s="47"/>
      <c r="AJ1484" s="47"/>
      <c r="AK1484" s="47"/>
      <c r="AL1484" s="47"/>
      <c r="AM1484" s="70"/>
      <c r="AN1484" s="47"/>
      <c r="AO1484" s="70"/>
      <c r="AP1484" s="70"/>
      <c r="AQ1484" s="70"/>
      <c r="AR1484" s="70"/>
      <c r="AS1484" s="70"/>
      <c r="AT1484" s="191"/>
      <c r="AU1484" s="70"/>
      <c r="AV1484" s="192"/>
      <c r="AW1484" s="294"/>
      <c r="AX1484" s="70"/>
      <c r="AY1484" s="70"/>
      <c r="AZ1484" s="70"/>
      <c r="BA1484" s="70"/>
      <c r="BB1484" s="70"/>
      <c r="BC1484" s="70"/>
      <c r="BD1484" s="72"/>
      <c r="BE1484" s="73"/>
    </row>
    <row r="1485" spans="1:57" s="1" customFormat="1" ht="21.75" customHeight="1" x14ac:dyDescent="0.4">
      <c r="A1485" s="37" t="str">
        <f t="shared" si="578"/>
        <v>24Н</v>
      </c>
      <c r="B1485" s="183"/>
      <c r="C1485" s="41"/>
      <c r="D1485" s="184"/>
      <c r="E1485" s="281">
        <f>B1480</f>
        <v>24</v>
      </c>
      <c r="F1485" s="337"/>
      <c r="G1485" s="338"/>
      <c r="H1485" s="338"/>
      <c r="I1485" s="338"/>
      <c r="J1485" s="338"/>
      <c r="K1485" s="338"/>
      <c r="L1485" s="338"/>
      <c r="M1485" s="338"/>
      <c r="N1485" s="338"/>
      <c r="O1485" s="338"/>
      <c r="P1485" s="338"/>
      <c r="Q1485" s="338"/>
      <c r="R1485" s="338"/>
      <c r="S1485" s="338"/>
      <c r="T1485" s="338"/>
      <c r="U1485" s="338"/>
      <c r="V1485" s="338"/>
      <c r="W1485" s="338"/>
      <c r="X1485" s="98">
        <v>1</v>
      </c>
      <c r="Y1485" s="74">
        <v>1</v>
      </c>
      <c r="Z1485" s="75">
        <f t="shared" ref="Z1485:Z1496" si="584">Y1485-X1485</f>
        <v>0</v>
      </c>
      <c r="AA1485" s="189"/>
      <c r="AB1485" s="41"/>
      <c r="AC1485" s="184"/>
      <c r="AD1485" s="210">
        <f>E1485</f>
        <v>24</v>
      </c>
      <c r="AE1485" s="387"/>
      <c r="AF1485" s="388"/>
      <c r="AG1485" s="388"/>
      <c r="AH1485" s="388"/>
      <c r="AI1485" s="388"/>
      <c r="AJ1485" s="388"/>
      <c r="AK1485" s="388"/>
      <c r="AL1485" s="388"/>
      <c r="AM1485" s="388"/>
      <c r="AN1485" s="388"/>
      <c r="AO1485" s="388"/>
      <c r="AP1485" s="388"/>
      <c r="AQ1485" s="388"/>
      <c r="AR1485" s="388"/>
      <c r="AS1485" s="388"/>
      <c r="AT1485" s="388"/>
      <c r="AU1485" s="388"/>
      <c r="AV1485" s="388"/>
      <c r="AW1485" s="388"/>
      <c r="AX1485" s="388"/>
      <c r="AY1485" s="388"/>
      <c r="AZ1485" s="388"/>
      <c r="BA1485" s="388"/>
      <c r="BB1485" s="389"/>
      <c r="BC1485" s="98">
        <v>1</v>
      </c>
      <c r="BD1485" s="74">
        <v>1</v>
      </c>
      <c r="BE1485" s="75">
        <f t="shared" ref="BE1485:BE1496" si="585">BD1485-BC1485</f>
        <v>0</v>
      </c>
    </row>
    <row r="1486" spans="1:57" s="1" customFormat="1" ht="25.5" customHeight="1" x14ac:dyDescent="0.4">
      <c r="A1486" s="37" t="str">
        <f t="shared" si="578"/>
        <v>24Н</v>
      </c>
      <c r="B1486" s="183"/>
      <c r="C1486" s="41"/>
      <c r="D1486" s="184"/>
      <c r="E1486" s="282">
        <f>E1485</f>
        <v>24</v>
      </c>
      <c r="F1486" s="335"/>
      <c r="G1486" s="336"/>
      <c r="H1486" s="336"/>
      <c r="I1486" s="336"/>
      <c r="J1486" s="336"/>
      <c r="K1486" s="336"/>
      <c r="L1486" s="336"/>
      <c r="M1486" s="336"/>
      <c r="N1486" s="336"/>
      <c r="O1486" s="336"/>
      <c r="P1486" s="336"/>
      <c r="Q1486" s="336"/>
      <c r="R1486" s="336"/>
      <c r="S1486" s="336"/>
      <c r="T1486" s="336"/>
      <c r="U1486" s="336"/>
      <c r="V1486" s="336"/>
      <c r="W1486" s="336"/>
      <c r="X1486" s="98">
        <v>1</v>
      </c>
      <c r="Y1486" s="74">
        <v>1</v>
      </c>
      <c r="Z1486" s="75">
        <f t="shared" si="584"/>
        <v>0</v>
      </c>
      <c r="AA1486" s="107">
        <f>AA1485</f>
        <v>0</v>
      </c>
      <c r="AB1486" s="41"/>
      <c r="AC1486" s="184"/>
      <c r="AD1486" s="212">
        <f>AD1485</f>
        <v>24</v>
      </c>
      <c r="AE1486" s="387"/>
      <c r="AF1486" s="388"/>
      <c r="AG1486" s="388"/>
      <c r="AH1486" s="388"/>
      <c r="AI1486" s="388"/>
      <c r="AJ1486" s="388"/>
      <c r="AK1486" s="388"/>
      <c r="AL1486" s="388"/>
      <c r="AM1486" s="388"/>
      <c r="AN1486" s="388"/>
      <c r="AO1486" s="388"/>
      <c r="AP1486" s="388"/>
      <c r="AQ1486" s="388"/>
      <c r="AR1486" s="388"/>
      <c r="AS1486" s="388"/>
      <c r="AT1486" s="388"/>
      <c r="AU1486" s="388"/>
      <c r="AV1486" s="388"/>
      <c r="AW1486" s="388"/>
      <c r="AX1486" s="388"/>
      <c r="AY1486" s="388"/>
      <c r="AZ1486" s="388"/>
      <c r="BA1486" s="388"/>
      <c r="BB1486" s="389"/>
      <c r="BC1486" s="98">
        <v>1</v>
      </c>
      <c r="BD1486" s="74">
        <v>1</v>
      </c>
      <c r="BE1486" s="75">
        <f t="shared" si="585"/>
        <v>0</v>
      </c>
    </row>
    <row r="1487" spans="1:57" s="1" customFormat="1" ht="18" customHeight="1" x14ac:dyDescent="0.4">
      <c r="A1487" s="37" t="str">
        <f t="shared" si="578"/>
        <v>24Н</v>
      </c>
      <c r="B1487" s="183"/>
      <c r="C1487" s="41"/>
      <c r="D1487" s="184"/>
      <c r="E1487" s="282">
        <f t="shared" ref="E1487:E1496" si="586">E1486</f>
        <v>24</v>
      </c>
      <c r="F1487" s="335"/>
      <c r="G1487" s="336"/>
      <c r="H1487" s="336"/>
      <c r="I1487" s="336"/>
      <c r="J1487" s="336"/>
      <c r="K1487" s="336"/>
      <c r="L1487" s="336"/>
      <c r="M1487" s="336"/>
      <c r="N1487" s="336"/>
      <c r="O1487" s="336"/>
      <c r="P1487" s="336"/>
      <c r="Q1487" s="336"/>
      <c r="R1487" s="336"/>
      <c r="S1487" s="336"/>
      <c r="T1487" s="336"/>
      <c r="U1487" s="336"/>
      <c r="V1487" s="336"/>
      <c r="W1487" s="336"/>
      <c r="X1487" s="98">
        <v>1</v>
      </c>
      <c r="Y1487" s="74">
        <v>1</v>
      </c>
      <c r="Z1487" s="75">
        <f t="shared" si="584"/>
        <v>0</v>
      </c>
      <c r="AA1487" s="107">
        <f>AA1486</f>
        <v>0</v>
      </c>
      <c r="AB1487" s="41"/>
      <c r="AC1487" s="184"/>
      <c r="AD1487" s="212">
        <f t="shared" ref="AD1487:AD1496" si="587">AD1486</f>
        <v>24</v>
      </c>
      <c r="AE1487" s="387"/>
      <c r="AF1487" s="388"/>
      <c r="AG1487" s="388"/>
      <c r="AH1487" s="388"/>
      <c r="AI1487" s="388"/>
      <c r="AJ1487" s="388"/>
      <c r="AK1487" s="388"/>
      <c r="AL1487" s="388"/>
      <c r="AM1487" s="388"/>
      <c r="AN1487" s="388"/>
      <c r="AO1487" s="388"/>
      <c r="AP1487" s="388"/>
      <c r="AQ1487" s="388"/>
      <c r="AR1487" s="388"/>
      <c r="AS1487" s="388"/>
      <c r="AT1487" s="388"/>
      <c r="AU1487" s="388"/>
      <c r="AV1487" s="388"/>
      <c r="AW1487" s="388"/>
      <c r="AX1487" s="388"/>
      <c r="AY1487" s="388"/>
      <c r="AZ1487" s="388"/>
      <c r="BA1487" s="388"/>
      <c r="BB1487" s="389"/>
      <c r="BC1487" s="98">
        <v>1</v>
      </c>
      <c r="BD1487" s="74">
        <v>1</v>
      </c>
      <c r="BE1487" s="75">
        <f t="shared" si="585"/>
        <v>0</v>
      </c>
    </row>
    <row r="1488" spans="1:57" s="1" customFormat="1" ht="18" customHeight="1" x14ac:dyDescent="0.4">
      <c r="A1488" s="37" t="str">
        <f t="shared" si="578"/>
        <v>24Н</v>
      </c>
      <c r="B1488" s="183"/>
      <c r="C1488" s="41"/>
      <c r="D1488" s="184"/>
      <c r="E1488" s="282">
        <f t="shared" si="586"/>
        <v>24</v>
      </c>
      <c r="F1488" s="335"/>
      <c r="G1488" s="336"/>
      <c r="H1488" s="336"/>
      <c r="I1488" s="336"/>
      <c r="J1488" s="336"/>
      <c r="K1488" s="336"/>
      <c r="L1488" s="336"/>
      <c r="M1488" s="336"/>
      <c r="N1488" s="336"/>
      <c r="O1488" s="336"/>
      <c r="P1488" s="336"/>
      <c r="Q1488" s="336"/>
      <c r="R1488" s="336"/>
      <c r="S1488" s="336"/>
      <c r="T1488" s="336"/>
      <c r="U1488" s="336"/>
      <c r="V1488" s="336"/>
      <c r="W1488" s="336"/>
      <c r="X1488" s="98">
        <v>1</v>
      </c>
      <c r="Y1488" s="74">
        <v>1</v>
      </c>
      <c r="Z1488" s="75">
        <f t="shared" si="584"/>
        <v>0</v>
      </c>
      <c r="AA1488" s="107">
        <f t="shared" ref="AA1488:AA1496" si="588">AA1487</f>
        <v>0</v>
      </c>
      <c r="AB1488" s="41"/>
      <c r="AC1488" s="184"/>
      <c r="AD1488" s="212">
        <f t="shared" si="587"/>
        <v>24</v>
      </c>
      <c r="AE1488" s="387"/>
      <c r="AF1488" s="388"/>
      <c r="AG1488" s="388"/>
      <c r="AH1488" s="388"/>
      <c r="AI1488" s="388"/>
      <c r="AJ1488" s="388"/>
      <c r="AK1488" s="388"/>
      <c r="AL1488" s="388"/>
      <c r="AM1488" s="388"/>
      <c r="AN1488" s="388"/>
      <c r="AO1488" s="388"/>
      <c r="AP1488" s="388"/>
      <c r="AQ1488" s="388"/>
      <c r="AR1488" s="388"/>
      <c r="AS1488" s="388"/>
      <c r="AT1488" s="388"/>
      <c r="AU1488" s="388"/>
      <c r="AV1488" s="388"/>
      <c r="AW1488" s="388"/>
      <c r="AX1488" s="388"/>
      <c r="AY1488" s="388"/>
      <c r="AZ1488" s="388"/>
      <c r="BA1488" s="388"/>
      <c r="BB1488" s="389"/>
      <c r="BC1488" s="98">
        <v>1</v>
      </c>
      <c r="BD1488" s="74">
        <v>1</v>
      </c>
      <c r="BE1488" s="75">
        <f t="shared" si="585"/>
        <v>0</v>
      </c>
    </row>
    <row r="1489" spans="1:57" s="1" customFormat="1" ht="18" customHeight="1" x14ac:dyDescent="0.4">
      <c r="A1489" s="37" t="str">
        <f t="shared" si="578"/>
        <v>24Н</v>
      </c>
      <c r="B1489" s="183"/>
      <c r="C1489" s="41"/>
      <c r="D1489" s="184"/>
      <c r="E1489" s="282">
        <f t="shared" si="586"/>
        <v>24</v>
      </c>
      <c r="F1489" s="335"/>
      <c r="G1489" s="336"/>
      <c r="H1489" s="336"/>
      <c r="I1489" s="336"/>
      <c r="J1489" s="336"/>
      <c r="K1489" s="336"/>
      <c r="L1489" s="336"/>
      <c r="M1489" s="336"/>
      <c r="N1489" s="336"/>
      <c r="O1489" s="336"/>
      <c r="P1489" s="336"/>
      <c r="Q1489" s="336"/>
      <c r="R1489" s="336"/>
      <c r="S1489" s="336"/>
      <c r="T1489" s="336"/>
      <c r="U1489" s="336"/>
      <c r="V1489" s="336"/>
      <c r="W1489" s="336"/>
      <c r="X1489" s="98">
        <v>1</v>
      </c>
      <c r="Y1489" s="74">
        <v>1</v>
      </c>
      <c r="Z1489" s="75">
        <f t="shared" si="584"/>
        <v>0</v>
      </c>
      <c r="AA1489" s="107">
        <f t="shared" si="588"/>
        <v>0</v>
      </c>
      <c r="AB1489" s="41"/>
      <c r="AC1489" s="184"/>
      <c r="AD1489" s="212">
        <f t="shared" si="587"/>
        <v>24</v>
      </c>
      <c r="AE1489" s="387"/>
      <c r="AF1489" s="388"/>
      <c r="AG1489" s="388"/>
      <c r="AH1489" s="388"/>
      <c r="AI1489" s="388"/>
      <c r="AJ1489" s="388"/>
      <c r="AK1489" s="388"/>
      <c r="AL1489" s="388"/>
      <c r="AM1489" s="388"/>
      <c r="AN1489" s="388"/>
      <c r="AO1489" s="388"/>
      <c r="AP1489" s="388"/>
      <c r="AQ1489" s="388"/>
      <c r="AR1489" s="388"/>
      <c r="AS1489" s="388"/>
      <c r="AT1489" s="388"/>
      <c r="AU1489" s="388"/>
      <c r="AV1489" s="388"/>
      <c r="AW1489" s="388"/>
      <c r="AX1489" s="388"/>
      <c r="AY1489" s="388"/>
      <c r="AZ1489" s="388"/>
      <c r="BA1489" s="388"/>
      <c r="BB1489" s="389"/>
      <c r="BC1489" s="98">
        <v>1</v>
      </c>
      <c r="BD1489" s="74">
        <v>1</v>
      </c>
      <c r="BE1489" s="75">
        <f t="shared" si="585"/>
        <v>0</v>
      </c>
    </row>
    <row r="1490" spans="1:57" s="1" customFormat="1" ht="18" customHeight="1" x14ac:dyDescent="0.4">
      <c r="A1490" s="37" t="str">
        <f t="shared" si="578"/>
        <v>24Н</v>
      </c>
      <c r="B1490" s="183"/>
      <c r="C1490" s="41"/>
      <c r="D1490" s="184"/>
      <c r="E1490" s="282">
        <f t="shared" si="586"/>
        <v>24</v>
      </c>
      <c r="F1490" s="335"/>
      <c r="G1490" s="336"/>
      <c r="H1490" s="336"/>
      <c r="I1490" s="336"/>
      <c r="J1490" s="336"/>
      <c r="K1490" s="336"/>
      <c r="L1490" s="336"/>
      <c r="M1490" s="336"/>
      <c r="N1490" s="336"/>
      <c r="O1490" s="336"/>
      <c r="P1490" s="336"/>
      <c r="Q1490" s="336"/>
      <c r="R1490" s="336"/>
      <c r="S1490" s="336"/>
      <c r="T1490" s="336"/>
      <c r="U1490" s="336"/>
      <c r="V1490" s="336"/>
      <c r="W1490" s="336"/>
      <c r="X1490" s="98">
        <v>1</v>
      </c>
      <c r="Y1490" s="74">
        <v>1</v>
      </c>
      <c r="Z1490" s="75">
        <f t="shared" si="584"/>
        <v>0</v>
      </c>
      <c r="AA1490" s="107">
        <f t="shared" si="588"/>
        <v>0</v>
      </c>
      <c r="AB1490" s="41"/>
      <c r="AC1490" s="184"/>
      <c r="AD1490" s="212">
        <f t="shared" si="587"/>
        <v>24</v>
      </c>
      <c r="AE1490" s="387"/>
      <c r="AF1490" s="388"/>
      <c r="AG1490" s="388"/>
      <c r="AH1490" s="388"/>
      <c r="AI1490" s="388"/>
      <c r="AJ1490" s="388"/>
      <c r="AK1490" s="388"/>
      <c r="AL1490" s="388"/>
      <c r="AM1490" s="388"/>
      <c r="AN1490" s="388"/>
      <c r="AO1490" s="388"/>
      <c r="AP1490" s="388"/>
      <c r="AQ1490" s="388"/>
      <c r="AR1490" s="388"/>
      <c r="AS1490" s="388"/>
      <c r="AT1490" s="388"/>
      <c r="AU1490" s="388"/>
      <c r="AV1490" s="388"/>
      <c r="AW1490" s="388"/>
      <c r="AX1490" s="388"/>
      <c r="AY1490" s="388"/>
      <c r="AZ1490" s="388"/>
      <c r="BA1490" s="388"/>
      <c r="BB1490" s="389"/>
      <c r="BC1490" s="98">
        <v>1</v>
      </c>
      <c r="BD1490" s="74">
        <v>1</v>
      </c>
      <c r="BE1490" s="75">
        <f t="shared" si="585"/>
        <v>0</v>
      </c>
    </row>
    <row r="1491" spans="1:57" s="1" customFormat="1" ht="18" customHeight="1" x14ac:dyDescent="0.4">
      <c r="A1491" s="37" t="str">
        <f t="shared" si="578"/>
        <v>24Н</v>
      </c>
      <c r="B1491" s="183"/>
      <c r="C1491" s="41"/>
      <c r="D1491" s="184"/>
      <c r="E1491" s="282">
        <f t="shared" si="586"/>
        <v>24</v>
      </c>
      <c r="F1491" s="335"/>
      <c r="G1491" s="336"/>
      <c r="H1491" s="336"/>
      <c r="I1491" s="336"/>
      <c r="J1491" s="336"/>
      <c r="K1491" s="336"/>
      <c r="L1491" s="336"/>
      <c r="M1491" s="336"/>
      <c r="N1491" s="336"/>
      <c r="O1491" s="336"/>
      <c r="P1491" s="336"/>
      <c r="Q1491" s="336"/>
      <c r="R1491" s="336"/>
      <c r="S1491" s="336"/>
      <c r="T1491" s="336"/>
      <c r="U1491" s="336"/>
      <c r="V1491" s="336"/>
      <c r="W1491" s="336"/>
      <c r="X1491" s="98">
        <v>1</v>
      </c>
      <c r="Y1491" s="74">
        <v>1</v>
      </c>
      <c r="Z1491" s="75">
        <f t="shared" si="584"/>
        <v>0</v>
      </c>
      <c r="AA1491" s="107">
        <f t="shared" si="588"/>
        <v>0</v>
      </c>
      <c r="AB1491" s="41"/>
      <c r="AC1491" s="184"/>
      <c r="AD1491" s="212">
        <f t="shared" si="587"/>
        <v>24</v>
      </c>
      <c r="AE1491" s="387"/>
      <c r="AF1491" s="388"/>
      <c r="AG1491" s="388"/>
      <c r="AH1491" s="388"/>
      <c r="AI1491" s="388"/>
      <c r="AJ1491" s="388"/>
      <c r="AK1491" s="388"/>
      <c r="AL1491" s="388"/>
      <c r="AM1491" s="388"/>
      <c r="AN1491" s="388"/>
      <c r="AO1491" s="388"/>
      <c r="AP1491" s="388"/>
      <c r="AQ1491" s="388"/>
      <c r="AR1491" s="388"/>
      <c r="AS1491" s="388"/>
      <c r="AT1491" s="388"/>
      <c r="AU1491" s="388"/>
      <c r="AV1491" s="388"/>
      <c r="AW1491" s="388"/>
      <c r="AX1491" s="388"/>
      <c r="AY1491" s="388"/>
      <c r="AZ1491" s="388"/>
      <c r="BA1491" s="388"/>
      <c r="BB1491" s="389"/>
      <c r="BC1491" s="98">
        <v>1</v>
      </c>
      <c r="BD1491" s="74">
        <v>1</v>
      </c>
      <c r="BE1491" s="75">
        <f t="shared" si="585"/>
        <v>0</v>
      </c>
    </row>
    <row r="1492" spans="1:57" s="1" customFormat="1" ht="18" customHeight="1" x14ac:dyDescent="0.4">
      <c r="A1492" s="37" t="str">
        <f t="shared" si="578"/>
        <v>24Н</v>
      </c>
      <c r="B1492" s="183"/>
      <c r="C1492" s="41"/>
      <c r="D1492" s="184"/>
      <c r="E1492" s="282">
        <f t="shared" si="586"/>
        <v>24</v>
      </c>
      <c r="F1492" s="335"/>
      <c r="G1492" s="336"/>
      <c r="H1492" s="336"/>
      <c r="I1492" s="336"/>
      <c r="J1492" s="336"/>
      <c r="K1492" s="336"/>
      <c r="L1492" s="336"/>
      <c r="M1492" s="336"/>
      <c r="N1492" s="336"/>
      <c r="O1492" s="336"/>
      <c r="P1492" s="336"/>
      <c r="Q1492" s="336"/>
      <c r="R1492" s="336"/>
      <c r="S1492" s="336"/>
      <c r="T1492" s="336"/>
      <c r="U1492" s="336"/>
      <c r="V1492" s="336"/>
      <c r="W1492" s="336"/>
      <c r="X1492" s="98">
        <v>1</v>
      </c>
      <c r="Y1492" s="74">
        <v>1</v>
      </c>
      <c r="Z1492" s="75">
        <f t="shared" si="584"/>
        <v>0</v>
      </c>
      <c r="AA1492" s="107">
        <f t="shared" si="588"/>
        <v>0</v>
      </c>
      <c r="AB1492" s="41"/>
      <c r="AC1492" s="184"/>
      <c r="AD1492" s="212">
        <f t="shared" si="587"/>
        <v>24</v>
      </c>
      <c r="AE1492" s="387"/>
      <c r="AF1492" s="388"/>
      <c r="AG1492" s="388"/>
      <c r="AH1492" s="388"/>
      <c r="AI1492" s="388"/>
      <c r="AJ1492" s="388"/>
      <c r="AK1492" s="388"/>
      <c r="AL1492" s="388"/>
      <c r="AM1492" s="388"/>
      <c r="AN1492" s="388"/>
      <c r="AO1492" s="388"/>
      <c r="AP1492" s="388"/>
      <c r="AQ1492" s="388"/>
      <c r="AR1492" s="388"/>
      <c r="AS1492" s="388"/>
      <c r="AT1492" s="388"/>
      <c r="AU1492" s="388"/>
      <c r="AV1492" s="388"/>
      <c r="AW1492" s="388"/>
      <c r="AX1492" s="388"/>
      <c r="AY1492" s="388"/>
      <c r="AZ1492" s="388"/>
      <c r="BA1492" s="388"/>
      <c r="BB1492" s="389"/>
      <c r="BC1492" s="98">
        <v>1</v>
      </c>
      <c r="BD1492" s="74">
        <v>1</v>
      </c>
      <c r="BE1492" s="75">
        <f t="shared" si="585"/>
        <v>0</v>
      </c>
    </row>
    <row r="1493" spans="1:57" s="1" customFormat="1" ht="18" customHeight="1" x14ac:dyDescent="0.4">
      <c r="A1493" s="37" t="str">
        <f t="shared" si="578"/>
        <v>24Н</v>
      </c>
      <c r="B1493" s="183"/>
      <c r="C1493" s="41"/>
      <c r="D1493" s="184"/>
      <c r="E1493" s="282">
        <f t="shared" si="586"/>
        <v>24</v>
      </c>
      <c r="F1493" s="335"/>
      <c r="G1493" s="336"/>
      <c r="H1493" s="336"/>
      <c r="I1493" s="336"/>
      <c r="J1493" s="336"/>
      <c r="K1493" s="336"/>
      <c r="L1493" s="336"/>
      <c r="M1493" s="336"/>
      <c r="N1493" s="336"/>
      <c r="O1493" s="336"/>
      <c r="P1493" s="336"/>
      <c r="Q1493" s="336"/>
      <c r="R1493" s="336"/>
      <c r="S1493" s="336"/>
      <c r="T1493" s="336"/>
      <c r="U1493" s="336"/>
      <c r="V1493" s="336"/>
      <c r="W1493" s="336"/>
      <c r="X1493" s="98">
        <v>1</v>
      </c>
      <c r="Y1493" s="74">
        <v>1</v>
      </c>
      <c r="Z1493" s="75">
        <f t="shared" si="584"/>
        <v>0</v>
      </c>
      <c r="AA1493" s="107">
        <f t="shared" si="588"/>
        <v>0</v>
      </c>
      <c r="AB1493" s="41"/>
      <c r="AC1493" s="184"/>
      <c r="AD1493" s="212">
        <f t="shared" si="587"/>
        <v>24</v>
      </c>
      <c r="AE1493" s="387"/>
      <c r="AF1493" s="388"/>
      <c r="AG1493" s="388"/>
      <c r="AH1493" s="388"/>
      <c r="AI1493" s="388"/>
      <c r="AJ1493" s="388"/>
      <c r="AK1493" s="388"/>
      <c r="AL1493" s="388"/>
      <c r="AM1493" s="388"/>
      <c r="AN1493" s="388"/>
      <c r="AO1493" s="388"/>
      <c r="AP1493" s="388"/>
      <c r="AQ1493" s="388"/>
      <c r="AR1493" s="388"/>
      <c r="AS1493" s="388"/>
      <c r="AT1493" s="388"/>
      <c r="AU1493" s="388"/>
      <c r="AV1493" s="388"/>
      <c r="AW1493" s="388"/>
      <c r="AX1493" s="388"/>
      <c r="AY1493" s="388"/>
      <c r="AZ1493" s="388"/>
      <c r="BA1493" s="388"/>
      <c r="BB1493" s="389"/>
      <c r="BC1493" s="98">
        <v>1</v>
      </c>
      <c r="BD1493" s="74">
        <v>1</v>
      </c>
      <c r="BE1493" s="75">
        <f t="shared" si="585"/>
        <v>0</v>
      </c>
    </row>
    <row r="1494" spans="1:57" s="1" customFormat="1" ht="18" customHeight="1" x14ac:dyDescent="0.4">
      <c r="A1494" s="37" t="str">
        <f t="shared" si="578"/>
        <v>24Н</v>
      </c>
      <c r="B1494" s="183"/>
      <c r="C1494" s="41"/>
      <c r="D1494" s="184"/>
      <c r="E1494" s="282">
        <f t="shared" si="586"/>
        <v>24</v>
      </c>
      <c r="F1494" s="335"/>
      <c r="G1494" s="336"/>
      <c r="H1494" s="336"/>
      <c r="I1494" s="336"/>
      <c r="J1494" s="336"/>
      <c r="K1494" s="336"/>
      <c r="L1494" s="336"/>
      <c r="M1494" s="336"/>
      <c r="N1494" s="336"/>
      <c r="O1494" s="336"/>
      <c r="P1494" s="336"/>
      <c r="Q1494" s="336"/>
      <c r="R1494" s="336"/>
      <c r="S1494" s="336"/>
      <c r="T1494" s="336"/>
      <c r="U1494" s="336"/>
      <c r="V1494" s="336"/>
      <c r="W1494" s="336"/>
      <c r="X1494" s="98">
        <v>1</v>
      </c>
      <c r="Y1494" s="74">
        <v>1</v>
      </c>
      <c r="Z1494" s="75">
        <f t="shared" si="584"/>
        <v>0</v>
      </c>
      <c r="AA1494" s="107">
        <f t="shared" si="588"/>
        <v>0</v>
      </c>
      <c r="AB1494" s="41"/>
      <c r="AC1494" s="184"/>
      <c r="AD1494" s="212">
        <f t="shared" si="587"/>
        <v>24</v>
      </c>
      <c r="AE1494" s="387"/>
      <c r="AF1494" s="388"/>
      <c r="AG1494" s="388"/>
      <c r="AH1494" s="388"/>
      <c r="AI1494" s="388"/>
      <c r="AJ1494" s="388"/>
      <c r="AK1494" s="388"/>
      <c r="AL1494" s="388"/>
      <c r="AM1494" s="388"/>
      <c r="AN1494" s="388"/>
      <c r="AO1494" s="388"/>
      <c r="AP1494" s="388"/>
      <c r="AQ1494" s="388"/>
      <c r="AR1494" s="388"/>
      <c r="AS1494" s="388"/>
      <c r="AT1494" s="388"/>
      <c r="AU1494" s="388"/>
      <c r="AV1494" s="388"/>
      <c r="AW1494" s="388"/>
      <c r="AX1494" s="388"/>
      <c r="AY1494" s="388"/>
      <c r="AZ1494" s="388"/>
      <c r="BA1494" s="388"/>
      <c r="BB1494" s="389"/>
      <c r="BC1494" s="98">
        <v>1</v>
      </c>
      <c r="BD1494" s="74">
        <v>1</v>
      </c>
      <c r="BE1494" s="75">
        <f t="shared" si="585"/>
        <v>0</v>
      </c>
    </row>
    <row r="1495" spans="1:57" s="1" customFormat="1" ht="18" customHeight="1" x14ac:dyDescent="0.4">
      <c r="A1495" s="37" t="str">
        <f t="shared" si="578"/>
        <v>24Н</v>
      </c>
      <c r="B1495" s="183"/>
      <c r="C1495" s="41"/>
      <c r="D1495" s="184"/>
      <c r="E1495" s="282">
        <f t="shared" si="586"/>
        <v>24</v>
      </c>
      <c r="F1495" s="335"/>
      <c r="G1495" s="336"/>
      <c r="H1495" s="336"/>
      <c r="I1495" s="336"/>
      <c r="J1495" s="336"/>
      <c r="K1495" s="336"/>
      <c r="L1495" s="336"/>
      <c r="M1495" s="336"/>
      <c r="N1495" s="336"/>
      <c r="O1495" s="336"/>
      <c r="P1495" s="336"/>
      <c r="Q1495" s="336"/>
      <c r="R1495" s="336"/>
      <c r="S1495" s="336"/>
      <c r="T1495" s="336"/>
      <c r="U1495" s="336"/>
      <c r="V1495" s="336"/>
      <c r="W1495" s="336"/>
      <c r="X1495" s="98">
        <v>1</v>
      </c>
      <c r="Y1495" s="74">
        <v>1</v>
      </c>
      <c r="Z1495" s="75">
        <f t="shared" si="584"/>
        <v>0</v>
      </c>
      <c r="AA1495" s="107">
        <f t="shared" si="588"/>
        <v>0</v>
      </c>
      <c r="AB1495" s="41"/>
      <c r="AC1495" s="184"/>
      <c r="AD1495" s="212">
        <f t="shared" si="587"/>
        <v>24</v>
      </c>
      <c r="AE1495" s="387"/>
      <c r="AF1495" s="388"/>
      <c r="AG1495" s="388"/>
      <c r="AH1495" s="388"/>
      <c r="AI1495" s="388"/>
      <c r="AJ1495" s="388"/>
      <c r="AK1495" s="388"/>
      <c r="AL1495" s="388"/>
      <c r="AM1495" s="388"/>
      <c r="AN1495" s="388"/>
      <c r="AO1495" s="388"/>
      <c r="AP1495" s="388"/>
      <c r="AQ1495" s="388"/>
      <c r="AR1495" s="388"/>
      <c r="AS1495" s="388"/>
      <c r="AT1495" s="388"/>
      <c r="AU1495" s="388"/>
      <c r="AV1495" s="388"/>
      <c r="AW1495" s="388"/>
      <c r="AX1495" s="388"/>
      <c r="AY1495" s="388"/>
      <c r="AZ1495" s="388"/>
      <c r="BA1495" s="388"/>
      <c r="BB1495" s="389"/>
      <c r="BC1495" s="98">
        <v>1</v>
      </c>
      <c r="BD1495" s="74">
        <v>1</v>
      </c>
      <c r="BE1495" s="75">
        <f t="shared" si="585"/>
        <v>0</v>
      </c>
    </row>
    <row r="1496" spans="1:57" s="1" customFormat="1" ht="18" customHeight="1" thickBot="1" x14ac:dyDescent="0.45">
      <c r="A1496" s="37" t="str">
        <f t="shared" si="578"/>
        <v>24Н</v>
      </c>
      <c r="B1496" s="183"/>
      <c r="C1496" s="41"/>
      <c r="D1496" s="184"/>
      <c r="E1496" s="283">
        <f t="shared" si="586"/>
        <v>24</v>
      </c>
      <c r="F1496" s="339"/>
      <c r="G1496" s="340"/>
      <c r="H1496" s="340"/>
      <c r="I1496" s="340"/>
      <c r="J1496" s="340"/>
      <c r="K1496" s="340"/>
      <c r="L1496" s="340"/>
      <c r="M1496" s="340"/>
      <c r="N1496" s="340"/>
      <c r="O1496" s="340"/>
      <c r="P1496" s="340"/>
      <c r="Q1496" s="340"/>
      <c r="R1496" s="340"/>
      <c r="S1496" s="340"/>
      <c r="T1496" s="340"/>
      <c r="U1496" s="340"/>
      <c r="V1496" s="340"/>
      <c r="W1496" s="340"/>
      <c r="X1496" s="99">
        <v>1</v>
      </c>
      <c r="Y1496" s="76">
        <v>1</v>
      </c>
      <c r="Z1496" s="77">
        <f t="shared" si="584"/>
        <v>0</v>
      </c>
      <c r="AA1496" s="107">
        <f t="shared" si="588"/>
        <v>0</v>
      </c>
      <c r="AB1496" s="41"/>
      <c r="AC1496" s="184"/>
      <c r="AD1496" s="211">
        <f t="shared" si="587"/>
        <v>24</v>
      </c>
      <c r="AE1496" s="410"/>
      <c r="AF1496" s="411"/>
      <c r="AG1496" s="411"/>
      <c r="AH1496" s="411"/>
      <c r="AI1496" s="411"/>
      <c r="AJ1496" s="411"/>
      <c r="AK1496" s="411"/>
      <c r="AL1496" s="411"/>
      <c r="AM1496" s="411"/>
      <c r="AN1496" s="411"/>
      <c r="AO1496" s="411"/>
      <c r="AP1496" s="411"/>
      <c r="AQ1496" s="411"/>
      <c r="AR1496" s="411"/>
      <c r="AS1496" s="411"/>
      <c r="AT1496" s="411"/>
      <c r="AU1496" s="411"/>
      <c r="AV1496" s="411"/>
      <c r="AW1496" s="411"/>
      <c r="AX1496" s="411"/>
      <c r="AY1496" s="411"/>
      <c r="AZ1496" s="411"/>
      <c r="BA1496" s="411"/>
      <c r="BB1496" s="412"/>
      <c r="BC1496" s="99">
        <v>1</v>
      </c>
      <c r="BD1496" s="76">
        <v>1</v>
      </c>
      <c r="BE1496" s="75">
        <f t="shared" si="585"/>
        <v>0</v>
      </c>
    </row>
    <row r="1497" spans="1:57" s="1" customFormat="1" ht="23.25" customHeight="1" thickBot="1" x14ac:dyDescent="0.45">
      <c r="A1497" s="37" t="str">
        <f t="shared" si="578"/>
        <v>24Н</v>
      </c>
      <c r="B1497" s="193"/>
      <c r="C1497" s="47"/>
      <c r="D1497" s="47"/>
      <c r="E1497" s="47"/>
      <c r="F1497" s="78"/>
      <c r="G1497" s="78"/>
      <c r="H1497" s="78"/>
      <c r="I1497" s="80"/>
      <c r="J1497" s="80"/>
      <c r="K1497" s="80"/>
      <c r="L1497" s="80"/>
      <c r="M1497" s="80"/>
      <c r="N1497" s="80"/>
      <c r="O1497" s="78"/>
      <c r="P1497" s="81"/>
      <c r="Q1497" s="81"/>
      <c r="R1497" s="81"/>
      <c r="S1497" s="81"/>
      <c r="T1497" s="81"/>
      <c r="U1497" s="82"/>
      <c r="V1497" s="82"/>
      <c r="W1497" s="86"/>
      <c r="X1497" s="194"/>
      <c r="Y1497" s="83"/>
      <c r="Z1497" s="83"/>
      <c r="AA1497" s="78"/>
      <c r="AB1497" s="47"/>
      <c r="AC1497" s="47"/>
      <c r="AD1497" s="47"/>
      <c r="AE1497" s="47"/>
      <c r="AF1497" s="47"/>
      <c r="AG1497" s="47"/>
      <c r="AH1497" s="47"/>
      <c r="AI1497" s="47"/>
      <c r="AJ1497" s="47"/>
      <c r="AK1497" s="47"/>
      <c r="AL1497" s="47"/>
      <c r="AM1497" s="84"/>
      <c r="AN1497" s="47"/>
      <c r="AO1497" s="78"/>
      <c r="AP1497" s="78"/>
      <c r="AQ1497" s="78"/>
      <c r="AR1497" s="84"/>
      <c r="AS1497" s="78"/>
      <c r="AT1497" s="85"/>
      <c r="AU1497" s="78"/>
      <c r="AV1497" s="83"/>
      <c r="AW1497" s="83"/>
      <c r="AX1497" s="78"/>
      <c r="AY1497" s="78"/>
      <c r="AZ1497" s="78"/>
      <c r="BA1497" s="78"/>
      <c r="BB1497" s="78"/>
      <c r="BC1497" s="78"/>
      <c r="BD1497" s="79"/>
      <c r="BE1497" s="79"/>
    </row>
    <row r="1498" spans="1:57" s="1" customFormat="1" ht="21.6" customHeight="1" thickBot="1" x14ac:dyDescent="0.45">
      <c r="A1498" s="37" t="s">
        <v>194</v>
      </c>
      <c r="B1498" s="59"/>
      <c r="C1498" s="51"/>
      <c r="D1498" s="51"/>
      <c r="E1498" s="51"/>
      <c r="F1498" s="158" t="s">
        <v>147</v>
      </c>
      <c r="G1498" s="51"/>
      <c r="H1498" s="51"/>
      <c r="I1498" s="156"/>
      <c r="J1498" s="156"/>
      <c r="K1498" s="156"/>
      <c r="L1498" s="156"/>
      <c r="M1498" s="156"/>
      <c r="N1498" s="156"/>
      <c r="O1498" s="91"/>
      <c r="P1498" s="52"/>
      <c r="Q1498" s="52"/>
      <c r="R1498" s="52"/>
      <c r="S1498" s="52"/>
      <c r="T1498" s="52"/>
      <c r="U1498" s="157"/>
      <c r="V1498" s="157"/>
      <c r="W1498" s="94"/>
      <c r="X1498" s="94"/>
      <c r="Y1498" s="51"/>
      <c r="Z1498" s="51"/>
      <c r="AA1498" s="157">
        <f>AA1481</f>
        <v>1</v>
      </c>
      <c r="AB1498" s="157">
        <f t="shared" ref="AB1498:AF1498" si="589">AB1481</f>
        <v>2</v>
      </c>
      <c r="AC1498" s="157">
        <f t="shared" si="589"/>
        <v>3</v>
      </c>
      <c r="AD1498" s="157">
        <f t="shared" si="589"/>
        <v>4</v>
      </c>
      <c r="AE1498" s="157">
        <f t="shared" si="589"/>
        <v>5</v>
      </c>
      <c r="AF1498" s="157">
        <f t="shared" si="589"/>
        <v>6</v>
      </c>
      <c r="AG1498" s="162" t="s">
        <v>123</v>
      </c>
      <c r="AH1498" s="162" t="s">
        <v>124</v>
      </c>
      <c r="AI1498" s="162" t="s">
        <v>125</v>
      </c>
      <c r="AJ1498" s="91" t="s">
        <v>126</v>
      </c>
      <c r="AK1498" s="198" t="s">
        <v>136</v>
      </c>
      <c r="AL1498" s="198" t="s">
        <v>137</v>
      </c>
      <c r="AM1498" s="198" t="s">
        <v>138</v>
      </c>
      <c r="AN1498" s="91"/>
      <c r="AO1498" s="91"/>
      <c r="AP1498" s="91"/>
      <c r="AQ1498" s="91"/>
      <c r="AR1498" s="91"/>
      <c r="AS1498" s="91"/>
      <c r="AT1498" s="91"/>
      <c r="AU1498" s="91"/>
      <c r="AV1498" s="91"/>
      <c r="AW1498" s="91"/>
      <c r="AX1498" s="91"/>
      <c r="AY1498" s="91"/>
      <c r="AZ1498" s="91"/>
      <c r="BA1498" s="91"/>
      <c r="BB1498" s="91"/>
      <c r="BC1498" s="91"/>
      <c r="BD1498" s="91"/>
      <c r="BE1498" s="91"/>
    </row>
    <row r="1499" spans="1:57" s="1" customFormat="1" ht="21.6" customHeight="1" x14ac:dyDescent="0.4">
      <c r="A1499" s="37" t="str">
        <f>A1498</f>
        <v>25Д</v>
      </c>
      <c r="B1499" s="12">
        <f>B1480+1</f>
        <v>25</v>
      </c>
      <c r="C1499" s="97"/>
      <c r="D1499" s="97">
        <v>1</v>
      </c>
      <c r="E1499" s="29"/>
      <c r="F1499" s="151" t="str">
        <f>IFERROR(VLOOKUP($G1499,нормы!$A$14:$BC$57,2,0),"")</f>
        <v/>
      </c>
      <c r="G1499" s="93"/>
      <c r="H1499" s="54">
        <f>IF(C1499=1,"Кульков С.А.", IF(C1499=2,"Чудаков А.А.",IF(C1499=3,"Королев В.Н.",IF(C1499=4,"Николашин М.П.",IF(C1499=5," Кульков С.А.",IF(C1499=6,"А.А. Чудаков",IF(C1499=7,"В.Н. Королев",IF(C1499=8,"М.П. Николашин",0))))))))</f>
        <v>0</v>
      </c>
      <c r="I1499" s="88" t="s">
        <v>84</v>
      </c>
      <c r="J1499" s="332"/>
      <c r="K1499" s="30">
        <f>IFERROR(VLOOKUP($G1499,[1]нормы!$A$21:$BC$151,15,0),"")</f>
        <v>0</v>
      </c>
      <c r="L1499" s="31">
        <f>IFERROR(VLOOKUP($G1499,[1]нормы!$A$21:$BC$151,17,0),"")</f>
        <v>0</v>
      </c>
      <c r="M1499" s="310">
        <f>IFERROR(VLOOKUP($G1499,[1]нормы!$A$21:$BC$151,27,0),"")</f>
        <v>0</v>
      </c>
      <c r="N1499" s="311" t="str">
        <f>IFERROR(Y1499/Y1505*(1.1*J1499*I1504),"")</f>
        <v/>
      </c>
      <c r="O1499" s="300">
        <f>IFERROR(VLOOKUP($G1499,[1]нормы!$A$21:$BC$151,21,0),"")</f>
        <v>0</v>
      </c>
      <c r="P1499" s="35">
        <f>IFERROR(VLOOKUP($G1499,[1]нормы!$A$21:$BC$151,19,0),"")</f>
        <v>0</v>
      </c>
      <c r="Q1499" s="35">
        <f>IFERROR(VLOOKUP($G1499,[1]нормы!$A$21:$BC$151,23,0),"")</f>
        <v>0</v>
      </c>
      <c r="R1499" s="231">
        <f>IFERROR(VLOOKUP($G1499,[1]нормы!$A$21:$BC$151,29,0),"")</f>
        <v>0</v>
      </c>
      <c r="S1499" s="35">
        <f>IFERROR(VLOOKUP($G1499,[1]нормы!$A$21:$BC$151,31,0),"")</f>
        <v>0</v>
      </c>
      <c r="T1499" s="32">
        <f>IFERROR(VLOOKUP($G1499,[1]нормы!$A$21:$BC$151,25,0),"")</f>
        <v>0</v>
      </c>
      <c r="U1499" s="232" t="str">
        <f>IFERROR(W1499/(((100*Y1499/Y1505)*I1504)/100),"")</f>
        <v/>
      </c>
      <c r="V1499" s="234" t="str">
        <f>IFERROR(VLOOKUP($G1499,нормы!$A$14:$BC$57,38,0),"")</f>
        <v/>
      </c>
      <c r="W1499" s="136"/>
      <c r="X1499" s="236"/>
      <c r="Y1499" s="152" t="str">
        <f>IFERROR(VLOOKUP($G1499,нормы!$A$14:$BC$57,42,0)*W1499,"")</f>
        <v/>
      </c>
      <c r="Z1499" s="163">
        <f>IFERROR(VLOOKUP($G1499,нормы!$A$14:$BC$57,14,0)*W1499/1000,0)</f>
        <v>0</v>
      </c>
      <c r="AA1499" s="33"/>
      <c r="AB1499" s="36"/>
      <c r="AC1499" s="36"/>
      <c r="AD1499" s="36"/>
      <c r="AE1499" s="34"/>
      <c r="AF1499" s="159"/>
      <c r="AG1499" s="390"/>
      <c r="AH1499" s="393"/>
      <c r="AI1499" s="396"/>
      <c r="AJ1499" s="407">
        <f>AG1499+AH1499</f>
        <v>0</v>
      </c>
      <c r="AK1499" s="359"/>
      <c r="AL1499" s="359"/>
      <c r="AM1499" s="359"/>
      <c r="AN1499" s="287">
        <f>IFERROR(Y1499*AJ1499/Y1505,)</f>
        <v>0</v>
      </c>
      <c r="AO1499" s="197" t="str">
        <f>IFERROR(VLOOKUP($G1499,нормы!$A$14:$BC$57,53,0)*$W1499,"")</f>
        <v/>
      </c>
      <c r="AP1499" s="288">
        <f>IFERROR(Y1499*AI1499/Y1505,)</f>
        <v>0</v>
      </c>
      <c r="AQ1499" s="197" t="str">
        <f>IFERROR(VLOOKUP($G1499,нормы!$A$14:$BC$57,54,0)*$W1499,"")</f>
        <v/>
      </c>
      <c r="AR1499" s="288">
        <f>IFERROR(AS1499/SUM(AS1499:AS1504)*AL1499,0)</f>
        <v>0</v>
      </c>
      <c r="AS1499" s="197" t="str">
        <f>IFERROR(VLOOKUP($G1499,нормы!$A$14:$BC$57,55,0)*W1499,"")</f>
        <v/>
      </c>
      <c r="AT1499" s="288">
        <f>IFERROR(AU1499/SUM(AU1499:AU1504)*AM1499,0)</f>
        <v>0</v>
      </c>
      <c r="AU1499" s="197" t="str">
        <f>IFERROR(VLOOKUP($G1499,нормы!$A$14:$BI$57,56,0)*W1499,"")</f>
        <v/>
      </c>
      <c r="AV1499" s="288">
        <f>IFERROR(AW1499/SUM(AW1499:AW1504)*AK1499,0)</f>
        <v>0</v>
      </c>
      <c r="AW1499" s="202" t="str">
        <f>IFERROR(VLOOKUP($G1499,нормы!$A$14:$BI$57,57,0)*W1499,"")</f>
        <v/>
      </c>
      <c r="AX1499" s="33"/>
      <c r="AY1499" s="203" t="str">
        <f>IFERROR(VLOOKUP($G1499,нормы!$A$14:$BI$57,58,0)*W1499,"")</f>
        <v/>
      </c>
      <c r="AZ1499" s="204"/>
      <c r="BA1499" s="200" t="str">
        <f>IFERROR(VLOOKUP($G1499,нормы!$A$14:$BI$57,61,0)*$W1499,"")</f>
        <v/>
      </c>
      <c r="BB1499" s="33"/>
      <c r="BC1499" s="203" t="str">
        <f>IFERROR(VLOOKUP($G1499,нормы!$A$14:$BI$57,60,0)*W1499,"")</f>
        <v/>
      </c>
      <c r="BD1499" s="200" t="str">
        <f>IFERROR(VLOOKUP($G1499,нормы!$A$14:$BG$57,44,0),"")</f>
        <v/>
      </c>
      <c r="BE1499" s="199" t="str">
        <f>IFERROR(W1499/VLOOKUP($G1499,нормы!$A$14:$BI$57,45,0),"")</f>
        <v/>
      </c>
    </row>
    <row r="1500" spans="1:57" s="1" customFormat="1" ht="21.6" customHeight="1" x14ac:dyDescent="0.4">
      <c r="A1500" s="37" t="str">
        <f t="shared" ref="A1500:A1528" si="590">A1499</f>
        <v>25Д</v>
      </c>
      <c r="B1500" s="12">
        <f t="shared" ref="B1500:D1504" si="591">B1499</f>
        <v>25</v>
      </c>
      <c r="C1500" s="97">
        <f t="shared" si="591"/>
        <v>0</v>
      </c>
      <c r="D1500" s="97">
        <f t="shared" si="591"/>
        <v>1</v>
      </c>
      <c r="E1500" s="54"/>
      <c r="F1500" s="151" t="str">
        <f>IFERROR(VLOOKUP($G1500,нормы!$A$14:$BC$57,2,0),"")</f>
        <v/>
      </c>
      <c r="G1500" s="93"/>
      <c r="H1500" s="54">
        <f t="shared" ref="H1500:H1504" si="592">IF(C1500=1,"Кульков С.А.", IF(C1500=2,"Чудаков А.А.",IF(C1500=3,"Королев В.Н.",IF(C1500=4,"Николашин М.П.",IF(C1500=5," Кульков С.А.",IF(C1500=6,"А.А. Чудаков",IF(C1500=7,"В.Н. Королев",IF(C1500=8,"М.П. Николашин",0))))))))</f>
        <v>0</v>
      </c>
      <c r="I1500" s="55"/>
      <c r="J1500" s="333"/>
      <c r="K1500" s="30">
        <f>IFERROR(VLOOKUP($G1500,[1]нормы!$A$21:$BC$151,15,0),"")</f>
        <v>0</v>
      </c>
      <c r="L1500" s="31">
        <f>IFERROR(VLOOKUP($G1500,[1]нормы!$A$21:$BC$151,17,0),"")</f>
        <v>0</v>
      </c>
      <c r="M1500" s="306">
        <f>IFERROR(VLOOKUP($G1500,[1]нормы!$A$21:$BC$151,27,0),"")</f>
        <v>0</v>
      </c>
      <c r="N1500" s="307" t="str">
        <f>IFERROR(Y1500/Y1505*(1.1*J1499*I1504),"")</f>
        <v/>
      </c>
      <c r="O1500" s="300">
        <f>IFERROR(VLOOKUP($G1500,[1]нормы!$A$21:$BC$151,21,0),"")</f>
        <v>0</v>
      </c>
      <c r="P1500" s="35">
        <f>IFERROR(VLOOKUP($G1500,[1]нормы!$A$21:$BC$151,19,0),"")</f>
        <v>0</v>
      </c>
      <c r="Q1500" s="35">
        <f>IFERROR(VLOOKUP($G1500,[1]нормы!$A$21:$BC$151,23,0),"")</f>
        <v>0</v>
      </c>
      <c r="R1500" s="231">
        <f>IFERROR(VLOOKUP($G1500,[1]нормы!$A$21:$BC$151,29,0),"")</f>
        <v>0</v>
      </c>
      <c r="S1500" s="35">
        <f>IFERROR(VLOOKUP($G1500,[1]нормы!$A$21:$BC$151,31,0),"")</f>
        <v>0</v>
      </c>
      <c r="T1500" s="32">
        <f>IFERROR(VLOOKUP($G1500,[1]нормы!$A$21:$BC$151,25,0),"")</f>
        <v>0</v>
      </c>
      <c r="U1500" s="233" t="str">
        <f>IFERROR(W1500/(((100*Y1500/Y1505)*I1504)/100),"")</f>
        <v/>
      </c>
      <c r="V1500" s="234" t="str">
        <f>IFERROR(VLOOKUP($G1500,нормы!$A$14:$BC$57,38,0),"")</f>
        <v/>
      </c>
      <c r="W1500" s="136"/>
      <c r="X1500" s="237"/>
      <c r="Y1500" s="152" t="str">
        <f>IFERROR(VLOOKUP($G1500,нормы!$A$14:$BC$57,42,0)*W1500,"")</f>
        <v/>
      </c>
      <c r="Z1500" s="163">
        <f>IFERROR(VLOOKUP($G1500,нормы!$A$14:$BC$57,14,0)*W1500/1000,0)</f>
        <v>0</v>
      </c>
      <c r="AA1500" s="142"/>
      <c r="AB1500" s="35"/>
      <c r="AC1500" s="35"/>
      <c r="AD1500" s="35"/>
      <c r="AE1500" s="31"/>
      <c r="AF1500" s="160"/>
      <c r="AG1500" s="391"/>
      <c r="AH1500" s="394"/>
      <c r="AI1500" s="397"/>
      <c r="AJ1500" s="408"/>
      <c r="AK1500" s="360"/>
      <c r="AL1500" s="360"/>
      <c r="AM1500" s="360"/>
      <c r="AN1500" s="289">
        <f>IFERROR(Y1500*AJ1499/Y1505,)</f>
        <v>0</v>
      </c>
      <c r="AO1500" s="197" t="str">
        <f>IFERROR(VLOOKUP($G1500,нормы!$A$14:$BC$57,53,0)*$W1500,"")</f>
        <v/>
      </c>
      <c r="AP1500" s="290">
        <f>IFERROR(Y1500*AI1499/Y1505,)</f>
        <v>0</v>
      </c>
      <c r="AQ1500" s="197" t="str">
        <f>IFERROR(VLOOKUP($G1500,нормы!$A$14:$BC$57,54,0)*$W1500,"")</f>
        <v/>
      </c>
      <c r="AR1500" s="290">
        <f>IFERROR(AS1500/SUM(AS1499:AS1504)*AL1499,0)</f>
        <v>0</v>
      </c>
      <c r="AS1500" s="197" t="str">
        <f>IFERROR(VLOOKUP($G1500,нормы!$A$14:$BC$57,55,0)*W1500,"")</f>
        <v/>
      </c>
      <c r="AT1500" s="290">
        <f>IFERROR(AU1500/SUM(AU1499:AU1504)*AM1499,0)</f>
        <v>0</v>
      </c>
      <c r="AU1500" s="197" t="str">
        <f>IFERROR(VLOOKUP($G1500,нормы!$A$14:$BI$57,56,0)*W1500,"")</f>
        <v/>
      </c>
      <c r="AV1500" s="290">
        <f>IFERROR(AW1500/SUM(AW1499:AW1504)*AK1499,0)</f>
        <v>0</v>
      </c>
      <c r="AW1500" s="202" t="str">
        <f>IFERROR(VLOOKUP($G1500,нормы!$A$14:$BI$57,57,0)*W1500,"")</f>
        <v/>
      </c>
      <c r="AX1500" s="30"/>
      <c r="AY1500" s="203" t="str">
        <f>IFERROR(VLOOKUP($G1500,нормы!$A$14:$BI$57,58,0)*W1500,"")</f>
        <v/>
      </c>
      <c r="AZ1500" s="205"/>
      <c r="BA1500" s="200" t="str">
        <f>IFERROR(VLOOKUP($G1500,нормы!$A$14:$BI$57,61,0)*$W1500,"")</f>
        <v/>
      </c>
      <c r="BB1500" s="30"/>
      <c r="BC1500" s="203" t="str">
        <f>IFERROR(VLOOKUP($G1500,нормы!$A$14:$BI$57,60,0)*W1500,"")</f>
        <v/>
      </c>
      <c r="BD1500" s="200" t="str">
        <f>IFERROR(VLOOKUP($G1500,нормы!$A$14:$BG$57,44,0),"")</f>
        <v/>
      </c>
      <c r="BE1500" s="199" t="str">
        <f>IFERROR(W1500/VLOOKUP($G1500,нормы!$A$14:$BI$57,45,0),"")</f>
        <v/>
      </c>
    </row>
    <row r="1501" spans="1:57" s="1" customFormat="1" ht="20.25" customHeight="1" x14ac:dyDescent="0.4">
      <c r="A1501" s="37" t="str">
        <f t="shared" si="590"/>
        <v>25Д</v>
      </c>
      <c r="B1501" s="12">
        <f t="shared" si="591"/>
        <v>25</v>
      </c>
      <c r="C1501" s="97">
        <f t="shared" si="591"/>
        <v>0</v>
      </c>
      <c r="D1501" s="97">
        <f t="shared" si="591"/>
        <v>1</v>
      </c>
      <c r="E1501" s="54"/>
      <c r="F1501" s="151" t="str">
        <f>IFERROR(VLOOKUP($G1501,нормы!$A$14:$BC$57,2,0),"")</f>
        <v/>
      </c>
      <c r="G1501" s="38"/>
      <c r="H1501" s="54">
        <f t="shared" si="592"/>
        <v>0</v>
      </c>
      <c r="I1501" s="89" t="s">
        <v>85</v>
      </c>
      <c r="J1501" s="333"/>
      <c r="K1501" s="30">
        <f>IFERROR(VLOOKUP($G1501,[1]нормы!$A$21:$BC$151,15,0),"")</f>
        <v>0</v>
      </c>
      <c r="L1501" s="31">
        <f>IFERROR(VLOOKUP($G1501,[1]нормы!$A$21:$BC$151,17,0),"")</f>
        <v>0</v>
      </c>
      <c r="M1501" s="306">
        <f>IFERROR(VLOOKUP($G1501,[1]нормы!$A$21:$BC$151,27,0),"")</f>
        <v>0</v>
      </c>
      <c r="N1501" s="307" t="str">
        <f>IFERROR(Y1501/Y1505*(1.1*J1499*I1504),"")</f>
        <v/>
      </c>
      <c r="O1501" s="300">
        <f>IFERROR(VLOOKUP($G1501,[1]нормы!$A$21:$BC$151,21,0),"")</f>
        <v>0</v>
      </c>
      <c r="P1501" s="35">
        <f>IFERROR(VLOOKUP($G1501,[1]нормы!$A$21:$BC$151,19,0),"")</f>
        <v>0</v>
      </c>
      <c r="Q1501" s="35">
        <f>IFERROR(VLOOKUP($G1501,[1]нормы!$A$21:$BC$151,23,0),"")</f>
        <v>0</v>
      </c>
      <c r="R1501" s="231">
        <f>IFERROR(VLOOKUP($G1501,[1]нормы!$A$21:$BC$151,29,0),"")</f>
        <v>0</v>
      </c>
      <c r="S1501" s="35">
        <f>IFERROR(VLOOKUP($G1501,[1]нормы!$A$21:$BC$151,31,0),"")</f>
        <v>0</v>
      </c>
      <c r="T1501" s="32">
        <f>IFERROR(VLOOKUP($G1501,[1]нормы!$A$21:$BC$151,25,0),"")</f>
        <v>0</v>
      </c>
      <c r="U1501" s="233" t="str">
        <f>IFERROR(W1501/(((100*Y1501/Y1505)*I1504)/100),"")</f>
        <v/>
      </c>
      <c r="V1501" s="234" t="str">
        <f>IFERROR(VLOOKUP($G1501,нормы!$A$14:$BC$57,38,0),"")</f>
        <v/>
      </c>
      <c r="W1501" s="136"/>
      <c r="X1501" s="237"/>
      <c r="Y1501" s="152" t="str">
        <f>IFERROR(VLOOKUP($G1501,нормы!$A$14:$BC$57,42,0)*W1501,"")</f>
        <v/>
      </c>
      <c r="Z1501" s="163">
        <f>IFERROR(VLOOKUP($G1501,нормы!$A$14:$BC$57,14,0)*W1501/1000,0)</f>
        <v>0</v>
      </c>
      <c r="AA1501" s="30"/>
      <c r="AB1501" s="35"/>
      <c r="AC1501" s="35"/>
      <c r="AD1501" s="35"/>
      <c r="AE1501" s="31"/>
      <c r="AF1501" s="160"/>
      <c r="AG1501" s="391"/>
      <c r="AH1501" s="394"/>
      <c r="AI1501" s="397"/>
      <c r="AJ1501" s="408"/>
      <c r="AK1501" s="360"/>
      <c r="AL1501" s="360"/>
      <c r="AM1501" s="360"/>
      <c r="AN1501" s="289">
        <f>IFERROR(Y1501*AJ1499/Y1505,)</f>
        <v>0</v>
      </c>
      <c r="AO1501" s="197" t="str">
        <f>IFERROR(VLOOKUP($G1501,нормы!$A$14:$BC$57,53,0)*$W1501,"")</f>
        <v/>
      </c>
      <c r="AP1501" s="290">
        <f>IFERROR(Y1501*AI1499/Y1505,)</f>
        <v>0</v>
      </c>
      <c r="AQ1501" s="197" t="str">
        <f>IFERROR(VLOOKUP($G1501,нормы!$A$14:$BC$57,54,0)*$W1501,"")</f>
        <v/>
      </c>
      <c r="AR1501" s="290">
        <f>IFERROR(AS1501/SUM(AS1499:AS1504)*AL1499,0)</f>
        <v>0</v>
      </c>
      <c r="AS1501" s="197" t="str">
        <f>IFERROR(VLOOKUP($G1501,нормы!$A$14:$BC$57,55,0)*W1501,"")</f>
        <v/>
      </c>
      <c r="AT1501" s="290">
        <f>IFERROR(AU1501/SUM(AU1499:AU1504)*AM1499,0)</f>
        <v>0</v>
      </c>
      <c r="AU1501" s="197" t="str">
        <f>IFERROR(VLOOKUP($G1501,нормы!$A$14:$BI$57,56,0)*W1501,"")</f>
        <v/>
      </c>
      <c r="AV1501" s="290">
        <f>IFERROR(AW1501/SUM(AW1499:AW1504)*AK1499,0)</f>
        <v>0</v>
      </c>
      <c r="AW1501" s="202" t="str">
        <f>IFERROR(VLOOKUP($G1501,нормы!$A$14:$BI$57,57,0)*W1501,"")</f>
        <v/>
      </c>
      <c r="AX1501" s="30"/>
      <c r="AY1501" s="203" t="str">
        <f>IFERROR(VLOOKUP($G1501,нормы!$A$14:$BI$57,58,0)*W1501,"")</f>
        <v/>
      </c>
      <c r="AZ1501" s="205"/>
      <c r="BA1501" s="200" t="str">
        <f>IFERROR(VLOOKUP($G1501,нормы!$A$14:$BI$57,61,0)*$W1501,"")</f>
        <v/>
      </c>
      <c r="BB1501" s="30"/>
      <c r="BC1501" s="203" t="str">
        <f>IFERROR(VLOOKUP($G1501,нормы!$A$14:$BI$57,60,0)*W1501,"")</f>
        <v/>
      </c>
      <c r="BD1501" s="200" t="str">
        <f>IFERROR(VLOOKUP($G1501,нормы!$A$14:$BG$57,44,0),"")</f>
        <v/>
      </c>
      <c r="BE1501" s="199" t="str">
        <f>IFERROR(W1501/VLOOKUP($G1501,нормы!$A$14:$BI$57,45,0),"")</f>
        <v/>
      </c>
    </row>
    <row r="1502" spans="1:57" s="1" customFormat="1" ht="20.25" customHeight="1" x14ac:dyDescent="0.4">
      <c r="A1502" s="37" t="str">
        <f t="shared" si="590"/>
        <v>25Д</v>
      </c>
      <c r="B1502" s="12">
        <f t="shared" si="591"/>
        <v>25</v>
      </c>
      <c r="C1502" s="97">
        <f t="shared" si="591"/>
        <v>0</v>
      </c>
      <c r="D1502" s="97">
        <f t="shared" si="591"/>
        <v>1</v>
      </c>
      <c r="E1502" s="54"/>
      <c r="F1502" s="151" t="str">
        <f>IFERROR(VLOOKUP($G1502,нормы!$A$14:$BC$57,2,0),"")</f>
        <v/>
      </c>
      <c r="G1502" s="93"/>
      <c r="H1502" s="54">
        <f t="shared" si="592"/>
        <v>0</v>
      </c>
      <c r="I1502" s="55"/>
      <c r="J1502" s="333"/>
      <c r="K1502" s="30">
        <f>IFERROR(VLOOKUP($G1502,[1]нормы!$A$21:$BC$151,15,0),"")</f>
        <v>0</v>
      </c>
      <c r="L1502" s="31">
        <f>IFERROR(VLOOKUP($G1502,[1]нормы!$A$21:$BC$151,17,0),"")</f>
        <v>0</v>
      </c>
      <c r="M1502" s="306">
        <f>IFERROR(VLOOKUP($G1502,[1]нормы!$A$21:$BC$151,27,0),"")</f>
        <v>0</v>
      </c>
      <c r="N1502" s="307" t="str">
        <f>IFERROR(Y1502/Y1505*(1.1*J1499*I1507),"")</f>
        <v/>
      </c>
      <c r="O1502" s="300">
        <f>IFERROR(VLOOKUP($G1502,[1]нормы!$A$21:$BC$151,21,0),"")</f>
        <v>0</v>
      </c>
      <c r="P1502" s="35">
        <f>IFERROR(VLOOKUP($G1502,[1]нормы!$A$21:$BC$151,19,0),"")</f>
        <v>0</v>
      </c>
      <c r="Q1502" s="35">
        <f>IFERROR(VLOOKUP($G1502,[1]нормы!$A$21:$BC$151,23,0),"")</f>
        <v>0</v>
      </c>
      <c r="R1502" s="231">
        <f>IFERROR(VLOOKUP($G1502,[1]нормы!$A$21:$BC$151,29,0),"")</f>
        <v>0</v>
      </c>
      <c r="S1502" s="35">
        <f>IFERROR(VLOOKUP($G1502,[1]нормы!$A$21:$BC$151,31,0),"")</f>
        <v>0</v>
      </c>
      <c r="T1502" s="32">
        <f>IFERROR(VLOOKUP($G1502,[1]нормы!$A$21:$BC$151,25,0),"")</f>
        <v>0</v>
      </c>
      <c r="U1502" s="233" t="str">
        <f>IFERROR(W1502/(((100*Y1502/Y1505)*I1504)/100),"")</f>
        <v/>
      </c>
      <c r="V1502" s="234" t="str">
        <f>IFERROR(VLOOKUP($G1502,нормы!$A$14:$BC$57,38,0),"")</f>
        <v/>
      </c>
      <c r="W1502" s="136"/>
      <c r="X1502" s="237"/>
      <c r="Y1502" s="152" t="str">
        <f>IFERROR(VLOOKUP($G1502,нормы!$A$14:$BC$57,42,0)*W1502,"")</f>
        <v/>
      </c>
      <c r="Z1502" s="163">
        <f>IFERROR(VLOOKUP($G1502,нормы!$A$14:$BC$57,14,0)*W1502/1000,0)</f>
        <v>0</v>
      </c>
      <c r="AA1502" s="30"/>
      <c r="AB1502" s="35"/>
      <c r="AC1502" s="35"/>
      <c r="AD1502" s="35"/>
      <c r="AE1502" s="31"/>
      <c r="AF1502" s="160"/>
      <c r="AG1502" s="391"/>
      <c r="AH1502" s="394"/>
      <c r="AI1502" s="397"/>
      <c r="AJ1502" s="408"/>
      <c r="AK1502" s="360"/>
      <c r="AL1502" s="360"/>
      <c r="AM1502" s="360"/>
      <c r="AN1502" s="289">
        <f>IFERROR(Y1502*AJ1499/Y1505,)</f>
        <v>0</v>
      </c>
      <c r="AO1502" s="197" t="str">
        <f>IFERROR(VLOOKUP($G1502,нормы!$A$14:$BC$57,53,0)*$W1502,"")</f>
        <v/>
      </c>
      <c r="AP1502" s="290">
        <f>IFERROR(Y1502*AI1499/Y1505,)</f>
        <v>0</v>
      </c>
      <c r="AQ1502" s="197" t="str">
        <f>IFERROR(VLOOKUP($G1502,нормы!$A$14:$BC$57,54,0)*$W1502,"")</f>
        <v/>
      </c>
      <c r="AR1502" s="290">
        <f>IFERROR(AS1502/SUM(AS1499:AS1504)*AL1499,0)</f>
        <v>0</v>
      </c>
      <c r="AS1502" s="197" t="str">
        <f>IFERROR(VLOOKUP($G1502,нормы!$A$14:$BC$57,55,0)*W1502,"")</f>
        <v/>
      </c>
      <c r="AT1502" s="290">
        <f>IFERROR(AU1502/SUM(AU1499:AU1504)*AM1499,0)</f>
        <v>0</v>
      </c>
      <c r="AU1502" s="197" t="str">
        <f>IFERROR(VLOOKUP($G1502,нормы!$A$14:$BI$57,56,0)*W1502,"")</f>
        <v/>
      </c>
      <c r="AV1502" s="290">
        <f>IFERROR(AW1502/SUM(AW1499:AW1504)*AK1499,0)</f>
        <v>0</v>
      </c>
      <c r="AW1502" s="202" t="str">
        <f>IFERROR(VLOOKUP($G1502,нормы!$A$14:$BI$57,57,0)*W1502,"")</f>
        <v/>
      </c>
      <c r="AX1502" s="30"/>
      <c r="AY1502" s="203" t="str">
        <f>IFERROR(VLOOKUP($G1502,нормы!$A$14:$BI$57,58,0)*W1502,"")</f>
        <v/>
      </c>
      <c r="AZ1502" s="205"/>
      <c r="BA1502" s="200" t="str">
        <f>IFERROR(VLOOKUP($G1502,нормы!$A$14:$BI$57,61,0)*$W1502,"")</f>
        <v/>
      </c>
      <c r="BB1502" s="30"/>
      <c r="BC1502" s="203" t="str">
        <f>IFERROR(VLOOKUP($G1502,нормы!$A$14:$BI$57,60,0)*W1502,"")</f>
        <v/>
      </c>
      <c r="BD1502" s="200" t="str">
        <f>IFERROR(VLOOKUP($G1502,нормы!$A$14:$BG$57,44,0),"")</f>
        <v/>
      </c>
      <c r="BE1502" s="199" t="str">
        <f>IFERROR(W1502/VLOOKUP($G1502,нормы!$A$14:$BI$57,45,0),"")</f>
        <v/>
      </c>
    </row>
    <row r="1503" spans="1:57" s="1" customFormat="1" ht="20.25" customHeight="1" x14ac:dyDescent="0.4">
      <c r="A1503" s="37" t="str">
        <f t="shared" si="590"/>
        <v>25Д</v>
      </c>
      <c r="B1503" s="12">
        <f t="shared" si="591"/>
        <v>25</v>
      </c>
      <c r="C1503" s="97">
        <f t="shared" si="591"/>
        <v>0</v>
      </c>
      <c r="D1503" s="97">
        <f t="shared" si="591"/>
        <v>1</v>
      </c>
      <c r="E1503" s="54"/>
      <c r="F1503" s="151" t="str">
        <f>IFERROR(VLOOKUP($G1503,нормы!$A$14:$BC$57,2,0),"")</f>
        <v/>
      </c>
      <c r="G1503" s="38"/>
      <c r="H1503" s="54">
        <f t="shared" si="592"/>
        <v>0</v>
      </c>
      <c r="I1503" s="89" t="s">
        <v>73</v>
      </c>
      <c r="J1503" s="333"/>
      <c r="K1503" s="30">
        <f>IFERROR(VLOOKUP($G1503,[1]нормы!$A$21:$BC$151,15,0),"")</f>
        <v>0</v>
      </c>
      <c r="L1503" s="31">
        <f>IFERROR(VLOOKUP($G1503,[1]нормы!$A$21:$BC$151,17,0),"")</f>
        <v>0</v>
      </c>
      <c r="M1503" s="306">
        <f>IFERROR(VLOOKUP($G1503,[1]нормы!$A$21:$BC$151,27,0),"")</f>
        <v>0</v>
      </c>
      <c r="N1503" s="307" t="str">
        <f>IFERROR(Y1503/Y1505*(1.1*J1499*I1508),"")</f>
        <v/>
      </c>
      <c r="O1503" s="300">
        <f>IFERROR(VLOOKUP($G1503,[1]нормы!$A$21:$BC$151,21,0),"")</f>
        <v>0</v>
      </c>
      <c r="P1503" s="35">
        <f>IFERROR(VLOOKUP($G1503,[1]нормы!$A$21:$BC$151,19,0),"")</f>
        <v>0</v>
      </c>
      <c r="Q1503" s="35">
        <f>IFERROR(VLOOKUP($G1503,[1]нормы!$A$21:$BC$151,23,0),"")</f>
        <v>0</v>
      </c>
      <c r="R1503" s="231">
        <f>IFERROR(VLOOKUP($G1503,[1]нормы!$A$21:$BC$151,29,0),"")</f>
        <v>0</v>
      </c>
      <c r="S1503" s="35">
        <f>IFERROR(VLOOKUP($G1503,[1]нормы!$A$21:$BC$151,31,0),"")</f>
        <v>0</v>
      </c>
      <c r="T1503" s="32">
        <f>IFERROR(VLOOKUP($G1503,[1]нормы!$A$21:$BC$151,25,0),"")</f>
        <v>0</v>
      </c>
      <c r="U1503" s="233" t="str">
        <f>IFERROR(W1503/(((100*Y1503/Y1505)*I1504)/100),"")</f>
        <v/>
      </c>
      <c r="V1503" s="234" t="str">
        <f>IFERROR(VLOOKUP($G1503,нормы!$A$14:$BC$57,38,0),"")</f>
        <v/>
      </c>
      <c r="W1503" s="136"/>
      <c r="X1503" s="237"/>
      <c r="Y1503" s="152" t="str">
        <f>IFERROR(VLOOKUP($G1503,нормы!$A$14:$BC$57,42,0)*W1503,"")</f>
        <v/>
      </c>
      <c r="Z1503" s="163">
        <f>IFERROR(VLOOKUP($G1503,нормы!$A$14:$BC$57,14,0)*W1503/1000,0)</f>
        <v>0</v>
      </c>
      <c r="AA1503" s="30"/>
      <c r="AB1503" s="35"/>
      <c r="AC1503" s="35"/>
      <c r="AD1503" s="35"/>
      <c r="AE1503" s="31"/>
      <c r="AF1503" s="160"/>
      <c r="AG1503" s="391"/>
      <c r="AH1503" s="394"/>
      <c r="AI1503" s="397"/>
      <c r="AJ1503" s="408"/>
      <c r="AK1503" s="360"/>
      <c r="AL1503" s="360"/>
      <c r="AM1503" s="360"/>
      <c r="AN1503" s="289">
        <f>IFERROR(Y1503*AJ1499/Y1505,)</f>
        <v>0</v>
      </c>
      <c r="AO1503" s="197" t="str">
        <f>IFERROR(VLOOKUP($G1503,нормы!$A$14:$BC$57,53,0)*$W1503,"")</f>
        <v/>
      </c>
      <c r="AP1503" s="290">
        <f>IFERROR(Y1503*AI1499/Y1505,)</f>
        <v>0</v>
      </c>
      <c r="AQ1503" s="197" t="str">
        <f>IFERROR(VLOOKUP($G1503,нормы!$A$14:$BC$57,54,0)*$W1503,"")</f>
        <v/>
      </c>
      <c r="AR1503" s="290">
        <f>IFERROR(AS1503/SUM(AS1499:AS1504)*AL1499,0)</f>
        <v>0</v>
      </c>
      <c r="AS1503" s="197" t="str">
        <f>IFERROR(VLOOKUP($G1503,нормы!$A$14:$BC$57,55,0)*W1503,"")</f>
        <v/>
      </c>
      <c r="AT1503" s="290">
        <f>IFERROR(AU1503/SUM(AU1499:AU1504)*AM1499,0)</f>
        <v>0</v>
      </c>
      <c r="AU1503" s="197" t="str">
        <f>IFERROR(VLOOKUP($G1503,нормы!$A$14:$BI$57,56,0)*W1503,"")</f>
        <v/>
      </c>
      <c r="AV1503" s="290">
        <f>IFERROR(AW1503/SUM(AW1499:AW1504)*AK1499,0)</f>
        <v>0</v>
      </c>
      <c r="AW1503" s="202" t="str">
        <f>IFERROR(VLOOKUP($G1503,нормы!$A$14:$BI$57,57,0)*W1503,"")</f>
        <v/>
      </c>
      <c r="AX1503" s="30"/>
      <c r="AY1503" s="203" t="str">
        <f>IFERROR(VLOOKUP($G1503,нормы!$A$14:$BI$57,58,0)*W1503,"")</f>
        <v/>
      </c>
      <c r="AZ1503" s="205"/>
      <c r="BA1503" s="200" t="str">
        <f>IFERROR(VLOOKUP($G1503,нормы!$A$14:$BI$57,61,0)*$W1503,"")</f>
        <v/>
      </c>
      <c r="BB1503" s="30"/>
      <c r="BC1503" s="203" t="str">
        <f>IFERROR(VLOOKUP($G1503,нормы!$A$14:$BI$57,60,0)*W1503,"")</f>
        <v/>
      </c>
      <c r="BD1503" s="200" t="str">
        <f>IFERROR(VLOOKUP($G1503,нормы!$A$14:$BG$57,44,0),"")</f>
        <v/>
      </c>
      <c r="BE1503" s="199" t="str">
        <f>IFERROR(W1503/VLOOKUP($G1503,нормы!$A$14:$BI$57,45,0),"")</f>
        <v/>
      </c>
    </row>
    <row r="1504" spans="1:57" s="1" customFormat="1" ht="21" customHeight="1" thickBot="1" x14ac:dyDescent="0.45">
      <c r="A1504" s="37" t="str">
        <f t="shared" si="590"/>
        <v>25Д</v>
      </c>
      <c r="B1504" s="12">
        <f t="shared" si="591"/>
        <v>25</v>
      </c>
      <c r="C1504" s="97">
        <f t="shared" si="591"/>
        <v>0</v>
      </c>
      <c r="D1504" s="97">
        <f t="shared" si="591"/>
        <v>1</v>
      </c>
      <c r="E1504" s="54"/>
      <c r="F1504" s="151" t="str">
        <f>IFERROR(VLOOKUP($G1504,нормы!$A$14:$BC$57,2,0),"")</f>
        <v/>
      </c>
      <c r="G1504" s="93"/>
      <c r="H1504" s="63">
        <f t="shared" si="592"/>
        <v>0</v>
      </c>
      <c r="I1504" s="153">
        <f>I1500+I1502</f>
        <v>0</v>
      </c>
      <c r="J1504" s="334"/>
      <c r="K1504" s="30">
        <f>IFERROR(VLOOKUP($G1504,[1]нормы!$A$21:$BC$151,15,0),"")</f>
        <v>0</v>
      </c>
      <c r="L1504" s="31">
        <f>IFERROR(VLOOKUP($G1504,[1]нормы!$A$21:$BC$151,17,0),"")</f>
        <v>0</v>
      </c>
      <c r="M1504" s="308">
        <f>IFERROR(VLOOKUP($G1504,[1]нормы!$A$21:$BC$151,27,0),"")</f>
        <v>0</v>
      </c>
      <c r="N1504" s="309" t="str">
        <f>IFERROR(Y1504/Y1505*(1.1*J1499*I1509),"")</f>
        <v/>
      </c>
      <c r="O1504" s="300">
        <f>IFERROR(VLOOKUP($G1504,[1]нормы!$A$21:$BC$151,21,0),"")</f>
        <v>0</v>
      </c>
      <c r="P1504" s="35">
        <f>IFERROR(VLOOKUP($G1504,[1]нормы!$A$21:$BC$151,19,0),"")</f>
        <v>0</v>
      </c>
      <c r="Q1504" s="35">
        <f>IFERROR(VLOOKUP($G1504,[1]нормы!$A$21:$BC$151,23,0),"")</f>
        <v>0</v>
      </c>
      <c r="R1504" s="231">
        <f>IFERROR(VLOOKUP($G1504,[1]нормы!$A$21:$BC$151,29,0),"")</f>
        <v>0</v>
      </c>
      <c r="S1504" s="35">
        <f>IFERROR(VLOOKUP($G1504,[1]нормы!$A$21:$BC$151,31,0),"")</f>
        <v>0</v>
      </c>
      <c r="T1504" s="32">
        <f>IFERROR(VLOOKUP($G1504,[1]нормы!$A$21:$BC$151,25,0),"")</f>
        <v>0</v>
      </c>
      <c r="U1504" s="235" t="str">
        <f>IFERROR(W1504/(((100*Y1504/Y1505)*I1504)/100),"")</f>
        <v/>
      </c>
      <c r="V1504" s="234" t="str">
        <f>IFERROR(VLOOKUP($G1504,нормы!$A$14:$BC$57,38,0),"")</f>
        <v/>
      </c>
      <c r="W1504" s="154"/>
      <c r="X1504" s="238"/>
      <c r="Y1504" s="152" t="str">
        <f>IFERROR(VLOOKUP($G1504,нормы!$A$14:$BC$57,42,0)*W1504,"")</f>
        <v/>
      </c>
      <c r="Z1504" s="163">
        <f>IFERROR(VLOOKUP($G1504,нормы!$A$14:$BC$57,14,0)*W1504/1000,0)</f>
        <v>0</v>
      </c>
      <c r="AA1504" s="56"/>
      <c r="AB1504" s="58"/>
      <c r="AC1504" s="58"/>
      <c r="AD1504" s="58"/>
      <c r="AE1504" s="57"/>
      <c r="AF1504" s="161"/>
      <c r="AG1504" s="392"/>
      <c r="AH1504" s="395"/>
      <c r="AI1504" s="398"/>
      <c r="AJ1504" s="409"/>
      <c r="AK1504" s="361"/>
      <c r="AL1504" s="361"/>
      <c r="AM1504" s="361"/>
      <c r="AN1504" s="291">
        <f>IFERROR(Y1504*AJ1499/Y1505,)</f>
        <v>0</v>
      </c>
      <c r="AO1504" s="197" t="str">
        <f>IFERROR(VLOOKUP($G1504,нормы!$A$14:$BC$57,53,0)*$W1504,"")</f>
        <v/>
      </c>
      <c r="AP1504" s="292">
        <f>IFERROR(Y1504*AI1499/Y1505,)</f>
        <v>0</v>
      </c>
      <c r="AQ1504" s="197" t="str">
        <f>IFERROR(VLOOKUP($G1504,нормы!$A$14:$BC$57,54,0)*$W1504,"")</f>
        <v/>
      </c>
      <c r="AR1504" s="290">
        <f>IFERROR(AS1504/SUM(AS1499:AS1504)*AL1499,0)</f>
        <v>0</v>
      </c>
      <c r="AS1504" s="197" t="str">
        <f>IFERROR(VLOOKUP($G1504,нормы!$A$14:$BC$57,55,0)*W1504,"")</f>
        <v/>
      </c>
      <c r="AT1504" s="292">
        <f>IFERROR(AU1504/SUM(AU1499:AU1504)*AM1499,0)</f>
        <v>0</v>
      </c>
      <c r="AU1504" s="197" t="str">
        <f>IFERROR(VLOOKUP($G1504,нормы!$A$14:$BI$57,56,0)*W1504,"")</f>
        <v/>
      </c>
      <c r="AV1504" s="292">
        <f>IFERROR(AW1504/SUM(AW1499:AW1504)*AK1499,0)</f>
        <v>0</v>
      </c>
      <c r="AW1504" s="202" t="str">
        <f>IFERROR(VLOOKUP($G1504,нормы!$A$14:$BI$57,57,0)*W1504,"")</f>
        <v/>
      </c>
      <c r="AX1504" s="56"/>
      <c r="AY1504" s="203" t="str">
        <f>IFERROR(VLOOKUP($G1504,нормы!$A$14:$BI$57,58,0)*W1504,"")</f>
        <v/>
      </c>
      <c r="AZ1504" s="206"/>
      <c r="BA1504" s="200" t="str">
        <f>IFERROR(VLOOKUP($G1504,нормы!$A$14:$BI$57,61,0)*$W1504,"")</f>
        <v/>
      </c>
      <c r="BB1504" s="56"/>
      <c r="BC1504" s="203" t="str">
        <f>IFERROR(VLOOKUP($G1504,нормы!$A$14:$BI$57,60,0)*W1504,"")</f>
        <v/>
      </c>
      <c r="BD1504" s="200" t="str">
        <f>IFERROR(VLOOKUP($G1504,нормы!$A$14:$BG$57,44,0),"")</f>
        <v/>
      </c>
      <c r="BE1504" s="199" t="str">
        <f>IFERROR(W1504/VLOOKUP($G1504,нормы!$A$14:$BI$57,45,0),"")</f>
        <v/>
      </c>
    </row>
    <row r="1505" spans="1:57" s="1" customFormat="1" ht="29.4" customHeight="1" thickBot="1" x14ac:dyDescent="0.45">
      <c r="A1505" s="37" t="str">
        <f t="shared" si="590"/>
        <v>25Д</v>
      </c>
      <c r="B1505" s="59"/>
      <c r="C1505" s="51"/>
      <c r="D1505" s="51"/>
      <c r="E1505" s="51"/>
      <c r="F1505" s="295" t="s">
        <v>148</v>
      </c>
      <c r="G1505" s="51"/>
      <c r="H1505" s="51"/>
      <c r="I1505" s="60"/>
      <c r="J1505" s="60"/>
      <c r="K1505" s="319" t="s">
        <v>213</v>
      </c>
      <c r="L1505" s="316"/>
      <c r="M1505" s="303" t="s">
        <v>213</v>
      </c>
      <c r="N1505" s="317">
        <f>SUM(N1499:N1504)</f>
        <v>0</v>
      </c>
      <c r="O1505" s="304" t="s">
        <v>216</v>
      </c>
      <c r="P1505" s="318">
        <f>N1505*8.937/1000</f>
        <v>0</v>
      </c>
      <c r="Q1505" s="305" t="s">
        <v>215</v>
      </c>
      <c r="R1505" s="61"/>
      <c r="S1505" s="61"/>
      <c r="T1505" s="61"/>
      <c r="U1505" s="109"/>
      <c r="V1505" s="109"/>
      <c r="W1505" s="94"/>
      <c r="X1505" s="155"/>
      <c r="Y1505" s="96">
        <f>SUM(Y1499:Y1504)</f>
        <v>0</v>
      </c>
      <c r="Z1505" s="164">
        <f>SUM(Z1499:Z1504)</f>
        <v>0</v>
      </c>
      <c r="AA1505" s="62"/>
      <c r="AB1505" s="62"/>
      <c r="AC1505" s="62"/>
      <c r="AD1505" s="62"/>
      <c r="AE1505" s="62"/>
      <c r="AF1505" s="62"/>
      <c r="AG1505" s="162" t="s">
        <v>140</v>
      </c>
      <c r="AH1505" s="162" t="s">
        <v>141</v>
      </c>
      <c r="AI1505" s="162" t="s">
        <v>142</v>
      </c>
      <c r="AJ1505" s="91" t="s">
        <v>126</v>
      </c>
      <c r="AK1505" s="198" t="s">
        <v>136</v>
      </c>
      <c r="AL1505" s="198" t="s">
        <v>137</v>
      </c>
      <c r="AM1505" s="198" t="s">
        <v>138</v>
      </c>
      <c r="AN1505" s="91"/>
      <c r="AO1505" s="91"/>
      <c r="AP1505" s="91"/>
      <c r="AQ1505" s="91"/>
      <c r="AR1505" s="91"/>
      <c r="AS1505" s="91"/>
      <c r="AT1505" s="91"/>
      <c r="AU1505" s="91"/>
      <c r="AV1505" s="91"/>
      <c r="AW1505" s="91"/>
      <c r="AX1505" s="91"/>
      <c r="AY1505" s="91"/>
      <c r="AZ1505" s="91"/>
      <c r="BA1505" s="91"/>
      <c r="BB1505" s="91"/>
      <c r="BC1505" s="91"/>
      <c r="BD1505" s="91"/>
      <c r="BE1505" s="53" t="str">
        <f>IFERROR(W1505/VLOOKUP($G1505,нормы!$A$14:$BI$15,28,0),"")</f>
        <v/>
      </c>
    </row>
    <row r="1506" spans="1:57" s="1" customFormat="1" ht="21.6" customHeight="1" x14ac:dyDescent="0.4">
      <c r="A1506" s="37" t="str">
        <f t="shared" si="590"/>
        <v>25Д</v>
      </c>
      <c r="B1506" s="12">
        <f>B1504</f>
        <v>25</v>
      </c>
      <c r="C1506" s="97"/>
      <c r="D1506" s="97">
        <v>2</v>
      </c>
      <c r="E1506" s="29"/>
      <c r="F1506" s="151" t="str">
        <f>IFERROR(VLOOKUP($G1506,нормы!$A$14:$BC$57,2,0),"")</f>
        <v/>
      </c>
      <c r="G1506" s="93"/>
      <c r="H1506" s="54">
        <f>IF(C1506=1,"Кульков С.А.", IF(C1506=2,"Чудаков А.А.",IF(C1506=3,"Королев В.Н.",IF(C1506=4,"Николашин М.П.",IF(C1506=5," Кульков С.А.",IF(C1506=6,"А.А. Чудаков",IF(C1506=7,"В.Н. Королев",IF(C1506=8,"М.П. Николашин",0))))))))</f>
        <v>0</v>
      </c>
      <c r="I1506" s="88" t="s">
        <v>211</v>
      </c>
      <c r="J1506" s="332"/>
      <c r="K1506" s="30">
        <f>IFERROR(VLOOKUP($G1506,[1]нормы!$A$21:$BC$151,15,0),"")</f>
        <v>0</v>
      </c>
      <c r="L1506" s="31">
        <f>IFERROR(VLOOKUP($G1506,[1]нормы!$A$21:$BC$151,17,0),"")</f>
        <v>0</v>
      </c>
      <c r="M1506" s="310">
        <f>IFERROR(VLOOKUP($G1506,[1]нормы!$A$21:$BC$151,27,0),"")</f>
        <v>0</v>
      </c>
      <c r="N1506" s="311" t="str">
        <f>IFERROR(Y1506/Y1512*(1.1*J1506*I1511),"")</f>
        <v/>
      </c>
      <c r="O1506" s="300">
        <f>IFERROR(VLOOKUP($G1506,[1]нормы!$A$21:$BC$151,21,0),"")</f>
        <v>0</v>
      </c>
      <c r="P1506" s="35">
        <f>IFERROR(VLOOKUP($G1506,[1]нормы!$A$21:$BC$151,19,0),"")</f>
        <v>0</v>
      </c>
      <c r="Q1506" s="35">
        <f>IFERROR(VLOOKUP($G1506,[1]нормы!$A$21:$BC$151,23,0),"")</f>
        <v>0</v>
      </c>
      <c r="R1506" s="231">
        <f>IFERROR(VLOOKUP($G1506,[1]нормы!$A$21:$BC$151,29,0),"")</f>
        <v>0</v>
      </c>
      <c r="S1506" s="35">
        <f>IFERROR(VLOOKUP($G1506,[1]нормы!$A$21:$BC$151,31,0),"")</f>
        <v>0</v>
      </c>
      <c r="T1506" s="32">
        <f>IFERROR(VLOOKUP($G1506,[1]нормы!$A$21:$BC$151,25,0),"")</f>
        <v>0</v>
      </c>
      <c r="U1506" s="232" t="str">
        <f>IFERROR(W1506/(((100*Y1506/Y1512)*I1511)/100),"")</f>
        <v/>
      </c>
      <c r="V1506" s="234" t="str">
        <f>IFERROR(VLOOKUP($G1506,нормы!$A$14:$BC$57,38,0),"")</f>
        <v/>
      </c>
      <c r="W1506" s="136"/>
      <c r="X1506" s="236"/>
      <c r="Y1506" s="152" t="str">
        <f>IFERROR(VLOOKUP($G1506,нормы!$A$14:$BC$57,42,0)*W1506,"")</f>
        <v/>
      </c>
      <c r="Z1506" s="163">
        <f>IFERROR(VLOOKUP($G1506,нормы!$A$14:$BC$57,14,0)*W1506/1000,0)</f>
        <v>0</v>
      </c>
      <c r="AA1506" s="33"/>
      <c r="AB1506" s="36"/>
      <c r="AC1506" s="36"/>
      <c r="AD1506" s="36"/>
      <c r="AE1506" s="34"/>
      <c r="AF1506" s="159"/>
      <c r="AG1506" s="390"/>
      <c r="AH1506" s="393"/>
      <c r="AI1506" s="396"/>
      <c r="AJ1506" s="407">
        <f>AG1506+AH1506</f>
        <v>0</v>
      </c>
      <c r="AK1506" s="359"/>
      <c r="AL1506" s="359"/>
      <c r="AM1506" s="359"/>
      <c r="AN1506" s="287">
        <f>IFERROR(Y1506*AJ1506/Y1512,)</f>
        <v>0</v>
      </c>
      <c r="AO1506" s="197" t="str">
        <f>IFERROR(VLOOKUP($G1506,нормы!$A$14:$BC$57,53,0)*$W1506,"")</f>
        <v/>
      </c>
      <c r="AP1506" s="288">
        <f>IFERROR(Y1506*AI1506/Y1512,)</f>
        <v>0</v>
      </c>
      <c r="AQ1506" s="197" t="str">
        <f>IFERROR(VLOOKUP($G1506,нормы!$A$14:$BC$57,54,0)*$W1506,"")</f>
        <v/>
      </c>
      <c r="AR1506" s="288">
        <f>IFERROR(AS1506/SUM(AS1506:AS1511)*AL1506,0)</f>
        <v>0</v>
      </c>
      <c r="AS1506" s="197" t="str">
        <f>IFERROR(VLOOKUP($G1506,нормы!$A$14:$BC$57,55,0)*W1506,"")</f>
        <v/>
      </c>
      <c r="AT1506" s="288">
        <f>IFERROR(AU1506/SUM(AU1506:AU1511)*AM1506,0)</f>
        <v>0</v>
      </c>
      <c r="AU1506" s="197" t="str">
        <f>IFERROR(VLOOKUP($G1506,нормы!$A$14:$BI$57,56,0)*W1506,"")</f>
        <v/>
      </c>
      <c r="AV1506" s="288">
        <f>IFERROR(AW1506/SUM(AW1506:AW1511)*AK1506,0)</f>
        <v>0</v>
      </c>
      <c r="AW1506" s="202" t="str">
        <f>IFERROR(VLOOKUP($G1506,нормы!$A$14:$BI$57,57,0)*W1506,"")</f>
        <v/>
      </c>
      <c r="AX1506" s="33"/>
      <c r="AY1506" s="203" t="str">
        <f>IFERROR(VLOOKUP($G1506,нормы!$A$14:$BI$57,58,0)*W1506,"")</f>
        <v/>
      </c>
      <c r="AZ1506" s="204"/>
      <c r="BA1506" s="200" t="str">
        <f>IFERROR(VLOOKUP($G1506,нормы!$A$14:$BI$57,61,0)*$W1506,"")</f>
        <v/>
      </c>
      <c r="BB1506" s="33"/>
      <c r="BC1506" s="203" t="str">
        <f>IFERROR(VLOOKUP($G1506,нормы!$A$14:$BI$57,60,0)*W1506,"")</f>
        <v/>
      </c>
      <c r="BD1506" s="200" t="str">
        <f>IFERROR(VLOOKUP($G1506,нормы!$A$14:$BG$57,44,0),"")</f>
        <v/>
      </c>
      <c r="BE1506" s="199" t="str">
        <f>IFERROR(W1506/VLOOKUP($G1506,нормы!$A$14:$BI$57,45,0),"")</f>
        <v/>
      </c>
    </row>
    <row r="1507" spans="1:57" s="1" customFormat="1" ht="21.6" customHeight="1" x14ac:dyDescent="0.4">
      <c r="A1507" s="37" t="str">
        <f t="shared" si="590"/>
        <v>25Д</v>
      </c>
      <c r="B1507" s="12">
        <f t="shared" ref="B1507:D1511" si="593">B1506</f>
        <v>25</v>
      </c>
      <c r="C1507" s="97">
        <f t="shared" si="593"/>
        <v>0</v>
      </c>
      <c r="D1507" s="97">
        <f t="shared" si="593"/>
        <v>2</v>
      </c>
      <c r="E1507" s="54"/>
      <c r="F1507" s="151" t="str">
        <f>IFERROR(VLOOKUP($G1507,нормы!$A$14:$BC$57,2,0),"")</f>
        <v/>
      </c>
      <c r="G1507" s="93"/>
      <c r="H1507" s="54">
        <f t="shared" ref="H1507:H1511" si="594">IF(C1507=1,"Кульков С.А.", IF(C1507=2,"Чудаков А.А.",IF(C1507=3,"Королев В.Н.",IF(C1507=4,"Николашин М.П.",IF(C1507=5," Кульков С.А.",IF(C1507=6,"А.А. Чудаков",IF(C1507=7,"В.Н. Королев",IF(C1507=8,"М.П. Николашин",0))))))))</f>
        <v>0</v>
      </c>
      <c r="I1507" s="55"/>
      <c r="J1507" s="333"/>
      <c r="K1507" s="30">
        <f>IFERROR(VLOOKUP($G1507,[1]нормы!$A$21:$BC$151,15,0),"")</f>
        <v>0</v>
      </c>
      <c r="L1507" s="31">
        <f>IFERROR(VLOOKUP($G1507,[1]нормы!$A$21:$BC$151,17,0),"")</f>
        <v>0</v>
      </c>
      <c r="M1507" s="306">
        <f>IFERROR(VLOOKUP($G1507,[1]нормы!$A$21:$BC$151,27,0),"")</f>
        <v>0</v>
      </c>
      <c r="N1507" s="307" t="str">
        <f>IFERROR(Y1507/Y1512*(1.1*J1506*I1511),"")</f>
        <v/>
      </c>
      <c r="O1507" s="300">
        <f>IFERROR(VLOOKUP($G1507,[1]нормы!$A$21:$BC$151,21,0),"")</f>
        <v>0</v>
      </c>
      <c r="P1507" s="35">
        <f>IFERROR(VLOOKUP($G1507,[1]нормы!$A$21:$BC$151,19,0),"")</f>
        <v>0</v>
      </c>
      <c r="Q1507" s="35">
        <f>IFERROR(VLOOKUP($G1507,[1]нормы!$A$21:$BC$151,23,0),"")</f>
        <v>0</v>
      </c>
      <c r="R1507" s="231">
        <f>IFERROR(VLOOKUP($G1507,[1]нормы!$A$21:$BC$151,29,0),"")</f>
        <v>0</v>
      </c>
      <c r="S1507" s="35">
        <f>IFERROR(VLOOKUP($G1507,[1]нормы!$A$21:$BC$151,31,0),"")</f>
        <v>0</v>
      </c>
      <c r="T1507" s="32">
        <f>IFERROR(VLOOKUP($G1507,[1]нормы!$A$21:$BC$151,25,0),"")</f>
        <v>0</v>
      </c>
      <c r="U1507" s="233" t="str">
        <f>IFERROR(W1507/(((100*Y1507/Y1512)*I1511)/100),"")</f>
        <v/>
      </c>
      <c r="V1507" s="234" t="str">
        <f>IFERROR(VLOOKUP($G1507,нормы!$A$14:$BC$57,38,0),"")</f>
        <v/>
      </c>
      <c r="W1507" s="136"/>
      <c r="X1507" s="237"/>
      <c r="Y1507" s="152" t="str">
        <f>IFERROR(VLOOKUP($G1507,нормы!$A$14:$BC$57,42,0)*W1507,"")</f>
        <v/>
      </c>
      <c r="Z1507" s="163">
        <f>IFERROR(VLOOKUP($G1507,нормы!$A$14:$BC$57,14,0)*W1507/1000,0)</f>
        <v>0</v>
      </c>
      <c r="AA1507" s="142"/>
      <c r="AB1507" s="35"/>
      <c r="AC1507" s="35"/>
      <c r="AD1507" s="35"/>
      <c r="AE1507" s="31"/>
      <c r="AF1507" s="160"/>
      <c r="AG1507" s="391"/>
      <c r="AH1507" s="394"/>
      <c r="AI1507" s="397"/>
      <c r="AJ1507" s="408"/>
      <c r="AK1507" s="360"/>
      <c r="AL1507" s="360"/>
      <c r="AM1507" s="360"/>
      <c r="AN1507" s="289">
        <f>IFERROR(Y1507*AJ1506/Y1512,)</f>
        <v>0</v>
      </c>
      <c r="AO1507" s="197" t="str">
        <f>IFERROR(VLOOKUP($G1507,нормы!$A$14:$BC$57,53,0)*$W1507,"")</f>
        <v/>
      </c>
      <c r="AP1507" s="290">
        <f>IFERROR(Y1507*AI1506/Y1512,)</f>
        <v>0</v>
      </c>
      <c r="AQ1507" s="197" t="str">
        <f>IFERROR(VLOOKUP($G1507,нормы!$A$14:$BC$57,54,0)*$W1507,"")</f>
        <v/>
      </c>
      <c r="AR1507" s="290">
        <f>IFERROR(AS1507/SUM(AS1506:AS1511)*AL1506,0)</f>
        <v>0</v>
      </c>
      <c r="AS1507" s="197" t="str">
        <f>IFERROR(VLOOKUP($G1507,нормы!$A$14:$BC$57,55,0)*W1507,"")</f>
        <v/>
      </c>
      <c r="AT1507" s="290">
        <f>IFERROR(AU1507/SUM(AU1506:AU1511)*AM1506,0)</f>
        <v>0</v>
      </c>
      <c r="AU1507" s="197" t="str">
        <f>IFERROR(VLOOKUP($G1507,нормы!$A$14:$BI$57,56,0)*W1507,"")</f>
        <v/>
      </c>
      <c r="AV1507" s="290">
        <f>IFERROR(AW1507/SUM(AW1506:AW1511)*AK1506,0)</f>
        <v>0</v>
      </c>
      <c r="AW1507" s="202" t="str">
        <f>IFERROR(VLOOKUP($G1507,нормы!$A$14:$BI$57,57,0)*W1507,"")</f>
        <v/>
      </c>
      <c r="AX1507" s="30"/>
      <c r="AY1507" s="203" t="str">
        <f>IFERROR(VLOOKUP($G1507,нормы!$A$14:$BI$57,58,0)*W1507,"")</f>
        <v/>
      </c>
      <c r="AZ1507" s="205"/>
      <c r="BA1507" s="200" t="str">
        <f>IFERROR(VLOOKUP($G1507,нормы!$A$14:$BI$57,61,0)*$W1507,"")</f>
        <v/>
      </c>
      <c r="BB1507" s="30"/>
      <c r="BC1507" s="203" t="str">
        <f>IFERROR(VLOOKUP($G1507,нормы!$A$14:$BI$57,60,0)*W1507,"")</f>
        <v/>
      </c>
      <c r="BD1507" s="200" t="str">
        <f>IFERROR(VLOOKUP($G1507,нормы!$A$14:$BG$57,44,0),"")</f>
        <v/>
      </c>
      <c r="BE1507" s="199" t="str">
        <f>IFERROR(W1507/VLOOKUP($G1507,нормы!$A$14:$BI$57,45,0),"")</f>
        <v/>
      </c>
    </row>
    <row r="1508" spans="1:57" s="1" customFormat="1" ht="20.25" customHeight="1" x14ac:dyDescent="0.4">
      <c r="A1508" s="37" t="str">
        <f t="shared" si="590"/>
        <v>25Д</v>
      </c>
      <c r="B1508" s="12">
        <f t="shared" si="593"/>
        <v>25</v>
      </c>
      <c r="C1508" s="97">
        <f t="shared" si="593"/>
        <v>0</v>
      </c>
      <c r="D1508" s="97">
        <f t="shared" si="593"/>
        <v>2</v>
      </c>
      <c r="E1508" s="54"/>
      <c r="F1508" s="151" t="str">
        <f>IFERROR(VLOOKUP($G1508,нормы!$A$14:$BC$57,2,0),"")</f>
        <v/>
      </c>
      <c r="G1508" s="38"/>
      <c r="H1508" s="54">
        <f t="shared" si="594"/>
        <v>0</v>
      </c>
      <c r="I1508" s="89" t="s">
        <v>212</v>
      </c>
      <c r="J1508" s="333"/>
      <c r="K1508" s="30">
        <f>IFERROR(VLOOKUP($G1508,[1]нормы!$A$21:$BC$151,15,0),"")</f>
        <v>0</v>
      </c>
      <c r="L1508" s="31">
        <f>IFERROR(VLOOKUP($G1508,[1]нормы!$A$21:$BC$151,17,0),"")</f>
        <v>0</v>
      </c>
      <c r="M1508" s="306">
        <f>IFERROR(VLOOKUP($G1508,[1]нормы!$A$21:$BC$151,27,0),"")</f>
        <v>0</v>
      </c>
      <c r="N1508" s="307" t="str">
        <f>IFERROR(Y1508/Y1512*(1.1*J1506*I1511),"")</f>
        <v/>
      </c>
      <c r="O1508" s="300">
        <f>IFERROR(VLOOKUP($G1508,[1]нормы!$A$21:$BC$151,21,0),"")</f>
        <v>0</v>
      </c>
      <c r="P1508" s="35">
        <f>IFERROR(VLOOKUP($G1508,[1]нормы!$A$21:$BC$151,19,0),"")</f>
        <v>0</v>
      </c>
      <c r="Q1508" s="35">
        <f>IFERROR(VLOOKUP($G1508,[1]нормы!$A$21:$BC$151,23,0),"")</f>
        <v>0</v>
      </c>
      <c r="R1508" s="231">
        <f>IFERROR(VLOOKUP($G1508,[1]нормы!$A$21:$BC$151,29,0),"")</f>
        <v>0</v>
      </c>
      <c r="S1508" s="35">
        <f>IFERROR(VLOOKUP($G1508,[1]нормы!$A$21:$BC$151,31,0),"")</f>
        <v>0</v>
      </c>
      <c r="T1508" s="32">
        <f>IFERROR(VLOOKUP($G1508,[1]нормы!$A$21:$BC$151,25,0),"")</f>
        <v>0</v>
      </c>
      <c r="U1508" s="233" t="str">
        <f>IFERROR(W1508/(((100*Y1508/Y1512)*I1511)/100),"")</f>
        <v/>
      </c>
      <c r="V1508" s="234" t="str">
        <f>IFERROR(VLOOKUP($G1508,нормы!$A$14:$BC$57,38,0),"")</f>
        <v/>
      </c>
      <c r="W1508" s="136"/>
      <c r="X1508" s="237"/>
      <c r="Y1508" s="152" t="str">
        <f>IFERROR(VLOOKUP($G1508,нормы!$A$14:$BC$57,42,0)*W1508,"")</f>
        <v/>
      </c>
      <c r="Z1508" s="163">
        <f>IFERROR(VLOOKUP($G1508,нормы!$A$14:$BC$57,14,0)*W1508/1000,0)</f>
        <v>0</v>
      </c>
      <c r="AA1508" s="30"/>
      <c r="AB1508" s="35"/>
      <c r="AC1508" s="35"/>
      <c r="AD1508" s="35"/>
      <c r="AE1508" s="31"/>
      <c r="AF1508" s="160"/>
      <c r="AG1508" s="391"/>
      <c r="AH1508" s="394"/>
      <c r="AI1508" s="397"/>
      <c r="AJ1508" s="408"/>
      <c r="AK1508" s="360"/>
      <c r="AL1508" s="360"/>
      <c r="AM1508" s="360"/>
      <c r="AN1508" s="289">
        <f>IFERROR(Y1508*AJ1506/Y1512,)</f>
        <v>0</v>
      </c>
      <c r="AO1508" s="197" t="str">
        <f>IFERROR(VLOOKUP($G1508,нормы!$A$14:$BC$57,53,0)*$W1508,"")</f>
        <v/>
      </c>
      <c r="AP1508" s="290">
        <f>IFERROR(Y1508*AI1506/Y1512,)</f>
        <v>0</v>
      </c>
      <c r="AQ1508" s="197" t="str">
        <f>IFERROR(VLOOKUP($G1508,нормы!$A$14:$BC$57,54,0)*$W1508,"")</f>
        <v/>
      </c>
      <c r="AR1508" s="290">
        <f>IFERROR(AS1508/SUM(AS1506:AS1511)*AL1506,0)</f>
        <v>0</v>
      </c>
      <c r="AS1508" s="197" t="str">
        <f>IFERROR(VLOOKUP($G1508,нормы!$A$14:$BC$57,55,0)*W1508,"")</f>
        <v/>
      </c>
      <c r="AT1508" s="290">
        <f>IFERROR(AU1508/SUM(AU1506:AU1511)*AM1506,0)</f>
        <v>0</v>
      </c>
      <c r="AU1508" s="197" t="str">
        <f>IFERROR(VLOOKUP($G1508,нормы!$A$14:$BI$57,56,0)*W1508,"")</f>
        <v/>
      </c>
      <c r="AV1508" s="290">
        <f>IFERROR(AW1508/SUM(AW1506:AW1511)*AK1506,0)</f>
        <v>0</v>
      </c>
      <c r="AW1508" s="202" t="str">
        <f>IFERROR(VLOOKUP($G1508,нормы!$A$14:$BI$57,57,0)*W1508,"")</f>
        <v/>
      </c>
      <c r="AX1508" s="30"/>
      <c r="AY1508" s="203" t="str">
        <f>IFERROR(VLOOKUP($G1508,нормы!$A$14:$BI$57,58,0)*W1508,"")</f>
        <v/>
      </c>
      <c r="AZ1508" s="205"/>
      <c r="BA1508" s="200" t="str">
        <f>IFERROR(VLOOKUP($G1508,нормы!$A$14:$BI$57,61,0)*$W1508,"")</f>
        <v/>
      </c>
      <c r="BB1508" s="30"/>
      <c r="BC1508" s="203" t="str">
        <f>IFERROR(VLOOKUP($G1508,нормы!$A$14:$BI$57,60,0)*W1508,"")</f>
        <v/>
      </c>
      <c r="BD1508" s="200" t="str">
        <f>IFERROR(VLOOKUP($G1508,нормы!$A$14:$BG$57,44,0),"")</f>
        <v/>
      </c>
      <c r="BE1508" s="199" t="str">
        <f>IFERROR(W1508/VLOOKUP($G1508,нормы!$A$14:$BI$57,45,0),"")</f>
        <v/>
      </c>
    </row>
    <row r="1509" spans="1:57" s="1" customFormat="1" ht="20.25" customHeight="1" x14ac:dyDescent="0.4">
      <c r="A1509" s="37" t="str">
        <f t="shared" si="590"/>
        <v>25Д</v>
      </c>
      <c r="B1509" s="12">
        <f t="shared" si="593"/>
        <v>25</v>
      </c>
      <c r="C1509" s="97">
        <f t="shared" si="593"/>
        <v>0</v>
      </c>
      <c r="D1509" s="97">
        <f t="shared" si="593"/>
        <v>2</v>
      </c>
      <c r="E1509" s="54"/>
      <c r="F1509" s="151" t="str">
        <f>IFERROR(VLOOKUP($G1509,нормы!$A$14:$BC$57,2,0),"")</f>
        <v/>
      </c>
      <c r="G1509" s="93"/>
      <c r="H1509" s="54">
        <f t="shared" si="594"/>
        <v>0</v>
      </c>
      <c r="I1509" s="55"/>
      <c r="J1509" s="333"/>
      <c r="K1509" s="30">
        <f>IFERROR(VLOOKUP($G1509,[1]нормы!$A$21:$BC$151,15,0),"")</f>
        <v>0</v>
      </c>
      <c r="L1509" s="31">
        <f>IFERROR(VLOOKUP($G1509,[1]нормы!$A$21:$BC$151,17,0),"")</f>
        <v>0</v>
      </c>
      <c r="M1509" s="306">
        <f>IFERROR(VLOOKUP($G1509,[1]нормы!$A$21:$BC$151,27,0),"")</f>
        <v>0</v>
      </c>
      <c r="N1509" s="307" t="str">
        <f>IFERROR(Y1509/Y1512*(1.1*J1506*I1514),"")</f>
        <v/>
      </c>
      <c r="O1509" s="300">
        <f>IFERROR(VLOOKUP($G1509,[1]нормы!$A$21:$BC$151,21,0),"")</f>
        <v>0</v>
      </c>
      <c r="P1509" s="35">
        <f>IFERROR(VLOOKUP($G1509,[1]нормы!$A$21:$BC$151,19,0),"")</f>
        <v>0</v>
      </c>
      <c r="Q1509" s="35">
        <f>IFERROR(VLOOKUP($G1509,[1]нормы!$A$21:$BC$151,23,0),"")</f>
        <v>0</v>
      </c>
      <c r="R1509" s="231">
        <f>IFERROR(VLOOKUP($G1509,[1]нормы!$A$21:$BC$151,29,0),"")</f>
        <v>0</v>
      </c>
      <c r="S1509" s="35">
        <f>IFERROR(VLOOKUP($G1509,[1]нормы!$A$21:$BC$151,31,0),"")</f>
        <v>0</v>
      </c>
      <c r="T1509" s="32">
        <f>IFERROR(VLOOKUP($G1509,[1]нормы!$A$21:$BC$151,25,0),"")</f>
        <v>0</v>
      </c>
      <c r="U1509" s="233" t="str">
        <f>IFERROR(W1509/(((100*Y1509/Y1512)*I1511)/100),"")</f>
        <v/>
      </c>
      <c r="V1509" s="234" t="str">
        <f>IFERROR(VLOOKUP($G1509,нормы!$A$14:$BC$57,38,0),"")</f>
        <v/>
      </c>
      <c r="W1509" s="136"/>
      <c r="X1509" s="237"/>
      <c r="Y1509" s="152" t="str">
        <f>IFERROR(VLOOKUP($G1509,нормы!$A$14:$BC$57,42,0)*W1509,"")</f>
        <v/>
      </c>
      <c r="Z1509" s="163">
        <f>IFERROR(VLOOKUP($G1509,нормы!$A$14:$BC$57,14,0)*W1509/1000,0)</f>
        <v>0</v>
      </c>
      <c r="AA1509" s="30"/>
      <c r="AB1509" s="35"/>
      <c r="AC1509" s="35"/>
      <c r="AD1509" s="35"/>
      <c r="AE1509" s="31"/>
      <c r="AF1509" s="160"/>
      <c r="AG1509" s="391"/>
      <c r="AH1509" s="394"/>
      <c r="AI1509" s="397"/>
      <c r="AJ1509" s="408"/>
      <c r="AK1509" s="360"/>
      <c r="AL1509" s="360"/>
      <c r="AM1509" s="360"/>
      <c r="AN1509" s="289">
        <f>IFERROR(Y1509*AJ1506/Y1512,)</f>
        <v>0</v>
      </c>
      <c r="AO1509" s="197" t="str">
        <f>IFERROR(VLOOKUP($G1509,нормы!$A$14:$BC$57,53,0)*$W1509,"")</f>
        <v/>
      </c>
      <c r="AP1509" s="290">
        <f>IFERROR(Y1509*AI1506/Y1512,)</f>
        <v>0</v>
      </c>
      <c r="AQ1509" s="197" t="str">
        <f>IFERROR(VLOOKUP($G1509,нормы!$A$14:$BC$57,54,0)*$W1509,"")</f>
        <v/>
      </c>
      <c r="AR1509" s="290">
        <f>IFERROR(AS1509/SUM(AS1506:AS1511)*AL1506,0)</f>
        <v>0</v>
      </c>
      <c r="AS1509" s="197" t="str">
        <f>IFERROR(VLOOKUP($G1509,нормы!$A$14:$BC$57,55,0)*W1509,"")</f>
        <v/>
      </c>
      <c r="AT1509" s="290">
        <f>IFERROR(AU1509/SUM(AU1506:AU1511)*AM1506,0)</f>
        <v>0</v>
      </c>
      <c r="AU1509" s="197" t="str">
        <f>IFERROR(VLOOKUP($G1509,нормы!$A$14:$BI$57,56,0)*W1509,"")</f>
        <v/>
      </c>
      <c r="AV1509" s="290">
        <f>IFERROR(AW1509/SUM(AW1506:AW1511)*AK1506,0)</f>
        <v>0</v>
      </c>
      <c r="AW1509" s="202" t="str">
        <f>IFERROR(VLOOKUP($G1509,нормы!$A$14:$BI$57,57,0)*W1509,"")</f>
        <v/>
      </c>
      <c r="AX1509" s="30"/>
      <c r="AY1509" s="203" t="str">
        <f>IFERROR(VLOOKUP($G1509,нормы!$A$14:$BI$57,58,0)*W1509,"")</f>
        <v/>
      </c>
      <c r="AZ1509" s="205"/>
      <c r="BA1509" s="200" t="str">
        <f>IFERROR(VLOOKUP($G1509,нормы!$A$14:$BI$57,61,0)*$W1509,"")</f>
        <v/>
      </c>
      <c r="BB1509" s="30"/>
      <c r="BC1509" s="203" t="str">
        <f>IFERROR(VLOOKUP($G1509,нормы!$A$14:$BI$57,60,0)*W1509,"")</f>
        <v/>
      </c>
      <c r="BD1509" s="200" t="str">
        <f>IFERROR(VLOOKUP($G1509,нормы!$A$14:$BG$57,44,0),"")</f>
        <v/>
      </c>
      <c r="BE1509" s="199" t="str">
        <f>IFERROR(W1509/VLOOKUP($G1509,нормы!$A$14:$BI$57,45,0),"")</f>
        <v/>
      </c>
    </row>
    <row r="1510" spans="1:57" s="1" customFormat="1" ht="20.25" customHeight="1" x14ac:dyDescent="0.4">
      <c r="A1510" s="37" t="str">
        <f t="shared" si="590"/>
        <v>25Д</v>
      </c>
      <c r="B1510" s="12">
        <f t="shared" si="593"/>
        <v>25</v>
      </c>
      <c r="C1510" s="97">
        <f t="shared" si="593"/>
        <v>0</v>
      </c>
      <c r="D1510" s="97">
        <f t="shared" si="593"/>
        <v>2</v>
      </c>
      <c r="E1510" s="54"/>
      <c r="F1510" s="151" t="str">
        <f>IFERROR(VLOOKUP($G1510,нормы!$A$14:$BC$57,2,0),"")</f>
        <v/>
      </c>
      <c r="G1510" s="38"/>
      <c r="H1510" s="54">
        <f t="shared" si="594"/>
        <v>0</v>
      </c>
      <c r="I1510" s="89" t="s">
        <v>73</v>
      </c>
      <c r="J1510" s="333"/>
      <c r="K1510" s="30">
        <f>IFERROR(VLOOKUP($G1510,[1]нормы!$A$21:$BC$151,15,0),"")</f>
        <v>0</v>
      </c>
      <c r="L1510" s="31">
        <f>IFERROR(VLOOKUP($G1510,[1]нормы!$A$21:$BC$151,17,0),"")</f>
        <v>0</v>
      </c>
      <c r="M1510" s="306">
        <f>IFERROR(VLOOKUP($G1510,[1]нормы!$A$21:$BC$151,27,0),"")</f>
        <v>0</v>
      </c>
      <c r="N1510" s="307" t="str">
        <f>IFERROR(Y1510/Y1512*(1.1*J1506*I1515),"")</f>
        <v/>
      </c>
      <c r="O1510" s="300">
        <f>IFERROR(VLOOKUP($G1510,[1]нормы!$A$21:$BC$151,21,0),"")</f>
        <v>0</v>
      </c>
      <c r="P1510" s="35">
        <f>IFERROR(VLOOKUP($G1510,[1]нормы!$A$21:$BC$151,19,0),"")</f>
        <v>0</v>
      </c>
      <c r="Q1510" s="35">
        <f>IFERROR(VLOOKUP($G1510,[1]нормы!$A$21:$BC$151,23,0),"")</f>
        <v>0</v>
      </c>
      <c r="R1510" s="231">
        <f>IFERROR(VLOOKUP($G1510,[1]нормы!$A$21:$BC$151,29,0),"")</f>
        <v>0</v>
      </c>
      <c r="S1510" s="35">
        <f>IFERROR(VLOOKUP($G1510,[1]нормы!$A$21:$BC$151,31,0),"")</f>
        <v>0</v>
      </c>
      <c r="T1510" s="32">
        <f>IFERROR(VLOOKUP($G1510,[1]нормы!$A$21:$BC$151,25,0),"")</f>
        <v>0</v>
      </c>
      <c r="U1510" s="233" t="str">
        <f>IFERROR(W1510/(((100*Y1510/Y1512)*I1511)/100),"")</f>
        <v/>
      </c>
      <c r="V1510" s="234" t="str">
        <f>IFERROR(VLOOKUP($G1510,нормы!$A$14:$BC$57,38,0),"")</f>
        <v/>
      </c>
      <c r="W1510" s="136"/>
      <c r="X1510" s="237"/>
      <c r="Y1510" s="152" t="str">
        <f>IFERROR(VLOOKUP($G1510,нормы!$A$14:$BC$57,42,0)*W1510,"")</f>
        <v/>
      </c>
      <c r="Z1510" s="163">
        <f>IFERROR(VLOOKUP($G1510,нормы!$A$14:$BC$57,14,0)*W1510/1000,0)</f>
        <v>0</v>
      </c>
      <c r="AA1510" s="30"/>
      <c r="AB1510" s="35"/>
      <c r="AC1510" s="35"/>
      <c r="AD1510" s="35"/>
      <c r="AE1510" s="31"/>
      <c r="AF1510" s="160"/>
      <c r="AG1510" s="391"/>
      <c r="AH1510" s="394"/>
      <c r="AI1510" s="397"/>
      <c r="AJ1510" s="408"/>
      <c r="AK1510" s="360"/>
      <c r="AL1510" s="360"/>
      <c r="AM1510" s="360"/>
      <c r="AN1510" s="289">
        <f>IFERROR(Y1510*AJ1506/Y1512,)</f>
        <v>0</v>
      </c>
      <c r="AO1510" s="197" t="str">
        <f>IFERROR(VLOOKUP($G1510,нормы!$A$14:$BC$57,53,0)*$W1510,"")</f>
        <v/>
      </c>
      <c r="AP1510" s="290">
        <f>IFERROR(Y1510*AI1506/Y1512,)</f>
        <v>0</v>
      </c>
      <c r="AQ1510" s="197" t="str">
        <f>IFERROR(VLOOKUP($G1510,нормы!$A$14:$BC$57,54,0)*$W1510,"")</f>
        <v/>
      </c>
      <c r="AR1510" s="290">
        <f>IFERROR(AS1510/SUM(AS1506:AS1511)*AL1506,0)</f>
        <v>0</v>
      </c>
      <c r="AS1510" s="197" t="str">
        <f>IFERROR(VLOOKUP($G1510,нормы!$A$14:$BC$57,55,0)*W1510,"")</f>
        <v/>
      </c>
      <c r="AT1510" s="290">
        <f>IFERROR(AU1510/SUM(AU1506:AU1511)*AM1506,0)</f>
        <v>0</v>
      </c>
      <c r="AU1510" s="197" t="str">
        <f>IFERROR(VLOOKUP($G1510,нормы!$A$14:$BI$57,56,0)*W1510,"")</f>
        <v/>
      </c>
      <c r="AV1510" s="290">
        <f>IFERROR(AW1510/SUM(AW1506:AW1511)*AK1506,0)</f>
        <v>0</v>
      </c>
      <c r="AW1510" s="202" t="str">
        <f>IFERROR(VLOOKUP($G1510,нормы!$A$14:$BI$57,57,0)*W1510,"")</f>
        <v/>
      </c>
      <c r="AX1510" s="30"/>
      <c r="AY1510" s="203" t="str">
        <f>IFERROR(VLOOKUP($G1510,нормы!$A$14:$BI$57,58,0)*W1510,"")</f>
        <v/>
      </c>
      <c r="AZ1510" s="205"/>
      <c r="BA1510" s="200" t="str">
        <f>IFERROR(VLOOKUP($G1510,нормы!$A$14:$BI$57,61,0)*$W1510,"")</f>
        <v/>
      </c>
      <c r="BB1510" s="30"/>
      <c r="BC1510" s="203" t="str">
        <f>IFERROR(VLOOKUP($G1510,нормы!$A$14:$BI$57,60,0)*W1510,"")</f>
        <v/>
      </c>
      <c r="BD1510" s="200" t="str">
        <f>IFERROR(VLOOKUP($G1510,нормы!$A$14:$BG$57,44,0),"")</f>
        <v/>
      </c>
      <c r="BE1510" s="199" t="str">
        <f>IFERROR(W1510/VLOOKUP($G1510,нормы!$A$14:$BI$57,45,0),"")</f>
        <v/>
      </c>
    </row>
    <row r="1511" spans="1:57" s="1" customFormat="1" ht="21" customHeight="1" thickBot="1" x14ac:dyDescent="0.45">
      <c r="A1511" s="37" t="str">
        <f t="shared" si="590"/>
        <v>25Д</v>
      </c>
      <c r="B1511" s="12">
        <f t="shared" si="593"/>
        <v>25</v>
      </c>
      <c r="C1511" s="97">
        <f t="shared" si="593"/>
        <v>0</v>
      </c>
      <c r="D1511" s="97">
        <f t="shared" si="593"/>
        <v>2</v>
      </c>
      <c r="E1511" s="54"/>
      <c r="F1511" s="151" t="str">
        <f>IFERROR(VLOOKUP($G1511,нормы!$A$14:$BC$57,2,0),"")</f>
        <v/>
      </c>
      <c r="G1511" s="93"/>
      <c r="H1511" s="63">
        <f t="shared" si="594"/>
        <v>0</v>
      </c>
      <c r="I1511" s="153">
        <f>I1507+I1509</f>
        <v>0</v>
      </c>
      <c r="J1511" s="334"/>
      <c r="K1511" s="30">
        <f>IFERROR(VLOOKUP($G1511,[1]нормы!$A$21:$BC$151,15,0),"")</f>
        <v>0</v>
      </c>
      <c r="L1511" s="31">
        <f>IFERROR(VLOOKUP($G1511,[1]нормы!$A$21:$BC$151,17,0),"")</f>
        <v>0</v>
      </c>
      <c r="M1511" s="308">
        <f>IFERROR(VLOOKUP($G1511,[1]нормы!$A$21:$BC$151,27,0),"")</f>
        <v>0</v>
      </c>
      <c r="N1511" s="309" t="str">
        <f>IFERROR(Y1511/Y1512*(1.1*J1506*I1516),"")</f>
        <v/>
      </c>
      <c r="O1511" s="300">
        <f>IFERROR(VLOOKUP($G1511,[1]нормы!$A$21:$BC$151,21,0),"")</f>
        <v>0</v>
      </c>
      <c r="P1511" s="35">
        <f>IFERROR(VLOOKUP($G1511,[1]нормы!$A$21:$BC$151,19,0),"")</f>
        <v>0</v>
      </c>
      <c r="Q1511" s="35">
        <f>IFERROR(VLOOKUP($G1511,[1]нормы!$A$21:$BC$151,23,0),"")</f>
        <v>0</v>
      </c>
      <c r="R1511" s="231">
        <f>IFERROR(VLOOKUP($G1511,[1]нормы!$A$21:$BC$151,29,0),"")</f>
        <v>0</v>
      </c>
      <c r="S1511" s="35">
        <f>IFERROR(VLOOKUP($G1511,[1]нормы!$A$21:$BC$151,31,0),"")</f>
        <v>0</v>
      </c>
      <c r="T1511" s="32">
        <f>IFERROR(VLOOKUP($G1511,[1]нормы!$A$21:$BC$151,25,0),"")</f>
        <v>0</v>
      </c>
      <c r="U1511" s="235" t="str">
        <f>IFERROR(W1511/(((100*Y1511/Y1512)*I1511)/100),"")</f>
        <v/>
      </c>
      <c r="V1511" s="234" t="str">
        <f>IFERROR(VLOOKUP($G1511,нормы!$A$14:$BC$57,38,0),"")</f>
        <v/>
      </c>
      <c r="W1511" s="154"/>
      <c r="X1511" s="238"/>
      <c r="Y1511" s="152" t="str">
        <f>IFERROR(VLOOKUP($G1511,нормы!$A$14:$BC$57,42,0)*W1511,"")</f>
        <v/>
      </c>
      <c r="Z1511" s="163">
        <f>IFERROR(VLOOKUP($G1511,нормы!$A$14:$BC$57,14,0)*W1511/1000,0)</f>
        <v>0</v>
      </c>
      <c r="AA1511" s="56"/>
      <c r="AB1511" s="58"/>
      <c r="AC1511" s="58"/>
      <c r="AD1511" s="58"/>
      <c r="AE1511" s="57"/>
      <c r="AF1511" s="161"/>
      <c r="AG1511" s="392"/>
      <c r="AH1511" s="395"/>
      <c r="AI1511" s="398"/>
      <c r="AJ1511" s="409"/>
      <c r="AK1511" s="361"/>
      <c r="AL1511" s="361"/>
      <c r="AM1511" s="361"/>
      <c r="AN1511" s="291">
        <f>IFERROR(Y1511*AJ1506/Y1512,)</f>
        <v>0</v>
      </c>
      <c r="AO1511" s="197" t="str">
        <f>IFERROR(VLOOKUP($G1511,нормы!$A$14:$BC$57,53,0)*$W1511,"")</f>
        <v/>
      </c>
      <c r="AP1511" s="292">
        <f>IFERROR(Y1511*AI1506/Y1512,)</f>
        <v>0</v>
      </c>
      <c r="AQ1511" s="197" t="str">
        <f>IFERROR(VLOOKUP($G1511,нормы!$A$14:$BC$57,54,0)*$W1511,"")</f>
        <v/>
      </c>
      <c r="AR1511" s="290">
        <f>IFERROR(AS1511/SUM(AS1506:AS1511)*AL1506,0)</f>
        <v>0</v>
      </c>
      <c r="AS1511" s="197" t="str">
        <f>IFERROR(VLOOKUP($G1511,нормы!$A$14:$BC$57,55,0)*W1511,"")</f>
        <v/>
      </c>
      <c r="AT1511" s="292">
        <f>IFERROR(AU1511/SUM(AU1506:AU1511)*AM1506,0)</f>
        <v>0</v>
      </c>
      <c r="AU1511" s="197" t="str">
        <f>IFERROR(VLOOKUP($G1511,нормы!$A$14:$BI$57,56,0)*W1511,"")</f>
        <v/>
      </c>
      <c r="AV1511" s="292">
        <f>IFERROR(AW1511/SUM(AW1506:AW1511)*AK1506,0)</f>
        <v>0</v>
      </c>
      <c r="AW1511" s="202" t="str">
        <f>IFERROR(VLOOKUP($G1511,нормы!$A$14:$BI$57,57,0)*W1511,"")</f>
        <v/>
      </c>
      <c r="AX1511" s="56"/>
      <c r="AY1511" s="203" t="str">
        <f>IFERROR(VLOOKUP($G1511,нормы!$A$14:$BI$57,58,0)*W1511,"")</f>
        <v/>
      </c>
      <c r="AZ1511" s="206"/>
      <c r="BA1511" s="200" t="str">
        <f>IFERROR(VLOOKUP($G1511,нормы!$A$14:$BI$57,61,0)*$W1511,"")</f>
        <v/>
      </c>
      <c r="BB1511" s="56"/>
      <c r="BC1511" s="203" t="str">
        <f>IFERROR(VLOOKUP($G1511,нормы!$A$14:$BI$57,60,0)*W1511,"")</f>
        <v/>
      </c>
      <c r="BD1511" s="200" t="str">
        <f>IFERROR(VLOOKUP($G1511,нормы!$A$14:$BG$57,44,0),"")</f>
        <v/>
      </c>
      <c r="BE1511" s="199" t="str">
        <f>IFERROR(W1511/VLOOKUP($G1511,нормы!$A$14:$BI$57,45,0),"")</f>
        <v/>
      </c>
    </row>
    <row r="1512" spans="1:57" s="1" customFormat="1" ht="29.4" customHeight="1" thickBot="1" x14ac:dyDescent="0.45">
      <c r="A1512" s="37" t="str">
        <f t="shared" si="590"/>
        <v>25Д</v>
      </c>
      <c r="B1512" s="59"/>
      <c r="C1512" s="51"/>
      <c r="D1512" s="51"/>
      <c r="E1512" s="51"/>
      <c r="F1512" s="51"/>
      <c r="G1512" s="51"/>
      <c r="H1512" s="51"/>
      <c r="I1512" s="60"/>
      <c r="J1512" s="60"/>
      <c r="K1512" s="319" t="s">
        <v>213</v>
      </c>
      <c r="L1512" s="316"/>
      <c r="M1512" s="303" t="s">
        <v>213</v>
      </c>
      <c r="N1512" s="317">
        <f>SUM(N1506:N1511)</f>
        <v>0</v>
      </c>
      <c r="O1512" s="304" t="s">
        <v>217</v>
      </c>
      <c r="P1512" s="318">
        <f>N1512*8.937/1000</f>
        <v>0</v>
      </c>
      <c r="Q1512" s="305" t="s">
        <v>215</v>
      </c>
      <c r="R1512" s="61"/>
      <c r="S1512" s="61"/>
      <c r="T1512" s="61"/>
      <c r="U1512" s="109"/>
      <c r="V1512" s="109"/>
      <c r="W1512" s="94"/>
      <c r="X1512" s="155"/>
      <c r="Y1512" s="96">
        <f>SUM(Y1506:Y1511)</f>
        <v>0</v>
      </c>
      <c r="Z1512" s="164">
        <f>SUM(Z1506:Z1511)</f>
        <v>0</v>
      </c>
      <c r="AA1512" s="207">
        <f>(AA1498+AA1499+AA1500+AA1501+AA1502+AA1503+AA1504+AA1506+AA1507+AA1508+AA1509+AA1510+AA1511)-AG1499</f>
        <v>1</v>
      </c>
      <c r="AB1512" s="208">
        <f>(AB1498+AB1499+AB1500+AB1501+AB1502+AB1503+AB1504+AB1506+AB1507+AB1508+AB1509+AB1510+AB1511)-AH1499</f>
        <v>2</v>
      </c>
      <c r="AC1512" s="208">
        <f>(AC1498+AC1499+AC1500+AC1501+AC1502+AC1503+AC1504+AC1506+AC1507+AC1508+AC1509+AC1510+AC1511)-AG1506</f>
        <v>3</v>
      </c>
      <c r="AD1512" s="208">
        <f>(AD1498+AD1499+AD1500+AD1501+AD1502+AD1503+AD1504+AD1506+AD1507+AD1508+AD1509+AD1510+AD1511)-AH1506</f>
        <v>4</v>
      </c>
      <c r="AE1512" s="208">
        <f>(AE1498+AE1499+AE1500+AE1501+AE1502+AE1503+AE1504+AE1506+AE1507+AE1508+AE1509+AE1510+AE1511)-AI1499</f>
        <v>5</v>
      </c>
      <c r="AF1512" s="209">
        <f>(AF1498+AF1499+AF1500+AF1501+AF1502+AF1503+AF1504+AF1506+AF1507+AF1508+AF1509+AF1510+AF1511)-AI1506</f>
        <v>6</v>
      </c>
      <c r="AG1512" s="62"/>
      <c r="AH1512" s="62"/>
      <c r="AI1512" s="62"/>
      <c r="AJ1512" s="62"/>
      <c r="AK1512" s="62"/>
      <c r="AL1512" s="62"/>
      <c r="AM1512" s="62"/>
      <c r="AN1512" s="91">
        <f>SUM(AN1506:AN1511)</f>
        <v>0</v>
      </c>
      <c r="AO1512" s="91">
        <f>SUM(AO1506:AO1511)</f>
        <v>0</v>
      </c>
      <c r="AP1512" s="91"/>
      <c r="AQ1512" s="91"/>
      <c r="AR1512" s="91">
        <f>SUM(AR1506:AR1511)</f>
        <v>0</v>
      </c>
      <c r="AS1512" s="91">
        <f t="shared" ref="AS1512:AW1512" si="595">SUM(AS1506:AS1511)</f>
        <v>0</v>
      </c>
      <c r="AT1512" s="91">
        <f t="shared" si="595"/>
        <v>0</v>
      </c>
      <c r="AU1512" s="91">
        <f t="shared" si="595"/>
        <v>0</v>
      </c>
      <c r="AV1512" s="91">
        <f t="shared" si="595"/>
        <v>0</v>
      </c>
      <c r="AW1512" s="91">
        <f t="shared" si="595"/>
        <v>0</v>
      </c>
      <c r="AX1512" s="91">
        <f>SUM(AX1506:AX1511)</f>
        <v>0</v>
      </c>
      <c r="AY1512" s="91">
        <f>SUM(AY1506:AY1511)</f>
        <v>0</v>
      </c>
      <c r="AZ1512" s="91">
        <f>SUM(AZ1506:AZ1511)</f>
        <v>0</v>
      </c>
      <c r="BA1512" s="91"/>
      <c r="BB1512" s="91"/>
      <c r="BC1512" s="91"/>
      <c r="BD1512" s="91" t="str">
        <f>IFERROR(VLOOKUP($G1512,нормы!$A$14:$BG$15,27,0),"")</f>
        <v/>
      </c>
      <c r="BE1512" s="53" t="str">
        <f>IFERROR(W1512/VLOOKUP($G1512,нормы!$A$14:$BI$15,28,0),"")</f>
        <v/>
      </c>
    </row>
    <row r="1513" spans="1:57" s="1" customFormat="1" ht="29.4" customHeight="1" thickBot="1" x14ac:dyDescent="0.5">
      <c r="A1513" s="37" t="str">
        <f t="shared" si="590"/>
        <v>25Д</v>
      </c>
      <c r="B1513" s="166" t="s">
        <v>130</v>
      </c>
      <c r="C1513" s="167"/>
      <c r="D1513" s="167"/>
      <c r="E1513" s="167"/>
      <c r="F1513" s="165"/>
      <c r="G1513" s="167"/>
      <c r="H1513" s="167"/>
      <c r="I1513" s="168"/>
      <c r="J1513" s="168"/>
      <c r="K1513" s="168"/>
      <c r="L1513" s="168"/>
      <c r="M1513" s="168"/>
      <c r="N1513" s="168"/>
      <c r="O1513" s="167"/>
      <c r="P1513" s="169"/>
      <c r="Q1513" s="169"/>
      <c r="R1513" s="169"/>
      <c r="S1513" s="169"/>
      <c r="T1513" s="169"/>
      <c r="U1513" s="170"/>
      <c r="V1513" s="170"/>
      <c r="W1513" s="171"/>
      <c r="X1513" s="171"/>
      <c r="Y1513" s="172"/>
      <c r="Z1513" s="172"/>
      <c r="AA1513" s="201" t="s">
        <v>144</v>
      </c>
      <c r="AB1513" s="167"/>
      <c r="AC1513" s="167"/>
      <c r="AD1513" s="167"/>
      <c r="AE1513" s="167"/>
      <c r="AF1513" s="167"/>
      <c r="AG1513" s="167"/>
      <c r="AH1513" s="167"/>
      <c r="AI1513" s="167"/>
      <c r="AJ1513" s="167"/>
      <c r="AK1513" s="167"/>
      <c r="AL1513" s="167"/>
      <c r="AM1513" s="64"/>
      <c r="AN1513" s="167"/>
      <c r="AO1513" s="167"/>
      <c r="AP1513" s="167"/>
      <c r="AQ1513" s="167"/>
      <c r="AR1513" s="64"/>
      <c r="AS1513" s="64"/>
      <c r="AT1513" s="65"/>
      <c r="AU1513" s="64"/>
      <c r="AV1513" s="49"/>
      <c r="AW1513" s="49"/>
      <c r="AX1513" s="167"/>
      <c r="AY1513" s="167"/>
      <c r="AZ1513" s="167"/>
      <c r="BA1513" s="167"/>
      <c r="BB1513" s="167"/>
      <c r="BC1513" s="167"/>
      <c r="BD1513" s="66"/>
      <c r="BE1513" s="66"/>
    </row>
    <row r="1514" spans="1:57" s="1" customFormat="1" ht="23.25" customHeight="1" x14ac:dyDescent="0.4">
      <c r="A1514" s="37" t="str">
        <f t="shared" si="590"/>
        <v>25Д</v>
      </c>
      <c r="B1514" s="183"/>
      <c r="C1514" s="100"/>
      <c r="D1514" s="185"/>
      <c r="E1514" s="186" t="s">
        <v>57</v>
      </c>
      <c r="F1514" s="66" t="s">
        <v>87</v>
      </c>
      <c r="G1514" s="66"/>
      <c r="H1514" s="108" t="s">
        <v>131</v>
      </c>
      <c r="I1514" s="101"/>
      <c r="J1514" s="101"/>
      <c r="K1514" s="101"/>
      <c r="L1514" s="101"/>
      <c r="M1514" s="101"/>
      <c r="N1514" s="101"/>
      <c r="O1514" s="67"/>
      <c r="P1514" s="102"/>
      <c r="Q1514" s="102"/>
      <c r="R1514" s="102"/>
      <c r="S1514" s="102"/>
      <c r="T1514" s="102"/>
      <c r="U1514" s="67"/>
      <c r="V1514" s="67"/>
      <c r="W1514" s="103"/>
      <c r="X1514" s="187"/>
      <c r="Y1514" s="68" t="s">
        <v>74</v>
      </c>
      <c r="Z1514" s="69"/>
      <c r="AA1514" s="90"/>
      <c r="AB1514" s="100"/>
      <c r="AC1514" s="100"/>
      <c r="AD1514" s="186" t="s">
        <v>57</v>
      </c>
      <c r="AE1514" s="66"/>
      <c r="AF1514" s="66"/>
      <c r="AG1514" s="66"/>
      <c r="AH1514" s="66"/>
      <c r="AI1514" s="66"/>
      <c r="AJ1514" s="66"/>
      <c r="AK1514" s="66"/>
      <c r="AL1514" s="66"/>
      <c r="AM1514" s="66"/>
      <c r="AN1514" s="66"/>
      <c r="AO1514" s="66"/>
      <c r="AP1514" s="66"/>
      <c r="AQ1514" s="66"/>
      <c r="AR1514" s="66"/>
      <c r="AS1514" s="66"/>
      <c r="AT1514" s="190"/>
      <c r="AU1514" s="66"/>
      <c r="AV1514" s="165"/>
      <c r="AW1514" s="293"/>
      <c r="AX1514" s="66"/>
      <c r="AY1514" s="66"/>
      <c r="AZ1514" s="66"/>
      <c r="BA1514" s="66"/>
      <c r="BB1514" s="66"/>
      <c r="BC1514" s="66"/>
      <c r="BD1514" s="68" t="s">
        <v>74</v>
      </c>
      <c r="BE1514" s="69"/>
    </row>
    <row r="1515" spans="1:57" s="1" customFormat="1" ht="23.25" customHeight="1" thickBot="1" x14ac:dyDescent="0.45">
      <c r="A1515" s="37" t="str">
        <f t="shared" si="590"/>
        <v>25Д</v>
      </c>
      <c r="B1515" s="183"/>
      <c r="C1515" s="41"/>
      <c r="D1515" s="184"/>
      <c r="E1515" s="50"/>
      <c r="F1515" s="70"/>
      <c r="G1515" s="70"/>
      <c r="H1515" s="70"/>
      <c r="I1515" s="104"/>
      <c r="J1515" s="104"/>
      <c r="K1515" s="104"/>
      <c r="L1515" s="104"/>
      <c r="M1515" s="104"/>
      <c r="N1515" s="104"/>
      <c r="O1515" s="71"/>
      <c r="P1515" s="105"/>
      <c r="Q1515" s="105"/>
      <c r="R1515" s="105"/>
      <c r="S1515" s="105"/>
      <c r="T1515" s="105"/>
      <c r="U1515" s="71"/>
      <c r="V1515" s="71"/>
      <c r="W1515" s="106"/>
      <c r="X1515" s="188"/>
      <c r="Y1515" s="72"/>
      <c r="Z1515" s="73"/>
      <c r="AA1515" s="90"/>
      <c r="AB1515" s="41"/>
      <c r="AC1515" s="41"/>
      <c r="AD1515" s="50"/>
      <c r="AE1515" s="47"/>
      <c r="AF1515" s="47"/>
      <c r="AG1515" s="47"/>
      <c r="AH1515" s="47"/>
      <c r="AI1515" s="47"/>
      <c r="AJ1515" s="47"/>
      <c r="AK1515" s="47"/>
      <c r="AL1515" s="47"/>
      <c r="AM1515" s="70"/>
      <c r="AN1515" s="47"/>
      <c r="AO1515" s="70"/>
      <c r="AP1515" s="70"/>
      <c r="AQ1515" s="70"/>
      <c r="AR1515" s="70"/>
      <c r="AS1515" s="70"/>
      <c r="AT1515" s="191"/>
      <c r="AU1515" s="70"/>
      <c r="AV1515" s="192"/>
      <c r="AW1515" s="294"/>
      <c r="AX1515" s="70"/>
      <c r="AY1515" s="70"/>
      <c r="AZ1515" s="70"/>
      <c r="BA1515" s="70"/>
      <c r="BB1515" s="70"/>
      <c r="BC1515" s="70"/>
      <c r="BD1515" s="72"/>
      <c r="BE1515" s="73"/>
    </row>
    <row r="1516" spans="1:57" s="1" customFormat="1" ht="21.9" customHeight="1" x14ac:dyDescent="0.4">
      <c r="A1516" s="37" t="str">
        <f t="shared" si="590"/>
        <v>25Д</v>
      </c>
      <c r="B1516" s="183"/>
      <c r="C1516" s="41"/>
      <c r="D1516" s="184"/>
      <c r="E1516" s="281">
        <f>B1511</f>
        <v>25</v>
      </c>
      <c r="F1516" s="337"/>
      <c r="G1516" s="338"/>
      <c r="H1516" s="338"/>
      <c r="I1516" s="338"/>
      <c r="J1516" s="338"/>
      <c r="K1516" s="338"/>
      <c r="L1516" s="338"/>
      <c r="M1516" s="338"/>
      <c r="N1516" s="338"/>
      <c r="O1516" s="338"/>
      <c r="P1516" s="338"/>
      <c r="Q1516" s="338"/>
      <c r="R1516" s="338"/>
      <c r="S1516" s="338"/>
      <c r="T1516" s="338"/>
      <c r="U1516" s="338"/>
      <c r="V1516" s="338"/>
      <c r="W1516" s="338"/>
      <c r="X1516" s="98">
        <v>1</v>
      </c>
      <c r="Y1516" s="74">
        <v>1</v>
      </c>
      <c r="Z1516" s="75">
        <f t="shared" ref="Z1516:Z1527" si="596">Y1516-X1516</f>
        <v>0</v>
      </c>
      <c r="AA1516" s="189"/>
      <c r="AB1516" s="41"/>
      <c r="AC1516" s="184"/>
      <c r="AD1516" s="210">
        <f>E1516</f>
        <v>25</v>
      </c>
      <c r="AE1516" s="387"/>
      <c r="AF1516" s="388"/>
      <c r="AG1516" s="388"/>
      <c r="AH1516" s="388"/>
      <c r="AI1516" s="388"/>
      <c r="AJ1516" s="388"/>
      <c r="AK1516" s="388"/>
      <c r="AL1516" s="388"/>
      <c r="AM1516" s="388"/>
      <c r="AN1516" s="388"/>
      <c r="AO1516" s="388"/>
      <c r="AP1516" s="388"/>
      <c r="AQ1516" s="388"/>
      <c r="AR1516" s="388"/>
      <c r="AS1516" s="388"/>
      <c r="AT1516" s="388"/>
      <c r="AU1516" s="388"/>
      <c r="AV1516" s="388"/>
      <c r="AW1516" s="388"/>
      <c r="AX1516" s="388"/>
      <c r="AY1516" s="388"/>
      <c r="AZ1516" s="388"/>
      <c r="BA1516" s="388"/>
      <c r="BB1516" s="389"/>
      <c r="BC1516" s="98">
        <v>1</v>
      </c>
      <c r="BD1516" s="74">
        <v>1</v>
      </c>
      <c r="BE1516" s="75">
        <f t="shared" ref="BE1516:BE1527" si="597">BD1516-BC1516</f>
        <v>0</v>
      </c>
    </row>
    <row r="1517" spans="1:57" s="1" customFormat="1" ht="21.9" customHeight="1" x14ac:dyDescent="0.4">
      <c r="A1517" s="37" t="str">
        <f t="shared" si="590"/>
        <v>25Д</v>
      </c>
      <c r="B1517" s="183"/>
      <c r="C1517" s="41"/>
      <c r="D1517" s="184"/>
      <c r="E1517" s="282">
        <f>E1516</f>
        <v>25</v>
      </c>
      <c r="F1517" s="335"/>
      <c r="G1517" s="336"/>
      <c r="H1517" s="336"/>
      <c r="I1517" s="336"/>
      <c r="J1517" s="336"/>
      <c r="K1517" s="336"/>
      <c r="L1517" s="336"/>
      <c r="M1517" s="336"/>
      <c r="N1517" s="336"/>
      <c r="O1517" s="336"/>
      <c r="P1517" s="336"/>
      <c r="Q1517" s="336"/>
      <c r="R1517" s="336"/>
      <c r="S1517" s="336"/>
      <c r="T1517" s="336"/>
      <c r="U1517" s="336"/>
      <c r="V1517" s="336"/>
      <c r="W1517" s="336"/>
      <c r="X1517" s="98">
        <v>1</v>
      </c>
      <c r="Y1517" s="74">
        <v>1</v>
      </c>
      <c r="Z1517" s="75">
        <f t="shared" si="596"/>
        <v>0</v>
      </c>
      <c r="AA1517" s="107">
        <f>AA1516</f>
        <v>0</v>
      </c>
      <c r="AB1517" s="41"/>
      <c r="AC1517" s="184"/>
      <c r="AD1517" s="212">
        <f>AD1516</f>
        <v>25</v>
      </c>
      <c r="AE1517" s="387"/>
      <c r="AF1517" s="388"/>
      <c r="AG1517" s="388"/>
      <c r="AH1517" s="388"/>
      <c r="AI1517" s="388"/>
      <c r="AJ1517" s="388"/>
      <c r="AK1517" s="388"/>
      <c r="AL1517" s="388"/>
      <c r="AM1517" s="388"/>
      <c r="AN1517" s="388"/>
      <c r="AO1517" s="388"/>
      <c r="AP1517" s="388"/>
      <c r="AQ1517" s="388"/>
      <c r="AR1517" s="388"/>
      <c r="AS1517" s="388"/>
      <c r="AT1517" s="388"/>
      <c r="AU1517" s="388"/>
      <c r="AV1517" s="388"/>
      <c r="AW1517" s="388"/>
      <c r="AX1517" s="388"/>
      <c r="AY1517" s="388"/>
      <c r="AZ1517" s="388"/>
      <c r="BA1517" s="388"/>
      <c r="BB1517" s="389"/>
      <c r="BC1517" s="98">
        <v>1</v>
      </c>
      <c r="BD1517" s="74">
        <v>1</v>
      </c>
      <c r="BE1517" s="75">
        <f t="shared" si="597"/>
        <v>0</v>
      </c>
    </row>
    <row r="1518" spans="1:57" s="1" customFormat="1" ht="18" customHeight="1" x14ac:dyDescent="0.4">
      <c r="A1518" s="37" t="str">
        <f t="shared" si="590"/>
        <v>25Д</v>
      </c>
      <c r="B1518" s="183"/>
      <c r="C1518" s="41"/>
      <c r="D1518" s="184"/>
      <c r="E1518" s="282">
        <f t="shared" ref="E1518:E1527" si="598">E1517</f>
        <v>25</v>
      </c>
      <c r="F1518" s="335"/>
      <c r="G1518" s="336"/>
      <c r="H1518" s="336"/>
      <c r="I1518" s="336"/>
      <c r="J1518" s="336"/>
      <c r="K1518" s="336"/>
      <c r="L1518" s="336"/>
      <c r="M1518" s="336"/>
      <c r="N1518" s="336"/>
      <c r="O1518" s="336"/>
      <c r="P1518" s="336"/>
      <c r="Q1518" s="336"/>
      <c r="R1518" s="336"/>
      <c r="S1518" s="336"/>
      <c r="T1518" s="336"/>
      <c r="U1518" s="336"/>
      <c r="V1518" s="336"/>
      <c r="W1518" s="336"/>
      <c r="X1518" s="98">
        <v>1</v>
      </c>
      <c r="Y1518" s="74">
        <v>1</v>
      </c>
      <c r="Z1518" s="75">
        <f t="shared" si="596"/>
        <v>0</v>
      </c>
      <c r="AA1518" s="107">
        <f>AA1517</f>
        <v>0</v>
      </c>
      <c r="AB1518" s="41"/>
      <c r="AC1518" s="184"/>
      <c r="AD1518" s="212">
        <f t="shared" ref="AD1518:AD1527" si="599">AD1517</f>
        <v>25</v>
      </c>
      <c r="AE1518" s="387"/>
      <c r="AF1518" s="388"/>
      <c r="AG1518" s="388"/>
      <c r="AH1518" s="388"/>
      <c r="AI1518" s="388"/>
      <c r="AJ1518" s="388"/>
      <c r="AK1518" s="388"/>
      <c r="AL1518" s="388"/>
      <c r="AM1518" s="388"/>
      <c r="AN1518" s="388"/>
      <c r="AO1518" s="388"/>
      <c r="AP1518" s="388"/>
      <c r="AQ1518" s="388"/>
      <c r="AR1518" s="388"/>
      <c r="AS1518" s="388"/>
      <c r="AT1518" s="388"/>
      <c r="AU1518" s="388"/>
      <c r="AV1518" s="388"/>
      <c r="AW1518" s="388"/>
      <c r="AX1518" s="388"/>
      <c r="AY1518" s="388"/>
      <c r="AZ1518" s="388"/>
      <c r="BA1518" s="388"/>
      <c r="BB1518" s="389"/>
      <c r="BC1518" s="98">
        <v>1</v>
      </c>
      <c r="BD1518" s="74">
        <v>1</v>
      </c>
      <c r="BE1518" s="75">
        <f t="shared" si="597"/>
        <v>0</v>
      </c>
    </row>
    <row r="1519" spans="1:57" s="1" customFormat="1" ht="18" customHeight="1" x14ac:dyDescent="0.4">
      <c r="A1519" s="37" t="str">
        <f t="shared" si="590"/>
        <v>25Д</v>
      </c>
      <c r="B1519" s="183"/>
      <c r="C1519" s="41"/>
      <c r="D1519" s="184"/>
      <c r="E1519" s="282">
        <f t="shared" si="598"/>
        <v>25</v>
      </c>
      <c r="F1519" s="335"/>
      <c r="G1519" s="336"/>
      <c r="H1519" s="336"/>
      <c r="I1519" s="336"/>
      <c r="J1519" s="336"/>
      <c r="K1519" s="336"/>
      <c r="L1519" s="336"/>
      <c r="M1519" s="336"/>
      <c r="N1519" s="336"/>
      <c r="O1519" s="336"/>
      <c r="P1519" s="336"/>
      <c r="Q1519" s="336"/>
      <c r="R1519" s="336"/>
      <c r="S1519" s="336"/>
      <c r="T1519" s="336"/>
      <c r="U1519" s="336"/>
      <c r="V1519" s="336"/>
      <c r="W1519" s="336"/>
      <c r="X1519" s="98">
        <v>1</v>
      </c>
      <c r="Y1519" s="74">
        <v>1</v>
      </c>
      <c r="Z1519" s="75">
        <f t="shared" si="596"/>
        <v>0</v>
      </c>
      <c r="AA1519" s="107">
        <f t="shared" ref="AA1519:AA1527" si="600">AA1518</f>
        <v>0</v>
      </c>
      <c r="AB1519" s="41"/>
      <c r="AC1519" s="184"/>
      <c r="AD1519" s="212">
        <f t="shared" si="599"/>
        <v>25</v>
      </c>
      <c r="AE1519" s="387"/>
      <c r="AF1519" s="388"/>
      <c r="AG1519" s="388"/>
      <c r="AH1519" s="388"/>
      <c r="AI1519" s="388"/>
      <c r="AJ1519" s="388"/>
      <c r="AK1519" s="388"/>
      <c r="AL1519" s="388"/>
      <c r="AM1519" s="388"/>
      <c r="AN1519" s="388"/>
      <c r="AO1519" s="388"/>
      <c r="AP1519" s="388"/>
      <c r="AQ1519" s="388"/>
      <c r="AR1519" s="388"/>
      <c r="AS1519" s="388"/>
      <c r="AT1519" s="388"/>
      <c r="AU1519" s="388"/>
      <c r="AV1519" s="388"/>
      <c r="AW1519" s="388"/>
      <c r="AX1519" s="388"/>
      <c r="AY1519" s="388"/>
      <c r="AZ1519" s="388"/>
      <c r="BA1519" s="388"/>
      <c r="BB1519" s="389"/>
      <c r="BC1519" s="98">
        <v>1</v>
      </c>
      <c r="BD1519" s="74">
        <v>1</v>
      </c>
      <c r="BE1519" s="75">
        <f t="shared" si="597"/>
        <v>0</v>
      </c>
    </row>
    <row r="1520" spans="1:57" s="1" customFormat="1" ht="18" customHeight="1" x14ac:dyDescent="0.4">
      <c r="A1520" s="37" t="str">
        <f t="shared" si="590"/>
        <v>25Д</v>
      </c>
      <c r="B1520" s="183"/>
      <c r="C1520" s="41"/>
      <c r="D1520" s="184"/>
      <c r="E1520" s="282">
        <f t="shared" si="598"/>
        <v>25</v>
      </c>
      <c r="F1520" s="335"/>
      <c r="G1520" s="336"/>
      <c r="H1520" s="336"/>
      <c r="I1520" s="336"/>
      <c r="J1520" s="336"/>
      <c r="K1520" s="336"/>
      <c r="L1520" s="336"/>
      <c r="M1520" s="336"/>
      <c r="N1520" s="336"/>
      <c r="O1520" s="336"/>
      <c r="P1520" s="336"/>
      <c r="Q1520" s="336"/>
      <c r="R1520" s="336"/>
      <c r="S1520" s="336"/>
      <c r="T1520" s="336"/>
      <c r="U1520" s="336"/>
      <c r="V1520" s="336"/>
      <c r="W1520" s="336"/>
      <c r="X1520" s="98">
        <v>1</v>
      </c>
      <c r="Y1520" s="74">
        <v>1</v>
      </c>
      <c r="Z1520" s="75">
        <f t="shared" si="596"/>
        <v>0</v>
      </c>
      <c r="AA1520" s="107">
        <f t="shared" si="600"/>
        <v>0</v>
      </c>
      <c r="AB1520" s="41"/>
      <c r="AC1520" s="184"/>
      <c r="AD1520" s="212">
        <f t="shared" si="599"/>
        <v>25</v>
      </c>
      <c r="AE1520" s="387"/>
      <c r="AF1520" s="388"/>
      <c r="AG1520" s="388"/>
      <c r="AH1520" s="388"/>
      <c r="AI1520" s="388"/>
      <c r="AJ1520" s="388"/>
      <c r="AK1520" s="388"/>
      <c r="AL1520" s="388"/>
      <c r="AM1520" s="388"/>
      <c r="AN1520" s="388"/>
      <c r="AO1520" s="388"/>
      <c r="AP1520" s="388"/>
      <c r="AQ1520" s="388"/>
      <c r="AR1520" s="388"/>
      <c r="AS1520" s="388"/>
      <c r="AT1520" s="388"/>
      <c r="AU1520" s="388"/>
      <c r="AV1520" s="388"/>
      <c r="AW1520" s="388"/>
      <c r="AX1520" s="388"/>
      <c r="AY1520" s="388"/>
      <c r="AZ1520" s="388"/>
      <c r="BA1520" s="388"/>
      <c r="BB1520" s="389"/>
      <c r="BC1520" s="98">
        <v>1</v>
      </c>
      <c r="BD1520" s="74">
        <v>1</v>
      </c>
      <c r="BE1520" s="75">
        <f t="shared" si="597"/>
        <v>0</v>
      </c>
    </row>
    <row r="1521" spans="1:57" s="1" customFormat="1" ht="18" customHeight="1" x14ac:dyDescent="0.4">
      <c r="A1521" s="37" t="str">
        <f t="shared" si="590"/>
        <v>25Д</v>
      </c>
      <c r="B1521" s="183"/>
      <c r="C1521" s="41"/>
      <c r="D1521" s="184"/>
      <c r="E1521" s="282">
        <f t="shared" si="598"/>
        <v>25</v>
      </c>
      <c r="F1521" s="335"/>
      <c r="G1521" s="336"/>
      <c r="H1521" s="336"/>
      <c r="I1521" s="336"/>
      <c r="J1521" s="336"/>
      <c r="K1521" s="336"/>
      <c r="L1521" s="336"/>
      <c r="M1521" s="336"/>
      <c r="N1521" s="336"/>
      <c r="O1521" s="336"/>
      <c r="P1521" s="336"/>
      <c r="Q1521" s="336"/>
      <c r="R1521" s="336"/>
      <c r="S1521" s="336"/>
      <c r="T1521" s="336"/>
      <c r="U1521" s="336"/>
      <c r="V1521" s="336"/>
      <c r="W1521" s="336"/>
      <c r="X1521" s="98">
        <v>1</v>
      </c>
      <c r="Y1521" s="74">
        <v>1</v>
      </c>
      <c r="Z1521" s="75">
        <f t="shared" si="596"/>
        <v>0</v>
      </c>
      <c r="AA1521" s="107">
        <f t="shared" si="600"/>
        <v>0</v>
      </c>
      <c r="AB1521" s="41"/>
      <c r="AC1521" s="184"/>
      <c r="AD1521" s="212">
        <f t="shared" si="599"/>
        <v>25</v>
      </c>
      <c r="AE1521" s="387"/>
      <c r="AF1521" s="388"/>
      <c r="AG1521" s="388"/>
      <c r="AH1521" s="388"/>
      <c r="AI1521" s="388"/>
      <c r="AJ1521" s="388"/>
      <c r="AK1521" s="388"/>
      <c r="AL1521" s="388"/>
      <c r="AM1521" s="388"/>
      <c r="AN1521" s="388"/>
      <c r="AO1521" s="388"/>
      <c r="AP1521" s="388"/>
      <c r="AQ1521" s="388"/>
      <c r="AR1521" s="388"/>
      <c r="AS1521" s="388"/>
      <c r="AT1521" s="388"/>
      <c r="AU1521" s="388"/>
      <c r="AV1521" s="388"/>
      <c r="AW1521" s="388"/>
      <c r="AX1521" s="388"/>
      <c r="AY1521" s="388"/>
      <c r="AZ1521" s="388"/>
      <c r="BA1521" s="388"/>
      <c r="BB1521" s="389"/>
      <c r="BC1521" s="98">
        <v>1</v>
      </c>
      <c r="BD1521" s="74">
        <v>1</v>
      </c>
      <c r="BE1521" s="75">
        <f t="shared" si="597"/>
        <v>0</v>
      </c>
    </row>
    <row r="1522" spans="1:57" s="1" customFormat="1" ht="18" customHeight="1" x14ac:dyDescent="0.4">
      <c r="A1522" s="37" t="str">
        <f t="shared" si="590"/>
        <v>25Д</v>
      </c>
      <c r="B1522" s="183"/>
      <c r="C1522" s="41"/>
      <c r="D1522" s="184"/>
      <c r="E1522" s="282">
        <f t="shared" si="598"/>
        <v>25</v>
      </c>
      <c r="F1522" s="335"/>
      <c r="G1522" s="336"/>
      <c r="H1522" s="336"/>
      <c r="I1522" s="336"/>
      <c r="J1522" s="336"/>
      <c r="K1522" s="336"/>
      <c r="L1522" s="336"/>
      <c r="M1522" s="336"/>
      <c r="N1522" s="336"/>
      <c r="O1522" s="336"/>
      <c r="P1522" s="336"/>
      <c r="Q1522" s="336"/>
      <c r="R1522" s="336"/>
      <c r="S1522" s="336"/>
      <c r="T1522" s="336"/>
      <c r="U1522" s="336"/>
      <c r="V1522" s="336"/>
      <c r="W1522" s="336"/>
      <c r="X1522" s="98">
        <v>1</v>
      </c>
      <c r="Y1522" s="74">
        <v>1</v>
      </c>
      <c r="Z1522" s="75">
        <f t="shared" si="596"/>
        <v>0</v>
      </c>
      <c r="AA1522" s="107">
        <f t="shared" si="600"/>
        <v>0</v>
      </c>
      <c r="AB1522" s="41"/>
      <c r="AC1522" s="184"/>
      <c r="AD1522" s="212">
        <f t="shared" si="599"/>
        <v>25</v>
      </c>
      <c r="AE1522" s="387"/>
      <c r="AF1522" s="388"/>
      <c r="AG1522" s="388"/>
      <c r="AH1522" s="388"/>
      <c r="AI1522" s="388"/>
      <c r="AJ1522" s="388"/>
      <c r="AK1522" s="388"/>
      <c r="AL1522" s="388"/>
      <c r="AM1522" s="388"/>
      <c r="AN1522" s="388"/>
      <c r="AO1522" s="388"/>
      <c r="AP1522" s="388"/>
      <c r="AQ1522" s="388"/>
      <c r="AR1522" s="388"/>
      <c r="AS1522" s="388"/>
      <c r="AT1522" s="388"/>
      <c r="AU1522" s="388"/>
      <c r="AV1522" s="388"/>
      <c r="AW1522" s="388"/>
      <c r="AX1522" s="388"/>
      <c r="AY1522" s="388"/>
      <c r="AZ1522" s="388"/>
      <c r="BA1522" s="388"/>
      <c r="BB1522" s="389"/>
      <c r="BC1522" s="98">
        <v>1</v>
      </c>
      <c r="BD1522" s="74">
        <v>1</v>
      </c>
      <c r="BE1522" s="75">
        <f t="shared" si="597"/>
        <v>0</v>
      </c>
    </row>
    <row r="1523" spans="1:57" s="1" customFormat="1" ht="18" customHeight="1" x14ac:dyDescent="0.4">
      <c r="A1523" s="37" t="str">
        <f t="shared" si="590"/>
        <v>25Д</v>
      </c>
      <c r="B1523" s="183"/>
      <c r="C1523" s="41"/>
      <c r="D1523" s="184"/>
      <c r="E1523" s="282">
        <f t="shared" si="598"/>
        <v>25</v>
      </c>
      <c r="F1523" s="335"/>
      <c r="G1523" s="336"/>
      <c r="H1523" s="336"/>
      <c r="I1523" s="336"/>
      <c r="J1523" s="336"/>
      <c r="K1523" s="336"/>
      <c r="L1523" s="336"/>
      <c r="M1523" s="336"/>
      <c r="N1523" s="336"/>
      <c r="O1523" s="336"/>
      <c r="P1523" s="336"/>
      <c r="Q1523" s="336"/>
      <c r="R1523" s="336"/>
      <c r="S1523" s="336"/>
      <c r="T1523" s="336"/>
      <c r="U1523" s="336"/>
      <c r="V1523" s="336"/>
      <c r="W1523" s="336"/>
      <c r="X1523" s="98">
        <v>1</v>
      </c>
      <c r="Y1523" s="74">
        <v>1</v>
      </c>
      <c r="Z1523" s="75">
        <f t="shared" si="596"/>
        <v>0</v>
      </c>
      <c r="AA1523" s="107">
        <f t="shared" si="600"/>
        <v>0</v>
      </c>
      <c r="AB1523" s="41"/>
      <c r="AC1523" s="184"/>
      <c r="AD1523" s="212">
        <f t="shared" si="599"/>
        <v>25</v>
      </c>
      <c r="AE1523" s="387"/>
      <c r="AF1523" s="388"/>
      <c r="AG1523" s="388"/>
      <c r="AH1523" s="388"/>
      <c r="AI1523" s="388"/>
      <c r="AJ1523" s="388"/>
      <c r="AK1523" s="388"/>
      <c r="AL1523" s="388"/>
      <c r="AM1523" s="388"/>
      <c r="AN1523" s="388"/>
      <c r="AO1523" s="388"/>
      <c r="AP1523" s="388"/>
      <c r="AQ1523" s="388"/>
      <c r="AR1523" s="388"/>
      <c r="AS1523" s="388"/>
      <c r="AT1523" s="388"/>
      <c r="AU1523" s="388"/>
      <c r="AV1523" s="388"/>
      <c r="AW1523" s="388"/>
      <c r="AX1523" s="388"/>
      <c r="AY1523" s="388"/>
      <c r="AZ1523" s="388"/>
      <c r="BA1523" s="388"/>
      <c r="BB1523" s="389"/>
      <c r="BC1523" s="98">
        <v>1</v>
      </c>
      <c r="BD1523" s="74">
        <v>1</v>
      </c>
      <c r="BE1523" s="75">
        <f t="shared" si="597"/>
        <v>0</v>
      </c>
    </row>
    <row r="1524" spans="1:57" s="1" customFormat="1" ht="18" customHeight="1" x14ac:dyDescent="0.4">
      <c r="A1524" s="37" t="str">
        <f t="shared" si="590"/>
        <v>25Д</v>
      </c>
      <c r="B1524" s="183"/>
      <c r="C1524" s="41"/>
      <c r="D1524" s="184"/>
      <c r="E1524" s="282">
        <f t="shared" si="598"/>
        <v>25</v>
      </c>
      <c r="F1524" s="335"/>
      <c r="G1524" s="336"/>
      <c r="H1524" s="336"/>
      <c r="I1524" s="336"/>
      <c r="J1524" s="336"/>
      <c r="K1524" s="336"/>
      <c r="L1524" s="336"/>
      <c r="M1524" s="336"/>
      <c r="N1524" s="336"/>
      <c r="O1524" s="336"/>
      <c r="P1524" s="336"/>
      <c r="Q1524" s="336"/>
      <c r="R1524" s="336"/>
      <c r="S1524" s="336"/>
      <c r="T1524" s="336"/>
      <c r="U1524" s="336"/>
      <c r="V1524" s="336"/>
      <c r="W1524" s="336"/>
      <c r="X1524" s="98">
        <v>1</v>
      </c>
      <c r="Y1524" s="74">
        <v>1</v>
      </c>
      <c r="Z1524" s="75">
        <f t="shared" si="596"/>
        <v>0</v>
      </c>
      <c r="AA1524" s="107">
        <f t="shared" si="600"/>
        <v>0</v>
      </c>
      <c r="AB1524" s="41"/>
      <c r="AC1524" s="184"/>
      <c r="AD1524" s="212">
        <f t="shared" si="599"/>
        <v>25</v>
      </c>
      <c r="AE1524" s="387"/>
      <c r="AF1524" s="388"/>
      <c r="AG1524" s="388"/>
      <c r="AH1524" s="388"/>
      <c r="AI1524" s="388"/>
      <c r="AJ1524" s="388"/>
      <c r="AK1524" s="388"/>
      <c r="AL1524" s="388"/>
      <c r="AM1524" s="388"/>
      <c r="AN1524" s="388"/>
      <c r="AO1524" s="388"/>
      <c r="AP1524" s="388"/>
      <c r="AQ1524" s="388"/>
      <c r="AR1524" s="388"/>
      <c r="AS1524" s="388"/>
      <c r="AT1524" s="388"/>
      <c r="AU1524" s="388"/>
      <c r="AV1524" s="388"/>
      <c r="AW1524" s="388"/>
      <c r="AX1524" s="388"/>
      <c r="AY1524" s="388"/>
      <c r="AZ1524" s="388"/>
      <c r="BA1524" s="388"/>
      <c r="BB1524" s="389"/>
      <c r="BC1524" s="98">
        <v>1</v>
      </c>
      <c r="BD1524" s="74">
        <v>1</v>
      </c>
      <c r="BE1524" s="75">
        <f t="shared" si="597"/>
        <v>0</v>
      </c>
    </row>
    <row r="1525" spans="1:57" s="1" customFormat="1" ht="18" customHeight="1" x14ac:dyDescent="0.4">
      <c r="A1525" s="37" t="str">
        <f t="shared" si="590"/>
        <v>25Д</v>
      </c>
      <c r="B1525" s="183"/>
      <c r="C1525" s="41"/>
      <c r="D1525" s="184"/>
      <c r="E1525" s="282">
        <f t="shared" si="598"/>
        <v>25</v>
      </c>
      <c r="F1525" s="335"/>
      <c r="G1525" s="336"/>
      <c r="H1525" s="336"/>
      <c r="I1525" s="336"/>
      <c r="J1525" s="336"/>
      <c r="K1525" s="336"/>
      <c r="L1525" s="336"/>
      <c r="M1525" s="336"/>
      <c r="N1525" s="336"/>
      <c r="O1525" s="336"/>
      <c r="P1525" s="336"/>
      <c r="Q1525" s="336"/>
      <c r="R1525" s="336"/>
      <c r="S1525" s="336"/>
      <c r="T1525" s="336"/>
      <c r="U1525" s="336"/>
      <c r="V1525" s="336"/>
      <c r="W1525" s="336"/>
      <c r="X1525" s="98">
        <v>1</v>
      </c>
      <c r="Y1525" s="74">
        <v>1</v>
      </c>
      <c r="Z1525" s="75">
        <f t="shared" si="596"/>
        <v>0</v>
      </c>
      <c r="AA1525" s="107">
        <f t="shared" si="600"/>
        <v>0</v>
      </c>
      <c r="AB1525" s="41"/>
      <c r="AC1525" s="184"/>
      <c r="AD1525" s="212">
        <f t="shared" si="599"/>
        <v>25</v>
      </c>
      <c r="AE1525" s="387"/>
      <c r="AF1525" s="388"/>
      <c r="AG1525" s="388"/>
      <c r="AH1525" s="388"/>
      <c r="AI1525" s="388"/>
      <c r="AJ1525" s="388"/>
      <c r="AK1525" s="388"/>
      <c r="AL1525" s="388"/>
      <c r="AM1525" s="388"/>
      <c r="AN1525" s="388"/>
      <c r="AO1525" s="388"/>
      <c r="AP1525" s="388"/>
      <c r="AQ1525" s="388"/>
      <c r="AR1525" s="388"/>
      <c r="AS1525" s="388"/>
      <c r="AT1525" s="388"/>
      <c r="AU1525" s="388"/>
      <c r="AV1525" s="388"/>
      <c r="AW1525" s="388"/>
      <c r="AX1525" s="388"/>
      <c r="AY1525" s="388"/>
      <c r="AZ1525" s="388"/>
      <c r="BA1525" s="388"/>
      <c r="BB1525" s="389"/>
      <c r="BC1525" s="98">
        <v>1</v>
      </c>
      <c r="BD1525" s="74">
        <v>1</v>
      </c>
      <c r="BE1525" s="75">
        <f t="shared" si="597"/>
        <v>0</v>
      </c>
    </row>
    <row r="1526" spans="1:57" s="1" customFormat="1" ht="18" customHeight="1" x14ac:dyDescent="0.4">
      <c r="A1526" s="37" t="str">
        <f t="shared" si="590"/>
        <v>25Д</v>
      </c>
      <c r="B1526" s="183"/>
      <c r="C1526" s="41"/>
      <c r="D1526" s="184"/>
      <c r="E1526" s="282">
        <f t="shared" si="598"/>
        <v>25</v>
      </c>
      <c r="F1526" s="335"/>
      <c r="G1526" s="336"/>
      <c r="H1526" s="336"/>
      <c r="I1526" s="336"/>
      <c r="J1526" s="336"/>
      <c r="K1526" s="336"/>
      <c r="L1526" s="336"/>
      <c r="M1526" s="336"/>
      <c r="N1526" s="336"/>
      <c r="O1526" s="336"/>
      <c r="P1526" s="336"/>
      <c r="Q1526" s="336"/>
      <c r="R1526" s="336"/>
      <c r="S1526" s="336"/>
      <c r="T1526" s="336"/>
      <c r="U1526" s="336"/>
      <c r="V1526" s="336"/>
      <c r="W1526" s="336"/>
      <c r="X1526" s="98">
        <v>1</v>
      </c>
      <c r="Y1526" s="74">
        <v>1</v>
      </c>
      <c r="Z1526" s="75">
        <f t="shared" si="596"/>
        <v>0</v>
      </c>
      <c r="AA1526" s="107">
        <f t="shared" si="600"/>
        <v>0</v>
      </c>
      <c r="AB1526" s="41"/>
      <c r="AC1526" s="184"/>
      <c r="AD1526" s="212">
        <f t="shared" si="599"/>
        <v>25</v>
      </c>
      <c r="AE1526" s="387"/>
      <c r="AF1526" s="388"/>
      <c r="AG1526" s="388"/>
      <c r="AH1526" s="388"/>
      <c r="AI1526" s="388"/>
      <c r="AJ1526" s="388"/>
      <c r="AK1526" s="388"/>
      <c r="AL1526" s="388"/>
      <c r="AM1526" s="388"/>
      <c r="AN1526" s="388"/>
      <c r="AO1526" s="388"/>
      <c r="AP1526" s="388"/>
      <c r="AQ1526" s="388"/>
      <c r="AR1526" s="388"/>
      <c r="AS1526" s="388"/>
      <c r="AT1526" s="388"/>
      <c r="AU1526" s="388"/>
      <c r="AV1526" s="388"/>
      <c r="AW1526" s="388"/>
      <c r="AX1526" s="388"/>
      <c r="AY1526" s="388"/>
      <c r="AZ1526" s="388"/>
      <c r="BA1526" s="388"/>
      <c r="BB1526" s="389"/>
      <c r="BC1526" s="98">
        <v>1</v>
      </c>
      <c r="BD1526" s="74">
        <v>1</v>
      </c>
      <c r="BE1526" s="75">
        <f t="shared" si="597"/>
        <v>0</v>
      </c>
    </row>
    <row r="1527" spans="1:57" s="1" customFormat="1" ht="18" customHeight="1" thickBot="1" x14ac:dyDescent="0.45">
      <c r="A1527" s="37" t="str">
        <f t="shared" si="590"/>
        <v>25Д</v>
      </c>
      <c r="B1527" s="183"/>
      <c r="C1527" s="41"/>
      <c r="D1527" s="184"/>
      <c r="E1527" s="283">
        <f t="shared" si="598"/>
        <v>25</v>
      </c>
      <c r="F1527" s="339"/>
      <c r="G1527" s="340"/>
      <c r="H1527" s="340"/>
      <c r="I1527" s="340"/>
      <c r="J1527" s="340"/>
      <c r="K1527" s="340"/>
      <c r="L1527" s="340"/>
      <c r="M1527" s="340"/>
      <c r="N1527" s="340"/>
      <c r="O1527" s="340"/>
      <c r="P1527" s="340"/>
      <c r="Q1527" s="340"/>
      <c r="R1527" s="340"/>
      <c r="S1527" s="340"/>
      <c r="T1527" s="340"/>
      <c r="U1527" s="340"/>
      <c r="V1527" s="340"/>
      <c r="W1527" s="340"/>
      <c r="X1527" s="99">
        <v>1</v>
      </c>
      <c r="Y1527" s="76">
        <v>1</v>
      </c>
      <c r="Z1527" s="77">
        <f t="shared" si="596"/>
        <v>0</v>
      </c>
      <c r="AA1527" s="107">
        <f t="shared" si="600"/>
        <v>0</v>
      </c>
      <c r="AB1527" s="41"/>
      <c r="AC1527" s="184"/>
      <c r="AD1527" s="211">
        <f t="shared" si="599"/>
        <v>25</v>
      </c>
      <c r="AE1527" s="410"/>
      <c r="AF1527" s="411"/>
      <c r="AG1527" s="411"/>
      <c r="AH1527" s="411"/>
      <c r="AI1527" s="411"/>
      <c r="AJ1527" s="411"/>
      <c r="AK1527" s="411"/>
      <c r="AL1527" s="411"/>
      <c r="AM1527" s="411"/>
      <c r="AN1527" s="411"/>
      <c r="AO1527" s="411"/>
      <c r="AP1527" s="411"/>
      <c r="AQ1527" s="411"/>
      <c r="AR1527" s="411"/>
      <c r="AS1527" s="411"/>
      <c r="AT1527" s="411"/>
      <c r="AU1527" s="411"/>
      <c r="AV1527" s="411"/>
      <c r="AW1527" s="411"/>
      <c r="AX1527" s="411"/>
      <c r="AY1527" s="411"/>
      <c r="AZ1527" s="411"/>
      <c r="BA1527" s="411"/>
      <c r="BB1527" s="412"/>
      <c r="BC1527" s="99">
        <v>1</v>
      </c>
      <c r="BD1527" s="76">
        <v>1</v>
      </c>
      <c r="BE1527" s="75">
        <f t="shared" si="597"/>
        <v>0</v>
      </c>
    </row>
    <row r="1528" spans="1:57" s="1" customFormat="1" ht="23.25" customHeight="1" thickBot="1" x14ac:dyDescent="0.45">
      <c r="A1528" s="37" t="str">
        <f t="shared" si="590"/>
        <v>25Д</v>
      </c>
      <c r="B1528" s="193"/>
      <c r="C1528" s="47"/>
      <c r="D1528" s="47"/>
      <c r="E1528" s="47"/>
      <c r="F1528" s="78"/>
      <c r="G1528" s="78"/>
      <c r="H1528" s="78"/>
      <c r="I1528" s="80"/>
      <c r="J1528" s="80"/>
      <c r="K1528" s="80"/>
      <c r="L1528" s="80"/>
      <c r="M1528" s="80"/>
      <c r="N1528" s="80"/>
      <c r="O1528" s="78"/>
      <c r="P1528" s="81"/>
      <c r="Q1528" s="81"/>
      <c r="R1528" s="81"/>
      <c r="S1528" s="81"/>
      <c r="T1528" s="81"/>
      <c r="U1528" s="82"/>
      <c r="V1528" s="82"/>
      <c r="W1528" s="86"/>
      <c r="X1528" s="194"/>
      <c r="Y1528" s="83"/>
      <c r="Z1528" s="83"/>
      <c r="AA1528" s="78"/>
      <c r="AB1528" s="47"/>
      <c r="AC1528" s="47"/>
      <c r="AD1528" s="47"/>
      <c r="AE1528" s="47"/>
      <c r="AF1528" s="47"/>
      <c r="AG1528" s="47"/>
      <c r="AH1528" s="47"/>
      <c r="AI1528" s="47"/>
      <c r="AJ1528" s="47"/>
      <c r="AK1528" s="47"/>
      <c r="AL1528" s="47"/>
      <c r="AM1528" s="84"/>
      <c r="AN1528" s="47"/>
      <c r="AO1528" s="78"/>
      <c r="AP1528" s="78"/>
      <c r="AQ1528" s="78"/>
      <c r="AR1528" s="84"/>
      <c r="AS1528" s="78"/>
      <c r="AT1528" s="85"/>
      <c r="AU1528" s="78"/>
      <c r="AV1528" s="83"/>
      <c r="AW1528" s="83"/>
      <c r="AX1528" s="78"/>
      <c r="AY1528" s="78"/>
      <c r="AZ1528" s="78"/>
      <c r="BA1528" s="78"/>
      <c r="BB1528" s="78"/>
      <c r="BC1528" s="78"/>
      <c r="BD1528" s="79"/>
      <c r="BE1528" s="79"/>
    </row>
    <row r="1529" spans="1:57" s="1" customFormat="1" ht="21.6" customHeight="1" thickBot="1" x14ac:dyDescent="0.45">
      <c r="A1529" s="37" t="s">
        <v>195</v>
      </c>
      <c r="B1529" s="59"/>
      <c r="C1529" s="51"/>
      <c r="D1529" s="51"/>
      <c r="E1529" s="51"/>
      <c r="F1529" s="158" t="s">
        <v>220</v>
      </c>
      <c r="G1529" s="51"/>
      <c r="H1529" s="51"/>
      <c r="I1529" s="156"/>
      <c r="J1529" s="156"/>
      <c r="K1529" s="156"/>
      <c r="L1529" s="156"/>
      <c r="M1529" s="156"/>
      <c r="N1529" s="156"/>
      <c r="O1529" s="91"/>
      <c r="P1529" s="52"/>
      <c r="Q1529" s="52"/>
      <c r="R1529" s="52"/>
      <c r="S1529" s="52"/>
      <c r="T1529" s="52"/>
      <c r="U1529" s="157"/>
      <c r="V1529" s="157"/>
      <c r="W1529" s="94"/>
      <c r="X1529" s="94"/>
      <c r="Y1529" s="51"/>
      <c r="Z1529" s="51"/>
      <c r="AA1529" s="157">
        <f>AA1512</f>
        <v>1</v>
      </c>
      <c r="AB1529" s="157">
        <f t="shared" ref="AB1529:AF1529" si="601">AB1512</f>
        <v>2</v>
      </c>
      <c r="AC1529" s="157">
        <f t="shared" si="601"/>
        <v>3</v>
      </c>
      <c r="AD1529" s="157">
        <f t="shared" si="601"/>
        <v>4</v>
      </c>
      <c r="AE1529" s="157">
        <f t="shared" si="601"/>
        <v>5</v>
      </c>
      <c r="AF1529" s="157">
        <f t="shared" si="601"/>
        <v>6</v>
      </c>
      <c r="AG1529" s="162" t="s">
        <v>123</v>
      </c>
      <c r="AH1529" s="162" t="s">
        <v>124</v>
      </c>
      <c r="AI1529" s="162" t="s">
        <v>125</v>
      </c>
      <c r="AJ1529" s="91" t="s">
        <v>126</v>
      </c>
      <c r="AK1529" s="198" t="s">
        <v>136</v>
      </c>
      <c r="AL1529" s="198" t="s">
        <v>137</v>
      </c>
      <c r="AM1529" s="198" t="s">
        <v>138</v>
      </c>
      <c r="AN1529" s="91"/>
      <c r="AO1529" s="91"/>
      <c r="AP1529" s="91"/>
      <c r="AQ1529" s="91"/>
      <c r="AR1529" s="91"/>
      <c r="AS1529" s="91"/>
      <c r="AT1529" s="91"/>
      <c r="AU1529" s="91"/>
      <c r="AV1529" s="91"/>
      <c r="AW1529" s="91"/>
      <c r="AX1529" s="91"/>
      <c r="AY1529" s="91"/>
      <c r="AZ1529" s="91"/>
      <c r="BA1529" s="91"/>
      <c r="BB1529" s="91"/>
      <c r="BC1529" s="91"/>
      <c r="BD1529" s="91"/>
      <c r="BE1529" s="91"/>
    </row>
    <row r="1530" spans="1:57" s="1" customFormat="1" ht="21.6" customHeight="1" x14ac:dyDescent="0.4">
      <c r="A1530" s="37" t="str">
        <f>A1529</f>
        <v>25Н</v>
      </c>
      <c r="B1530" s="12">
        <f>B1511</f>
        <v>25</v>
      </c>
      <c r="C1530" s="97"/>
      <c r="D1530" s="97">
        <v>1</v>
      </c>
      <c r="E1530" s="29"/>
      <c r="F1530" s="151" t="str">
        <f>IFERROR(VLOOKUP($G1530,нормы!$A$14:$BC$57,2,0),"")</f>
        <v/>
      </c>
      <c r="G1530" s="93"/>
      <c r="H1530" s="54">
        <f>IF(C1530=1,"Кульков С.А.", IF(C1530=2,"Чудаков А.А.",IF(C1530=3,"Королев В.Н.",IF(C1530=4,"Николашин М.П.",IF(C1530=5," Кульков С.А.",IF(C1530=6,"А.А. Чудаков",IF(C1530=7,"В.Н. Королев",IF(C1530=8,"М.П. Николашин",0))))))))</f>
        <v>0</v>
      </c>
      <c r="I1530" s="88" t="s">
        <v>84</v>
      </c>
      <c r="J1530" s="332"/>
      <c r="K1530" s="30">
        <f>IFERROR(VLOOKUP($G1530,[1]нормы!$A$21:$BC$151,15,0),"")</f>
        <v>0</v>
      </c>
      <c r="L1530" s="31">
        <f>IFERROR(VLOOKUP($G1530,[1]нормы!$A$21:$BC$151,17,0),"")</f>
        <v>0</v>
      </c>
      <c r="M1530" s="310">
        <f>IFERROR(VLOOKUP($G1530,[1]нормы!$A$21:$BC$151,27,0),"")</f>
        <v>0</v>
      </c>
      <c r="N1530" s="311" t="str">
        <f>IFERROR(Y1530/Y1536*(1.1*J1530*I1535),"")</f>
        <v/>
      </c>
      <c r="O1530" s="300">
        <f>IFERROR(VLOOKUP($G1530,[1]нормы!$A$21:$BC$151,21,0),"")</f>
        <v>0</v>
      </c>
      <c r="P1530" s="35">
        <f>IFERROR(VLOOKUP($G1530,[1]нормы!$A$21:$BC$151,19,0),"")</f>
        <v>0</v>
      </c>
      <c r="Q1530" s="35">
        <f>IFERROR(VLOOKUP($G1530,[1]нормы!$A$21:$BC$151,23,0),"")</f>
        <v>0</v>
      </c>
      <c r="R1530" s="231">
        <f>IFERROR(VLOOKUP($G1530,[1]нормы!$A$21:$BC$151,29,0),"")</f>
        <v>0</v>
      </c>
      <c r="S1530" s="35">
        <f>IFERROR(VLOOKUP($G1530,[1]нормы!$A$21:$BC$151,31,0),"")</f>
        <v>0</v>
      </c>
      <c r="T1530" s="32">
        <f>IFERROR(VLOOKUP($G1530,[1]нормы!$A$21:$BC$151,25,0),"")</f>
        <v>0</v>
      </c>
      <c r="U1530" s="232" t="str">
        <f>IFERROR(W1530/(((100*Y1530/Y1536)*I1535)/100),"")</f>
        <v/>
      </c>
      <c r="V1530" s="234" t="str">
        <f>IFERROR(VLOOKUP($G1530,нормы!$A$14:$BC$57,38,0),"")</f>
        <v/>
      </c>
      <c r="W1530" s="136"/>
      <c r="X1530" s="236"/>
      <c r="Y1530" s="152" t="str">
        <f>IFERROR(VLOOKUP($G1530,нормы!$A$14:$BC$57,42,0)*W1530,"")</f>
        <v/>
      </c>
      <c r="Z1530" s="163">
        <f>IFERROR(VLOOKUP($G1530,нормы!$A$14:$BC$57,14,0)*W1530/1000,0)</f>
        <v>0</v>
      </c>
      <c r="AA1530" s="33"/>
      <c r="AB1530" s="36"/>
      <c r="AC1530" s="36"/>
      <c r="AD1530" s="36"/>
      <c r="AE1530" s="34"/>
      <c r="AF1530" s="159"/>
      <c r="AG1530" s="390"/>
      <c r="AH1530" s="393"/>
      <c r="AI1530" s="396"/>
      <c r="AJ1530" s="407">
        <f>AG1530+AH1530</f>
        <v>0</v>
      </c>
      <c r="AK1530" s="359"/>
      <c r="AL1530" s="359"/>
      <c r="AM1530" s="359"/>
      <c r="AN1530" s="287">
        <f>IFERROR(Y1530*AJ1530/Y1536,)</f>
        <v>0</v>
      </c>
      <c r="AO1530" s="197" t="str">
        <f>IFERROR(VLOOKUP($G1530,нормы!$A$14:$BC$57,53,0)*$W1530,"")</f>
        <v/>
      </c>
      <c r="AP1530" s="288">
        <f>IFERROR(Y1530*AI1530/Y1536,)</f>
        <v>0</v>
      </c>
      <c r="AQ1530" s="197" t="str">
        <f>IFERROR(VLOOKUP($G1530,нормы!$A$14:$BC$57,54,0)*$W1530,"")</f>
        <v/>
      </c>
      <c r="AR1530" s="288">
        <f>IFERROR(AS1530/SUM(AS1530:AS1535)*AL1530,0)</f>
        <v>0</v>
      </c>
      <c r="AS1530" s="197" t="str">
        <f>IFERROR(VLOOKUP($G1530,нормы!$A$14:$BC$57,55,0)*W1530,"")</f>
        <v/>
      </c>
      <c r="AT1530" s="288">
        <f>IFERROR(AU1530/SUM(AU1530:AU1535)*AM1530,0)</f>
        <v>0</v>
      </c>
      <c r="AU1530" s="197" t="str">
        <f>IFERROR(VLOOKUP($G1530,нормы!$A$14:$BI$57,56,0)*W1530,"")</f>
        <v/>
      </c>
      <c r="AV1530" s="288">
        <f>IFERROR(AW1530/SUM(AW1530:AW1535)*AK1530,0)</f>
        <v>0</v>
      </c>
      <c r="AW1530" s="202" t="str">
        <f>IFERROR(VLOOKUP($G1530,нормы!$A$14:$BI$57,57,0)*W1530,"")</f>
        <v/>
      </c>
      <c r="AX1530" s="33"/>
      <c r="AY1530" s="203" t="str">
        <f>IFERROR(VLOOKUP($G1530,нормы!$A$14:$BI$57,58,0)*W1530,"")</f>
        <v/>
      </c>
      <c r="AZ1530" s="204"/>
      <c r="BA1530" s="200" t="str">
        <f>IFERROR(VLOOKUP($G1530,нормы!$A$14:$BI$57,61,0)*$W1530,"")</f>
        <v/>
      </c>
      <c r="BB1530" s="33"/>
      <c r="BC1530" s="203" t="str">
        <f>IFERROR(VLOOKUP($G1530,нормы!$A$14:$BI$57,60,0)*W1530,"")</f>
        <v/>
      </c>
      <c r="BD1530" s="200" t="str">
        <f>IFERROR(VLOOKUP($G1530,нормы!$A$14:$BG$57,44,0),"")</f>
        <v/>
      </c>
      <c r="BE1530" s="199" t="str">
        <f>IFERROR(W1530/VLOOKUP($G1530,нормы!$A$14:$BI$57,45,0),"")</f>
        <v/>
      </c>
    </row>
    <row r="1531" spans="1:57" s="1" customFormat="1" ht="21.6" customHeight="1" x14ac:dyDescent="0.4">
      <c r="A1531" s="37" t="str">
        <f t="shared" ref="A1531:A1559" si="602">A1530</f>
        <v>25Н</v>
      </c>
      <c r="B1531" s="12">
        <f t="shared" ref="B1531:D1535" si="603">B1530</f>
        <v>25</v>
      </c>
      <c r="C1531" s="97">
        <f t="shared" si="603"/>
        <v>0</v>
      </c>
      <c r="D1531" s="97">
        <f t="shared" si="603"/>
        <v>1</v>
      </c>
      <c r="E1531" s="54"/>
      <c r="F1531" s="151" t="str">
        <f>IFERROR(VLOOKUP($G1531,нормы!$A$14:$BC$57,2,0),"")</f>
        <v/>
      </c>
      <c r="G1531" s="93"/>
      <c r="H1531" s="54">
        <f t="shared" ref="H1531:H1535" si="604">IF(C1531=1,"Кульков С.А.", IF(C1531=2,"Чудаков А.А.",IF(C1531=3,"Королев В.Н.",IF(C1531=4,"Николашин М.П.",IF(C1531=5," Кульков С.А.",IF(C1531=6,"А.А. Чудаков",IF(C1531=7,"В.Н. Королев",IF(C1531=8,"М.П. Николашин",0))))))))</f>
        <v>0</v>
      </c>
      <c r="I1531" s="55"/>
      <c r="J1531" s="333"/>
      <c r="K1531" s="30">
        <f>IFERROR(VLOOKUP($G1531,[1]нормы!$A$21:$BC$151,15,0),"")</f>
        <v>0</v>
      </c>
      <c r="L1531" s="31">
        <f>IFERROR(VLOOKUP($G1531,[1]нормы!$A$21:$BC$151,17,0),"")</f>
        <v>0</v>
      </c>
      <c r="M1531" s="306">
        <f>IFERROR(VLOOKUP($G1531,[1]нормы!$A$21:$BC$151,27,0),"")</f>
        <v>0</v>
      </c>
      <c r="N1531" s="307" t="str">
        <f>IFERROR(Y1531/Y1536*(1.1*J1530*I1535),"")</f>
        <v/>
      </c>
      <c r="O1531" s="300">
        <f>IFERROR(VLOOKUP($G1531,[1]нормы!$A$21:$BC$151,21,0),"")</f>
        <v>0</v>
      </c>
      <c r="P1531" s="35">
        <f>IFERROR(VLOOKUP($G1531,[1]нормы!$A$21:$BC$151,19,0),"")</f>
        <v>0</v>
      </c>
      <c r="Q1531" s="35">
        <f>IFERROR(VLOOKUP($G1531,[1]нормы!$A$21:$BC$151,23,0),"")</f>
        <v>0</v>
      </c>
      <c r="R1531" s="231">
        <f>IFERROR(VLOOKUP($G1531,[1]нормы!$A$21:$BC$151,29,0),"")</f>
        <v>0</v>
      </c>
      <c r="S1531" s="35">
        <f>IFERROR(VLOOKUP($G1531,[1]нормы!$A$21:$BC$151,31,0),"")</f>
        <v>0</v>
      </c>
      <c r="T1531" s="32">
        <f>IFERROR(VLOOKUP($G1531,[1]нормы!$A$21:$BC$151,25,0),"")</f>
        <v>0</v>
      </c>
      <c r="U1531" s="233" t="str">
        <f>IFERROR(W1531/(((100*Y1531/Y1536)*I1535)/100),"")</f>
        <v/>
      </c>
      <c r="V1531" s="234" t="str">
        <f>IFERROR(VLOOKUP($G1531,нормы!$A$14:$BC$57,38,0),"")</f>
        <v/>
      </c>
      <c r="W1531" s="136"/>
      <c r="X1531" s="237"/>
      <c r="Y1531" s="152" t="str">
        <f>IFERROR(VLOOKUP($G1531,нормы!$A$14:$BC$57,42,0)*W1531,"")</f>
        <v/>
      </c>
      <c r="Z1531" s="163">
        <f>IFERROR(VLOOKUP($G1531,нормы!$A$14:$BC$57,14,0)*W1531/1000,0)</f>
        <v>0</v>
      </c>
      <c r="AA1531" s="142"/>
      <c r="AB1531" s="35"/>
      <c r="AC1531" s="35"/>
      <c r="AD1531" s="35"/>
      <c r="AE1531" s="31"/>
      <c r="AF1531" s="160"/>
      <c r="AG1531" s="391"/>
      <c r="AH1531" s="394"/>
      <c r="AI1531" s="397"/>
      <c r="AJ1531" s="408"/>
      <c r="AK1531" s="360"/>
      <c r="AL1531" s="360"/>
      <c r="AM1531" s="360"/>
      <c r="AN1531" s="289">
        <f>IFERROR(Y1531*AJ1530/Y1536,)</f>
        <v>0</v>
      </c>
      <c r="AO1531" s="197" t="str">
        <f>IFERROR(VLOOKUP($G1531,нормы!$A$14:$BC$57,53,0)*$W1531,"")</f>
        <v/>
      </c>
      <c r="AP1531" s="290">
        <f>IFERROR(Y1531*AI1530/Y1536,)</f>
        <v>0</v>
      </c>
      <c r="AQ1531" s="197" t="str">
        <f>IFERROR(VLOOKUP($G1531,нормы!$A$14:$BC$57,54,0)*$W1531,"")</f>
        <v/>
      </c>
      <c r="AR1531" s="290">
        <f>IFERROR(AS1531/SUM(AS1530:AS1535)*AL1530,0)</f>
        <v>0</v>
      </c>
      <c r="AS1531" s="197" t="str">
        <f>IFERROR(VLOOKUP($G1531,нормы!$A$14:$BC$57,55,0)*W1531,"")</f>
        <v/>
      </c>
      <c r="AT1531" s="290">
        <f>IFERROR(AU1531/SUM(AU1530:AU1535)*AM1530,0)</f>
        <v>0</v>
      </c>
      <c r="AU1531" s="197" t="str">
        <f>IFERROR(VLOOKUP($G1531,нормы!$A$14:$BI$57,56,0)*W1531,"")</f>
        <v/>
      </c>
      <c r="AV1531" s="290">
        <f>IFERROR(AW1531/SUM(AW1530:AW1535)*AK1530,0)</f>
        <v>0</v>
      </c>
      <c r="AW1531" s="202" t="str">
        <f>IFERROR(VLOOKUP($G1531,нормы!$A$14:$BI$57,57,0)*W1531,"")</f>
        <v/>
      </c>
      <c r="AX1531" s="30"/>
      <c r="AY1531" s="203" t="str">
        <f>IFERROR(VLOOKUP($G1531,нормы!$A$14:$BI$57,58,0)*W1531,"")</f>
        <v/>
      </c>
      <c r="AZ1531" s="205"/>
      <c r="BA1531" s="200" t="str">
        <f>IFERROR(VLOOKUP($G1531,нормы!$A$14:$BI$57,61,0)*$W1531,"")</f>
        <v/>
      </c>
      <c r="BB1531" s="30"/>
      <c r="BC1531" s="203" t="str">
        <f>IFERROR(VLOOKUP($G1531,нормы!$A$14:$BI$57,60,0)*W1531,"")</f>
        <v/>
      </c>
      <c r="BD1531" s="200" t="str">
        <f>IFERROR(VLOOKUP($G1531,нормы!$A$14:$BG$57,44,0),"")</f>
        <v/>
      </c>
      <c r="BE1531" s="199" t="str">
        <f>IFERROR(W1531/VLOOKUP($G1531,нормы!$A$14:$BI$57,45,0),"")</f>
        <v/>
      </c>
    </row>
    <row r="1532" spans="1:57" s="1" customFormat="1" ht="20.25" customHeight="1" x14ac:dyDescent="0.4">
      <c r="A1532" s="37" t="str">
        <f t="shared" si="602"/>
        <v>25Н</v>
      </c>
      <c r="B1532" s="12">
        <f t="shared" si="603"/>
        <v>25</v>
      </c>
      <c r="C1532" s="97">
        <f t="shared" si="603"/>
        <v>0</v>
      </c>
      <c r="D1532" s="97">
        <f t="shared" si="603"/>
        <v>1</v>
      </c>
      <c r="E1532" s="54"/>
      <c r="F1532" s="151" t="str">
        <f>IFERROR(VLOOKUP($G1532,нормы!$A$14:$BC$57,2,0),"")</f>
        <v/>
      </c>
      <c r="G1532" s="38"/>
      <c r="H1532" s="54">
        <f t="shared" si="604"/>
        <v>0</v>
      </c>
      <c r="I1532" s="89" t="s">
        <v>85</v>
      </c>
      <c r="J1532" s="333"/>
      <c r="K1532" s="30">
        <f>IFERROR(VLOOKUP($G1532,[1]нормы!$A$21:$BC$151,15,0),"")</f>
        <v>0</v>
      </c>
      <c r="L1532" s="31">
        <f>IFERROR(VLOOKUP($G1532,[1]нормы!$A$21:$BC$151,17,0),"")</f>
        <v>0</v>
      </c>
      <c r="M1532" s="306">
        <f>IFERROR(VLOOKUP($G1532,[1]нормы!$A$21:$BC$151,27,0),"")</f>
        <v>0</v>
      </c>
      <c r="N1532" s="307" t="str">
        <f>IFERROR(Y1532/Y1536*(1.1*J1530*I1535),"")</f>
        <v/>
      </c>
      <c r="O1532" s="300">
        <f>IFERROR(VLOOKUP($G1532,[1]нормы!$A$21:$BC$151,21,0),"")</f>
        <v>0</v>
      </c>
      <c r="P1532" s="35">
        <f>IFERROR(VLOOKUP($G1532,[1]нормы!$A$21:$BC$151,19,0),"")</f>
        <v>0</v>
      </c>
      <c r="Q1532" s="35">
        <f>IFERROR(VLOOKUP($G1532,[1]нормы!$A$21:$BC$151,23,0),"")</f>
        <v>0</v>
      </c>
      <c r="R1532" s="231">
        <f>IFERROR(VLOOKUP($G1532,[1]нормы!$A$21:$BC$151,29,0),"")</f>
        <v>0</v>
      </c>
      <c r="S1532" s="35">
        <f>IFERROR(VLOOKUP($G1532,[1]нормы!$A$21:$BC$151,31,0),"")</f>
        <v>0</v>
      </c>
      <c r="T1532" s="32">
        <f>IFERROR(VLOOKUP($G1532,[1]нормы!$A$21:$BC$151,25,0),"")</f>
        <v>0</v>
      </c>
      <c r="U1532" s="233" t="str">
        <f>IFERROR(W1532/(((100*Y1532/Y1536)*I1535)/100),"")</f>
        <v/>
      </c>
      <c r="V1532" s="234" t="str">
        <f>IFERROR(VLOOKUP($G1532,нормы!$A$14:$BC$57,38,0),"")</f>
        <v/>
      </c>
      <c r="W1532" s="136"/>
      <c r="X1532" s="237"/>
      <c r="Y1532" s="152" t="str">
        <f>IFERROR(VLOOKUP($G1532,нормы!$A$14:$BC$57,42,0)*W1532,"")</f>
        <v/>
      </c>
      <c r="Z1532" s="163">
        <f>IFERROR(VLOOKUP($G1532,нормы!$A$14:$BC$57,14,0)*W1532/1000,0)</f>
        <v>0</v>
      </c>
      <c r="AA1532" s="30"/>
      <c r="AB1532" s="35"/>
      <c r="AC1532" s="35"/>
      <c r="AD1532" s="35"/>
      <c r="AE1532" s="31"/>
      <c r="AF1532" s="160"/>
      <c r="AG1532" s="391"/>
      <c r="AH1532" s="394"/>
      <c r="AI1532" s="397"/>
      <c r="AJ1532" s="408"/>
      <c r="AK1532" s="360"/>
      <c r="AL1532" s="360"/>
      <c r="AM1532" s="360"/>
      <c r="AN1532" s="289">
        <f>IFERROR(Y1532*AJ1530/Y1536,)</f>
        <v>0</v>
      </c>
      <c r="AO1532" s="197" t="str">
        <f>IFERROR(VLOOKUP($G1532,нормы!$A$14:$BC$57,53,0)*$W1532,"")</f>
        <v/>
      </c>
      <c r="AP1532" s="290">
        <f>IFERROR(Y1532*AI1530/Y1536,)</f>
        <v>0</v>
      </c>
      <c r="AQ1532" s="197" t="str">
        <f>IFERROR(VLOOKUP($G1532,нормы!$A$14:$BC$57,54,0)*$W1532,"")</f>
        <v/>
      </c>
      <c r="AR1532" s="290">
        <f>IFERROR(AS1532/SUM(AS1530:AS1535)*AL1530,0)</f>
        <v>0</v>
      </c>
      <c r="AS1532" s="197" t="str">
        <f>IFERROR(VLOOKUP($G1532,нормы!$A$14:$BC$57,55,0)*W1532,"")</f>
        <v/>
      </c>
      <c r="AT1532" s="290">
        <f>IFERROR(AU1532/SUM(AU1530:AU1535)*AM1530,0)</f>
        <v>0</v>
      </c>
      <c r="AU1532" s="197" t="str">
        <f>IFERROR(VLOOKUP($G1532,нормы!$A$14:$BI$57,56,0)*W1532,"")</f>
        <v/>
      </c>
      <c r="AV1532" s="290">
        <f>IFERROR(AW1532/SUM(AW1530:AW1535)*AK1530,0)</f>
        <v>0</v>
      </c>
      <c r="AW1532" s="202" t="str">
        <f>IFERROR(VLOOKUP($G1532,нормы!$A$14:$BI$57,57,0)*W1532,"")</f>
        <v/>
      </c>
      <c r="AX1532" s="30"/>
      <c r="AY1532" s="203" t="str">
        <f>IFERROR(VLOOKUP($G1532,нормы!$A$14:$BI$57,58,0)*W1532,"")</f>
        <v/>
      </c>
      <c r="AZ1532" s="205"/>
      <c r="BA1532" s="200" t="str">
        <f>IFERROR(VLOOKUP($G1532,нормы!$A$14:$BI$57,61,0)*$W1532,"")</f>
        <v/>
      </c>
      <c r="BB1532" s="30"/>
      <c r="BC1532" s="203" t="str">
        <f>IFERROR(VLOOKUP($G1532,нормы!$A$14:$BI$57,60,0)*W1532,"")</f>
        <v/>
      </c>
      <c r="BD1532" s="200" t="str">
        <f>IFERROR(VLOOKUP($G1532,нормы!$A$14:$BG$57,44,0),"")</f>
        <v/>
      </c>
      <c r="BE1532" s="199" t="str">
        <f>IFERROR(W1532/VLOOKUP($G1532,нормы!$A$14:$BI$57,45,0),"")</f>
        <v/>
      </c>
    </row>
    <row r="1533" spans="1:57" s="1" customFormat="1" ht="20.25" customHeight="1" x14ac:dyDescent="0.4">
      <c r="A1533" s="37" t="str">
        <f t="shared" si="602"/>
        <v>25Н</v>
      </c>
      <c r="B1533" s="12">
        <f t="shared" si="603"/>
        <v>25</v>
      </c>
      <c r="C1533" s="97">
        <f t="shared" si="603"/>
        <v>0</v>
      </c>
      <c r="D1533" s="97">
        <f t="shared" si="603"/>
        <v>1</v>
      </c>
      <c r="E1533" s="54"/>
      <c r="F1533" s="151" t="str">
        <f>IFERROR(VLOOKUP($G1533,нормы!$A$14:$BC$57,2,0),"")</f>
        <v/>
      </c>
      <c r="G1533" s="93"/>
      <c r="H1533" s="54">
        <f t="shared" si="604"/>
        <v>0</v>
      </c>
      <c r="I1533" s="55"/>
      <c r="J1533" s="333"/>
      <c r="K1533" s="30">
        <f>IFERROR(VLOOKUP($G1533,[1]нормы!$A$21:$BC$151,15,0),"")</f>
        <v>0</v>
      </c>
      <c r="L1533" s="31">
        <f>IFERROR(VLOOKUP($G1533,[1]нормы!$A$21:$BC$151,17,0),"")</f>
        <v>0</v>
      </c>
      <c r="M1533" s="306">
        <f>IFERROR(VLOOKUP($G1533,[1]нормы!$A$21:$BC$151,27,0),"")</f>
        <v>0</v>
      </c>
      <c r="N1533" s="307" t="str">
        <f>IFERROR(Y1533/Y1536*(1.1*J1530*I1538),"")</f>
        <v/>
      </c>
      <c r="O1533" s="300">
        <f>IFERROR(VLOOKUP($G1533,[1]нормы!$A$21:$BC$151,21,0),"")</f>
        <v>0</v>
      </c>
      <c r="P1533" s="35">
        <f>IFERROR(VLOOKUP($G1533,[1]нормы!$A$21:$BC$151,19,0),"")</f>
        <v>0</v>
      </c>
      <c r="Q1533" s="35">
        <f>IFERROR(VLOOKUP($G1533,[1]нормы!$A$21:$BC$151,23,0),"")</f>
        <v>0</v>
      </c>
      <c r="R1533" s="231">
        <f>IFERROR(VLOOKUP($G1533,[1]нормы!$A$21:$BC$151,29,0),"")</f>
        <v>0</v>
      </c>
      <c r="S1533" s="35">
        <f>IFERROR(VLOOKUP($G1533,[1]нормы!$A$21:$BC$151,31,0),"")</f>
        <v>0</v>
      </c>
      <c r="T1533" s="32">
        <f>IFERROR(VLOOKUP($G1533,[1]нормы!$A$21:$BC$151,25,0),"")</f>
        <v>0</v>
      </c>
      <c r="U1533" s="233" t="str">
        <f>IFERROR(W1533/(((100*Y1533/Y1536)*I1535)/100),"")</f>
        <v/>
      </c>
      <c r="V1533" s="234" t="str">
        <f>IFERROR(VLOOKUP($G1533,нормы!$A$14:$BC$57,38,0),"")</f>
        <v/>
      </c>
      <c r="W1533" s="136"/>
      <c r="X1533" s="237"/>
      <c r="Y1533" s="152" t="str">
        <f>IFERROR(VLOOKUP($G1533,нормы!$A$14:$BC$57,42,0)*W1533,"")</f>
        <v/>
      </c>
      <c r="Z1533" s="163">
        <f>IFERROR(VLOOKUP($G1533,нормы!$A$14:$BC$57,14,0)*W1533/1000,0)</f>
        <v>0</v>
      </c>
      <c r="AA1533" s="30"/>
      <c r="AB1533" s="35"/>
      <c r="AC1533" s="35"/>
      <c r="AD1533" s="35"/>
      <c r="AE1533" s="31"/>
      <c r="AF1533" s="160"/>
      <c r="AG1533" s="391"/>
      <c r="AH1533" s="394"/>
      <c r="AI1533" s="397"/>
      <c r="AJ1533" s="408"/>
      <c r="AK1533" s="360"/>
      <c r="AL1533" s="360"/>
      <c r="AM1533" s="360"/>
      <c r="AN1533" s="289">
        <f>IFERROR(Y1533*AJ1530/Y1536,)</f>
        <v>0</v>
      </c>
      <c r="AO1533" s="197" t="str">
        <f>IFERROR(VLOOKUP($G1533,нормы!$A$14:$BC$57,53,0)*$W1533,"")</f>
        <v/>
      </c>
      <c r="AP1533" s="290">
        <f>IFERROR(Y1533*AI1530/Y1536,)</f>
        <v>0</v>
      </c>
      <c r="AQ1533" s="197" t="str">
        <f>IFERROR(VLOOKUP($G1533,нормы!$A$14:$BC$57,54,0)*$W1533,"")</f>
        <v/>
      </c>
      <c r="AR1533" s="290">
        <f>IFERROR(AS1533/SUM(AS1530:AS1535)*AL1530,0)</f>
        <v>0</v>
      </c>
      <c r="AS1533" s="197" t="str">
        <f>IFERROR(VLOOKUP($G1533,нормы!$A$14:$BC$57,55,0)*W1533,"")</f>
        <v/>
      </c>
      <c r="AT1533" s="290">
        <f>IFERROR(AU1533/SUM(AU1530:AU1535)*AM1530,0)</f>
        <v>0</v>
      </c>
      <c r="AU1533" s="197" t="str">
        <f>IFERROR(VLOOKUP($G1533,нормы!$A$14:$BI$57,56,0)*W1533,"")</f>
        <v/>
      </c>
      <c r="AV1533" s="290">
        <f>IFERROR(AW1533/SUM(AW1530:AW1535)*AK1530,0)</f>
        <v>0</v>
      </c>
      <c r="AW1533" s="202" t="str">
        <f>IFERROR(VLOOKUP($G1533,нормы!$A$14:$BI$57,57,0)*W1533,"")</f>
        <v/>
      </c>
      <c r="AX1533" s="30"/>
      <c r="AY1533" s="203" t="str">
        <f>IFERROR(VLOOKUP($G1533,нормы!$A$14:$BI$57,58,0)*W1533,"")</f>
        <v/>
      </c>
      <c r="AZ1533" s="205"/>
      <c r="BA1533" s="200" t="str">
        <f>IFERROR(VLOOKUP($G1533,нормы!$A$14:$BI$57,61,0)*$W1533,"")</f>
        <v/>
      </c>
      <c r="BB1533" s="30"/>
      <c r="BC1533" s="203" t="str">
        <f>IFERROR(VLOOKUP($G1533,нормы!$A$14:$BI$57,60,0)*W1533,"")</f>
        <v/>
      </c>
      <c r="BD1533" s="200" t="str">
        <f>IFERROR(VLOOKUP($G1533,нормы!$A$14:$BG$57,44,0),"")</f>
        <v/>
      </c>
      <c r="BE1533" s="199" t="str">
        <f>IFERROR(W1533/VLOOKUP($G1533,нормы!$A$14:$BI$57,45,0),"")</f>
        <v/>
      </c>
    </row>
    <row r="1534" spans="1:57" s="1" customFormat="1" ht="20.25" customHeight="1" x14ac:dyDescent="0.4">
      <c r="A1534" s="37" t="str">
        <f t="shared" si="602"/>
        <v>25Н</v>
      </c>
      <c r="B1534" s="12">
        <f t="shared" si="603"/>
        <v>25</v>
      </c>
      <c r="C1534" s="97">
        <f t="shared" si="603"/>
        <v>0</v>
      </c>
      <c r="D1534" s="97">
        <f t="shared" si="603"/>
        <v>1</v>
      </c>
      <c r="E1534" s="54"/>
      <c r="F1534" s="151" t="str">
        <f>IFERROR(VLOOKUP($G1534,нормы!$A$14:$BC$57,2,0),"")</f>
        <v/>
      </c>
      <c r="G1534" s="38"/>
      <c r="H1534" s="54">
        <f t="shared" si="604"/>
        <v>0</v>
      </c>
      <c r="I1534" s="89" t="s">
        <v>73</v>
      </c>
      <c r="J1534" s="333"/>
      <c r="K1534" s="30">
        <f>IFERROR(VLOOKUP($G1534,[1]нормы!$A$21:$BC$151,15,0),"")</f>
        <v>0</v>
      </c>
      <c r="L1534" s="31">
        <f>IFERROR(VLOOKUP($G1534,[1]нормы!$A$21:$BC$151,17,0),"")</f>
        <v>0</v>
      </c>
      <c r="M1534" s="306">
        <f>IFERROR(VLOOKUP($G1534,[1]нормы!$A$21:$BC$151,27,0),"")</f>
        <v>0</v>
      </c>
      <c r="N1534" s="307" t="str">
        <f>IFERROR(Y1534/Y1536*(1.1*J1530*I1539),"")</f>
        <v/>
      </c>
      <c r="O1534" s="300">
        <f>IFERROR(VLOOKUP($G1534,[1]нормы!$A$21:$BC$151,21,0),"")</f>
        <v>0</v>
      </c>
      <c r="P1534" s="35">
        <f>IFERROR(VLOOKUP($G1534,[1]нормы!$A$21:$BC$151,19,0),"")</f>
        <v>0</v>
      </c>
      <c r="Q1534" s="35">
        <f>IFERROR(VLOOKUP($G1534,[1]нормы!$A$21:$BC$151,23,0),"")</f>
        <v>0</v>
      </c>
      <c r="R1534" s="231">
        <f>IFERROR(VLOOKUP($G1534,[1]нормы!$A$21:$BC$151,29,0),"")</f>
        <v>0</v>
      </c>
      <c r="S1534" s="35">
        <f>IFERROR(VLOOKUP($G1534,[1]нормы!$A$21:$BC$151,31,0),"")</f>
        <v>0</v>
      </c>
      <c r="T1534" s="32">
        <f>IFERROR(VLOOKUP($G1534,[1]нормы!$A$21:$BC$151,25,0),"")</f>
        <v>0</v>
      </c>
      <c r="U1534" s="233" t="str">
        <f>IFERROR(W1534/(((100*Y1534/Y1536)*I1535)/100),"")</f>
        <v/>
      </c>
      <c r="V1534" s="234" t="str">
        <f>IFERROR(VLOOKUP($G1534,нормы!$A$14:$BC$57,38,0),"")</f>
        <v/>
      </c>
      <c r="W1534" s="136"/>
      <c r="X1534" s="237"/>
      <c r="Y1534" s="152" t="str">
        <f>IFERROR(VLOOKUP($G1534,нормы!$A$14:$BC$57,42,0)*W1534,"")</f>
        <v/>
      </c>
      <c r="Z1534" s="163">
        <f>IFERROR(VLOOKUP($G1534,нормы!$A$14:$BC$57,14,0)*W1534/1000,0)</f>
        <v>0</v>
      </c>
      <c r="AA1534" s="30"/>
      <c r="AB1534" s="35"/>
      <c r="AC1534" s="35"/>
      <c r="AD1534" s="35"/>
      <c r="AE1534" s="31"/>
      <c r="AF1534" s="160"/>
      <c r="AG1534" s="391"/>
      <c r="AH1534" s="394"/>
      <c r="AI1534" s="397"/>
      <c r="AJ1534" s="408"/>
      <c r="AK1534" s="360"/>
      <c r="AL1534" s="360"/>
      <c r="AM1534" s="360"/>
      <c r="AN1534" s="289">
        <f>IFERROR(Y1534*AJ1530/Y1536,)</f>
        <v>0</v>
      </c>
      <c r="AO1534" s="197" t="str">
        <f>IFERROR(VLOOKUP($G1534,нормы!$A$14:$BC$57,53,0)*$W1534,"")</f>
        <v/>
      </c>
      <c r="AP1534" s="290">
        <f>IFERROR(Y1534*AI1530/Y1536,)</f>
        <v>0</v>
      </c>
      <c r="AQ1534" s="197" t="str">
        <f>IFERROR(VLOOKUP($G1534,нормы!$A$14:$BC$57,54,0)*$W1534,"")</f>
        <v/>
      </c>
      <c r="AR1534" s="290">
        <f>IFERROR(AS1534/SUM(AS1530:AS1535)*AL1530,0)</f>
        <v>0</v>
      </c>
      <c r="AS1534" s="197" t="str">
        <f>IFERROR(VLOOKUP($G1534,нормы!$A$14:$BC$57,55,0)*W1534,"")</f>
        <v/>
      </c>
      <c r="AT1534" s="290">
        <f>IFERROR(AU1534/SUM(AU1530:AU1535)*AM1530,0)</f>
        <v>0</v>
      </c>
      <c r="AU1534" s="197" t="str">
        <f>IFERROR(VLOOKUP($G1534,нормы!$A$14:$BI$57,56,0)*W1534,"")</f>
        <v/>
      </c>
      <c r="AV1534" s="290">
        <f>IFERROR(AW1534/SUM(AW1530:AW1535)*AK1530,0)</f>
        <v>0</v>
      </c>
      <c r="AW1534" s="202" t="str">
        <f>IFERROR(VLOOKUP($G1534,нормы!$A$14:$BI$57,57,0)*W1534,"")</f>
        <v/>
      </c>
      <c r="AX1534" s="30"/>
      <c r="AY1534" s="203" t="str">
        <f>IFERROR(VLOOKUP($G1534,нормы!$A$14:$BI$57,58,0)*W1534,"")</f>
        <v/>
      </c>
      <c r="AZ1534" s="205"/>
      <c r="BA1534" s="200" t="str">
        <f>IFERROR(VLOOKUP($G1534,нормы!$A$14:$BI$57,61,0)*$W1534,"")</f>
        <v/>
      </c>
      <c r="BB1534" s="30"/>
      <c r="BC1534" s="203" t="str">
        <f>IFERROR(VLOOKUP($G1534,нормы!$A$14:$BI$57,60,0)*W1534,"")</f>
        <v/>
      </c>
      <c r="BD1534" s="200" t="str">
        <f>IFERROR(VLOOKUP($G1534,нормы!$A$14:$BG$57,44,0),"")</f>
        <v/>
      </c>
      <c r="BE1534" s="199" t="str">
        <f>IFERROR(W1534/VLOOKUP($G1534,нормы!$A$14:$BI$57,45,0),"")</f>
        <v/>
      </c>
    </row>
    <row r="1535" spans="1:57" s="1" customFormat="1" ht="21" customHeight="1" thickBot="1" x14ac:dyDescent="0.45">
      <c r="A1535" s="37" t="str">
        <f t="shared" si="602"/>
        <v>25Н</v>
      </c>
      <c r="B1535" s="12">
        <f t="shared" si="603"/>
        <v>25</v>
      </c>
      <c r="C1535" s="97">
        <f t="shared" si="603"/>
        <v>0</v>
      </c>
      <c r="D1535" s="97">
        <f t="shared" si="603"/>
        <v>1</v>
      </c>
      <c r="E1535" s="54"/>
      <c r="F1535" s="151" t="str">
        <f>IFERROR(VLOOKUP($G1535,нормы!$A$14:$BC$57,2,0),"")</f>
        <v/>
      </c>
      <c r="G1535" s="93"/>
      <c r="H1535" s="63">
        <f t="shared" si="604"/>
        <v>0</v>
      </c>
      <c r="I1535" s="153">
        <f>I1531+I1533</f>
        <v>0</v>
      </c>
      <c r="J1535" s="334"/>
      <c r="K1535" s="30">
        <f>IFERROR(VLOOKUP($G1535,[1]нормы!$A$21:$BC$151,15,0),"")</f>
        <v>0</v>
      </c>
      <c r="L1535" s="31">
        <f>IFERROR(VLOOKUP($G1535,[1]нормы!$A$21:$BC$151,17,0),"")</f>
        <v>0</v>
      </c>
      <c r="M1535" s="308">
        <f>IFERROR(VLOOKUP($G1535,[1]нормы!$A$21:$BC$151,27,0),"")</f>
        <v>0</v>
      </c>
      <c r="N1535" s="309" t="str">
        <f>IFERROR(Y1535/Y1536*(1.1*J1530*I1540),"")</f>
        <v/>
      </c>
      <c r="O1535" s="300">
        <f>IFERROR(VLOOKUP($G1535,[1]нормы!$A$21:$BC$151,21,0),"")</f>
        <v>0</v>
      </c>
      <c r="P1535" s="35">
        <f>IFERROR(VLOOKUP($G1535,[1]нормы!$A$21:$BC$151,19,0),"")</f>
        <v>0</v>
      </c>
      <c r="Q1535" s="35">
        <f>IFERROR(VLOOKUP($G1535,[1]нормы!$A$21:$BC$151,23,0),"")</f>
        <v>0</v>
      </c>
      <c r="R1535" s="231">
        <f>IFERROR(VLOOKUP($G1535,[1]нормы!$A$21:$BC$151,29,0),"")</f>
        <v>0</v>
      </c>
      <c r="S1535" s="35">
        <f>IFERROR(VLOOKUP($G1535,[1]нормы!$A$21:$BC$151,31,0),"")</f>
        <v>0</v>
      </c>
      <c r="T1535" s="32">
        <f>IFERROR(VLOOKUP($G1535,[1]нормы!$A$21:$BC$151,25,0),"")</f>
        <v>0</v>
      </c>
      <c r="U1535" s="235" t="str">
        <f>IFERROR(W1535/(((100*Y1535/Y1536)*I1535)/100),"")</f>
        <v/>
      </c>
      <c r="V1535" s="234" t="str">
        <f>IFERROR(VLOOKUP($G1535,нормы!$A$14:$BC$57,38,0),"")</f>
        <v/>
      </c>
      <c r="W1535" s="154"/>
      <c r="X1535" s="238"/>
      <c r="Y1535" s="152" t="str">
        <f>IFERROR(VLOOKUP($G1535,нормы!$A$14:$BC$57,42,0)*W1535,"")</f>
        <v/>
      </c>
      <c r="Z1535" s="163">
        <f>IFERROR(VLOOKUP($G1535,нормы!$A$14:$BC$57,14,0)*W1535/1000,0)</f>
        <v>0</v>
      </c>
      <c r="AA1535" s="56"/>
      <c r="AB1535" s="58"/>
      <c r="AC1535" s="58"/>
      <c r="AD1535" s="58"/>
      <c r="AE1535" s="57"/>
      <c r="AF1535" s="161"/>
      <c r="AG1535" s="392"/>
      <c r="AH1535" s="395"/>
      <c r="AI1535" s="398"/>
      <c r="AJ1535" s="409"/>
      <c r="AK1535" s="361"/>
      <c r="AL1535" s="361"/>
      <c r="AM1535" s="361"/>
      <c r="AN1535" s="291">
        <f>IFERROR(Y1535*AJ1530/Y1536,)</f>
        <v>0</v>
      </c>
      <c r="AO1535" s="197" t="str">
        <f>IFERROR(VLOOKUP($G1535,нормы!$A$14:$BC$57,53,0)*$W1535,"")</f>
        <v/>
      </c>
      <c r="AP1535" s="292">
        <f>IFERROR(Y1535*AI1530/Y1536,)</f>
        <v>0</v>
      </c>
      <c r="AQ1535" s="197" t="str">
        <f>IFERROR(VLOOKUP($G1535,нормы!$A$14:$BC$57,54,0)*$W1535,"")</f>
        <v/>
      </c>
      <c r="AR1535" s="290">
        <f>IFERROR(AS1535/SUM(AS1530:AS1535)*AL1530,0)</f>
        <v>0</v>
      </c>
      <c r="AS1535" s="197" t="str">
        <f>IFERROR(VLOOKUP($G1535,нормы!$A$14:$BC$57,55,0)*W1535,"")</f>
        <v/>
      </c>
      <c r="AT1535" s="292">
        <f>IFERROR(AU1535/SUM(AU1530:AU1535)*AM1530,0)</f>
        <v>0</v>
      </c>
      <c r="AU1535" s="197" t="str">
        <f>IFERROR(VLOOKUP($G1535,нормы!$A$14:$BI$57,56,0)*W1535,"")</f>
        <v/>
      </c>
      <c r="AV1535" s="292">
        <f>IFERROR(AW1535/SUM(AW1530:AW1535)*AK1530,0)</f>
        <v>0</v>
      </c>
      <c r="AW1535" s="202" t="str">
        <f>IFERROR(VLOOKUP($G1535,нормы!$A$14:$BI$57,57,0)*W1535,"")</f>
        <v/>
      </c>
      <c r="AX1535" s="56"/>
      <c r="AY1535" s="203" t="str">
        <f>IFERROR(VLOOKUP($G1535,нормы!$A$14:$BI$57,58,0)*W1535,"")</f>
        <v/>
      </c>
      <c r="AZ1535" s="206"/>
      <c r="BA1535" s="200" t="str">
        <f>IFERROR(VLOOKUP($G1535,нормы!$A$14:$BI$57,61,0)*$W1535,"")</f>
        <v/>
      </c>
      <c r="BB1535" s="56"/>
      <c r="BC1535" s="203" t="str">
        <f>IFERROR(VLOOKUP($G1535,нормы!$A$14:$BI$57,60,0)*W1535,"")</f>
        <v/>
      </c>
      <c r="BD1535" s="200" t="str">
        <f>IFERROR(VLOOKUP($G1535,нормы!$A$14:$BG$57,44,0),"")</f>
        <v/>
      </c>
      <c r="BE1535" s="199" t="str">
        <f>IFERROR(W1535/VLOOKUP($G1535,нормы!$A$14:$BI$57,45,0),"")</f>
        <v/>
      </c>
    </row>
    <row r="1536" spans="1:57" s="1" customFormat="1" ht="29.4" customHeight="1" thickBot="1" x14ac:dyDescent="0.45">
      <c r="A1536" s="37" t="str">
        <f t="shared" si="602"/>
        <v>25Н</v>
      </c>
      <c r="B1536" s="59"/>
      <c r="C1536" s="51"/>
      <c r="D1536" s="51"/>
      <c r="E1536" s="51"/>
      <c r="F1536" s="295" t="s">
        <v>149</v>
      </c>
      <c r="G1536" s="51"/>
      <c r="H1536" s="51"/>
      <c r="I1536" s="60"/>
      <c r="J1536" s="60"/>
      <c r="K1536" s="319" t="s">
        <v>213</v>
      </c>
      <c r="L1536" s="316"/>
      <c r="M1536" s="303" t="s">
        <v>213</v>
      </c>
      <c r="N1536" s="317">
        <f>SUM(N1530:N1535)</f>
        <v>0</v>
      </c>
      <c r="O1536" s="304" t="s">
        <v>216</v>
      </c>
      <c r="P1536" s="318">
        <f>N1536*8.937/1000</f>
        <v>0</v>
      </c>
      <c r="Q1536" s="305" t="s">
        <v>215</v>
      </c>
      <c r="R1536" s="61"/>
      <c r="S1536" s="61"/>
      <c r="T1536" s="61"/>
      <c r="U1536" s="109"/>
      <c r="V1536" s="109"/>
      <c r="W1536" s="94"/>
      <c r="X1536" s="155"/>
      <c r="Y1536" s="96">
        <f>SUM(Y1530:Y1535)</f>
        <v>0</v>
      </c>
      <c r="Z1536" s="164">
        <f>SUM(Z1530:Z1535)</f>
        <v>0</v>
      </c>
      <c r="AA1536" s="62"/>
      <c r="AB1536" s="62"/>
      <c r="AC1536" s="62"/>
      <c r="AD1536" s="62"/>
      <c r="AE1536" s="62"/>
      <c r="AF1536" s="62"/>
      <c r="AG1536" s="162" t="s">
        <v>140</v>
      </c>
      <c r="AH1536" s="162" t="s">
        <v>141</v>
      </c>
      <c r="AI1536" s="162" t="s">
        <v>142</v>
      </c>
      <c r="AJ1536" s="91" t="s">
        <v>126</v>
      </c>
      <c r="AK1536" s="198" t="s">
        <v>136</v>
      </c>
      <c r="AL1536" s="198" t="s">
        <v>137</v>
      </c>
      <c r="AM1536" s="198" t="s">
        <v>138</v>
      </c>
      <c r="AN1536" s="91"/>
      <c r="AO1536" s="91"/>
      <c r="AP1536" s="91"/>
      <c r="AQ1536" s="91"/>
      <c r="AR1536" s="91"/>
      <c r="AS1536" s="91"/>
      <c r="AT1536" s="91"/>
      <c r="AU1536" s="91"/>
      <c r="AV1536" s="91"/>
      <c r="AW1536" s="91"/>
      <c r="AX1536" s="91"/>
      <c r="AY1536" s="91"/>
      <c r="AZ1536" s="91"/>
      <c r="BA1536" s="91"/>
      <c r="BB1536" s="91"/>
      <c r="BC1536" s="91"/>
      <c r="BD1536" s="91"/>
      <c r="BE1536" s="53" t="str">
        <f>IFERROR(W1536/VLOOKUP($G1536,нормы!$A$14:$BI$15,28,0),"")</f>
        <v/>
      </c>
    </row>
    <row r="1537" spans="1:57" s="1" customFormat="1" ht="21.6" customHeight="1" x14ac:dyDescent="0.4">
      <c r="A1537" s="37" t="str">
        <f t="shared" si="602"/>
        <v>25Н</v>
      </c>
      <c r="B1537" s="12">
        <f>B1535</f>
        <v>25</v>
      </c>
      <c r="C1537" s="97"/>
      <c r="D1537" s="97">
        <v>2</v>
      </c>
      <c r="E1537" s="29"/>
      <c r="F1537" s="151" t="str">
        <f>IFERROR(VLOOKUP($G1537,нормы!$A$14:$BC$57,2,0),"")</f>
        <v/>
      </c>
      <c r="G1537" s="93"/>
      <c r="H1537" s="54">
        <f>IF(C1537=1,"Кульков С.А.", IF(C1537=2,"Чудаков А.А.",IF(C1537=3,"Королев В.Н.",IF(C1537=4,"Николашин М.П.",IF(C1537=5," Кульков С.А.",IF(C1537=6,"А.А. Чудаков",IF(C1537=7,"В.Н. Королев",IF(C1537=8,"М.П. Николашин",0))))))))</f>
        <v>0</v>
      </c>
      <c r="I1537" s="88" t="s">
        <v>211</v>
      </c>
      <c r="J1537" s="332"/>
      <c r="K1537" s="30">
        <f>IFERROR(VLOOKUP($G1537,[1]нормы!$A$21:$BC$151,15,0),"")</f>
        <v>0</v>
      </c>
      <c r="L1537" s="31">
        <f>IFERROR(VLOOKUP($G1537,[1]нормы!$A$21:$BC$151,17,0),"")</f>
        <v>0</v>
      </c>
      <c r="M1537" s="310">
        <f>IFERROR(VLOOKUP($G1537,[1]нормы!$A$21:$BC$151,27,0),"")</f>
        <v>0</v>
      </c>
      <c r="N1537" s="311" t="str">
        <f>IFERROR(Y1537/Y1543*(1.1*J1537*I1542),"")</f>
        <v/>
      </c>
      <c r="O1537" s="300">
        <f>IFERROR(VLOOKUP($G1537,[1]нормы!$A$21:$BC$151,21,0),"")</f>
        <v>0</v>
      </c>
      <c r="P1537" s="35">
        <f>IFERROR(VLOOKUP($G1537,[1]нормы!$A$21:$BC$151,19,0),"")</f>
        <v>0</v>
      </c>
      <c r="Q1537" s="35">
        <f>IFERROR(VLOOKUP($G1537,[1]нормы!$A$21:$BC$151,23,0),"")</f>
        <v>0</v>
      </c>
      <c r="R1537" s="231">
        <f>IFERROR(VLOOKUP($G1537,[1]нормы!$A$21:$BC$151,29,0),"")</f>
        <v>0</v>
      </c>
      <c r="S1537" s="35">
        <f>IFERROR(VLOOKUP($G1537,[1]нормы!$A$21:$BC$151,31,0),"")</f>
        <v>0</v>
      </c>
      <c r="T1537" s="32">
        <f>IFERROR(VLOOKUP($G1537,[1]нормы!$A$21:$BC$151,25,0),"")</f>
        <v>0</v>
      </c>
      <c r="U1537" s="232" t="str">
        <f>IFERROR(W1537/(((100*Y1537/Y1543)*I1542)/100),"")</f>
        <v/>
      </c>
      <c r="V1537" s="234" t="str">
        <f>IFERROR(VLOOKUP($G1537,нормы!$A$14:$BC$57,38,0),"")</f>
        <v/>
      </c>
      <c r="W1537" s="136"/>
      <c r="X1537" s="236"/>
      <c r="Y1537" s="152" t="str">
        <f>IFERROR(VLOOKUP($G1537,нормы!$A$14:$BC$57,42,0)*W1537,"")</f>
        <v/>
      </c>
      <c r="Z1537" s="163">
        <f>IFERROR(VLOOKUP($G1537,нормы!$A$14:$BC$57,14,0)*W1537/1000,0)</f>
        <v>0</v>
      </c>
      <c r="AA1537" s="33"/>
      <c r="AB1537" s="36"/>
      <c r="AC1537" s="36"/>
      <c r="AD1537" s="36"/>
      <c r="AE1537" s="34"/>
      <c r="AF1537" s="159"/>
      <c r="AG1537" s="390"/>
      <c r="AH1537" s="393"/>
      <c r="AI1537" s="396"/>
      <c r="AJ1537" s="407">
        <f>AG1537+AH1537</f>
        <v>0</v>
      </c>
      <c r="AK1537" s="359"/>
      <c r="AL1537" s="359"/>
      <c r="AM1537" s="359"/>
      <c r="AN1537" s="287">
        <f>IFERROR(Y1537*AJ1537/Y1543,)</f>
        <v>0</v>
      </c>
      <c r="AO1537" s="197" t="str">
        <f>IFERROR(VLOOKUP($G1537,нормы!$A$14:$BC$57,53,0)*$W1537,"")</f>
        <v/>
      </c>
      <c r="AP1537" s="288">
        <f>IFERROR(Y1537*AI1537/Y1543,)</f>
        <v>0</v>
      </c>
      <c r="AQ1537" s="197" t="str">
        <f>IFERROR(VLOOKUP($G1537,нормы!$A$14:$BC$57,54,0)*$W1537,"")</f>
        <v/>
      </c>
      <c r="AR1537" s="288">
        <f>IFERROR(AS1537/SUM(AS1537:AS1542)*AL1537,0)</f>
        <v>0</v>
      </c>
      <c r="AS1537" s="197" t="str">
        <f>IFERROR(VLOOKUP($G1537,нормы!$A$14:$BC$57,55,0)*W1537,"")</f>
        <v/>
      </c>
      <c r="AT1537" s="288">
        <f>IFERROR(AU1537/SUM(AU1537:AU1542)*AM1537,0)</f>
        <v>0</v>
      </c>
      <c r="AU1537" s="197" t="str">
        <f>IFERROR(VLOOKUP($G1537,нормы!$A$14:$BI$57,56,0)*W1537,"")</f>
        <v/>
      </c>
      <c r="AV1537" s="288">
        <f>IFERROR(AW1537/SUM(AW1537:AW1542)*AK1537,0)</f>
        <v>0</v>
      </c>
      <c r="AW1537" s="202" t="str">
        <f>IFERROR(VLOOKUP($G1537,нормы!$A$14:$BI$57,57,0)*W1537,"")</f>
        <v/>
      </c>
      <c r="AX1537" s="33"/>
      <c r="AY1537" s="203" t="str">
        <f>IFERROR(VLOOKUP($G1537,нормы!$A$14:$BI$57,58,0)*W1537,"")</f>
        <v/>
      </c>
      <c r="AZ1537" s="204"/>
      <c r="BA1537" s="200" t="str">
        <f>IFERROR(VLOOKUP($G1537,нормы!$A$14:$BI$57,61,0)*$W1537,"")</f>
        <v/>
      </c>
      <c r="BB1537" s="33"/>
      <c r="BC1537" s="203" t="str">
        <f>IFERROR(VLOOKUP($G1537,нормы!$A$14:$BI$57,60,0)*W1537,"")</f>
        <v/>
      </c>
      <c r="BD1537" s="200" t="str">
        <f>IFERROR(VLOOKUP($G1537,нормы!$A$14:$BG$57,44,0),"")</f>
        <v/>
      </c>
      <c r="BE1537" s="199" t="str">
        <f>IFERROR(W1537/VLOOKUP($G1537,нормы!$A$14:$BI$57,45,0),"")</f>
        <v/>
      </c>
    </row>
    <row r="1538" spans="1:57" s="1" customFormat="1" ht="21.6" customHeight="1" x14ac:dyDescent="0.4">
      <c r="A1538" s="37" t="str">
        <f t="shared" si="602"/>
        <v>25Н</v>
      </c>
      <c r="B1538" s="12">
        <f t="shared" ref="B1538:D1542" si="605">B1537</f>
        <v>25</v>
      </c>
      <c r="C1538" s="97">
        <f t="shared" si="605"/>
        <v>0</v>
      </c>
      <c r="D1538" s="97">
        <f t="shared" si="605"/>
        <v>2</v>
      </c>
      <c r="E1538" s="54"/>
      <c r="F1538" s="151" t="str">
        <f>IFERROR(VLOOKUP($G1538,нормы!$A$14:$BC$57,2,0),"")</f>
        <v/>
      </c>
      <c r="G1538" s="93"/>
      <c r="H1538" s="54">
        <f t="shared" ref="H1538:H1542" si="606">IF(C1538=1,"Кульков С.А.", IF(C1538=2,"Чудаков А.А.",IF(C1538=3,"Королев В.Н.",IF(C1538=4,"Николашин М.П.",IF(C1538=5," Кульков С.А.",IF(C1538=6,"А.А. Чудаков",IF(C1538=7,"В.Н. Королев",IF(C1538=8,"М.П. Николашин",0))))))))</f>
        <v>0</v>
      </c>
      <c r="I1538" s="55"/>
      <c r="J1538" s="333"/>
      <c r="K1538" s="30">
        <f>IFERROR(VLOOKUP($G1538,[1]нормы!$A$21:$BC$151,15,0),"")</f>
        <v>0</v>
      </c>
      <c r="L1538" s="31">
        <f>IFERROR(VLOOKUP($G1538,[1]нормы!$A$21:$BC$151,17,0),"")</f>
        <v>0</v>
      </c>
      <c r="M1538" s="306">
        <f>IFERROR(VLOOKUP($G1538,[1]нормы!$A$21:$BC$151,27,0),"")</f>
        <v>0</v>
      </c>
      <c r="N1538" s="307" t="str">
        <f>IFERROR(Y1538/Y1543*(1.1*J1537*I1542),"")</f>
        <v/>
      </c>
      <c r="O1538" s="300">
        <f>IFERROR(VLOOKUP($G1538,[1]нормы!$A$21:$BC$151,21,0),"")</f>
        <v>0</v>
      </c>
      <c r="P1538" s="35">
        <f>IFERROR(VLOOKUP($G1538,[1]нормы!$A$21:$BC$151,19,0),"")</f>
        <v>0</v>
      </c>
      <c r="Q1538" s="35">
        <f>IFERROR(VLOOKUP($G1538,[1]нормы!$A$21:$BC$151,23,0),"")</f>
        <v>0</v>
      </c>
      <c r="R1538" s="231">
        <f>IFERROR(VLOOKUP($G1538,[1]нормы!$A$21:$BC$151,29,0),"")</f>
        <v>0</v>
      </c>
      <c r="S1538" s="35">
        <f>IFERROR(VLOOKUP($G1538,[1]нормы!$A$21:$BC$151,31,0),"")</f>
        <v>0</v>
      </c>
      <c r="T1538" s="32">
        <f>IFERROR(VLOOKUP($G1538,[1]нормы!$A$21:$BC$151,25,0),"")</f>
        <v>0</v>
      </c>
      <c r="U1538" s="233" t="str">
        <f>IFERROR(W1538/(((100*Y1538/Y1543)*I1542)/100),"")</f>
        <v/>
      </c>
      <c r="V1538" s="234" t="str">
        <f>IFERROR(VLOOKUP($G1538,нормы!$A$14:$BC$57,38,0),"")</f>
        <v/>
      </c>
      <c r="W1538" s="136"/>
      <c r="X1538" s="237"/>
      <c r="Y1538" s="152" t="str">
        <f>IFERROR(VLOOKUP($G1538,нормы!$A$14:$BC$57,42,0)*W1538,"")</f>
        <v/>
      </c>
      <c r="Z1538" s="163">
        <f>IFERROR(VLOOKUP($G1538,нормы!$A$14:$BC$57,14,0)*W1538/1000,0)</f>
        <v>0</v>
      </c>
      <c r="AA1538" s="142"/>
      <c r="AB1538" s="35"/>
      <c r="AC1538" s="35"/>
      <c r="AD1538" s="35"/>
      <c r="AE1538" s="31"/>
      <c r="AF1538" s="160"/>
      <c r="AG1538" s="391"/>
      <c r="AH1538" s="394"/>
      <c r="AI1538" s="397"/>
      <c r="AJ1538" s="408"/>
      <c r="AK1538" s="360"/>
      <c r="AL1538" s="360"/>
      <c r="AM1538" s="360"/>
      <c r="AN1538" s="289">
        <f>IFERROR(Y1538*AJ1537/Y1543,)</f>
        <v>0</v>
      </c>
      <c r="AO1538" s="197" t="str">
        <f>IFERROR(VLOOKUP($G1538,нормы!$A$14:$BC$57,53,0)*$W1538,"")</f>
        <v/>
      </c>
      <c r="AP1538" s="290">
        <f>IFERROR(Y1538*AI1537/Y1543,)</f>
        <v>0</v>
      </c>
      <c r="AQ1538" s="197" t="str">
        <f>IFERROR(VLOOKUP($G1538,нормы!$A$14:$BC$57,54,0)*$W1538,"")</f>
        <v/>
      </c>
      <c r="AR1538" s="290">
        <f>IFERROR(AS1538/SUM(AS1537:AS1542)*AL1537,0)</f>
        <v>0</v>
      </c>
      <c r="AS1538" s="197" t="str">
        <f>IFERROR(VLOOKUP($G1538,нормы!$A$14:$BC$57,55,0)*W1538,"")</f>
        <v/>
      </c>
      <c r="AT1538" s="290">
        <f>IFERROR(AU1538/SUM(AU1537:AU1542)*AM1537,0)</f>
        <v>0</v>
      </c>
      <c r="AU1538" s="197" t="str">
        <f>IFERROR(VLOOKUP($G1538,нормы!$A$14:$BI$57,56,0)*W1538,"")</f>
        <v/>
      </c>
      <c r="AV1538" s="290">
        <f>IFERROR(AW1538/SUM(AW1537:AW1542)*AK1537,0)</f>
        <v>0</v>
      </c>
      <c r="AW1538" s="202" t="str">
        <f>IFERROR(VLOOKUP($G1538,нормы!$A$14:$BI$57,57,0)*W1538,"")</f>
        <v/>
      </c>
      <c r="AX1538" s="30"/>
      <c r="AY1538" s="203" t="str">
        <f>IFERROR(VLOOKUP($G1538,нормы!$A$14:$BI$57,58,0)*W1538,"")</f>
        <v/>
      </c>
      <c r="AZ1538" s="205"/>
      <c r="BA1538" s="200" t="str">
        <f>IFERROR(VLOOKUP($G1538,нормы!$A$14:$BI$57,61,0)*$W1538,"")</f>
        <v/>
      </c>
      <c r="BB1538" s="30"/>
      <c r="BC1538" s="203" t="str">
        <f>IFERROR(VLOOKUP($G1538,нормы!$A$14:$BI$57,60,0)*W1538,"")</f>
        <v/>
      </c>
      <c r="BD1538" s="200" t="str">
        <f>IFERROR(VLOOKUP($G1538,нормы!$A$14:$BG$57,44,0),"")</f>
        <v/>
      </c>
      <c r="BE1538" s="199" t="str">
        <f>IFERROR(W1538/VLOOKUP($G1538,нормы!$A$14:$BI$57,45,0),"")</f>
        <v/>
      </c>
    </row>
    <row r="1539" spans="1:57" s="1" customFormat="1" ht="20.25" customHeight="1" x14ac:dyDescent="0.4">
      <c r="A1539" s="37" t="str">
        <f t="shared" si="602"/>
        <v>25Н</v>
      </c>
      <c r="B1539" s="12">
        <f t="shared" si="605"/>
        <v>25</v>
      </c>
      <c r="C1539" s="97">
        <f t="shared" si="605"/>
        <v>0</v>
      </c>
      <c r="D1539" s="97">
        <f t="shared" si="605"/>
        <v>2</v>
      </c>
      <c r="E1539" s="54"/>
      <c r="F1539" s="151" t="str">
        <f>IFERROR(VLOOKUP($G1539,нормы!$A$14:$BC$57,2,0),"")</f>
        <v/>
      </c>
      <c r="G1539" s="38"/>
      <c r="H1539" s="54">
        <f t="shared" si="606"/>
        <v>0</v>
      </c>
      <c r="I1539" s="89" t="s">
        <v>212</v>
      </c>
      <c r="J1539" s="333"/>
      <c r="K1539" s="30">
        <f>IFERROR(VLOOKUP($G1539,[1]нормы!$A$21:$BC$151,15,0),"")</f>
        <v>0</v>
      </c>
      <c r="L1539" s="31">
        <f>IFERROR(VLOOKUP($G1539,[1]нормы!$A$21:$BC$151,17,0),"")</f>
        <v>0</v>
      </c>
      <c r="M1539" s="306">
        <f>IFERROR(VLOOKUP($G1539,[1]нормы!$A$21:$BC$151,27,0),"")</f>
        <v>0</v>
      </c>
      <c r="N1539" s="307" t="str">
        <f>IFERROR(Y1539/Y1543*(1.1*J1537*I1542),"")</f>
        <v/>
      </c>
      <c r="O1539" s="300">
        <f>IFERROR(VLOOKUP($G1539,[1]нормы!$A$21:$BC$151,21,0),"")</f>
        <v>0</v>
      </c>
      <c r="P1539" s="35">
        <f>IFERROR(VLOOKUP($G1539,[1]нормы!$A$21:$BC$151,19,0),"")</f>
        <v>0</v>
      </c>
      <c r="Q1539" s="35">
        <f>IFERROR(VLOOKUP($G1539,[1]нормы!$A$21:$BC$151,23,0),"")</f>
        <v>0</v>
      </c>
      <c r="R1539" s="231">
        <f>IFERROR(VLOOKUP($G1539,[1]нормы!$A$21:$BC$151,29,0),"")</f>
        <v>0</v>
      </c>
      <c r="S1539" s="35">
        <f>IFERROR(VLOOKUP($G1539,[1]нормы!$A$21:$BC$151,31,0),"")</f>
        <v>0</v>
      </c>
      <c r="T1539" s="32">
        <f>IFERROR(VLOOKUP($G1539,[1]нормы!$A$21:$BC$151,25,0),"")</f>
        <v>0</v>
      </c>
      <c r="U1539" s="233" t="str">
        <f>IFERROR(W1539/(((100*Y1539/Y1543)*I1542)/100),"")</f>
        <v/>
      </c>
      <c r="V1539" s="234" t="str">
        <f>IFERROR(VLOOKUP($G1539,нормы!$A$14:$BC$57,38,0),"")</f>
        <v/>
      </c>
      <c r="W1539" s="136"/>
      <c r="X1539" s="237"/>
      <c r="Y1539" s="152" t="str">
        <f>IFERROR(VLOOKUP($G1539,нормы!$A$14:$BC$57,42,0)*W1539,"")</f>
        <v/>
      </c>
      <c r="Z1539" s="163">
        <f>IFERROR(VLOOKUP($G1539,нормы!$A$14:$BC$57,14,0)*W1539/1000,0)</f>
        <v>0</v>
      </c>
      <c r="AA1539" s="30"/>
      <c r="AB1539" s="35"/>
      <c r="AC1539" s="35"/>
      <c r="AD1539" s="35"/>
      <c r="AE1539" s="31"/>
      <c r="AF1539" s="160"/>
      <c r="AG1539" s="391"/>
      <c r="AH1539" s="394"/>
      <c r="AI1539" s="397"/>
      <c r="AJ1539" s="408"/>
      <c r="AK1539" s="360"/>
      <c r="AL1539" s="360"/>
      <c r="AM1539" s="360"/>
      <c r="AN1539" s="289">
        <f>IFERROR(Y1539*AJ1537/Y1543,)</f>
        <v>0</v>
      </c>
      <c r="AO1539" s="197" t="str">
        <f>IFERROR(VLOOKUP($G1539,нормы!$A$14:$BC$57,53,0)*$W1539,"")</f>
        <v/>
      </c>
      <c r="AP1539" s="290">
        <f>IFERROR(Y1539*AI1537/Y1543,)</f>
        <v>0</v>
      </c>
      <c r="AQ1539" s="197" t="str">
        <f>IFERROR(VLOOKUP($G1539,нормы!$A$14:$BC$57,54,0)*$W1539,"")</f>
        <v/>
      </c>
      <c r="AR1539" s="290">
        <f>IFERROR(AS1539/SUM(AS1537:AS1542)*AL1537,0)</f>
        <v>0</v>
      </c>
      <c r="AS1539" s="197" t="str">
        <f>IFERROR(VLOOKUP($G1539,нормы!$A$14:$BC$57,55,0)*W1539,"")</f>
        <v/>
      </c>
      <c r="AT1539" s="290">
        <f>IFERROR(AU1539/SUM(AU1537:AU1542)*AM1537,0)</f>
        <v>0</v>
      </c>
      <c r="AU1539" s="197" t="str">
        <f>IFERROR(VLOOKUP($G1539,нормы!$A$14:$BI$57,56,0)*W1539,"")</f>
        <v/>
      </c>
      <c r="AV1539" s="290">
        <f>IFERROR(AW1539/SUM(AW1537:AW1542)*AK1537,0)</f>
        <v>0</v>
      </c>
      <c r="AW1539" s="202" t="str">
        <f>IFERROR(VLOOKUP($G1539,нормы!$A$14:$BI$57,57,0)*W1539,"")</f>
        <v/>
      </c>
      <c r="AX1539" s="30"/>
      <c r="AY1539" s="203" t="str">
        <f>IFERROR(VLOOKUP($G1539,нормы!$A$14:$BI$57,58,0)*W1539,"")</f>
        <v/>
      </c>
      <c r="AZ1539" s="205"/>
      <c r="BA1539" s="200" t="str">
        <f>IFERROR(VLOOKUP($G1539,нормы!$A$14:$BI$57,61,0)*$W1539,"")</f>
        <v/>
      </c>
      <c r="BB1539" s="30"/>
      <c r="BC1539" s="203" t="str">
        <f>IFERROR(VLOOKUP($G1539,нормы!$A$14:$BI$57,60,0)*W1539,"")</f>
        <v/>
      </c>
      <c r="BD1539" s="200" t="str">
        <f>IFERROR(VLOOKUP($G1539,нормы!$A$14:$BG$57,44,0),"")</f>
        <v/>
      </c>
      <c r="BE1539" s="199" t="str">
        <f>IFERROR(W1539/VLOOKUP($G1539,нормы!$A$14:$BI$57,45,0),"")</f>
        <v/>
      </c>
    </row>
    <row r="1540" spans="1:57" s="1" customFormat="1" ht="20.25" customHeight="1" x14ac:dyDescent="0.4">
      <c r="A1540" s="37" t="str">
        <f t="shared" si="602"/>
        <v>25Н</v>
      </c>
      <c r="B1540" s="12">
        <f t="shared" si="605"/>
        <v>25</v>
      </c>
      <c r="C1540" s="97">
        <f t="shared" si="605"/>
        <v>0</v>
      </c>
      <c r="D1540" s="97">
        <f t="shared" si="605"/>
        <v>2</v>
      </c>
      <c r="E1540" s="54"/>
      <c r="F1540" s="151" t="str">
        <f>IFERROR(VLOOKUP($G1540,нормы!$A$14:$BC$57,2,0),"")</f>
        <v/>
      </c>
      <c r="G1540" s="93"/>
      <c r="H1540" s="54">
        <f t="shared" si="606"/>
        <v>0</v>
      </c>
      <c r="I1540" s="55"/>
      <c r="J1540" s="333"/>
      <c r="K1540" s="30">
        <f>IFERROR(VLOOKUP($G1540,[1]нормы!$A$21:$BC$151,15,0),"")</f>
        <v>0</v>
      </c>
      <c r="L1540" s="31">
        <f>IFERROR(VLOOKUP($G1540,[1]нормы!$A$21:$BC$151,17,0),"")</f>
        <v>0</v>
      </c>
      <c r="M1540" s="306">
        <f>IFERROR(VLOOKUP($G1540,[1]нормы!$A$21:$BC$151,27,0),"")</f>
        <v>0</v>
      </c>
      <c r="N1540" s="307" t="str">
        <f>IFERROR(Y1540/Y1543*(1.1*J1537*I1545),"")</f>
        <v/>
      </c>
      <c r="O1540" s="300">
        <f>IFERROR(VLOOKUP($G1540,[1]нормы!$A$21:$BC$151,21,0),"")</f>
        <v>0</v>
      </c>
      <c r="P1540" s="35">
        <f>IFERROR(VLOOKUP($G1540,[1]нормы!$A$21:$BC$151,19,0),"")</f>
        <v>0</v>
      </c>
      <c r="Q1540" s="35">
        <f>IFERROR(VLOOKUP($G1540,[1]нормы!$A$21:$BC$151,23,0),"")</f>
        <v>0</v>
      </c>
      <c r="R1540" s="231">
        <f>IFERROR(VLOOKUP($G1540,[1]нормы!$A$21:$BC$151,29,0),"")</f>
        <v>0</v>
      </c>
      <c r="S1540" s="35">
        <f>IFERROR(VLOOKUP($G1540,[1]нормы!$A$21:$BC$151,31,0),"")</f>
        <v>0</v>
      </c>
      <c r="T1540" s="32">
        <f>IFERROR(VLOOKUP($G1540,[1]нормы!$A$21:$BC$151,25,0),"")</f>
        <v>0</v>
      </c>
      <c r="U1540" s="233" t="str">
        <f>IFERROR(W1540/(((100*Y1540/Y1543)*I1542)/100),"")</f>
        <v/>
      </c>
      <c r="V1540" s="234" t="str">
        <f>IFERROR(VLOOKUP($G1540,нормы!$A$14:$BC$57,38,0),"")</f>
        <v/>
      </c>
      <c r="W1540" s="136"/>
      <c r="X1540" s="237"/>
      <c r="Y1540" s="152" t="str">
        <f>IFERROR(VLOOKUP($G1540,нормы!$A$14:$BC$57,42,0)*W1540,"")</f>
        <v/>
      </c>
      <c r="Z1540" s="163">
        <f>IFERROR(VLOOKUP($G1540,нормы!$A$14:$BC$57,14,0)*W1540/1000,0)</f>
        <v>0</v>
      </c>
      <c r="AA1540" s="30"/>
      <c r="AB1540" s="35"/>
      <c r="AC1540" s="35"/>
      <c r="AD1540" s="35"/>
      <c r="AE1540" s="31"/>
      <c r="AF1540" s="160"/>
      <c r="AG1540" s="391"/>
      <c r="AH1540" s="394"/>
      <c r="AI1540" s="397"/>
      <c r="AJ1540" s="408"/>
      <c r="AK1540" s="360"/>
      <c r="AL1540" s="360"/>
      <c r="AM1540" s="360"/>
      <c r="AN1540" s="289">
        <f>IFERROR(Y1540*AJ1537/Y1543,)</f>
        <v>0</v>
      </c>
      <c r="AO1540" s="197" t="str">
        <f>IFERROR(VLOOKUP($G1540,нормы!$A$14:$BC$57,53,0)*$W1540,"")</f>
        <v/>
      </c>
      <c r="AP1540" s="290">
        <f>IFERROR(Y1540*AI1537/Y1543,)</f>
        <v>0</v>
      </c>
      <c r="AQ1540" s="197" t="str">
        <f>IFERROR(VLOOKUP($G1540,нормы!$A$14:$BC$57,54,0)*$W1540,"")</f>
        <v/>
      </c>
      <c r="AR1540" s="290">
        <f>IFERROR(AS1540/SUM(AS1537:AS1542)*AL1537,0)</f>
        <v>0</v>
      </c>
      <c r="AS1540" s="197" t="str">
        <f>IFERROR(VLOOKUP($G1540,нормы!$A$14:$BC$57,55,0)*W1540,"")</f>
        <v/>
      </c>
      <c r="AT1540" s="290">
        <f>IFERROR(AU1540/SUM(AU1537:AU1542)*AM1537,0)</f>
        <v>0</v>
      </c>
      <c r="AU1540" s="197" t="str">
        <f>IFERROR(VLOOKUP($G1540,нормы!$A$14:$BI$57,56,0)*W1540,"")</f>
        <v/>
      </c>
      <c r="AV1540" s="290">
        <f>IFERROR(AW1540/SUM(AW1537:AW1542)*AK1537,0)</f>
        <v>0</v>
      </c>
      <c r="AW1540" s="202" t="str">
        <f>IFERROR(VLOOKUP($G1540,нормы!$A$14:$BI$57,57,0)*W1540,"")</f>
        <v/>
      </c>
      <c r="AX1540" s="30"/>
      <c r="AY1540" s="203" t="str">
        <f>IFERROR(VLOOKUP($G1540,нормы!$A$14:$BI$57,58,0)*W1540,"")</f>
        <v/>
      </c>
      <c r="AZ1540" s="205"/>
      <c r="BA1540" s="200" t="str">
        <f>IFERROR(VLOOKUP($G1540,нормы!$A$14:$BI$57,61,0)*$W1540,"")</f>
        <v/>
      </c>
      <c r="BB1540" s="30"/>
      <c r="BC1540" s="203" t="str">
        <f>IFERROR(VLOOKUP($G1540,нормы!$A$14:$BI$57,60,0)*W1540,"")</f>
        <v/>
      </c>
      <c r="BD1540" s="200" t="str">
        <f>IFERROR(VLOOKUP($G1540,нормы!$A$14:$BG$57,44,0),"")</f>
        <v/>
      </c>
      <c r="BE1540" s="199" t="str">
        <f>IFERROR(W1540/VLOOKUP($G1540,нормы!$A$14:$BI$57,45,0),"")</f>
        <v/>
      </c>
    </row>
    <row r="1541" spans="1:57" s="1" customFormat="1" ht="20.25" customHeight="1" x14ac:dyDescent="0.4">
      <c r="A1541" s="37" t="str">
        <f t="shared" si="602"/>
        <v>25Н</v>
      </c>
      <c r="B1541" s="12">
        <f t="shared" si="605"/>
        <v>25</v>
      </c>
      <c r="C1541" s="97">
        <f t="shared" si="605"/>
        <v>0</v>
      </c>
      <c r="D1541" s="97">
        <f t="shared" si="605"/>
        <v>2</v>
      </c>
      <c r="E1541" s="54"/>
      <c r="F1541" s="151" t="str">
        <f>IFERROR(VLOOKUP($G1541,нормы!$A$14:$BC$57,2,0),"")</f>
        <v/>
      </c>
      <c r="G1541" s="38"/>
      <c r="H1541" s="54">
        <f t="shared" si="606"/>
        <v>0</v>
      </c>
      <c r="I1541" s="89" t="s">
        <v>73</v>
      </c>
      <c r="J1541" s="333"/>
      <c r="K1541" s="30">
        <f>IFERROR(VLOOKUP($G1541,[1]нормы!$A$21:$BC$151,15,0),"")</f>
        <v>0</v>
      </c>
      <c r="L1541" s="31">
        <f>IFERROR(VLOOKUP($G1541,[1]нормы!$A$21:$BC$151,17,0),"")</f>
        <v>0</v>
      </c>
      <c r="M1541" s="306">
        <f>IFERROR(VLOOKUP($G1541,[1]нормы!$A$21:$BC$151,27,0),"")</f>
        <v>0</v>
      </c>
      <c r="N1541" s="307" t="str">
        <f>IFERROR(Y1541/Y1543*(1.1*J1537*I1546),"")</f>
        <v/>
      </c>
      <c r="O1541" s="300">
        <f>IFERROR(VLOOKUP($G1541,[1]нормы!$A$21:$BC$151,21,0),"")</f>
        <v>0</v>
      </c>
      <c r="P1541" s="35">
        <f>IFERROR(VLOOKUP($G1541,[1]нормы!$A$21:$BC$151,19,0),"")</f>
        <v>0</v>
      </c>
      <c r="Q1541" s="35">
        <f>IFERROR(VLOOKUP($G1541,[1]нормы!$A$21:$BC$151,23,0),"")</f>
        <v>0</v>
      </c>
      <c r="R1541" s="231">
        <f>IFERROR(VLOOKUP($G1541,[1]нормы!$A$21:$BC$151,29,0),"")</f>
        <v>0</v>
      </c>
      <c r="S1541" s="35">
        <f>IFERROR(VLOOKUP($G1541,[1]нормы!$A$21:$BC$151,31,0),"")</f>
        <v>0</v>
      </c>
      <c r="T1541" s="32">
        <f>IFERROR(VLOOKUP($G1541,[1]нормы!$A$21:$BC$151,25,0),"")</f>
        <v>0</v>
      </c>
      <c r="U1541" s="233" t="str">
        <f>IFERROR(W1541/(((100*Y1541/Y1543)*I1542)/100),"")</f>
        <v/>
      </c>
      <c r="V1541" s="234" t="str">
        <f>IFERROR(VLOOKUP($G1541,нормы!$A$14:$BC$57,38,0),"")</f>
        <v/>
      </c>
      <c r="W1541" s="136"/>
      <c r="X1541" s="237"/>
      <c r="Y1541" s="152" t="str">
        <f>IFERROR(VLOOKUP($G1541,нормы!$A$14:$BC$57,42,0)*W1541,"")</f>
        <v/>
      </c>
      <c r="Z1541" s="163">
        <f>IFERROR(VLOOKUP($G1541,нормы!$A$14:$BC$57,14,0)*W1541/1000,0)</f>
        <v>0</v>
      </c>
      <c r="AA1541" s="30"/>
      <c r="AB1541" s="35"/>
      <c r="AC1541" s="35"/>
      <c r="AD1541" s="35"/>
      <c r="AE1541" s="31"/>
      <c r="AF1541" s="160"/>
      <c r="AG1541" s="391"/>
      <c r="AH1541" s="394"/>
      <c r="AI1541" s="397"/>
      <c r="AJ1541" s="408"/>
      <c r="AK1541" s="360"/>
      <c r="AL1541" s="360"/>
      <c r="AM1541" s="360"/>
      <c r="AN1541" s="289">
        <f>IFERROR(Y1541*AJ1537/Y1543,)</f>
        <v>0</v>
      </c>
      <c r="AO1541" s="197" t="str">
        <f>IFERROR(VLOOKUP($G1541,нормы!$A$14:$BC$57,53,0)*$W1541,"")</f>
        <v/>
      </c>
      <c r="AP1541" s="290">
        <f>IFERROR(Y1541*AI1537/Y1543,)</f>
        <v>0</v>
      </c>
      <c r="AQ1541" s="197" t="str">
        <f>IFERROR(VLOOKUP($G1541,нормы!$A$14:$BC$57,54,0)*$W1541,"")</f>
        <v/>
      </c>
      <c r="AR1541" s="290">
        <f>IFERROR(AS1541/SUM(AS1537:AS1542)*AL1537,0)</f>
        <v>0</v>
      </c>
      <c r="AS1541" s="197" t="str">
        <f>IFERROR(VLOOKUP($G1541,нормы!$A$14:$BC$57,55,0)*W1541,"")</f>
        <v/>
      </c>
      <c r="AT1541" s="290">
        <f>IFERROR(AU1541/SUM(AU1537:AU1542)*AM1537,0)</f>
        <v>0</v>
      </c>
      <c r="AU1541" s="197" t="str">
        <f>IFERROR(VLOOKUP($G1541,нормы!$A$14:$BI$57,56,0)*W1541,"")</f>
        <v/>
      </c>
      <c r="AV1541" s="290">
        <f>IFERROR(AW1541/SUM(AW1537:AW1542)*AK1537,0)</f>
        <v>0</v>
      </c>
      <c r="AW1541" s="202" t="str">
        <f>IFERROR(VLOOKUP($G1541,нормы!$A$14:$BI$57,57,0)*W1541,"")</f>
        <v/>
      </c>
      <c r="AX1541" s="30"/>
      <c r="AY1541" s="203" t="str">
        <f>IFERROR(VLOOKUP($G1541,нормы!$A$14:$BI$57,58,0)*W1541,"")</f>
        <v/>
      </c>
      <c r="AZ1541" s="205"/>
      <c r="BA1541" s="200" t="str">
        <f>IFERROR(VLOOKUP($G1541,нормы!$A$14:$BI$57,61,0)*$W1541,"")</f>
        <v/>
      </c>
      <c r="BB1541" s="30"/>
      <c r="BC1541" s="203" t="str">
        <f>IFERROR(VLOOKUP($G1541,нормы!$A$14:$BI$57,60,0)*W1541,"")</f>
        <v/>
      </c>
      <c r="BD1541" s="200" t="str">
        <f>IFERROR(VLOOKUP($G1541,нормы!$A$14:$BG$57,44,0),"")</f>
        <v/>
      </c>
      <c r="BE1541" s="199" t="str">
        <f>IFERROR(W1541/VLOOKUP($G1541,нормы!$A$14:$BI$57,45,0),"")</f>
        <v/>
      </c>
    </row>
    <row r="1542" spans="1:57" s="1" customFormat="1" ht="21" customHeight="1" thickBot="1" x14ac:dyDescent="0.45">
      <c r="A1542" s="37" t="str">
        <f t="shared" si="602"/>
        <v>25Н</v>
      </c>
      <c r="B1542" s="12">
        <f t="shared" si="605"/>
        <v>25</v>
      </c>
      <c r="C1542" s="97">
        <f t="shared" si="605"/>
        <v>0</v>
      </c>
      <c r="D1542" s="97">
        <f t="shared" si="605"/>
        <v>2</v>
      </c>
      <c r="E1542" s="54"/>
      <c r="F1542" s="151" t="str">
        <f>IFERROR(VLOOKUP($G1542,нормы!$A$14:$BC$57,2,0),"")</f>
        <v/>
      </c>
      <c r="G1542" s="93"/>
      <c r="H1542" s="63">
        <f t="shared" si="606"/>
        <v>0</v>
      </c>
      <c r="I1542" s="153">
        <f>I1538+I1540</f>
        <v>0</v>
      </c>
      <c r="J1542" s="334"/>
      <c r="K1542" s="30">
        <f>IFERROR(VLOOKUP($G1542,[1]нормы!$A$21:$BC$151,15,0),"")</f>
        <v>0</v>
      </c>
      <c r="L1542" s="31">
        <f>IFERROR(VLOOKUP($G1542,[1]нормы!$A$21:$BC$151,17,0),"")</f>
        <v>0</v>
      </c>
      <c r="M1542" s="308">
        <f>IFERROR(VLOOKUP($G1542,[1]нормы!$A$21:$BC$151,27,0),"")</f>
        <v>0</v>
      </c>
      <c r="N1542" s="309" t="str">
        <f>IFERROR(Y1542/Y1543*(1.1*J1537*I1547),"")</f>
        <v/>
      </c>
      <c r="O1542" s="300">
        <f>IFERROR(VLOOKUP($G1542,[1]нормы!$A$21:$BC$151,21,0),"")</f>
        <v>0</v>
      </c>
      <c r="P1542" s="35">
        <f>IFERROR(VLOOKUP($G1542,[1]нормы!$A$21:$BC$151,19,0),"")</f>
        <v>0</v>
      </c>
      <c r="Q1542" s="35">
        <f>IFERROR(VLOOKUP($G1542,[1]нормы!$A$21:$BC$151,23,0),"")</f>
        <v>0</v>
      </c>
      <c r="R1542" s="231">
        <f>IFERROR(VLOOKUP($G1542,[1]нормы!$A$21:$BC$151,29,0),"")</f>
        <v>0</v>
      </c>
      <c r="S1542" s="35">
        <f>IFERROR(VLOOKUP($G1542,[1]нормы!$A$21:$BC$151,31,0),"")</f>
        <v>0</v>
      </c>
      <c r="T1542" s="32">
        <f>IFERROR(VLOOKUP($G1542,[1]нормы!$A$21:$BC$151,25,0),"")</f>
        <v>0</v>
      </c>
      <c r="U1542" s="235" t="str">
        <f>IFERROR(W1542/(((100*Y1542/Y1543)*I1542)/100),"")</f>
        <v/>
      </c>
      <c r="V1542" s="234" t="str">
        <f>IFERROR(VLOOKUP($G1542,нормы!$A$14:$BC$57,38,0),"")</f>
        <v/>
      </c>
      <c r="W1542" s="154"/>
      <c r="X1542" s="238"/>
      <c r="Y1542" s="152" t="str">
        <f>IFERROR(VLOOKUP($G1542,нормы!$A$14:$BC$57,42,0)*W1542,"")</f>
        <v/>
      </c>
      <c r="Z1542" s="163">
        <f>IFERROR(VLOOKUP($G1542,нормы!$A$14:$BC$57,14,0)*W1542/1000,0)</f>
        <v>0</v>
      </c>
      <c r="AA1542" s="56"/>
      <c r="AB1542" s="58"/>
      <c r="AC1542" s="58"/>
      <c r="AD1542" s="58"/>
      <c r="AE1542" s="57"/>
      <c r="AF1542" s="161"/>
      <c r="AG1542" s="392"/>
      <c r="AH1542" s="395"/>
      <c r="AI1542" s="398"/>
      <c r="AJ1542" s="409"/>
      <c r="AK1542" s="361"/>
      <c r="AL1542" s="361"/>
      <c r="AM1542" s="361"/>
      <c r="AN1542" s="291">
        <f>IFERROR(Y1542*AJ1537/Y1543,)</f>
        <v>0</v>
      </c>
      <c r="AO1542" s="197" t="str">
        <f>IFERROR(VLOOKUP($G1542,нормы!$A$14:$BC$57,53,0)*$W1542,"")</f>
        <v/>
      </c>
      <c r="AP1542" s="292">
        <f>IFERROR(Y1542*AI1537/Y1543,)</f>
        <v>0</v>
      </c>
      <c r="AQ1542" s="197" t="str">
        <f>IFERROR(VLOOKUP($G1542,нормы!$A$14:$BC$57,54,0)*$W1542,"")</f>
        <v/>
      </c>
      <c r="AR1542" s="290">
        <f>IFERROR(AS1542/SUM(AS1537:AS1542)*AL1537,0)</f>
        <v>0</v>
      </c>
      <c r="AS1542" s="197" t="str">
        <f>IFERROR(VLOOKUP($G1542,нормы!$A$14:$BC$57,55,0)*W1542,"")</f>
        <v/>
      </c>
      <c r="AT1542" s="292">
        <f>IFERROR(AU1542/SUM(AU1537:AU1542)*AM1537,0)</f>
        <v>0</v>
      </c>
      <c r="AU1542" s="197" t="str">
        <f>IFERROR(VLOOKUP($G1542,нормы!$A$14:$BI$57,56,0)*W1542,"")</f>
        <v/>
      </c>
      <c r="AV1542" s="292">
        <f>IFERROR(AW1542/SUM(AW1537:AW1542)*AK1537,0)</f>
        <v>0</v>
      </c>
      <c r="AW1542" s="202" t="str">
        <f>IFERROR(VLOOKUP($G1542,нормы!$A$14:$BI$57,57,0)*W1542,"")</f>
        <v/>
      </c>
      <c r="AX1542" s="56"/>
      <c r="AY1542" s="203" t="str">
        <f>IFERROR(VLOOKUP($G1542,нормы!$A$14:$BI$57,58,0)*W1542,"")</f>
        <v/>
      </c>
      <c r="AZ1542" s="206"/>
      <c r="BA1542" s="200" t="str">
        <f>IFERROR(VLOOKUP($G1542,нормы!$A$14:$BI$57,61,0)*$W1542,"")</f>
        <v/>
      </c>
      <c r="BB1542" s="56"/>
      <c r="BC1542" s="203" t="str">
        <f>IFERROR(VLOOKUP($G1542,нормы!$A$14:$BI$57,60,0)*W1542,"")</f>
        <v/>
      </c>
      <c r="BD1542" s="200" t="str">
        <f>IFERROR(VLOOKUP($G1542,нормы!$A$14:$BG$57,44,0),"")</f>
        <v/>
      </c>
      <c r="BE1542" s="199" t="str">
        <f>IFERROR(W1542/VLOOKUP($G1542,нормы!$A$14:$BI$57,45,0),"")</f>
        <v/>
      </c>
    </row>
    <row r="1543" spans="1:57" s="1" customFormat="1" ht="29.4" customHeight="1" thickBot="1" x14ac:dyDescent="0.45">
      <c r="A1543" s="37" t="str">
        <f t="shared" si="602"/>
        <v>25Н</v>
      </c>
      <c r="B1543" s="59"/>
      <c r="C1543" s="51"/>
      <c r="D1543" s="51"/>
      <c r="E1543" s="51"/>
      <c r="F1543" s="51"/>
      <c r="G1543" s="51"/>
      <c r="H1543" s="51"/>
      <c r="I1543" s="60"/>
      <c r="J1543" s="60"/>
      <c r="K1543" s="319" t="s">
        <v>213</v>
      </c>
      <c r="L1543" s="316"/>
      <c r="M1543" s="303" t="s">
        <v>213</v>
      </c>
      <c r="N1543" s="317">
        <f>SUM(N1537:N1542)</f>
        <v>0</v>
      </c>
      <c r="O1543" s="304" t="s">
        <v>217</v>
      </c>
      <c r="P1543" s="318">
        <f>N1543*8.937/1000</f>
        <v>0</v>
      </c>
      <c r="Q1543" s="305" t="s">
        <v>215</v>
      </c>
      <c r="R1543" s="61"/>
      <c r="S1543" s="61"/>
      <c r="T1543" s="61"/>
      <c r="U1543" s="109"/>
      <c r="V1543" s="109"/>
      <c r="W1543" s="94"/>
      <c r="X1543" s="155"/>
      <c r="Y1543" s="96">
        <f>SUM(Y1537:Y1542)</f>
        <v>0</v>
      </c>
      <c r="Z1543" s="164">
        <f>SUM(Z1537:Z1542)</f>
        <v>0</v>
      </c>
      <c r="AA1543" s="207">
        <f>(AA1529+AA1530+AA1531+AA1532+AA1533+AA1534+AA1535+AA1537+AA1538+AA1539+AA1540+AA1541+AA1542)-AG1530</f>
        <v>1</v>
      </c>
      <c r="AB1543" s="208">
        <f>(AB1529+AB1530+AB1531+AB1532+AB1533+AB1534+AB1535+AB1537+AB1538+AB1539+AB1540+AB1541+AB1542)-AH1530</f>
        <v>2</v>
      </c>
      <c r="AC1543" s="208">
        <f>(AC1529+AC1530+AC1531+AC1532+AC1533+AC1534+AC1535+AC1537+AC1538+AC1539+AC1540+AC1541+AC1542)-AG1537</f>
        <v>3</v>
      </c>
      <c r="AD1543" s="208">
        <f>(AD1529+AD1530+AD1531+AD1532+AD1533+AD1534+AD1535+AD1537+AD1538+AD1539+AD1540+AD1541+AD1542)-AH1537</f>
        <v>4</v>
      </c>
      <c r="AE1543" s="208">
        <f>(AE1529+AE1530+AE1531+AE1532+AE1533+AE1534+AE1535+AE1537+AE1538+AE1539+AE1540+AE1541+AE1542)-AI1530</f>
        <v>5</v>
      </c>
      <c r="AF1543" s="209">
        <f>(AF1529+AF1530+AF1531+AF1532+AF1533+AF1534+AF1535+AF1537+AF1538+AF1539+AF1540+AF1541+AF1542)-AI1537</f>
        <v>6</v>
      </c>
      <c r="AG1543" s="62"/>
      <c r="AH1543" s="62"/>
      <c r="AI1543" s="62"/>
      <c r="AJ1543" s="62"/>
      <c r="AK1543" s="62"/>
      <c r="AL1543" s="62"/>
      <c r="AM1543" s="62"/>
      <c r="AN1543" s="91">
        <f>SUM(AN1537:AN1542)</f>
        <v>0</v>
      </c>
      <c r="AO1543" s="91">
        <f>SUM(AO1537:AO1542)</f>
        <v>0</v>
      </c>
      <c r="AP1543" s="91"/>
      <c r="AQ1543" s="91"/>
      <c r="AR1543" s="91">
        <f>SUM(AR1537:AR1542)</f>
        <v>0</v>
      </c>
      <c r="AS1543" s="91">
        <f t="shared" ref="AS1543:AW1543" si="607">SUM(AS1537:AS1542)</f>
        <v>0</v>
      </c>
      <c r="AT1543" s="91">
        <f t="shared" si="607"/>
        <v>0</v>
      </c>
      <c r="AU1543" s="91">
        <f t="shared" si="607"/>
        <v>0</v>
      </c>
      <c r="AV1543" s="91">
        <f t="shared" si="607"/>
        <v>0</v>
      </c>
      <c r="AW1543" s="91">
        <f t="shared" si="607"/>
        <v>0</v>
      </c>
      <c r="AX1543" s="91">
        <f>SUM(AX1537:AX1542)</f>
        <v>0</v>
      </c>
      <c r="AY1543" s="91">
        <f>SUM(AY1537:AY1542)</f>
        <v>0</v>
      </c>
      <c r="AZ1543" s="91">
        <f>SUM(AZ1537:AZ1542)</f>
        <v>0</v>
      </c>
      <c r="BA1543" s="91"/>
      <c r="BB1543" s="91"/>
      <c r="BC1543" s="91"/>
      <c r="BD1543" s="91" t="str">
        <f>IFERROR(VLOOKUP($G1543,нормы!$A$14:$BG$15,27,0),"")</f>
        <v/>
      </c>
      <c r="BE1543" s="53" t="str">
        <f>IFERROR(W1543/VLOOKUP($G1543,нормы!$A$14:$BI$15,28,0),"")</f>
        <v/>
      </c>
    </row>
    <row r="1544" spans="1:57" s="1" customFormat="1" ht="29.4" customHeight="1" thickBot="1" x14ac:dyDescent="0.5">
      <c r="A1544" s="37" t="str">
        <f t="shared" si="602"/>
        <v>25Н</v>
      </c>
      <c r="B1544" s="166" t="s">
        <v>130</v>
      </c>
      <c r="C1544" s="167"/>
      <c r="D1544" s="167"/>
      <c r="E1544" s="167"/>
      <c r="F1544" s="165"/>
      <c r="G1544" s="167"/>
      <c r="H1544" s="167"/>
      <c r="I1544" s="168"/>
      <c r="J1544" s="168"/>
      <c r="K1544" s="168"/>
      <c r="L1544" s="168"/>
      <c r="M1544" s="168"/>
      <c r="N1544" s="168"/>
      <c r="O1544" s="167"/>
      <c r="P1544" s="169"/>
      <c r="Q1544" s="169"/>
      <c r="R1544" s="169"/>
      <c r="S1544" s="169"/>
      <c r="T1544" s="169"/>
      <c r="U1544" s="170"/>
      <c r="V1544" s="170"/>
      <c r="W1544" s="171"/>
      <c r="X1544" s="171"/>
      <c r="Y1544" s="172"/>
      <c r="Z1544" s="172"/>
      <c r="AA1544" s="201" t="s">
        <v>144</v>
      </c>
      <c r="AB1544" s="167"/>
      <c r="AC1544" s="167"/>
      <c r="AD1544" s="167"/>
      <c r="AE1544" s="167"/>
      <c r="AF1544" s="167"/>
      <c r="AG1544" s="167"/>
      <c r="AH1544" s="167"/>
      <c r="AI1544" s="167"/>
      <c r="AJ1544" s="167"/>
      <c r="AK1544" s="167"/>
      <c r="AL1544" s="167"/>
      <c r="AM1544" s="64"/>
      <c r="AN1544" s="167"/>
      <c r="AO1544" s="167"/>
      <c r="AP1544" s="167"/>
      <c r="AQ1544" s="167"/>
      <c r="AR1544" s="64"/>
      <c r="AS1544" s="64"/>
      <c r="AT1544" s="65"/>
      <c r="AU1544" s="64"/>
      <c r="AV1544" s="49"/>
      <c r="AW1544" s="49"/>
      <c r="AX1544" s="167"/>
      <c r="AY1544" s="167"/>
      <c r="AZ1544" s="167"/>
      <c r="BA1544" s="167"/>
      <c r="BB1544" s="167"/>
      <c r="BC1544" s="167"/>
      <c r="BD1544" s="66"/>
      <c r="BE1544" s="66"/>
    </row>
    <row r="1545" spans="1:57" s="1" customFormat="1" ht="23.25" customHeight="1" x14ac:dyDescent="0.4">
      <c r="A1545" s="37" t="str">
        <f t="shared" si="602"/>
        <v>25Н</v>
      </c>
      <c r="B1545" s="183"/>
      <c r="C1545" s="100"/>
      <c r="D1545" s="185"/>
      <c r="E1545" s="186" t="s">
        <v>57</v>
      </c>
      <c r="F1545" s="66" t="s">
        <v>87</v>
      </c>
      <c r="G1545" s="66"/>
      <c r="H1545" s="108" t="s">
        <v>131</v>
      </c>
      <c r="I1545" s="101"/>
      <c r="J1545" s="101"/>
      <c r="K1545" s="101"/>
      <c r="L1545" s="101"/>
      <c r="M1545" s="101"/>
      <c r="N1545" s="101"/>
      <c r="O1545" s="67"/>
      <c r="P1545" s="102"/>
      <c r="Q1545" s="102"/>
      <c r="R1545" s="102"/>
      <c r="S1545" s="102"/>
      <c r="T1545" s="102"/>
      <c r="U1545" s="67"/>
      <c r="V1545" s="67"/>
      <c r="W1545" s="103"/>
      <c r="X1545" s="187"/>
      <c r="Y1545" s="68" t="s">
        <v>74</v>
      </c>
      <c r="Z1545" s="69"/>
      <c r="AA1545" s="90"/>
      <c r="AB1545" s="100"/>
      <c r="AC1545" s="100"/>
      <c r="AD1545" s="186" t="s">
        <v>57</v>
      </c>
      <c r="AE1545" s="66"/>
      <c r="AF1545" s="66"/>
      <c r="AG1545" s="66"/>
      <c r="AH1545" s="66"/>
      <c r="AI1545" s="66"/>
      <c r="AJ1545" s="66"/>
      <c r="AK1545" s="66"/>
      <c r="AL1545" s="66"/>
      <c r="AM1545" s="66"/>
      <c r="AN1545" s="66"/>
      <c r="AO1545" s="66"/>
      <c r="AP1545" s="66"/>
      <c r="AQ1545" s="66"/>
      <c r="AR1545" s="66"/>
      <c r="AS1545" s="66"/>
      <c r="AT1545" s="190"/>
      <c r="AU1545" s="66"/>
      <c r="AV1545" s="165"/>
      <c r="AW1545" s="293"/>
      <c r="AX1545" s="66"/>
      <c r="AY1545" s="66"/>
      <c r="AZ1545" s="66"/>
      <c r="BA1545" s="66"/>
      <c r="BB1545" s="66"/>
      <c r="BC1545" s="66"/>
      <c r="BD1545" s="68" t="s">
        <v>74</v>
      </c>
      <c r="BE1545" s="69"/>
    </row>
    <row r="1546" spans="1:57" s="1" customFormat="1" ht="23.25" customHeight="1" thickBot="1" x14ac:dyDescent="0.45">
      <c r="A1546" s="37" t="str">
        <f t="shared" si="602"/>
        <v>25Н</v>
      </c>
      <c r="B1546" s="183"/>
      <c r="C1546" s="41"/>
      <c r="D1546" s="184"/>
      <c r="E1546" s="50"/>
      <c r="F1546" s="70"/>
      <c r="G1546" s="70"/>
      <c r="H1546" s="70"/>
      <c r="I1546" s="104"/>
      <c r="J1546" s="104"/>
      <c r="K1546" s="104"/>
      <c r="L1546" s="104"/>
      <c r="M1546" s="104"/>
      <c r="N1546" s="104"/>
      <c r="O1546" s="71"/>
      <c r="P1546" s="105"/>
      <c r="Q1546" s="105"/>
      <c r="R1546" s="105"/>
      <c r="S1546" s="105"/>
      <c r="T1546" s="105"/>
      <c r="U1546" s="71"/>
      <c r="V1546" s="71"/>
      <c r="W1546" s="106"/>
      <c r="X1546" s="188"/>
      <c r="Y1546" s="72"/>
      <c r="Z1546" s="73"/>
      <c r="AA1546" s="90"/>
      <c r="AB1546" s="41"/>
      <c r="AC1546" s="41"/>
      <c r="AD1546" s="50"/>
      <c r="AE1546" s="47"/>
      <c r="AF1546" s="47"/>
      <c r="AG1546" s="47"/>
      <c r="AH1546" s="47"/>
      <c r="AI1546" s="47"/>
      <c r="AJ1546" s="47"/>
      <c r="AK1546" s="47"/>
      <c r="AL1546" s="47"/>
      <c r="AM1546" s="70"/>
      <c r="AN1546" s="47"/>
      <c r="AO1546" s="70"/>
      <c r="AP1546" s="70"/>
      <c r="AQ1546" s="70"/>
      <c r="AR1546" s="70"/>
      <c r="AS1546" s="70"/>
      <c r="AT1546" s="191"/>
      <c r="AU1546" s="70"/>
      <c r="AV1546" s="192"/>
      <c r="AW1546" s="294"/>
      <c r="AX1546" s="70"/>
      <c r="AY1546" s="70"/>
      <c r="AZ1546" s="70"/>
      <c r="BA1546" s="70"/>
      <c r="BB1546" s="70"/>
      <c r="BC1546" s="70"/>
      <c r="BD1546" s="72"/>
      <c r="BE1546" s="73"/>
    </row>
    <row r="1547" spans="1:57" s="1" customFormat="1" ht="33" customHeight="1" x14ac:dyDescent="0.4">
      <c r="A1547" s="37" t="str">
        <f t="shared" si="602"/>
        <v>25Н</v>
      </c>
      <c r="B1547" s="183"/>
      <c r="C1547" s="41"/>
      <c r="D1547" s="184"/>
      <c r="E1547" s="281">
        <f>B1542</f>
        <v>25</v>
      </c>
      <c r="F1547" s="337"/>
      <c r="G1547" s="338"/>
      <c r="H1547" s="338"/>
      <c r="I1547" s="338"/>
      <c r="J1547" s="338"/>
      <c r="K1547" s="338"/>
      <c r="L1547" s="338"/>
      <c r="M1547" s="338"/>
      <c r="N1547" s="338"/>
      <c r="O1547" s="338"/>
      <c r="P1547" s="338"/>
      <c r="Q1547" s="338"/>
      <c r="R1547" s="338"/>
      <c r="S1547" s="338"/>
      <c r="T1547" s="338"/>
      <c r="U1547" s="338"/>
      <c r="V1547" s="338"/>
      <c r="W1547" s="338"/>
      <c r="X1547" s="98">
        <v>1</v>
      </c>
      <c r="Y1547" s="74">
        <v>1</v>
      </c>
      <c r="Z1547" s="75">
        <f t="shared" ref="Z1547:Z1558" si="608">Y1547-X1547</f>
        <v>0</v>
      </c>
      <c r="AA1547" s="189"/>
      <c r="AB1547" s="41"/>
      <c r="AC1547" s="184"/>
      <c r="AD1547" s="210">
        <f>E1547</f>
        <v>25</v>
      </c>
      <c r="AE1547" s="387"/>
      <c r="AF1547" s="388"/>
      <c r="AG1547" s="388"/>
      <c r="AH1547" s="388"/>
      <c r="AI1547" s="388"/>
      <c r="AJ1547" s="388"/>
      <c r="AK1547" s="388"/>
      <c r="AL1547" s="388"/>
      <c r="AM1547" s="388"/>
      <c r="AN1547" s="388"/>
      <c r="AO1547" s="388"/>
      <c r="AP1547" s="388"/>
      <c r="AQ1547" s="388"/>
      <c r="AR1547" s="388"/>
      <c r="AS1547" s="388"/>
      <c r="AT1547" s="388"/>
      <c r="AU1547" s="388"/>
      <c r="AV1547" s="388"/>
      <c r="AW1547" s="388"/>
      <c r="AX1547" s="388"/>
      <c r="AY1547" s="388"/>
      <c r="AZ1547" s="388"/>
      <c r="BA1547" s="388"/>
      <c r="BB1547" s="389"/>
      <c r="BC1547" s="98">
        <v>1</v>
      </c>
      <c r="BD1547" s="74">
        <v>1</v>
      </c>
      <c r="BE1547" s="75">
        <f t="shared" ref="BE1547:BE1558" si="609">BD1547-BC1547</f>
        <v>0</v>
      </c>
    </row>
    <row r="1548" spans="1:57" s="1" customFormat="1" ht="27" customHeight="1" x14ac:dyDescent="0.4">
      <c r="A1548" s="37" t="str">
        <f t="shared" si="602"/>
        <v>25Н</v>
      </c>
      <c r="B1548" s="183"/>
      <c r="C1548" s="41"/>
      <c r="D1548" s="184"/>
      <c r="E1548" s="282">
        <f>E1547</f>
        <v>25</v>
      </c>
      <c r="F1548" s="335"/>
      <c r="G1548" s="336"/>
      <c r="H1548" s="336"/>
      <c r="I1548" s="336"/>
      <c r="J1548" s="336"/>
      <c r="K1548" s="336"/>
      <c r="L1548" s="336"/>
      <c r="M1548" s="336"/>
      <c r="N1548" s="336"/>
      <c r="O1548" s="336"/>
      <c r="P1548" s="336"/>
      <c r="Q1548" s="336"/>
      <c r="R1548" s="336"/>
      <c r="S1548" s="336"/>
      <c r="T1548" s="336"/>
      <c r="U1548" s="336"/>
      <c r="V1548" s="336"/>
      <c r="W1548" s="336"/>
      <c r="X1548" s="98">
        <v>1</v>
      </c>
      <c r="Y1548" s="74">
        <v>1</v>
      </c>
      <c r="Z1548" s="75">
        <f t="shared" si="608"/>
        <v>0</v>
      </c>
      <c r="AA1548" s="107">
        <f>AA1547</f>
        <v>0</v>
      </c>
      <c r="AB1548" s="41"/>
      <c r="AC1548" s="184"/>
      <c r="AD1548" s="212">
        <f>AD1547</f>
        <v>25</v>
      </c>
      <c r="AE1548" s="387"/>
      <c r="AF1548" s="388"/>
      <c r="AG1548" s="388"/>
      <c r="AH1548" s="388"/>
      <c r="AI1548" s="388"/>
      <c r="AJ1548" s="388"/>
      <c r="AK1548" s="388"/>
      <c r="AL1548" s="388"/>
      <c r="AM1548" s="388"/>
      <c r="AN1548" s="388"/>
      <c r="AO1548" s="388"/>
      <c r="AP1548" s="388"/>
      <c r="AQ1548" s="388"/>
      <c r="AR1548" s="388"/>
      <c r="AS1548" s="388"/>
      <c r="AT1548" s="388"/>
      <c r="AU1548" s="388"/>
      <c r="AV1548" s="388"/>
      <c r="AW1548" s="388"/>
      <c r="AX1548" s="388"/>
      <c r="AY1548" s="388"/>
      <c r="AZ1548" s="388"/>
      <c r="BA1548" s="388"/>
      <c r="BB1548" s="389"/>
      <c r="BC1548" s="98">
        <v>1</v>
      </c>
      <c r="BD1548" s="74">
        <v>1</v>
      </c>
      <c r="BE1548" s="75">
        <f t="shared" si="609"/>
        <v>0</v>
      </c>
    </row>
    <row r="1549" spans="1:57" s="1" customFormat="1" ht="25.5" customHeight="1" x14ac:dyDescent="0.4">
      <c r="A1549" s="37" t="str">
        <f t="shared" si="602"/>
        <v>25Н</v>
      </c>
      <c r="B1549" s="183"/>
      <c r="C1549" s="41"/>
      <c r="D1549" s="184"/>
      <c r="E1549" s="282">
        <f t="shared" ref="E1549:E1558" si="610">E1548</f>
        <v>25</v>
      </c>
      <c r="F1549" s="335"/>
      <c r="G1549" s="336"/>
      <c r="H1549" s="336"/>
      <c r="I1549" s="336"/>
      <c r="J1549" s="336"/>
      <c r="K1549" s="336"/>
      <c r="L1549" s="336"/>
      <c r="M1549" s="336"/>
      <c r="N1549" s="336"/>
      <c r="O1549" s="336"/>
      <c r="P1549" s="336"/>
      <c r="Q1549" s="336"/>
      <c r="R1549" s="336"/>
      <c r="S1549" s="336"/>
      <c r="T1549" s="336"/>
      <c r="U1549" s="336"/>
      <c r="V1549" s="336"/>
      <c r="W1549" s="336"/>
      <c r="X1549" s="98">
        <v>1</v>
      </c>
      <c r="Y1549" s="74">
        <v>1</v>
      </c>
      <c r="Z1549" s="75">
        <f t="shared" si="608"/>
        <v>0</v>
      </c>
      <c r="AA1549" s="107">
        <f>AA1548</f>
        <v>0</v>
      </c>
      <c r="AB1549" s="41"/>
      <c r="AC1549" s="184"/>
      <c r="AD1549" s="212">
        <f t="shared" ref="AD1549:AD1558" si="611">AD1548</f>
        <v>25</v>
      </c>
      <c r="AE1549" s="387"/>
      <c r="AF1549" s="388"/>
      <c r="AG1549" s="388"/>
      <c r="AH1549" s="388"/>
      <c r="AI1549" s="388"/>
      <c r="AJ1549" s="388"/>
      <c r="AK1549" s="388"/>
      <c r="AL1549" s="388"/>
      <c r="AM1549" s="388"/>
      <c r="AN1549" s="388"/>
      <c r="AO1549" s="388"/>
      <c r="AP1549" s="388"/>
      <c r="AQ1549" s="388"/>
      <c r="AR1549" s="388"/>
      <c r="AS1549" s="388"/>
      <c r="AT1549" s="388"/>
      <c r="AU1549" s="388"/>
      <c r="AV1549" s="388"/>
      <c r="AW1549" s="388"/>
      <c r="AX1549" s="388"/>
      <c r="AY1549" s="388"/>
      <c r="AZ1549" s="388"/>
      <c r="BA1549" s="388"/>
      <c r="BB1549" s="389"/>
      <c r="BC1549" s="98">
        <v>1</v>
      </c>
      <c r="BD1549" s="74">
        <v>1</v>
      </c>
      <c r="BE1549" s="75">
        <f t="shared" si="609"/>
        <v>0</v>
      </c>
    </row>
    <row r="1550" spans="1:57" s="1" customFormat="1" ht="24" customHeight="1" x14ac:dyDescent="0.4">
      <c r="A1550" s="37" t="str">
        <f t="shared" si="602"/>
        <v>25Н</v>
      </c>
      <c r="B1550" s="183"/>
      <c r="C1550" s="41"/>
      <c r="D1550" s="184"/>
      <c r="E1550" s="282">
        <f t="shared" si="610"/>
        <v>25</v>
      </c>
      <c r="F1550" s="335"/>
      <c r="G1550" s="336"/>
      <c r="H1550" s="336"/>
      <c r="I1550" s="336"/>
      <c r="J1550" s="336"/>
      <c r="K1550" s="336"/>
      <c r="L1550" s="336"/>
      <c r="M1550" s="336"/>
      <c r="N1550" s="336"/>
      <c r="O1550" s="336"/>
      <c r="P1550" s="336"/>
      <c r="Q1550" s="336"/>
      <c r="R1550" s="336"/>
      <c r="S1550" s="336"/>
      <c r="T1550" s="336"/>
      <c r="U1550" s="336"/>
      <c r="V1550" s="336"/>
      <c r="W1550" s="336"/>
      <c r="X1550" s="98">
        <v>1</v>
      </c>
      <c r="Y1550" s="74">
        <v>1</v>
      </c>
      <c r="Z1550" s="75">
        <f t="shared" si="608"/>
        <v>0</v>
      </c>
      <c r="AA1550" s="107">
        <f t="shared" ref="AA1550:AA1558" si="612">AA1549</f>
        <v>0</v>
      </c>
      <c r="AB1550" s="41"/>
      <c r="AC1550" s="184"/>
      <c r="AD1550" s="212">
        <f t="shared" si="611"/>
        <v>25</v>
      </c>
      <c r="AE1550" s="387"/>
      <c r="AF1550" s="388"/>
      <c r="AG1550" s="388"/>
      <c r="AH1550" s="388"/>
      <c r="AI1550" s="388"/>
      <c r="AJ1550" s="388"/>
      <c r="AK1550" s="388"/>
      <c r="AL1550" s="388"/>
      <c r="AM1550" s="388"/>
      <c r="AN1550" s="388"/>
      <c r="AO1550" s="388"/>
      <c r="AP1550" s="388"/>
      <c r="AQ1550" s="388"/>
      <c r="AR1550" s="388"/>
      <c r="AS1550" s="388"/>
      <c r="AT1550" s="388"/>
      <c r="AU1550" s="388"/>
      <c r="AV1550" s="388"/>
      <c r="AW1550" s="388"/>
      <c r="AX1550" s="388"/>
      <c r="AY1550" s="388"/>
      <c r="AZ1550" s="388"/>
      <c r="BA1550" s="388"/>
      <c r="BB1550" s="389"/>
      <c r="BC1550" s="98">
        <v>1</v>
      </c>
      <c r="BD1550" s="74">
        <v>1</v>
      </c>
      <c r="BE1550" s="75">
        <f t="shared" si="609"/>
        <v>0</v>
      </c>
    </row>
    <row r="1551" spans="1:57" s="1" customFormat="1" ht="30.75" customHeight="1" x14ac:dyDescent="0.4">
      <c r="A1551" s="37" t="str">
        <f t="shared" si="602"/>
        <v>25Н</v>
      </c>
      <c r="B1551" s="183"/>
      <c r="C1551" s="41"/>
      <c r="D1551" s="184"/>
      <c r="E1551" s="282">
        <f t="shared" si="610"/>
        <v>25</v>
      </c>
      <c r="F1551" s="335"/>
      <c r="G1551" s="336"/>
      <c r="H1551" s="336"/>
      <c r="I1551" s="336"/>
      <c r="J1551" s="336"/>
      <c r="K1551" s="336"/>
      <c r="L1551" s="336"/>
      <c r="M1551" s="336"/>
      <c r="N1551" s="336"/>
      <c r="O1551" s="336"/>
      <c r="P1551" s="336"/>
      <c r="Q1551" s="336"/>
      <c r="R1551" s="336"/>
      <c r="S1551" s="336"/>
      <c r="T1551" s="336"/>
      <c r="U1551" s="336"/>
      <c r="V1551" s="336"/>
      <c r="W1551" s="336"/>
      <c r="X1551" s="98">
        <v>1</v>
      </c>
      <c r="Y1551" s="74">
        <v>1</v>
      </c>
      <c r="Z1551" s="75">
        <f t="shared" si="608"/>
        <v>0</v>
      </c>
      <c r="AA1551" s="107">
        <f t="shared" si="612"/>
        <v>0</v>
      </c>
      <c r="AB1551" s="41"/>
      <c r="AC1551" s="184"/>
      <c r="AD1551" s="212">
        <f t="shared" si="611"/>
        <v>25</v>
      </c>
      <c r="AE1551" s="387"/>
      <c r="AF1551" s="388"/>
      <c r="AG1551" s="388"/>
      <c r="AH1551" s="388"/>
      <c r="AI1551" s="388"/>
      <c r="AJ1551" s="388"/>
      <c r="AK1551" s="388"/>
      <c r="AL1551" s="388"/>
      <c r="AM1551" s="388"/>
      <c r="AN1551" s="388"/>
      <c r="AO1551" s="388"/>
      <c r="AP1551" s="388"/>
      <c r="AQ1551" s="388"/>
      <c r="AR1551" s="388"/>
      <c r="AS1551" s="388"/>
      <c r="AT1551" s="388"/>
      <c r="AU1551" s="388"/>
      <c r="AV1551" s="388"/>
      <c r="AW1551" s="388"/>
      <c r="AX1551" s="388"/>
      <c r="AY1551" s="388"/>
      <c r="AZ1551" s="388"/>
      <c r="BA1551" s="388"/>
      <c r="BB1551" s="389"/>
      <c r="BC1551" s="98">
        <v>1</v>
      </c>
      <c r="BD1551" s="74">
        <v>1</v>
      </c>
      <c r="BE1551" s="75">
        <f t="shared" si="609"/>
        <v>0</v>
      </c>
    </row>
    <row r="1552" spans="1:57" s="1" customFormat="1" ht="18" customHeight="1" x14ac:dyDescent="0.4">
      <c r="A1552" s="37" t="str">
        <f t="shared" si="602"/>
        <v>25Н</v>
      </c>
      <c r="B1552" s="183"/>
      <c r="C1552" s="41"/>
      <c r="D1552" s="184"/>
      <c r="E1552" s="282">
        <f t="shared" si="610"/>
        <v>25</v>
      </c>
      <c r="F1552" s="335"/>
      <c r="G1552" s="336"/>
      <c r="H1552" s="336"/>
      <c r="I1552" s="336"/>
      <c r="J1552" s="336"/>
      <c r="K1552" s="336"/>
      <c r="L1552" s="336"/>
      <c r="M1552" s="336"/>
      <c r="N1552" s="336"/>
      <c r="O1552" s="336"/>
      <c r="P1552" s="336"/>
      <c r="Q1552" s="336"/>
      <c r="R1552" s="336"/>
      <c r="S1552" s="336"/>
      <c r="T1552" s="336"/>
      <c r="U1552" s="336"/>
      <c r="V1552" s="336"/>
      <c r="W1552" s="336"/>
      <c r="X1552" s="98">
        <v>1</v>
      </c>
      <c r="Y1552" s="74">
        <v>1</v>
      </c>
      <c r="Z1552" s="75">
        <f t="shared" si="608"/>
        <v>0</v>
      </c>
      <c r="AA1552" s="107">
        <f t="shared" si="612"/>
        <v>0</v>
      </c>
      <c r="AB1552" s="41"/>
      <c r="AC1552" s="184"/>
      <c r="AD1552" s="212">
        <f t="shared" si="611"/>
        <v>25</v>
      </c>
      <c r="AE1552" s="387"/>
      <c r="AF1552" s="388"/>
      <c r="AG1552" s="388"/>
      <c r="AH1552" s="388"/>
      <c r="AI1552" s="388"/>
      <c r="AJ1552" s="388"/>
      <c r="AK1552" s="388"/>
      <c r="AL1552" s="388"/>
      <c r="AM1552" s="388"/>
      <c r="AN1552" s="388"/>
      <c r="AO1552" s="388"/>
      <c r="AP1552" s="388"/>
      <c r="AQ1552" s="388"/>
      <c r="AR1552" s="388"/>
      <c r="AS1552" s="388"/>
      <c r="AT1552" s="388"/>
      <c r="AU1552" s="388"/>
      <c r="AV1552" s="388"/>
      <c r="AW1552" s="388"/>
      <c r="AX1552" s="388"/>
      <c r="AY1552" s="388"/>
      <c r="AZ1552" s="388"/>
      <c r="BA1552" s="388"/>
      <c r="BB1552" s="389"/>
      <c r="BC1552" s="98">
        <v>1</v>
      </c>
      <c r="BD1552" s="74">
        <v>1</v>
      </c>
      <c r="BE1552" s="75">
        <f t="shared" si="609"/>
        <v>0</v>
      </c>
    </row>
    <row r="1553" spans="1:57" s="1" customFormat="1" ht="18" customHeight="1" x14ac:dyDescent="0.4">
      <c r="A1553" s="37" t="str">
        <f t="shared" si="602"/>
        <v>25Н</v>
      </c>
      <c r="B1553" s="183"/>
      <c r="C1553" s="41"/>
      <c r="D1553" s="184"/>
      <c r="E1553" s="282">
        <f t="shared" si="610"/>
        <v>25</v>
      </c>
      <c r="F1553" s="335"/>
      <c r="G1553" s="336"/>
      <c r="H1553" s="336"/>
      <c r="I1553" s="336"/>
      <c r="J1553" s="336"/>
      <c r="K1553" s="336"/>
      <c r="L1553" s="336"/>
      <c r="M1553" s="336"/>
      <c r="N1553" s="336"/>
      <c r="O1553" s="336"/>
      <c r="P1553" s="336"/>
      <c r="Q1553" s="336"/>
      <c r="R1553" s="336"/>
      <c r="S1553" s="336"/>
      <c r="T1553" s="336"/>
      <c r="U1553" s="336"/>
      <c r="V1553" s="336"/>
      <c r="W1553" s="336"/>
      <c r="X1553" s="98">
        <v>1</v>
      </c>
      <c r="Y1553" s="74">
        <v>1</v>
      </c>
      <c r="Z1553" s="75">
        <f t="shared" si="608"/>
        <v>0</v>
      </c>
      <c r="AA1553" s="107">
        <f t="shared" si="612"/>
        <v>0</v>
      </c>
      <c r="AB1553" s="41"/>
      <c r="AC1553" s="184"/>
      <c r="AD1553" s="212">
        <f t="shared" si="611"/>
        <v>25</v>
      </c>
      <c r="AE1553" s="387"/>
      <c r="AF1553" s="388"/>
      <c r="AG1553" s="388"/>
      <c r="AH1553" s="388"/>
      <c r="AI1553" s="388"/>
      <c r="AJ1553" s="388"/>
      <c r="AK1553" s="388"/>
      <c r="AL1553" s="388"/>
      <c r="AM1553" s="388"/>
      <c r="AN1553" s="388"/>
      <c r="AO1553" s="388"/>
      <c r="AP1553" s="388"/>
      <c r="AQ1553" s="388"/>
      <c r="AR1553" s="388"/>
      <c r="AS1553" s="388"/>
      <c r="AT1553" s="388"/>
      <c r="AU1553" s="388"/>
      <c r="AV1553" s="388"/>
      <c r="AW1553" s="388"/>
      <c r="AX1553" s="388"/>
      <c r="AY1553" s="388"/>
      <c r="AZ1553" s="388"/>
      <c r="BA1553" s="388"/>
      <c r="BB1553" s="389"/>
      <c r="BC1553" s="98">
        <v>1</v>
      </c>
      <c r="BD1553" s="74">
        <v>1</v>
      </c>
      <c r="BE1553" s="75">
        <f t="shared" si="609"/>
        <v>0</v>
      </c>
    </row>
    <row r="1554" spans="1:57" s="1" customFormat="1" ht="18" customHeight="1" x14ac:dyDescent="0.4">
      <c r="A1554" s="37" t="str">
        <f t="shared" si="602"/>
        <v>25Н</v>
      </c>
      <c r="B1554" s="183"/>
      <c r="C1554" s="41"/>
      <c r="D1554" s="184"/>
      <c r="E1554" s="282">
        <f t="shared" si="610"/>
        <v>25</v>
      </c>
      <c r="F1554" s="335"/>
      <c r="G1554" s="336"/>
      <c r="H1554" s="336"/>
      <c r="I1554" s="336"/>
      <c r="J1554" s="336"/>
      <c r="K1554" s="336"/>
      <c r="L1554" s="336"/>
      <c r="M1554" s="336"/>
      <c r="N1554" s="336"/>
      <c r="O1554" s="336"/>
      <c r="P1554" s="336"/>
      <c r="Q1554" s="336"/>
      <c r="R1554" s="336"/>
      <c r="S1554" s="336"/>
      <c r="T1554" s="336"/>
      <c r="U1554" s="336"/>
      <c r="V1554" s="336"/>
      <c r="W1554" s="336"/>
      <c r="X1554" s="98">
        <v>1</v>
      </c>
      <c r="Y1554" s="74">
        <v>1</v>
      </c>
      <c r="Z1554" s="75">
        <f t="shared" si="608"/>
        <v>0</v>
      </c>
      <c r="AA1554" s="107">
        <f t="shared" si="612"/>
        <v>0</v>
      </c>
      <c r="AB1554" s="41"/>
      <c r="AC1554" s="184"/>
      <c r="AD1554" s="212">
        <f t="shared" si="611"/>
        <v>25</v>
      </c>
      <c r="AE1554" s="387"/>
      <c r="AF1554" s="388"/>
      <c r="AG1554" s="388"/>
      <c r="AH1554" s="388"/>
      <c r="AI1554" s="388"/>
      <c r="AJ1554" s="388"/>
      <c r="AK1554" s="388"/>
      <c r="AL1554" s="388"/>
      <c r="AM1554" s="388"/>
      <c r="AN1554" s="388"/>
      <c r="AO1554" s="388"/>
      <c r="AP1554" s="388"/>
      <c r="AQ1554" s="388"/>
      <c r="AR1554" s="388"/>
      <c r="AS1554" s="388"/>
      <c r="AT1554" s="388"/>
      <c r="AU1554" s="388"/>
      <c r="AV1554" s="388"/>
      <c r="AW1554" s="388"/>
      <c r="AX1554" s="388"/>
      <c r="AY1554" s="388"/>
      <c r="AZ1554" s="388"/>
      <c r="BA1554" s="388"/>
      <c r="BB1554" s="389"/>
      <c r="BC1554" s="98">
        <v>1</v>
      </c>
      <c r="BD1554" s="74">
        <v>1</v>
      </c>
      <c r="BE1554" s="75">
        <f t="shared" si="609"/>
        <v>0</v>
      </c>
    </row>
    <row r="1555" spans="1:57" s="1" customFormat="1" ht="18" customHeight="1" x14ac:dyDescent="0.4">
      <c r="A1555" s="37" t="str">
        <f t="shared" si="602"/>
        <v>25Н</v>
      </c>
      <c r="B1555" s="183"/>
      <c r="C1555" s="41"/>
      <c r="D1555" s="184"/>
      <c r="E1555" s="282">
        <f t="shared" si="610"/>
        <v>25</v>
      </c>
      <c r="F1555" s="335"/>
      <c r="G1555" s="336"/>
      <c r="H1555" s="336"/>
      <c r="I1555" s="336"/>
      <c r="J1555" s="336"/>
      <c r="K1555" s="336"/>
      <c r="L1555" s="336"/>
      <c r="M1555" s="336"/>
      <c r="N1555" s="336"/>
      <c r="O1555" s="336"/>
      <c r="P1555" s="336"/>
      <c r="Q1555" s="336"/>
      <c r="R1555" s="336"/>
      <c r="S1555" s="336"/>
      <c r="T1555" s="336"/>
      <c r="U1555" s="336"/>
      <c r="V1555" s="336"/>
      <c r="W1555" s="336"/>
      <c r="X1555" s="98">
        <v>1</v>
      </c>
      <c r="Y1555" s="74">
        <v>1</v>
      </c>
      <c r="Z1555" s="75">
        <f t="shared" si="608"/>
        <v>0</v>
      </c>
      <c r="AA1555" s="107">
        <f t="shared" si="612"/>
        <v>0</v>
      </c>
      <c r="AB1555" s="41"/>
      <c r="AC1555" s="184"/>
      <c r="AD1555" s="212">
        <f t="shared" si="611"/>
        <v>25</v>
      </c>
      <c r="AE1555" s="387"/>
      <c r="AF1555" s="388"/>
      <c r="AG1555" s="388"/>
      <c r="AH1555" s="388"/>
      <c r="AI1555" s="388"/>
      <c r="AJ1555" s="388"/>
      <c r="AK1555" s="388"/>
      <c r="AL1555" s="388"/>
      <c r="AM1555" s="388"/>
      <c r="AN1555" s="388"/>
      <c r="AO1555" s="388"/>
      <c r="AP1555" s="388"/>
      <c r="AQ1555" s="388"/>
      <c r="AR1555" s="388"/>
      <c r="AS1555" s="388"/>
      <c r="AT1555" s="388"/>
      <c r="AU1555" s="388"/>
      <c r="AV1555" s="388"/>
      <c r="AW1555" s="388"/>
      <c r="AX1555" s="388"/>
      <c r="AY1555" s="388"/>
      <c r="AZ1555" s="388"/>
      <c r="BA1555" s="388"/>
      <c r="BB1555" s="389"/>
      <c r="BC1555" s="98">
        <v>1</v>
      </c>
      <c r="BD1555" s="74">
        <v>1</v>
      </c>
      <c r="BE1555" s="75">
        <f t="shared" si="609"/>
        <v>0</v>
      </c>
    </row>
    <row r="1556" spans="1:57" s="1" customFormat="1" ht="18" customHeight="1" x14ac:dyDescent="0.4">
      <c r="A1556" s="37" t="str">
        <f t="shared" si="602"/>
        <v>25Н</v>
      </c>
      <c r="B1556" s="183"/>
      <c r="C1556" s="41"/>
      <c r="D1556" s="184"/>
      <c r="E1556" s="282">
        <f t="shared" si="610"/>
        <v>25</v>
      </c>
      <c r="F1556" s="335"/>
      <c r="G1556" s="336"/>
      <c r="H1556" s="336"/>
      <c r="I1556" s="336"/>
      <c r="J1556" s="336"/>
      <c r="K1556" s="336"/>
      <c r="L1556" s="336"/>
      <c r="M1556" s="336"/>
      <c r="N1556" s="336"/>
      <c r="O1556" s="336"/>
      <c r="P1556" s="336"/>
      <c r="Q1556" s="336"/>
      <c r="R1556" s="336"/>
      <c r="S1556" s="336"/>
      <c r="T1556" s="336"/>
      <c r="U1556" s="336"/>
      <c r="V1556" s="336"/>
      <c r="W1556" s="336"/>
      <c r="X1556" s="98">
        <v>1</v>
      </c>
      <c r="Y1556" s="74">
        <v>1</v>
      </c>
      <c r="Z1556" s="75">
        <f t="shared" si="608"/>
        <v>0</v>
      </c>
      <c r="AA1556" s="107">
        <f t="shared" si="612"/>
        <v>0</v>
      </c>
      <c r="AB1556" s="41"/>
      <c r="AC1556" s="184"/>
      <c r="AD1556" s="212">
        <f t="shared" si="611"/>
        <v>25</v>
      </c>
      <c r="AE1556" s="387"/>
      <c r="AF1556" s="388"/>
      <c r="AG1556" s="388"/>
      <c r="AH1556" s="388"/>
      <c r="AI1556" s="388"/>
      <c r="AJ1556" s="388"/>
      <c r="AK1556" s="388"/>
      <c r="AL1556" s="388"/>
      <c r="AM1556" s="388"/>
      <c r="AN1556" s="388"/>
      <c r="AO1556" s="388"/>
      <c r="AP1556" s="388"/>
      <c r="AQ1556" s="388"/>
      <c r="AR1556" s="388"/>
      <c r="AS1556" s="388"/>
      <c r="AT1556" s="388"/>
      <c r="AU1556" s="388"/>
      <c r="AV1556" s="388"/>
      <c r="AW1556" s="388"/>
      <c r="AX1556" s="388"/>
      <c r="AY1556" s="388"/>
      <c r="AZ1556" s="388"/>
      <c r="BA1556" s="388"/>
      <c r="BB1556" s="389"/>
      <c r="BC1556" s="98">
        <v>1</v>
      </c>
      <c r="BD1556" s="74">
        <v>1</v>
      </c>
      <c r="BE1556" s="75">
        <f t="shared" si="609"/>
        <v>0</v>
      </c>
    </row>
    <row r="1557" spans="1:57" s="1" customFormat="1" ht="18" customHeight="1" x14ac:dyDescent="0.4">
      <c r="A1557" s="37" t="str">
        <f t="shared" si="602"/>
        <v>25Н</v>
      </c>
      <c r="B1557" s="183"/>
      <c r="C1557" s="41"/>
      <c r="D1557" s="184"/>
      <c r="E1557" s="282">
        <f t="shared" si="610"/>
        <v>25</v>
      </c>
      <c r="F1557" s="335"/>
      <c r="G1557" s="336"/>
      <c r="H1557" s="336"/>
      <c r="I1557" s="336"/>
      <c r="J1557" s="336"/>
      <c r="K1557" s="336"/>
      <c r="L1557" s="336"/>
      <c r="M1557" s="336"/>
      <c r="N1557" s="336"/>
      <c r="O1557" s="336"/>
      <c r="P1557" s="336"/>
      <c r="Q1557" s="336"/>
      <c r="R1557" s="336"/>
      <c r="S1557" s="336"/>
      <c r="T1557" s="336"/>
      <c r="U1557" s="336"/>
      <c r="V1557" s="336"/>
      <c r="W1557" s="336"/>
      <c r="X1557" s="98">
        <v>1</v>
      </c>
      <c r="Y1557" s="74">
        <v>1</v>
      </c>
      <c r="Z1557" s="75">
        <f t="shared" si="608"/>
        <v>0</v>
      </c>
      <c r="AA1557" s="107">
        <f t="shared" si="612"/>
        <v>0</v>
      </c>
      <c r="AB1557" s="41"/>
      <c r="AC1557" s="184"/>
      <c r="AD1557" s="212">
        <f t="shared" si="611"/>
        <v>25</v>
      </c>
      <c r="AE1557" s="387"/>
      <c r="AF1557" s="388"/>
      <c r="AG1557" s="388"/>
      <c r="AH1557" s="388"/>
      <c r="AI1557" s="388"/>
      <c r="AJ1557" s="388"/>
      <c r="AK1557" s="388"/>
      <c r="AL1557" s="388"/>
      <c r="AM1557" s="388"/>
      <c r="AN1557" s="388"/>
      <c r="AO1557" s="388"/>
      <c r="AP1557" s="388"/>
      <c r="AQ1557" s="388"/>
      <c r="AR1557" s="388"/>
      <c r="AS1557" s="388"/>
      <c r="AT1557" s="388"/>
      <c r="AU1557" s="388"/>
      <c r="AV1557" s="388"/>
      <c r="AW1557" s="388"/>
      <c r="AX1557" s="388"/>
      <c r="AY1557" s="388"/>
      <c r="AZ1557" s="388"/>
      <c r="BA1557" s="388"/>
      <c r="BB1557" s="389"/>
      <c r="BC1557" s="98">
        <v>1</v>
      </c>
      <c r="BD1557" s="74">
        <v>1</v>
      </c>
      <c r="BE1557" s="75">
        <f t="shared" si="609"/>
        <v>0</v>
      </c>
    </row>
    <row r="1558" spans="1:57" s="1" customFormat="1" ht="18" customHeight="1" thickBot="1" x14ac:dyDescent="0.45">
      <c r="A1558" s="37" t="str">
        <f t="shared" si="602"/>
        <v>25Н</v>
      </c>
      <c r="B1558" s="183"/>
      <c r="C1558" s="41"/>
      <c r="D1558" s="184"/>
      <c r="E1558" s="283">
        <f t="shared" si="610"/>
        <v>25</v>
      </c>
      <c r="F1558" s="339"/>
      <c r="G1558" s="340"/>
      <c r="H1558" s="340"/>
      <c r="I1558" s="340"/>
      <c r="J1558" s="340"/>
      <c r="K1558" s="340"/>
      <c r="L1558" s="340"/>
      <c r="M1558" s="340"/>
      <c r="N1558" s="340"/>
      <c r="O1558" s="340"/>
      <c r="P1558" s="340"/>
      <c r="Q1558" s="340"/>
      <c r="R1558" s="340"/>
      <c r="S1558" s="340"/>
      <c r="T1558" s="340"/>
      <c r="U1558" s="340"/>
      <c r="V1558" s="340"/>
      <c r="W1558" s="340"/>
      <c r="X1558" s="99">
        <v>1</v>
      </c>
      <c r="Y1558" s="76">
        <v>1</v>
      </c>
      <c r="Z1558" s="77">
        <f t="shared" si="608"/>
        <v>0</v>
      </c>
      <c r="AA1558" s="107">
        <f t="shared" si="612"/>
        <v>0</v>
      </c>
      <c r="AB1558" s="41"/>
      <c r="AC1558" s="184"/>
      <c r="AD1558" s="211">
        <f t="shared" si="611"/>
        <v>25</v>
      </c>
      <c r="AE1558" s="410"/>
      <c r="AF1558" s="411"/>
      <c r="AG1558" s="411"/>
      <c r="AH1558" s="411"/>
      <c r="AI1558" s="411"/>
      <c r="AJ1558" s="411"/>
      <c r="AK1558" s="411"/>
      <c r="AL1558" s="411"/>
      <c r="AM1558" s="411"/>
      <c r="AN1558" s="411"/>
      <c r="AO1558" s="411"/>
      <c r="AP1558" s="411"/>
      <c r="AQ1558" s="411"/>
      <c r="AR1558" s="411"/>
      <c r="AS1558" s="411"/>
      <c r="AT1558" s="411"/>
      <c r="AU1558" s="411"/>
      <c r="AV1558" s="411"/>
      <c r="AW1558" s="411"/>
      <c r="AX1558" s="411"/>
      <c r="AY1558" s="411"/>
      <c r="AZ1558" s="411"/>
      <c r="BA1558" s="411"/>
      <c r="BB1558" s="412"/>
      <c r="BC1558" s="99">
        <v>1</v>
      </c>
      <c r="BD1558" s="76">
        <v>1</v>
      </c>
      <c r="BE1558" s="75">
        <f t="shared" si="609"/>
        <v>0</v>
      </c>
    </row>
    <row r="1559" spans="1:57" s="1" customFormat="1" ht="23.25" customHeight="1" thickBot="1" x14ac:dyDescent="0.45">
      <c r="A1559" s="37" t="str">
        <f t="shared" si="602"/>
        <v>25Н</v>
      </c>
      <c r="B1559" s="193"/>
      <c r="C1559" s="47"/>
      <c r="D1559" s="47"/>
      <c r="E1559" s="47"/>
      <c r="F1559" s="78"/>
      <c r="G1559" s="78"/>
      <c r="H1559" s="78"/>
      <c r="I1559" s="80"/>
      <c r="J1559" s="80"/>
      <c r="K1559" s="80"/>
      <c r="L1559" s="80"/>
      <c r="M1559" s="80"/>
      <c r="N1559" s="80"/>
      <c r="O1559" s="78"/>
      <c r="P1559" s="81"/>
      <c r="Q1559" s="81"/>
      <c r="R1559" s="81"/>
      <c r="S1559" s="81"/>
      <c r="T1559" s="81"/>
      <c r="U1559" s="82"/>
      <c r="V1559" s="82"/>
      <c r="W1559" s="86"/>
      <c r="X1559" s="194"/>
      <c r="Y1559" s="83"/>
      <c r="Z1559" s="83"/>
      <c r="AA1559" s="78"/>
      <c r="AB1559" s="47"/>
      <c r="AC1559" s="47"/>
      <c r="AD1559" s="47"/>
      <c r="AE1559" s="47"/>
      <c r="AF1559" s="47"/>
      <c r="AG1559" s="47"/>
      <c r="AH1559" s="47"/>
      <c r="AI1559" s="47"/>
      <c r="AJ1559" s="47"/>
      <c r="AK1559" s="47"/>
      <c r="AL1559" s="47"/>
      <c r="AM1559" s="84"/>
      <c r="AN1559" s="47"/>
      <c r="AO1559" s="78"/>
      <c r="AP1559" s="78"/>
      <c r="AQ1559" s="78"/>
      <c r="AR1559" s="84"/>
      <c r="AS1559" s="78"/>
      <c r="AT1559" s="85"/>
      <c r="AU1559" s="78"/>
      <c r="AV1559" s="83"/>
      <c r="AW1559" s="83"/>
      <c r="AX1559" s="78"/>
      <c r="AY1559" s="78"/>
      <c r="AZ1559" s="78"/>
      <c r="BA1559" s="78"/>
      <c r="BB1559" s="78"/>
      <c r="BC1559" s="78"/>
      <c r="BD1559" s="79"/>
      <c r="BE1559" s="79"/>
    </row>
    <row r="1560" spans="1:57" s="1" customFormat="1" ht="21.6" customHeight="1" thickBot="1" x14ac:dyDescent="0.45">
      <c r="A1560" s="37" t="s">
        <v>196</v>
      </c>
      <c r="B1560" s="59"/>
      <c r="C1560" s="51"/>
      <c r="D1560" s="51"/>
      <c r="E1560" s="51"/>
      <c r="F1560" s="158" t="s">
        <v>147</v>
      </c>
      <c r="G1560" s="51"/>
      <c r="H1560" s="51"/>
      <c r="I1560" s="156"/>
      <c r="J1560" s="156"/>
      <c r="K1560" s="156"/>
      <c r="L1560" s="156"/>
      <c r="M1560" s="156"/>
      <c r="N1560" s="156"/>
      <c r="O1560" s="91"/>
      <c r="P1560" s="52"/>
      <c r="Q1560" s="52"/>
      <c r="R1560" s="52"/>
      <c r="S1560" s="52"/>
      <c r="T1560" s="52"/>
      <c r="U1560" s="157"/>
      <c r="V1560" s="157"/>
      <c r="W1560" s="94"/>
      <c r="X1560" s="94"/>
      <c r="Y1560" s="51"/>
      <c r="Z1560" s="51"/>
      <c r="AA1560" s="157">
        <f>AA1543</f>
        <v>1</v>
      </c>
      <c r="AB1560" s="157">
        <f t="shared" ref="AB1560:AF1560" si="613">AB1543</f>
        <v>2</v>
      </c>
      <c r="AC1560" s="157">
        <f t="shared" si="613"/>
        <v>3</v>
      </c>
      <c r="AD1560" s="157">
        <f t="shared" si="613"/>
        <v>4</v>
      </c>
      <c r="AE1560" s="157">
        <f t="shared" si="613"/>
        <v>5</v>
      </c>
      <c r="AF1560" s="157">
        <f t="shared" si="613"/>
        <v>6</v>
      </c>
      <c r="AG1560" s="162" t="s">
        <v>123</v>
      </c>
      <c r="AH1560" s="162" t="s">
        <v>124</v>
      </c>
      <c r="AI1560" s="162" t="s">
        <v>125</v>
      </c>
      <c r="AJ1560" s="91" t="s">
        <v>126</v>
      </c>
      <c r="AK1560" s="198" t="s">
        <v>136</v>
      </c>
      <c r="AL1560" s="198" t="s">
        <v>137</v>
      </c>
      <c r="AM1560" s="198" t="s">
        <v>138</v>
      </c>
      <c r="AN1560" s="91"/>
      <c r="AO1560" s="91"/>
      <c r="AP1560" s="91"/>
      <c r="AQ1560" s="91"/>
      <c r="AR1560" s="91"/>
      <c r="AS1560" s="91"/>
      <c r="AT1560" s="91"/>
      <c r="AU1560" s="91"/>
      <c r="AV1560" s="91"/>
      <c r="AW1560" s="91"/>
      <c r="AX1560" s="91"/>
      <c r="AY1560" s="91"/>
      <c r="AZ1560" s="91"/>
      <c r="BA1560" s="91"/>
      <c r="BB1560" s="91"/>
      <c r="BC1560" s="91"/>
      <c r="BD1560" s="91"/>
      <c r="BE1560" s="91"/>
    </row>
    <row r="1561" spans="1:57" s="1" customFormat="1" ht="21.6" customHeight="1" x14ac:dyDescent="0.4">
      <c r="A1561" s="37" t="str">
        <f>A1560</f>
        <v>26Д</v>
      </c>
      <c r="B1561" s="12">
        <f>B1542+1</f>
        <v>26</v>
      </c>
      <c r="C1561" s="97"/>
      <c r="D1561" s="97">
        <v>1</v>
      </c>
      <c r="E1561" s="29"/>
      <c r="F1561" s="151" t="str">
        <f>IFERROR(VLOOKUP($G1561,нормы!$A$14:$BC$57,2,0),"")</f>
        <v/>
      </c>
      <c r="G1561" s="93"/>
      <c r="H1561" s="54">
        <f>IF(C1561=1,"Кульков С.А.", IF(C1561=2,"Чудаков А.А.",IF(C1561=3,"Королев В.Н.",IF(C1561=4,"Николашин М.П.",IF(C1561=5," Кульков С.А.",IF(C1561=6,"А.А. Чудаков",IF(C1561=7,"В.Н. Королев",IF(C1561=8,"М.П. Николашин",0))))))))</f>
        <v>0</v>
      </c>
      <c r="I1561" s="88" t="s">
        <v>84</v>
      </c>
      <c r="J1561" s="332"/>
      <c r="K1561" s="30">
        <f>IFERROR(VLOOKUP($G1561,[1]нормы!$A$21:$BC$151,15,0),"")</f>
        <v>0</v>
      </c>
      <c r="L1561" s="31">
        <f>IFERROR(VLOOKUP($G1561,[1]нормы!$A$21:$BC$151,17,0),"")</f>
        <v>0</v>
      </c>
      <c r="M1561" s="310">
        <f>IFERROR(VLOOKUP($G1561,[1]нормы!$A$21:$BC$151,27,0),"")</f>
        <v>0</v>
      </c>
      <c r="N1561" s="311" t="str">
        <f>IFERROR(Y1561/Y1567*(1.1*J1561*I1566),"")</f>
        <v/>
      </c>
      <c r="O1561" s="300">
        <f>IFERROR(VLOOKUP($G1561,[1]нормы!$A$21:$BC$151,21,0),"")</f>
        <v>0</v>
      </c>
      <c r="P1561" s="35">
        <f>IFERROR(VLOOKUP($G1561,[1]нормы!$A$21:$BC$151,19,0),"")</f>
        <v>0</v>
      </c>
      <c r="Q1561" s="35">
        <f>IFERROR(VLOOKUP($G1561,[1]нормы!$A$21:$BC$151,23,0),"")</f>
        <v>0</v>
      </c>
      <c r="R1561" s="231">
        <f>IFERROR(VLOOKUP($G1561,[1]нормы!$A$21:$BC$151,29,0),"")</f>
        <v>0</v>
      </c>
      <c r="S1561" s="35">
        <f>IFERROR(VLOOKUP($G1561,[1]нормы!$A$21:$BC$151,31,0),"")</f>
        <v>0</v>
      </c>
      <c r="T1561" s="32">
        <f>IFERROR(VLOOKUP($G1561,[1]нормы!$A$21:$BC$151,25,0),"")</f>
        <v>0</v>
      </c>
      <c r="U1561" s="232" t="str">
        <f>IFERROR(W1561/(((100*Y1561/Y1567)*I1566)/100),"")</f>
        <v/>
      </c>
      <c r="V1561" s="234" t="str">
        <f>IFERROR(VLOOKUP($G1561,нормы!$A$14:$BC$57,38,0),"")</f>
        <v/>
      </c>
      <c r="W1561" s="136"/>
      <c r="X1561" s="236"/>
      <c r="Y1561" s="152" t="str">
        <f>IFERROR(VLOOKUP($G1561,нормы!$A$14:$BC$57,42,0)*W1561,"")</f>
        <v/>
      </c>
      <c r="Z1561" s="163">
        <f>IFERROR(VLOOKUP($G1561,нормы!$A$14:$BC$57,14,0)*W1561/1000,0)</f>
        <v>0</v>
      </c>
      <c r="AA1561" s="33"/>
      <c r="AB1561" s="36"/>
      <c r="AC1561" s="36"/>
      <c r="AD1561" s="36"/>
      <c r="AE1561" s="34"/>
      <c r="AF1561" s="159"/>
      <c r="AG1561" s="390"/>
      <c r="AH1561" s="393"/>
      <c r="AI1561" s="396"/>
      <c r="AJ1561" s="407">
        <f>AG1561+AH1561</f>
        <v>0</v>
      </c>
      <c r="AK1561" s="359"/>
      <c r="AL1561" s="359"/>
      <c r="AM1561" s="359"/>
      <c r="AN1561" s="287">
        <f>IFERROR(Y1561*AJ1561/Y1567,)</f>
        <v>0</v>
      </c>
      <c r="AO1561" s="197" t="str">
        <f>IFERROR(VLOOKUP($G1561,нормы!$A$14:$BC$57,53,0)*$W1561,"")</f>
        <v/>
      </c>
      <c r="AP1561" s="288">
        <f>IFERROR(Y1561*AI1561/Y1567,)</f>
        <v>0</v>
      </c>
      <c r="AQ1561" s="197" t="str">
        <f>IFERROR(VLOOKUP($G1561,нормы!$A$14:$BC$57,54,0)*$W1561,"")</f>
        <v/>
      </c>
      <c r="AR1561" s="288">
        <f>IFERROR(AS1561/SUM(AS1561:AS1566)*AL1561,0)</f>
        <v>0</v>
      </c>
      <c r="AS1561" s="197" t="str">
        <f>IFERROR(VLOOKUP($G1561,нормы!$A$14:$BC$57,55,0)*W1561,"")</f>
        <v/>
      </c>
      <c r="AT1561" s="288">
        <f>IFERROR(AU1561/SUM(AU1561:AU1566)*AM1561,0)</f>
        <v>0</v>
      </c>
      <c r="AU1561" s="197" t="str">
        <f>IFERROR(VLOOKUP($G1561,нормы!$A$14:$BI$57,56,0)*W1561,"")</f>
        <v/>
      </c>
      <c r="AV1561" s="288">
        <f>IFERROR(AW1561/SUM(AW1561:AW1566)*AK1561,0)</f>
        <v>0</v>
      </c>
      <c r="AW1561" s="202" t="str">
        <f>IFERROR(VLOOKUP($G1561,нормы!$A$14:$BI$57,57,0)*W1561,"")</f>
        <v/>
      </c>
      <c r="AX1561" s="33"/>
      <c r="AY1561" s="203" t="str">
        <f>IFERROR(VLOOKUP($G1561,нормы!$A$14:$BI$57,58,0)*W1561,"")</f>
        <v/>
      </c>
      <c r="AZ1561" s="204"/>
      <c r="BA1561" s="200" t="str">
        <f>IFERROR(VLOOKUP($G1561,нормы!$A$14:$BI$57,61,0)*$W1561,"")</f>
        <v/>
      </c>
      <c r="BB1561" s="33"/>
      <c r="BC1561" s="203" t="str">
        <f>IFERROR(VLOOKUP($G1561,нормы!$A$14:$BI$57,60,0)*W1561,"")</f>
        <v/>
      </c>
      <c r="BD1561" s="200" t="str">
        <f>IFERROR(VLOOKUP($G1561,нормы!$A$14:$BG$57,44,0),"")</f>
        <v/>
      </c>
      <c r="BE1561" s="199" t="str">
        <f>IFERROR(W1561/VLOOKUP($G1561,нормы!$A$14:$BI$57,45,0),"")</f>
        <v/>
      </c>
    </row>
    <row r="1562" spans="1:57" s="1" customFormat="1" ht="21.6" customHeight="1" x14ac:dyDescent="0.4">
      <c r="A1562" s="37" t="str">
        <f t="shared" ref="A1562:A1590" si="614">A1561</f>
        <v>26Д</v>
      </c>
      <c r="B1562" s="12">
        <f t="shared" ref="B1562:D1566" si="615">B1561</f>
        <v>26</v>
      </c>
      <c r="C1562" s="97">
        <f t="shared" si="615"/>
        <v>0</v>
      </c>
      <c r="D1562" s="97">
        <f t="shared" si="615"/>
        <v>1</v>
      </c>
      <c r="E1562" s="54"/>
      <c r="F1562" s="151" t="str">
        <f>IFERROR(VLOOKUP($G1562,нормы!$A$14:$BC$57,2,0),"")</f>
        <v/>
      </c>
      <c r="G1562" s="93"/>
      <c r="H1562" s="54">
        <f t="shared" ref="H1562:H1566" si="616">IF(C1562=1,"Кульков С.А.", IF(C1562=2,"Чудаков А.А.",IF(C1562=3,"Королев В.Н.",IF(C1562=4,"Николашин М.П.",IF(C1562=5," Кульков С.А.",IF(C1562=6,"А.А. Чудаков",IF(C1562=7,"В.Н. Королев",IF(C1562=8,"М.П. Николашин",0))))))))</f>
        <v>0</v>
      </c>
      <c r="I1562" s="55"/>
      <c r="J1562" s="333"/>
      <c r="K1562" s="30">
        <f>IFERROR(VLOOKUP($G1562,[1]нормы!$A$21:$BC$151,15,0),"")</f>
        <v>0</v>
      </c>
      <c r="L1562" s="31">
        <f>IFERROR(VLOOKUP($G1562,[1]нормы!$A$21:$BC$151,17,0),"")</f>
        <v>0</v>
      </c>
      <c r="M1562" s="306">
        <f>IFERROR(VLOOKUP($G1562,[1]нормы!$A$21:$BC$151,27,0),"")</f>
        <v>0</v>
      </c>
      <c r="N1562" s="307" t="str">
        <f>IFERROR(Y1562/Y1567*(1.1*J1561*I1566),"")</f>
        <v/>
      </c>
      <c r="O1562" s="300">
        <f>IFERROR(VLOOKUP($G1562,[1]нормы!$A$21:$BC$151,21,0),"")</f>
        <v>0</v>
      </c>
      <c r="P1562" s="35">
        <f>IFERROR(VLOOKUP($G1562,[1]нормы!$A$21:$BC$151,19,0),"")</f>
        <v>0</v>
      </c>
      <c r="Q1562" s="35">
        <f>IFERROR(VLOOKUP($G1562,[1]нормы!$A$21:$BC$151,23,0),"")</f>
        <v>0</v>
      </c>
      <c r="R1562" s="231">
        <f>IFERROR(VLOOKUP($G1562,[1]нормы!$A$21:$BC$151,29,0),"")</f>
        <v>0</v>
      </c>
      <c r="S1562" s="35">
        <f>IFERROR(VLOOKUP($G1562,[1]нормы!$A$21:$BC$151,31,0),"")</f>
        <v>0</v>
      </c>
      <c r="T1562" s="32">
        <f>IFERROR(VLOOKUP($G1562,[1]нормы!$A$21:$BC$151,25,0),"")</f>
        <v>0</v>
      </c>
      <c r="U1562" s="233" t="str">
        <f>IFERROR(W1562/(((100*Y1562/Y1567)*I1566)/100),"")</f>
        <v/>
      </c>
      <c r="V1562" s="234" t="str">
        <f>IFERROR(VLOOKUP($G1562,нормы!$A$14:$BC$57,38,0),"")</f>
        <v/>
      </c>
      <c r="W1562" s="136"/>
      <c r="X1562" s="237"/>
      <c r="Y1562" s="152" t="str">
        <f>IFERROR(VLOOKUP($G1562,нормы!$A$14:$BC$57,42,0)*W1562,"")</f>
        <v/>
      </c>
      <c r="Z1562" s="163">
        <f>IFERROR(VLOOKUP($G1562,нормы!$A$14:$BC$57,14,0)*W1562/1000,0)</f>
        <v>0</v>
      </c>
      <c r="AA1562" s="142"/>
      <c r="AB1562" s="35"/>
      <c r="AC1562" s="35"/>
      <c r="AD1562" s="35"/>
      <c r="AE1562" s="31"/>
      <c r="AF1562" s="160"/>
      <c r="AG1562" s="391"/>
      <c r="AH1562" s="394"/>
      <c r="AI1562" s="397"/>
      <c r="AJ1562" s="408"/>
      <c r="AK1562" s="360"/>
      <c r="AL1562" s="360"/>
      <c r="AM1562" s="360"/>
      <c r="AN1562" s="289">
        <f>IFERROR(Y1562*AJ1561/Y1567,)</f>
        <v>0</v>
      </c>
      <c r="AO1562" s="197" t="str">
        <f>IFERROR(VLOOKUP($G1562,нормы!$A$14:$BC$57,53,0)*$W1562,"")</f>
        <v/>
      </c>
      <c r="AP1562" s="290">
        <f>IFERROR(Y1562*AI1561/Y1567,)</f>
        <v>0</v>
      </c>
      <c r="AQ1562" s="197" t="str">
        <f>IFERROR(VLOOKUP($G1562,нормы!$A$14:$BC$57,54,0)*$W1562,"")</f>
        <v/>
      </c>
      <c r="AR1562" s="290">
        <f>IFERROR(AS1562/SUM(AS1561:AS1566)*AL1561,0)</f>
        <v>0</v>
      </c>
      <c r="AS1562" s="197" t="str">
        <f>IFERROR(VLOOKUP($G1562,нормы!$A$14:$BC$57,55,0)*W1562,"")</f>
        <v/>
      </c>
      <c r="AT1562" s="290">
        <f>IFERROR(AU1562/SUM(AU1561:AU1566)*AM1561,0)</f>
        <v>0</v>
      </c>
      <c r="AU1562" s="197" t="str">
        <f>IFERROR(VLOOKUP($G1562,нормы!$A$14:$BI$57,56,0)*W1562,"")</f>
        <v/>
      </c>
      <c r="AV1562" s="290">
        <f>IFERROR(AW1562/SUM(AW1561:AW1566)*AK1561,0)</f>
        <v>0</v>
      </c>
      <c r="AW1562" s="202" t="str">
        <f>IFERROR(VLOOKUP($G1562,нормы!$A$14:$BI$57,57,0)*W1562,"")</f>
        <v/>
      </c>
      <c r="AX1562" s="30"/>
      <c r="AY1562" s="203" t="str">
        <f>IFERROR(VLOOKUP($G1562,нормы!$A$14:$BI$57,58,0)*W1562,"")</f>
        <v/>
      </c>
      <c r="AZ1562" s="205"/>
      <c r="BA1562" s="200" t="str">
        <f>IFERROR(VLOOKUP($G1562,нормы!$A$14:$BI$57,61,0)*$W1562,"")</f>
        <v/>
      </c>
      <c r="BB1562" s="30"/>
      <c r="BC1562" s="203" t="str">
        <f>IFERROR(VLOOKUP($G1562,нормы!$A$14:$BI$57,60,0)*W1562,"")</f>
        <v/>
      </c>
      <c r="BD1562" s="200" t="str">
        <f>IFERROR(VLOOKUP($G1562,нормы!$A$14:$BG$57,44,0),"")</f>
        <v/>
      </c>
      <c r="BE1562" s="199" t="str">
        <f>IFERROR(W1562/VLOOKUP($G1562,нормы!$A$14:$BI$57,45,0),"")</f>
        <v/>
      </c>
    </row>
    <row r="1563" spans="1:57" s="1" customFormat="1" ht="20.25" customHeight="1" x14ac:dyDescent="0.4">
      <c r="A1563" s="37" t="str">
        <f t="shared" si="614"/>
        <v>26Д</v>
      </c>
      <c r="B1563" s="12">
        <f t="shared" si="615"/>
        <v>26</v>
      </c>
      <c r="C1563" s="97">
        <f t="shared" si="615"/>
        <v>0</v>
      </c>
      <c r="D1563" s="97">
        <f t="shared" si="615"/>
        <v>1</v>
      </c>
      <c r="E1563" s="54"/>
      <c r="F1563" s="151" t="str">
        <f>IFERROR(VLOOKUP($G1563,нормы!$A$14:$BC$57,2,0),"")</f>
        <v/>
      </c>
      <c r="G1563" s="38"/>
      <c r="H1563" s="54">
        <f t="shared" si="616"/>
        <v>0</v>
      </c>
      <c r="I1563" s="89" t="s">
        <v>85</v>
      </c>
      <c r="J1563" s="333"/>
      <c r="K1563" s="30">
        <f>IFERROR(VLOOKUP($G1563,[1]нормы!$A$21:$BC$151,15,0),"")</f>
        <v>0</v>
      </c>
      <c r="L1563" s="31">
        <f>IFERROR(VLOOKUP($G1563,[1]нормы!$A$21:$BC$151,17,0),"")</f>
        <v>0</v>
      </c>
      <c r="M1563" s="306">
        <f>IFERROR(VLOOKUP($G1563,[1]нормы!$A$21:$BC$151,27,0),"")</f>
        <v>0</v>
      </c>
      <c r="N1563" s="307" t="str">
        <f>IFERROR(Y1563/Y1567*(1.1*J1561*I1566),"")</f>
        <v/>
      </c>
      <c r="O1563" s="300">
        <f>IFERROR(VLOOKUP($G1563,[1]нормы!$A$21:$BC$151,21,0),"")</f>
        <v>0</v>
      </c>
      <c r="P1563" s="35">
        <f>IFERROR(VLOOKUP($G1563,[1]нормы!$A$21:$BC$151,19,0),"")</f>
        <v>0</v>
      </c>
      <c r="Q1563" s="35">
        <f>IFERROR(VLOOKUP($G1563,[1]нормы!$A$21:$BC$151,23,0),"")</f>
        <v>0</v>
      </c>
      <c r="R1563" s="231">
        <f>IFERROR(VLOOKUP($G1563,[1]нормы!$A$21:$BC$151,29,0),"")</f>
        <v>0</v>
      </c>
      <c r="S1563" s="35">
        <f>IFERROR(VLOOKUP($G1563,[1]нормы!$A$21:$BC$151,31,0),"")</f>
        <v>0</v>
      </c>
      <c r="T1563" s="32">
        <f>IFERROR(VLOOKUP($G1563,[1]нормы!$A$21:$BC$151,25,0),"")</f>
        <v>0</v>
      </c>
      <c r="U1563" s="233" t="str">
        <f>IFERROR(W1563/(((100*Y1563/Y1567)*I1566)/100),"")</f>
        <v/>
      </c>
      <c r="V1563" s="234" t="str">
        <f>IFERROR(VLOOKUP($G1563,нормы!$A$14:$BC$57,38,0),"")</f>
        <v/>
      </c>
      <c r="W1563" s="136"/>
      <c r="X1563" s="237"/>
      <c r="Y1563" s="152" t="str">
        <f>IFERROR(VLOOKUP($G1563,нормы!$A$14:$BC$57,42,0)*W1563,"")</f>
        <v/>
      </c>
      <c r="Z1563" s="163">
        <f>IFERROR(VLOOKUP($G1563,нормы!$A$14:$BC$57,14,0)*W1563/1000,0)</f>
        <v>0</v>
      </c>
      <c r="AA1563" s="30"/>
      <c r="AB1563" s="35"/>
      <c r="AC1563" s="35"/>
      <c r="AD1563" s="35"/>
      <c r="AE1563" s="31"/>
      <c r="AF1563" s="160"/>
      <c r="AG1563" s="391"/>
      <c r="AH1563" s="394"/>
      <c r="AI1563" s="397"/>
      <c r="AJ1563" s="408"/>
      <c r="AK1563" s="360"/>
      <c r="AL1563" s="360"/>
      <c r="AM1563" s="360"/>
      <c r="AN1563" s="289">
        <f>IFERROR(Y1563*AJ1561/Y1567,)</f>
        <v>0</v>
      </c>
      <c r="AO1563" s="197" t="str">
        <f>IFERROR(VLOOKUP($G1563,нормы!$A$14:$BC$57,53,0)*$W1563,"")</f>
        <v/>
      </c>
      <c r="AP1563" s="290">
        <f>IFERROR(Y1563*AI1561/Y1567,)</f>
        <v>0</v>
      </c>
      <c r="AQ1563" s="197" t="str">
        <f>IFERROR(VLOOKUP($G1563,нормы!$A$14:$BC$57,54,0)*$W1563,"")</f>
        <v/>
      </c>
      <c r="AR1563" s="290">
        <f>IFERROR(AS1563/SUM(AS1561:AS1566)*AL1561,0)</f>
        <v>0</v>
      </c>
      <c r="AS1563" s="197" t="str">
        <f>IFERROR(VLOOKUP($G1563,нормы!$A$14:$BC$57,55,0)*W1563,"")</f>
        <v/>
      </c>
      <c r="AT1563" s="290">
        <f>IFERROR(AU1563/SUM(AU1561:AU1566)*AM1561,0)</f>
        <v>0</v>
      </c>
      <c r="AU1563" s="197" t="str">
        <f>IFERROR(VLOOKUP($G1563,нормы!$A$14:$BI$57,56,0)*W1563,"")</f>
        <v/>
      </c>
      <c r="AV1563" s="290">
        <f>IFERROR(AW1563/SUM(AW1561:AW1566)*AK1561,0)</f>
        <v>0</v>
      </c>
      <c r="AW1563" s="202" t="str">
        <f>IFERROR(VLOOKUP($G1563,нормы!$A$14:$BI$57,57,0)*W1563,"")</f>
        <v/>
      </c>
      <c r="AX1563" s="30"/>
      <c r="AY1563" s="203" t="str">
        <f>IFERROR(VLOOKUP($G1563,нормы!$A$14:$BI$57,58,0)*W1563,"")</f>
        <v/>
      </c>
      <c r="AZ1563" s="205"/>
      <c r="BA1563" s="200" t="str">
        <f>IFERROR(VLOOKUP($G1563,нормы!$A$14:$BI$57,61,0)*$W1563,"")</f>
        <v/>
      </c>
      <c r="BB1563" s="30"/>
      <c r="BC1563" s="203" t="str">
        <f>IFERROR(VLOOKUP($G1563,нормы!$A$14:$BI$57,60,0)*W1563,"")</f>
        <v/>
      </c>
      <c r="BD1563" s="200" t="str">
        <f>IFERROR(VLOOKUP($G1563,нормы!$A$14:$BG$57,44,0),"")</f>
        <v/>
      </c>
      <c r="BE1563" s="199" t="str">
        <f>IFERROR(W1563/VLOOKUP($G1563,нормы!$A$14:$BI$57,45,0),"")</f>
        <v/>
      </c>
    </row>
    <row r="1564" spans="1:57" s="1" customFormat="1" ht="20.25" customHeight="1" x14ac:dyDescent="0.4">
      <c r="A1564" s="37" t="str">
        <f t="shared" si="614"/>
        <v>26Д</v>
      </c>
      <c r="B1564" s="12">
        <f t="shared" si="615"/>
        <v>26</v>
      </c>
      <c r="C1564" s="97">
        <f t="shared" si="615"/>
        <v>0</v>
      </c>
      <c r="D1564" s="97">
        <f t="shared" si="615"/>
        <v>1</v>
      </c>
      <c r="E1564" s="54"/>
      <c r="F1564" s="151" t="str">
        <f>IFERROR(VLOOKUP($G1564,нормы!$A$14:$BC$57,2,0),"")</f>
        <v/>
      </c>
      <c r="G1564" s="93"/>
      <c r="H1564" s="54">
        <f t="shared" si="616"/>
        <v>0</v>
      </c>
      <c r="I1564" s="55"/>
      <c r="J1564" s="333"/>
      <c r="K1564" s="30">
        <f>IFERROR(VLOOKUP($G1564,[1]нормы!$A$21:$BC$151,15,0),"")</f>
        <v>0</v>
      </c>
      <c r="L1564" s="31">
        <f>IFERROR(VLOOKUP($G1564,[1]нормы!$A$21:$BC$151,17,0),"")</f>
        <v>0</v>
      </c>
      <c r="M1564" s="306">
        <f>IFERROR(VLOOKUP($G1564,[1]нормы!$A$21:$BC$151,27,0),"")</f>
        <v>0</v>
      </c>
      <c r="N1564" s="307" t="str">
        <f>IFERROR(Y1564/Y1567*(1.1*J1561*I1569),"")</f>
        <v/>
      </c>
      <c r="O1564" s="300">
        <f>IFERROR(VLOOKUP($G1564,[1]нормы!$A$21:$BC$151,21,0),"")</f>
        <v>0</v>
      </c>
      <c r="P1564" s="35">
        <f>IFERROR(VLOOKUP($G1564,[1]нормы!$A$21:$BC$151,19,0),"")</f>
        <v>0</v>
      </c>
      <c r="Q1564" s="35">
        <f>IFERROR(VLOOKUP($G1564,[1]нормы!$A$21:$BC$151,23,0),"")</f>
        <v>0</v>
      </c>
      <c r="R1564" s="231">
        <f>IFERROR(VLOOKUP($G1564,[1]нормы!$A$21:$BC$151,29,0),"")</f>
        <v>0</v>
      </c>
      <c r="S1564" s="35">
        <f>IFERROR(VLOOKUP($G1564,[1]нормы!$A$21:$BC$151,31,0),"")</f>
        <v>0</v>
      </c>
      <c r="T1564" s="32">
        <f>IFERROR(VLOOKUP($G1564,[1]нормы!$A$21:$BC$151,25,0),"")</f>
        <v>0</v>
      </c>
      <c r="U1564" s="233" t="str">
        <f>IFERROR(W1564/(((100*Y1564/Y1567)*I1566)/100),"")</f>
        <v/>
      </c>
      <c r="V1564" s="234" t="str">
        <f>IFERROR(VLOOKUP($G1564,нормы!$A$14:$BC$57,38,0),"")</f>
        <v/>
      </c>
      <c r="W1564" s="136"/>
      <c r="X1564" s="237"/>
      <c r="Y1564" s="152" t="str">
        <f>IFERROR(VLOOKUP($G1564,нормы!$A$14:$BC$57,42,0)*W1564,"")</f>
        <v/>
      </c>
      <c r="Z1564" s="163">
        <f>IFERROR(VLOOKUP($G1564,нормы!$A$14:$BC$57,14,0)*W1564/1000,0)</f>
        <v>0</v>
      </c>
      <c r="AA1564" s="30"/>
      <c r="AB1564" s="35"/>
      <c r="AC1564" s="35"/>
      <c r="AD1564" s="35"/>
      <c r="AE1564" s="31"/>
      <c r="AF1564" s="160"/>
      <c r="AG1564" s="391"/>
      <c r="AH1564" s="394"/>
      <c r="AI1564" s="397"/>
      <c r="AJ1564" s="408"/>
      <c r="AK1564" s="360"/>
      <c r="AL1564" s="360"/>
      <c r="AM1564" s="360"/>
      <c r="AN1564" s="289">
        <f>IFERROR(Y1564*AJ1561/Y1567,)</f>
        <v>0</v>
      </c>
      <c r="AO1564" s="197" t="str">
        <f>IFERROR(VLOOKUP($G1564,нормы!$A$14:$BC$57,53,0)*$W1564,"")</f>
        <v/>
      </c>
      <c r="AP1564" s="290">
        <f>IFERROR(Y1564*AI1561/Y1567,)</f>
        <v>0</v>
      </c>
      <c r="AQ1564" s="197" t="str">
        <f>IFERROR(VLOOKUP($G1564,нормы!$A$14:$BC$57,54,0)*$W1564,"")</f>
        <v/>
      </c>
      <c r="AR1564" s="290">
        <f>IFERROR(AS1564/SUM(AS1561:AS1566)*AL1561,0)</f>
        <v>0</v>
      </c>
      <c r="AS1564" s="197" t="str">
        <f>IFERROR(VLOOKUP($G1564,нормы!$A$14:$BC$57,55,0)*W1564,"")</f>
        <v/>
      </c>
      <c r="AT1564" s="290">
        <f>IFERROR(AU1564/SUM(AU1561:AU1566)*AM1561,0)</f>
        <v>0</v>
      </c>
      <c r="AU1564" s="197" t="str">
        <f>IFERROR(VLOOKUP($G1564,нормы!$A$14:$BI$57,56,0)*W1564,"")</f>
        <v/>
      </c>
      <c r="AV1564" s="290">
        <f>IFERROR(AW1564/SUM(AW1561:AW1566)*AK1561,0)</f>
        <v>0</v>
      </c>
      <c r="AW1564" s="202" t="str">
        <f>IFERROR(VLOOKUP($G1564,нормы!$A$14:$BI$57,57,0)*W1564,"")</f>
        <v/>
      </c>
      <c r="AX1564" s="30"/>
      <c r="AY1564" s="203" t="str">
        <f>IFERROR(VLOOKUP($G1564,нормы!$A$14:$BI$57,58,0)*W1564,"")</f>
        <v/>
      </c>
      <c r="AZ1564" s="205"/>
      <c r="BA1564" s="200" t="str">
        <f>IFERROR(VLOOKUP($G1564,нормы!$A$14:$BI$57,61,0)*$W1564,"")</f>
        <v/>
      </c>
      <c r="BB1564" s="30"/>
      <c r="BC1564" s="203" t="str">
        <f>IFERROR(VLOOKUP($G1564,нормы!$A$14:$BI$57,60,0)*W1564,"")</f>
        <v/>
      </c>
      <c r="BD1564" s="200" t="str">
        <f>IFERROR(VLOOKUP($G1564,нормы!$A$14:$BG$57,44,0),"")</f>
        <v/>
      </c>
      <c r="BE1564" s="199" t="str">
        <f>IFERROR(W1564/VLOOKUP($G1564,нормы!$A$14:$BI$57,45,0),"")</f>
        <v/>
      </c>
    </row>
    <row r="1565" spans="1:57" s="1" customFormat="1" ht="20.25" customHeight="1" x14ac:dyDescent="0.4">
      <c r="A1565" s="37" t="str">
        <f t="shared" si="614"/>
        <v>26Д</v>
      </c>
      <c r="B1565" s="12">
        <f t="shared" si="615"/>
        <v>26</v>
      </c>
      <c r="C1565" s="97">
        <f t="shared" si="615"/>
        <v>0</v>
      </c>
      <c r="D1565" s="97">
        <f t="shared" si="615"/>
        <v>1</v>
      </c>
      <c r="E1565" s="54"/>
      <c r="F1565" s="151" t="str">
        <f>IFERROR(VLOOKUP($G1565,нормы!$A$14:$BC$57,2,0),"")</f>
        <v/>
      </c>
      <c r="G1565" s="38"/>
      <c r="H1565" s="54">
        <f t="shared" si="616"/>
        <v>0</v>
      </c>
      <c r="I1565" s="89" t="s">
        <v>73</v>
      </c>
      <c r="J1565" s="333"/>
      <c r="K1565" s="30">
        <f>IFERROR(VLOOKUP($G1565,[1]нормы!$A$21:$BC$151,15,0),"")</f>
        <v>0</v>
      </c>
      <c r="L1565" s="31">
        <f>IFERROR(VLOOKUP($G1565,[1]нормы!$A$21:$BC$151,17,0),"")</f>
        <v>0</v>
      </c>
      <c r="M1565" s="306">
        <f>IFERROR(VLOOKUP($G1565,[1]нормы!$A$21:$BC$151,27,0),"")</f>
        <v>0</v>
      </c>
      <c r="N1565" s="307" t="str">
        <f>IFERROR(Y1565/Y1567*(1.1*J1561*I1570),"")</f>
        <v/>
      </c>
      <c r="O1565" s="300">
        <f>IFERROR(VLOOKUP($G1565,[1]нормы!$A$21:$BC$151,21,0),"")</f>
        <v>0</v>
      </c>
      <c r="P1565" s="35">
        <f>IFERROR(VLOOKUP($G1565,[1]нормы!$A$21:$BC$151,19,0),"")</f>
        <v>0</v>
      </c>
      <c r="Q1565" s="35">
        <f>IFERROR(VLOOKUP($G1565,[1]нормы!$A$21:$BC$151,23,0),"")</f>
        <v>0</v>
      </c>
      <c r="R1565" s="231">
        <f>IFERROR(VLOOKUP($G1565,[1]нормы!$A$21:$BC$151,29,0),"")</f>
        <v>0</v>
      </c>
      <c r="S1565" s="35">
        <f>IFERROR(VLOOKUP($G1565,[1]нормы!$A$21:$BC$151,31,0),"")</f>
        <v>0</v>
      </c>
      <c r="T1565" s="32">
        <f>IFERROR(VLOOKUP($G1565,[1]нормы!$A$21:$BC$151,25,0),"")</f>
        <v>0</v>
      </c>
      <c r="U1565" s="233" t="str">
        <f>IFERROR(W1565/(((100*Y1565/Y1567)*I1566)/100),"")</f>
        <v/>
      </c>
      <c r="V1565" s="234" t="str">
        <f>IFERROR(VLOOKUP($G1565,нормы!$A$14:$BC$57,38,0),"")</f>
        <v/>
      </c>
      <c r="W1565" s="136"/>
      <c r="X1565" s="237"/>
      <c r="Y1565" s="152" t="str">
        <f>IFERROR(VLOOKUP($G1565,нормы!$A$14:$BC$57,42,0)*W1565,"")</f>
        <v/>
      </c>
      <c r="Z1565" s="163">
        <f>IFERROR(VLOOKUP($G1565,нормы!$A$14:$BC$57,14,0)*W1565/1000,0)</f>
        <v>0</v>
      </c>
      <c r="AA1565" s="30"/>
      <c r="AB1565" s="35"/>
      <c r="AC1565" s="35"/>
      <c r="AD1565" s="35"/>
      <c r="AE1565" s="31"/>
      <c r="AF1565" s="160"/>
      <c r="AG1565" s="391"/>
      <c r="AH1565" s="394"/>
      <c r="AI1565" s="397"/>
      <c r="AJ1565" s="408"/>
      <c r="AK1565" s="360"/>
      <c r="AL1565" s="360"/>
      <c r="AM1565" s="360"/>
      <c r="AN1565" s="289">
        <f>IFERROR(Y1565*AJ1561/Y1567,)</f>
        <v>0</v>
      </c>
      <c r="AO1565" s="197" t="str">
        <f>IFERROR(VLOOKUP($G1565,нормы!$A$14:$BC$57,53,0)*$W1565,"")</f>
        <v/>
      </c>
      <c r="AP1565" s="290">
        <f>IFERROR(Y1565*AI1561/Y1567,)</f>
        <v>0</v>
      </c>
      <c r="AQ1565" s="197" t="str">
        <f>IFERROR(VLOOKUP($G1565,нормы!$A$14:$BC$57,54,0)*$W1565,"")</f>
        <v/>
      </c>
      <c r="AR1565" s="290">
        <f>IFERROR(AS1565/SUM(AS1561:AS1566)*AL1561,0)</f>
        <v>0</v>
      </c>
      <c r="AS1565" s="197" t="str">
        <f>IFERROR(VLOOKUP($G1565,нормы!$A$14:$BC$57,55,0)*W1565,"")</f>
        <v/>
      </c>
      <c r="AT1565" s="290">
        <f>IFERROR(AU1565/SUM(AU1561:AU1566)*AM1561,0)</f>
        <v>0</v>
      </c>
      <c r="AU1565" s="197" t="str">
        <f>IFERROR(VLOOKUP($G1565,нормы!$A$14:$BI$57,56,0)*W1565,"")</f>
        <v/>
      </c>
      <c r="AV1565" s="290">
        <f>IFERROR(AW1565/SUM(AW1561:AW1566)*AK1561,0)</f>
        <v>0</v>
      </c>
      <c r="AW1565" s="202" t="str">
        <f>IFERROR(VLOOKUP($G1565,нормы!$A$14:$BI$57,57,0)*W1565,"")</f>
        <v/>
      </c>
      <c r="AX1565" s="30"/>
      <c r="AY1565" s="203" t="str">
        <f>IFERROR(VLOOKUP($G1565,нормы!$A$14:$BI$57,58,0)*W1565,"")</f>
        <v/>
      </c>
      <c r="AZ1565" s="205"/>
      <c r="BA1565" s="200" t="str">
        <f>IFERROR(VLOOKUP($G1565,нормы!$A$14:$BI$57,61,0)*$W1565,"")</f>
        <v/>
      </c>
      <c r="BB1565" s="30"/>
      <c r="BC1565" s="203" t="str">
        <f>IFERROR(VLOOKUP($G1565,нормы!$A$14:$BI$57,60,0)*W1565,"")</f>
        <v/>
      </c>
      <c r="BD1565" s="200" t="str">
        <f>IFERROR(VLOOKUP($G1565,нормы!$A$14:$BG$57,44,0),"")</f>
        <v/>
      </c>
      <c r="BE1565" s="199" t="str">
        <f>IFERROR(W1565/VLOOKUP($G1565,нормы!$A$14:$BI$57,45,0),"")</f>
        <v/>
      </c>
    </row>
    <row r="1566" spans="1:57" s="1" customFormat="1" ht="21" customHeight="1" thickBot="1" x14ac:dyDescent="0.45">
      <c r="A1566" s="37" t="str">
        <f t="shared" si="614"/>
        <v>26Д</v>
      </c>
      <c r="B1566" s="12">
        <f t="shared" si="615"/>
        <v>26</v>
      </c>
      <c r="C1566" s="97">
        <f t="shared" si="615"/>
        <v>0</v>
      </c>
      <c r="D1566" s="97">
        <f t="shared" si="615"/>
        <v>1</v>
      </c>
      <c r="E1566" s="54"/>
      <c r="F1566" s="151" t="str">
        <f>IFERROR(VLOOKUP($G1566,нормы!$A$14:$BC$57,2,0),"")</f>
        <v/>
      </c>
      <c r="G1566" s="93"/>
      <c r="H1566" s="63">
        <f t="shared" si="616"/>
        <v>0</v>
      </c>
      <c r="I1566" s="153">
        <f>I1562+I1564</f>
        <v>0</v>
      </c>
      <c r="J1566" s="334"/>
      <c r="K1566" s="30">
        <f>IFERROR(VLOOKUP($G1566,[1]нормы!$A$21:$BC$151,15,0),"")</f>
        <v>0</v>
      </c>
      <c r="L1566" s="31">
        <f>IFERROR(VLOOKUP($G1566,[1]нормы!$A$21:$BC$151,17,0),"")</f>
        <v>0</v>
      </c>
      <c r="M1566" s="308">
        <f>IFERROR(VLOOKUP($G1566,[1]нормы!$A$21:$BC$151,27,0),"")</f>
        <v>0</v>
      </c>
      <c r="N1566" s="309" t="str">
        <f>IFERROR(Y1566/Y1567*(1.1*J1561*I1571),"")</f>
        <v/>
      </c>
      <c r="O1566" s="300">
        <f>IFERROR(VLOOKUP($G1566,[1]нормы!$A$21:$BC$151,21,0),"")</f>
        <v>0</v>
      </c>
      <c r="P1566" s="35">
        <f>IFERROR(VLOOKUP($G1566,[1]нормы!$A$21:$BC$151,19,0),"")</f>
        <v>0</v>
      </c>
      <c r="Q1566" s="35">
        <f>IFERROR(VLOOKUP($G1566,[1]нормы!$A$21:$BC$151,23,0),"")</f>
        <v>0</v>
      </c>
      <c r="R1566" s="231">
        <f>IFERROR(VLOOKUP($G1566,[1]нормы!$A$21:$BC$151,29,0),"")</f>
        <v>0</v>
      </c>
      <c r="S1566" s="35">
        <f>IFERROR(VLOOKUP($G1566,[1]нормы!$A$21:$BC$151,31,0),"")</f>
        <v>0</v>
      </c>
      <c r="T1566" s="32">
        <f>IFERROR(VLOOKUP($G1566,[1]нормы!$A$21:$BC$151,25,0),"")</f>
        <v>0</v>
      </c>
      <c r="U1566" s="235" t="str">
        <f>IFERROR(W1566/(((100*Y1566/Y1567)*I1566)/100),"")</f>
        <v/>
      </c>
      <c r="V1566" s="234" t="str">
        <f>IFERROR(VLOOKUP($G1566,нормы!$A$14:$BC$57,38,0),"")</f>
        <v/>
      </c>
      <c r="W1566" s="154"/>
      <c r="X1566" s="238"/>
      <c r="Y1566" s="152" t="str">
        <f>IFERROR(VLOOKUP($G1566,нормы!$A$14:$BC$57,42,0)*W1566,"")</f>
        <v/>
      </c>
      <c r="Z1566" s="163">
        <f>IFERROR(VLOOKUP($G1566,нормы!$A$14:$BC$57,14,0)*W1566/1000,0)</f>
        <v>0</v>
      </c>
      <c r="AA1566" s="56"/>
      <c r="AB1566" s="58"/>
      <c r="AC1566" s="58"/>
      <c r="AD1566" s="58"/>
      <c r="AE1566" s="57"/>
      <c r="AF1566" s="161"/>
      <c r="AG1566" s="392"/>
      <c r="AH1566" s="395"/>
      <c r="AI1566" s="398"/>
      <c r="AJ1566" s="409"/>
      <c r="AK1566" s="361"/>
      <c r="AL1566" s="361"/>
      <c r="AM1566" s="361"/>
      <c r="AN1566" s="291">
        <f>IFERROR(Y1566*AJ1561/Y1567,)</f>
        <v>0</v>
      </c>
      <c r="AO1566" s="197" t="str">
        <f>IFERROR(VLOOKUP($G1566,нормы!$A$14:$BC$57,53,0)*$W1566,"")</f>
        <v/>
      </c>
      <c r="AP1566" s="292">
        <f>IFERROR(Y1566*AI1561/Y1567,)</f>
        <v>0</v>
      </c>
      <c r="AQ1566" s="197" t="str">
        <f>IFERROR(VLOOKUP($G1566,нормы!$A$14:$BC$57,54,0)*$W1566,"")</f>
        <v/>
      </c>
      <c r="AR1566" s="290">
        <f>IFERROR(AS1566/SUM(AS1561:AS1566)*AL1561,0)</f>
        <v>0</v>
      </c>
      <c r="AS1566" s="197" t="str">
        <f>IFERROR(VLOOKUP($G1566,нормы!$A$14:$BC$57,55,0)*W1566,"")</f>
        <v/>
      </c>
      <c r="AT1566" s="292">
        <f>IFERROR(AU1566/SUM(AU1561:AU1566)*AM1561,0)</f>
        <v>0</v>
      </c>
      <c r="AU1566" s="197" t="str">
        <f>IFERROR(VLOOKUP($G1566,нормы!$A$14:$BI$57,56,0)*W1566,"")</f>
        <v/>
      </c>
      <c r="AV1566" s="292">
        <f>IFERROR(AW1566/SUM(AW1561:AW1566)*AK1561,0)</f>
        <v>0</v>
      </c>
      <c r="AW1566" s="202" t="str">
        <f>IFERROR(VLOOKUP($G1566,нормы!$A$14:$BI$57,57,0)*W1566,"")</f>
        <v/>
      </c>
      <c r="AX1566" s="56"/>
      <c r="AY1566" s="203" t="str">
        <f>IFERROR(VLOOKUP($G1566,нормы!$A$14:$BI$57,58,0)*W1566,"")</f>
        <v/>
      </c>
      <c r="AZ1566" s="206"/>
      <c r="BA1566" s="200" t="str">
        <f>IFERROR(VLOOKUP($G1566,нормы!$A$14:$BI$57,61,0)*$W1566,"")</f>
        <v/>
      </c>
      <c r="BB1566" s="56"/>
      <c r="BC1566" s="203" t="str">
        <f>IFERROR(VLOOKUP($G1566,нормы!$A$14:$BI$57,60,0)*W1566,"")</f>
        <v/>
      </c>
      <c r="BD1566" s="200" t="str">
        <f>IFERROR(VLOOKUP($G1566,нормы!$A$14:$BG$57,44,0),"")</f>
        <v/>
      </c>
      <c r="BE1566" s="199" t="str">
        <f>IFERROR(W1566/VLOOKUP($G1566,нормы!$A$14:$BI$57,45,0),"")</f>
        <v/>
      </c>
    </row>
    <row r="1567" spans="1:57" s="1" customFormat="1" ht="29.4" customHeight="1" thickBot="1" x14ac:dyDescent="0.45">
      <c r="A1567" s="37" t="str">
        <f t="shared" si="614"/>
        <v>26Д</v>
      </c>
      <c r="B1567" s="59"/>
      <c r="C1567" s="51"/>
      <c r="D1567" s="51"/>
      <c r="E1567" s="51"/>
      <c r="F1567" s="295" t="s">
        <v>148</v>
      </c>
      <c r="G1567" s="51"/>
      <c r="H1567" s="51"/>
      <c r="I1567" s="60"/>
      <c r="J1567" s="60"/>
      <c r="K1567" s="319" t="s">
        <v>213</v>
      </c>
      <c r="L1567" s="316"/>
      <c r="M1567" s="303" t="s">
        <v>213</v>
      </c>
      <c r="N1567" s="317">
        <f>SUM(N1561:N1566)</f>
        <v>0</v>
      </c>
      <c r="O1567" s="304" t="s">
        <v>216</v>
      </c>
      <c r="P1567" s="318">
        <f>N1567*8.937/1000</f>
        <v>0</v>
      </c>
      <c r="Q1567" s="305" t="s">
        <v>215</v>
      </c>
      <c r="R1567" s="61"/>
      <c r="S1567" s="61"/>
      <c r="T1567" s="61"/>
      <c r="U1567" s="109"/>
      <c r="V1567" s="109"/>
      <c r="W1567" s="94"/>
      <c r="X1567" s="155"/>
      <c r="Y1567" s="96">
        <f>SUM(Y1561:Y1566)</f>
        <v>0</v>
      </c>
      <c r="Z1567" s="164">
        <f>SUM(Z1561:Z1566)</f>
        <v>0</v>
      </c>
      <c r="AA1567" s="62"/>
      <c r="AB1567" s="62"/>
      <c r="AC1567" s="62"/>
      <c r="AD1567" s="62"/>
      <c r="AE1567" s="62"/>
      <c r="AF1567" s="62"/>
      <c r="AG1567" s="162" t="s">
        <v>140</v>
      </c>
      <c r="AH1567" s="162" t="s">
        <v>141</v>
      </c>
      <c r="AI1567" s="162" t="s">
        <v>142</v>
      </c>
      <c r="AJ1567" s="91" t="s">
        <v>126</v>
      </c>
      <c r="AK1567" s="198" t="s">
        <v>136</v>
      </c>
      <c r="AL1567" s="198" t="s">
        <v>137</v>
      </c>
      <c r="AM1567" s="198" t="s">
        <v>138</v>
      </c>
      <c r="AN1567" s="91"/>
      <c r="AO1567" s="91"/>
      <c r="AP1567" s="91"/>
      <c r="AQ1567" s="91"/>
      <c r="AR1567" s="91"/>
      <c r="AS1567" s="91"/>
      <c r="AT1567" s="91"/>
      <c r="AU1567" s="91"/>
      <c r="AV1567" s="91"/>
      <c r="AW1567" s="91"/>
      <c r="AX1567" s="91"/>
      <c r="AY1567" s="91"/>
      <c r="AZ1567" s="91"/>
      <c r="BA1567" s="91"/>
      <c r="BB1567" s="91"/>
      <c r="BC1567" s="91"/>
      <c r="BD1567" s="91"/>
      <c r="BE1567" s="53" t="str">
        <f>IFERROR(W1567/VLOOKUP($G1567,нормы!$A$14:$BI$15,28,0),"")</f>
        <v/>
      </c>
    </row>
    <row r="1568" spans="1:57" s="1" customFormat="1" ht="21.6" customHeight="1" x14ac:dyDescent="0.4">
      <c r="A1568" s="37" t="str">
        <f t="shared" si="614"/>
        <v>26Д</v>
      </c>
      <c r="B1568" s="12">
        <f>B1566</f>
        <v>26</v>
      </c>
      <c r="C1568" s="97"/>
      <c r="D1568" s="97">
        <v>2</v>
      </c>
      <c r="E1568" s="29"/>
      <c r="F1568" s="151" t="str">
        <f>IFERROR(VLOOKUP($G1568,нормы!$A$14:$BC$57,2,0),"")</f>
        <v/>
      </c>
      <c r="G1568" s="93"/>
      <c r="H1568" s="54">
        <f>IF(C1568=1,"Кульков С.А.", IF(C1568=2,"Чудаков А.А.",IF(C1568=3,"Королев В.Н.",IF(C1568=4,"Николашин М.П.",IF(C1568=5," Кульков С.А.",IF(C1568=6,"А.А. Чудаков",IF(C1568=7,"В.Н. Королев",IF(C1568=8,"М.П. Николашин",0))))))))</f>
        <v>0</v>
      </c>
      <c r="I1568" s="88" t="s">
        <v>211</v>
      </c>
      <c r="J1568" s="332"/>
      <c r="K1568" s="30">
        <f>IFERROR(VLOOKUP($G1568,[1]нормы!$A$21:$BC$151,15,0),"")</f>
        <v>0</v>
      </c>
      <c r="L1568" s="31">
        <f>IFERROR(VLOOKUP($G1568,[1]нормы!$A$21:$BC$151,17,0),"")</f>
        <v>0</v>
      </c>
      <c r="M1568" s="310">
        <f>IFERROR(VLOOKUP($G1568,[1]нормы!$A$21:$BC$151,27,0),"")</f>
        <v>0</v>
      </c>
      <c r="N1568" s="311" t="str">
        <f>IFERROR(Y1568/Y1574*(1.1*J1568*I1573),"")</f>
        <v/>
      </c>
      <c r="O1568" s="300">
        <f>IFERROR(VLOOKUP($G1568,[1]нормы!$A$21:$BC$151,21,0),"")</f>
        <v>0</v>
      </c>
      <c r="P1568" s="35">
        <f>IFERROR(VLOOKUP($G1568,[1]нормы!$A$21:$BC$151,19,0),"")</f>
        <v>0</v>
      </c>
      <c r="Q1568" s="35">
        <f>IFERROR(VLOOKUP($G1568,[1]нормы!$A$21:$BC$151,23,0),"")</f>
        <v>0</v>
      </c>
      <c r="R1568" s="231">
        <f>IFERROR(VLOOKUP($G1568,[1]нормы!$A$21:$BC$151,29,0),"")</f>
        <v>0</v>
      </c>
      <c r="S1568" s="35">
        <f>IFERROR(VLOOKUP($G1568,[1]нормы!$A$21:$BC$151,31,0),"")</f>
        <v>0</v>
      </c>
      <c r="T1568" s="32">
        <f>IFERROR(VLOOKUP($G1568,[1]нормы!$A$21:$BC$151,25,0),"")</f>
        <v>0</v>
      </c>
      <c r="U1568" s="232" t="str">
        <f>IFERROR(W1568/(((100*Y1568/Y1574)*I1573)/100),"")</f>
        <v/>
      </c>
      <c r="V1568" s="234" t="str">
        <f>IFERROR(VLOOKUP($G1568,нормы!$A$14:$BC$57,38,0),"")</f>
        <v/>
      </c>
      <c r="W1568" s="136"/>
      <c r="X1568" s="236"/>
      <c r="Y1568" s="152" t="str">
        <f>IFERROR(VLOOKUP($G1568,нормы!$A$14:$BC$57,42,0)*W1568,"")</f>
        <v/>
      </c>
      <c r="Z1568" s="163">
        <f>IFERROR(VLOOKUP($G1568,нормы!$A$14:$BC$57,14,0)*W1568/1000,0)</f>
        <v>0</v>
      </c>
      <c r="AA1568" s="33"/>
      <c r="AB1568" s="36"/>
      <c r="AC1568" s="36"/>
      <c r="AD1568" s="36"/>
      <c r="AE1568" s="34"/>
      <c r="AF1568" s="159"/>
      <c r="AG1568" s="390"/>
      <c r="AH1568" s="393"/>
      <c r="AI1568" s="396"/>
      <c r="AJ1568" s="407">
        <f>AG1568+AH1568</f>
        <v>0</v>
      </c>
      <c r="AK1568" s="359"/>
      <c r="AL1568" s="359"/>
      <c r="AM1568" s="359"/>
      <c r="AN1568" s="287">
        <f>IFERROR(Y1568*AJ1568/Y1574,)</f>
        <v>0</v>
      </c>
      <c r="AO1568" s="197" t="str">
        <f>IFERROR(VLOOKUP($G1568,нормы!$A$14:$BC$57,53,0)*$W1568,"")</f>
        <v/>
      </c>
      <c r="AP1568" s="288">
        <f>IFERROR(Y1568*AI1568/Y1574,)</f>
        <v>0</v>
      </c>
      <c r="AQ1568" s="197" t="str">
        <f>IFERROR(VLOOKUP($G1568,нормы!$A$14:$BC$57,54,0)*$W1568,"")</f>
        <v/>
      </c>
      <c r="AR1568" s="288">
        <f>IFERROR(AS1568/SUM(AS1568:AS1573)*AL1568,0)</f>
        <v>0</v>
      </c>
      <c r="AS1568" s="197" t="str">
        <f>IFERROR(VLOOKUP($G1568,нормы!$A$14:$BC$57,55,0)*W1568,"")</f>
        <v/>
      </c>
      <c r="AT1568" s="288">
        <f>IFERROR(AU1568/SUM(AU1568:AU1573)*AM1568,0)</f>
        <v>0</v>
      </c>
      <c r="AU1568" s="197" t="str">
        <f>IFERROR(VLOOKUP($G1568,нормы!$A$14:$BI$57,56,0)*W1568,"")</f>
        <v/>
      </c>
      <c r="AV1568" s="288">
        <f>IFERROR(AW1568/SUM(AW1568:AW1573)*AK1568,0)</f>
        <v>0</v>
      </c>
      <c r="AW1568" s="202" t="str">
        <f>IFERROR(VLOOKUP($G1568,нормы!$A$14:$BI$57,57,0)*W1568,"")</f>
        <v/>
      </c>
      <c r="AX1568" s="33"/>
      <c r="AY1568" s="203" t="str">
        <f>IFERROR(VLOOKUP($G1568,нормы!$A$14:$BI$57,58,0)*W1568,"")</f>
        <v/>
      </c>
      <c r="AZ1568" s="204"/>
      <c r="BA1568" s="200" t="str">
        <f>IFERROR(VLOOKUP($G1568,нормы!$A$14:$BI$57,61,0)*$W1568,"")</f>
        <v/>
      </c>
      <c r="BB1568" s="33"/>
      <c r="BC1568" s="203" t="str">
        <f>IFERROR(VLOOKUP($G1568,нормы!$A$14:$BI$57,60,0)*W1568,"")</f>
        <v/>
      </c>
      <c r="BD1568" s="200" t="str">
        <f>IFERROR(VLOOKUP($G1568,нормы!$A$14:$BG$57,44,0),"")</f>
        <v/>
      </c>
      <c r="BE1568" s="199" t="str">
        <f>IFERROR(W1568/VLOOKUP($G1568,нормы!$A$14:$BI$57,45,0),"")</f>
        <v/>
      </c>
    </row>
    <row r="1569" spans="1:57" s="1" customFormat="1" ht="21.6" customHeight="1" x14ac:dyDescent="0.4">
      <c r="A1569" s="37" t="str">
        <f t="shared" si="614"/>
        <v>26Д</v>
      </c>
      <c r="B1569" s="12">
        <f t="shared" ref="B1569:D1573" si="617">B1568</f>
        <v>26</v>
      </c>
      <c r="C1569" s="97">
        <f t="shared" si="617"/>
        <v>0</v>
      </c>
      <c r="D1569" s="97">
        <f t="shared" si="617"/>
        <v>2</v>
      </c>
      <c r="E1569" s="54"/>
      <c r="F1569" s="151" t="str">
        <f>IFERROR(VLOOKUP($G1569,нормы!$A$14:$BC$57,2,0),"")</f>
        <v/>
      </c>
      <c r="G1569" s="93"/>
      <c r="H1569" s="54">
        <f t="shared" ref="H1569:H1573" si="618">IF(C1569=1,"Кульков С.А.", IF(C1569=2,"Чудаков А.А.",IF(C1569=3,"Королев В.Н.",IF(C1569=4,"Николашин М.П.",IF(C1569=5," Кульков С.А.",IF(C1569=6,"А.А. Чудаков",IF(C1569=7,"В.Н. Королев",IF(C1569=8,"М.П. Николашин",0))))))))</f>
        <v>0</v>
      </c>
      <c r="I1569" s="55"/>
      <c r="J1569" s="333"/>
      <c r="K1569" s="30">
        <f>IFERROR(VLOOKUP($G1569,[1]нормы!$A$21:$BC$151,15,0),"")</f>
        <v>0</v>
      </c>
      <c r="L1569" s="31">
        <f>IFERROR(VLOOKUP($G1569,[1]нормы!$A$21:$BC$151,17,0),"")</f>
        <v>0</v>
      </c>
      <c r="M1569" s="306">
        <f>IFERROR(VLOOKUP($G1569,[1]нормы!$A$21:$BC$151,27,0),"")</f>
        <v>0</v>
      </c>
      <c r="N1569" s="307" t="str">
        <f>IFERROR(Y1569/Y1574*(1.1*J1568*I1573),"")</f>
        <v/>
      </c>
      <c r="O1569" s="300">
        <f>IFERROR(VLOOKUP($G1569,[1]нормы!$A$21:$BC$151,21,0),"")</f>
        <v>0</v>
      </c>
      <c r="P1569" s="35">
        <f>IFERROR(VLOOKUP($G1569,[1]нормы!$A$21:$BC$151,19,0),"")</f>
        <v>0</v>
      </c>
      <c r="Q1569" s="35">
        <f>IFERROR(VLOOKUP($G1569,[1]нормы!$A$21:$BC$151,23,0),"")</f>
        <v>0</v>
      </c>
      <c r="R1569" s="231">
        <f>IFERROR(VLOOKUP($G1569,[1]нормы!$A$21:$BC$151,29,0),"")</f>
        <v>0</v>
      </c>
      <c r="S1569" s="35">
        <f>IFERROR(VLOOKUP($G1569,[1]нормы!$A$21:$BC$151,31,0),"")</f>
        <v>0</v>
      </c>
      <c r="T1569" s="32">
        <f>IFERROR(VLOOKUP($G1569,[1]нормы!$A$21:$BC$151,25,0),"")</f>
        <v>0</v>
      </c>
      <c r="U1569" s="233" t="str">
        <f>IFERROR(W1569/(((100*Y1569/Y1574)*I1573)/100),"")</f>
        <v/>
      </c>
      <c r="V1569" s="234" t="str">
        <f>IFERROR(VLOOKUP($G1569,нормы!$A$14:$BC$57,38,0),"")</f>
        <v/>
      </c>
      <c r="W1569" s="136"/>
      <c r="X1569" s="237"/>
      <c r="Y1569" s="152" t="str">
        <f>IFERROR(VLOOKUP($G1569,нормы!$A$14:$BC$57,42,0)*W1569,"")</f>
        <v/>
      </c>
      <c r="Z1569" s="163">
        <f>IFERROR(VLOOKUP($G1569,нормы!$A$14:$BC$57,14,0)*W1569/1000,0)</f>
        <v>0</v>
      </c>
      <c r="AA1569" s="142"/>
      <c r="AB1569" s="35"/>
      <c r="AC1569" s="35"/>
      <c r="AD1569" s="35"/>
      <c r="AE1569" s="31"/>
      <c r="AF1569" s="160"/>
      <c r="AG1569" s="391"/>
      <c r="AH1569" s="394"/>
      <c r="AI1569" s="397"/>
      <c r="AJ1569" s="408"/>
      <c r="AK1569" s="360"/>
      <c r="AL1569" s="360"/>
      <c r="AM1569" s="360"/>
      <c r="AN1569" s="289">
        <f>IFERROR(Y1569*AJ1568/Y1574,)</f>
        <v>0</v>
      </c>
      <c r="AO1569" s="197" t="str">
        <f>IFERROR(VLOOKUP($G1569,нормы!$A$14:$BC$57,53,0)*$W1569,"")</f>
        <v/>
      </c>
      <c r="AP1569" s="290">
        <f>IFERROR(Y1569*AI1568/Y1574,)</f>
        <v>0</v>
      </c>
      <c r="AQ1569" s="197" t="str">
        <f>IFERROR(VLOOKUP($G1569,нормы!$A$14:$BC$57,54,0)*$W1569,"")</f>
        <v/>
      </c>
      <c r="AR1569" s="290">
        <f>IFERROR(AS1569/SUM(AS1568:AS1573)*AL1568,0)</f>
        <v>0</v>
      </c>
      <c r="AS1569" s="197" t="str">
        <f>IFERROR(VLOOKUP($G1569,нормы!$A$14:$BC$57,55,0)*W1569,"")</f>
        <v/>
      </c>
      <c r="AT1569" s="290">
        <f>IFERROR(AU1569/SUM(AU1568:AU1573)*AM1568,0)</f>
        <v>0</v>
      </c>
      <c r="AU1569" s="197" t="str">
        <f>IFERROR(VLOOKUP($G1569,нормы!$A$14:$BI$57,56,0)*W1569,"")</f>
        <v/>
      </c>
      <c r="AV1569" s="290">
        <f>IFERROR(AW1569/SUM(AW1568:AW1573)*AK1568,0)</f>
        <v>0</v>
      </c>
      <c r="AW1569" s="202" t="str">
        <f>IFERROR(VLOOKUP($G1569,нормы!$A$14:$BI$57,57,0)*W1569,"")</f>
        <v/>
      </c>
      <c r="AX1569" s="30"/>
      <c r="AY1569" s="203" t="str">
        <f>IFERROR(VLOOKUP($G1569,нормы!$A$14:$BI$57,58,0)*W1569,"")</f>
        <v/>
      </c>
      <c r="AZ1569" s="205"/>
      <c r="BA1569" s="200" t="str">
        <f>IFERROR(VLOOKUP($G1569,нормы!$A$14:$BI$57,61,0)*$W1569,"")</f>
        <v/>
      </c>
      <c r="BB1569" s="30"/>
      <c r="BC1569" s="203" t="str">
        <f>IFERROR(VLOOKUP($G1569,нормы!$A$14:$BI$57,60,0)*W1569,"")</f>
        <v/>
      </c>
      <c r="BD1569" s="200" t="str">
        <f>IFERROR(VLOOKUP($G1569,нормы!$A$14:$BG$57,44,0),"")</f>
        <v/>
      </c>
      <c r="BE1569" s="199" t="str">
        <f>IFERROR(W1569/VLOOKUP($G1569,нормы!$A$14:$BI$57,45,0),"")</f>
        <v/>
      </c>
    </row>
    <row r="1570" spans="1:57" s="1" customFormat="1" ht="20.25" customHeight="1" x14ac:dyDescent="0.4">
      <c r="A1570" s="37" t="str">
        <f t="shared" si="614"/>
        <v>26Д</v>
      </c>
      <c r="B1570" s="12">
        <f t="shared" si="617"/>
        <v>26</v>
      </c>
      <c r="C1570" s="97">
        <f t="shared" si="617"/>
        <v>0</v>
      </c>
      <c r="D1570" s="97">
        <f t="shared" si="617"/>
        <v>2</v>
      </c>
      <c r="E1570" s="54"/>
      <c r="F1570" s="151" t="str">
        <f>IFERROR(VLOOKUP($G1570,нормы!$A$14:$BC$57,2,0),"")</f>
        <v/>
      </c>
      <c r="G1570" s="38"/>
      <c r="H1570" s="54">
        <f t="shared" si="618"/>
        <v>0</v>
      </c>
      <c r="I1570" s="89" t="s">
        <v>212</v>
      </c>
      <c r="J1570" s="333"/>
      <c r="K1570" s="30">
        <f>IFERROR(VLOOKUP($G1570,[1]нормы!$A$21:$BC$151,15,0),"")</f>
        <v>0</v>
      </c>
      <c r="L1570" s="31">
        <f>IFERROR(VLOOKUP($G1570,[1]нормы!$A$21:$BC$151,17,0),"")</f>
        <v>0</v>
      </c>
      <c r="M1570" s="306">
        <f>IFERROR(VLOOKUP($G1570,[1]нормы!$A$21:$BC$151,27,0),"")</f>
        <v>0</v>
      </c>
      <c r="N1570" s="307" t="str">
        <f>IFERROR(Y1570/Y1574*(1.1*J1568*I1573),"")</f>
        <v/>
      </c>
      <c r="O1570" s="300">
        <f>IFERROR(VLOOKUP($G1570,[1]нормы!$A$21:$BC$151,21,0),"")</f>
        <v>0</v>
      </c>
      <c r="P1570" s="35">
        <f>IFERROR(VLOOKUP($G1570,[1]нормы!$A$21:$BC$151,19,0),"")</f>
        <v>0</v>
      </c>
      <c r="Q1570" s="35">
        <f>IFERROR(VLOOKUP($G1570,[1]нормы!$A$21:$BC$151,23,0),"")</f>
        <v>0</v>
      </c>
      <c r="R1570" s="231">
        <f>IFERROR(VLOOKUP($G1570,[1]нормы!$A$21:$BC$151,29,0),"")</f>
        <v>0</v>
      </c>
      <c r="S1570" s="35">
        <f>IFERROR(VLOOKUP($G1570,[1]нормы!$A$21:$BC$151,31,0),"")</f>
        <v>0</v>
      </c>
      <c r="T1570" s="32">
        <f>IFERROR(VLOOKUP($G1570,[1]нормы!$A$21:$BC$151,25,0),"")</f>
        <v>0</v>
      </c>
      <c r="U1570" s="233" t="str">
        <f>IFERROR(W1570/(((100*Y1570/Y1574)*I1573)/100),"")</f>
        <v/>
      </c>
      <c r="V1570" s="234" t="str">
        <f>IFERROR(VLOOKUP($G1570,нормы!$A$14:$BC$57,38,0),"")</f>
        <v/>
      </c>
      <c r="W1570" s="136"/>
      <c r="X1570" s="237"/>
      <c r="Y1570" s="152" t="str">
        <f>IFERROR(VLOOKUP($G1570,нормы!$A$14:$BC$57,42,0)*W1570,"")</f>
        <v/>
      </c>
      <c r="Z1570" s="163">
        <f>IFERROR(VLOOKUP($G1570,нормы!$A$14:$BC$57,14,0)*W1570/1000,0)</f>
        <v>0</v>
      </c>
      <c r="AA1570" s="30"/>
      <c r="AB1570" s="35"/>
      <c r="AC1570" s="35"/>
      <c r="AD1570" s="35"/>
      <c r="AE1570" s="31"/>
      <c r="AF1570" s="160"/>
      <c r="AG1570" s="391"/>
      <c r="AH1570" s="394"/>
      <c r="AI1570" s="397"/>
      <c r="AJ1570" s="408"/>
      <c r="AK1570" s="360"/>
      <c r="AL1570" s="360"/>
      <c r="AM1570" s="360"/>
      <c r="AN1570" s="289">
        <f>IFERROR(Y1570*AJ1568/Y1574,)</f>
        <v>0</v>
      </c>
      <c r="AO1570" s="197" t="str">
        <f>IFERROR(VLOOKUP($G1570,нормы!$A$14:$BC$57,53,0)*$W1570,"")</f>
        <v/>
      </c>
      <c r="AP1570" s="290">
        <f>IFERROR(Y1570*AI1568/Y1574,)</f>
        <v>0</v>
      </c>
      <c r="AQ1570" s="197" t="str">
        <f>IFERROR(VLOOKUP($G1570,нормы!$A$14:$BC$57,54,0)*$W1570,"")</f>
        <v/>
      </c>
      <c r="AR1570" s="290">
        <f>IFERROR(AS1570/SUM(AS1568:AS1573)*AL1568,0)</f>
        <v>0</v>
      </c>
      <c r="AS1570" s="197" t="str">
        <f>IFERROR(VLOOKUP($G1570,нормы!$A$14:$BC$57,55,0)*W1570,"")</f>
        <v/>
      </c>
      <c r="AT1570" s="290">
        <f>IFERROR(AU1570/SUM(AU1568:AU1573)*AM1568,0)</f>
        <v>0</v>
      </c>
      <c r="AU1570" s="197" t="str">
        <f>IFERROR(VLOOKUP($G1570,нормы!$A$14:$BI$57,56,0)*W1570,"")</f>
        <v/>
      </c>
      <c r="AV1570" s="290">
        <f>IFERROR(AW1570/SUM(AW1568:AW1573)*AK1568,0)</f>
        <v>0</v>
      </c>
      <c r="AW1570" s="202" t="str">
        <f>IFERROR(VLOOKUP($G1570,нормы!$A$14:$BI$57,57,0)*W1570,"")</f>
        <v/>
      </c>
      <c r="AX1570" s="30"/>
      <c r="AY1570" s="203" t="str">
        <f>IFERROR(VLOOKUP($G1570,нормы!$A$14:$BI$57,58,0)*W1570,"")</f>
        <v/>
      </c>
      <c r="AZ1570" s="205"/>
      <c r="BA1570" s="200" t="str">
        <f>IFERROR(VLOOKUP($G1570,нормы!$A$14:$BI$57,61,0)*$W1570,"")</f>
        <v/>
      </c>
      <c r="BB1570" s="30"/>
      <c r="BC1570" s="203" t="str">
        <f>IFERROR(VLOOKUP($G1570,нормы!$A$14:$BI$57,60,0)*W1570,"")</f>
        <v/>
      </c>
      <c r="BD1570" s="200" t="str">
        <f>IFERROR(VLOOKUP($G1570,нормы!$A$14:$BG$57,44,0),"")</f>
        <v/>
      </c>
      <c r="BE1570" s="199" t="str">
        <f>IFERROR(W1570/VLOOKUP($G1570,нормы!$A$14:$BI$57,45,0),"")</f>
        <v/>
      </c>
    </row>
    <row r="1571" spans="1:57" s="1" customFormat="1" ht="20.25" customHeight="1" x14ac:dyDescent="0.4">
      <c r="A1571" s="37" t="str">
        <f t="shared" si="614"/>
        <v>26Д</v>
      </c>
      <c r="B1571" s="12">
        <f t="shared" si="617"/>
        <v>26</v>
      </c>
      <c r="C1571" s="97">
        <f t="shared" si="617"/>
        <v>0</v>
      </c>
      <c r="D1571" s="97">
        <f t="shared" si="617"/>
        <v>2</v>
      </c>
      <c r="E1571" s="54"/>
      <c r="F1571" s="151" t="str">
        <f>IFERROR(VLOOKUP($G1571,нормы!$A$14:$BC$57,2,0),"")</f>
        <v/>
      </c>
      <c r="G1571" s="93"/>
      <c r="H1571" s="54">
        <f t="shared" si="618"/>
        <v>0</v>
      </c>
      <c r="I1571" s="55"/>
      <c r="J1571" s="333"/>
      <c r="K1571" s="30">
        <f>IFERROR(VLOOKUP($G1571,[1]нормы!$A$21:$BC$151,15,0),"")</f>
        <v>0</v>
      </c>
      <c r="L1571" s="31">
        <f>IFERROR(VLOOKUP($G1571,[1]нормы!$A$21:$BC$151,17,0),"")</f>
        <v>0</v>
      </c>
      <c r="M1571" s="306">
        <f>IFERROR(VLOOKUP($G1571,[1]нормы!$A$21:$BC$151,27,0),"")</f>
        <v>0</v>
      </c>
      <c r="N1571" s="307" t="str">
        <f>IFERROR(Y1571/Y1574*(1.1*J1568*I1576),"")</f>
        <v/>
      </c>
      <c r="O1571" s="300">
        <f>IFERROR(VLOOKUP($G1571,[1]нормы!$A$21:$BC$151,21,0),"")</f>
        <v>0</v>
      </c>
      <c r="P1571" s="35">
        <f>IFERROR(VLOOKUP($G1571,[1]нормы!$A$21:$BC$151,19,0),"")</f>
        <v>0</v>
      </c>
      <c r="Q1571" s="35">
        <f>IFERROR(VLOOKUP($G1571,[1]нормы!$A$21:$BC$151,23,0),"")</f>
        <v>0</v>
      </c>
      <c r="R1571" s="231">
        <f>IFERROR(VLOOKUP($G1571,[1]нормы!$A$21:$BC$151,29,0),"")</f>
        <v>0</v>
      </c>
      <c r="S1571" s="35">
        <f>IFERROR(VLOOKUP($G1571,[1]нормы!$A$21:$BC$151,31,0),"")</f>
        <v>0</v>
      </c>
      <c r="T1571" s="32">
        <f>IFERROR(VLOOKUP($G1571,[1]нормы!$A$21:$BC$151,25,0),"")</f>
        <v>0</v>
      </c>
      <c r="U1571" s="233" t="str">
        <f>IFERROR(W1571/(((100*Y1571/Y1574)*I1573)/100),"")</f>
        <v/>
      </c>
      <c r="V1571" s="234" t="str">
        <f>IFERROR(VLOOKUP($G1571,нормы!$A$14:$BC$57,38,0),"")</f>
        <v/>
      </c>
      <c r="W1571" s="136"/>
      <c r="X1571" s="237"/>
      <c r="Y1571" s="152" t="str">
        <f>IFERROR(VLOOKUP($G1571,нормы!$A$14:$BC$57,42,0)*W1571,"")</f>
        <v/>
      </c>
      <c r="Z1571" s="163">
        <f>IFERROR(VLOOKUP($G1571,нормы!$A$14:$BC$57,14,0)*W1571/1000,0)</f>
        <v>0</v>
      </c>
      <c r="AA1571" s="30"/>
      <c r="AB1571" s="35"/>
      <c r="AC1571" s="35"/>
      <c r="AD1571" s="35"/>
      <c r="AE1571" s="31"/>
      <c r="AF1571" s="160"/>
      <c r="AG1571" s="391"/>
      <c r="AH1571" s="394"/>
      <c r="AI1571" s="397"/>
      <c r="AJ1571" s="408"/>
      <c r="AK1571" s="360"/>
      <c r="AL1571" s="360"/>
      <c r="AM1571" s="360"/>
      <c r="AN1571" s="289">
        <f>IFERROR(Y1571*AJ1568/Y1574,)</f>
        <v>0</v>
      </c>
      <c r="AO1571" s="197" t="str">
        <f>IFERROR(VLOOKUP($G1571,нормы!$A$14:$BC$57,53,0)*$W1571,"")</f>
        <v/>
      </c>
      <c r="AP1571" s="290">
        <f>IFERROR(Y1571*AI1568/Y1574,)</f>
        <v>0</v>
      </c>
      <c r="AQ1571" s="197" t="str">
        <f>IFERROR(VLOOKUP($G1571,нормы!$A$14:$BC$57,54,0)*$W1571,"")</f>
        <v/>
      </c>
      <c r="AR1571" s="290">
        <f>IFERROR(AS1571/SUM(AS1568:AS1573)*AL1568,0)</f>
        <v>0</v>
      </c>
      <c r="AS1571" s="197" t="str">
        <f>IFERROR(VLOOKUP($G1571,нормы!$A$14:$BC$57,55,0)*W1571,"")</f>
        <v/>
      </c>
      <c r="AT1571" s="290">
        <f>IFERROR(AU1571/SUM(AU1568:AU1573)*AM1568,0)</f>
        <v>0</v>
      </c>
      <c r="AU1571" s="197" t="str">
        <f>IFERROR(VLOOKUP($G1571,нормы!$A$14:$BI$57,56,0)*W1571,"")</f>
        <v/>
      </c>
      <c r="AV1571" s="290">
        <f>IFERROR(AW1571/SUM(AW1568:AW1573)*AK1568,0)</f>
        <v>0</v>
      </c>
      <c r="AW1571" s="202" t="str">
        <f>IFERROR(VLOOKUP($G1571,нормы!$A$14:$BI$57,57,0)*W1571,"")</f>
        <v/>
      </c>
      <c r="AX1571" s="30"/>
      <c r="AY1571" s="203" t="str">
        <f>IFERROR(VLOOKUP($G1571,нормы!$A$14:$BI$57,58,0)*W1571,"")</f>
        <v/>
      </c>
      <c r="AZ1571" s="205"/>
      <c r="BA1571" s="200" t="str">
        <f>IFERROR(VLOOKUP($G1571,нормы!$A$14:$BI$57,61,0)*$W1571,"")</f>
        <v/>
      </c>
      <c r="BB1571" s="30"/>
      <c r="BC1571" s="203" t="str">
        <f>IFERROR(VLOOKUP($G1571,нормы!$A$14:$BI$57,60,0)*W1571,"")</f>
        <v/>
      </c>
      <c r="BD1571" s="200" t="str">
        <f>IFERROR(VLOOKUP($G1571,нормы!$A$14:$BG$57,44,0),"")</f>
        <v/>
      </c>
      <c r="BE1571" s="199" t="str">
        <f>IFERROR(W1571/VLOOKUP($G1571,нормы!$A$14:$BI$57,45,0),"")</f>
        <v/>
      </c>
    </row>
    <row r="1572" spans="1:57" s="1" customFormat="1" ht="20.25" customHeight="1" x14ac:dyDescent="0.4">
      <c r="A1572" s="37" t="str">
        <f t="shared" si="614"/>
        <v>26Д</v>
      </c>
      <c r="B1572" s="12">
        <f t="shared" si="617"/>
        <v>26</v>
      </c>
      <c r="C1572" s="97">
        <f t="shared" si="617"/>
        <v>0</v>
      </c>
      <c r="D1572" s="97">
        <f t="shared" si="617"/>
        <v>2</v>
      </c>
      <c r="E1572" s="54"/>
      <c r="F1572" s="151" t="str">
        <f>IFERROR(VLOOKUP($G1572,нормы!$A$14:$BC$57,2,0),"")</f>
        <v/>
      </c>
      <c r="G1572" s="38"/>
      <c r="H1572" s="54">
        <f t="shared" si="618"/>
        <v>0</v>
      </c>
      <c r="I1572" s="89" t="s">
        <v>73</v>
      </c>
      <c r="J1572" s="333"/>
      <c r="K1572" s="30">
        <f>IFERROR(VLOOKUP($G1572,[1]нормы!$A$21:$BC$151,15,0),"")</f>
        <v>0</v>
      </c>
      <c r="L1572" s="31">
        <f>IFERROR(VLOOKUP($G1572,[1]нормы!$A$21:$BC$151,17,0),"")</f>
        <v>0</v>
      </c>
      <c r="M1572" s="306">
        <f>IFERROR(VLOOKUP($G1572,[1]нормы!$A$21:$BC$151,27,0),"")</f>
        <v>0</v>
      </c>
      <c r="N1572" s="307" t="str">
        <f>IFERROR(Y1572/Y1574*(1.1*J1568*I1577),"")</f>
        <v/>
      </c>
      <c r="O1572" s="300">
        <f>IFERROR(VLOOKUP($G1572,[1]нормы!$A$21:$BC$151,21,0),"")</f>
        <v>0</v>
      </c>
      <c r="P1572" s="35">
        <f>IFERROR(VLOOKUP($G1572,[1]нормы!$A$21:$BC$151,19,0),"")</f>
        <v>0</v>
      </c>
      <c r="Q1572" s="35">
        <f>IFERROR(VLOOKUP($G1572,[1]нормы!$A$21:$BC$151,23,0),"")</f>
        <v>0</v>
      </c>
      <c r="R1572" s="231">
        <f>IFERROR(VLOOKUP($G1572,[1]нормы!$A$21:$BC$151,29,0),"")</f>
        <v>0</v>
      </c>
      <c r="S1572" s="35">
        <f>IFERROR(VLOOKUP($G1572,[1]нормы!$A$21:$BC$151,31,0),"")</f>
        <v>0</v>
      </c>
      <c r="T1572" s="32">
        <f>IFERROR(VLOOKUP($G1572,[1]нормы!$A$21:$BC$151,25,0),"")</f>
        <v>0</v>
      </c>
      <c r="U1572" s="233" t="str">
        <f>IFERROR(W1572/(((100*Y1572/Y1574)*I1573)/100),"")</f>
        <v/>
      </c>
      <c r="V1572" s="234" t="str">
        <f>IFERROR(VLOOKUP($G1572,нормы!$A$14:$BC$57,38,0),"")</f>
        <v/>
      </c>
      <c r="W1572" s="136"/>
      <c r="X1572" s="237"/>
      <c r="Y1572" s="152" t="str">
        <f>IFERROR(VLOOKUP($G1572,нормы!$A$14:$BC$57,42,0)*W1572,"")</f>
        <v/>
      </c>
      <c r="Z1572" s="163">
        <f>IFERROR(VLOOKUP($G1572,нормы!$A$14:$BC$57,14,0)*W1572/1000,0)</f>
        <v>0</v>
      </c>
      <c r="AA1572" s="30"/>
      <c r="AB1572" s="35"/>
      <c r="AC1572" s="35"/>
      <c r="AD1572" s="35"/>
      <c r="AE1572" s="31"/>
      <c r="AF1572" s="160"/>
      <c r="AG1572" s="391"/>
      <c r="AH1572" s="394"/>
      <c r="AI1572" s="397"/>
      <c r="AJ1572" s="408"/>
      <c r="AK1572" s="360"/>
      <c r="AL1572" s="360"/>
      <c r="AM1572" s="360"/>
      <c r="AN1572" s="289">
        <f>IFERROR(Y1572*AJ1568/Y1574,)</f>
        <v>0</v>
      </c>
      <c r="AO1572" s="197" t="str">
        <f>IFERROR(VLOOKUP($G1572,нормы!$A$14:$BC$57,53,0)*$W1572,"")</f>
        <v/>
      </c>
      <c r="AP1572" s="290">
        <f>IFERROR(Y1572*AI1568/Y1574,)</f>
        <v>0</v>
      </c>
      <c r="AQ1572" s="197" t="str">
        <f>IFERROR(VLOOKUP($G1572,нормы!$A$14:$BC$57,54,0)*$W1572,"")</f>
        <v/>
      </c>
      <c r="AR1572" s="290">
        <f>IFERROR(AS1572/SUM(AS1568:AS1573)*AL1568,0)</f>
        <v>0</v>
      </c>
      <c r="AS1572" s="197" t="str">
        <f>IFERROR(VLOOKUP($G1572,нормы!$A$14:$BC$57,55,0)*W1572,"")</f>
        <v/>
      </c>
      <c r="AT1572" s="290">
        <f>IFERROR(AU1572/SUM(AU1568:AU1573)*AM1568,0)</f>
        <v>0</v>
      </c>
      <c r="AU1572" s="197" t="str">
        <f>IFERROR(VLOOKUP($G1572,нормы!$A$14:$BI$57,56,0)*W1572,"")</f>
        <v/>
      </c>
      <c r="AV1572" s="290">
        <f>IFERROR(AW1572/SUM(AW1568:AW1573)*AK1568,0)</f>
        <v>0</v>
      </c>
      <c r="AW1572" s="202" t="str">
        <f>IFERROR(VLOOKUP($G1572,нормы!$A$14:$BI$57,57,0)*W1572,"")</f>
        <v/>
      </c>
      <c r="AX1572" s="30"/>
      <c r="AY1572" s="203" t="str">
        <f>IFERROR(VLOOKUP($G1572,нормы!$A$14:$BI$57,58,0)*W1572,"")</f>
        <v/>
      </c>
      <c r="AZ1572" s="205"/>
      <c r="BA1572" s="200" t="str">
        <f>IFERROR(VLOOKUP($G1572,нормы!$A$14:$BI$57,61,0)*$W1572,"")</f>
        <v/>
      </c>
      <c r="BB1572" s="30"/>
      <c r="BC1572" s="203" t="str">
        <f>IFERROR(VLOOKUP($G1572,нормы!$A$14:$BI$57,60,0)*W1572,"")</f>
        <v/>
      </c>
      <c r="BD1572" s="200" t="str">
        <f>IFERROR(VLOOKUP($G1572,нормы!$A$14:$BG$57,44,0),"")</f>
        <v/>
      </c>
      <c r="BE1572" s="199" t="str">
        <f>IFERROR(W1572/VLOOKUP($G1572,нормы!$A$14:$BI$57,45,0),"")</f>
        <v/>
      </c>
    </row>
    <row r="1573" spans="1:57" s="1" customFormat="1" ht="21" customHeight="1" thickBot="1" x14ac:dyDescent="0.45">
      <c r="A1573" s="37" t="str">
        <f t="shared" si="614"/>
        <v>26Д</v>
      </c>
      <c r="B1573" s="12">
        <f t="shared" si="617"/>
        <v>26</v>
      </c>
      <c r="C1573" s="97">
        <f t="shared" si="617"/>
        <v>0</v>
      </c>
      <c r="D1573" s="97">
        <f t="shared" si="617"/>
        <v>2</v>
      </c>
      <c r="E1573" s="54"/>
      <c r="F1573" s="151" t="str">
        <f>IFERROR(VLOOKUP($G1573,нормы!$A$14:$BC$57,2,0),"")</f>
        <v/>
      </c>
      <c r="G1573" s="93"/>
      <c r="H1573" s="63">
        <f t="shared" si="618"/>
        <v>0</v>
      </c>
      <c r="I1573" s="153">
        <f>I1569+I1571</f>
        <v>0</v>
      </c>
      <c r="J1573" s="334"/>
      <c r="K1573" s="30">
        <f>IFERROR(VLOOKUP($G1573,[1]нормы!$A$21:$BC$151,15,0),"")</f>
        <v>0</v>
      </c>
      <c r="L1573" s="31">
        <f>IFERROR(VLOOKUP($G1573,[1]нормы!$A$21:$BC$151,17,0),"")</f>
        <v>0</v>
      </c>
      <c r="M1573" s="308">
        <f>IFERROR(VLOOKUP($G1573,[1]нормы!$A$21:$BC$151,27,0),"")</f>
        <v>0</v>
      </c>
      <c r="N1573" s="309" t="str">
        <f>IFERROR(Y1573/Y1574*(1.1*J1568*I1578),"")</f>
        <v/>
      </c>
      <c r="O1573" s="300">
        <f>IFERROR(VLOOKUP($G1573,[1]нормы!$A$21:$BC$151,21,0),"")</f>
        <v>0</v>
      </c>
      <c r="P1573" s="35">
        <f>IFERROR(VLOOKUP($G1573,[1]нормы!$A$21:$BC$151,19,0),"")</f>
        <v>0</v>
      </c>
      <c r="Q1573" s="35">
        <f>IFERROR(VLOOKUP($G1573,[1]нормы!$A$21:$BC$151,23,0),"")</f>
        <v>0</v>
      </c>
      <c r="R1573" s="231">
        <f>IFERROR(VLOOKUP($G1573,[1]нормы!$A$21:$BC$151,29,0),"")</f>
        <v>0</v>
      </c>
      <c r="S1573" s="35">
        <f>IFERROR(VLOOKUP($G1573,[1]нормы!$A$21:$BC$151,31,0),"")</f>
        <v>0</v>
      </c>
      <c r="T1573" s="32">
        <f>IFERROR(VLOOKUP($G1573,[1]нормы!$A$21:$BC$151,25,0),"")</f>
        <v>0</v>
      </c>
      <c r="U1573" s="235" t="str">
        <f>IFERROR(W1573/(((100*Y1573/Y1574)*I1573)/100),"")</f>
        <v/>
      </c>
      <c r="V1573" s="234" t="str">
        <f>IFERROR(VLOOKUP($G1573,нормы!$A$14:$BC$57,38,0),"")</f>
        <v/>
      </c>
      <c r="W1573" s="154"/>
      <c r="X1573" s="238"/>
      <c r="Y1573" s="152" t="str">
        <f>IFERROR(VLOOKUP($G1573,нормы!$A$14:$BC$57,42,0)*W1573,"")</f>
        <v/>
      </c>
      <c r="Z1573" s="163">
        <f>IFERROR(VLOOKUP($G1573,нормы!$A$14:$BC$57,14,0)*W1573/1000,0)</f>
        <v>0</v>
      </c>
      <c r="AA1573" s="56"/>
      <c r="AB1573" s="58"/>
      <c r="AC1573" s="58"/>
      <c r="AD1573" s="58"/>
      <c r="AE1573" s="57"/>
      <c r="AF1573" s="161"/>
      <c r="AG1573" s="392"/>
      <c r="AH1573" s="395"/>
      <c r="AI1573" s="398"/>
      <c r="AJ1573" s="409"/>
      <c r="AK1573" s="361"/>
      <c r="AL1573" s="361"/>
      <c r="AM1573" s="361"/>
      <c r="AN1573" s="291">
        <f>IFERROR(Y1573*AJ1568/Y1574,)</f>
        <v>0</v>
      </c>
      <c r="AO1573" s="197" t="str">
        <f>IFERROR(VLOOKUP($G1573,нормы!$A$14:$BC$57,53,0)*$W1573,"")</f>
        <v/>
      </c>
      <c r="AP1573" s="292">
        <f>IFERROR(Y1573*AI1568/Y1574,)</f>
        <v>0</v>
      </c>
      <c r="AQ1573" s="197" t="str">
        <f>IFERROR(VLOOKUP($G1573,нормы!$A$14:$BC$57,54,0)*$W1573,"")</f>
        <v/>
      </c>
      <c r="AR1573" s="290">
        <f>IFERROR(AS1573/SUM(AS1568:AS1573)*AL1568,0)</f>
        <v>0</v>
      </c>
      <c r="AS1573" s="197" t="str">
        <f>IFERROR(VLOOKUP($G1573,нормы!$A$14:$BC$57,55,0)*W1573,"")</f>
        <v/>
      </c>
      <c r="AT1573" s="292">
        <f>IFERROR(AU1573/SUM(AU1568:AU1573)*AM1568,0)</f>
        <v>0</v>
      </c>
      <c r="AU1573" s="197" t="str">
        <f>IFERROR(VLOOKUP($G1573,нормы!$A$14:$BI$57,56,0)*W1573,"")</f>
        <v/>
      </c>
      <c r="AV1573" s="292">
        <f>IFERROR(AW1573/SUM(AW1568:AW1573)*AK1568,0)</f>
        <v>0</v>
      </c>
      <c r="AW1573" s="202" t="str">
        <f>IFERROR(VLOOKUP($G1573,нормы!$A$14:$BI$57,57,0)*W1573,"")</f>
        <v/>
      </c>
      <c r="AX1573" s="56"/>
      <c r="AY1573" s="203" t="str">
        <f>IFERROR(VLOOKUP($G1573,нормы!$A$14:$BI$57,58,0)*W1573,"")</f>
        <v/>
      </c>
      <c r="AZ1573" s="206"/>
      <c r="BA1573" s="200" t="str">
        <f>IFERROR(VLOOKUP($G1573,нормы!$A$14:$BI$57,61,0)*$W1573,"")</f>
        <v/>
      </c>
      <c r="BB1573" s="56"/>
      <c r="BC1573" s="203" t="str">
        <f>IFERROR(VLOOKUP($G1573,нормы!$A$14:$BI$57,60,0)*W1573,"")</f>
        <v/>
      </c>
      <c r="BD1573" s="200" t="str">
        <f>IFERROR(VLOOKUP($G1573,нормы!$A$14:$BG$57,44,0),"")</f>
        <v/>
      </c>
      <c r="BE1573" s="199" t="str">
        <f>IFERROR(W1573/VLOOKUP($G1573,нормы!$A$14:$BI$57,45,0),"")</f>
        <v/>
      </c>
    </row>
    <row r="1574" spans="1:57" s="1" customFormat="1" ht="29.4" customHeight="1" thickBot="1" x14ac:dyDescent="0.45">
      <c r="A1574" s="37" t="str">
        <f t="shared" si="614"/>
        <v>26Д</v>
      </c>
      <c r="B1574" s="59"/>
      <c r="C1574" s="51"/>
      <c r="D1574" s="51"/>
      <c r="E1574" s="51"/>
      <c r="F1574" s="51"/>
      <c r="G1574" s="51"/>
      <c r="H1574" s="51"/>
      <c r="I1574" s="60"/>
      <c r="J1574" s="60"/>
      <c r="K1574" s="319" t="s">
        <v>213</v>
      </c>
      <c r="L1574" s="316"/>
      <c r="M1574" s="303" t="s">
        <v>213</v>
      </c>
      <c r="N1574" s="317">
        <f>SUM(N1568:N1573)</f>
        <v>0</v>
      </c>
      <c r="O1574" s="304" t="s">
        <v>217</v>
      </c>
      <c r="P1574" s="318">
        <f>N1574*8.937/1000</f>
        <v>0</v>
      </c>
      <c r="Q1574" s="305" t="s">
        <v>215</v>
      </c>
      <c r="R1574" s="61"/>
      <c r="S1574" s="61"/>
      <c r="T1574" s="61"/>
      <c r="U1574" s="109"/>
      <c r="V1574" s="109"/>
      <c r="W1574" s="94"/>
      <c r="X1574" s="155"/>
      <c r="Y1574" s="96">
        <f>SUM(Y1568:Y1573)</f>
        <v>0</v>
      </c>
      <c r="Z1574" s="164">
        <f>SUM(Z1568:Z1573)</f>
        <v>0</v>
      </c>
      <c r="AA1574" s="207">
        <f>(AA1560+AA1561+AA1562+AA1563+AA1564+AA1565+AA1566+AA1568+AA1569+AA1570+AA1571+AA1572+AA1573)-AG1561</f>
        <v>1</v>
      </c>
      <c r="AB1574" s="208">
        <f>(AB1560+AB1561+AB1562+AB1563+AB1564+AB1565+AB1566+AB1568+AB1569+AB1570+AB1571+AB1572+AB1573)-AH1561</f>
        <v>2</v>
      </c>
      <c r="AC1574" s="208">
        <f>(AC1560+AC1561+AC1562+AC1563+AC1564+AC1565+AC1566+AC1568+AC1569+AC1570+AC1571+AC1572+AC1573)-AG1568</f>
        <v>3</v>
      </c>
      <c r="AD1574" s="208">
        <f>(AD1560+AD1561+AD1562+AD1563+AD1564+AD1565+AD1566+AD1568+AD1569+AD1570+AD1571+AD1572+AD1573)-AH1568</f>
        <v>4</v>
      </c>
      <c r="AE1574" s="208">
        <f>(AE1560+AE1561+AE1562+AE1563+AE1564+AE1565+AE1566+AE1568+AE1569+AE1570+AE1571+AE1572+AE1573)-AI1561</f>
        <v>5</v>
      </c>
      <c r="AF1574" s="209">
        <f>(AF1560+AF1561+AF1562+AF1563+AF1564+AF1565+AF1566+AF1568+AF1569+AF1570+AF1571+AF1572+AF1573)-AI1568</f>
        <v>6</v>
      </c>
      <c r="AG1574" s="62"/>
      <c r="AH1574" s="62"/>
      <c r="AI1574" s="62"/>
      <c r="AJ1574" s="62"/>
      <c r="AK1574" s="62"/>
      <c r="AL1574" s="62"/>
      <c r="AM1574" s="62"/>
      <c r="AN1574" s="91">
        <f>SUM(AN1568:AN1573)</f>
        <v>0</v>
      </c>
      <c r="AO1574" s="91">
        <f>SUM(AO1568:AO1573)</f>
        <v>0</v>
      </c>
      <c r="AP1574" s="91"/>
      <c r="AQ1574" s="91"/>
      <c r="AR1574" s="91">
        <f>SUM(AR1568:AR1573)</f>
        <v>0</v>
      </c>
      <c r="AS1574" s="91">
        <f t="shared" ref="AS1574:AW1574" si="619">SUM(AS1568:AS1573)</f>
        <v>0</v>
      </c>
      <c r="AT1574" s="91">
        <f t="shared" si="619"/>
        <v>0</v>
      </c>
      <c r="AU1574" s="91">
        <f t="shared" si="619"/>
        <v>0</v>
      </c>
      <c r="AV1574" s="91">
        <f t="shared" si="619"/>
        <v>0</v>
      </c>
      <c r="AW1574" s="91">
        <f t="shared" si="619"/>
        <v>0</v>
      </c>
      <c r="AX1574" s="91">
        <f>SUM(AX1568:AX1573)</f>
        <v>0</v>
      </c>
      <c r="AY1574" s="91">
        <f>SUM(AY1568:AY1573)</f>
        <v>0</v>
      </c>
      <c r="AZ1574" s="91">
        <f>SUM(AZ1568:AZ1573)</f>
        <v>0</v>
      </c>
      <c r="BA1574" s="91"/>
      <c r="BB1574" s="91"/>
      <c r="BC1574" s="91"/>
      <c r="BD1574" s="91" t="str">
        <f>IFERROR(VLOOKUP($G1574,нормы!$A$14:$BG$15,27,0),"")</f>
        <v/>
      </c>
      <c r="BE1574" s="53" t="str">
        <f>IFERROR(W1574/VLOOKUP($G1574,нормы!$A$14:$BI$15,28,0),"")</f>
        <v/>
      </c>
    </row>
    <row r="1575" spans="1:57" s="1" customFormat="1" ht="29.4" customHeight="1" thickBot="1" x14ac:dyDescent="0.5">
      <c r="A1575" s="37" t="str">
        <f t="shared" si="614"/>
        <v>26Д</v>
      </c>
      <c r="B1575" s="166" t="s">
        <v>130</v>
      </c>
      <c r="C1575" s="167"/>
      <c r="D1575" s="167"/>
      <c r="E1575" s="167"/>
      <c r="F1575" s="165"/>
      <c r="G1575" s="167"/>
      <c r="H1575" s="167"/>
      <c r="I1575" s="168"/>
      <c r="J1575" s="168"/>
      <c r="K1575" s="168"/>
      <c r="L1575" s="168"/>
      <c r="M1575" s="168"/>
      <c r="N1575" s="168"/>
      <c r="O1575" s="167"/>
      <c r="P1575" s="169"/>
      <c r="Q1575" s="169"/>
      <c r="R1575" s="169"/>
      <c r="S1575" s="169"/>
      <c r="T1575" s="169"/>
      <c r="U1575" s="170"/>
      <c r="V1575" s="170"/>
      <c r="W1575" s="171"/>
      <c r="X1575" s="171"/>
      <c r="Y1575" s="172"/>
      <c r="Z1575" s="172"/>
      <c r="AA1575" s="201" t="s">
        <v>144</v>
      </c>
      <c r="AB1575" s="167"/>
      <c r="AC1575" s="167"/>
      <c r="AD1575" s="167"/>
      <c r="AE1575" s="167"/>
      <c r="AF1575" s="167"/>
      <c r="AG1575" s="167"/>
      <c r="AH1575" s="167"/>
      <c r="AI1575" s="167"/>
      <c r="AJ1575" s="167"/>
      <c r="AK1575" s="167"/>
      <c r="AL1575" s="167"/>
      <c r="AM1575" s="64"/>
      <c r="AN1575" s="167"/>
      <c r="AO1575" s="167"/>
      <c r="AP1575" s="167"/>
      <c r="AQ1575" s="167"/>
      <c r="AR1575" s="64"/>
      <c r="AS1575" s="64"/>
      <c r="AT1575" s="65"/>
      <c r="AU1575" s="64"/>
      <c r="AV1575" s="49"/>
      <c r="AW1575" s="49"/>
      <c r="AX1575" s="167"/>
      <c r="AY1575" s="167"/>
      <c r="AZ1575" s="167"/>
      <c r="BA1575" s="167"/>
      <c r="BB1575" s="167"/>
      <c r="BC1575" s="167"/>
      <c r="BD1575" s="66"/>
      <c r="BE1575" s="66"/>
    </row>
    <row r="1576" spans="1:57" s="1" customFormat="1" ht="23.25" customHeight="1" x14ac:dyDescent="0.4">
      <c r="A1576" s="37" t="str">
        <f t="shared" si="614"/>
        <v>26Д</v>
      </c>
      <c r="B1576" s="183"/>
      <c r="C1576" s="100"/>
      <c r="D1576" s="185"/>
      <c r="E1576" s="186" t="s">
        <v>57</v>
      </c>
      <c r="F1576" s="66" t="s">
        <v>87</v>
      </c>
      <c r="G1576" s="66"/>
      <c r="H1576" s="108" t="s">
        <v>131</v>
      </c>
      <c r="I1576" s="101"/>
      <c r="J1576" s="101"/>
      <c r="K1576" s="101"/>
      <c r="L1576" s="101"/>
      <c r="M1576" s="101"/>
      <c r="N1576" s="101"/>
      <c r="O1576" s="67"/>
      <c r="P1576" s="102"/>
      <c r="Q1576" s="102"/>
      <c r="R1576" s="102"/>
      <c r="S1576" s="102"/>
      <c r="T1576" s="102"/>
      <c r="U1576" s="67"/>
      <c r="V1576" s="67"/>
      <c r="W1576" s="103"/>
      <c r="X1576" s="187"/>
      <c r="Y1576" s="68" t="s">
        <v>74</v>
      </c>
      <c r="Z1576" s="69"/>
      <c r="AA1576" s="90"/>
      <c r="AB1576" s="100"/>
      <c r="AC1576" s="100"/>
      <c r="AD1576" s="186" t="s">
        <v>57</v>
      </c>
      <c r="AE1576" s="66"/>
      <c r="AF1576" s="66"/>
      <c r="AG1576" s="66"/>
      <c r="AH1576" s="66"/>
      <c r="AI1576" s="66"/>
      <c r="AJ1576" s="66"/>
      <c r="AK1576" s="66"/>
      <c r="AL1576" s="66"/>
      <c r="AM1576" s="66"/>
      <c r="AN1576" s="66"/>
      <c r="AO1576" s="66"/>
      <c r="AP1576" s="66"/>
      <c r="AQ1576" s="66"/>
      <c r="AR1576" s="66"/>
      <c r="AS1576" s="66"/>
      <c r="AT1576" s="190"/>
      <c r="AU1576" s="66"/>
      <c r="AV1576" s="165"/>
      <c r="AW1576" s="293"/>
      <c r="AX1576" s="66"/>
      <c r="AY1576" s="66"/>
      <c r="AZ1576" s="66"/>
      <c r="BA1576" s="66"/>
      <c r="BB1576" s="66"/>
      <c r="BC1576" s="66"/>
      <c r="BD1576" s="68" t="s">
        <v>74</v>
      </c>
      <c r="BE1576" s="69"/>
    </row>
    <row r="1577" spans="1:57" s="1" customFormat="1" ht="23.25" customHeight="1" thickBot="1" x14ac:dyDescent="0.45">
      <c r="A1577" s="37" t="str">
        <f t="shared" si="614"/>
        <v>26Д</v>
      </c>
      <c r="B1577" s="183"/>
      <c r="C1577" s="41"/>
      <c r="D1577" s="184"/>
      <c r="E1577" s="50"/>
      <c r="F1577" s="70"/>
      <c r="G1577" s="70"/>
      <c r="H1577" s="70"/>
      <c r="I1577" s="104"/>
      <c r="J1577" s="104"/>
      <c r="K1577" s="104"/>
      <c r="L1577" s="104"/>
      <c r="M1577" s="104"/>
      <c r="N1577" s="104"/>
      <c r="O1577" s="71"/>
      <c r="P1577" s="105"/>
      <c r="Q1577" s="105"/>
      <c r="R1577" s="105"/>
      <c r="S1577" s="105"/>
      <c r="T1577" s="105"/>
      <c r="U1577" s="71"/>
      <c r="V1577" s="71"/>
      <c r="W1577" s="106"/>
      <c r="X1577" s="188"/>
      <c r="Y1577" s="72"/>
      <c r="Z1577" s="73"/>
      <c r="AA1577" s="90"/>
      <c r="AB1577" s="41"/>
      <c r="AC1577" s="41"/>
      <c r="AD1577" s="50"/>
      <c r="AE1577" s="47"/>
      <c r="AF1577" s="47"/>
      <c r="AG1577" s="47"/>
      <c r="AH1577" s="47"/>
      <c r="AI1577" s="47"/>
      <c r="AJ1577" s="47"/>
      <c r="AK1577" s="47"/>
      <c r="AL1577" s="47"/>
      <c r="AM1577" s="70"/>
      <c r="AN1577" s="47"/>
      <c r="AO1577" s="70"/>
      <c r="AP1577" s="70"/>
      <c r="AQ1577" s="70"/>
      <c r="AR1577" s="70"/>
      <c r="AS1577" s="70"/>
      <c r="AT1577" s="191"/>
      <c r="AU1577" s="70"/>
      <c r="AV1577" s="192"/>
      <c r="AW1577" s="294"/>
      <c r="AX1577" s="70"/>
      <c r="AY1577" s="70"/>
      <c r="AZ1577" s="70"/>
      <c r="BA1577" s="70"/>
      <c r="BB1577" s="70"/>
      <c r="BC1577" s="70"/>
      <c r="BD1577" s="72"/>
      <c r="BE1577" s="73"/>
    </row>
    <row r="1578" spans="1:57" s="1" customFormat="1" ht="21.9" customHeight="1" x14ac:dyDescent="0.4">
      <c r="A1578" s="37" t="str">
        <f t="shared" si="614"/>
        <v>26Д</v>
      </c>
      <c r="B1578" s="183"/>
      <c r="C1578" s="41"/>
      <c r="D1578" s="184"/>
      <c r="E1578" s="281">
        <f>B1573</f>
        <v>26</v>
      </c>
      <c r="F1578" s="337"/>
      <c r="G1578" s="338"/>
      <c r="H1578" s="338"/>
      <c r="I1578" s="338"/>
      <c r="J1578" s="338"/>
      <c r="K1578" s="338"/>
      <c r="L1578" s="338"/>
      <c r="M1578" s="338"/>
      <c r="N1578" s="338"/>
      <c r="O1578" s="338"/>
      <c r="P1578" s="338"/>
      <c r="Q1578" s="338"/>
      <c r="R1578" s="338"/>
      <c r="S1578" s="338"/>
      <c r="T1578" s="338"/>
      <c r="U1578" s="338"/>
      <c r="V1578" s="338"/>
      <c r="W1578" s="338"/>
      <c r="X1578" s="98">
        <v>1</v>
      </c>
      <c r="Y1578" s="74">
        <v>1</v>
      </c>
      <c r="Z1578" s="75">
        <f t="shared" ref="Z1578:Z1589" si="620">Y1578-X1578</f>
        <v>0</v>
      </c>
      <c r="AA1578" s="189"/>
      <c r="AB1578" s="41"/>
      <c r="AC1578" s="184"/>
      <c r="AD1578" s="210">
        <f>E1578</f>
        <v>26</v>
      </c>
      <c r="AE1578" s="387"/>
      <c r="AF1578" s="388"/>
      <c r="AG1578" s="388"/>
      <c r="AH1578" s="388"/>
      <c r="AI1578" s="388"/>
      <c r="AJ1578" s="388"/>
      <c r="AK1578" s="388"/>
      <c r="AL1578" s="388"/>
      <c r="AM1578" s="388"/>
      <c r="AN1578" s="388"/>
      <c r="AO1578" s="388"/>
      <c r="AP1578" s="388"/>
      <c r="AQ1578" s="388"/>
      <c r="AR1578" s="388"/>
      <c r="AS1578" s="388"/>
      <c r="AT1578" s="388"/>
      <c r="AU1578" s="388"/>
      <c r="AV1578" s="388"/>
      <c r="AW1578" s="388"/>
      <c r="AX1578" s="388"/>
      <c r="AY1578" s="388"/>
      <c r="AZ1578" s="388"/>
      <c r="BA1578" s="388"/>
      <c r="BB1578" s="389"/>
      <c r="BC1578" s="98">
        <v>1</v>
      </c>
      <c r="BD1578" s="74">
        <v>1</v>
      </c>
      <c r="BE1578" s="75">
        <f t="shared" ref="BE1578:BE1589" si="621">BD1578-BC1578</f>
        <v>0</v>
      </c>
    </row>
    <row r="1579" spans="1:57" s="1" customFormat="1" ht="21.9" customHeight="1" x14ac:dyDescent="0.4">
      <c r="A1579" s="37" t="str">
        <f t="shared" si="614"/>
        <v>26Д</v>
      </c>
      <c r="B1579" s="183"/>
      <c r="C1579" s="41"/>
      <c r="D1579" s="184"/>
      <c r="E1579" s="282">
        <f>E1578</f>
        <v>26</v>
      </c>
      <c r="F1579" s="335"/>
      <c r="G1579" s="336"/>
      <c r="H1579" s="336"/>
      <c r="I1579" s="336"/>
      <c r="J1579" s="336"/>
      <c r="K1579" s="336"/>
      <c r="L1579" s="336"/>
      <c r="M1579" s="336"/>
      <c r="N1579" s="336"/>
      <c r="O1579" s="336"/>
      <c r="P1579" s="336"/>
      <c r="Q1579" s="336"/>
      <c r="R1579" s="336"/>
      <c r="S1579" s="336"/>
      <c r="T1579" s="336"/>
      <c r="U1579" s="336"/>
      <c r="V1579" s="336"/>
      <c r="W1579" s="336"/>
      <c r="X1579" s="98">
        <v>1</v>
      </c>
      <c r="Y1579" s="74">
        <v>1</v>
      </c>
      <c r="Z1579" s="75">
        <f t="shared" si="620"/>
        <v>0</v>
      </c>
      <c r="AA1579" s="107">
        <f>AA1578</f>
        <v>0</v>
      </c>
      <c r="AB1579" s="41"/>
      <c r="AC1579" s="184"/>
      <c r="AD1579" s="212">
        <f>AD1578</f>
        <v>26</v>
      </c>
      <c r="AE1579" s="387"/>
      <c r="AF1579" s="388"/>
      <c r="AG1579" s="388"/>
      <c r="AH1579" s="388"/>
      <c r="AI1579" s="388"/>
      <c r="AJ1579" s="388"/>
      <c r="AK1579" s="388"/>
      <c r="AL1579" s="388"/>
      <c r="AM1579" s="388"/>
      <c r="AN1579" s="388"/>
      <c r="AO1579" s="388"/>
      <c r="AP1579" s="388"/>
      <c r="AQ1579" s="388"/>
      <c r="AR1579" s="388"/>
      <c r="AS1579" s="388"/>
      <c r="AT1579" s="388"/>
      <c r="AU1579" s="388"/>
      <c r="AV1579" s="388"/>
      <c r="AW1579" s="388"/>
      <c r="AX1579" s="388"/>
      <c r="AY1579" s="388"/>
      <c r="AZ1579" s="388"/>
      <c r="BA1579" s="388"/>
      <c r="BB1579" s="389"/>
      <c r="BC1579" s="98">
        <v>1</v>
      </c>
      <c r="BD1579" s="74">
        <v>1</v>
      </c>
      <c r="BE1579" s="75">
        <f t="shared" si="621"/>
        <v>0</v>
      </c>
    </row>
    <row r="1580" spans="1:57" s="1" customFormat="1" ht="21.9" customHeight="1" x14ac:dyDescent="0.4">
      <c r="A1580" s="37" t="str">
        <f t="shared" si="614"/>
        <v>26Д</v>
      </c>
      <c r="B1580" s="183"/>
      <c r="C1580" s="41"/>
      <c r="D1580" s="184"/>
      <c r="E1580" s="282">
        <f t="shared" ref="E1580:E1589" si="622">E1579</f>
        <v>26</v>
      </c>
      <c r="F1580" s="335"/>
      <c r="G1580" s="336"/>
      <c r="H1580" s="336"/>
      <c r="I1580" s="336"/>
      <c r="J1580" s="336"/>
      <c r="K1580" s="336"/>
      <c r="L1580" s="336"/>
      <c r="M1580" s="336"/>
      <c r="N1580" s="336"/>
      <c r="O1580" s="336"/>
      <c r="P1580" s="336"/>
      <c r="Q1580" s="336"/>
      <c r="R1580" s="336"/>
      <c r="S1580" s="336"/>
      <c r="T1580" s="336"/>
      <c r="U1580" s="336"/>
      <c r="V1580" s="336"/>
      <c r="W1580" s="336"/>
      <c r="X1580" s="98">
        <v>1</v>
      </c>
      <c r="Y1580" s="74">
        <v>1</v>
      </c>
      <c r="Z1580" s="75">
        <f t="shared" si="620"/>
        <v>0</v>
      </c>
      <c r="AA1580" s="107">
        <f>AA1579</f>
        <v>0</v>
      </c>
      <c r="AB1580" s="41"/>
      <c r="AC1580" s="184"/>
      <c r="AD1580" s="212">
        <f t="shared" ref="AD1580:AD1589" si="623">AD1579</f>
        <v>26</v>
      </c>
      <c r="AE1580" s="387"/>
      <c r="AF1580" s="388"/>
      <c r="AG1580" s="388"/>
      <c r="AH1580" s="388"/>
      <c r="AI1580" s="388"/>
      <c r="AJ1580" s="388"/>
      <c r="AK1580" s="388"/>
      <c r="AL1580" s="388"/>
      <c r="AM1580" s="388"/>
      <c r="AN1580" s="388"/>
      <c r="AO1580" s="388"/>
      <c r="AP1580" s="388"/>
      <c r="AQ1580" s="388"/>
      <c r="AR1580" s="388"/>
      <c r="AS1580" s="388"/>
      <c r="AT1580" s="388"/>
      <c r="AU1580" s="388"/>
      <c r="AV1580" s="388"/>
      <c r="AW1580" s="388"/>
      <c r="AX1580" s="388"/>
      <c r="AY1580" s="388"/>
      <c r="AZ1580" s="388"/>
      <c r="BA1580" s="388"/>
      <c r="BB1580" s="389"/>
      <c r="BC1580" s="98">
        <v>1</v>
      </c>
      <c r="BD1580" s="74">
        <v>1</v>
      </c>
      <c r="BE1580" s="75">
        <f t="shared" si="621"/>
        <v>0</v>
      </c>
    </row>
    <row r="1581" spans="1:57" s="1" customFormat="1" ht="18" customHeight="1" x14ac:dyDescent="0.4">
      <c r="A1581" s="37" t="str">
        <f t="shared" si="614"/>
        <v>26Д</v>
      </c>
      <c r="B1581" s="183"/>
      <c r="C1581" s="41"/>
      <c r="D1581" s="184"/>
      <c r="E1581" s="282">
        <f t="shared" si="622"/>
        <v>26</v>
      </c>
      <c r="F1581" s="335"/>
      <c r="G1581" s="336"/>
      <c r="H1581" s="336"/>
      <c r="I1581" s="336"/>
      <c r="J1581" s="336"/>
      <c r="K1581" s="336"/>
      <c r="L1581" s="336"/>
      <c r="M1581" s="336"/>
      <c r="N1581" s="336"/>
      <c r="O1581" s="336"/>
      <c r="P1581" s="336"/>
      <c r="Q1581" s="336"/>
      <c r="R1581" s="336"/>
      <c r="S1581" s="336"/>
      <c r="T1581" s="336"/>
      <c r="U1581" s="336"/>
      <c r="V1581" s="336"/>
      <c r="W1581" s="336"/>
      <c r="X1581" s="98">
        <v>1</v>
      </c>
      <c r="Y1581" s="74">
        <v>1</v>
      </c>
      <c r="Z1581" s="75">
        <f t="shared" si="620"/>
        <v>0</v>
      </c>
      <c r="AA1581" s="107">
        <f t="shared" ref="AA1581:AA1589" si="624">AA1580</f>
        <v>0</v>
      </c>
      <c r="AB1581" s="41"/>
      <c r="AC1581" s="184"/>
      <c r="AD1581" s="212">
        <f t="shared" si="623"/>
        <v>26</v>
      </c>
      <c r="AE1581" s="387"/>
      <c r="AF1581" s="388"/>
      <c r="AG1581" s="388"/>
      <c r="AH1581" s="388"/>
      <c r="AI1581" s="388"/>
      <c r="AJ1581" s="388"/>
      <c r="AK1581" s="388"/>
      <c r="AL1581" s="388"/>
      <c r="AM1581" s="388"/>
      <c r="AN1581" s="388"/>
      <c r="AO1581" s="388"/>
      <c r="AP1581" s="388"/>
      <c r="AQ1581" s="388"/>
      <c r="AR1581" s="388"/>
      <c r="AS1581" s="388"/>
      <c r="AT1581" s="388"/>
      <c r="AU1581" s="388"/>
      <c r="AV1581" s="388"/>
      <c r="AW1581" s="388"/>
      <c r="AX1581" s="388"/>
      <c r="AY1581" s="388"/>
      <c r="AZ1581" s="388"/>
      <c r="BA1581" s="388"/>
      <c r="BB1581" s="389"/>
      <c r="BC1581" s="98">
        <v>1</v>
      </c>
      <c r="BD1581" s="74">
        <v>1</v>
      </c>
      <c r="BE1581" s="75">
        <f t="shared" si="621"/>
        <v>0</v>
      </c>
    </row>
    <row r="1582" spans="1:57" s="1" customFormat="1" ht="18" customHeight="1" x14ac:dyDescent="0.4">
      <c r="A1582" s="37" t="str">
        <f t="shared" si="614"/>
        <v>26Д</v>
      </c>
      <c r="B1582" s="183"/>
      <c r="C1582" s="41"/>
      <c r="D1582" s="184"/>
      <c r="E1582" s="282">
        <f t="shared" si="622"/>
        <v>26</v>
      </c>
      <c r="F1582" s="335"/>
      <c r="G1582" s="336"/>
      <c r="H1582" s="336"/>
      <c r="I1582" s="336"/>
      <c r="J1582" s="336"/>
      <c r="K1582" s="336"/>
      <c r="L1582" s="336"/>
      <c r="M1582" s="336"/>
      <c r="N1582" s="336"/>
      <c r="O1582" s="336"/>
      <c r="P1582" s="336"/>
      <c r="Q1582" s="336"/>
      <c r="R1582" s="336"/>
      <c r="S1582" s="336"/>
      <c r="T1582" s="336"/>
      <c r="U1582" s="336"/>
      <c r="V1582" s="336"/>
      <c r="W1582" s="336"/>
      <c r="X1582" s="98">
        <v>1</v>
      </c>
      <c r="Y1582" s="74">
        <v>1</v>
      </c>
      <c r="Z1582" s="75">
        <f t="shared" si="620"/>
        <v>0</v>
      </c>
      <c r="AA1582" s="107">
        <f t="shared" si="624"/>
        <v>0</v>
      </c>
      <c r="AB1582" s="41"/>
      <c r="AC1582" s="184"/>
      <c r="AD1582" s="212">
        <f t="shared" si="623"/>
        <v>26</v>
      </c>
      <c r="AE1582" s="387"/>
      <c r="AF1582" s="388"/>
      <c r="AG1582" s="388"/>
      <c r="AH1582" s="388"/>
      <c r="AI1582" s="388"/>
      <c r="AJ1582" s="388"/>
      <c r="AK1582" s="388"/>
      <c r="AL1582" s="388"/>
      <c r="AM1582" s="388"/>
      <c r="AN1582" s="388"/>
      <c r="AO1582" s="388"/>
      <c r="AP1582" s="388"/>
      <c r="AQ1582" s="388"/>
      <c r="AR1582" s="388"/>
      <c r="AS1582" s="388"/>
      <c r="AT1582" s="388"/>
      <c r="AU1582" s="388"/>
      <c r="AV1582" s="388"/>
      <c r="AW1582" s="388"/>
      <c r="AX1582" s="388"/>
      <c r="AY1582" s="388"/>
      <c r="AZ1582" s="388"/>
      <c r="BA1582" s="388"/>
      <c r="BB1582" s="389"/>
      <c r="BC1582" s="98">
        <v>1</v>
      </c>
      <c r="BD1582" s="74">
        <v>1</v>
      </c>
      <c r="BE1582" s="75">
        <f t="shared" si="621"/>
        <v>0</v>
      </c>
    </row>
    <row r="1583" spans="1:57" s="1" customFormat="1" ht="18" customHeight="1" x14ac:dyDescent="0.4">
      <c r="A1583" s="37" t="str">
        <f t="shared" si="614"/>
        <v>26Д</v>
      </c>
      <c r="B1583" s="183"/>
      <c r="C1583" s="41"/>
      <c r="D1583" s="184"/>
      <c r="E1583" s="282">
        <f t="shared" si="622"/>
        <v>26</v>
      </c>
      <c r="F1583" s="335"/>
      <c r="G1583" s="336"/>
      <c r="H1583" s="336"/>
      <c r="I1583" s="336"/>
      <c r="J1583" s="336"/>
      <c r="K1583" s="336"/>
      <c r="L1583" s="336"/>
      <c r="M1583" s="336"/>
      <c r="N1583" s="336"/>
      <c r="O1583" s="336"/>
      <c r="P1583" s="336"/>
      <c r="Q1583" s="336"/>
      <c r="R1583" s="336"/>
      <c r="S1583" s="336"/>
      <c r="T1583" s="336"/>
      <c r="U1583" s="336"/>
      <c r="V1583" s="336"/>
      <c r="W1583" s="336"/>
      <c r="X1583" s="98">
        <v>1</v>
      </c>
      <c r="Y1583" s="74">
        <v>1</v>
      </c>
      <c r="Z1583" s="75">
        <f t="shared" si="620"/>
        <v>0</v>
      </c>
      <c r="AA1583" s="107">
        <f t="shared" si="624"/>
        <v>0</v>
      </c>
      <c r="AB1583" s="41"/>
      <c r="AC1583" s="184"/>
      <c r="AD1583" s="212">
        <f t="shared" si="623"/>
        <v>26</v>
      </c>
      <c r="AE1583" s="387"/>
      <c r="AF1583" s="388"/>
      <c r="AG1583" s="388"/>
      <c r="AH1583" s="388"/>
      <c r="AI1583" s="388"/>
      <c r="AJ1583" s="388"/>
      <c r="AK1583" s="388"/>
      <c r="AL1583" s="388"/>
      <c r="AM1583" s="388"/>
      <c r="AN1583" s="388"/>
      <c r="AO1583" s="388"/>
      <c r="AP1583" s="388"/>
      <c r="AQ1583" s="388"/>
      <c r="AR1583" s="388"/>
      <c r="AS1583" s="388"/>
      <c r="AT1583" s="388"/>
      <c r="AU1583" s="388"/>
      <c r="AV1583" s="388"/>
      <c r="AW1583" s="388"/>
      <c r="AX1583" s="388"/>
      <c r="AY1583" s="388"/>
      <c r="AZ1583" s="388"/>
      <c r="BA1583" s="388"/>
      <c r="BB1583" s="389"/>
      <c r="BC1583" s="98">
        <v>1</v>
      </c>
      <c r="BD1583" s="74">
        <v>1</v>
      </c>
      <c r="BE1583" s="75">
        <f t="shared" si="621"/>
        <v>0</v>
      </c>
    </row>
    <row r="1584" spans="1:57" s="1" customFormat="1" ht="18" customHeight="1" x14ac:dyDescent="0.4">
      <c r="A1584" s="37" t="str">
        <f t="shared" si="614"/>
        <v>26Д</v>
      </c>
      <c r="B1584" s="183"/>
      <c r="C1584" s="41"/>
      <c r="D1584" s="184"/>
      <c r="E1584" s="282">
        <f t="shared" si="622"/>
        <v>26</v>
      </c>
      <c r="F1584" s="335"/>
      <c r="G1584" s="336"/>
      <c r="H1584" s="336"/>
      <c r="I1584" s="336"/>
      <c r="J1584" s="336"/>
      <c r="K1584" s="336"/>
      <c r="L1584" s="336"/>
      <c r="M1584" s="336"/>
      <c r="N1584" s="336"/>
      <c r="O1584" s="336"/>
      <c r="P1584" s="336"/>
      <c r="Q1584" s="336"/>
      <c r="R1584" s="336"/>
      <c r="S1584" s="336"/>
      <c r="T1584" s="336"/>
      <c r="U1584" s="336"/>
      <c r="V1584" s="336"/>
      <c r="W1584" s="336"/>
      <c r="X1584" s="98">
        <v>1</v>
      </c>
      <c r="Y1584" s="74">
        <v>1</v>
      </c>
      <c r="Z1584" s="75">
        <f t="shared" si="620"/>
        <v>0</v>
      </c>
      <c r="AA1584" s="107">
        <f t="shared" si="624"/>
        <v>0</v>
      </c>
      <c r="AB1584" s="41"/>
      <c r="AC1584" s="184"/>
      <c r="AD1584" s="212">
        <f t="shared" si="623"/>
        <v>26</v>
      </c>
      <c r="AE1584" s="387"/>
      <c r="AF1584" s="388"/>
      <c r="AG1584" s="388"/>
      <c r="AH1584" s="388"/>
      <c r="AI1584" s="388"/>
      <c r="AJ1584" s="388"/>
      <c r="AK1584" s="388"/>
      <c r="AL1584" s="388"/>
      <c r="AM1584" s="388"/>
      <c r="AN1584" s="388"/>
      <c r="AO1584" s="388"/>
      <c r="AP1584" s="388"/>
      <c r="AQ1584" s="388"/>
      <c r="AR1584" s="388"/>
      <c r="AS1584" s="388"/>
      <c r="AT1584" s="388"/>
      <c r="AU1584" s="388"/>
      <c r="AV1584" s="388"/>
      <c r="AW1584" s="388"/>
      <c r="AX1584" s="388"/>
      <c r="AY1584" s="388"/>
      <c r="AZ1584" s="388"/>
      <c r="BA1584" s="388"/>
      <c r="BB1584" s="389"/>
      <c r="BC1584" s="98">
        <v>1</v>
      </c>
      <c r="BD1584" s="74">
        <v>1</v>
      </c>
      <c r="BE1584" s="75">
        <f t="shared" si="621"/>
        <v>0</v>
      </c>
    </row>
    <row r="1585" spans="1:57" s="1" customFormat="1" ht="18" customHeight="1" x14ac:dyDescent="0.4">
      <c r="A1585" s="37" t="str">
        <f t="shared" si="614"/>
        <v>26Д</v>
      </c>
      <c r="B1585" s="183"/>
      <c r="C1585" s="41"/>
      <c r="D1585" s="184"/>
      <c r="E1585" s="282">
        <f t="shared" si="622"/>
        <v>26</v>
      </c>
      <c r="F1585" s="335"/>
      <c r="G1585" s="336"/>
      <c r="H1585" s="336"/>
      <c r="I1585" s="336"/>
      <c r="J1585" s="336"/>
      <c r="K1585" s="336"/>
      <c r="L1585" s="336"/>
      <c r="M1585" s="336"/>
      <c r="N1585" s="336"/>
      <c r="O1585" s="336"/>
      <c r="P1585" s="336"/>
      <c r="Q1585" s="336"/>
      <c r="R1585" s="336"/>
      <c r="S1585" s="336"/>
      <c r="T1585" s="336"/>
      <c r="U1585" s="336"/>
      <c r="V1585" s="336"/>
      <c r="W1585" s="336"/>
      <c r="X1585" s="98">
        <v>1</v>
      </c>
      <c r="Y1585" s="74">
        <v>1</v>
      </c>
      <c r="Z1585" s="75">
        <f t="shared" si="620"/>
        <v>0</v>
      </c>
      <c r="AA1585" s="107">
        <f t="shared" si="624"/>
        <v>0</v>
      </c>
      <c r="AB1585" s="41"/>
      <c r="AC1585" s="184"/>
      <c r="AD1585" s="212">
        <f t="shared" si="623"/>
        <v>26</v>
      </c>
      <c r="AE1585" s="387"/>
      <c r="AF1585" s="388"/>
      <c r="AG1585" s="388"/>
      <c r="AH1585" s="388"/>
      <c r="AI1585" s="388"/>
      <c r="AJ1585" s="388"/>
      <c r="AK1585" s="388"/>
      <c r="AL1585" s="388"/>
      <c r="AM1585" s="388"/>
      <c r="AN1585" s="388"/>
      <c r="AO1585" s="388"/>
      <c r="AP1585" s="388"/>
      <c r="AQ1585" s="388"/>
      <c r="AR1585" s="388"/>
      <c r="AS1585" s="388"/>
      <c r="AT1585" s="388"/>
      <c r="AU1585" s="388"/>
      <c r="AV1585" s="388"/>
      <c r="AW1585" s="388"/>
      <c r="AX1585" s="388"/>
      <c r="AY1585" s="388"/>
      <c r="AZ1585" s="388"/>
      <c r="BA1585" s="388"/>
      <c r="BB1585" s="389"/>
      <c r="BC1585" s="98">
        <v>1</v>
      </c>
      <c r="BD1585" s="74">
        <v>1</v>
      </c>
      <c r="BE1585" s="75">
        <f t="shared" si="621"/>
        <v>0</v>
      </c>
    </row>
    <row r="1586" spans="1:57" s="1" customFormat="1" ht="18" customHeight="1" x14ac:dyDescent="0.4">
      <c r="A1586" s="37" t="str">
        <f t="shared" si="614"/>
        <v>26Д</v>
      </c>
      <c r="B1586" s="183"/>
      <c r="C1586" s="41"/>
      <c r="D1586" s="184"/>
      <c r="E1586" s="282">
        <f t="shared" si="622"/>
        <v>26</v>
      </c>
      <c r="F1586" s="335"/>
      <c r="G1586" s="336"/>
      <c r="H1586" s="336"/>
      <c r="I1586" s="336"/>
      <c r="J1586" s="336"/>
      <c r="K1586" s="336"/>
      <c r="L1586" s="336"/>
      <c r="M1586" s="336"/>
      <c r="N1586" s="336"/>
      <c r="O1586" s="336"/>
      <c r="P1586" s="336"/>
      <c r="Q1586" s="336"/>
      <c r="R1586" s="336"/>
      <c r="S1586" s="336"/>
      <c r="T1586" s="336"/>
      <c r="U1586" s="336"/>
      <c r="V1586" s="336"/>
      <c r="W1586" s="336"/>
      <c r="X1586" s="98">
        <v>1</v>
      </c>
      <c r="Y1586" s="74">
        <v>1</v>
      </c>
      <c r="Z1586" s="75">
        <f t="shared" si="620"/>
        <v>0</v>
      </c>
      <c r="AA1586" s="107">
        <f t="shared" si="624"/>
        <v>0</v>
      </c>
      <c r="AB1586" s="41"/>
      <c r="AC1586" s="184"/>
      <c r="AD1586" s="212">
        <f t="shared" si="623"/>
        <v>26</v>
      </c>
      <c r="AE1586" s="387"/>
      <c r="AF1586" s="388"/>
      <c r="AG1586" s="388"/>
      <c r="AH1586" s="388"/>
      <c r="AI1586" s="388"/>
      <c r="AJ1586" s="388"/>
      <c r="AK1586" s="388"/>
      <c r="AL1586" s="388"/>
      <c r="AM1586" s="388"/>
      <c r="AN1586" s="388"/>
      <c r="AO1586" s="388"/>
      <c r="AP1586" s="388"/>
      <c r="AQ1586" s="388"/>
      <c r="AR1586" s="388"/>
      <c r="AS1586" s="388"/>
      <c r="AT1586" s="388"/>
      <c r="AU1586" s="388"/>
      <c r="AV1586" s="388"/>
      <c r="AW1586" s="388"/>
      <c r="AX1586" s="388"/>
      <c r="AY1586" s="388"/>
      <c r="AZ1586" s="388"/>
      <c r="BA1586" s="388"/>
      <c r="BB1586" s="389"/>
      <c r="BC1586" s="98">
        <v>1</v>
      </c>
      <c r="BD1586" s="74">
        <v>1</v>
      </c>
      <c r="BE1586" s="75">
        <f t="shared" si="621"/>
        <v>0</v>
      </c>
    </row>
    <row r="1587" spans="1:57" s="1" customFormat="1" ht="18" customHeight="1" x14ac:dyDescent="0.4">
      <c r="A1587" s="37" t="str">
        <f t="shared" si="614"/>
        <v>26Д</v>
      </c>
      <c r="B1587" s="183"/>
      <c r="C1587" s="41"/>
      <c r="D1587" s="184"/>
      <c r="E1587" s="282">
        <f t="shared" si="622"/>
        <v>26</v>
      </c>
      <c r="F1587" s="335"/>
      <c r="G1587" s="336"/>
      <c r="H1587" s="336"/>
      <c r="I1587" s="336"/>
      <c r="J1587" s="336"/>
      <c r="K1587" s="336"/>
      <c r="L1587" s="336"/>
      <c r="M1587" s="336"/>
      <c r="N1587" s="336"/>
      <c r="O1587" s="336"/>
      <c r="P1587" s="336"/>
      <c r="Q1587" s="336"/>
      <c r="R1587" s="336"/>
      <c r="S1587" s="336"/>
      <c r="T1587" s="336"/>
      <c r="U1587" s="336"/>
      <c r="V1587" s="336"/>
      <c r="W1587" s="336"/>
      <c r="X1587" s="98">
        <v>1</v>
      </c>
      <c r="Y1587" s="74">
        <v>1</v>
      </c>
      <c r="Z1587" s="75">
        <f t="shared" si="620"/>
        <v>0</v>
      </c>
      <c r="AA1587" s="107">
        <f t="shared" si="624"/>
        <v>0</v>
      </c>
      <c r="AB1587" s="41"/>
      <c r="AC1587" s="184"/>
      <c r="AD1587" s="212">
        <f t="shared" si="623"/>
        <v>26</v>
      </c>
      <c r="AE1587" s="387"/>
      <c r="AF1587" s="388"/>
      <c r="AG1587" s="388"/>
      <c r="AH1587" s="388"/>
      <c r="AI1587" s="388"/>
      <c r="AJ1587" s="388"/>
      <c r="AK1587" s="388"/>
      <c r="AL1587" s="388"/>
      <c r="AM1587" s="388"/>
      <c r="AN1587" s="388"/>
      <c r="AO1587" s="388"/>
      <c r="AP1587" s="388"/>
      <c r="AQ1587" s="388"/>
      <c r="AR1587" s="388"/>
      <c r="AS1587" s="388"/>
      <c r="AT1587" s="388"/>
      <c r="AU1587" s="388"/>
      <c r="AV1587" s="388"/>
      <c r="AW1587" s="388"/>
      <c r="AX1587" s="388"/>
      <c r="AY1587" s="388"/>
      <c r="AZ1587" s="388"/>
      <c r="BA1587" s="388"/>
      <c r="BB1587" s="389"/>
      <c r="BC1587" s="98">
        <v>1</v>
      </c>
      <c r="BD1587" s="74">
        <v>1</v>
      </c>
      <c r="BE1587" s="75">
        <f t="shared" si="621"/>
        <v>0</v>
      </c>
    </row>
    <row r="1588" spans="1:57" s="1" customFormat="1" ht="18" customHeight="1" x14ac:dyDescent="0.4">
      <c r="A1588" s="37" t="str">
        <f t="shared" si="614"/>
        <v>26Д</v>
      </c>
      <c r="B1588" s="183"/>
      <c r="C1588" s="41"/>
      <c r="D1588" s="184"/>
      <c r="E1588" s="282">
        <f t="shared" si="622"/>
        <v>26</v>
      </c>
      <c r="F1588" s="335"/>
      <c r="G1588" s="336"/>
      <c r="H1588" s="336"/>
      <c r="I1588" s="336"/>
      <c r="J1588" s="336"/>
      <c r="K1588" s="336"/>
      <c r="L1588" s="336"/>
      <c r="M1588" s="336"/>
      <c r="N1588" s="336"/>
      <c r="O1588" s="336"/>
      <c r="P1588" s="336"/>
      <c r="Q1588" s="336"/>
      <c r="R1588" s="336"/>
      <c r="S1588" s="336"/>
      <c r="T1588" s="336"/>
      <c r="U1588" s="336"/>
      <c r="V1588" s="336"/>
      <c r="W1588" s="336"/>
      <c r="X1588" s="98">
        <v>1</v>
      </c>
      <c r="Y1588" s="74">
        <v>1</v>
      </c>
      <c r="Z1588" s="75">
        <f t="shared" si="620"/>
        <v>0</v>
      </c>
      <c r="AA1588" s="107">
        <f t="shared" si="624"/>
        <v>0</v>
      </c>
      <c r="AB1588" s="41"/>
      <c r="AC1588" s="184"/>
      <c r="AD1588" s="212">
        <f t="shared" si="623"/>
        <v>26</v>
      </c>
      <c r="AE1588" s="387"/>
      <c r="AF1588" s="388"/>
      <c r="AG1588" s="388"/>
      <c r="AH1588" s="388"/>
      <c r="AI1588" s="388"/>
      <c r="AJ1588" s="388"/>
      <c r="AK1588" s="388"/>
      <c r="AL1588" s="388"/>
      <c r="AM1588" s="388"/>
      <c r="AN1588" s="388"/>
      <c r="AO1588" s="388"/>
      <c r="AP1588" s="388"/>
      <c r="AQ1588" s="388"/>
      <c r="AR1588" s="388"/>
      <c r="AS1588" s="388"/>
      <c r="AT1588" s="388"/>
      <c r="AU1588" s="388"/>
      <c r="AV1588" s="388"/>
      <c r="AW1588" s="388"/>
      <c r="AX1588" s="388"/>
      <c r="AY1588" s="388"/>
      <c r="AZ1588" s="388"/>
      <c r="BA1588" s="388"/>
      <c r="BB1588" s="389"/>
      <c r="BC1588" s="98">
        <v>1</v>
      </c>
      <c r="BD1588" s="74">
        <v>1</v>
      </c>
      <c r="BE1588" s="75">
        <f t="shared" si="621"/>
        <v>0</v>
      </c>
    </row>
    <row r="1589" spans="1:57" s="1" customFormat="1" ht="18" customHeight="1" thickBot="1" x14ac:dyDescent="0.45">
      <c r="A1589" s="37" t="str">
        <f t="shared" si="614"/>
        <v>26Д</v>
      </c>
      <c r="B1589" s="183"/>
      <c r="C1589" s="41"/>
      <c r="D1589" s="184"/>
      <c r="E1589" s="283">
        <f t="shared" si="622"/>
        <v>26</v>
      </c>
      <c r="F1589" s="339"/>
      <c r="G1589" s="340"/>
      <c r="H1589" s="340"/>
      <c r="I1589" s="340"/>
      <c r="J1589" s="340"/>
      <c r="K1589" s="340"/>
      <c r="L1589" s="340"/>
      <c r="M1589" s="340"/>
      <c r="N1589" s="340"/>
      <c r="O1589" s="340"/>
      <c r="P1589" s="340"/>
      <c r="Q1589" s="340"/>
      <c r="R1589" s="340"/>
      <c r="S1589" s="340"/>
      <c r="T1589" s="340"/>
      <c r="U1589" s="340"/>
      <c r="V1589" s="340"/>
      <c r="W1589" s="340"/>
      <c r="X1589" s="99">
        <v>1</v>
      </c>
      <c r="Y1589" s="76">
        <v>1</v>
      </c>
      <c r="Z1589" s="77">
        <f t="shared" si="620"/>
        <v>0</v>
      </c>
      <c r="AA1589" s="107">
        <f t="shared" si="624"/>
        <v>0</v>
      </c>
      <c r="AB1589" s="41"/>
      <c r="AC1589" s="184"/>
      <c r="AD1589" s="211">
        <f t="shared" si="623"/>
        <v>26</v>
      </c>
      <c r="AE1589" s="410"/>
      <c r="AF1589" s="411"/>
      <c r="AG1589" s="411"/>
      <c r="AH1589" s="411"/>
      <c r="AI1589" s="411"/>
      <c r="AJ1589" s="411"/>
      <c r="AK1589" s="411"/>
      <c r="AL1589" s="411"/>
      <c r="AM1589" s="411"/>
      <c r="AN1589" s="411"/>
      <c r="AO1589" s="411"/>
      <c r="AP1589" s="411"/>
      <c r="AQ1589" s="411"/>
      <c r="AR1589" s="411"/>
      <c r="AS1589" s="411"/>
      <c r="AT1589" s="411"/>
      <c r="AU1589" s="411"/>
      <c r="AV1589" s="411"/>
      <c r="AW1589" s="411"/>
      <c r="AX1589" s="411"/>
      <c r="AY1589" s="411"/>
      <c r="AZ1589" s="411"/>
      <c r="BA1589" s="411"/>
      <c r="BB1589" s="412"/>
      <c r="BC1589" s="99">
        <v>1</v>
      </c>
      <c r="BD1589" s="76">
        <v>1</v>
      </c>
      <c r="BE1589" s="75">
        <f t="shared" si="621"/>
        <v>0</v>
      </c>
    </row>
    <row r="1590" spans="1:57" s="1" customFormat="1" ht="23.25" customHeight="1" thickBot="1" x14ac:dyDescent="0.45">
      <c r="A1590" s="37" t="str">
        <f t="shared" si="614"/>
        <v>26Д</v>
      </c>
      <c r="B1590" s="193"/>
      <c r="C1590" s="47"/>
      <c r="D1590" s="47"/>
      <c r="E1590" s="47"/>
      <c r="F1590" s="78"/>
      <c r="G1590" s="78"/>
      <c r="H1590" s="78"/>
      <c r="I1590" s="80"/>
      <c r="J1590" s="80"/>
      <c r="K1590" s="80"/>
      <c r="L1590" s="80"/>
      <c r="M1590" s="80"/>
      <c r="N1590" s="80"/>
      <c r="O1590" s="78"/>
      <c r="P1590" s="81"/>
      <c r="Q1590" s="81"/>
      <c r="R1590" s="81"/>
      <c r="S1590" s="81"/>
      <c r="T1590" s="81"/>
      <c r="U1590" s="82"/>
      <c r="V1590" s="82"/>
      <c r="W1590" s="86"/>
      <c r="X1590" s="194"/>
      <c r="Y1590" s="83"/>
      <c r="Z1590" s="83"/>
      <c r="AA1590" s="78"/>
      <c r="AB1590" s="47"/>
      <c r="AC1590" s="47"/>
      <c r="AD1590" s="47"/>
      <c r="AE1590" s="47"/>
      <c r="AF1590" s="47"/>
      <c r="AG1590" s="47"/>
      <c r="AH1590" s="47"/>
      <c r="AI1590" s="47"/>
      <c r="AJ1590" s="47"/>
      <c r="AK1590" s="47"/>
      <c r="AL1590" s="47"/>
      <c r="AM1590" s="84"/>
      <c r="AN1590" s="47"/>
      <c r="AO1590" s="78"/>
      <c r="AP1590" s="78"/>
      <c r="AQ1590" s="78"/>
      <c r="AR1590" s="84"/>
      <c r="AS1590" s="78"/>
      <c r="AT1590" s="85"/>
      <c r="AU1590" s="78"/>
      <c r="AV1590" s="83"/>
      <c r="AW1590" s="83"/>
      <c r="AX1590" s="78"/>
      <c r="AY1590" s="78"/>
      <c r="AZ1590" s="78"/>
      <c r="BA1590" s="78"/>
      <c r="BB1590" s="78"/>
      <c r="BC1590" s="78"/>
      <c r="BD1590" s="79"/>
      <c r="BE1590" s="79"/>
    </row>
    <row r="1591" spans="1:57" s="1" customFormat="1" ht="21.6" customHeight="1" thickBot="1" x14ac:dyDescent="0.45">
      <c r="A1591" s="37" t="s">
        <v>197</v>
      </c>
      <c r="B1591" s="59"/>
      <c r="C1591" s="51"/>
      <c r="D1591" s="51"/>
      <c r="E1591" s="51"/>
      <c r="F1591" s="158" t="s">
        <v>220</v>
      </c>
      <c r="G1591" s="51"/>
      <c r="H1591" s="51"/>
      <c r="I1591" s="156"/>
      <c r="J1591" s="156"/>
      <c r="K1591" s="156"/>
      <c r="L1591" s="156"/>
      <c r="M1591" s="156"/>
      <c r="N1591" s="156"/>
      <c r="O1591" s="91"/>
      <c r="P1591" s="52"/>
      <c r="Q1591" s="52"/>
      <c r="R1591" s="52"/>
      <c r="S1591" s="52"/>
      <c r="T1591" s="52"/>
      <c r="U1591" s="157"/>
      <c r="V1591" s="157"/>
      <c r="W1591" s="94"/>
      <c r="X1591" s="94"/>
      <c r="Y1591" s="51"/>
      <c r="Z1591" s="51"/>
      <c r="AA1591" s="157">
        <f>AA1574</f>
        <v>1</v>
      </c>
      <c r="AB1591" s="157">
        <f t="shared" ref="AB1591:AF1591" si="625">AB1574</f>
        <v>2</v>
      </c>
      <c r="AC1591" s="157">
        <f t="shared" si="625"/>
        <v>3</v>
      </c>
      <c r="AD1591" s="157">
        <f t="shared" si="625"/>
        <v>4</v>
      </c>
      <c r="AE1591" s="157">
        <f t="shared" si="625"/>
        <v>5</v>
      </c>
      <c r="AF1591" s="157">
        <f t="shared" si="625"/>
        <v>6</v>
      </c>
      <c r="AG1591" s="162" t="s">
        <v>123</v>
      </c>
      <c r="AH1591" s="162" t="s">
        <v>124</v>
      </c>
      <c r="AI1591" s="162" t="s">
        <v>125</v>
      </c>
      <c r="AJ1591" s="91" t="s">
        <v>126</v>
      </c>
      <c r="AK1591" s="198" t="s">
        <v>136</v>
      </c>
      <c r="AL1591" s="198" t="s">
        <v>137</v>
      </c>
      <c r="AM1591" s="198" t="s">
        <v>138</v>
      </c>
      <c r="AN1591" s="91"/>
      <c r="AO1591" s="91"/>
      <c r="AP1591" s="91"/>
      <c r="AQ1591" s="91"/>
      <c r="AR1591" s="91"/>
      <c r="AS1591" s="91"/>
      <c r="AT1591" s="91"/>
      <c r="AU1591" s="91"/>
      <c r="AV1591" s="91"/>
      <c r="AW1591" s="91"/>
      <c r="AX1591" s="91"/>
      <c r="AY1591" s="91"/>
      <c r="AZ1591" s="91"/>
      <c r="BA1591" s="91"/>
      <c r="BB1591" s="91"/>
      <c r="BC1591" s="91"/>
      <c r="BD1591" s="91"/>
      <c r="BE1591" s="91"/>
    </row>
    <row r="1592" spans="1:57" s="1" customFormat="1" ht="21.6" customHeight="1" x14ac:dyDescent="0.4">
      <c r="A1592" s="37" t="str">
        <f>A1591</f>
        <v>26Н</v>
      </c>
      <c r="B1592" s="12">
        <f>B1573</f>
        <v>26</v>
      </c>
      <c r="C1592" s="97"/>
      <c r="D1592" s="97">
        <v>1</v>
      </c>
      <c r="E1592" s="29"/>
      <c r="F1592" s="151" t="str">
        <f>IFERROR(VLOOKUP($G1592,нормы!$A$14:$BC$57,2,0),"")</f>
        <v/>
      </c>
      <c r="G1592" s="93"/>
      <c r="H1592" s="54">
        <f>IF(C1592=1,"Кульков С.А.", IF(C1592=2,"Чудаков А.А.",IF(C1592=3,"Королев В.Н.",IF(C1592=4,"Николашин М.П.",IF(C1592=5," Кульков С.А.",IF(C1592=6,"А.А. Чудаков",IF(C1592=7,"В.Н. Королев",IF(C1592=8,"М.П. Николашин",0))))))))</f>
        <v>0</v>
      </c>
      <c r="I1592" s="88" t="s">
        <v>84</v>
      </c>
      <c r="J1592" s="332"/>
      <c r="K1592" s="30">
        <f>IFERROR(VLOOKUP($G1592,[1]нормы!$A$21:$BC$151,15,0),"")</f>
        <v>0</v>
      </c>
      <c r="L1592" s="31">
        <f>IFERROR(VLOOKUP($G1592,[1]нормы!$A$21:$BC$151,17,0),"")</f>
        <v>0</v>
      </c>
      <c r="M1592" s="310">
        <f>IFERROR(VLOOKUP($G1592,[1]нормы!$A$21:$BC$151,27,0),"")</f>
        <v>0</v>
      </c>
      <c r="N1592" s="311" t="str">
        <f>IFERROR(Y1592/Y1598*(1.1*J1592*I1597),"")</f>
        <v/>
      </c>
      <c r="O1592" s="300">
        <f>IFERROR(VLOOKUP($G1592,[1]нормы!$A$21:$BC$151,21,0),"")</f>
        <v>0</v>
      </c>
      <c r="P1592" s="35">
        <f>IFERROR(VLOOKUP($G1592,[1]нормы!$A$21:$BC$151,19,0),"")</f>
        <v>0</v>
      </c>
      <c r="Q1592" s="35">
        <f>IFERROR(VLOOKUP($G1592,[1]нормы!$A$21:$BC$151,23,0),"")</f>
        <v>0</v>
      </c>
      <c r="R1592" s="231">
        <f>IFERROR(VLOOKUP($G1592,[1]нормы!$A$21:$BC$151,29,0),"")</f>
        <v>0</v>
      </c>
      <c r="S1592" s="35">
        <f>IFERROR(VLOOKUP($G1592,[1]нормы!$A$21:$BC$151,31,0),"")</f>
        <v>0</v>
      </c>
      <c r="T1592" s="32">
        <f>IFERROR(VLOOKUP($G1592,[1]нормы!$A$21:$BC$151,25,0),"")</f>
        <v>0</v>
      </c>
      <c r="U1592" s="232" t="str">
        <f>IFERROR(W1592/(((100*Y1592/Y1598)*I1597)/100),"")</f>
        <v/>
      </c>
      <c r="V1592" s="234" t="str">
        <f>IFERROR(VLOOKUP($G1592,нормы!$A$14:$BC$57,38,0),"")</f>
        <v/>
      </c>
      <c r="W1592" s="136"/>
      <c r="X1592" s="236"/>
      <c r="Y1592" s="152" t="str">
        <f>IFERROR(VLOOKUP($G1592,нормы!$A$14:$BC$57,42,0)*W1592,"")</f>
        <v/>
      </c>
      <c r="Z1592" s="163">
        <f>IFERROR(VLOOKUP($G1592,нормы!$A$14:$BC$57,14,0)*W1592/1000,0)</f>
        <v>0</v>
      </c>
      <c r="AA1592" s="33"/>
      <c r="AB1592" s="36"/>
      <c r="AC1592" s="36"/>
      <c r="AD1592" s="36"/>
      <c r="AE1592" s="34"/>
      <c r="AF1592" s="159"/>
      <c r="AG1592" s="390"/>
      <c r="AH1592" s="393"/>
      <c r="AI1592" s="396"/>
      <c r="AJ1592" s="407">
        <f>AG1592+AH1592</f>
        <v>0</v>
      </c>
      <c r="AK1592" s="359"/>
      <c r="AL1592" s="359"/>
      <c r="AM1592" s="359"/>
      <c r="AN1592" s="287">
        <f>IFERROR(Y1592*AJ1592/Y1598,)</f>
        <v>0</v>
      </c>
      <c r="AO1592" s="197" t="str">
        <f>IFERROR(VLOOKUP($G1592,нормы!$A$14:$BC$57,53,0)*$W1592,"")</f>
        <v/>
      </c>
      <c r="AP1592" s="288">
        <f>IFERROR(Y1592*AI1592/Y1598,)</f>
        <v>0</v>
      </c>
      <c r="AQ1592" s="197" t="str">
        <f>IFERROR(VLOOKUP($G1592,нормы!$A$14:$BC$57,54,0)*$W1592,"")</f>
        <v/>
      </c>
      <c r="AR1592" s="288">
        <f>IFERROR(AS1592/SUM(AS1592:AS1597)*AL1592,0)</f>
        <v>0</v>
      </c>
      <c r="AS1592" s="197" t="str">
        <f>IFERROR(VLOOKUP($G1592,нормы!$A$14:$BC$57,55,0)*W1592,"")</f>
        <v/>
      </c>
      <c r="AT1592" s="288">
        <f>IFERROR(AU1592/SUM(AU1592:AU1597)*AM1592,0)</f>
        <v>0</v>
      </c>
      <c r="AU1592" s="197" t="str">
        <f>IFERROR(VLOOKUP($G1592,нормы!$A$14:$BI$57,56,0)*W1592,"")</f>
        <v/>
      </c>
      <c r="AV1592" s="288">
        <f>IFERROR(AW1592/SUM(AW1592:AW1597)*AK1592,0)</f>
        <v>0</v>
      </c>
      <c r="AW1592" s="202" t="str">
        <f>IFERROR(VLOOKUP($G1592,нормы!$A$14:$BI$57,57,0)*W1592,"")</f>
        <v/>
      </c>
      <c r="AX1592" s="33"/>
      <c r="AY1592" s="203" t="str">
        <f>IFERROR(VLOOKUP($G1592,нормы!$A$14:$BI$57,58,0)*W1592,"")</f>
        <v/>
      </c>
      <c r="AZ1592" s="204"/>
      <c r="BA1592" s="200" t="str">
        <f>IFERROR(VLOOKUP($G1592,нормы!$A$14:$BI$57,61,0)*$W1592,"")</f>
        <v/>
      </c>
      <c r="BB1592" s="33"/>
      <c r="BC1592" s="203" t="str">
        <f>IFERROR(VLOOKUP($G1592,нормы!$A$14:$BI$57,60,0)*W1592,"")</f>
        <v/>
      </c>
      <c r="BD1592" s="200" t="str">
        <f>IFERROR(VLOOKUP($G1592,нормы!$A$14:$BG$57,44,0),"")</f>
        <v/>
      </c>
      <c r="BE1592" s="199" t="str">
        <f>IFERROR(W1592/VLOOKUP($G1592,нормы!$A$14:$BI$57,45,0),"")</f>
        <v/>
      </c>
    </row>
    <row r="1593" spans="1:57" s="1" customFormat="1" ht="21.6" customHeight="1" x14ac:dyDescent="0.4">
      <c r="A1593" s="37" t="str">
        <f t="shared" ref="A1593:A1621" si="626">A1592</f>
        <v>26Н</v>
      </c>
      <c r="B1593" s="12">
        <f t="shared" ref="B1593:D1597" si="627">B1592</f>
        <v>26</v>
      </c>
      <c r="C1593" s="97">
        <f t="shared" si="627"/>
        <v>0</v>
      </c>
      <c r="D1593" s="97">
        <f t="shared" si="627"/>
        <v>1</v>
      </c>
      <c r="E1593" s="54"/>
      <c r="F1593" s="151" t="str">
        <f>IFERROR(VLOOKUP($G1593,нормы!$A$14:$BC$57,2,0),"")</f>
        <v/>
      </c>
      <c r="G1593" s="93"/>
      <c r="H1593" s="54">
        <f t="shared" ref="H1593:H1597" si="628">IF(C1593=1,"Кульков С.А.", IF(C1593=2,"Чудаков А.А.",IF(C1593=3,"Королев В.Н.",IF(C1593=4,"Николашин М.П.",IF(C1593=5," Кульков С.А.",IF(C1593=6,"А.А. Чудаков",IF(C1593=7,"В.Н. Королев",IF(C1593=8,"М.П. Николашин",0))))))))</f>
        <v>0</v>
      </c>
      <c r="I1593" s="55"/>
      <c r="J1593" s="333"/>
      <c r="K1593" s="30">
        <f>IFERROR(VLOOKUP($G1593,[1]нормы!$A$21:$BC$151,15,0),"")</f>
        <v>0</v>
      </c>
      <c r="L1593" s="31">
        <f>IFERROR(VLOOKUP($G1593,[1]нормы!$A$21:$BC$151,17,0),"")</f>
        <v>0</v>
      </c>
      <c r="M1593" s="306">
        <f>IFERROR(VLOOKUP($G1593,[1]нормы!$A$21:$BC$151,27,0),"")</f>
        <v>0</v>
      </c>
      <c r="N1593" s="307" t="str">
        <f>IFERROR(Y1593/Y1598*(1.1*J1592*I1597),"")</f>
        <v/>
      </c>
      <c r="O1593" s="300">
        <f>IFERROR(VLOOKUP($G1593,[1]нормы!$A$21:$BC$151,21,0),"")</f>
        <v>0</v>
      </c>
      <c r="P1593" s="35">
        <f>IFERROR(VLOOKUP($G1593,[1]нормы!$A$21:$BC$151,19,0),"")</f>
        <v>0</v>
      </c>
      <c r="Q1593" s="35">
        <f>IFERROR(VLOOKUP($G1593,[1]нормы!$A$21:$BC$151,23,0),"")</f>
        <v>0</v>
      </c>
      <c r="R1593" s="231">
        <f>IFERROR(VLOOKUP($G1593,[1]нормы!$A$21:$BC$151,29,0),"")</f>
        <v>0</v>
      </c>
      <c r="S1593" s="35">
        <f>IFERROR(VLOOKUP($G1593,[1]нормы!$A$21:$BC$151,31,0),"")</f>
        <v>0</v>
      </c>
      <c r="T1593" s="32">
        <f>IFERROR(VLOOKUP($G1593,[1]нормы!$A$21:$BC$151,25,0),"")</f>
        <v>0</v>
      </c>
      <c r="U1593" s="233" t="str">
        <f>IFERROR(W1593/(((100*Y1593/Y1598)*I1597)/100),"")</f>
        <v/>
      </c>
      <c r="V1593" s="234" t="str">
        <f>IFERROR(VLOOKUP($G1593,нормы!$A$14:$BC$57,38,0),"")</f>
        <v/>
      </c>
      <c r="W1593" s="136"/>
      <c r="X1593" s="237"/>
      <c r="Y1593" s="152" t="str">
        <f>IFERROR(VLOOKUP($G1593,нормы!$A$14:$BC$57,42,0)*W1593,"")</f>
        <v/>
      </c>
      <c r="Z1593" s="163">
        <f>IFERROR(VLOOKUP($G1593,нормы!$A$14:$BC$57,14,0)*W1593/1000,0)</f>
        <v>0</v>
      </c>
      <c r="AA1593" s="142"/>
      <c r="AB1593" s="35"/>
      <c r="AC1593" s="35"/>
      <c r="AD1593" s="35"/>
      <c r="AE1593" s="31"/>
      <c r="AF1593" s="160"/>
      <c r="AG1593" s="391"/>
      <c r="AH1593" s="394"/>
      <c r="AI1593" s="397"/>
      <c r="AJ1593" s="408"/>
      <c r="AK1593" s="360"/>
      <c r="AL1593" s="360"/>
      <c r="AM1593" s="360"/>
      <c r="AN1593" s="289">
        <f>IFERROR(Y1593*AJ1592/Y1598,)</f>
        <v>0</v>
      </c>
      <c r="AO1593" s="197" t="str">
        <f>IFERROR(VLOOKUP($G1593,нормы!$A$14:$BC$57,53,0)*$W1593,"")</f>
        <v/>
      </c>
      <c r="AP1593" s="290">
        <f>IFERROR(Y1593*AI1592/Y1598,)</f>
        <v>0</v>
      </c>
      <c r="AQ1593" s="197" t="str">
        <f>IFERROR(VLOOKUP($G1593,нормы!$A$14:$BC$57,54,0)*$W1593,"")</f>
        <v/>
      </c>
      <c r="AR1593" s="290">
        <f>IFERROR(AS1593/SUM(AS1592:AS1597)*AL1592,0)</f>
        <v>0</v>
      </c>
      <c r="AS1593" s="197" t="str">
        <f>IFERROR(VLOOKUP($G1593,нормы!$A$14:$BC$57,55,0)*W1593,"")</f>
        <v/>
      </c>
      <c r="AT1593" s="290">
        <f>IFERROR(AU1593/SUM(AU1592:AU1597)*AM1592,0)</f>
        <v>0</v>
      </c>
      <c r="AU1593" s="197" t="str">
        <f>IFERROR(VLOOKUP($G1593,нормы!$A$14:$BI$57,56,0)*W1593,"")</f>
        <v/>
      </c>
      <c r="AV1593" s="290">
        <f>IFERROR(AW1593/SUM(AW1592:AW1597)*AK1592,0)</f>
        <v>0</v>
      </c>
      <c r="AW1593" s="202" t="str">
        <f>IFERROR(VLOOKUP($G1593,нормы!$A$14:$BI$57,57,0)*W1593,"")</f>
        <v/>
      </c>
      <c r="AX1593" s="30"/>
      <c r="AY1593" s="203" t="str">
        <f>IFERROR(VLOOKUP($G1593,нормы!$A$14:$BI$57,58,0)*W1593,"")</f>
        <v/>
      </c>
      <c r="AZ1593" s="205"/>
      <c r="BA1593" s="200" t="str">
        <f>IFERROR(VLOOKUP($G1593,нормы!$A$14:$BI$57,61,0)*$W1593,"")</f>
        <v/>
      </c>
      <c r="BB1593" s="30"/>
      <c r="BC1593" s="203" t="str">
        <f>IFERROR(VLOOKUP($G1593,нормы!$A$14:$BI$57,60,0)*W1593,"")</f>
        <v/>
      </c>
      <c r="BD1593" s="200" t="str">
        <f>IFERROR(VLOOKUP($G1593,нормы!$A$14:$BG$57,44,0),"")</f>
        <v/>
      </c>
      <c r="BE1593" s="199" t="str">
        <f>IFERROR(W1593/VLOOKUP($G1593,нормы!$A$14:$BI$57,45,0),"")</f>
        <v/>
      </c>
    </row>
    <row r="1594" spans="1:57" s="1" customFormat="1" ht="20.25" customHeight="1" x14ac:dyDescent="0.4">
      <c r="A1594" s="37" t="str">
        <f t="shared" si="626"/>
        <v>26Н</v>
      </c>
      <c r="B1594" s="12">
        <f t="shared" si="627"/>
        <v>26</v>
      </c>
      <c r="C1594" s="97">
        <f t="shared" si="627"/>
        <v>0</v>
      </c>
      <c r="D1594" s="97">
        <f t="shared" si="627"/>
        <v>1</v>
      </c>
      <c r="E1594" s="54"/>
      <c r="F1594" s="151" t="str">
        <f>IFERROR(VLOOKUP($G1594,нормы!$A$14:$BC$57,2,0),"")</f>
        <v/>
      </c>
      <c r="G1594" s="38"/>
      <c r="H1594" s="54">
        <f t="shared" si="628"/>
        <v>0</v>
      </c>
      <c r="I1594" s="89" t="s">
        <v>85</v>
      </c>
      <c r="J1594" s="333"/>
      <c r="K1594" s="30">
        <f>IFERROR(VLOOKUP($G1594,[1]нормы!$A$21:$BC$151,15,0),"")</f>
        <v>0</v>
      </c>
      <c r="L1594" s="31">
        <f>IFERROR(VLOOKUP($G1594,[1]нормы!$A$21:$BC$151,17,0),"")</f>
        <v>0</v>
      </c>
      <c r="M1594" s="306">
        <f>IFERROR(VLOOKUP($G1594,[1]нормы!$A$21:$BC$151,27,0),"")</f>
        <v>0</v>
      </c>
      <c r="N1594" s="307" t="str">
        <f>IFERROR(Y1594/Y1598*(1.1*J1592*I1597),"")</f>
        <v/>
      </c>
      <c r="O1594" s="300">
        <f>IFERROR(VLOOKUP($G1594,[1]нормы!$A$21:$BC$151,21,0),"")</f>
        <v>0</v>
      </c>
      <c r="P1594" s="35">
        <f>IFERROR(VLOOKUP($G1594,[1]нормы!$A$21:$BC$151,19,0),"")</f>
        <v>0</v>
      </c>
      <c r="Q1594" s="35">
        <f>IFERROR(VLOOKUP($G1594,[1]нормы!$A$21:$BC$151,23,0),"")</f>
        <v>0</v>
      </c>
      <c r="R1594" s="231">
        <f>IFERROR(VLOOKUP($G1594,[1]нормы!$A$21:$BC$151,29,0),"")</f>
        <v>0</v>
      </c>
      <c r="S1594" s="35">
        <f>IFERROR(VLOOKUP($G1594,[1]нормы!$A$21:$BC$151,31,0),"")</f>
        <v>0</v>
      </c>
      <c r="T1594" s="32">
        <f>IFERROR(VLOOKUP($G1594,[1]нормы!$A$21:$BC$151,25,0),"")</f>
        <v>0</v>
      </c>
      <c r="U1594" s="233" t="str">
        <f>IFERROR(W1594/(((100*Y1594/Y1598)*I1597)/100),"")</f>
        <v/>
      </c>
      <c r="V1594" s="234" t="str">
        <f>IFERROR(VLOOKUP($G1594,нормы!$A$14:$BC$57,38,0),"")</f>
        <v/>
      </c>
      <c r="W1594" s="136"/>
      <c r="X1594" s="237"/>
      <c r="Y1594" s="152" t="str">
        <f>IFERROR(VLOOKUP($G1594,нормы!$A$14:$BC$57,42,0)*W1594,"")</f>
        <v/>
      </c>
      <c r="Z1594" s="163">
        <f>IFERROR(VLOOKUP($G1594,нормы!$A$14:$BC$57,14,0)*W1594/1000,0)</f>
        <v>0</v>
      </c>
      <c r="AA1594" s="30"/>
      <c r="AB1594" s="35"/>
      <c r="AC1594" s="35"/>
      <c r="AD1594" s="35"/>
      <c r="AE1594" s="31"/>
      <c r="AF1594" s="160"/>
      <c r="AG1594" s="391"/>
      <c r="AH1594" s="394"/>
      <c r="AI1594" s="397"/>
      <c r="AJ1594" s="408"/>
      <c r="AK1594" s="360"/>
      <c r="AL1594" s="360"/>
      <c r="AM1594" s="360"/>
      <c r="AN1594" s="289">
        <f>IFERROR(Y1594*AJ1592/Y1598,)</f>
        <v>0</v>
      </c>
      <c r="AO1594" s="197" t="str">
        <f>IFERROR(VLOOKUP($G1594,нормы!$A$14:$BC$57,53,0)*$W1594,"")</f>
        <v/>
      </c>
      <c r="AP1594" s="290">
        <f>IFERROR(Y1594*AI1592/Y1598,)</f>
        <v>0</v>
      </c>
      <c r="AQ1594" s="197" t="str">
        <f>IFERROR(VLOOKUP($G1594,нормы!$A$14:$BC$57,54,0)*$W1594,"")</f>
        <v/>
      </c>
      <c r="AR1594" s="290">
        <f>IFERROR(AS1594/SUM(AS1592:AS1597)*AL1592,0)</f>
        <v>0</v>
      </c>
      <c r="AS1594" s="197" t="str">
        <f>IFERROR(VLOOKUP($G1594,нормы!$A$14:$BC$57,55,0)*W1594,"")</f>
        <v/>
      </c>
      <c r="AT1594" s="290">
        <f>IFERROR(AU1594/SUM(AU1592:AU1597)*AM1592,0)</f>
        <v>0</v>
      </c>
      <c r="AU1594" s="197" t="str">
        <f>IFERROR(VLOOKUP($G1594,нормы!$A$14:$BI$57,56,0)*W1594,"")</f>
        <v/>
      </c>
      <c r="AV1594" s="290">
        <f>IFERROR(AW1594/SUM(AW1592:AW1597)*AK1592,0)</f>
        <v>0</v>
      </c>
      <c r="AW1594" s="202" t="str">
        <f>IFERROR(VLOOKUP($G1594,нормы!$A$14:$BI$57,57,0)*W1594,"")</f>
        <v/>
      </c>
      <c r="AX1594" s="30"/>
      <c r="AY1594" s="203" t="str">
        <f>IFERROR(VLOOKUP($G1594,нормы!$A$14:$BI$57,58,0)*W1594,"")</f>
        <v/>
      </c>
      <c r="AZ1594" s="205"/>
      <c r="BA1594" s="200" t="str">
        <f>IFERROR(VLOOKUP($G1594,нормы!$A$14:$BI$57,61,0)*$W1594,"")</f>
        <v/>
      </c>
      <c r="BB1594" s="30"/>
      <c r="BC1594" s="203" t="str">
        <f>IFERROR(VLOOKUP($G1594,нормы!$A$14:$BI$57,60,0)*W1594,"")</f>
        <v/>
      </c>
      <c r="BD1594" s="200" t="str">
        <f>IFERROR(VLOOKUP($G1594,нормы!$A$14:$BG$57,44,0),"")</f>
        <v/>
      </c>
      <c r="BE1594" s="199" t="str">
        <f>IFERROR(W1594/VLOOKUP($G1594,нормы!$A$14:$BI$57,45,0),"")</f>
        <v/>
      </c>
    </row>
    <row r="1595" spans="1:57" s="1" customFormat="1" ht="20.25" customHeight="1" x14ac:dyDescent="0.4">
      <c r="A1595" s="37" t="str">
        <f t="shared" si="626"/>
        <v>26Н</v>
      </c>
      <c r="B1595" s="12">
        <f t="shared" si="627"/>
        <v>26</v>
      </c>
      <c r="C1595" s="97">
        <f t="shared" si="627"/>
        <v>0</v>
      </c>
      <c r="D1595" s="97">
        <f t="shared" si="627"/>
        <v>1</v>
      </c>
      <c r="E1595" s="54"/>
      <c r="F1595" s="151" t="str">
        <f>IFERROR(VLOOKUP($G1595,нормы!$A$14:$BC$57,2,0),"")</f>
        <v/>
      </c>
      <c r="G1595" s="93"/>
      <c r="H1595" s="54">
        <f t="shared" si="628"/>
        <v>0</v>
      </c>
      <c r="I1595" s="55"/>
      <c r="J1595" s="333"/>
      <c r="K1595" s="30">
        <f>IFERROR(VLOOKUP($G1595,[1]нормы!$A$21:$BC$151,15,0),"")</f>
        <v>0</v>
      </c>
      <c r="L1595" s="31">
        <f>IFERROR(VLOOKUP($G1595,[1]нормы!$A$21:$BC$151,17,0),"")</f>
        <v>0</v>
      </c>
      <c r="M1595" s="306">
        <f>IFERROR(VLOOKUP($G1595,[1]нормы!$A$21:$BC$151,27,0),"")</f>
        <v>0</v>
      </c>
      <c r="N1595" s="307" t="str">
        <f>IFERROR(Y1595/Y1598*(1.1*J1592*I1600),"")</f>
        <v/>
      </c>
      <c r="O1595" s="300">
        <f>IFERROR(VLOOKUP($G1595,[1]нормы!$A$21:$BC$151,21,0),"")</f>
        <v>0</v>
      </c>
      <c r="P1595" s="35">
        <f>IFERROR(VLOOKUP($G1595,[1]нормы!$A$21:$BC$151,19,0),"")</f>
        <v>0</v>
      </c>
      <c r="Q1595" s="35">
        <f>IFERROR(VLOOKUP($G1595,[1]нормы!$A$21:$BC$151,23,0),"")</f>
        <v>0</v>
      </c>
      <c r="R1595" s="231">
        <f>IFERROR(VLOOKUP($G1595,[1]нормы!$A$21:$BC$151,29,0),"")</f>
        <v>0</v>
      </c>
      <c r="S1595" s="35">
        <f>IFERROR(VLOOKUP($G1595,[1]нормы!$A$21:$BC$151,31,0),"")</f>
        <v>0</v>
      </c>
      <c r="T1595" s="32">
        <f>IFERROR(VLOOKUP($G1595,[1]нормы!$A$21:$BC$151,25,0),"")</f>
        <v>0</v>
      </c>
      <c r="U1595" s="233" t="str">
        <f>IFERROR(W1595/(((100*Y1595/Y1598)*I1597)/100),"")</f>
        <v/>
      </c>
      <c r="V1595" s="234" t="str">
        <f>IFERROR(VLOOKUP($G1595,нормы!$A$14:$BC$57,38,0),"")</f>
        <v/>
      </c>
      <c r="W1595" s="136"/>
      <c r="X1595" s="237"/>
      <c r="Y1595" s="152" t="str">
        <f>IFERROR(VLOOKUP($G1595,нормы!$A$14:$BC$57,42,0)*W1595,"")</f>
        <v/>
      </c>
      <c r="Z1595" s="163">
        <f>IFERROR(VLOOKUP($G1595,нормы!$A$14:$BC$57,14,0)*W1595/1000,0)</f>
        <v>0</v>
      </c>
      <c r="AA1595" s="30"/>
      <c r="AB1595" s="35"/>
      <c r="AC1595" s="35"/>
      <c r="AD1595" s="35"/>
      <c r="AE1595" s="31"/>
      <c r="AF1595" s="160"/>
      <c r="AG1595" s="391"/>
      <c r="AH1595" s="394"/>
      <c r="AI1595" s="397"/>
      <c r="AJ1595" s="408"/>
      <c r="AK1595" s="360"/>
      <c r="AL1595" s="360"/>
      <c r="AM1595" s="360"/>
      <c r="AN1595" s="289">
        <f>IFERROR(Y1595*AJ1592/Y1598,)</f>
        <v>0</v>
      </c>
      <c r="AO1595" s="197" t="str">
        <f>IFERROR(VLOOKUP($G1595,нормы!$A$14:$BC$57,53,0)*$W1595,"")</f>
        <v/>
      </c>
      <c r="AP1595" s="290">
        <f>IFERROR(Y1595*AI1592/Y1598,)</f>
        <v>0</v>
      </c>
      <c r="AQ1595" s="197" t="str">
        <f>IFERROR(VLOOKUP($G1595,нормы!$A$14:$BC$57,54,0)*$W1595,"")</f>
        <v/>
      </c>
      <c r="AR1595" s="290">
        <f>IFERROR(AS1595/SUM(AS1592:AS1597)*AL1592,0)</f>
        <v>0</v>
      </c>
      <c r="AS1595" s="197" t="str">
        <f>IFERROR(VLOOKUP($G1595,нормы!$A$14:$BC$57,55,0)*W1595,"")</f>
        <v/>
      </c>
      <c r="AT1595" s="290">
        <f>IFERROR(AU1595/SUM(AU1592:AU1597)*AM1592,0)</f>
        <v>0</v>
      </c>
      <c r="AU1595" s="197" t="str">
        <f>IFERROR(VLOOKUP($G1595,нормы!$A$14:$BI$57,56,0)*W1595,"")</f>
        <v/>
      </c>
      <c r="AV1595" s="290">
        <f>IFERROR(AW1595/SUM(AW1592:AW1597)*AK1592,0)</f>
        <v>0</v>
      </c>
      <c r="AW1595" s="202" t="str">
        <f>IFERROR(VLOOKUP($G1595,нормы!$A$14:$BI$57,57,0)*W1595,"")</f>
        <v/>
      </c>
      <c r="AX1595" s="30"/>
      <c r="AY1595" s="203" t="str">
        <f>IFERROR(VLOOKUP($G1595,нормы!$A$14:$BI$57,58,0)*W1595,"")</f>
        <v/>
      </c>
      <c r="AZ1595" s="205"/>
      <c r="BA1595" s="200" t="str">
        <f>IFERROR(VLOOKUP($G1595,нормы!$A$14:$BI$57,61,0)*$W1595,"")</f>
        <v/>
      </c>
      <c r="BB1595" s="30"/>
      <c r="BC1595" s="203" t="str">
        <f>IFERROR(VLOOKUP($G1595,нормы!$A$14:$BI$57,60,0)*W1595,"")</f>
        <v/>
      </c>
      <c r="BD1595" s="200" t="str">
        <f>IFERROR(VLOOKUP($G1595,нормы!$A$14:$BG$57,44,0),"")</f>
        <v/>
      </c>
      <c r="BE1595" s="199" t="str">
        <f>IFERROR(W1595/VLOOKUP($G1595,нормы!$A$14:$BI$57,45,0),"")</f>
        <v/>
      </c>
    </row>
    <row r="1596" spans="1:57" s="1" customFormat="1" ht="20.25" customHeight="1" x14ac:dyDescent="0.4">
      <c r="A1596" s="37" t="str">
        <f t="shared" si="626"/>
        <v>26Н</v>
      </c>
      <c r="B1596" s="12">
        <f t="shared" si="627"/>
        <v>26</v>
      </c>
      <c r="C1596" s="97">
        <f t="shared" si="627"/>
        <v>0</v>
      </c>
      <c r="D1596" s="97">
        <f t="shared" si="627"/>
        <v>1</v>
      </c>
      <c r="E1596" s="54"/>
      <c r="F1596" s="151" t="str">
        <f>IFERROR(VLOOKUP($G1596,нормы!$A$14:$BC$57,2,0),"")</f>
        <v/>
      </c>
      <c r="G1596" s="38"/>
      <c r="H1596" s="54">
        <f t="shared" si="628"/>
        <v>0</v>
      </c>
      <c r="I1596" s="89" t="s">
        <v>73</v>
      </c>
      <c r="J1596" s="333"/>
      <c r="K1596" s="30">
        <f>IFERROR(VLOOKUP($G1596,[1]нормы!$A$21:$BC$151,15,0),"")</f>
        <v>0</v>
      </c>
      <c r="L1596" s="31">
        <f>IFERROR(VLOOKUP($G1596,[1]нормы!$A$21:$BC$151,17,0),"")</f>
        <v>0</v>
      </c>
      <c r="M1596" s="306">
        <f>IFERROR(VLOOKUP($G1596,[1]нормы!$A$21:$BC$151,27,0),"")</f>
        <v>0</v>
      </c>
      <c r="N1596" s="307" t="str">
        <f>IFERROR(Y1596/Y1598*(1.1*J1592*I1601),"")</f>
        <v/>
      </c>
      <c r="O1596" s="300">
        <f>IFERROR(VLOOKUP($G1596,[1]нормы!$A$21:$BC$151,21,0),"")</f>
        <v>0</v>
      </c>
      <c r="P1596" s="35">
        <f>IFERROR(VLOOKUP($G1596,[1]нормы!$A$21:$BC$151,19,0),"")</f>
        <v>0</v>
      </c>
      <c r="Q1596" s="35">
        <f>IFERROR(VLOOKUP($G1596,[1]нормы!$A$21:$BC$151,23,0),"")</f>
        <v>0</v>
      </c>
      <c r="R1596" s="231">
        <f>IFERROR(VLOOKUP($G1596,[1]нормы!$A$21:$BC$151,29,0),"")</f>
        <v>0</v>
      </c>
      <c r="S1596" s="35">
        <f>IFERROR(VLOOKUP($G1596,[1]нормы!$A$21:$BC$151,31,0),"")</f>
        <v>0</v>
      </c>
      <c r="T1596" s="32">
        <f>IFERROR(VLOOKUP($G1596,[1]нормы!$A$21:$BC$151,25,0),"")</f>
        <v>0</v>
      </c>
      <c r="U1596" s="233" t="str">
        <f>IFERROR(W1596/(((100*Y1596/Y1598)*I1597)/100),"")</f>
        <v/>
      </c>
      <c r="V1596" s="234" t="str">
        <f>IFERROR(VLOOKUP($G1596,нормы!$A$14:$BC$57,38,0),"")</f>
        <v/>
      </c>
      <c r="W1596" s="136"/>
      <c r="X1596" s="237"/>
      <c r="Y1596" s="152" t="str">
        <f>IFERROR(VLOOKUP($G1596,нормы!$A$14:$BC$57,42,0)*W1596,"")</f>
        <v/>
      </c>
      <c r="Z1596" s="163">
        <f>IFERROR(VLOOKUP($G1596,нормы!$A$14:$BC$57,14,0)*W1596/1000,0)</f>
        <v>0</v>
      </c>
      <c r="AA1596" s="30"/>
      <c r="AB1596" s="35"/>
      <c r="AC1596" s="35"/>
      <c r="AD1596" s="35"/>
      <c r="AE1596" s="31"/>
      <c r="AF1596" s="160"/>
      <c r="AG1596" s="391"/>
      <c r="AH1596" s="394"/>
      <c r="AI1596" s="397"/>
      <c r="AJ1596" s="408"/>
      <c r="AK1596" s="360"/>
      <c r="AL1596" s="360"/>
      <c r="AM1596" s="360"/>
      <c r="AN1596" s="289">
        <f>IFERROR(Y1596*AJ1592/Y1598,)</f>
        <v>0</v>
      </c>
      <c r="AO1596" s="197" t="str">
        <f>IFERROR(VLOOKUP($G1596,нормы!$A$14:$BC$57,53,0)*$W1596,"")</f>
        <v/>
      </c>
      <c r="AP1596" s="290">
        <f>IFERROR(Y1596*AI1592/Y1598,)</f>
        <v>0</v>
      </c>
      <c r="AQ1596" s="197" t="str">
        <f>IFERROR(VLOOKUP($G1596,нормы!$A$14:$BC$57,54,0)*$W1596,"")</f>
        <v/>
      </c>
      <c r="AR1596" s="290">
        <f>IFERROR(AS1596/SUM(AS1592:AS1597)*AL1592,0)</f>
        <v>0</v>
      </c>
      <c r="AS1596" s="197" t="str">
        <f>IFERROR(VLOOKUP($G1596,нормы!$A$14:$BC$57,55,0)*W1596,"")</f>
        <v/>
      </c>
      <c r="AT1596" s="290">
        <f>IFERROR(AU1596/SUM(AU1592:AU1597)*AM1592,0)</f>
        <v>0</v>
      </c>
      <c r="AU1596" s="197" t="str">
        <f>IFERROR(VLOOKUP($G1596,нормы!$A$14:$BI$57,56,0)*W1596,"")</f>
        <v/>
      </c>
      <c r="AV1596" s="290">
        <f>IFERROR(AW1596/SUM(AW1592:AW1597)*AK1592,0)</f>
        <v>0</v>
      </c>
      <c r="AW1596" s="202" t="str">
        <f>IFERROR(VLOOKUP($G1596,нормы!$A$14:$BI$57,57,0)*W1596,"")</f>
        <v/>
      </c>
      <c r="AX1596" s="30"/>
      <c r="AY1596" s="203" t="str">
        <f>IFERROR(VLOOKUP($G1596,нормы!$A$14:$BI$57,58,0)*W1596,"")</f>
        <v/>
      </c>
      <c r="AZ1596" s="205"/>
      <c r="BA1596" s="200" t="str">
        <f>IFERROR(VLOOKUP($G1596,нормы!$A$14:$BI$57,61,0)*$W1596,"")</f>
        <v/>
      </c>
      <c r="BB1596" s="30"/>
      <c r="BC1596" s="203" t="str">
        <f>IFERROR(VLOOKUP($G1596,нормы!$A$14:$BI$57,60,0)*W1596,"")</f>
        <v/>
      </c>
      <c r="BD1596" s="200" t="str">
        <f>IFERROR(VLOOKUP($G1596,нормы!$A$14:$BG$57,44,0),"")</f>
        <v/>
      </c>
      <c r="BE1596" s="199" t="str">
        <f>IFERROR(W1596/VLOOKUP($G1596,нормы!$A$14:$BI$57,45,0),"")</f>
        <v/>
      </c>
    </row>
    <row r="1597" spans="1:57" s="1" customFormat="1" ht="21" customHeight="1" thickBot="1" x14ac:dyDescent="0.45">
      <c r="A1597" s="37" t="str">
        <f t="shared" si="626"/>
        <v>26Н</v>
      </c>
      <c r="B1597" s="12">
        <f t="shared" si="627"/>
        <v>26</v>
      </c>
      <c r="C1597" s="97">
        <f t="shared" si="627"/>
        <v>0</v>
      </c>
      <c r="D1597" s="97">
        <f t="shared" si="627"/>
        <v>1</v>
      </c>
      <c r="E1597" s="54"/>
      <c r="F1597" s="151" t="str">
        <f>IFERROR(VLOOKUP($G1597,нормы!$A$14:$BC$57,2,0),"")</f>
        <v/>
      </c>
      <c r="G1597" s="93"/>
      <c r="H1597" s="63">
        <f t="shared" si="628"/>
        <v>0</v>
      </c>
      <c r="I1597" s="153">
        <f>I1593+I1595</f>
        <v>0</v>
      </c>
      <c r="J1597" s="334"/>
      <c r="K1597" s="30">
        <f>IFERROR(VLOOKUP($G1597,[1]нормы!$A$21:$BC$151,15,0),"")</f>
        <v>0</v>
      </c>
      <c r="L1597" s="31">
        <f>IFERROR(VLOOKUP($G1597,[1]нормы!$A$21:$BC$151,17,0),"")</f>
        <v>0</v>
      </c>
      <c r="M1597" s="308">
        <f>IFERROR(VLOOKUP($G1597,[1]нормы!$A$21:$BC$151,27,0),"")</f>
        <v>0</v>
      </c>
      <c r="N1597" s="309" t="str">
        <f>IFERROR(Y1597/Y1598*(1.1*J1592*I1602),"")</f>
        <v/>
      </c>
      <c r="O1597" s="300">
        <f>IFERROR(VLOOKUP($G1597,[1]нормы!$A$21:$BC$151,21,0),"")</f>
        <v>0</v>
      </c>
      <c r="P1597" s="35">
        <f>IFERROR(VLOOKUP($G1597,[1]нормы!$A$21:$BC$151,19,0),"")</f>
        <v>0</v>
      </c>
      <c r="Q1597" s="35">
        <f>IFERROR(VLOOKUP($G1597,[1]нормы!$A$21:$BC$151,23,0),"")</f>
        <v>0</v>
      </c>
      <c r="R1597" s="231">
        <f>IFERROR(VLOOKUP($G1597,[1]нормы!$A$21:$BC$151,29,0),"")</f>
        <v>0</v>
      </c>
      <c r="S1597" s="35">
        <f>IFERROR(VLOOKUP($G1597,[1]нормы!$A$21:$BC$151,31,0),"")</f>
        <v>0</v>
      </c>
      <c r="T1597" s="32">
        <f>IFERROR(VLOOKUP($G1597,[1]нормы!$A$21:$BC$151,25,0),"")</f>
        <v>0</v>
      </c>
      <c r="U1597" s="235" t="str">
        <f>IFERROR(W1597/(((100*Y1597/Y1598)*I1597)/100),"")</f>
        <v/>
      </c>
      <c r="V1597" s="234" t="str">
        <f>IFERROR(VLOOKUP($G1597,нормы!$A$14:$BC$57,38,0),"")</f>
        <v/>
      </c>
      <c r="W1597" s="154"/>
      <c r="X1597" s="238"/>
      <c r="Y1597" s="152" t="str">
        <f>IFERROR(VLOOKUP($G1597,нормы!$A$14:$BC$57,42,0)*W1597,"")</f>
        <v/>
      </c>
      <c r="Z1597" s="163">
        <f>IFERROR(VLOOKUP($G1597,нормы!$A$14:$BC$57,14,0)*W1597/1000,0)</f>
        <v>0</v>
      </c>
      <c r="AA1597" s="56"/>
      <c r="AB1597" s="58"/>
      <c r="AC1597" s="58"/>
      <c r="AD1597" s="58"/>
      <c r="AE1597" s="57"/>
      <c r="AF1597" s="161"/>
      <c r="AG1597" s="392"/>
      <c r="AH1597" s="395"/>
      <c r="AI1597" s="398"/>
      <c r="AJ1597" s="409"/>
      <c r="AK1597" s="361"/>
      <c r="AL1597" s="361"/>
      <c r="AM1597" s="361"/>
      <c r="AN1597" s="291">
        <f>IFERROR(Y1597*AJ1592/Y1598,)</f>
        <v>0</v>
      </c>
      <c r="AO1597" s="197" t="str">
        <f>IFERROR(VLOOKUP($G1597,нормы!$A$14:$BC$57,53,0)*$W1597,"")</f>
        <v/>
      </c>
      <c r="AP1597" s="292">
        <f>IFERROR(Y1597*AI1592/Y1598,)</f>
        <v>0</v>
      </c>
      <c r="AQ1597" s="197" t="str">
        <f>IFERROR(VLOOKUP($G1597,нормы!$A$14:$BC$57,54,0)*$W1597,"")</f>
        <v/>
      </c>
      <c r="AR1597" s="290">
        <f>IFERROR(AS1597/SUM(AS1592:AS1597)*AL1592,0)</f>
        <v>0</v>
      </c>
      <c r="AS1597" s="197" t="str">
        <f>IFERROR(VLOOKUP($G1597,нормы!$A$14:$BC$57,55,0)*W1597,"")</f>
        <v/>
      </c>
      <c r="AT1597" s="292">
        <f>IFERROR(AU1597/SUM(AU1592:AU1597)*AM1592,0)</f>
        <v>0</v>
      </c>
      <c r="AU1597" s="197" t="str">
        <f>IFERROR(VLOOKUP($G1597,нормы!$A$14:$BI$57,56,0)*W1597,"")</f>
        <v/>
      </c>
      <c r="AV1597" s="292">
        <f>IFERROR(AW1597/SUM(AW1592:AW1597)*AK1592,0)</f>
        <v>0</v>
      </c>
      <c r="AW1597" s="202" t="str">
        <f>IFERROR(VLOOKUP($G1597,нормы!$A$14:$BI$57,57,0)*W1597,"")</f>
        <v/>
      </c>
      <c r="AX1597" s="56"/>
      <c r="AY1597" s="203" t="str">
        <f>IFERROR(VLOOKUP($G1597,нормы!$A$14:$BI$57,58,0)*W1597,"")</f>
        <v/>
      </c>
      <c r="AZ1597" s="206"/>
      <c r="BA1597" s="200" t="str">
        <f>IFERROR(VLOOKUP($G1597,нормы!$A$14:$BI$57,61,0)*$W1597,"")</f>
        <v/>
      </c>
      <c r="BB1597" s="56"/>
      <c r="BC1597" s="203" t="str">
        <f>IFERROR(VLOOKUP($G1597,нормы!$A$14:$BI$57,60,0)*W1597,"")</f>
        <v/>
      </c>
      <c r="BD1597" s="200" t="str">
        <f>IFERROR(VLOOKUP($G1597,нормы!$A$14:$BG$57,44,0),"")</f>
        <v/>
      </c>
      <c r="BE1597" s="199" t="str">
        <f>IFERROR(W1597/VLOOKUP($G1597,нормы!$A$14:$BI$57,45,0),"")</f>
        <v/>
      </c>
    </row>
    <row r="1598" spans="1:57" s="1" customFormat="1" ht="29.4" customHeight="1" thickBot="1" x14ac:dyDescent="0.45">
      <c r="A1598" s="37" t="str">
        <f t="shared" si="626"/>
        <v>26Н</v>
      </c>
      <c r="B1598" s="59"/>
      <c r="C1598" s="51"/>
      <c r="D1598" s="51"/>
      <c r="E1598" s="51"/>
      <c r="F1598" s="295" t="s">
        <v>149</v>
      </c>
      <c r="G1598" s="51"/>
      <c r="H1598" s="51"/>
      <c r="I1598" s="60"/>
      <c r="J1598" s="60"/>
      <c r="K1598" s="319" t="s">
        <v>213</v>
      </c>
      <c r="L1598" s="316"/>
      <c r="M1598" s="303" t="s">
        <v>213</v>
      </c>
      <c r="N1598" s="317">
        <f>SUM(N1592:N1597)</f>
        <v>0</v>
      </c>
      <c r="O1598" s="304" t="s">
        <v>216</v>
      </c>
      <c r="P1598" s="318">
        <f>N1598*8.937/1000</f>
        <v>0</v>
      </c>
      <c r="Q1598" s="305" t="s">
        <v>215</v>
      </c>
      <c r="R1598" s="61"/>
      <c r="S1598" s="61"/>
      <c r="T1598" s="61"/>
      <c r="U1598" s="109"/>
      <c r="V1598" s="109"/>
      <c r="W1598" s="94"/>
      <c r="X1598" s="155"/>
      <c r="Y1598" s="96">
        <f>SUM(Y1592:Y1597)</f>
        <v>0</v>
      </c>
      <c r="Z1598" s="164">
        <f>SUM(Z1592:Z1597)</f>
        <v>0</v>
      </c>
      <c r="AA1598" s="62"/>
      <c r="AB1598" s="62"/>
      <c r="AC1598" s="62"/>
      <c r="AD1598" s="62"/>
      <c r="AE1598" s="62"/>
      <c r="AF1598" s="62"/>
      <c r="AG1598" s="162" t="s">
        <v>140</v>
      </c>
      <c r="AH1598" s="162" t="s">
        <v>141</v>
      </c>
      <c r="AI1598" s="162" t="s">
        <v>142</v>
      </c>
      <c r="AJ1598" s="91" t="s">
        <v>126</v>
      </c>
      <c r="AK1598" s="198" t="s">
        <v>136</v>
      </c>
      <c r="AL1598" s="198" t="s">
        <v>137</v>
      </c>
      <c r="AM1598" s="198" t="s">
        <v>138</v>
      </c>
      <c r="AN1598" s="91"/>
      <c r="AO1598" s="91"/>
      <c r="AP1598" s="91"/>
      <c r="AQ1598" s="91"/>
      <c r="AR1598" s="91"/>
      <c r="AS1598" s="91"/>
      <c r="AT1598" s="91"/>
      <c r="AU1598" s="91"/>
      <c r="AV1598" s="91"/>
      <c r="AW1598" s="91"/>
      <c r="AX1598" s="91"/>
      <c r="AY1598" s="91"/>
      <c r="AZ1598" s="91"/>
      <c r="BA1598" s="91"/>
      <c r="BB1598" s="91"/>
      <c r="BC1598" s="91"/>
      <c r="BD1598" s="91"/>
      <c r="BE1598" s="53" t="str">
        <f>IFERROR(W1598/VLOOKUP($G1598,нормы!$A$14:$BI$15,28,0),"")</f>
        <v/>
      </c>
    </row>
    <row r="1599" spans="1:57" s="1" customFormat="1" ht="21.6" customHeight="1" x14ac:dyDescent="0.4">
      <c r="A1599" s="37" t="str">
        <f t="shared" si="626"/>
        <v>26Н</v>
      </c>
      <c r="B1599" s="12">
        <f>B1597</f>
        <v>26</v>
      </c>
      <c r="C1599" s="97"/>
      <c r="D1599" s="97">
        <v>2</v>
      </c>
      <c r="E1599" s="29"/>
      <c r="F1599" s="151" t="str">
        <f>IFERROR(VLOOKUP($G1599,нормы!$A$14:$BC$57,2,0),"")</f>
        <v/>
      </c>
      <c r="G1599" s="93"/>
      <c r="H1599" s="54">
        <f>IF(C1599=1,"Кульков С.А.", IF(C1599=2,"Чудаков А.А.",IF(C1599=3,"Королев В.Н.",IF(C1599=4,"Николашин М.П.",IF(C1599=5," Кульков С.А.",IF(C1599=6,"А.А. Чудаков",IF(C1599=7,"В.Н. Королев",IF(C1599=8,"М.П. Николашин",0))))))))</f>
        <v>0</v>
      </c>
      <c r="I1599" s="88" t="s">
        <v>211</v>
      </c>
      <c r="J1599" s="332"/>
      <c r="K1599" s="30">
        <f>IFERROR(VLOOKUP($G1599,[1]нормы!$A$21:$BC$151,15,0),"")</f>
        <v>0</v>
      </c>
      <c r="L1599" s="31">
        <f>IFERROR(VLOOKUP($G1599,[1]нормы!$A$21:$BC$151,17,0),"")</f>
        <v>0</v>
      </c>
      <c r="M1599" s="310">
        <f>IFERROR(VLOOKUP($G1599,[1]нормы!$A$21:$BC$151,27,0),"")</f>
        <v>0</v>
      </c>
      <c r="N1599" s="311" t="str">
        <f>IFERROR(Y1599/Y1605*(1.1*J1599*I1604),"")</f>
        <v/>
      </c>
      <c r="O1599" s="300">
        <f>IFERROR(VLOOKUP($G1599,[1]нормы!$A$21:$BC$151,21,0),"")</f>
        <v>0</v>
      </c>
      <c r="P1599" s="35">
        <f>IFERROR(VLOOKUP($G1599,[1]нормы!$A$21:$BC$151,19,0),"")</f>
        <v>0</v>
      </c>
      <c r="Q1599" s="35">
        <f>IFERROR(VLOOKUP($G1599,[1]нормы!$A$21:$BC$151,23,0),"")</f>
        <v>0</v>
      </c>
      <c r="R1599" s="231">
        <f>IFERROR(VLOOKUP($G1599,[1]нормы!$A$21:$BC$151,29,0),"")</f>
        <v>0</v>
      </c>
      <c r="S1599" s="35">
        <f>IFERROR(VLOOKUP($G1599,[1]нормы!$A$21:$BC$151,31,0),"")</f>
        <v>0</v>
      </c>
      <c r="T1599" s="32">
        <f>IFERROR(VLOOKUP($G1599,[1]нормы!$A$21:$BC$151,25,0),"")</f>
        <v>0</v>
      </c>
      <c r="U1599" s="232" t="str">
        <f>IFERROR(W1599/(((100*Y1599/Y1605)*I1604)/100),"")</f>
        <v/>
      </c>
      <c r="V1599" s="234" t="str">
        <f>IFERROR(VLOOKUP($G1599,нормы!$A$14:$BC$57,38,0),"")</f>
        <v/>
      </c>
      <c r="W1599" s="136"/>
      <c r="X1599" s="236"/>
      <c r="Y1599" s="152" t="str">
        <f>IFERROR(VLOOKUP($G1599,нормы!$A$14:$BC$57,42,0)*W1599,"")</f>
        <v/>
      </c>
      <c r="Z1599" s="163">
        <f>IFERROR(VLOOKUP($G1599,нормы!$A$14:$BC$57,14,0)*W1599/1000,0)</f>
        <v>0</v>
      </c>
      <c r="AA1599" s="33"/>
      <c r="AB1599" s="36"/>
      <c r="AC1599" s="36"/>
      <c r="AD1599" s="36"/>
      <c r="AE1599" s="34"/>
      <c r="AF1599" s="159"/>
      <c r="AG1599" s="390"/>
      <c r="AH1599" s="393"/>
      <c r="AI1599" s="396"/>
      <c r="AJ1599" s="407">
        <f>AG1599+AH1599</f>
        <v>0</v>
      </c>
      <c r="AK1599" s="359"/>
      <c r="AL1599" s="359"/>
      <c r="AM1599" s="359"/>
      <c r="AN1599" s="287">
        <f>IFERROR(Y1599*AJ1599/Y1605,)</f>
        <v>0</v>
      </c>
      <c r="AO1599" s="197" t="str">
        <f>IFERROR(VLOOKUP($G1599,нормы!$A$14:$BC$57,53,0)*$W1599,"")</f>
        <v/>
      </c>
      <c r="AP1599" s="288">
        <f>IFERROR(Y1599*AI1599/Y1605,)</f>
        <v>0</v>
      </c>
      <c r="AQ1599" s="197" t="str">
        <f>IFERROR(VLOOKUP($G1599,нормы!$A$14:$BC$57,54,0)*$W1599,"")</f>
        <v/>
      </c>
      <c r="AR1599" s="288">
        <f>IFERROR(AS1599/SUM(AS1599:AS1604)*AL1599,0)</f>
        <v>0</v>
      </c>
      <c r="AS1599" s="197" t="str">
        <f>IFERROR(VLOOKUP($G1599,нормы!$A$14:$BC$57,55,0)*W1599,"")</f>
        <v/>
      </c>
      <c r="AT1599" s="288">
        <f>IFERROR(AU1599/SUM(AU1599:AU1604)*AM1599,0)</f>
        <v>0</v>
      </c>
      <c r="AU1599" s="197" t="str">
        <f>IFERROR(VLOOKUP($G1599,нормы!$A$14:$BI$57,56,0)*W1599,"")</f>
        <v/>
      </c>
      <c r="AV1599" s="288">
        <f>IFERROR(AW1599/SUM(AW1599:AW1604)*AK1599,0)</f>
        <v>0</v>
      </c>
      <c r="AW1599" s="202" t="str">
        <f>IFERROR(VLOOKUP($G1599,нормы!$A$14:$BI$57,57,0)*W1599,"")</f>
        <v/>
      </c>
      <c r="AX1599" s="33"/>
      <c r="AY1599" s="203" t="str">
        <f>IFERROR(VLOOKUP($G1599,нормы!$A$14:$BI$57,58,0)*W1599,"")</f>
        <v/>
      </c>
      <c r="AZ1599" s="204"/>
      <c r="BA1599" s="200" t="str">
        <f>IFERROR(VLOOKUP($G1599,нормы!$A$14:$BI$57,61,0)*$W1599,"")</f>
        <v/>
      </c>
      <c r="BB1599" s="33"/>
      <c r="BC1599" s="203" t="str">
        <f>IFERROR(VLOOKUP($G1599,нормы!$A$14:$BI$57,60,0)*W1599,"")</f>
        <v/>
      </c>
      <c r="BD1599" s="200" t="str">
        <f>IFERROR(VLOOKUP($G1599,нормы!$A$14:$BG$57,44,0),"")</f>
        <v/>
      </c>
      <c r="BE1599" s="199" t="str">
        <f>IFERROR(W1599/VLOOKUP($G1599,нормы!$A$14:$BI$57,45,0),"")</f>
        <v/>
      </c>
    </row>
    <row r="1600" spans="1:57" s="1" customFormat="1" ht="21.6" customHeight="1" x14ac:dyDescent="0.4">
      <c r="A1600" s="37" t="str">
        <f t="shared" si="626"/>
        <v>26Н</v>
      </c>
      <c r="B1600" s="12">
        <f t="shared" ref="B1600:D1604" si="629">B1599</f>
        <v>26</v>
      </c>
      <c r="C1600" s="97">
        <f t="shared" si="629"/>
        <v>0</v>
      </c>
      <c r="D1600" s="97">
        <f t="shared" si="629"/>
        <v>2</v>
      </c>
      <c r="E1600" s="54"/>
      <c r="F1600" s="151" t="str">
        <f>IFERROR(VLOOKUP($G1600,нормы!$A$14:$BC$57,2,0),"")</f>
        <v/>
      </c>
      <c r="G1600" s="93"/>
      <c r="H1600" s="54">
        <f t="shared" ref="H1600:H1604" si="630">IF(C1600=1,"Кульков С.А.", IF(C1600=2,"Чудаков А.А.",IF(C1600=3,"Королев В.Н.",IF(C1600=4,"Николашин М.П.",IF(C1600=5," Кульков С.А.",IF(C1600=6,"А.А. Чудаков",IF(C1600=7,"В.Н. Королев",IF(C1600=8,"М.П. Николашин",0))))))))</f>
        <v>0</v>
      </c>
      <c r="I1600" s="55"/>
      <c r="J1600" s="333"/>
      <c r="K1600" s="30">
        <f>IFERROR(VLOOKUP($G1600,[1]нормы!$A$21:$BC$151,15,0),"")</f>
        <v>0</v>
      </c>
      <c r="L1600" s="31">
        <f>IFERROR(VLOOKUP($G1600,[1]нормы!$A$21:$BC$151,17,0),"")</f>
        <v>0</v>
      </c>
      <c r="M1600" s="306">
        <f>IFERROR(VLOOKUP($G1600,[1]нормы!$A$21:$BC$151,27,0),"")</f>
        <v>0</v>
      </c>
      <c r="N1600" s="307" t="str">
        <f>IFERROR(Y1600/Y1605*(1.1*J1599*I1604),"")</f>
        <v/>
      </c>
      <c r="O1600" s="300">
        <f>IFERROR(VLOOKUP($G1600,[1]нормы!$A$21:$BC$151,21,0),"")</f>
        <v>0</v>
      </c>
      <c r="P1600" s="35">
        <f>IFERROR(VLOOKUP($G1600,[1]нормы!$A$21:$BC$151,19,0),"")</f>
        <v>0</v>
      </c>
      <c r="Q1600" s="35">
        <f>IFERROR(VLOOKUP($G1600,[1]нормы!$A$21:$BC$151,23,0),"")</f>
        <v>0</v>
      </c>
      <c r="R1600" s="231">
        <f>IFERROR(VLOOKUP($G1600,[1]нормы!$A$21:$BC$151,29,0),"")</f>
        <v>0</v>
      </c>
      <c r="S1600" s="35">
        <f>IFERROR(VLOOKUP($G1600,[1]нормы!$A$21:$BC$151,31,0),"")</f>
        <v>0</v>
      </c>
      <c r="T1600" s="32">
        <f>IFERROR(VLOOKUP($G1600,[1]нормы!$A$21:$BC$151,25,0),"")</f>
        <v>0</v>
      </c>
      <c r="U1600" s="233" t="str">
        <f>IFERROR(W1600/(((100*Y1600/Y1605)*I1604)/100),"")</f>
        <v/>
      </c>
      <c r="V1600" s="234" t="str">
        <f>IFERROR(VLOOKUP($G1600,нормы!$A$14:$BC$57,38,0),"")</f>
        <v/>
      </c>
      <c r="W1600" s="136"/>
      <c r="X1600" s="237"/>
      <c r="Y1600" s="152" t="str">
        <f>IFERROR(VLOOKUP($G1600,нормы!$A$14:$BC$57,42,0)*W1600,"")</f>
        <v/>
      </c>
      <c r="Z1600" s="163">
        <f>IFERROR(VLOOKUP($G1600,нормы!$A$14:$BC$57,14,0)*W1600/1000,0)</f>
        <v>0</v>
      </c>
      <c r="AA1600" s="142"/>
      <c r="AB1600" s="35"/>
      <c r="AC1600" s="35"/>
      <c r="AD1600" s="35"/>
      <c r="AE1600" s="31"/>
      <c r="AF1600" s="160"/>
      <c r="AG1600" s="391"/>
      <c r="AH1600" s="394"/>
      <c r="AI1600" s="397"/>
      <c r="AJ1600" s="408"/>
      <c r="AK1600" s="360"/>
      <c r="AL1600" s="360"/>
      <c r="AM1600" s="360"/>
      <c r="AN1600" s="289">
        <f>IFERROR(Y1600*AJ1599/Y1605,)</f>
        <v>0</v>
      </c>
      <c r="AO1600" s="197" t="str">
        <f>IFERROR(VLOOKUP($G1600,нормы!$A$14:$BC$57,53,0)*$W1600,"")</f>
        <v/>
      </c>
      <c r="AP1600" s="290">
        <f>IFERROR(Y1600*AI1599/Y1605,)</f>
        <v>0</v>
      </c>
      <c r="AQ1600" s="197" t="str">
        <f>IFERROR(VLOOKUP($G1600,нормы!$A$14:$BC$57,54,0)*$W1600,"")</f>
        <v/>
      </c>
      <c r="AR1600" s="290">
        <f>IFERROR(AS1600/SUM(AS1599:AS1604)*AL1599,0)</f>
        <v>0</v>
      </c>
      <c r="AS1600" s="197" t="str">
        <f>IFERROR(VLOOKUP($G1600,нормы!$A$14:$BC$57,55,0)*W1600,"")</f>
        <v/>
      </c>
      <c r="AT1600" s="290">
        <f>IFERROR(AU1600/SUM(AU1599:AU1604)*AM1599,0)</f>
        <v>0</v>
      </c>
      <c r="AU1600" s="197" t="str">
        <f>IFERROR(VLOOKUP($G1600,нормы!$A$14:$BI$57,56,0)*W1600,"")</f>
        <v/>
      </c>
      <c r="AV1600" s="290">
        <f>IFERROR(AW1600/SUM(AW1599:AW1604)*AK1599,0)</f>
        <v>0</v>
      </c>
      <c r="AW1600" s="202" t="str">
        <f>IFERROR(VLOOKUP($G1600,нормы!$A$14:$BI$57,57,0)*W1600,"")</f>
        <v/>
      </c>
      <c r="AX1600" s="30"/>
      <c r="AY1600" s="203" t="str">
        <f>IFERROR(VLOOKUP($G1600,нормы!$A$14:$BI$57,58,0)*W1600,"")</f>
        <v/>
      </c>
      <c r="AZ1600" s="205"/>
      <c r="BA1600" s="200" t="str">
        <f>IFERROR(VLOOKUP($G1600,нормы!$A$14:$BI$57,61,0)*$W1600,"")</f>
        <v/>
      </c>
      <c r="BB1600" s="30"/>
      <c r="BC1600" s="203" t="str">
        <f>IFERROR(VLOOKUP($G1600,нормы!$A$14:$BI$57,60,0)*W1600,"")</f>
        <v/>
      </c>
      <c r="BD1600" s="200" t="str">
        <f>IFERROR(VLOOKUP($G1600,нормы!$A$14:$BG$57,44,0),"")</f>
        <v/>
      </c>
      <c r="BE1600" s="199" t="str">
        <f>IFERROR(W1600/VLOOKUP($G1600,нормы!$A$14:$BI$57,45,0),"")</f>
        <v/>
      </c>
    </row>
    <row r="1601" spans="1:57" s="1" customFormat="1" ht="20.25" customHeight="1" x14ac:dyDescent="0.4">
      <c r="A1601" s="37" t="str">
        <f t="shared" si="626"/>
        <v>26Н</v>
      </c>
      <c r="B1601" s="12">
        <f t="shared" si="629"/>
        <v>26</v>
      </c>
      <c r="C1601" s="97">
        <f t="shared" si="629"/>
        <v>0</v>
      </c>
      <c r="D1601" s="97">
        <f t="shared" si="629"/>
        <v>2</v>
      </c>
      <c r="E1601" s="54"/>
      <c r="F1601" s="151" t="str">
        <f>IFERROR(VLOOKUP($G1601,нормы!$A$14:$BC$57,2,0),"")</f>
        <v/>
      </c>
      <c r="G1601" s="38"/>
      <c r="H1601" s="54">
        <f t="shared" si="630"/>
        <v>0</v>
      </c>
      <c r="I1601" s="89" t="s">
        <v>212</v>
      </c>
      <c r="J1601" s="333"/>
      <c r="K1601" s="30">
        <f>IFERROR(VLOOKUP($G1601,[1]нормы!$A$21:$BC$151,15,0),"")</f>
        <v>0</v>
      </c>
      <c r="L1601" s="31">
        <f>IFERROR(VLOOKUP($G1601,[1]нормы!$A$21:$BC$151,17,0),"")</f>
        <v>0</v>
      </c>
      <c r="M1601" s="306">
        <f>IFERROR(VLOOKUP($G1601,[1]нормы!$A$21:$BC$151,27,0),"")</f>
        <v>0</v>
      </c>
      <c r="N1601" s="307" t="str">
        <f>IFERROR(Y1601/Y1605*(1.1*J1599*I1604),"")</f>
        <v/>
      </c>
      <c r="O1601" s="300">
        <f>IFERROR(VLOOKUP($G1601,[1]нормы!$A$21:$BC$151,21,0),"")</f>
        <v>0</v>
      </c>
      <c r="P1601" s="35">
        <f>IFERROR(VLOOKUP($G1601,[1]нормы!$A$21:$BC$151,19,0),"")</f>
        <v>0</v>
      </c>
      <c r="Q1601" s="35">
        <f>IFERROR(VLOOKUP($G1601,[1]нормы!$A$21:$BC$151,23,0),"")</f>
        <v>0</v>
      </c>
      <c r="R1601" s="231">
        <f>IFERROR(VLOOKUP($G1601,[1]нормы!$A$21:$BC$151,29,0),"")</f>
        <v>0</v>
      </c>
      <c r="S1601" s="35">
        <f>IFERROR(VLOOKUP($G1601,[1]нормы!$A$21:$BC$151,31,0),"")</f>
        <v>0</v>
      </c>
      <c r="T1601" s="32">
        <f>IFERROR(VLOOKUP($G1601,[1]нормы!$A$21:$BC$151,25,0),"")</f>
        <v>0</v>
      </c>
      <c r="U1601" s="233" t="str">
        <f>IFERROR(W1601/(((100*Y1601/Y1605)*I1604)/100),"")</f>
        <v/>
      </c>
      <c r="V1601" s="234" t="str">
        <f>IFERROR(VLOOKUP($G1601,нормы!$A$14:$BC$57,38,0),"")</f>
        <v/>
      </c>
      <c r="W1601" s="136"/>
      <c r="X1601" s="237"/>
      <c r="Y1601" s="152" t="str">
        <f>IFERROR(VLOOKUP($G1601,нормы!$A$14:$BC$57,42,0)*W1601,"")</f>
        <v/>
      </c>
      <c r="Z1601" s="163">
        <f>IFERROR(VLOOKUP($G1601,нормы!$A$14:$BC$57,14,0)*W1601/1000,0)</f>
        <v>0</v>
      </c>
      <c r="AA1601" s="30"/>
      <c r="AB1601" s="35"/>
      <c r="AC1601" s="35"/>
      <c r="AD1601" s="35"/>
      <c r="AE1601" s="31"/>
      <c r="AF1601" s="160"/>
      <c r="AG1601" s="391"/>
      <c r="AH1601" s="394"/>
      <c r="AI1601" s="397"/>
      <c r="AJ1601" s="408"/>
      <c r="AK1601" s="360"/>
      <c r="AL1601" s="360"/>
      <c r="AM1601" s="360"/>
      <c r="AN1601" s="289">
        <f>IFERROR(Y1601*AJ1599/Y1605,)</f>
        <v>0</v>
      </c>
      <c r="AO1601" s="197" t="str">
        <f>IFERROR(VLOOKUP($G1601,нормы!$A$14:$BC$57,53,0)*$W1601,"")</f>
        <v/>
      </c>
      <c r="AP1601" s="290">
        <f>IFERROR(Y1601*AI1599/Y1605,)</f>
        <v>0</v>
      </c>
      <c r="AQ1601" s="197" t="str">
        <f>IFERROR(VLOOKUP($G1601,нормы!$A$14:$BC$57,54,0)*$W1601,"")</f>
        <v/>
      </c>
      <c r="AR1601" s="290">
        <f>IFERROR(AS1601/SUM(AS1599:AS1604)*AL1599,0)</f>
        <v>0</v>
      </c>
      <c r="AS1601" s="197" t="str">
        <f>IFERROR(VLOOKUP($G1601,нормы!$A$14:$BC$57,55,0)*W1601,"")</f>
        <v/>
      </c>
      <c r="AT1601" s="290">
        <f>IFERROR(AU1601/SUM(AU1599:AU1604)*AM1599,0)</f>
        <v>0</v>
      </c>
      <c r="AU1601" s="197" t="str">
        <f>IFERROR(VLOOKUP($G1601,нормы!$A$14:$BI$57,56,0)*W1601,"")</f>
        <v/>
      </c>
      <c r="AV1601" s="290">
        <f>IFERROR(AW1601/SUM(AW1599:AW1604)*AK1599,0)</f>
        <v>0</v>
      </c>
      <c r="AW1601" s="202" t="str">
        <f>IFERROR(VLOOKUP($G1601,нормы!$A$14:$BI$57,57,0)*W1601,"")</f>
        <v/>
      </c>
      <c r="AX1601" s="30"/>
      <c r="AY1601" s="203" t="str">
        <f>IFERROR(VLOOKUP($G1601,нормы!$A$14:$BI$57,58,0)*W1601,"")</f>
        <v/>
      </c>
      <c r="AZ1601" s="205"/>
      <c r="BA1601" s="200" t="str">
        <f>IFERROR(VLOOKUP($G1601,нормы!$A$14:$BI$57,61,0)*$W1601,"")</f>
        <v/>
      </c>
      <c r="BB1601" s="30"/>
      <c r="BC1601" s="203" t="str">
        <f>IFERROR(VLOOKUP($G1601,нормы!$A$14:$BI$57,60,0)*W1601,"")</f>
        <v/>
      </c>
      <c r="BD1601" s="200" t="str">
        <f>IFERROR(VLOOKUP($G1601,нормы!$A$14:$BG$57,44,0),"")</f>
        <v/>
      </c>
      <c r="BE1601" s="199" t="str">
        <f>IFERROR(W1601/VLOOKUP($G1601,нормы!$A$14:$BI$57,45,0),"")</f>
        <v/>
      </c>
    </row>
    <row r="1602" spans="1:57" s="1" customFormat="1" ht="20.25" customHeight="1" x14ac:dyDescent="0.4">
      <c r="A1602" s="37" t="str">
        <f t="shared" si="626"/>
        <v>26Н</v>
      </c>
      <c r="B1602" s="12">
        <f t="shared" si="629"/>
        <v>26</v>
      </c>
      <c r="C1602" s="97">
        <f t="shared" si="629"/>
        <v>0</v>
      </c>
      <c r="D1602" s="97">
        <f t="shared" si="629"/>
        <v>2</v>
      </c>
      <c r="E1602" s="54"/>
      <c r="F1602" s="151" t="str">
        <f>IFERROR(VLOOKUP($G1602,нормы!$A$14:$BC$57,2,0),"")</f>
        <v/>
      </c>
      <c r="G1602" s="93"/>
      <c r="H1602" s="54">
        <f t="shared" si="630"/>
        <v>0</v>
      </c>
      <c r="I1602" s="55"/>
      <c r="J1602" s="333"/>
      <c r="K1602" s="30">
        <f>IFERROR(VLOOKUP($G1602,[1]нормы!$A$21:$BC$151,15,0),"")</f>
        <v>0</v>
      </c>
      <c r="L1602" s="31">
        <f>IFERROR(VLOOKUP($G1602,[1]нормы!$A$21:$BC$151,17,0),"")</f>
        <v>0</v>
      </c>
      <c r="M1602" s="306">
        <f>IFERROR(VLOOKUP($G1602,[1]нормы!$A$21:$BC$151,27,0),"")</f>
        <v>0</v>
      </c>
      <c r="N1602" s="307" t="str">
        <f>IFERROR(Y1602/Y1605*(1.1*J1599*I1607),"")</f>
        <v/>
      </c>
      <c r="O1602" s="300">
        <f>IFERROR(VLOOKUP($G1602,[1]нормы!$A$21:$BC$151,21,0),"")</f>
        <v>0</v>
      </c>
      <c r="P1602" s="35">
        <f>IFERROR(VLOOKUP($G1602,[1]нормы!$A$21:$BC$151,19,0),"")</f>
        <v>0</v>
      </c>
      <c r="Q1602" s="35">
        <f>IFERROR(VLOOKUP($G1602,[1]нормы!$A$21:$BC$151,23,0),"")</f>
        <v>0</v>
      </c>
      <c r="R1602" s="231">
        <f>IFERROR(VLOOKUP($G1602,[1]нормы!$A$21:$BC$151,29,0),"")</f>
        <v>0</v>
      </c>
      <c r="S1602" s="35">
        <f>IFERROR(VLOOKUP($G1602,[1]нормы!$A$21:$BC$151,31,0),"")</f>
        <v>0</v>
      </c>
      <c r="T1602" s="32">
        <f>IFERROR(VLOOKUP($G1602,[1]нормы!$A$21:$BC$151,25,0),"")</f>
        <v>0</v>
      </c>
      <c r="U1602" s="233" t="str">
        <f>IFERROR(W1602/(((100*Y1602/Y1605)*I1604)/100),"")</f>
        <v/>
      </c>
      <c r="V1602" s="234" t="str">
        <f>IFERROR(VLOOKUP($G1602,нормы!$A$14:$BC$57,38,0),"")</f>
        <v/>
      </c>
      <c r="W1602" s="136"/>
      <c r="X1602" s="237"/>
      <c r="Y1602" s="152" t="str">
        <f>IFERROR(VLOOKUP($G1602,нормы!$A$14:$BC$57,42,0)*W1602,"")</f>
        <v/>
      </c>
      <c r="Z1602" s="163">
        <f>IFERROR(VLOOKUP($G1602,нормы!$A$14:$BC$57,14,0)*W1602/1000,0)</f>
        <v>0</v>
      </c>
      <c r="AA1602" s="30"/>
      <c r="AB1602" s="35"/>
      <c r="AC1602" s="35"/>
      <c r="AD1602" s="35"/>
      <c r="AE1602" s="31"/>
      <c r="AF1602" s="160"/>
      <c r="AG1602" s="391"/>
      <c r="AH1602" s="394"/>
      <c r="AI1602" s="397"/>
      <c r="AJ1602" s="408"/>
      <c r="AK1602" s="360"/>
      <c r="AL1602" s="360"/>
      <c r="AM1602" s="360"/>
      <c r="AN1602" s="289">
        <f>IFERROR(Y1602*AJ1599/Y1605,)</f>
        <v>0</v>
      </c>
      <c r="AO1602" s="197" t="str">
        <f>IFERROR(VLOOKUP($G1602,нормы!$A$14:$BC$57,53,0)*$W1602,"")</f>
        <v/>
      </c>
      <c r="AP1602" s="290">
        <f>IFERROR(Y1602*AI1599/Y1605,)</f>
        <v>0</v>
      </c>
      <c r="AQ1602" s="197" t="str">
        <f>IFERROR(VLOOKUP($G1602,нормы!$A$14:$BC$57,54,0)*$W1602,"")</f>
        <v/>
      </c>
      <c r="AR1602" s="290">
        <f>IFERROR(AS1602/SUM(AS1599:AS1604)*AL1599,0)</f>
        <v>0</v>
      </c>
      <c r="AS1602" s="197" t="str">
        <f>IFERROR(VLOOKUP($G1602,нормы!$A$14:$BC$57,55,0)*W1602,"")</f>
        <v/>
      </c>
      <c r="AT1602" s="290">
        <f>IFERROR(AU1602/SUM(AU1599:AU1604)*AM1599,0)</f>
        <v>0</v>
      </c>
      <c r="AU1602" s="197" t="str">
        <f>IFERROR(VLOOKUP($G1602,нормы!$A$14:$BI$57,56,0)*W1602,"")</f>
        <v/>
      </c>
      <c r="AV1602" s="290">
        <f>IFERROR(AW1602/SUM(AW1599:AW1604)*AK1599,0)</f>
        <v>0</v>
      </c>
      <c r="AW1602" s="202" t="str">
        <f>IFERROR(VLOOKUP($G1602,нормы!$A$14:$BI$57,57,0)*W1602,"")</f>
        <v/>
      </c>
      <c r="AX1602" s="30"/>
      <c r="AY1602" s="203" t="str">
        <f>IFERROR(VLOOKUP($G1602,нормы!$A$14:$BI$57,58,0)*W1602,"")</f>
        <v/>
      </c>
      <c r="AZ1602" s="205"/>
      <c r="BA1602" s="200" t="str">
        <f>IFERROR(VLOOKUP($G1602,нормы!$A$14:$BI$57,61,0)*$W1602,"")</f>
        <v/>
      </c>
      <c r="BB1602" s="30"/>
      <c r="BC1602" s="203" t="str">
        <f>IFERROR(VLOOKUP($G1602,нормы!$A$14:$BI$57,60,0)*W1602,"")</f>
        <v/>
      </c>
      <c r="BD1602" s="200" t="str">
        <f>IFERROR(VLOOKUP($G1602,нормы!$A$14:$BG$57,44,0),"")</f>
        <v/>
      </c>
      <c r="BE1602" s="199" t="str">
        <f>IFERROR(W1602/VLOOKUP($G1602,нормы!$A$14:$BI$57,45,0),"")</f>
        <v/>
      </c>
    </row>
    <row r="1603" spans="1:57" s="1" customFormat="1" ht="20.25" customHeight="1" x14ac:dyDescent="0.4">
      <c r="A1603" s="37" t="str">
        <f t="shared" si="626"/>
        <v>26Н</v>
      </c>
      <c r="B1603" s="12">
        <f t="shared" si="629"/>
        <v>26</v>
      </c>
      <c r="C1603" s="97">
        <f t="shared" si="629"/>
        <v>0</v>
      </c>
      <c r="D1603" s="97">
        <f t="shared" si="629"/>
        <v>2</v>
      </c>
      <c r="E1603" s="54"/>
      <c r="F1603" s="151" t="str">
        <f>IFERROR(VLOOKUP($G1603,нормы!$A$14:$BC$57,2,0),"")</f>
        <v/>
      </c>
      <c r="G1603" s="38"/>
      <c r="H1603" s="54">
        <f t="shared" si="630"/>
        <v>0</v>
      </c>
      <c r="I1603" s="89" t="s">
        <v>73</v>
      </c>
      <c r="J1603" s="333"/>
      <c r="K1603" s="30">
        <f>IFERROR(VLOOKUP($G1603,[1]нормы!$A$21:$BC$151,15,0),"")</f>
        <v>0</v>
      </c>
      <c r="L1603" s="31">
        <f>IFERROR(VLOOKUP($G1603,[1]нормы!$A$21:$BC$151,17,0),"")</f>
        <v>0</v>
      </c>
      <c r="M1603" s="306">
        <f>IFERROR(VLOOKUP($G1603,[1]нормы!$A$21:$BC$151,27,0),"")</f>
        <v>0</v>
      </c>
      <c r="N1603" s="307" t="str">
        <f>IFERROR(Y1603/Y1605*(1.1*J1599*I1608),"")</f>
        <v/>
      </c>
      <c r="O1603" s="300">
        <f>IFERROR(VLOOKUP($G1603,[1]нормы!$A$21:$BC$151,21,0),"")</f>
        <v>0</v>
      </c>
      <c r="P1603" s="35">
        <f>IFERROR(VLOOKUP($G1603,[1]нормы!$A$21:$BC$151,19,0),"")</f>
        <v>0</v>
      </c>
      <c r="Q1603" s="35">
        <f>IFERROR(VLOOKUP($G1603,[1]нормы!$A$21:$BC$151,23,0),"")</f>
        <v>0</v>
      </c>
      <c r="R1603" s="231">
        <f>IFERROR(VLOOKUP($G1603,[1]нормы!$A$21:$BC$151,29,0),"")</f>
        <v>0</v>
      </c>
      <c r="S1603" s="35">
        <f>IFERROR(VLOOKUP($G1603,[1]нормы!$A$21:$BC$151,31,0),"")</f>
        <v>0</v>
      </c>
      <c r="T1603" s="32">
        <f>IFERROR(VLOOKUP($G1603,[1]нормы!$A$21:$BC$151,25,0),"")</f>
        <v>0</v>
      </c>
      <c r="U1603" s="233" t="str">
        <f>IFERROR(W1603/(((100*Y1603/Y1605)*I1604)/100),"")</f>
        <v/>
      </c>
      <c r="V1603" s="234" t="str">
        <f>IFERROR(VLOOKUP($G1603,нормы!$A$14:$BC$57,38,0),"")</f>
        <v/>
      </c>
      <c r="W1603" s="136"/>
      <c r="X1603" s="237"/>
      <c r="Y1603" s="152" t="str">
        <f>IFERROR(VLOOKUP($G1603,нормы!$A$14:$BC$57,42,0)*W1603,"")</f>
        <v/>
      </c>
      <c r="Z1603" s="163">
        <f>IFERROR(VLOOKUP($G1603,нормы!$A$14:$BC$57,14,0)*W1603/1000,0)</f>
        <v>0</v>
      </c>
      <c r="AA1603" s="30"/>
      <c r="AB1603" s="35"/>
      <c r="AC1603" s="35"/>
      <c r="AD1603" s="35"/>
      <c r="AE1603" s="31"/>
      <c r="AF1603" s="160"/>
      <c r="AG1603" s="391"/>
      <c r="AH1603" s="394"/>
      <c r="AI1603" s="397"/>
      <c r="AJ1603" s="408"/>
      <c r="AK1603" s="360"/>
      <c r="AL1603" s="360"/>
      <c r="AM1603" s="360"/>
      <c r="AN1603" s="289">
        <f>IFERROR(Y1603*AJ1599/Y1605,)</f>
        <v>0</v>
      </c>
      <c r="AO1603" s="197" t="str">
        <f>IFERROR(VLOOKUP($G1603,нормы!$A$14:$BC$57,53,0)*$W1603,"")</f>
        <v/>
      </c>
      <c r="AP1603" s="290">
        <f>IFERROR(Y1603*AI1599/Y1605,)</f>
        <v>0</v>
      </c>
      <c r="AQ1603" s="197" t="str">
        <f>IFERROR(VLOOKUP($G1603,нормы!$A$14:$BC$57,54,0)*$W1603,"")</f>
        <v/>
      </c>
      <c r="AR1603" s="290">
        <f>IFERROR(AS1603/SUM(AS1599:AS1604)*AL1599,0)</f>
        <v>0</v>
      </c>
      <c r="AS1603" s="197" t="str">
        <f>IFERROR(VLOOKUP($G1603,нормы!$A$14:$BC$57,55,0)*W1603,"")</f>
        <v/>
      </c>
      <c r="AT1603" s="290">
        <f>IFERROR(AU1603/SUM(AU1599:AU1604)*AM1599,0)</f>
        <v>0</v>
      </c>
      <c r="AU1603" s="197" t="str">
        <f>IFERROR(VLOOKUP($G1603,нормы!$A$14:$BI$57,56,0)*W1603,"")</f>
        <v/>
      </c>
      <c r="AV1603" s="290">
        <f>IFERROR(AW1603/SUM(AW1599:AW1604)*AK1599,0)</f>
        <v>0</v>
      </c>
      <c r="AW1603" s="202" t="str">
        <f>IFERROR(VLOOKUP($G1603,нормы!$A$14:$BI$57,57,0)*W1603,"")</f>
        <v/>
      </c>
      <c r="AX1603" s="30"/>
      <c r="AY1603" s="203" t="str">
        <f>IFERROR(VLOOKUP($G1603,нормы!$A$14:$BI$57,58,0)*W1603,"")</f>
        <v/>
      </c>
      <c r="AZ1603" s="205"/>
      <c r="BA1603" s="200" t="str">
        <f>IFERROR(VLOOKUP($G1603,нормы!$A$14:$BI$57,61,0)*$W1603,"")</f>
        <v/>
      </c>
      <c r="BB1603" s="30"/>
      <c r="BC1603" s="203" t="str">
        <f>IFERROR(VLOOKUP($G1603,нормы!$A$14:$BI$57,60,0)*W1603,"")</f>
        <v/>
      </c>
      <c r="BD1603" s="200" t="str">
        <f>IFERROR(VLOOKUP($G1603,нормы!$A$14:$BG$57,44,0),"")</f>
        <v/>
      </c>
      <c r="BE1603" s="199" t="str">
        <f>IFERROR(W1603/VLOOKUP($G1603,нормы!$A$14:$BI$57,45,0),"")</f>
        <v/>
      </c>
    </row>
    <row r="1604" spans="1:57" s="1" customFormat="1" ht="21" customHeight="1" thickBot="1" x14ac:dyDescent="0.45">
      <c r="A1604" s="37" t="str">
        <f t="shared" si="626"/>
        <v>26Н</v>
      </c>
      <c r="B1604" s="12">
        <f t="shared" si="629"/>
        <v>26</v>
      </c>
      <c r="C1604" s="97">
        <f t="shared" si="629"/>
        <v>0</v>
      </c>
      <c r="D1604" s="97">
        <f t="shared" si="629"/>
        <v>2</v>
      </c>
      <c r="E1604" s="54"/>
      <c r="F1604" s="151" t="str">
        <f>IFERROR(VLOOKUP($G1604,нормы!$A$14:$BC$57,2,0),"")</f>
        <v/>
      </c>
      <c r="G1604" s="93"/>
      <c r="H1604" s="63">
        <f t="shared" si="630"/>
        <v>0</v>
      </c>
      <c r="I1604" s="153">
        <f>I1600+I1602</f>
        <v>0</v>
      </c>
      <c r="J1604" s="334"/>
      <c r="K1604" s="30">
        <f>IFERROR(VLOOKUP($G1604,[1]нормы!$A$21:$BC$151,15,0),"")</f>
        <v>0</v>
      </c>
      <c r="L1604" s="31">
        <f>IFERROR(VLOOKUP($G1604,[1]нормы!$A$21:$BC$151,17,0),"")</f>
        <v>0</v>
      </c>
      <c r="M1604" s="308">
        <f>IFERROR(VLOOKUP($G1604,[1]нормы!$A$21:$BC$151,27,0),"")</f>
        <v>0</v>
      </c>
      <c r="N1604" s="309" t="str">
        <f>IFERROR(Y1604/Y1605*(1.1*J1599*I1609),"")</f>
        <v/>
      </c>
      <c r="O1604" s="300">
        <f>IFERROR(VLOOKUP($G1604,[1]нормы!$A$21:$BC$151,21,0),"")</f>
        <v>0</v>
      </c>
      <c r="P1604" s="35">
        <f>IFERROR(VLOOKUP($G1604,[1]нормы!$A$21:$BC$151,19,0),"")</f>
        <v>0</v>
      </c>
      <c r="Q1604" s="35">
        <f>IFERROR(VLOOKUP($G1604,[1]нормы!$A$21:$BC$151,23,0),"")</f>
        <v>0</v>
      </c>
      <c r="R1604" s="231">
        <f>IFERROR(VLOOKUP($G1604,[1]нормы!$A$21:$BC$151,29,0),"")</f>
        <v>0</v>
      </c>
      <c r="S1604" s="35">
        <f>IFERROR(VLOOKUP($G1604,[1]нормы!$A$21:$BC$151,31,0),"")</f>
        <v>0</v>
      </c>
      <c r="T1604" s="32">
        <f>IFERROR(VLOOKUP($G1604,[1]нормы!$A$21:$BC$151,25,0),"")</f>
        <v>0</v>
      </c>
      <c r="U1604" s="235" t="str">
        <f>IFERROR(W1604/(((100*Y1604/Y1605)*I1604)/100),"")</f>
        <v/>
      </c>
      <c r="V1604" s="234" t="str">
        <f>IFERROR(VLOOKUP($G1604,нормы!$A$14:$BC$57,38,0),"")</f>
        <v/>
      </c>
      <c r="W1604" s="154"/>
      <c r="X1604" s="238"/>
      <c r="Y1604" s="152" t="str">
        <f>IFERROR(VLOOKUP($G1604,нормы!$A$14:$BC$57,42,0)*W1604,"")</f>
        <v/>
      </c>
      <c r="Z1604" s="163">
        <f>IFERROR(VLOOKUP($G1604,нормы!$A$14:$BC$57,14,0)*W1604/1000,0)</f>
        <v>0</v>
      </c>
      <c r="AA1604" s="56"/>
      <c r="AB1604" s="58"/>
      <c r="AC1604" s="58"/>
      <c r="AD1604" s="58"/>
      <c r="AE1604" s="57"/>
      <c r="AF1604" s="161"/>
      <c r="AG1604" s="392"/>
      <c r="AH1604" s="395"/>
      <c r="AI1604" s="398"/>
      <c r="AJ1604" s="409"/>
      <c r="AK1604" s="361"/>
      <c r="AL1604" s="361"/>
      <c r="AM1604" s="361"/>
      <c r="AN1604" s="291">
        <f>IFERROR(Y1604*AJ1599/Y1605,)</f>
        <v>0</v>
      </c>
      <c r="AO1604" s="197" t="str">
        <f>IFERROR(VLOOKUP($G1604,нормы!$A$14:$BC$57,53,0)*$W1604,"")</f>
        <v/>
      </c>
      <c r="AP1604" s="292">
        <f>IFERROR(Y1604*AI1599/Y1605,)</f>
        <v>0</v>
      </c>
      <c r="AQ1604" s="197" t="str">
        <f>IFERROR(VLOOKUP($G1604,нормы!$A$14:$BC$57,54,0)*$W1604,"")</f>
        <v/>
      </c>
      <c r="AR1604" s="290">
        <f>IFERROR(AS1604/SUM(AS1599:AS1604)*AL1599,0)</f>
        <v>0</v>
      </c>
      <c r="AS1604" s="197" t="str">
        <f>IFERROR(VLOOKUP($G1604,нормы!$A$14:$BC$57,55,0)*W1604,"")</f>
        <v/>
      </c>
      <c r="AT1604" s="292">
        <f>IFERROR(AU1604/SUM(AU1599:AU1604)*AM1599,0)</f>
        <v>0</v>
      </c>
      <c r="AU1604" s="197" t="str">
        <f>IFERROR(VLOOKUP($G1604,нормы!$A$14:$BI$57,56,0)*W1604,"")</f>
        <v/>
      </c>
      <c r="AV1604" s="292">
        <f>IFERROR(AW1604/SUM(AW1599:AW1604)*AK1599,0)</f>
        <v>0</v>
      </c>
      <c r="AW1604" s="202" t="str">
        <f>IFERROR(VLOOKUP($G1604,нормы!$A$14:$BI$57,57,0)*W1604,"")</f>
        <v/>
      </c>
      <c r="AX1604" s="56"/>
      <c r="AY1604" s="203" t="str">
        <f>IFERROR(VLOOKUP($G1604,нормы!$A$14:$BI$57,58,0)*W1604,"")</f>
        <v/>
      </c>
      <c r="AZ1604" s="206"/>
      <c r="BA1604" s="200" t="str">
        <f>IFERROR(VLOOKUP($G1604,нормы!$A$14:$BI$57,61,0)*$W1604,"")</f>
        <v/>
      </c>
      <c r="BB1604" s="56"/>
      <c r="BC1604" s="203" t="str">
        <f>IFERROR(VLOOKUP($G1604,нормы!$A$14:$BI$57,60,0)*W1604,"")</f>
        <v/>
      </c>
      <c r="BD1604" s="200" t="str">
        <f>IFERROR(VLOOKUP($G1604,нормы!$A$14:$BG$57,44,0),"")</f>
        <v/>
      </c>
      <c r="BE1604" s="199" t="str">
        <f>IFERROR(W1604/VLOOKUP($G1604,нормы!$A$14:$BI$57,45,0),"")</f>
        <v/>
      </c>
    </row>
    <row r="1605" spans="1:57" s="1" customFormat="1" ht="29.4" customHeight="1" thickBot="1" x14ac:dyDescent="0.45">
      <c r="A1605" s="37" t="str">
        <f t="shared" si="626"/>
        <v>26Н</v>
      </c>
      <c r="B1605" s="59"/>
      <c r="C1605" s="51"/>
      <c r="D1605" s="51"/>
      <c r="E1605" s="51"/>
      <c r="F1605" s="51"/>
      <c r="G1605" s="51"/>
      <c r="H1605" s="51"/>
      <c r="I1605" s="60"/>
      <c r="J1605" s="60"/>
      <c r="K1605" s="319" t="s">
        <v>213</v>
      </c>
      <c r="L1605" s="316"/>
      <c r="M1605" s="303" t="s">
        <v>213</v>
      </c>
      <c r="N1605" s="317">
        <f>SUM(N1599:N1604)</f>
        <v>0</v>
      </c>
      <c r="O1605" s="304" t="s">
        <v>217</v>
      </c>
      <c r="P1605" s="318">
        <f>N1605*8.937/1000</f>
        <v>0</v>
      </c>
      <c r="Q1605" s="305" t="s">
        <v>215</v>
      </c>
      <c r="R1605" s="61"/>
      <c r="S1605" s="61"/>
      <c r="T1605" s="61"/>
      <c r="U1605" s="109"/>
      <c r="V1605" s="109"/>
      <c r="W1605" s="94"/>
      <c r="X1605" s="155"/>
      <c r="Y1605" s="96">
        <f>SUM(Y1599:Y1604)</f>
        <v>0</v>
      </c>
      <c r="Z1605" s="164">
        <f>SUM(Z1599:Z1604)</f>
        <v>0</v>
      </c>
      <c r="AA1605" s="207">
        <f>(AA1591+AA1592+AA1593+AA1594+AA1595+AA1596+AA1597+AA1599+AA1600+AA1601+AA1602+AA1603+AA1604)-AG1592</f>
        <v>1</v>
      </c>
      <c r="AB1605" s="208">
        <f>(AB1591+AB1592+AB1593+AB1594+AB1595+AB1596+AB1597+AB1599+AB1600+AB1601+AB1602+AB1603+AB1604)-AH1592</f>
        <v>2</v>
      </c>
      <c r="AC1605" s="208">
        <f>(AC1591+AC1592+AC1593+AC1594+AC1595+AC1596+AC1597+AC1599+AC1600+AC1601+AC1602+AC1603+AC1604)-AG1599</f>
        <v>3</v>
      </c>
      <c r="AD1605" s="208">
        <f>(AD1591+AD1592+AD1593+AD1594+AD1595+AD1596+AD1597+AD1599+AD1600+AD1601+AD1602+AD1603+AD1604)-AH1599</f>
        <v>4</v>
      </c>
      <c r="AE1605" s="208">
        <f>(AE1591+AE1592+AE1593+AE1594+AE1595+AE1596+AE1597+AE1599+AE1600+AE1601+AE1602+AE1603+AE1604)-AI1592</f>
        <v>5</v>
      </c>
      <c r="AF1605" s="209">
        <f>(AF1591+AF1592+AF1593+AF1594+AF1595+AF1596+AF1597+AF1599+AF1600+AF1601+AF1602+AF1603+AF1604)-AI1599</f>
        <v>6</v>
      </c>
      <c r="AG1605" s="62"/>
      <c r="AH1605" s="62"/>
      <c r="AI1605" s="62"/>
      <c r="AJ1605" s="62"/>
      <c r="AK1605" s="62"/>
      <c r="AL1605" s="62"/>
      <c r="AM1605" s="62"/>
      <c r="AN1605" s="91">
        <f>SUM(AN1599:AN1604)</f>
        <v>0</v>
      </c>
      <c r="AO1605" s="91">
        <f>SUM(AO1599:AO1604)</f>
        <v>0</v>
      </c>
      <c r="AP1605" s="91"/>
      <c r="AQ1605" s="91"/>
      <c r="AR1605" s="91">
        <f>SUM(AR1599:AR1604)</f>
        <v>0</v>
      </c>
      <c r="AS1605" s="91">
        <f t="shared" ref="AS1605:AW1605" si="631">SUM(AS1599:AS1604)</f>
        <v>0</v>
      </c>
      <c r="AT1605" s="91">
        <f t="shared" si="631"/>
        <v>0</v>
      </c>
      <c r="AU1605" s="91">
        <f t="shared" si="631"/>
        <v>0</v>
      </c>
      <c r="AV1605" s="91">
        <f t="shared" si="631"/>
        <v>0</v>
      </c>
      <c r="AW1605" s="91">
        <f t="shared" si="631"/>
        <v>0</v>
      </c>
      <c r="AX1605" s="91">
        <f>SUM(AX1599:AX1604)</f>
        <v>0</v>
      </c>
      <c r="AY1605" s="91">
        <f>SUM(AY1599:AY1604)</f>
        <v>0</v>
      </c>
      <c r="AZ1605" s="91">
        <f>SUM(AZ1599:AZ1604)</f>
        <v>0</v>
      </c>
      <c r="BA1605" s="91"/>
      <c r="BB1605" s="91"/>
      <c r="BC1605" s="91"/>
      <c r="BD1605" s="91" t="str">
        <f>IFERROR(VLOOKUP($G1605,нормы!$A$14:$BG$15,27,0),"")</f>
        <v/>
      </c>
      <c r="BE1605" s="53" t="str">
        <f>IFERROR(W1605/VLOOKUP($G1605,нормы!$A$14:$BI$15,28,0),"")</f>
        <v/>
      </c>
    </row>
    <row r="1606" spans="1:57" s="1" customFormat="1" ht="29.4" customHeight="1" thickBot="1" x14ac:dyDescent="0.5">
      <c r="A1606" s="37" t="str">
        <f t="shared" si="626"/>
        <v>26Н</v>
      </c>
      <c r="B1606" s="166" t="s">
        <v>130</v>
      </c>
      <c r="C1606" s="167"/>
      <c r="D1606" s="167"/>
      <c r="E1606" s="167"/>
      <c r="F1606" s="165"/>
      <c r="G1606" s="167"/>
      <c r="H1606" s="167"/>
      <c r="I1606" s="168"/>
      <c r="J1606" s="168"/>
      <c r="K1606" s="168"/>
      <c r="L1606" s="168"/>
      <c r="M1606" s="168"/>
      <c r="N1606" s="168"/>
      <c r="O1606" s="167"/>
      <c r="P1606" s="169"/>
      <c r="Q1606" s="169"/>
      <c r="R1606" s="169"/>
      <c r="S1606" s="169"/>
      <c r="T1606" s="169"/>
      <c r="U1606" s="170"/>
      <c r="V1606" s="170"/>
      <c r="W1606" s="171"/>
      <c r="X1606" s="171"/>
      <c r="Y1606" s="172"/>
      <c r="Z1606" s="172"/>
      <c r="AA1606" s="201" t="s">
        <v>144</v>
      </c>
      <c r="AB1606" s="167"/>
      <c r="AC1606" s="167"/>
      <c r="AD1606" s="167"/>
      <c r="AE1606" s="167"/>
      <c r="AF1606" s="167"/>
      <c r="AG1606" s="167"/>
      <c r="AH1606" s="167"/>
      <c r="AI1606" s="167"/>
      <c r="AJ1606" s="167"/>
      <c r="AK1606" s="167"/>
      <c r="AL1606" s="167"/>
      <c r="AM1606" s="64"/>
      <c r="AN1606" s="167"/>
      <c r="AO1606" s="167"/>
      <c r="AP1606" s="167"/>
      <c r="AQ1606" s="167"/>
      <c r="AR1606" s="64"/>
      <c r="AS1606" s="64"/>
      <c r="AT1606" s="65"/>
      <c r="AU1606" s="64"/>
      <c r="AV1606" s="49"/>
      <c r="AW1606" s="49"/>
      <c r="AX1606" s="167"/>
      <c r="AY1606" s="167"/>
      <c r="AZ1606" s="167"/>
      <c r="BA1606" s="167"/>
      <c r="BB1606" s="167"/>
      <c r="BC1606" s="167"/>
      <c r="BD1606" s="66"/>
      <c r="BE1606" s="66"/>
    </row>
    <row r="1607" spans="1:57" s="1" customFormat="1" ht="23.25" customHeight="1" x14ac:dyDescent="0.4">
      <c r="A1607" s="37" t="str">
        <f t="shared" si="626"/>
        <v>26Н</v>
      </c>
      <c r="B1607" s="183"/>
      <c r="C1607" s="100"/>
      <c r="D1607" s="185"/>
      <c r="E1607" s="186" t="s">
        <v>57</v>
      </c>
      <c r="F1607" s="66" t="s">
        <v>87</v>
      </c>
      <c r="G1607" s="66"/>
      <c r="H1607" s="108" t="s">
        <v>131</v>
      </c>
      <c r="I1607" s="101"/>
      <c r="J1607" s="101"/>
      <c r="K1607" s="101"/>
      <c r="L1607" s="101"/>
      <c r="M1607" s="101"/>
      <c r="N1607" s="101"/>
      <c r="O1607" s="67"/>
      <c r="P1607" s="102"/>
      <c r="Q1607" s="102"/>
      <c r="R1607" s="102"/>
      <c r="S1607" s="102"/>
      <c r="T1607" s="102"/>
      <c r="U1607" s="67"/>
      <c r="V1607" s="67"/>
      <c r="W1607" s="103"/>
      <c r="X1607" s="187"/>
      <c r="Y1607" s="68" t="s">
        <v>74</v>
      </c>
      <c r="Z1607" s="69"/>
      <c r="AA1607" s="90"/>
      <c r="AB1607" s="100"/>
      <c r="AC1607" s="100"/>
      <c r="AD1607" s="186" t="s">
        <v>57</v>
      </c>
      <c r="AE1607" s="66"/>
      <c r="AF1607" s="66"/>
      <c r="AG1607" s="66"/>
      <c r="AH1607" s="66"/>
      <c r="AI1607" s="66"/>
      <c r="AJ1607" s="66"/>
      <c r="AK1607" s="66"/>
      <c r="AL1607" s="66"/>
      <c r="AM1607" s="66"/>
      <c r="AN1607" s="66"/>
      <c r="AO1607" s="66"/>
      <c r="AP1607" s="66"/>
      <c r="AQ1607" s="66"/>
      <c r="AR1607" s="66"/>
      <c r="AS1607" s="66"/>
      <c r="AT1607" s="190"/>
      <c r="AU1607" s="66"/>
      <c r="AV1607" s="165"/>
      <c r="AW1607" s="293"/>
      <c r="AX1607" s="66"/>
      <c r="AY1607" s="66"/>
      <c r="AZ1607" s="66"/>
      <c r="BA1607" s="66"/>
      <c r="BB1607" s="66"/>
      <c r="BC1607" s="66"/>
      <c r="BD1607" s="68" t="s">
        <v>74</v>
      </c>
      <c r="BE1607" s="69"/>
    </row>
    <row r="1608" spans="1:57" s="1" customFormat="1" ht="23.25" customHeight="1" thickBot="1" x14ac:dyDescent="0.45">
      <c r="A1608" s="37" t="str">
        <f t="shared" si="626"/>
        <v>26Н</v>
      </c>
      <c r="B1608" s="183"/>
      <c r="C1608" s="41"/>
      <c r="D1608" s="184"/>
      <c r="E1608" s="50"/>
      <c r="F1608" s="70"/>
      <c r="G1608" s="70"/>
      <c r="H1608" s="70"/>
      <c r="I1608" s="104"/>
      <c r="J1608" s="104"/>
      <c r="K1608" s="104"/>
      <c r="L1608" s="104"/>
      <c r="M1608" s="104"/>
      <c r="N1608" s="104"/>
      <c r="O1608" s="71"/>
      <c r="P1608" s="105"/>
      <c r="Q1608" s="105"/>
      <c r="R1608" s="105"/>
      <c r="S1608" s="105"/>
      <c r="T1608" s="105"/>
      <c r="U1608" s="71"/>
      <c r="V1608" s="71"/>
      <c r="W1608" s="106"/>
      <c r="X1608" s="188"/>
      <c r="Y1608" s="72"/>
      <c r="Z1608" s="73"/>
      <c r="AA1608" s="90"/>
      <c r="AB1608" s="41"/>
      <c r="AC1608" s="41"/>
      <c r="AD1608" s="50"/>
      <c r="AE1608" s="47"/>
      <c r="AF1608" s="47"/>
      <c r="AG1608" s="47"/>
      <c r="AH1608" s="47"/>
      <c r="AI1608" s="47"/>
      <c r="AJ1608" s="47"/>
      <c r="AK1608" s="47"/>
      <c r="AL1608" s="47"/>
      <c r="AM1608" s="70"/>
      <c r="AN1608" s="47"/>
      <c r="AO1608" s="70"/>
      <c r="AP1608" s="70"/>
      <c r="AQ1608" s="70"/>
      <c r="AR1608" s="70"/>
      <c r="AS1608" s="70"/>
      <c r="AT1608" s="191"/>
      <c r="AU1608" s="70"/>
      <c r="AV1608" s="192"/>
      <c r="AW1608" s="294"/>
      <c r="AX1608" s="70"/>
      <c r="AY1608" s="70"/>
      <c r="AZ1608" s="70"/>
      <c r="BA1608" s="70"/>
      <c r="BB1608" s="70"/>
      <c r="BC1608" s="70"/>
      <c r="BD1608" s="72"/>
      <c r="BE1608" s="73"/>
    </row>
    <row r="1609" spans="1:57" s="1" customFormat="1" ht="24.75" customHeight="1" x14ac:dyDescent="0.4">
      <c r="A1609" s="37" t="str">
        <f t="shared" si="626"/>
        <v>26Н</v>
      </c>
      <c r="B1609" s="183"/>
      <c r="C1609" s="41"/>
      <c r="D1609" s="184"/>
      <c r="E1609" s="281">
        <f>B1604</f>
        <v>26</v>
      </c>
      <c r="F1609" s="337"/>
      <c r="G1609" s="338"/>
      <c r="H1609" s="338"/>
      <c r="I1609" s="338"/>
      <c r="J1609" s="338"/>
      <c r="K1609" s="338"/>
      <c r="L1609" s="338"/>
      <c r="M1609" s="338"/>
      <c r="N1609" s="338"/>
      <c r="O1609" s="338"/>
      <c r="P1609" s="338"/>
      <c r="Q1609" s="338"/>
      <c r="R1609" s="338"/>
      <c r="S1609" s="338"/>
      <c r="T1609" s="338"/>
      <c r="U1609" s="338"/>
      <c r="V1609" s="338"/>
      <c r="W1609" s="338"/>
      <c r="X1609" s="98">
        <v>1</v>
      </c>
      <c r="Y1609" s="74">
        <v>1</v>
      </c>
      <c r="Z1609" s="75">
        <f t="shared" ref="Z1609:Z1620" si="632">Y1609-X1609</f>
        <v>0</v>
      </c>
      <c r="AA1609" s="189"/>
      <c r="AB1609" s="41"/>
      <c r="AC1609" s="184"/>
      <c r="AD1609" s="210">
        <f>E1609</f>
        <v>26</v>
      </c>
      <c r="AE1609" s="387"/>
      <c r="AF1609" s="388"/>
      <c r="AG1609" s="388"/>
      <c r="AH1609" s="388"/>
      <c r="AI1609" s="388"/>
      <c r="AJ1609" s="388"/>
      <c r="AK1609" s="388"/>
      <c r="AL1609" s="388"/>
      <c r="AM1609" s="388"/>
      <c r="AN1609" s="388"/>
      <c r="AO1609" s="388"/>
      <c r="AP1609" s="388"/>
      <c r="AQ1609" s="388"/>
      <c r="AR1609" s="388"/>
      <c r="AS1609" s="388"/>
      <c r="AT1609" s="388"/>
      <c r="AU1609" s="388"/>
      <c r="AV1609" s="388"/>
      <c r="AW1609" s="388"/>
      <c r="AX1609" s="388"/>
      <c r="AY1609" s="388"/>
      <c r="AZ1609" s="388"/>
      <c r="BA1609" s="388"/>
      <c r="BB1609" s="389"/>
      <c r="BC1609" s="98">
        <v>1</v>
      </c>
      <c r="BD1609" s="74">
        <v>1</v>
      </c>
      <c r="BE1609" s="75">
        <f t="shared" ref="BE1609:BE1620" si="633">BD1609-BC1609</f>
        <v>0</v>
      </c>
    </row>
    <row r="1610" spans="1:57" s="1" customFormat="1" ht="33" customHeight="1" x14ac:dyDescent="0.4">
      <c r="A1610" s="37" t="str">
        <f t="shared" si="626"/>
        <v>26Н</v>
      </c>
      <c r="B1610" s="183"/>
      <c r="C1610" s="41"/>
      <c r="D1610" s="184"/>
      <c r="E1610" s="282">
        <f>E1609</f>
        <v>26</v>
      </c>
      <c r="F1610" s="335"/>
      <c r="G1610" s="336"/>
      <c r="H1610" s="336"/>
      <c r="I1610" s="336"/>
      <c r="J1610" s="336"/>
      <c r="K1610" s="336"/>
      <c r="L1610" s="336"/>
      <c r="M1610" s="336"/>
      <c r="N1610" s="336"/>
      <c r="O1610" s="336"/>
      <c r="P1610" s="336"/>
      <c r="Q1610" s="336"/>
      <c r="R1610" s="336"/>
      <c r="S1610" s="336"/>
      <c r="T1610" s="336"/>
      <c r="U1610" s="336"/>
      <c r="V1610" s="336"/>
      <c r="W1610" s="336"/>
      <c r="X1610" s="98">
        <v>1</v>
      </c>
      <c r="Y1610" s="74">
        <v>1</v>
      </c>
      <c r="Z1610" s="75">
        <f t="shared" si="632"/>
        <v>0</v>
      </c>
      <c r="AA1610" s="107">
        <f>AA1609</f>
        <v>0</v>
      </c>
      <c r="AB1610" s="41"/>
      <c r="AC1610" s="184"/>
      <c r="AD1610" s="212">
        <f>AD1609</f>
        <v>26</v>
      </c>
      <c r="AE1610" s="387"/>
      <c r="AF1610" s="388"/>
      <c r="AG1610" s="388"/>
      <c r="AH1610" s="388"/>
      <c r="AI1610" s="388"/>
      <c r="AJ1610" s="388"/>
      <c r="AK1610" s="388"/>
      <c r="AL1610" s="388"/>
      <c r="AM1610" s="388"/>
      <c r="AN1610" s="388"/>
      <c r="AO1610" s="388"/>
      <c r="AP1610" s="388"/>
      <c r="AQ1610" s="388"/>
      <c r="AR1610" s="388"/>
      <c r="AS1610" s="388"/>
      <c r="AT1610" s="388"/>
      <c r="AU1610" s="388"/>
      <c r="AV1610" s="388"/>
      <c r="AW1610" s="388"/>
      <c r="AX1610" s="388"/>
      <c r="AY1610" s="388"/>
      <c r="AZ1610" s="388"/>
      <c r="BA1610" s="388"/>
      <c r="BB1610" s="389"/>
      <c r="BC1610" s="98">
        <v>1</v>
      </c>
      <c r="BD1610" s="74">
        <v>1</v>
      </c>
      <c r="BE1610" s="75">
        <f t="shared" si="633"/>
        <v>0</v>
      </c>
    </row>
    <row r="1611" spans="1:57" s="1" customFormat="1" ht="29.25" customHeight="1" x14ac:dyDescent="0.4">
      <c r="A1611" s="37" t="str">
        <f t="shared" si="626"/>
        <v>26Н</v>
      </c>
      <c r="B1611" s="183"/>
      <c r="C1611" s="41"/>
      <c r="D1611" s="184"/>
      <c r="E1611" s="282">
        <f t="shared" ref="E1611:E1620" si="634">E1610</f>
        <v>26</v>
      </c>
      <c r="F1611" s="335"/>
      <c r="G1611" s="336"/>
      <c r="H1611" s="336"/>
      <c r="I1611" s="336"/>
      <c r="J1611" s="336"/>
      <c r="K1611" s="336"/>
      <c r="L1611" s="336"/>
      <c r="M1611" s="336"/>
      <c r="N1611" s="336"/>
      <c r="O1611" s="336"/>
      <c r="P1611" s="336"/>
      <c r="Q1611" s="336"/>
      <c r="R1611" s="336"/>
      <c r="S1611" s="336"/>
      <c r="T1611" s="336"/>
      <c r="U1611" s="336"/>
      <c r="V1611" s="336"/>
      <c r="W1611" s="336"/>
      <c r="X1611" s="98">
        <v>1</v>
      </c>
      <c r="Y1611" s="74">
        <v>1</v>
      </c>
      <c r="Z1611" s="75">
        <f t="shared" si="632"/>
        <v>0</v>
      </c>
      <c r="AA1611" s="107">
        <f>AA1610</f>
        <v>0</v>
      </c>
      <c r="AB1611" s="41"/>
      <c r="AC1611" s="184"/>
      <c r="AD1611" s="212">
        <f t="shared" ref="AD1611:AD1620" si="635">AD1610</f>
        <v>26</v>
      </c>
      <c r="AE1611" s="387"/>
      <c r="AF1611" s="388"/>
      <c r="AG1611" s="388"/>
      <c r="AH1611" s="388"/>
      <c r="AI1611" s="388"/>
      <c r="AJ1611" s="388"/>
      <c r="AK1611" s="388"/>
      <c r="AL1611" s="388"/>
      <c r="AM1611" s="388"/>
      <c r="AN1611" s="388"/>
      <c r="AO1611" s="388"/>
      <c r="AP1611" s="388"/>
      <c r="AQ1611" s="388"/>
      <c r="AR1611" s="388"/>
      <c r="AS1611" s="388"/>
      <c r="AT1611" s="388"/>
      <c r="AU1611" s="388"/>
      <c r="AV1611" s="388"/>
      <c r="AW1611" s="388"/>
      <c r="AX1611" s="388"/>
      <c r="AY1611" s="388"/>
      <c r="AZ1611" s="388"/>
      <c r="BA1611" s="388"/>
      <c r="BB1611" s="389"/>
      <c r="BC1611" s="98">
        <v>1</v>
      </c>
      <c r="BD1611" s="74">
        <v>1</v>
      </c>
      <c r="BE1611" s="75">
        <f t="shared" si="633"/>
        <v>0</v>
      </c>
    </row>
    <row r="1612" spans="1:57" s="1" customFormat="1" ht="18" customHeight="1" x14ac:dyDescent="0.4">
      <c r="A1612" s="37" t="str">
        <f t="shared" si="626"/>
        <v>26Н</v>
      </c>
      <c r="B1612" s="183"/>
      <c r="C1612" s="41"/>
      <c r="D1612" s="184"/>
      <c r="E1612" s="282">
        <f t="shared" si="634"/>
        <v>26</v>
      </c>
      <c r="F1612" s="335"/>
      <c r="G1612" s="336"/>
      <c r="H1612" s="336"/>
      <c r="I1612" s="336"/>
      <c r="J1612" s="336"/>
      <c r="K1612" s="336"/>
      <c r="L1612" s="336"/>
      <c r="M1612" s="336"/>
      <c r="N1612" s="336"/>
      <c r="O1612" s="336"/>
      <c r="P1612" s="336"/>
      <c r="Q1612" s="336"/>
      <c r="R1612" s="336"/>
      <c r="S1612" s="336"/>
      <c r="T1612" s="336"/>
      <c r="U1612" s="336"/>
      <c r="V1612" s="336"/>
      <c r="W1612" s="336"/>
      <c r="X1612" s="98">
        <v>1</v>
      </c>
      <c r="Y1612" s="74">
        <v>1</v>
      </c>
      <c r="Z1612" s="75">
        <f t="shared" si="632"/>
        <v>0</v>
      </c>
      <c r="AA1612" s="107">
        <f t="shared" ref="AA1612:AA1620" si="636">AA1611</f>
        <v>0</v>
      </c>
      <c r="AB1612" s="41"/>
      <c r="AC1612" s="184"/>
      <c r="AD1612" s="212">
        <f t="shared" si="635"/>
        <v>26</v>
      </c>
      <c r="AE1612" s="387"/>
      <c r="AF1612" s="388"/>
      <c r="AG1612" s="388"/>
      <c r="AH1612" s="388"/>
      <c r="AI1612" s="388"/>
      <c r="AJ1612" s="388"/>
      <c r="AK1612" s="388"/>
      <c r="AL1612" s="388"/>
      <c r="AM1612" s="388"/>
      <c r="AN1612" s="388"/>
      <c r="AO1612" s="388"/>
      <c r="AP1612" s="388"/>
      <c r="AQ1612" s="388"/>
      <c r="AR1612" s="388"/>
      <c r="AS1612" s="388"/>
      <c r="AT1612" s="388"/>
      <c r="AU1612" s="388"/>
      <c r="AV1612" s="388"/>
      <c r="AW1612" s="388"/>
      <c r="AX1612" s="388"/>
      <c r="AY1612" s="388"/>
      <c r="AZ1612" s="388"/>
      <c r="BA1612" s="388"/>
      <c r="BB1612" s="389"/>
      <c r="BC1612" s="98">
        <v>1</v>
      </c>
      <c r="BD1612" s="74">
        <v>1</v>
      </c>
      <c r="BE1612" s="75">
        <f t="shared" si="633"/>
        <v>0</v>
      </c>
    </row>
    <row r="1613" spans="1:57" s="1" customFormat="1" ht="18" customHeight="1" x14ac:dyDescent="0.4">
      <c r="A1613" s="37" t="str">
        <f t="shared" si="626"/>
        <v>26Н</v>
      </c>
      <c r="B1613" s="183"/>
      <c r="C1613" s="41"/>
      <c r="D1613" s="184"/>
      <c r="E1613" s="282">
        <f t="shared" si="634"/>
        <v>26</v>
      </c>
      <c r="F1613" s="335"/>
      <c r="G1613" s="336"/>
      <c r="H1613" s="336"/>
      <c r="I1613" s="336"/>
      <c r="J1613" s="336"/>
      <c r="K1613" s="336"/>
      <c r="L1613" s="336"/>
      <c r="M1613" s="336"/>
      <c r="N1613" s="336"/>
      <c r="O1613" s="336"/>
      <c r="P1613" s="336"/>
      <c r="Q1613" s="336"/>
      <c r="R1613" s="336"/>
      <c r="S1613" s="336"/>
      <c r="T1613" s="336"/>
      <c r="U1613" s="336"/>
      <c r="V1613" s="336"/>
      <c r="W1613" s="336"/>
      <c r="X1613" s="98">
        <v>1</v>
      </c>
      <c r="Y1613" s="74">
        <v>1</v>
      </c>
      <c r="Z1613" s="75">
        <f t="shared" si="632"/>
        <v>0</v>
      </c>
      <c r="AA1613" s="107">
        <f t="shared" si="636"/>
        <v>0</v>
      </c>
      <c r="AB1613" s="41"/>
      <c r="AC1613" s="184"/>
      <c r="AD1613" s="212">
        <f t="shared" si="635"/>
        <v>26</v>
      </c>
      <c r="AE1613" s="387"/>
      <c r="AF1613" s="388"/>
      <c r="AG1613" s="388"/>
      <c r="AH1613" s="388"/>
      <c r="AI1613" s="388"/>
      <c r="AJ1613" s="388"/>
      <c r="AK1613" s="388"/>
      <c r="AL1613" s="388"/>
      <c r="AM1613" s="388"/>
      <c r="AN1613" s="388"/>
      <c r="AO1613" s="388"/>
      <c r="AP1613" s="388"/>
      <c r="AQ1613" s="388"/>
      <c r="AR1613" s="388"/>
      <c r="AS1613" s="388"/>
      <c r="AT1613" s="388"/>
      <c r="AU1613" s="388"/>
      <c r="AV1613" s="388"/>
      <c r="AW1613" s="388"/>
      <c r="AX1613" s="388"/>
      <c r="AY1613" s="388"/>
      <c r="AZ1613" s="388"/>
      <c r="BA1613" s="388"/>
      <c r="BB1613" s="389"/>
      <c r="BC1613" s="98">
        <v>1</v>
      </c>
      <c r="BD1613" s="74">
        <v>1</v>
      </c>
      <c r="BE1613" s="75">
        <f t="shared" si="633"/>
        <v>0</v>
      </c>
    </row>
    <row r="1614" spans="1:57" s="1" customFormat="1" ht="18" customHeight="1" x14ac:dyDescent="0.4">
      <c r="A1614" s="37" t="str">
        <f t="shared" si="626"/>
        <v>26Н</v>
      </c>
      <c r="B1614" s="183"/>
      <c r="C1614" s="41"/>
      <c r="D1614" s="184"/>
      <c r="E1614" s="282">
        <f t="shared" si="634"/>
        <v>26</v>
      </c>
      <c r="F1614" s="335"/>
      <c r="G1614" s="336"/>
      <c r="H1614" s="336"/>
      <c r="I1614" s="336"/>
      <c r="J1614" s="336"/>
      <c r="K1614" s="336"/>
      <c r="L1614" s="336"/>
      <c r="M1614" s="336"/>
      <c r="N1614" s="336"/>
      <c r="O1614" s="336"/>
      <c r="P1614" s="336"/>
      <c r="Q1614" s="336"/>
      <c r="R1614" s="336"/>
      <c r="S1614" s="336"/>
      <c r="T1614" s="336"/>
      <c r="U1614" s="336"/>
      <c r="V1614" s="336"/>
      <c r="W1614" s="336"/>
      <c r="X1614" s="98">
        <v>1</v>
      </c>
      <c r="Y1614" s="74">
        <v>1</v>
      </c>
      <c r="Z1614" s="75">
        <f t="shared" si="632"/>
        <v>0</v>
      </c>
      <c r="AA1614" s="107">
        <f t="shared" si="636"/>
        <v>0</v>
      </c>
      <c r="AB1614" s="41"/>
      <c r="AC1614" s="184"/>
      <c r="AD1614" s="212">
        <f t="shared" si="635"/>
        <v>26</v>
      </c>
      <c r="AE1614" s="387"/>
      <c r="AF1614" s="388"/>
      <c r="AG1614" s="388"/>
      <c r="AH1614" s="388"/>
      <c r="AI1614" s="388"/>
      <c r="AJ1614" s="388"/>
      <c r="AK1614" s="388"/>
      <c r="AL1614" s="388"/>
      <c r="AM1614" s="388"/>
      <c r="AN1614" s="388"/>
      <c r="AO1614" s="388"/>
      <c r="AP1614" s="388"/>
      <c r="AQ1614" s="388"/>
      <c r="AR1614" s="388"/>
      <c r="AS1614" s="388"/>
      <c r="AT1614" s="388"/>
      <c r="AU1614" s="388"/>
      <c r="AV1614" s="388"/>
      <c r="AW1614" s="388"/>
      <c r="AX1614" s="388"/>
      <c r="AY1614" s="388"/>
      <c r="AZ1614" s="388"/>
      <c r="BA1614" s="388"/>
      <c r="BB1614" s="389"/>
      <c r="BC1614" s="98">
        <v>1</v>
      </c>
      <c r="BD1614" s="74">
        <v>1</v>
      </c>
      <c r="BE1614" s="75">
        <f t="shared" si="633"/>
        <v>0</v>
      </c>
    </row>
    <row r="1615" spans="1:57" s="1" customFormat="1" ht="18" customHeight="1" x14ac:dyDescent="0.4">
      <c r="A1615" s="37" t="str">
        <f t="shared" si="626"/>
        <v>26Н</v>
      </c>
      <c r="B1615" s="183"/>
      <c r="C1615" s="41"/>
      <c r="D1615" s="184"/>
      <c r="E1615" s="282">
        <f t="shared" si="634"/>
        <v>26</v>
      </c>
      <c r="F1615" s="335"/>
      <c r="G1615" s="336"/>
      <c r="H1615" s="336"/>
      <c r="I1615" s="336"/>
      <c r="J1615" s="336"/>
      <c r="K1615" s="336"/>
      <c r="L1615" s="336"/>
      <c r="M1615" s="336"/>
      <c r="N1615" s="336"/>
      <c r="O1615" s="336"/>
      <c r="P1615" s="336"/>
      <c r="Q1615" s="336"/>
      <c r="R1615" s="336"/>
      <c r="S1615" s="336"/>
      <c r="T1615" s="336"/>
      <c r="U1615" s="336"/>
      <c r="V1615" s="336"/>
      <c r="W1615" s="336"/>
      <c r="X1615" s="98">
        <v>1</v>
      </c>
      <c r="Y1615" s="74">
        <v>1</v>
      </c>
      <c r="Z1615" s="75">
        <f t="shared" si="632"/>
        <v>0</v>
      </c>
      <c r="AA1615" s="107">
        <f t="shared" si="636"/>
        <v>0</v>
      </c>
      <c r="AB1615" s="41"/>
      <c r="AC1615" s="184"/>
      <c r="AD1615" s="212">
        <f t="shared" si="635"/>
        <v>26</v>
      </c>
      <c r="AE1615" s="387"/>
      <c r="AF1615" s="388"/>
      <c r="AG1615" s="388"/>
      <c r="AH1615" s="388"/>
      <c r="AI1615" s="388"/>
      <c r="AJ1615" s="388"/>
      <c r="AK1615" s="388"/>
      <c r="AL1615" s="388"/>
      <c r="AM1615" s="388"/>
      <c r="AN1615" s="388"/>
      <c r="AO1615" s="388"/>
      <c r="AP1615" s="388"/>
      <c r="AQ1615" s="388"/>
      <c r="AR1615" s="388"/>
      <c r="AS1615" s="388"/>
      <c r="AT1615" s="388"/>
      <c r="AU1615" s="388"/>
      <c r="AV1615" s="388"/>
      <c r="AW1615" s="388"/>
      <c r="AX1615" s="388"/>
      <c r="AY1615" s="388"/>
      <c r="AZ1615" s="388"/>
      <c r="BA1615" s="388"/>
      <c r="BB1615" s="389"/>
      <c r="BC1615" s="98">
        <v>1</v>
      </c>
      <c r="BD1615" s="74">
        <v>1</v>
      </c>
      <c r="BE1615" s="75">
        <f t="shared" si="633"/>
        <v>0</v>
      </c>
    </row>
    <row r="1616" spans="1:57" s="1" customFormat="1" ht="18" customHeight="1" x14ac:dyDescent="0.4">
      <c r="A1616" s="37" t="str">
        <f t="shared" si="626"/>
        <v>26Н</v>
      </c>
      <c r="B1616" s="183"/>
      <c r="C1616" s="41"/>
      <c r="D1616" s="184"/>
      <c r="E1616" s="282">
        <f t="shared" si="634"/>
        <v>26</v>
      </c>
      <c r="F1616" s="335"/>
      <c r="G1616" s="336"/>
      <c r="H1616" s="336"/>
      <c r="I1616" s="336"/>
      <c r="J1616" s="336"/>
      <c r="K1616" s="336"/>
      <c r="L1616" s="336"/>
      <c r="M1616" s="336"/>
      <c r="N1616" s="336"/>
      <c r="O1616" s="336"/>
      <c r="P1616" s="336"/>
      <c r="Q1616" s="336"/>
      <c r="R1616" s="336"/>
      <c r="S1616" s="336"/>
      <c r="T1616" s="336"/>
      <c r="U1616" s="336"/>
      <c r="V1616" s="336"/>
      <c r="W1616" s="336"/>
      <c r="X1616" s="98">
        <v>1</v>
      </c>
      <c r="Y1616" s="74">
        <v>1</v>
      </c>
      <c r="Z1616" s="75">
        <f t="shared" si="632"/>
        <v>0</v>
      </c>
      <c r="AA1616" s="107">
        <f t="shared" si="636"/>
        <v>0</v>
      </c>
      <c r="AB1616" s="41"/>
      <c r="AC1616" s="184"/>
      <c r="AD1616" s="212">
        <f t="shared" si="635"/>
        <v>26</v>
      </c>
      <c r="AE1616" s="387"/>
      <c r="AF1616" s="388"/>
      <c r="AG1616" s="388"/>
      <c r="AH1616" s="388"/>
      <c r="AI1616" s="388"/>
      <c r="AJ1616" s="388"/>
      <c r="AK1616" s="388"/>
      <c r="AL1616" s="388"/>
      <c r="AM1616" s="388"/>
      <c r="AN1616" s="388"/>
      <c r="AO1616" s="388"/>
      <c r="AP1616" s="388"/>
      <c r="AQ1616" s="388"/>
      <c r="AR1616" s="388"/>
      <c r="AS1616" s="388"/>
      <c r="AT1616" s="388"/>
      <c r="AU1616" s="388"/>
      <c r="AV1616" s="388"/>
      <c r="AW1616" s="388"/>
      <c r="AX1616" s="388"/>
      <c r="AY1616" s="388"/>
      <c r="AZ1616" s="388"/>
      <c r="BA1616" s="388"/>
      <c r="BB1616" s="389"/>
      <c r="BC1616" s="98">
        <v>1</v>
      </c>
      <c r="BD1616" s="74">
        <v>1</v>
      </c>
      <c r="BE1616" s="75">
        <f t="shared" si="633"/>
        <v>0</v>
      </c>
    </row>
    <row r="1617" spans="1:57" s="1" customFormat="1" ht="18" customHeight="1" x14ac:dyDescent="0.4">
      <c r="A1617" s="37" t="str">
        <f t="shared" si="626"/>
        <v>26Н</v>
      </c>
      <c r="B1617" s="183"/>
      <c r="C1617" s="41"/>
      <c r="D1617" s="184"/>
      <c r="E1617" s="282">
        <f t="shared" si="634"/>
        <v>26</v>
      </c>
      <c r="F1617" s="335"/>
      <c r="G1617" s="336"/>
      <c r="H1617" s="336"/>
      <c r="I1617" s="336"/>
      <c r="J1617" s="336"/>
      <c r="K1617" s="336"/>
      <c r="L1617" s="336"/>
      <c r="M1617" s="336"/>
      <c r="N1617" s="336"/>
      <c r="O1617" s="336"/>
      <c r="P1617" s="336"/>
      <c r="Q1617" s="336"/>
      <c r="R1617" s="336"/>
      <c r="S1617" s="336"/>
      <c r="T1617" s="336"/>
      <c r="U1617" s="336"/>
      <c r="V1617" s="336"/>
      <c r="W1617" s="336"/>
      <c r="X1617" s="98">
        <v>1</v>
      </c>
      <c r="Y1617" s="74">
        <v>1</v>
      </c>
      <c r="Z1617" s="75">
        <f t="shared" si="632"/>
        <v>0</v>
      </c>
      <c r="AA1617" s="107">
        <f t="shared" si="636"/>
        <v>0</v>
      </c>
      <c r="AB1617" s="41"/>
      <c r="AC1617" s="184"/>
      <c r="AD1617" s="212">
        <f t="shared" si="635"/>
        <v>26</v>
      </c>
      <c r="AE1617" s="387"/>
      <c r="AF1617" s="388"/>
      <c r="AG1617" s="388"/>
      <c r="AH1617" s="388"/>
      <c r="AI1617" s="388"/>
      <c r="AJ1617" s="388"/>
      <c r="AK1617" s="388"/>
      <c r="AL1617" s="388"/>
      <c r="AM1617" s="388"/>
      <c r="AN1617" s="388"/>
      <c r="AO1617" s="388"/>
      <c r="AP1617" s="388"/>
      <c r="AQ1617" s="388"/>
      <c r="AR1617" s="388"/>
      <c r="AS1617" s="388"/>
      <c r="AT1617" s="388"/>
      <c r="AU1617" s="388"/>
      <c r="AV1617" s="388"/>
      <c r="AW1617" s="388"/>
      <c r="AX1617" s="388"/>
      <c r="AY1617" s="388"/>
      <c r="AZ1617" s="388"/>
      <c r="BA1617" s="388"/>
      <c r="BB1617" s="389"/>
      <c r="BC1617" s="98">
        <v>1</v>
      </c>
      <c r="BD1617" s="74">
        <v>1</v>
      </c>
      <c r="BE1617" s="75">
        <f t="shared" si="633"/>
        <v>0</v>
      </c>
    </row>
    <row r="1618" spans="1:57" s="1" customFormat="1" ht="18" customHeight="1" x14ac:dyDescent="0.4">
      <c r="A1618" s="37" t="str">
        <f t="shared" si="626"/>
        <v>26Н</v>
      </c>
      <c r="B1618" s="183"/>
      <c r="C1618" s="41"/>
      <c r="D1618" s="184"/>
      <c r="E1618" s="282">
        <f t="shared" si="634"/>
        <v>26</v>
      </c>
      <c r="F1618" s="335"/>
      <c r="G1618" s="336"/>
      <c r="H1618" s="336"/>
      <c r="I1618" s="336"/>
      <c r="J1618" s="336"/>
      <c r="K1618" s="336"/>
      <c r="L1618" s="336"/>
      <c r="M1618" s="336"/>
      <c r="N1618" s="336"/>
      <c r="O1618" s="336"/>
      <c r="P1618" s="336"/>
      <c r="Q1618" s="336"/>
      <c r="R1618" s="336"/>
      <c r="S1618" s="336"/>
      <c r="T1618" s="336"/>
      <c r="U1618" s="336"/>
      <c r="V1618" s="336"/>
      <c r="W1618" s="336"/>
      <c r="X1618" s="98">
        <v>1</v>
      </c>
      <c r="Y1618" s="74">
        <v>1</v>
      </c>
      <c r="Z1618" s="75">
        <f t="shared" si="632"/>
        <v>0</v>
      </c>
      <c r="AA1618" s="107">
        <f t="shared" si="636"/>
        <v>0</v>
      </c>
      <c r="AB1618" s="41"/>
      <c r="AC1618" s="184"/>
      <c r="AD1618" s="212">
        <f t="shared" si="635"/>
        <v>26</v>
      </c>
      <c r="AE1618" s="387"/>
      <c r="AF1618" s="388"/>
      <c r="AG1618" s="388"/>
      <c r="AH1618" s="388"/>
      <c r="AI1618" s="388"/>
      <c r="AJ1618" s="388"/>
      <c r="AK1618" s="388"/>
      <c r="AL1618" s="388"/>
      <c r="AM1618" s="388"/>
      <c r="AN1618" s="388"/>
      <c r="AO1618" s="388"/>
      <c r="AP1618" s="388"/>
      <c r="AQ1618" s="388"/>
      <c r="AR1618" s="388"/>
      <c r="AS1618" s="388"/>
      <c r="AT1618" s="388"/>
      <c r="AU1618" s="388"/>
      <c r="AV1618" s="388"/>
      <c r="AW1618" s="388"/>
      <c r="AX1618" s="388"/>
      <c r="AY1618" s="388"/>
      <c r="AZ1618" s="388"/>
      <c r="BA1618" s="388"/>
      <c r="BB1618" s="389"/>
      <c r="BC1618" s="98">
        <v>1</v>
      </c>
      <c r="BD1618" s="74">
        <v>1</v>
      </c>
      <c r="BE1618" s="75">
        <f t="shared" si="633"/>
        <v>0</v>
      </c>
    </row>
    <row r="1619" spans="1:57" s="1" customFormat="1" ht="18" customHeight="1" x14ac:dyDescent="0.4">
      <c r="A1619" s="37" t="str">
        <f t="shared" si="626"/>
        <v>26Н</v>
      </c>
      <c r="B1619" s="183"/>
      <c r="C1619" s="41"/>
      <c r="D1619" s="184"/>
      <c r="E1619" s="282">
        <f t="shared" si="634"/>
        <v>26</v>
      </c>
      <c r="F1619" s="335"/>
      <c r="G1619" s="336"/>
      <c r="H1619" s="336"/>
      <c r="I1619" s="336"/>
      <c r="J1619" s="336"/>
      <c r="K1619" s="336"/>
      <c r="L1619" s="336"/>
      <c r="M1619" s="336"/>
      <c r="N1619" s="336"/>
      <c r="O1619" s="336"/>
      <c r="P1619" s="336"/>
      <c r="Q1619" s="336"/>
      <c r="R1619" s="336"/>
      <c r="S1619" s="336"/>
      <c r="T1619" s="336"/>
      <c r="U1619" s="336"/>
      <c r="V1619" s="336"/>
      <c r="W1619" s="336"/>
      <c r="X1619" s="98">
        <v>1</v>
      </c>
      <c r="Y1619" s="74">
        <v>1</v>
      </c>
      <c r="Z1619" s="75">
        <f t="shared" si="632"/>
        <v>0</v>
      </c>
      <c r="AA1619" s="107">
        <f t="shared" si="636"/>
        <v>0</v>
      </c>
      <c r="AB1619" s="41"/>
      <c r="AC1619" s="184"/>
      <c r="AD1619" s="212">
        <f t="shared" si="635"/>
        <v>26</v>
      </c>
      <c r="AE1619" s="387"/>
      <c r="AF1619" s="388"/>
      <c r="AG1619" s="388"/>
      <c r="AH1619" s="388"/>
      <c r="AI1619" s="388"/>
      <c r="AJ1619" s="388"/>
      <c r="AK1619" s="388"/>
      <c r="AL1619" s="388"/>
      <c r="AM1619" s="388"/>
      <c r="AN1619" s="388"/>
      <c r="AO1619" s="388"/>
      <c r="AP1619" s="388"/>
      <c r="AQ1619" s="388"/>
      <c r="AR1619" s="388"/>
      <c r="AS1619" s="388"/>
      <c r="AT1619" s="388"/>
      <c r="AU1619" s="388"/>
      <c r="AV1619" s="388"/>
      <c r="AW1619" s="388"/>
      <c r="AX1619" s="388"/>
      <c r="AY1619" s="388"/>
      <c r="AZ1619" s="388"/>
      <c r="BA1619" s="388"/>
      <c r="BB1619" s="389"/>
      <c r="BC1619" s="98">
        <v>1</v>
      </c>
      <c r="BD1619" s="74">
        <v>1</v>
      </c>
      <c r="BE1619" s="75">
        <f t="shared" si="633"/>
        <v>0</v>
      </c>
    </row>
    <row r="1620" spans="1:57" s="1" customFormat="1" ht="18" customHeight="1" thickBot="1" x14ac:dyDescent="0.45">
      <c r="A1620" s="37" t="str">
        <f t="shared" si="626"/>
        <v>26Н</v>
      </c>
      <c r="B1620" s="183"/>
      <c r="C1620" s="41"/>
      <c r="D1620" s="184"/>
      <c r="E1620" s="283">
        <f t="shared" si="634"/>
        <v>26</v>
      </c>
      <c r="F1620" s="339"/>
      <c r="G1620" s="340"/>
      <c r="H1620" s="340"/>
      <c r="I1620" s="340"/>
      <c r="J1620" s="340"/>
      <c r="K1620" s="340"/>
      <c r="L1620" s="340"/>
      <c r="M1620" s="340"/>
      <c r="N1620" s="340"/>
      <c r="O1620" s="340"/>
      <c r="P1620" s="340"/>
      <c r="Q1620" s="340"/>
      <c r="R1620" s="340"/>
      <c r="S1620" s="340"/>
      <c r="T1620" s="340"/>
      <c r="U1620" s="340"/>
      <c r="V1620" s="340"/>
      <c r="W1620" s="340"/>
      <c r="X1620" s="99">
        <v>1</v>
      </c>
      <c r="Y1620" s="76">
        <v>1</v>
      </c>
      <c r="Z1620" s="77">
        <f t="shared" si="632"/>
        <v>0</v>
      </c>
      <c r="AA1620" s="107">
        <f t="shared" si="636"/>
        <v>0</v>
      </c>
      <c r="AB1620" s="41"/>
      <c r="AC1620" s="184"/>
      <c r="AD1620" s="211">
        <f t="shared" si="635"/>
        <v>26</v>
      </c>
      <c r="AE1620" s="410"/>
      <c r="AF1620" s="411"/>
      <c r="AG1620" s="411"/>
      <c r="AH1620" s="411"/>
      <c r="AI1620" s="411"/>
      <c r="AJ1620" s="411"/>
      <c r="AK1620" s="411"/>
      <c r="AL1620" s="411"/>
      <c r="AM1620" s="411"/>
      <c r="AN1620" s="411"/>
      <c r="AO1620" s="411"/>
      <c r="AP1620" s="411"/>
      <c r="AQ1620" s="411"/>
      <c r="AR1620" s="411"/>
      <c r="AS1620" s="411"/>
      <c r="AT1620" s="411"/>
      <c r="AU1620" s="411"/>
      <c r="AV1620" s="411"/>
      <c r="AW1620" s="411"/>
      <c r="AX1620" s="411"/>
      <c r="AY1620" s="411"/>
      <c r="AZ1620" s="411"/>
      <c r="BA1620" s="411"/>
      <c r="BB1620" s="412"/>
      <c r="BC1620" s="99">
        <v>1</v>
      </c>
      <c r="BD1620" s="76">
        <v>1</v>
      </c>
      <c r="BE1620" s="75">
        <f t="shared" si="633"/>
        <v>0</v>
      </c>
    </row>
    <row r="1621" spans="1:57" s="1" customFormat="1" ht="23.25" customHeight="1" thickBot="1" x14ac:dyDescent="0.45">
      <c r="A1621" s="37" t="str">
        <f t="shared" si="626"/>
        <v>26Н</v>
      </c>
      <c r="B1621" s="193"/>
      <c r="C1621" s="47"/>
      <c r="D1621" s="47"/>
      <c r="E1621" s="47"/>
      <c r="F1621" s="78"/>
      <c r="G1621" s="78"/>
      <c r="H1621" s="78"/>
      <c r="I1621" s="80"/>
      <c r="J1621" s="80"/>
      <c r="K1621" s="80"/>
      <c r="L1621" s="80"/>
      <c r="M1621" s="80"/>
      <c r="N1621" s="80"/>
      <c r="O1621" s="78"/>
      <c r="P1621" s="81"/>
      <c r="Q1621" s="81"/>
      <c r="R1621" s="81"/>
      <c r="S1621" s="81"/>
      <c r="T1621" s="81"/>
      <c r="U1621" s="82"/>
      <c r="V1621" s="82"/>
      <c r="W1621" s="86"/>
      <c r="X1621" s="194"/>
      <c r="Y1621" s="83"/>
      <c r="Z1621" s="83"/>
      <c r="AA1621" s="78"/>
      <c r="AB1621" s="47"/>
      <c r="AC1621" s="47"/>
      <c r="AD1621" s="47"/>
      <c r="AE1621" s="47"/>
      <c r="AF1621" s="47"/>
      <c r="AG1621" s="47"/>
      <c r="AH1621" s="47"/>
      <c r="AI1621" s="47"/>
      <c r="AJ1621" s="47"/>
      <c r="AK1621" s="47"/>
      <c r="AL1621" s="47"/>
      <c r="AM1621" s="84"/>
      <c r="AN1621" s="47"/>
      <c r="AO1621" s="78"/>
      <c r="AP1621" s="78"/>
      <c r="AQ1621" s="78"/>
      <c r="AR1621" s="84"/>
      <c r="AS1621" s="78"/>
      <c r="AT1621" s="85"/>
      <c r="AU1621" s="78"/>
      <c r="AV1621" s="83"/>
      <c r="AW1621" s="83"/>
      <c r="AX1621" s="78"/>
      <c r="AY1621" s="78"/>
      <c r="AZ1621" s="78"/>
      <c r="BA1621" s="78"/>
      <c r="BB1621" s="78"/>
      <c r="BC1621" s="78"/>
      <c r="BD1621" s="79"/>
      <c r="BE1621" s="79"/>
    </row>
    <row r="1622" spans="1:57" s="1" customFormat="1" ht="21.6" customHeight="1" thickBot="1" x14ac:dyDescent="0.45">
      <c r="A1622" s="37" t="s">
        <v>198</v>
      </c>
      <c r="B1622" s="59"/>
      <c r="C1622" s="51"/>
      <c r="D1622" s="51"/>
      <c r="E1622" s="51"/>
      <c r="F1622" s="158" t="s">
        <v>147</v>
      </c>
      <c r="G1622" s="51"/>
      <c r="H1622" s="51"/>
      <c r="I1622" s="156"/>
      <c r="J1622" s="156"/>
      <c r="K1622" s="156"/>
      <c r="L1622" s="156"/>
      <c r="M1622" s="156"/>
      <c r="N1622" s="156"/>
      <c r="O1622" s="91"/>
      <c r="P1622" s="52"/>
      <c r="Q1622" s="52"/>
      <c r="R1622" s="52"/>
      <c r="S1622" s="52"/>
      <c r="T1622" s="52"/>
      <c r="U1622" s="157"/>
      <c r="V1622" s="157"/>
      <c r="W1622" s="94"/>
      <c r="X1622" s="94"/>
      <c r="Y1622" s="51"/>
      <c r="Z1622" s="51"/>
      <c r="AA1622" s="157">
        <f>AA1605</f>
        <v>1</v>
      </c>
      <c r="AB1622" s="157">
        <f t="shared" ref="AB1622:AF1622" si="637">AB1605</f>
        <v>2</v>
      </c>
      <c r="AC1622" s="157">
        <f t="shared" si="637"/>
        <v>3</v>
      </c>
      <c r="AD1622" s="157">
        <f t="shared" si="637"/>
        <v>4</v>
      </c>
      <c r="AE1622" s="157">
        <f t="shared" si="637"/>
        <v>5</v>
      </c>
      <c r="AF1622" s="157">
        <f t="shared" si="637"/>
        <v>6</v>
      </c>
      <c r="AG1622" s="162" t="s">
        <v>123</v>
      </c>
      <c r="AH1622" s="162" t="s">
        <v>124</v>
      </c>
      <c r="AI1622" s="162" t="s">
        <v>125</v>
      </c>
      <c r="AJ1622" s="91" t="s">
        <v>126</v>
      </c>
      <c r="AK1622" s="198" t="s">
        <v>136</v>
      </c>
      <c r="AL1622" s="198" t="s">
        <v>137</v>
      </c>
      <c r="AM1622" s="198" t="s">
        <v>138</v>
      </c>
      <c r="AN1622" s="91"/>
      <c r="AO1622" s="91"/>
      <c r="AP1622" s="91"/>
      <c r="AQ1622" s="91"/>
      <c r="AR1622" s="91"/>
      <c r="AS1622" s="91"/>
      <c r="AT1622" s="91"/>
      <c r="AU1622" s="91"/>
      <c r="AV1622" s="91"/>
      <c r="AW1622" s="91"/>
      <c r="AX1622" s="91"/>
      <c r="AY1622" s="91"/>
      <c r="AZ1622" s="91"/>
      <c r="BA1622" s="91"/>
      <c r="BB1622" s="91"/>
      <c r="BC1622" s="91"/>
      <c r="BD1622" s="91"/>
      <c r="BE1622" s="91"/>
    </row>
    <row r="1623" spans="1:57" s="1" customFormat="1" ht="21.6" customHeight="1" x14ac:dyDescent="0.4">
      <c r="A1623" s="37" t="str">
        <f>A1622</f>
        <v>27Д</v>
      </c>
      <c r="B1623" s="12">
        <f>B1604+1</f>
        <v>27</v>
      </c>
      <c r="C1623" s="97"/>
      <c r="D1623" s="97">
        <v>1</v>
      </c>
      <c r="E1623" s="29"/>
      <c r="F1623" s="151" t="str">
        <f>IFERROR(VLOOKUP($G1623,нормы!$A$14:$BC$57,2,0),"")</f>
        <v/>
      </c>
      <c r="G1623" s="93"/>
      <c r="H1623" s="54">
        <f>IF(C1623=1,"Кульков С.А.", IF(C1623=2,"Чудаков А.А.",IF(C1623=3,"Королев В.Н.",IF(C1623=4,"Николашин М.П.",IF(C1623=5," Кульков С.А.",IF(C1623=6,"А.А. Чудаков",IF(C1623=7,"В.Н. Королев",IF(C1623=8,"М.П. Николашин",0))))))))</f>
        <v>0</v>
      </c>
      <c r="I1623" s="88" t="s">
        <v>84</v>
      </c>
      <c r="J1623" s="332"/>
      <c r="K1623" s="30">
        <f>IFERROR(VLOOKUP($G1623,[1]нормы!$A$21:$BC$151,15,0),"")</f>
        <v>0</v>
      </c>
      <c r="L1623" s="31">
        <f>IFERROR(VLOOKUP($G1623,[1]нормы!$A$21:$BC$151,17,0),"")</f>
        <v>0</v>
      </c>
      <c r="M1623" s="310">
        <f>IFERROR(VLOOKUP($G1623,[1]нормы!$A$21:$BC$151,27,0),"")</f>
        <v>0</v>
      </c>
      <c r="N1623" s="311" t="str">
        <f>IFERROR(Y1623/Y1629*(1.1*J1623*I1628),"")</f>
        <v/>
      </c>
      <c r="O1623" s="300">
        <f>IFERROR(VLOOKUP($G1623,[1]нормы!$A$21:$BC$151,21,0),"")</f>
        <v>0</v>
      </c>
      <c r="P1623" s="35">
        <f>IFERROR(VLOOKUP($G1623,[1]нормы!$A$21:$BC$151,19,0),"")</f>
        <v>0</v>
      </c>
      <c r="Q1623" s="35">
        <f>IFERROR(VLOOKUP($G1623,[1]нормы!$A$21:$BC$151,23,0),"")</f>
        <v>0</v>
      </c>
      <c r="R1623" s="231">
        <f>IFERROR(VLOOKUP($G1623,[1]нормы!$A$21:$BC$151,29,0),"")</f>
        <v>0</v>
      </c>
      <c r="S1623" s="35">
        <f>IFERROR(VLOOKUP($G1623,[1]нормы!$A$21:$BC$151,31,0),"")</f>
        <v>0</v>
      </c>
      <c r="T1623" s="32">
        <f>IFERROR(VLOOKUP($G1623,[1]нормы!$A$21:$BC$151,25,0),"")</f>
        <v>0</v>
      </c>
      <c r="U1623" s="232" t="str">
        <f>IFERROR(W1623/(((100*Y1623/Y1629)*I1628)/100),"")</f>
        <v/>
      </c>
      <c r="V1623" s="234" t="str">
        <f>IFERROR(VLOOKUP($G1623,нормы!$A$14:$BC$57,38,0),"")</f>
        <v/>
      </c>
      <c r="W1623" s="136"/>
      <c r="X1623" s="236"/>
      <c r="Y1623" s="152" t="str">
        <f>IFERROR(VLOOKUP($G1623,нормы!$A$14:$BC$57,42,0)*W1623,"")</f>
        <v/>
      </c>
      <c r="Z1623" s="163">
        <f>IFERROR(VLOOKUP($G1623,нормы!$A$14:$BC$57,14,0)*W1623/1000,0)</f>
        <v>0</v>
      </c>
      <c r="AA1623" s="33"/>
      <c r="AB1623" s="36"/>
      <c r="AC1623" s="36"/>
      <c r="AD1623" s="36"/>
      <c r="AE1623" s="34"/>
      <c r="AF1623" s="159"/>
      <c r="AG1623" s="390"/>
      <c r="AH1623" s="393"/>
      <c r="AI1623" s="396"/>
      <c r="AJ1623" s="407">
        <f>AG1623+AH1623</f>
        <v>0</v>
      </c>
      <c r="AK1623" s="359"/>
      <c r="AL1623" s="359"/>
      <c r="AM1623" s="359"/>
      <c r="AN1623" s="287">
        <f>IFERROR(Y1623*AJ1623/Y1629,)</f>
        <v>0</v>
      </c>
      <c r="AO1623" s="197" t="str">
        <f>IFERROR(VLOOKUP($G1623,нормы!$A$14:$BC$57,53,0)*$W1623,"")</f>
        <v/>
      </c>
      <c r="AP1623" s="288">
        <f>IFERROR(Y1623*AI1623/Y1629,)</f>
        <v>0</v>
      </c>
      <c r="AQ1623" s="197" t="str">
        <f>IFERROR(VLOOKUP($G1623,нормы!$A$14:$BC$57,54,0)*$W1623,"")</f>
        <v/>
      </c>
      <c r="AR1623" s="288">
        <f>IFERROR(AS1623/SUM(AS1623:AS1628)*AL1623,0)</f>
        <v>0</v>
      </c>
      <c r="AS1623" s="197" t="str">
        <f>IFERROR(VLOOKUP($G1623,нормы!$A$14:$BC$57,55,0)*W1623,"")</f>
        <v/>
      </c>
      <c r="AT1623" s="288">
        <f>IFERROR(AU1623/SUM(AU1623:AU1628)*AM1623,0)</f>
        <v>0</v>
      </c>
      <c r="AU1623" s="197" t="str">
        <f>IFERROR(VLOOKUP($G1623,нормы!$A$14:$BI$57,56,0)*W1623,"")</f>
        <v/>
      </c>
      <c r="AV1623" s="288">
        <f>IFERROR(AW1623/SUM(AW1623:AW1628)*AK1623,0)</f>
        <v>0</v>
      </c>
      <c r="AW1623" s="202" t="str">
        <f>IFERROR(VLOOKUP($G1623,нормы!$A$14:$BI$57,57,0)*W1623,"")</f>
        <v/>
      </c>
      <c r="AX1623" s="33"/>
      <c r="AY1623" s="203" t="str">
        <f>IFERROR(VLOOKUP($G1623,нормы!$A$14:$BI$57,58,0)*W1623,"")</f>
        <v/>
      </c>
      <c r="AZ1623" s="204"/>
      <c r="BA1623" s="200" t="str">
        <f>IFERROR(VLOOKUP($G1623,нормы!$A$14:$BI$57,61,0)*$W1623,"")</f>
        <v/>
      </c>
      <c r="BB1623" s="33"/>
      <c r="BC1623" s="203" t="str">
        <f>IFERROR(VLOOKUP($G1623,нормы!$A$14:$BI$57,60,0)*W1623,"")</f>
        <v/>
      </c>
      <c r="BD1623" s="200" t="str">
        <f>IFERROR(VLOOKUP($G1623,нормы!$A$14:$BG$57,44,0),"")</f>
        <v/>
      </c>
      <c r="BE1623" s="199" t="str">
        <f>IFERROR(W1623/VLOOKUP($G1623,нормы!$A$14:$BI$57,45,0),"")</f>
        <v/>
      </c>
    </row>
    <row r="1624" spans="1:57" s="1" customFormat="1" ht="21.6" customHeight="1" x14ac:dyDescent="0.4">
      <c r="A1624" s="37" t="str">
        <f t="shared" ref="A1624:A1652" si="638">A1623</f>
        <v>27Д</v>
      </c>
      <c r="B1624" s="12">
        <f t="shared" ref="B1624:D1628" si="639">B1623</f>
        <v>27</v>
      </c>
      <c r="C1624" s="97">
        <f t="shared" si="639"/>
        <v>0</v>
      </c>
      <c r="D1624" s="97">
        <f t="shared" si="639"/>
        <v>1</v>
      </c>
      <c r="E1624" s="54"/>
      <c r="F1624" s="151" t="str">
        <f>IFERROR(VLOOKUP($G1624,нормы!$A$14:$BC$57,2,0),"")</f>
        <v/>
      </c>
      <c r="G1624" s="93"/>
      <c r="H1624" s="54">
        <f t="shared" ref="H1624:H1628" si="640">IF(C1624=1,"Кульков С.А.", IF(C1624=2,"Чудаков А.А.",IF(C1624=3,"Королев В.Н.",IF(C1624=4,"Николашин М.П.",IF(C1624=5," Кульков С.А.",IF(C1624=6,"А.А. Чудаков",IF(C1624=7,"В.Н. Королев",IF(C1624=8,"М.П. Николашин",0))))))))</f>
        <v>0</v>
      </c>
      <c r="I1624" s="55"/>
      <c r="J1624" s="333"/>
      <c r="K1624" s="30">
        <f>IFERROR(VLOOKUP($G1624,[1]нормы!$A$21:$BC$151,15,0),"")</f>
        <v>0</v>
      </c>
      <c r="L1624" s="31">
        <f>IFERROR(VLOOKUP($G1624,[1]нормы!$A$21:$BC$151,17,0),"")</f>
        <v>0</v>
      </c>
      <c r="M1624" s="306">
        <f>IFERROR(VLOOKUP($G1624,[1]нормы!$A$21:$BC$151,27,0),"")</f>
        <v>0</v>
      </c>
      <c r="N1624" s="307" t="str">
        <f>IFERROR(Y1624/Y1629*(1.1*J1623*I1628),"")</f>
        <v/>
      </c>
      <c r="O1624" s="300">
        <f>IFERROR(VLOOKUP($G1624,[1]нормы!$A$21:$BC$151,21,0),"")</f>
        <v>0</v>
      </c>
      <c r="P1624" s="35">
        <f>IFERROR(VLOOKUP($G1624,[1]нормы!$A$21:$BC$151,19,0),"")</f>
        <v>0</v>
      </c>
      <c r="Q1624" s="35">
        <f>IFERROR(VLOOKUP($G1624,[1]нормы!$A$21:$BC$151,23,0),"")</f>
        <v>0</v>
      </c>
      <c r="R1624" s="231">
        <f>IFERROR(VLOOKUP($G1624,[1]нормы!$A$21:$BC$151,29,0),"")</f>
        <v>0</v>
      </c>
      <c r="S1624" s="35">
        <f>IFERROR(VLOOKUP($G1624,[1]нормы!$A$21:$BC$151,31,0),"")</f>
        <v>0</v>
      </c>
      <c r="T1624" s="32">
        <f>IFERROR(VLOOKUP($G1624,[1]нормы!$A$21:$BC$151,25,0),"")</f>
        <v>0</v>
      </c>
      <c r="U1624" s="233" t="str">
        <f>IFERROR(W1624/(((100*Y1624/Y1629)*I1628)/100),"")</f>
        <v/>
      </c>
      <c r="V1624" s="234" t="str">
        <f>IFERROR(VLOOKUP($G1624,нормы!$A$14:$BC$57,38,0),"")</f>
        <v/>
      </c>
      <c r="W1624" s="136"/>
      <c r="X1624" s="237"/>
      <c r="Y1624" s="152" t="str">
        <f>IFERROR(VLOOKUP($G1624,нормы!$A$14:$BC$57,42,0)*W1624,"")</f>
        <v/>
      </c>
      <c r="Z1624" s="163">
        <f>IFERROR(VLOOKUP($G1624,нормы!$A$14:$BC$57,14,0)*W1624/1000,0)</f>
        <v>0</v>
      </c>
      <c r="AA1624" s="142"/>
      <c r="AB1624" s="35"/>
      <c r="AC1624" s="35"/>
      <c r="AD1624" s="35"/>
      <c r="AE1624" s="31"/>
      <c r="AF1624" s="160"/>
      <c r="AG1624" s="391"/>
      <c r="AH1624" s="394"/>
      <c r="AI1624" s="397"/>
      <c r="AJ1624" s="408"/>
      <c r="AK1624" s="360"/>
      <c r="AL1624" s="360"/>
      <c r="AM1624" s="360"/>
      <c r="AN1624" s="289">
        <f>IFERROR(Y1624*AJ1623/Y1629,)</f>
        <v>0</v>
      </c>
      <c r="AO1624" s="197" t="str">
        <f>IFERROR(VLOOKUP($G1624,нормы!$A$14:$BC$57,53,0)*$W1624,"")</f>
        <v/>
      </c>
      <c r="AP1624" s="290">
        <f>IFERROR(Y1624*AI1623/Y1629,)</f>
        <v>0</v>
      </c>
      <c r="AQ1624" s="197" t="str">
        <f>IFERROR(VLOOKUP($G1624,нормы!$A$14:$BC$57,54,0)*$W1624,"")</f>
        <v/>
      </c>
      <c r="AR1624" s="290">
        <f>IFERROR(AS1624/SUM(AS1623:AS1628)*AL1623,0)</f>
        <v>0</v>
      </c>
      <c r="AS1624" s="197" t="str">
        <f>IFERROR(VLOOKUP($G1624,нормы!$A$14:$BC$57,55,0)*W1624,"")</f>
        <v/>
      </c>
      <c r="AT1624" s="290">
        <f>IFERROR(AU1624/SUM(AU1623:AU1628)*AM1623,0)</f>
        <v>0</v>
      </c>
      <c r="AU1624" s="197" t="str">
        <f>IFERROR(VLOOKUP($G1624,нормы!$A$14:$BI$57,56,0)*W1624,"")</f>
        <v/>
      </c>
      <c r="AV1624" s="290">
        <f>IFERROR(AW1624/SUM(AW1623:AW1628)*AK1623,0)</f>
        <v>0</v>
      </c>
      <c r="AW1624" s="202" t="str">
        <f>IFERROR(VLOOKUP($G1624,нормы!$A$14:$BI$57,57,0)*W1624,"")</f>
        <v/>
      </c>
      <c r="AX1624" s="30"/>
      <c r="AY1624" s="203" t="str">
        <f>IFERROR(VLOOKUP($G1624,нормы!$A$14:$BI$57,58,0)*W1624,"")</f>
        <v/>
      </c>
      <c r="AZ1624" s="205"/>
      <c r="BA1624" s="200" t="str">
        <f>IFERROR(VLOOKUP($G1624,нормы!$A$14:$BI$57,61,0)*$W1624,"")</f>
        <v/>
      </c>
      <c r="BB1624" s="30"/>
      <c r="BC1624" s="203" t="str">
        <f>IFERROR(VLOOKUP($G1624,нормы!$A$14:$BI$57,60,0)*W1624,"")</f>
        <v/>
      </c>
      <c r="BD1624" s="200" t="str">
        <f>IFERROR(VLOOKUP($G1624,нормы!$A$14:$BG$57,44,0),"")</f>
        <v/>
      </c>
      <c r="BE1624" s="199" t="str">
        <f>IFERROR(W1624/VLOOKUP($G1624,нормы!$A$14:$BI$57,45,0),"")</f>
        <v/>
      </c>
    </row>
    <row r="1625" spans="1:57" s="1" customFormat="1" ht="20.25" customHeight="1" x14ac:dyDescent="0.4">
      <c r="A1625" s="37" t="str">
        <f t="shared" si="638"/>
        <v>27Д</v>
      </c>
      <c r="B1625" s="12">
        <f t="shared" si="639"/>
        <v>27</v>
      </c>
      <c r="C1625" s="97">
        <f t="shared" si="639"/>
        <v>0</v>
      </c>
      <c r="D1625" s="97">
        <f t="shared" si="639"/>
        <v>1</v>
      </c>
      <c r="E1625" s="54"/>
      <c r="F1625" s="151" t="str">
        <f>IFERROR(VLOOKUP($G1625,нормы!$A$14:$BC$57,2,0),"")</f>
        <v/>
      </c>
      <c r="G1625" s="38"/>
      <c r="H1625" s="54">
        <f t="shared" si="640"/>
        <v>0</v>
      </c>
      <c r="I1625" s="89" t="s">
        <v>85</v>
      </c>
      <c r="J1625" s="333"/>
      <c r="K1625" s="30">
        <f>IFERROR(VLOOKUP($G1625,[1]нормы!$A$21:$BC$151,15,0),"")</f>
        <v>0</v>
      </c>
      <c r="L1625" s="31">
        <f>IFERROR(VLOOKUP($G1625,[1]нормы!$A$21:$BC$151,17,0),"")</f>
        <v>0</v>
      </c>
      <c r="M1625" s="306">
        <f>IFERROR(VLOOKUP($G1625,[1]нормы!$A$21:$BC$151,27,0),"")</f>
        <v>0</v>
      </c>
      <c r="N1625" s="307" t="str">
        <f>IFERROR(Y1625/Y1629*(1.1*J1623*I1628),"")</f>
        <v/>
      </c>
      <c r="O1625" s="300">
        <f>IFERROR(VLOOKUP($G1625,[1]нормы!$A$21:$BC$151,21,0),"")</f>
        <v>0</v>
      </c>
      <c r="P1625" s="35">
        <f>IFERROR(VLOOKUP($G1625,[1]нормы!$A$21:$BC$151,19,0),"")</f>
        <v>0</v>
      </c>
      <c r="Q1625" s="35">
        <f>IFERROR(VLOOKUP($G1625,[1]нормы!$A$21:$BC$151,23,0),"")</f>
        <v>0</v>
      </c>
      <c r="R1625" s="231">
        <f>IFERROR(VLOOKUP($G1625,[1]нормы!$A$21:$BC$151,29,0),"")</f>
        <v>0</v>
      </c>
      <c r="S1625" s="35">
        <f>IFERROR(VLOOKUP($G1625,[1]нормы!$A$21:$BC$151,31,0),"")</f>
        <v>0</v>
      </c>
      <c r="T1625" s="32">
        <f>IFERROR(VLOOKUP($G1625,[1]нормы!$A$21:$BC$151,25,0),"")</f>
        <v>0</v>
      </c>
      <c r="U1625" s="233" t="str">
        <f>IFERROR(W1625/(((100*Y1625/Y1629)*I1628)/100),"")</f>
        <v/>
      </c>
      <c r="V1625" s="234" t="str">
        <f>IFERROR(VLOOKUP($G1625,нормы!$A$14:$BC$57,38,0),"")</f>
        <v/>
      </c>
      <c r="W1625" s="136"/>
      <c r="X1625" s="237"/>
      <c r="Y1625" s="152" t="str">
        <f>IFERROR(VLOOKUP($G1625,нормы!$A$14:$BC$57,42,0)*W1625,"")</f>
        <v/>
      </c>
      <c r="Z1625" s="163">
        <f>IFERROR(VLOOKUP($G1625,нормы!$A$14:$BC$57,14,0)*W1625/1000,0)</f>
        <v>0</v>
      </c>
      <c r="AA1625" s="30"/>
      <c r="AB1625" s="35"/>
      <c r="AC1625" s="35"/>
      <c r="AD1625" s="35"/>
      <c r="AE1625" s="31"/>
      <c r="AF1625" s="160"/>
      <c r="AG1625" s="391"/>
      <c r="AH1625" s="394"/>
      <c r="AI1625" s="397"/>
      <c r="AJ1625" s="408"/>
      <c r="AK1625" s="360"/>
      <c r="AL1625" s="360"/>
      <c r="AM1625" s="360"/>
      <c r="AN1625" s="289">
        <f>IFERROR(Y1625*AJ1623/Y1629,)</f>
        <v>0</v>
      </c>
      <c r="AO1625" s="197" t="str">
        <f>IFERROR(VLOOKUP($G1625,нормы!$A$14:$BC$57,53,0)*$W1625,"")</f>
        <v/>
      </c>
      <c r="AP1625" s="290">
        <f>IFERROR(Y1625*AI1623/Y1629,)</f>
        <v>0</v>
      </c>
      <c r="AQ1625" s="197" t="str">
        <f>IFERROR(VLOOKUP($G1625,нормы!$A$14:$BC$57,54,0)*$W1625,"")</f>
        <v/>
      </c>
      <c r="AR1625" s="290">
        <f>IFERROR(AS1625/SUM(AS1623:AS1628)*AL1623,0)</f>
        <v>0</v>
      </c>
      <c r="AS1625" s="197" t="str">
        <f>IFERROR(VLOOKUP($G1625,нормы!$A$14:$BC$57,55,0)*W1625,"")</f>
        <v/>
      </c>
      <c r="AT1625" s="290">
        <f>IFERROR(AU1625/SUM(AU1623:AU1628)*AM1623,0)</f>
        <v>0</v>
      </c>
      <c r="AU1625" s="197" t="str">
        <f>IFERROR(VLOOKUP($G1625,нормы!$A$14:$BI$57,56,0)*W1625,"")</f>
        <v/>
      </c>
      <c r="AV1625" s="290">
        <f>IFERROR(AW1625/SUM(AW1623:AW1628)*AK1623,0)</f>
        <v>0</v>
      </c>
      <c r="AW1625" s="202" t="str">
        <f>IFERROR(VLOOKUP($G1625,нормы!$A$14:$BI$57,57,0)*W1625,"")</f>
        <v/>
      </c>
      <c r="AX1625" s="30"/>
      <c r="AY1625" s="203" t="str">
        <f>IFERROR(VLOOKUP($G1625,нормы!$A$14:$BI$57,58,0)*W1625,"")</f>
        <v/>
      </c>
      <c r="AZ1625" s="205"/>
      <c r="BA1625" s="200" t="str">
        <f>IFERROR(VLOOKUP($G1625,нормы!$A$14:$BI$57,61,0)*$W1625,"")</f>
        <v/>
      </c>
      <c r="BB1625" s="30"/>
      <c r="BC1625" s="203" t="str">
        <f>IFERROR(VLOOKUP($G1625,нормы!$A$14:$BI$57,60,0)*W1625,"")</f>
        <v/>
      </c>
      <c r="BD1625" s="200" t="str">
        <f>IFERROR(VLOOKUP($G1625,нормы!$A$14:$BG$57,44,0),"")</f>
        <v/>
      </c>
      <c r="BE1625" s="199" t="str">
        <f>IFERROR(W1625/VLOOKUP($G1625,нормы!$A$14:$BI$57,45,0),"")</f>
        <v/>
      </c>
    </row>
    <row r="1626" spans="1:57" s="1" customFormat="1" ht="20.25" customHeight="1" x14ac:dyDescent="0.4">
      <c r="A1626" s="37" t="str">
        <f t="shared" si="638"/>
        <v>27Д</v>
      </c>
      <c r="B1626" s="12">
        <f t="shared" si="639"/>
        <v>27</v>
      </c>
      <c r="C1626" s="97">
        <f t="shared" si="639"/>
        <v>0</v>
      </c>
      <c r="D1626" s="97">
        <f t="shared" si="639"/>
        <v>1</v>
      </c>
      <c r="E1626" s="54"/>
      <c r="F1626" s="151" t="str">
        <f>IFERROR(VLOOKUP($G1626,нормы!$A$14:$BC$57,2,0),"")</f>
        <v/>
      </c>
      <c r="G1626" s="93"/>
      <c r="H1626" s="54">
        <f t="shared" si="640"/>
        <v>0</v>
      </c>
      <c r="I1626" s="55"/>
      <c r="J1626" s="333"/>
      <c r="K1626" s="30">
        <f>IFERROR(VLOOKUP($G1626,[1]нормы!$A$21:$BC$151,15,0),"")</f>
        <v>0</v>
      </c>
      <c r="L1626" s="31">
        <f>IFERROR(VLOOKUP($G1626,[1]нормы!$A$21:$BC$151,17,0),"")</f>
        <v>0</v>
      </c>
      <c r="M1626" s="306">
        <f>IFERROR(VLOOKUP($G1626,[1]нормы!$A$21:$BC$151,27,0),"")</f>
        <v>0</v>
      </c>
      <c r="N1626" s="307" t="str">
        <f>IFERROR(Y1626/Y1629*(1.1*J1623*I1631),"")</f>
        <v/>
      </c>
      <c r="O1626" s="300">
        <f>IFERROR(VLOOKUP($G1626,[1]нормы!$A$21:$BC$151,21,0),"")</f>
        <v>0</v>
      </c>
      <c r="P1626" s="35">
        <f>IFERROR(VLOOKUP($G1626,[1]нормы!$A$21:$BC$151,19,0),"")</f>
        <v>0</v>
      </c>
      <c r="Q1626" s="35">
        <f>IFERROR(VLOOKUP($G1626,[1]нормы!$A$21:$BC$151,23,0),"")</f>
        <v>0</v>
      </c>
      <c r="R1626" s="231">
        <f>IFERROR(VLOOKUP($G1626,[1]нормы!$A$21:$BC$151,29,0),"")</f>
        <v>0</v>
      </c>
      <c r="S1626" s="35">
        <f>IFERROR(VLOOKUP($G1626,[1]нормы!$A$21:$BC$151,31,0),"")</f>
        <v>0</v>
      </c>
      <c r="T1626" s="32">
        <f>IFERROR(VLOOKUP($G1626,[1]нормы!$A$21:$BC$151,25,0),"")</f>
        <v>0</v>
      </c>
      <c r="U1626" s="233" t="str">
        <f>IFERROR(W1626/(((100*Y1626/Y1629)*I1628)/100),"")</f>
        <v/>
      </c>
      <c r="V1626" s="234" t="str">
        <f>IFERROR(VLOOKUP($G1626,нормы!$A$14:$BC$57,38,0),"")</f>
        <v/>
      </c>
      <c r="W1626" s="136"/>
      <c r="X1626" s="237"/>
      <c r="Y1626" s="152" t="str">
        <f>IFERROR(VLOOKUP($G1626,нормы!$A$14:$BC$57,42,0)*W1626,"")</f>
        <v/>
      </c>
      <c r="Z1626" s="163">
        <f>IFERROR(VLOOKUP($G1626,нормы!$A$14:$BC$57,14,0)*W1626/1000,0)</f>
        <v>0</v>
      </c>
      <c r="AA1626" s="30"/>
      <c r="AB1626" s="35"/>
      <c r="AC1626" s="35"/>
      <c r="AD1626" s="35"/>
      <c r="AE1626" s="31"/>
      <c r="AF1626" s="160"/>
      <c r="AG1626" s="391"/>
      <c r="AH1626" s="394"/>
      <c r="AI1626" s="397"/>
      <c r="AJ1626" s="408"/>
      <c r="AK1626" s="360"/>
      <c r="AL1626" s="360"/>
      <c r="AM1626" s="360"/>
      <c r="AN1626" s="289">
        <f>IFERROR(Y1626*AJ1623/Y1629,)</f>
        <v>0</v>
      </c>
      <c r="AO1626" s="197" t="str">
        <f>IFERROR(VLOOKUP($G1626,нормы!$A$14:$BC$57,53,0)*$W1626,"")</f>
        <v/>
      </c>
      <c r="AP1626" s="290">
        <f>IFERROR(Y1626*AI1623/Y1629,)</f>
        <v>0</v>
      </c>
      <c r="AQ1626" s="197" t="str">
        <f>IFERROR(VLOOKUP($G1626,нормы!$A$14:$BC$57,54,0)*$W1626,"")</f>
        <v/>
      </c>
      <c r="AR1626" s="290">
        <f>IFERROR(AS1626/SUM(AS1623:AS1628)*AL1623,0)</f>
        <v>0</v>
      </c>
      <c r="AS1626" s="197" t="str">
        <f>IFERROR(VLOOKUP($G1626,нормы!$A$14:$BC$57,55,0)*W1626,"")</f>
        <v/>
      </c>
      <c r="AT1626" s="290">
        <f>IFERROR(AU1626/SUM(AU1623:AU1628)*AM1623,0)</f>
        <v>0</v>
      </c>
      <c r="AU1626" s="197" t="str">
        <f>IFERROR(VLOOKUP($G1626,нормы!$A$14:$BI$57,56,0)*W1626,"")</f>
        <v/>
      </c>
      <c r="AV1626" s="290">
        <f>IFERROR(AW1626/SUM(AW1623:AW1628)*AK1623,0)</f>
        <v>0</v>
      </c>
      <c r="AW1626" s="202" t="str">
        <f>IFERROR(VLOOKUP($G1626,нормы!$A$14:$BI$57,57,0)*W1626,"")</f>
        <v/>
      </c>
      <c r="AX1626" s="30"/>
      <c r="AY1626" s="203" t="str">
        <f>IFERROR(VLOOKUP($G1626,нормы!$A$14:$BI$57,58,0)*W1626,"")</f>
        <v/>
      </c>
      <c r="AZ1626" s="205"/>
      <c r="BA1626" s="200" t="str">
        <f>IFERROR(VLOOKUP($G1626,нормы!$A$14:$BI$57,61,0)*$W1626,"")</f>
        <v/>
      </c>
      <c r="BB1626" s="30"/>
      <c r="BC1626" s="203" t="str">
        <f>IFERROR(VLOOKUP($G1626,нормы!$A$14:$BI$57,60,0)*W1626,"")</f>
        <v/>
      </c>
      <c r="BD1626" s="200" t="str">
        <f>IFERROR(VLOOKUP($G1626,нормы!$A$14:$BG$57,44,0),"")</f>
        <v/>
      </c>
      <c r="BE1626" s="199" t="str">
        <f>IFERROR(W1626/VLOOKUP($G1626,нормы!$A$14:$BI$57,45,0),"")</f>
        <v/>
      </c>
    </row>
    <row r="1627" spans="1:57" s="1" customFormat="1" ht="20.25" customHeight="1" x14ac:dyDescent="0.4">
      <c r="A1627" s="37" t="str">
        <f t="shared" si="638"/>
        <v>27Д</v>
      </c>
      <c r="B1627" s="12">
        <f t="shared" si="639"/>
        <v>27</v>
      </c>
      <c r="C1627" s="97">
        <f t="shared" si="639"/>
        <v>0</v>
      </c>
      <c r="D1627" s="97">
        <f t="shared" si="639"/>
        <v>1</v>
      </c>
      <c r="E1627" s="54"/>
      <c r="F1627" s="151" t="str">
        <f>IFERROR(VLOOKUP($G1627,нормы!$A$14:$BC$57,2,0),"")</f>
        <v/>
      </c>
      <c r="G1627" s="38"/>
      <c r="H1627" s="54">
        <f t="shared" si="640"/>
        <v>0</v>
      </c>
      <c r="I1627" s="89" t="s">
        <v>73</v>
      </c>
      <c r="J1627" s="333"/>
      <c r="K1627" s="30">
        <f>IFERROR(VLOOKUP($G1627,[1]нормы!$A$21:$BC$151,15,0),"")</f>
        <v>0</v>
      </c>
      <c r="L1627" s="31">
        <f>IFERROR(VLOOKUP($G1627,[1]нормы!$A$21:$BC$151,17,0),"")</f>
        <v>0</v>
      </c>
      <c r="M1627" s="306">
        <f>IFERROR(VLOOKUP($G1627,[1]нормы!$A$21:$BC$151,27,0),"")</f>
        <v>0</v>
      </c>
      <c r="N1627" s="307" t="str">
        <f>IFERROR(Y1627/Y1629*(1.1*J1623*I1632),"")</f>
        <v/>
      </c>
      <c r="O1627" s="300">
        <f>IFERROR(VLOOKUP($G1627,[1]нормы!$A$21:$BC$151,21,0),"")</f>
        <v>0</v>
      </c>
      <c r="P1627" s="35">
        <f>IFERROR(VLOOKUP($G1627,[1]нормы!$A$21:$BC$151,19,0),"")</f>
        <v>0</v>
      </c>
      <c r="Q1627" s="35">
        <f>IFERROR(VLOOKUP($G1627,[1]нормы!$A$21:$BC$151,23,0),"")</f>
        <v>0</v>
      </c>
      <c r="R1627" s="231">
        <f>IFERROR(VLOOKUP($G1627,[1]нормы!$A$21:$BC$151,29,0),"")</f>
        <v>0</v>
      </c>
      <c r="S1627" s="35">
        <f>IFERROR(VLOOKUP($G1627,[1]нормы!$A$21:$BC$151,31,0),"")</f>
        <v>0</v>
      </c>
      <c r="T1627" s="32">
        <f>IFERROR(VLOOKUP($G1627,[1]нормы!$A$21:$BC$151,25,0),"")</f>
        <v>0</v>
      </c>
      <c r="U1627" s="233" t="str">
        <f>IFERROR(W1627/(((100*Y1627/Y1629)*I1628)/100),"")</f>
        <v/>
      </c>
      <c r="V1627" s="234" t="str">
        <f>IFERROR(VLOOKUP($G1627,нормы!$A$14:$BC$57,38,0),"")</f>
        <v/>
      </c>
      <c r="W1627" s="136"/>
      <c r="X1627" s="237"/>
      <c r="Y1627" s="152" t="str">
        <f>IFERROR(VLOOKUP($G1627,нормы!$A$14:$BC$57,42,0)*W1627,"")</f>
        <v/>
      </c>
      <c r="Z1627" s="163">
        <f>IFERROR(VLOOKUP($G1627,нормы!$A$14:$BC$57,14,0)*W1627/1000,0)</f>
        <v>0</v>
      </c>
      <c r="AA1627" s="30"/>
      <c r="AB1627" s="35"/>
      <c r="AC1627" s="35"/>
      <c r="AD1627" s="35"/>
      <c r="AE1627" s="31"/>
      <c r="AF1627" s="160"/>
      <c r="AG1627" s="391"/>
      <c r="AH1627" s="394"/>
      <c r="AI1627" s="397"/>
      <c r="AJ1627" s="408"/>
      <c r="AK1627" s="360"/>
      <c r="AL1627" s="360"/>
      <c r="AM1627" s="360"/>
      <c r="AN1627" s="289">
        <f>IFERROR(Y1627*AJ1623/Y1629,)</f>
        <v>0</v>
      </c>
      <c r="AO1627" s="197" t="str">
        <f>IFERROR(VLOOKUP($G1627,нормы!$A$14:$BC$57,53,0)*$W1627,"")</f>
        <v/>
      </c>
      <c r="AP1627" s="290">
        <f>IFERROR(Y1627*AI1623/Y1629,)</f>
        <v>0</v>
      </c>
      <c r="AQ1627" s="197" t="str">
        <f>IFERROR(VLOOKUP($G1627,нормы!$A$14:$BC$57,54,0)*$W1627,"")</f>
        <v/>
      </c>
      <c r="AR1627" s="290">
        <f>IFERROR(AS1627/SUM(AS1623:AS1628)*AL1623,0)</f>
        <v>0</v>
      </c>
      <c r="AS1627" s="197" t="str">
        <f>IFERROR(VLOOKUP($G1627,нормы!$A$14:$BC$57,55,0)*W1627,"")</f>
        <v/>
      </c>
      <c r="AT1627" s="290">
        <f>IFERROR(AU1627/SUM(AU1623:AU1628)*AM1623,0)</f>
        <v>0</v>
      </c>
      <c r="AU1627" s="197" t="str">
        <f>IFERROR(VLOOKUP($G1627,нормы!$A$14:$BI$57,56,0)*W1627,"")</f>
        <v/>
      </c>
      <c r="AV1627" s="290">
        <f>IFERROR(AW1627/SUM(AW1623:AW1628)*AK1623,0)</f>
        <v>0</v>
      </c>
      <c r="AW1627" s="202" t="str">
        <f>IFERROR(VLOOKUP($G1627,нормы!$A$14:$BI$57,57,0)*W1627,"")</f>
        <v/>
      </c>
      <c r="AX1627" s="30"/>
      <c r="AY1627" s="203" t="str">
        <f>IFERROR(VLOOKUP($G1627,нормы!$A$14:$BI$57,58,0)*W1627,"")</f>
        <v/>
      </c>
      <c r="AZ1627" s="205"/>
      <c r="BA1627" s="200" t="str">
        <f>IFERROR(VLOOKUP($G1627,нормы!$A$14:$BI$57,61,0)*$W1627,"")</f>
        <v/>
      </c>
      <c r="BB1627" s="30"/>
      <c r="BC1627" s="203" t="str">
        <f>IFERROR(VLOOKUP($G1627,нормы!$A$14:$BI$57,60,0)*W1627,"")</f>
        <v/>
      </c>
      <c r="BD1627" s="200" t="str">
        <f>IFERROR(VLOOKUP($G1627,нормы!$A$14:$BG$57,44,0),"")</f>
        <v/>
      </c>
      <c r="BE1627" s="199" t="str">
        <f>IFERROR(W1627/VLOOKUP($G1627,нормы!$A$14:$BI$57,45,0),"")</f>
        <v/>
      </c>
    </row>
    <row r="1628" spans="1:57" s="1" customFormat="1" ht="21" customHeight="1" thickBot="1" x14ac:dyDescent="0.45">
      <c r="A1628" s="37" t="str">
        <f t="shared" si="638"/>
        <v>27Д</v>
      </c>
      <c r="B1628" s="12">
        <f t="shared" si="639"/>
        <v>27</v>
      </c>
      <c r="C1628" s="97">
        <f t="shared" si="639"/>
        <v>0</v>
      </c>
      <c r="D1628" s="97">
        <f t="shared" si="639"/>
        <v>1</v>
      </c>
      <c r="E1628" s="54"/>
      <c r="F1628" s="151" t="str">
        <f>IFERROR(VLOOKUP($G1628,нормы!$A$14:$BC$57,2,0),"")</f>
        <v/>
      </c>
      <c r="G1628" s="93"/>
      <c r="H1628" s="63">
        <f t="shared" si="640"/>
        <v>0</v>
      </c>
      <c r="I1628" s="153">
        <f>I1624+I1626</f>
        <v>0</v>
      </c>
      <c r="J1628" s="334"/>
      <c r="K1628" s="30">
        <f>IFERROR(VLOOKUP($G1628,[1]нормы!$A$21:$BC$151,15,0),"")</f>
        <v>0</v>
      </c>
      <c r="L1628" s="31">
        <f>IFERROR(VLOOKUP($G1628,[1]нормы!$A$21:$BC$151,17,0),"")</f>
        <v>0</v>
      </c>
      <c r="M1628" s="308">
        <f>IFERROR(VLOOKUP($G1628,[1]нормы!$A$21:$BC$151,27,0),"")</f>
        <v>0</v>
      </c>
      <c r="N1628" s="309" t="str">
        <f>IFERROR(Y1628/Y1629*(1.1*J1623*I1633),"")</f>
        <v/>
      </c>
      <c r="O1628" s="300">
        <f>IFERROR(VLOOKUP($G1628,[1]нормы!$A$21:$BC$151,21,0),"")</f>
        <v>0</v>
      </c>
      <c r="P1628" s="35">
        <f>IFERROR(VLOOKUP($G1628,[1]нормы!$A$21:$BC$151,19,0),"")</f>
        <v>0</v>
      </c>
      <c r="Q1628" s="35">
        <f>IFERROR(VLOOKUP($G1628,[1]нормы!$A$21:$BC$151,23,0),"")</f>
        <v>0</v>
      </c>
      <c r="R1628" s="231">
        <f>IFERROR(VLOOKUP($G1628,[1]нормы!$A$21:$BC$151,29,0),"")</f>
        <v>0</v>
      </c>
      <c r="S1628" s="35">
        <f>IFERROR(VLOOKUP($G1628,[1]нормы!$A$21:$BC$151,31,0),"")</f>
        <v>0</v>
      </c>
      <c r="T1628" s="32">
        <f>IFERROR(VLOOKUP($G1628,[1]нормы!$A$21:$BC$151,25,0),"")</f>
        <v>0</v>
      </c>
      <c r="U1628" s="235" t="str">
        <f>IFERROR(W1628/(((100*Y1628/Y1629)*I1628)/100),"")</f>
        <v/>
      </c>
      <c r="V1628" s="234" t="str">
        <f>IFERROR(VLOOKUP($G1628,нормы!$A$14:$BC$57,38,0),"")</f>
        <v/>
      </c>
      <c r="W1628" s="154"/>
      <c r="X1628" s="238"/>
      <c r="Y1628" s="152" t="str">
        <f>IFERROR(VLOOKUP($G1628,нормы!$A$14:$BC$57,42,0)*W1628,"")</f>
        <v/>
      </c>
      <c r="Z1628" s="163">
        <f>IFERROR(VLOOKUP($G1628,нормы!$A$14:$BC$57,14,0)*W1628/1000,0)</f>
        <v>0</v>
      </c>
      <c r="AA1628" s="56"/>
      <c r="AB1628" s="58"/>
      <c r="AC1628" s="58"/>
      <c r="AD1628" s="58"/>
      <c r="AE1628" s="57"/>
      <c r="AF1628" s="161"/>
      <c r="AG1628" s="392"/>
      <c r="AH1628" s="395"/>
      <c r="AI1628" s="398"/>
      <c r="AJ1628" s="409"/>
      <c r="AK1628" s="361"/>
      <c r="AL1628" s="361"/>
      <c r="AM1628" s="361"/>
      <c r="AN1628" s="291">
        <f>IFERROR(Y1628*AJ1623/Y1629,)</f>
        <v>0</v>
      </c>
      <c r="AO1628" s="197" t="str">
        <f>IFERROR(VLOOKUP($G1628,нормы!$A$14:$BC$57,53,0)*$W1628,"")</f>
        <v/>
      </c>
      <c r="AP1628" s="292">
        <f>IFERROR(Y1628*AI1623/Y1629,)</f>
        <v>0</v>
      </c>
      <c r="AQ1628" s="197" t="str">
        <f>IFERROR(VLOOKUP($G1628,нормы!$A$14:$BC$57,54,0)*$W1628,"")</f>
        <v/>
      </c>
      <c r="AR1628" s="290">
        <f>IFERROR(AS1628/SUM(AS1623:AS1628)*AL1623,0)</f>
        <v>0</v>
      </c>
      <c r="AS1628" s="197" t="str">
        <f>IFERROR(VLOOKUP($G1628,нормы!$A$14:$BC$57,55,0)*W1628,"")</f>
        <v/>
      </c>
      <c r="AT1628" s="292">
        <f>IFERROR(AU1628/SUM(AU1623:AU1628)*AM1623,0)</f>
        <v>0</v>
      </c>
      <c r="AU1628" s="197" t="str">
        <f>IFERROR(VLOOKUP($G1628,нормы!$A$14:$BI$57,56,0)*W1628,"")</f>
        <v/>
      </c>
      <c r="AV1628" s="292">
        <f>IFERROR(AW1628/SUM(AW1623:AW1628)*AK1623,0)</f>
        <v>0</v>
      </c>
      <c r="AW1628" s="202" t="str">
        <f>IFERROR(VLOOKUP($G1628,нормы!$A$14:$BI$57,57,0)*W1628,"")</f>
        <v/>
      </c>
      <c r="AX1628" s="56"/>
      <c r="AY1628" s="203" t="str">
        <f>IFERROR(VLOOKUP($G1628,нормы!$A$14:$BI$57,58,0)*W1628,"")</f>
        <v/>
      </c>
      <c r="AZ1628" s="206"/>
      <c r="BA1628" s="200" t="str">
        <f>IFERROR(VLOOKUP($G1628,нормы!$A$14:$BI$57,61,0)*$W1628,"")</f>
        <v/>
      </c>
      <c r="BB1628" s="56"/>
      <c r="BC1628" s="203" t="str">
        <f>IFERROR(VLOOKUP($G1628,нормы!$A$14:$BI$57,60,0)*W1628,"")</f>
        <v/>
      </c>
      <c r="BD1628" s="200" t="str">
        <f>IFERROR(VLOOKUP($G1628,нормы!$A$14:$BG$57,44,0),"")</f>
        <v/>
      </c>
      <c r="BE1628" s="199" t="str">
        <f>IFERROR(W1628/VLOOKUP($G1628,нормы!$A$14:$BI$57,45,0),"")</f>
        <v/>
      </c>
    </row>
    <row r="1629" spans="1:57" s="1" customFormat="1" ht="29.4" customHeight="1" thickBot="1" x14ac:dyDescent="0.45">
      <c r="A1629" s="37" t="str">
        <f t="shared" si="638"/>
        <v>27Д</v>
      </c>
      <c r="B1629" s="59"/>
      <c r="C1629" s="51"/>
      <c r="D1629" s="51"/>
      <c r="E1629" s="51"/>
      <c r="F1629" s="295" t="s">
        <v>148</v>
      </c>
      <c r="G1629" s="51"/>
      <c r="H1629" s="51"/>
      <c r="I1629" s="60"/>
      <c r="J1629" s="60"/>
      <c r="K1629" s="319" t="s">
        <v>213</v>
      </c>
      <c r="L1629" s="316"/>
      <c r="M1629" s="303" t="s">
        <v>213</v>
      </c>
      <c r="N1629" s="317">
        <f>SUM(N1623:N1628)</f>
        <v>0</v>
      </c>
      <c r="O1629" s="304" t="s">
        <v>216</v>
      </c>
      <c r="P1629" s="318">
        <f>N1629*8.937/1000</f>
        <v>0</v>
      </c>
      <c r="Q1629" s="305" t="s">
        <v>215</v>
      </c>
      <c r="R1629" s="61"/>
      <c r="S1629" s="61"/>
      <c r="T1629" s="61"/>
      <c r="U1629" s="109"/>
      <c r="V1629" s="109"/>
      <c r="W1629" s="94"/>
      <c r="X1629" s="155"/>
      <c r="Y1629" s="96">
        <f>SUM(Y1623:Y1628)</f>
        <v>0</v>
      </c>
      <c r="Z1629" s="164">
        <f>SUM(Z1623:Z1628)</f>
        <v>0</v>
      </c>
      <c r="AA1629" s="62"/>
      <c r="AB1629" s="62"/>
      <c r="AC1629" s="62"/>
      <c r="AD1629" s="62"/>
      <c r="AE1629" s="62"/>
      <c r="AF1629" s="62"/>
      <c r="AG1629" s="162" t="s">
        <v>140</v>
      </c>
      <c r="AH1629" s="162" t="s">
        <v>141</v>
      </c>
      <c r="AI1629" s="162" t="s">
        <v>142</v>
      </c>
      <c r="AJ1629" s="91" t="s">
        <v>126</v>
      </c>
      <c r="AK1629" s="198" t="s">
        <v>136</v>
      </c>
      <c r="AL1629" s="198" t="s">
        <v>137</v>
      </c>
      <c r="AM1629" s="198" t="s">
        <v>138</v>
      </c>
      <c r="AN1629" s="91"/>
      <c r="AO1629" s="91"/>
      <c r="AP1629" s="91"/>
      <c r="AQ1629" s="91"/>
      <c r="AR1629" s="91"/>
      <c r="AS1629" s="91"/>
      <c r="AT1629" s="91"/>
      <c r="AU1629" s="91"/>
      <c r="AV1629" s="91"/>
      <c r="AW1629" s="91"/>
      <c r="AX1629" s="91"/>
      <c r="AY1629" s="91"/>
      <c r="AZ1629" s="91"/>
      <c r="BA1629" s="91"/>
      <c r="BB1629" s="91"/>
      <c r="BC1629" s="91"/>
      <c r="BD1629" s="91"/>
      <c r="BE1629" s="53" t="str">
        <f>IFERROR(W1629/VLOOKUP($G1629,нормы!$A$14:$BI$15,28,0),"")</f>
        <v/>
      </c>
    </row>
    <row r="1630" spans="1:57" s="1" customFormat="1" ht="21.6" customHeight="1" x14ac:dyDescent="0.4">
      <c r="A1630" s="37" t="str">
        <f t="shared" si="638"/>
        <v>27Д</v>
      </c>
      <c r="B1630" s="12">
        <f>B1628</f>
        <v>27</v>
      </c>
      <c r="C1630" s="97"/>
      <c r="D1630" s="97">
        <v>2</v>
      </c>
      <c r="E1630" s="29"/>
      <c r="F1630" s="151" t="str">
        <f>IFERROR(VLOOKUP($G1630,нормы!$A$14:$BC$57,2,0),"")</f>
        <v/>
      </c>
      <c r="G1630" s="93"/>
      <c r="H1630" s="54">
        <f>IF(C1630=1,"Кульков С.А.", IF(C1630=2,"Чудаков А.А.",IF(C1630=3,"Королев В.Н.",IF(C1630=4,"Николашин М.П.",IF(C1630=5," Кульков С.А.",IF(C1630=6,"А.А. Чудаков",IF(C1630=7,"В.Н. Королев",IF(C1630=8,"М.П. Николашин",0))))))))</f>
        <v>0</v>
      </c>
      <c r="I1630" s="88" t="s">
        <v>211</v>
      </c>
      <c r="J1630" s="332"/>
      <c r="K1630" s="30">
        <f>IFERROR(VLOOKUP($G1630,[1]нормы!$A$21:$BC$151,15,0),"")</f>
        <v>0</v>
      </c>
      <c r="L1630" s="31">
        <f>IFERROR(VLOOKUP($G1630,[1]нормы!$A$21:$BC$151,17,0),"")</f>
        <v>0</v>
      </c>
      <c r="M1630" s="310">
        <f>IFERROR(VLOOKUP($G1630,[1]нормы!$A$21:$BC$151,27,0),"")</f>
        <v>0</v>
      </c>
      <c r="N1630" s="311" t="str">
        <f>IFERROR(Y1630/Y1636*(1.1*J1630*I1635),"")</f>
        <v/>
      </c>
      <c r="O1630" s="300">
        <f>IFERROR(VLOOKUP($G1630,[1]нормы!$A$21:$BC$151,21,0),"")</f>
        <v>0</v>
      </c>
      <c r="P1630" s="35">
        <f>IFERROR(VLOOKUP($G1630,[1]нормы!$A$21:$BC$151,19,0),"")</f>
        <v>0</v>
      </c>
      <c r="Q1630" s="35">
        <f>IFERROR(VLOOKUP($G1630,[1]нормы!$A$21:$BC$151,23,0),"")</f>
        <v>0</v>
      </c>
      <c r="R1630" s="231">
        <f>IFERROR(VLOOKUP($G1630,[1]нормы!$A$21:$BC$151,29,0),"")</f>
        <v>0</v>
      </c>
      <c r="S1630" s="35">
        <f>IFERROR(VLOOKUP($G1630,[1]нормы!$A$21:$BC$151,31,0),"")</f>
        <v>0</v>
      </c>
      <c r="T1630" s="32">
        <f>IFERROR(VLOOKUP($G1630,[1]нормы!$A$21:$BC$151,25,0),"")</f>
        <v>0</v>
      </c>
      <c r="U1630" s="232" t="str">
        <f>IFERROR(W1630/(((100*Y1630/Y1636)*I1635)/100),"")</f>
        <v/>
      </c>
      <c r="V1630" s="234" t="str">
        <f>IFERROR(VLOOKUP($G1630,нормы!$A$14:$BC$57,38,0),"")</f>
        <v/>
      </c>
      <c r="W1630" s="136"/>
      <c r="X1630" s="236"/>
      <c r="Y1630" s="152" t="str">
        <f>IFERROR(VLOOKUP($G1630,нормы!$A$14:$BC$57,42,0)*W1630,"")</f>
        <v/>
      </c>
      <c r="Z1630" s="163">
        <f>IFERROR(VLOOKUP($G1630,нормы!$A$14:$BC$57,14,0)*W1630/1000,0)</f>
        <v>0</v>
      </c>
      <c r="AA1630" s="33"/>
      <c r="AB1630" s="36"/>
      <c r="AC1630" s="36"/>
      <c r="AD1630" s="36"/>
      <c r="AE1630" s="34"/>
      <c r="AF1630" s="159"/>
      <c r="AG1630" s="390"/>
      <c r="AH1630" s="393"/>
      <c r="AI1630" s="396"/>
      <c r="AJ1630" s="407">
        <f>AG1630+AH1630</f>
        <v>0</v>
      </c>
      <c r="AK1630" s="359"/>
      <c r="AL1630" s="359"/>
      <c r="AM1630" s="359"/>
      <c r="AN1630" s="287">
        <f>IFERROR(Y1630*AJ1630/Y1636,)</f>
        <v>0</v>
      </c>
      <c r="AO1630" s="197" t="str">
        <f>IFERROR(VLOOKUP($G1630,нормы!$A$14:$BC$57,53,0)*$W1630,"")</f>
        <v/>
      </c>
      <c r="AP1630" s="288">
        <f>IFERROR(Y1630*AI1630/Y1636,)</f>
        <v>0</v>
      </c>
      <c r="AQ1630" s="197" t="str">
        <f>IFERROR(VLOOKUP($G1630,нормы!$A$14:$BC$57,54,0)*$W1630,"")</f>
        <v/>
      </c>
      <c r="AR1630" s="288">
        <f>IFERROR(AS1630/SUM(AS1630:AS1635)*AL1630,0)</f>
        <v>0</v>
      </c>
      <c r="AS1630" s="197" t="str">
        <f>IFERROR(VLOOKUP($G1630,нормы!$A$14:$BC$57,55,0)*W1630,"")</f>
        <v/>
      </c>
      <c r="AT1630" s="288">
        <f>IFERROR(AU1630/SUM(AU1630:AU1635)*AM1630,0)</f>
        <v>0</v>
      </c>
      <c r="AU1630" s="197" t="str">
        <f>IFERROR(VLOOKUP($G1630,нормы!$A$14:$BI$57,56,0)*W1630,"")</f>
        <v/>
      </c>
      <c r="AV1630" s="288">
        <f>IFERROR(AW1630/SUM(AW1630:AW1635)*AK1630,0)</f>
        <v>0</v>
      </c>
      <c r="AW1630" s="202" t="str">
        <f>IFERROR(VLOOKUP($G1630,нормы!$A$14:$BI$57,57,0)*W1630,"")</f>
        <v/>
      </c>
      <c r="AX1630" s="33"/>
      <c r="AY1630" s="203" t="str">
        <f>IFERROR(VLOOKUP($G1630,нормы!$A$14:$BI$57,58,0)*W1630,"")</f>
        <v/>
      </c>
      <c r="AZ1630" s="204"/>
      <c r="BA1630" s="200" t="str">
        <f>IFERROR(VLOOKUP($G1630,нормы!$A$14:$BI$57,61,0)*$W1630,"")</f>
        <v/>
      </c>
      <c r="BB1630" s="33"/>
      <c r="BC1630" s="203" t="str">
        <f>IFERROR(VLOOKUP($G1630,нормы!$A$14:$BI$57,60,0)*W1630,"")</f>
        <v/>
      </c>
      <c r="BD1630" s="200" t="str">
        <f>IFERROR(VLOOKUP($G1630,нормы!$A$14:$BG$57,44,0),"")</f>
        <v/>
      </c>
      <c r="BE1630" s="199" t="str">
        <f>IFERROR(W1630/VLOOKUP($G1630,нормы!$A$14:$BI$57,45,0),"")</f>
        <v/>
      </c>
    </row>
    <row r="1631" spans="1:57" s="1" customFormat="1" ht="21.6" customHeight="1" x14ac:dyDescent="0.4">
      <c r="A1631" s="37" t="str">
        <f t="shared" si="638"/>
        <v>27Д</v>
      </c>
      <c r="B1631" s="12">
        <f t="shared" ref="B1631:D1635" si="641">B1630</f>
        <v>27</v>
      </c>
      <c r="C1631" s="97">
        <f t="shared" si="641"/>
        <v>0</v>
      </c>
      <c r="D1631" s="97">
        <f t="shared" si="641"/>
        <v>2</v>
      </c>
      <c r="E1631" s="54"/>
      <c r="F1631" s="151" t="str">
        <f>IFERROR(VLOOKUP($G1631,нормы!$A$14:$BC$57,2,0),"")</f>
        <v/>
      </c>
      <c r="G1631" s="93"/>
      <c r="H1631" s="54">
        <f t="shared" ref="H1631:H1635" si="642">IF(C1631=1,"Кульков С.А.", IF(C1631=2,"Чудаков А.А.",IF(C1631=3,"Королев В.Н.",IF(C1631=4,"Николашин М.П.",IF(C1631=5," Кульков С.А.",IF(C1631=6,"А.А. Чудаков",IF(C1631=7,"В.Н. Королев",IF(C1631=8,"М.П. Николашин",0))))))))</f>
        <v>0</v>
      </c>
      <c r="I1631" s="55"/>
      <c r="J1631" s="333"/>
      <c r="K1631" s="30">
        <f>IFERROR(VLOOKUP($G1631,[1]нормы!$A$21:$BC$151,15,0),"")</f>
        <v>0</v>
      </c>
      <c r="L1631" s="31">
        <f>IFERROR(VLOOKUP($G1631,[1]нормы!$A$21:$BC$151,17,0),"")</f>
        <v>0</v>
      </c>
      <c r="M1631" s="306">
        <f>IFERROR(VLOOKUP($G1631,[1]нормы!$A$21:$BC$151,27,0),"")</f>
        <v>0</v>
      </c>
      <c r="N1631" s="307" t="str">
        <f>IFERROR(Y1631/Y1636*(1.1*J1630*I1635),"")</f>
        <v/>
      </c>
      <c r="O1631" s="300">
        <f>IFERROR(VLOOKUP($G1631,[1]нормы!$A$21:$BC$151,21,0),"")</f>
        <v>0</v>
      </c>
      <c r="P1631" s="35">
        <f>IFERROR(VLOOKUP($G1631,[1]нормы!$A$21:$BC$151,19,0),"")</f>
        <v>0</v>
      </c>
      <c r="Q1631" s="35">
        <f>IFERROR(VLOOKUP($G1631,[1]нормы!$A$21:$BC$151,23,0),"")</f>
        <v>0</v>
      </c>
      <c r="R1631" s="231">
        <f>IFERROR(VLOOKUP($G1631,[1]нормы!$A$21:$BC$151,29,0),"")</f>
        <v>0</v>
      </c>
      <c r="S1631" s="35">
        <f>IFERROR(VLOOKUP($G1631,[1]нормы!$A$21:$BC$151,31,0),"")</f>
        <v>0</v>
      </c>
      <c r="T1631" s="32">
        <f>IFERROR(VLOOKUP($G1631,[1]нормы!$A$21:$BC$151,25,0),"")</f>
        <v>0</v>
      </c>
      <c r="U1631" s="233" t="str">
        <f>IFERROR(W1631/(((100*Y1631/Y1636)*I1635)/100),"")</f>
        <v/>
      </c>
      <c r="V1631" s="234" t="str">
        <f>IFERROR(VLOOKUP($G1631,нормы!$A$14:$BC$57,38,0),"")</f>
        <v/>
      </c>
      <c r="W1631" s="136"/>
      <c r="X1631" s="237"/>
      <c r="Y1631" s="152" t="str">
        <f>IFERROR(VLOOKUP($G1631,нормы!$A$14:$BC$57,42,0)*W1631,"")</f>
        <v/>
      </c>
      <c r="Z1631" s="163">
        <f>IFERROR(VLOOKUP($G1631,нормы!$A$14:$BC$57,14,0)*W1631/1000,0)</f>
        <v>0</v>
      </c>
      <c r="AA1631" s="142"/>
      <c r="AB1631" s="35"/>
      <c r="AC1631" s="35"/>
      <c r="AD1631" s="35"/>
      <c r="AE1631" s="31"/>
      <c r="AF1631" s="160"/>
      <c r="AG1631" s="391"/>
      <c r="AH1631" s="394"/>
      <c r="AI1631" s="397"/>
      <c r="AJ1631" s="408"/>
      <c r="AK1631" s="360"/>
      <c r="AL1631" s="360"/>
      <c r="AM1631" s="360"/>
      <c r="AN1631" s="289">
        <f>IFERROR(Y1631*AJ1630/Y1636,)</f>
        <v>0</v>
      </c>
      <c r="AO1631" s="197" t="str">
        <f>IFERROR(VLOOKUP($G1631,нормы!$A$14:$BC$57,53,0)*$W1631,"")</f>
        <v/>
      </c>
      <c r="AP1631" s="290">
        <f>IFERROR(Y1631*AI1630/Y1636,)</f>
        <v>0</v>
      </c>
      <c r="AQ1631" s="197" t="str">
        <f>IFERROR(VLOOKUP($G1631,нормы!$A$14:$BC$57,54,0)*$W1631,"")</f>
        <v/>
      </c>
      <c r="AR1631" s="290">
        <f>IFERROR(AS1631/SUM(AS1630:AS1635)*AL1630,0)</f>
        <v>0</v>
      </c>
      <c r="AS1631" s="197" t="str">
        <f>IFERROR(VLOOKUP($G1631,нормы!$A$14:$BC$57,55,0)*W1631,"")</f>
        <v/>
      </c>
      <c r="AT1631" s="290">
        <f>IFERROR(AU1631/SUM(AU1630:AU1635)*AM1630,0)</f>
        <v>0</v>
      </c>
      <c r="AU1631" s="197" t="str">
        <f>IFERROR(VLOOKUP($G1631,нормы!$A$14:$BI$57,56,0)*W1631,"")</f>
        <v/>
      </c>
      <c r="AV1631" s="290">
        <f>IFERROR(AW1631/SUM(AW1630:AW1635)*AK1630,0)</f>
        <v>0</v>
      </c>
      <c r="AW1631" s="202" t="str">
        <f>IFERROR(VLOOKUP($G1631,нормы!$A$14:$BI$57,57,0)*W1631,"")</f>
        <v/>
      </c>
      <c r="AX1631" s="30"/>
      <c r="AY1631" s="203" t="str">
        <f>IFERROR(VLOOKUP($G1631,нормы!$A$14:$BI$57,58,0)*W1631,"")</f>
        <v/>
      </c>
      <c r="AZ1631" s="205"/>
      <c r="BA1631" s="200" t="str">
        <f>IFERROR(VLOOKUP($G1631,нормы!$A$14:$BI$57,61,0)*$W1631,"")</f>
        <v/>
      </c>
      <c r="BB1631" s="30"/>
      <c r="BC1631" s="203" t="str">
        <f>IFERROR(VLOOKUP($G1631,нормы!$A$14:$BI$57,60,0)*W1631,"")</f>
        <v/>
      </c>
      <c r="BD1631" s="200" t="str">
        <f>IFERROR(VLOOKUP($G1631,нормы!$A$14:$BG$57,44,0),"")</f>
        <v/>
      </c>
      <c r="BE1631" s="199" t="str">
        <f>IFERROR(W1631/VLOOKUP($G1631,нормы!$A$14:$BI$57,45,0),"")</f>
        <v/>
      </c>
    </row>
    <row r="1632" spans="1:57" s="1" customFormat="1" ht="20.25" customHeight="1" x14ac:dyDescent="0.4">
      <c r="A1632" s="37" t="str">
        <f t="shared" si="638"/>
        <v>27Д</v>
      </c>
      <c r="B1632" s="12">
        <f t="shared" si="641"/>
        <v>27</v>
      </c>
      <c r="C1632" s="97">
        <f t="shared" si="641"/>
        <v>0</v>
      </c>
      <c r="D1632" s="97">
        <f t="shared" si="641"/>
        <v>2</v>
      </c>
      <c r="E1632" s="54"/>
      <c r="F1632" s="151" t="str">
        <f>IFERROR(VLOOKUP($G1632,нормы!$A$14:$BC$57,2,0),"")</f>
        <v/>
      </c>
      <c r="G1632" s="38"/>
      <c r="H1632" s="54">
        <f t="shared" si="642"/>
        <v>0</v>
      </c>
      <c r="I1632" s="89" t="s">
        <v>212</v>
      </c>
      <c r="J1632" s="333"/>
      <c r="K1632" s="30">
        <f>IFERROR(VLOOKUP($G1632,[1]нормы!$A$21:$BC$151,15,0),"")</f>
        <v>0</v>
      </c>
      <c r="L1632" s="31">
        <f>IFERROR(VLOOKUP($G1632,[1]нормы!$A$21:$BC$151,17,0),"")</f>
        <v>0</v>
      </c>
      <c r="M1632" s="306">
        <f>IFERROR(VLOOKUP($G1632,[1]нормы!$A$21:$BC$151,27,0),"")</f>
        <v>0</v>
      </c>
      <c r="N1632" s="307" t="str">
        <f>IFERROR(Y1632/Y1636*(1.1*J1630*I1635),"")</f>
        <v/>
      </c>
      <c r="O1632" s="300">
        <f>IFERROR(VLOOKUP($G1632,[1]нормы!$A$21:$BC$151,21,0),"")</f>
        <v>0</v>
      </c>
      <c r="P1632" s="35">
        <f>IFERROR(VLOOKUP($G1632,[1]нормы!$A$21:$BC$151,19,0),"")</f>
        <v>0</v>
      </c>
      <c r="Q1632" s="35">
        <f>IFERROR(VLOOKUP($G1632,[1]нормы!$A$21:$BC$151,23,0),"")</f>
        <v>0</v>
      </c>
      <c r="R1632" s="231">
        <f>IFERROR(VLOOKUP($G1632,[1]нормы!$A$21:$BC$151,29,0),"")</f>
        <v>0</v>
      </c>
      <c r="S1632" s="35">
        <f>IFERROR(VLOOKUP($G1632,[1]нормы!$A$21:$BC$151,31,0),"")</f>
        <v>0</v>
      </c>
      <c r="T1632" s="32">
        <f>IFERROR(VLOOKUP($G1632,[1]нормы!$A$21:$BC$151,25,0),"")</f>
        <v>0</v>
      </c>
      <c r="U1632" s="233" t="str">
        <f>IFERROR(W1632/(((100*Y1632/Y1636)*I1635)/100),"")</f>
        <v/>
      </c>
      <c r="V1632" s="234" t="str">
        <f>IFERROR(VLOOKUP($G1632,нормы!$A$14:$BC$57,38,0),"")</f>
        <v/>
      </c>
      <c r="W1632" s="136"/>
      <c r="X1632" s="237"/>
      <c r="Y1632" s="152" t="str">
        <f>IFERROR(VLOOKUP($G1632,нормы!$A$14:$BC$57,42,0)*W1632,"")</f>
        <v/>
      </c>
      <c r="Z1632" s="163">
        <f>IFERROR(VLOOKUP($G1632,нормы!$A$14:$BC$57,14,0)*W1632/1000,0)</f>
        <v>0</v>
      </c>
      <c r="AA1632" s="30"/>
      <c r="AB1632" s="35"/>
      <c r="AC1632" s="35"/>
      <c r="AD1632" s="35"/>
      <c r="AE1632" s="31"/>
      <c r="AF1632" s="160"/>
      <c r="AG1632" s="391"/>
      <c r="AH1632" s="394"/>
      <c r="AI1632" s="397"/>
      <c r="AJ1632" s="408"/>
      <c r="AK1632" s="360"/>
      <c r="AL1632" s="360"/>
      <c r="AM1632" s="360"/>
      <c r="AN1632" s="289">
        <f>IFERROR(Y1632*AJ1630/Y1636,)</f>
        <v>0</v>
      </c>
      <c r="AO1632" s="197" t="str">
        <f>IFERROR(VLOOKUP($G1632,нормы!$A$14:$BC$57,53,0)*$W1632,"")</f>
        <v/>
      </c>
      <c r="AP1632" s="290">
        <f>IFERROR(Y1632*AI1630/Y1636,)</f>
        <v>0</v>
      </c>
      <c r="AQ1632" s="197" t="str">
        <f>IFERROR(VLOOKUP($G1632,нормы!$A$14:$BC$57,54,0)*$W1632,"")</f>
        <v/>
      </c>
      <c r="AR1632" s="290">
        <f>IFERROR(AS1632/SUM(AS1630:AS1635)*AL1630,0)</f>
        <v>0</v>
      </c>
      <c r="AS1632" s="197" t="str">
        <f>IFERROR(VLOOKUP($G1632,нормы!$A$14:$BC$57,55,0)*W1632,"")</f>
        <v/>
      </c>
      <c r="AT1632" s="290">
        <f>IFERROR(AU1632/SUM(AU1630:AU1635)*AM1630,0)</f>
        <v>0</v>
      </c>
      <c r="AU1632" s="197" t="str">
        <f>IFERROR(VLOOKUP($G1632,нормы!$A$14:$BI$57,56,0)*W1632,"")</f>
        <v/>
      </c>
      <c r="AV1632" s="290">
        <f>IFERROR(AW1632/SUM(AW1630:AW1635)*AK1630,0)</f>
        <v>0</v>
      </c>
      <c r="AW1632" s="202" t="str">
        <f>IFERROR(VLOOKUP($G1632,нормы!$A$14:$BI$57,57,0)*W1632,"")</f>
        <v/>
      </c>
      <c r="AX1632" s="30"/>
      <c r="AY1632" s="203" t="str">
        <f>IFERROR(VLOOKUP($G1632,нормы!$A$14:$BI$57,58,0)*W1632,"")</f>
        <v/>
      </c>
      <c r="AZ1632" s="205"/>
      <c r="BA1632" s="200" t="str">
        <f>IFERROR(VLOOKUP($G1632,нормы!$A$14:$BI$57,61,0)*$W1632,"")</f>
        <v/>
      </c>
      <c r="BB1632" s="30"/>
      <c r="BC1632" s="203" t="str">
        <f>IFERROR(VLOOKUP($G1632,нормы!$A$14:$BI$57,60,0)*W1632,"")</f>
        <v/>
      </c>
      <c r="BD1632" s="200" t="str">
        <f>IFERROR(VLOOKUP($G1632,нормы!$A$14:$BG$57,44,0),"")</f>
        <v/>
      </c>
      <c r="BE1632" s="199" t="str">
        <f>IFERROR(W1632/VLOOKUP($G1632,нормы!$A$14:$BI$57,45,0),"")</f>
        <v/>
      </c>
    </row>
    <row r="1633" spans="1:57" s="1" customFormat="1" ht="20.25" customHeight="1" x14ac:dyDescent="0.4">
      <c r="A1633" s="37" t="str">
        <f t="shared" si="638"/>
        <v>27Д</v>
      </c>
      <c r="B1633" s="12">
        <f t="shared" si="641"/>
        <v>27</v>
      </c>
      <c r="C1633" s="97">
        <f t="shared" si="641"/>
        <v>0</v>
      </c>
      <c r="D1633" s="97">
        <f t="shared" si="641"/>
        <v>2</v>
      </c>
      <c r="E1633" s="54"/>
      <c r="F1633" s="151" t="str">
        <f>IFERROR(VLOOKUP($G1633,нормы!$A$14:$BC$57,2,0),"")</f>
        <v/>
      </c>
      <c r="G1633" s="93"/>
      <c r="H1633" s="54">
        <f t="shared" si="642"/>
        <v>0</v>
      </c>
      <c r="I1633" s="55"/>
      <c r="J1633" s="333"/>
      <c r="K1633" s="30">
        <f>IFERROR(VLOOKUP($G1633,[1]нормы!$A$21:$BC$151,15,0),"")</f>
        <v>0</v>
      </c>
      <c r="L1633" s="31">
        <f>IFERROR(VLOOKUP($G1633,[1]нормы!$A$21:$BC$151,17,0),"")</f>
        <v>0</v>
      </c>
      <c r="M1633" s="306">
        <f>IFERROR(VLOOKUP($G1633,[1]нормы!$A$21:$BC$151,27,0),"")</f>
        <v>0</v>
      </c>
      <c r="N1633" s="307" t="str">
        <f>IFERROR(Y1633/Y1636*(1.1*J1630*I1638),"")</f>
        <v/>
      </c>
      <c r="O1633" s="300">
        <f>IFERROR(VLOOKUP($G1633,[1]нормы!$A$21:$BC$151,21,0),"")</f>
        <v>0</v>
      </c>
      <c r="P1633" s="35">
        <f>IFERROR(VLOOKUP($G1633,[1]нормы!$A$21:$BC$151,19,0),"")</f>
        <v>0</v>
      </c>
      <c r="Q1633" s="35">
        <f>IFERROR(VLOOKUP($G1633,[1]нормы!$A$21:$BC$151,23,0),"")</f>
        <v>0</v>
      </c>
      <c r="R1633" s="231">
        <f>IFERROR(VLOOKUP($G1633,[1]нормы!$A$21:$BC$151,29,0),"")</f>
        <v>0</v>
      </c>
      <c r="S1633" s="35">
        <f>IFERROR(VLOOKUP($G1633,[1]нормы!$A$21:$BC$151,31,0),"")</f>
        <v>0</v>
      </c>
      <c r="T1633" s="32">
        <f>IFERROR(VLOOKUP($G1633,[1]нормы!$A$21:$BC$151,25,0),"")</f>
        <v>0</v>
      </c>
      <c r="U1633" s="233" t="str">
        <f>IFERROR(W1633/(((100*Y1633/Y1636)*I1635)/100),"")</f>
        <v/>
      </c>
      <c r="V1633" s="234" t="str">
        <f>IFERROR(VLOOKUP($G1633,нормы!$A$14:$BC$57,38,0),"")</f>
        <v/>
      </c>
      <c r="W1633" s="136"/>
      <c r="X1633" s="237"/>
      <c r="Y1633" s="152" t="str">
        <f>IFERROR(VLOOKUP($G1633,нормы!$A$14:$BC$57,42,0)*W1633,"")</f>
        <v/>
      </c>
      <c r="Z1633" s="163">
        <f>IFERROR(VLOOKUP($G1633,нормы!$A$14:$BC$57,14,0)*W1633/1000,0)</f>
        <v>0</v>
      </c>
      <c r="AA1633" s="30"/>
      <c r="AB1633" s="35"/>
      <c r="AC1633" s="35"/>
      <c r="AD1633" s="35"/>
      <c r="AE1633" s="31"/>
      <c r="AF1633" s="160"/>
      <c r="AG1633" s="391"/>
      <c r="AH1633" s="394"/>
      <c r="AI1633" s="397"/>
      <c r="AJ1633" s="408"/>
      <c r="AK1633" s="360"/>
      <c r="AL1633" s="360"/>
      <c r="AM1633" s="360"/>
      <c r="AN1633" s="289">
        <f>IFERROR(Y1633*AJ1630/Y1636,)</f>
        <v>0</v>
      </c>
      <c r="AO1633" s="197" t="str">
        <f>IFERROR(VLOOKUP($G1633,нормы!$A$14:$BC$57,53,0)*$W1633,"")</f>
        <v/>
      </c>
      <c r="AP1633" s="290">
        <f>IFERROR(Y1633*AI1630/Y1636,)</f>
        <v>0</v>
      </c>
      <c r="AQ1633" s="197" t="str">
        <f>IFERROR(VLOOKUP($G1633,нормы!$A$14:$BC$57,54,0)*$W1633,"")</f>
        <v/>
      </c>
      <c r="AR1633" s="290">
        <f>IFERROR(AS1633/SUM(AS1630:AS1635)*AL1630,0)</f>
        <v>0</v>
      </c>
      <c r="AS1633" s="197" t="str">
        <f>IFERROR(VLOOKUP($G1633,нормы!$A$14:$BC$57,55,0)*W1633,"")</f>
        <v/>
      </c>
      <c r="AT1633" s="290">
        <f>IFERROR(AU1633/SUM(AU1630:AU1635)*AM1630,0)</f>
        <v>0</v>
      </c>
      <c r="AU1633" s="197" t="str">
        <f>IFERROR(VLOOKUP($G1633,нормы!$A$14:$BI$57,56,0)*W1633,"")</f>
        <v/>
      </c>
      <c r="AV1633" s="290">
        <f>IFERROR(AW1633/SUM(AW1630:AW1635)*AK1630,0)</f>
        <v>0</v>
      </c>
      <c r="AW1633" s="202" t="str">
        <f>IFERROR(VLOOKUP($G1633,нормы!$A$14:$BI$57,57,0)*W1633,"")</f>
        <v/>
      </c>
      <c r="AX1633" s="30"/>
      <c r="AY1633" s="203" t="str">
        <f>IFERROR(VLOOKUP($G1633,нормы!$A$14:$BI$57,58,0)*W1633,"")</f>
        <v/>
      </c>
      <c r="AZ1633" s="205"/>
      <c r="BA1633" s="200" t="str">
        <f>IFERROR(VLOOKUP($G1633,нормы!$A$14:$BI$57,61,0)*$W1633,"")</f>
        <v/>
      </c>
      <c r="BB1633" s="30"/>
      <c r="BC1633" s="203" t="str">
        <f>IFERROR(VLOOKUP($G1633,нормы!$A$14:$BI$57,60,0)*W1633,"")</f>
        <v/>
      </c>
      <c r="BD1633" s="200" t="str">
        <f>IFERROR(VLOOKUP($G1633,нормы!$A$14:$BG$57,44,0),"")</f>
        <v/>
      </c>
      <c r="BE1633" s="199" t="str">
        <f>IFERROR(W1633/VLOOKUP($G1633,нормы!$A$14:$BI$57,45,0),"")</f>
        <v/>
      </c>
    </row>
    <row r="1634" spans="1:57" s="1" customFormat="1" ht="20.25" customHeight="1" x14ac:dyDescent="0.4">
      <c r="A1634" s="37" t="str">
        <f t="shared" si="638"/>
        <v>27Д</v>
      </c>
      <c r="B1634" s="12">
        <f t="shared" si="641"/>
        <v>27</v>
      </c>
      <c r="C1634" s="97">
        <f t="shared" si="641"/>
        <v>0</v>
      </c>
      <c r="D1634" s="97">
        <f t="shared" si="641"/>
        <v>2</v>
      </c>
      <c r="E1634" s="54"/>
      <c r="F1634" s="151" t="str">
        <f>IFERROR(VLOOKUP($G1634,нормы!$A$14:$BC$57,2,0),"")</f>
        <v/>
      </c>
      <c r="G1634" s="38"/>
      <c r="H1634" s="54">
        <f t="shared" si="642"/>
        <v>0</v>
      </c>
      <c r="I1634" s="89" t="s">
        <v>73</v>
      </c>
      <c r="J1634" s="333"/>
      <c r="K1634" s="30">
        <f>IFERROR(VLOOKUP($G1634,[1]нормы!$A$21:$BC$151,15,0),"")</f>
        <v>0</v>
      </c>
      <c r="L1634" s="31">
        <f>IFERROR(VLOOKUP($G1634,[1]нормы!$A$21:$BC$151,17,0),"")</f>
        <v>0</v>
      </c>
      <c r="M1634" s="306">
        <f>IFERROR(VLOOKUP($G1634,[1]нормы!$A$21:$BC$151,27,0),"")</f>
        <v>0</v>
      </c>
      <c r="N1634" s="307" t="str">
        <f>IFERROR(Y1634/Y1636*(1.1*J1630*I1639),"")</f>
        <v/>
      </c>
      <c r="O1634" s="300">
        <f>IFERROR(VLOOKUP($G1634,[1]нормы!$A$21:$BC$151,21,0),"")</f>
        <v>0</v>
      </c>
      <c r="P1634" s="35">
        <f>IFERROR(VLOOKUP($G1634,[1]нормы!$A$21:$BC$151,19,0),"")</f>
        <v>0</v>
      </c>
      <c r="Q1634" s="35">
        <f>IFERROR(VLOOKUP($G1634,[1]нормы!$A$21:$BC$151,23,0),"")</f>
        <v>0</v>
      </c>
      <c r="R1634" s="231">
        <f>IFERROR(VLOOKUP($G1634,[1]нормы!$A$21:$BC$151,29,0),"")</f>
        <v>0</v>
      </c>
      <c r="S1634" s="35">
        <f>IFERROR(VLOOKUP($G1634,[1]нормы!$A$21:$BC$151,31,0),"")</f>
        <v>0</v>
      </c>
      <c r="T1634" s="32">
        <f>IFERROR(VLOOKUP($G1634,[1]нормы!$A$21:$BC$151,25,0),"")</f>
        <v>0</v>
      </c>
      <c r="U1634" s="233" t="str">
        <f>IFERROR(W1634/(((100*Y1634/Y1636)*I1635)/100),"")</f>
        <v/>
      </c>
      <c r="V1634" s="234" t="str">
        <f>IFERROR(VLOOKUP($G1634,нормы!$A$14:$BC$57,38,0),"")</f>
        <v/>
      </c>
      <c r="W1634" s="136"/>
      <c r="X1634" s="237"/>
      <c r="Y1634" s="152" t="str">
        <f>IFERROR(VLOOKUP($G1634,нормы!$A$14:$BC$57,42,0)*W1634,"")</f>
        <v/>
      </c>
      <c r="Z1634" s="163">
        <f>IFERROR(VLOOKUP($G1634,нормы!$A$14:$BC$57,14,0)*W1634/1000,0)</f>
        <v>0</v>
      </c>
      <c r="AA1634" s="30"/>
      <c r="AB1634" s="35"/>
      <c r="AC1634" s="35"/>
      <c r="AD1634" s="35"/>
      <c r="AE1634" s="31"/>
      <c r="AF1634" s="160"/>
      <c r="AG1634" s="391"/>
      <c r="AH1634" s="394"/>
      <c r="AI1634" s="397"/>
      <c r="AJ1634" s="408"/>
      <c r="AK1634" s="360"/>
      <c r="AL1634" s="360"/>
      <c r="AM1634" s="360"/>
      <c r="AN1634" s="289">
        <f>IFERROR(Y1634*AJ1630/Y1636,)</f>
        <v>0</v>
      </c>
      <c r="AO1634" s="197" t="str">
        <f>IFERROR(VLOOKUP($G1634,нормы!$A$14:$BC$57,53,0)*$W1634,"")</f>
        <v/>
      </c>
      <c r="AP1634" s="290">
        <f>IFERROR(Y1634*AI1630/Y1636,)</f>
        <v>0</v>
      </c>
      <c r="AQ1634" s="197" t="str">
        <f>IFERROR(VLOOKUP($G1634,нормы!$A$14:$BC$57,54,0)*$W1634,"")</f>
        <v/>
      </c>
      <c r="AR1634" s="290">
        <f>IFERROR(AS1634/SUM(AS1630:AS1635)*AL1630,0)</f>
        <v>0</v>
      </c>
      <c r="AS1634" s="197" t="str">
        <f>IFERROR(VLOOKUP($G1634,нормы!$A$14:$BC$57,55,0)*W1634,"")</f>
        <v/>
      </c>
      <c r="AT1634" s="290">
        <f>IFERROR(AU1634/SUM(AU1630:AU1635)*AM1630,0)</f>
        <v>0</v>
      </c>
      <c r="AU1634" s="197" t="str">
        <f>IFERROR(VLOOKUP($G1634,нормы!$A$14:$BI$57,56,0)*W1634,"")</f>
        <v/>
      </c>
      <c r="AV1634" s="290">
        <f>IFERROR(AW1634/SUM(AW1630:AW1635)*AK1630,0)</f>
        <v>0</v>
      </c>
      <c r="AW1634" s="202" t="str">
        <f>IFERROR(VLOOKUP($G1634,нормы!$A$14:$BI$57,57,0)*W1634,"")</f>
        <v/>
      </c>
      <c r="AX1634" s="30"/>
      <c r="AY1634" s="203" t="str">
        <f>IFERROR(VLOOKUP($G1634,нормы!$A$14:$BI$57,58,0)*W1634,"")</f>
        <v/>
      </c>
      <c r="AZ1634" s="205"/>
      <c r="BA1634" s="200" t="str">
        <f>IFERROR(VLOOKUP($G1634,нормы!$A$14:$BI$57,61,0)*$W1634,"")</f>
        <v/>
      </c>
      <c r="BB1634" s="30"/>
      <c r="BC1634" s="203" t="str">
        <f>IFERROR(VLOOKUP($G1634,нормы!$A$14:$BI$57,60,0)*W1634,"")</f>
        <v/>
      </c>
      <c r="BD1634" s="200" t="str">
        <f>IFERROR(VLOOKUP($G1634,нормы!$A$14:$BG$57,44,0),"")</f>
        <v/>
      </c>
      <c r="BE1634" s="199" t="str">
        <f>IFERROR(W1634/VLOOKUP($G1634,нормы!$A$14:$BI$57,45,0),"")</f>
        <v/>
      </c>
    </row>
    <row r="1635" spans="1:57" s="1" customFormat="1" ht="21" customHeight="1" thickBot="1" x14ac:dyDescent="0.45">
      <c r="A1635" s="37" t="str">
        <f t="shared" si="638"/>
        <v>27Д</v>
      </c>
      <c r="B1635" s="12">
        <f t="shared" si="641"/>
        <v>27</v>
      </c>
      <c r="C1635" s="97">
        <f t="shared" si="641"/>
        <v>0</v>
      </c>
      <c r="D1635" s="97">
        <f t="shared" si="641"/>
        <v>2</v>
      </c>
      <c r="E1635" s="54"/>
      <c r="F1635" s="151" t="str">
        <f>IFERROR(VLOOKUP($G1635,нормы!$A$14:$BC$57,2,0),"")</f>
        <v/>
      </c>
      <c r="G1635" s="93"/>
      <c r="H1635" s="63">
        <f t="shared" si="642"/>
        <v>0</v>
      </c>
      <c r="I1635" s="153">
        <f>I1631+I1633</f>
        <v>0</v>
      </c>
      <c r="J1635" s="334"/>
      <c r="K1635" s="30">
        <f>IFERROR(VLOOKUP($G1635,[1]нормы!$A$21:$BC$151,15,0),"")</f>
        <v>0</v>
      </c>
      <c r="L1635" s="31">
        <f>IFERROR(VLOOKUP($G1635,[1]нормы!$A$21:$BC$151,17,0),"")</f>
        <v>0</v>
      </c>
      <c r="M1635" s="308">
        <f>IFERROR(VLOOKUP($G1635,[1]нормы!$A$21:$BC$151,27,0),"")</f>
        <v>0</v>
      </c>
      <c r="N1635" s="309" t="str">
        <f>IFERROR(Y1635/Y1636*(1.1*J1630*I1640),"")</f>
        <v/>
      </c>
      <c r="O1635" s="300">
        <f>IFERROR(VLOOKUP($G1635,[1]нормы!$A$21:$BC$151,21,0),"")</f>
        <v>0</v>
      </c>
      <c r="P1635" s="35">
        <f>IFERROR(VLOOKUP($G1635,[1]нормы!$A$21:$BC$151,19,0),"")</f>
        <v>0</v>
      </c>
      <c r="Q1635" s="35">
        <f>IFERROR(VLOOKUP($G1635,[1]нормы!$A$21:$BC$151,23,0),"")</f>
        <v>0</v>
      </c>
      <c r="R1635" s="231">
        <f>IFERROR(VLOOKUP($G1635,[1]нормы!$A$21:$BC$151,29,0),"")</f>
        <v>0</v>
      </c>
      <c r="S1635" s="35">
        <f>IFERROR(VLOOKUP($G1635,[1]нормы!$A$21:$BC$151,31,0),"")</f>
        <v>0</v>
      </c>
      <c r="T1635" s="32">
        <f>IFERROR(VLOOKUP($G1635,[1]нормы!$A$21:$BC$151,25,0),"")</f>
        <v>0</v>
      </c>
      <c r="U1635" s="235" t="str">
        <f>IFERROR(W1635/(((100*Y1635/Y1636)*I1635)/100),"")</f>
        <v/>
      </c>
      <c r="V1635" s="234" t="str">
        <f>IFERROR(VLOOKUP($G1635,нормы!$A$14:$BC$57,38,0),"")</f>
        <v/>
      </c>
      <c r="W1635" s="154"/>
      <c r="X1635" s="238"/>
      <c r="Y1635" s="152" t="str">
        <f>IFERROR(VLOOKUP($G1635,нормы!$A$14:$BC$57,42,0)*W1635,"")</f>
        <v/>
      </c>
      <c r="Z1635" s="163">
        <f>IFERROR(VLOOKUP($G1635,нормы!$A$14:$BC$57,14,0)*W1635/1000,0)</f>
        <v>0</v>
      </c>
      <c r="AA1635" s="56"/>
      <c r="AB1635" s="58"/>
      <c r="AC1635" s="58"/>
      <c r="AD1635" s="58"/>
      <c r="AE1635" s="57"/>
      <c r="AF1635" s="161"/>
      <c r="AG1635" s="392"/>
      <c r="AH1635" s="395"/>
      <c r="AI1635" s="398"/>
      <c r="AJ1635" s="409"/>
      <c r="AK1635" s="361"/>
      <c r="AL1635" s="361"/>
      <c r="AM1635" s="361"/>
      <c r="AN1635" s="291">
        <f>IFERROR(Y1635*AJ1630/Y1636,)</f>
        <v>0</v>
      </c>
      <c r="AO1635" s="197" t="str">
        <f>IFERROR(VLOOKUP($G1635,нормы!$A$14:$BC$57,53,0)*$W1635,"")</f>
        <v/>
      </c>
      <c r="AP1635" s="292">
        <f>IFERROR(Y1635*AI1630/Y1636,)</f>
        <v>0</v>
      </c>
      <c r="AQ1635" s="197" t="str">
        <f>IFERROR(VLOOKUP($G1635,нормы!$A$14:$BC$57,54,0)*$W1635,"")</f>
        <v/>
      </c>
      <c r="AR1635" s="290">
        <f>IFERROR(AS1635/SUM(AS1630:AS1635)*AL1630,0)</f>
        <v>0</v>
      </c>
      <c r="AS1635" s="197" t="str">
        <f>IFERROR(VLOOKUP($G1635,нормы!$A$14:$BC$57,55,0)*W1635,"")</f>
        <v/>
      </c>
      <c r="AT1635" s="292">
        <f>IFERROR(AU1635/SUM(AU1630:AU1635)*AM1630,0)</f>
        <v>0</v>
      </c>
      <c r="AU1635" s="197" t="str">
        <f>IFERROR(VLOOKUP($G1635,нормы!$A$14:$BI$57,56,0)*W1635,"")</f>
        <v/>
      </c>
      <c r="AV1635" s="292">
        <f>IFERROR(AW1635/SUM(AW1630:AW1635)*AK1630,0)</f>
        <v>0</v>
      </c>
      <c r="AW1635" s="202" t="str">
        <f>IFERROR(VLOOKUP($G1635,нормы!$A$14:$BI$57,57,0)*W1635,"")</f>
        <v/>
      </c>
      <c r="AX1635" s="56"/>
      <c r="AY1635" s="203" t="str">
        <f>IFERROR(VLOOKUP($G1635,нормы!$A$14:$BI$57,58,0)*W1635,"")</f>
        <v/>
      </c>
      <c r="AZ1635" s="206"/>
      <c r="BA1635" s="200" t="str">
        <f>IFERROR(VLOOKUP($G1635,нормы!$A$14:$BI$57,61,0)*$W1635,"")</f>
        <v/>
      </c>
      <c r="BB1635" s="56"/>
      <c r="BC1635" s="203" t="str">
        <f>IFERROR(VLOOKUP($G1635,нормы!$A$14:$BI$57,60,0)*W1635,"")</f>
        <v/>
      </c>
      <c r="BD1635" s="200" t="str">
        <f>IFERROR(VLOOKUP($G1635,нормы!$A$14:$BG$57,44,0),"")</f>
        <v/>
      </c>
      <c r="BE1635" s="199" t="str">
        <f>IFERROR(W1635/VLOOKUP($G1635,нормы!$A$14:$BI$57,45,0),"")</f>
        <v/>
      </c>
    </row>
    <row r="1636" spans="1:57" s="1" customFormat="1" ht="29.4" customHeight="1" thickBot="1" x14ac:dyDescent="0.45">
      <c r="A1636" s="37" t="str">
        <f t="shared" si="638"/>
        <v>27Д</v>
      </c>
      <c r="B1636" s="59"/>
      <c r="C1636" s="51"/>
      <c r="D1636" s="51"/>
      <c r="E1636" s="51"/>
      <c r="F1636" s="51"/>
      <c r="G1636" s="51"/>
      <c r="H1636" s="51"/>
      <c r="I1636" s="60"/>
      <c r="J1636" s="60"/>
      <c r="K1636" s="319" t="s">
        <v>213</v>
      </c>
      <c r="L1636" s="316"/>
      <c r="M1636" s="303" t="s">
        <v>213</v>
      </c>
      <c r="N1636" s="317">
        <f>SUM(N1630:N1635)</f>
        <v>0</v>
      </c>
      <c r="O1636" s="304" t="s">
        <v>217</v>
      </c>
      <c r="P1636" s="318">
        <f>N1636*8.937/1000</f>
        <v>0</v>
      </c>
      <c r="Q1636" s="305" t="s">
        <v>215</v>
      </c>
      <c r="R1636" s="61"/>
      <c r="S1636" s="61"/>
      <c r="T1636" s="61"/>
      <c r="U1636" s="109"/>
      <c r="V1636" s="109"/>
      <c r="W1636" s="94"/>
      <c r="X1636" s="155"/>
      <c r="Y1636" s="96">
        <f>SUM(Y1630:Y1635)</f>
        <v>0</v>
      </c>
      <c r="Z1636" s="164">
        <f>SUM(Z1630:Z1635)</f>
        <v>0</v>
      </c>
      <c r="AA1636" s="207">
        <f>(AA1622+AA1623+AA1624+AA1625+AA1626+AA1627+AA1628+AA1630+AA1631+AA1632+AA1633+AA1634+AA1635)-AG1623</f>
        <v>1</v>
      </c>
      <c r="AB1636" s="208">
        <f>(AB1622+AB1623+AB1624+AB1625+AB1626+AB1627+AB1628+AB1630+AB1631+AB1632+AB1633+AB1634+AB1635)-AH1623</f>
        <v>2</v>
      </c>
      <c r="AC1636" s="208">
        <f>(AC1622+AC1623+AC1624+AC1625+AC1626+AC1627+AC1628+AC1630+AC1631+AC1632+AC1633+AC1634+AC1635)-AG1630</f>
        <v>3</v>
      </c>
      <c r="AD1636" s="208">
        <f>(AD1622+AD1623+AD1624+AD1625+AD1626+AD1627+AD1628+AD1630+AD1631+AD1632+AD1633+AD1634+AD1635)-AH1630</f>
        <v>4</v>
      </c>
      <c r="AE1636" s="208">
        <f>(AE1622+AE1623+AE1624+AE1625+AE1626+AE1627+AE1628+AE1630+AE1631+AE1632+AE1633+AE1634+AE1635)-AI1623</f>
        <v>5</v>
      </c>
      <c r="AF1636" s="209">
        <f>(AF1622+AF1623+AF1624+AF1625+AF1626+AF1627+AF1628+AF1630+AF1631+AF1632+AF1633+AF1634+AF1635)-AI1630</f>
        <v>6</v>
      </c>
      <c r="AG1636" s="62"/>
      <c r="AH1636" s="62"/>
      <c r="AI1636" s="62"/>
      <c r="AJ1636" s="62"/>
      <c r="AK1636" s="62"/>
      <c r="AL1636" s="62"/>
      <c r="AM1636" s="62"/>
      <c r="AN1636" s="91">
        <f>SUM(AN1630:AN1635)</f>
        <v>0</v>
      </c>
      <c r="AO1636" s="91">
        <f>SUM(AO1630:AO1635)</f>
        <v>0</v>
      </c>
      <c r="AP1636" s="91"/>
      <c r="AQ1636" s="91"/>
      <c r="AR1636" s="91">
        <f>SUM(AR1630:AR1635)</f>
        <v>0</v>
      </c>
      <c r="AS1636" s="91">
        <f t="shared" ref="AS1636:AW1636" si="643">SUM(AS1630:AS1635)</f>
        <v>0</v>
      </c>
      <c r="AT1636" s="91">
        <f t="shared" si="643"/>
        <v>0</v>
      </c>
      <c r="AU1636" s="91">
        <f t="shared" si="643"/>
        <v>0</v>
      </c>
      <c r="AV1636" s="91">
        <f t="shared" si="643"/>
        <v>0</v>
      </c>
      <c r="AW1636" s="91">
        <f t="shared" si="643"/>
        <v>0</v>
      </c>
      <c r="AX1636" s="91">
        <f>SUM(AX1630:AX1635)</f>
        <v>0</v>
      </c>
      <c r="AY1636" s="91">
        <f>SUM(AY1630:AY1635)</f>
        <v>0</v>
      </c>
      <c r="AZ1636" s="91">
        <f>SUM(AZ1630:AZ1635)</f>
        <v>0</v>
      </c>
      <c r="BA1636" s="91"/>
      <c r="BB1636" s="91"/>
      <c r="BC1636" s="91"/>
      <c r="BD1636" s="91" t="str">
        <f>IFERROR(VLOOKUP($G1636,нормы!$A$14:$BG$15,27,0),"")</f>
        <v/>
      </c>
      <c r="BE1636" s="53" t="str">
        <f>IFERROR(W1636/VLOOKUP($G1636,нормы!$A$14:$BI$15,28,0),"")</f>
        <v/>
      </c>
    </row>
    <row r="1637" spans="1:57" s="1" customFormat="1" ht="29.4" customHeight="1" thickBot="1" x14ac:dyDescent="0.5">
      <c r="A1637" s="37" t="str">
        <f t="shared" si="638"/>
        <v>27Д</v>
      </c>
      <c r="B1637" s="166" t="s">
        <v>130</v>
      </c>
      <c r="C1637" s="167"/>
      <c r="D1637" s="167"/>
      <c r="E1637" s="167"/>
      <c r="F1637" s="165"/>
      <c r="G1637" s="167"/>
      <c r="H1637" s="167"/>
      <c r="I1637" s="168"/>
      <c r="J1637" s="168"/>
      <c r="K1637" s="168"/>
      <c r="L1637" s="168"/>
      <c r="M1637" s="168"/>
      <c r="N1637" s="168"/>
      <c r="O1637" s="167"/>
      <c r="P1637" s="169"/>
      <c r="Q1637" s="169"/>
      <c r="R1637" s="169"/>
      <c r="S1637" s="169"/>
      <c r="T1637" s="169"/>
      <c r="U1637" s="170"/>
      <c r="V1637" s="170"/>
      <c r="W1637" s="171"/>
      <c r="X1637" s="171"/>
      <c r="Y1637" s="172"/>
      <c r="Z1637" s="172"/>
      <c r="AA1637" s="201" t="s">
        <v>144</v>
      </c>
      <c r="AB1637" s="167"/>
      <c r="AC1637" s="167"/>
      <c r="AD1637" s="167"/>
      <c r="AE1637" s="167"/>
      <c r="AF1637" s="167"/>
      <c r="AG1637" s="167"/>
      <c r="AH1637" s="167"/>
      <c r="AI1637" s="167"/>
      <c r="AJ1637" s="167"/>
      <c r="AK1637" s="167"/>
      <c r="AL1637" s="167"/>
      <c r="AM1637" s="64"/>
      <c r="AN1637" s="167"/>
      <c r="AO1637" s="167"/>
      <c r="AP1637" s="167"/>
      <c r="AQ1637" s="167"/>
      <c r="AR1637" s="64"/>
      <c r="AS1637" s="64"/>
      <c r="AT1637" s="65"/>
      <c r="AU1637" s="64"/>
      <c r="AV1637" s="49"/>
      <c r="AW1637" s="49"/>
      <c r="AX1637" s="167"/>
      <c r="AY1637" s="167"/>
      <c r="AZ1637" s="167"/>
      <c r="BA1637" s="167"/>
      <c r="BB1637" s="167"/>
      <c r="BC1637" s="167"/>
      <c r="BD1637" s="66"/>
      <c r="BE1637" s="66"/>
    </row>
    <row r="1638" spans="1:57" s="1" customFormat="1" ht="23.25" customHeight="1" x14ac:dyDescent="0.4">
      <c r="A1638" s="37" t="str">
        <f t="shared" si="638"/>
        <v>27Д</v>
      </c>
      <c r="B1638" s="183"/>
      <c r="C1638" s="100"/>
      <c r="D1638" s="185"/>
      <c r="E1638" s="186" t="s">
        <v>57</v>
      </c>
      <c r="F1638" s="66" t="s">
        <v>87</v>
      </c>
      <c r="G1638" s="66"/>
      <c r="H1638" s="108" t="s">
        <v>131</v>
      </c>
      <c r="I1638" s="101"/>
      <c r="J1638" s="101"/>
      <c r="K1638" s="101"/>
      <c r="L1638" s="101"/>
      <c r="M1638" s="101"/>
      <c r="N1638" s="101"/>
      <c r="O1638" s="67"/>
      <c r="P1638" s="102"/>
      <c r="Q1638" s="102"/>
      <c r="R1638" s="102"/>
      <c r="S1638" s="102"/>
      <c r="T1638" s="102"/>
      <c r="U1638" s="67"/>
      <c r="V1638" s="67"/>
      <c r="W1638" s="103"/>
      <c r="X1638" s="187"/>
      <c r="Y1638" s="68" t="s">
        <v>74</v>
      </c>
      <c r="Z1638" s="69"/>
      <c r="AA1638" s="90"/>
      <c r="AB1638" s="100"/>
      <c r="AC1638" s="100"/>
      <c r="AD1638" s="186" t="s">
        <v>57</v>
      </c>
      <c r="AE1638" s="66"/>
      <c r="AF1638" s="66"/>
      <c r="AG1638" s="66"/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190"/>
      <c r="AU1638" s="66"/>
      <c r="AV1638" s="165"/>
      <c r="AW1638" s="293"/>
      <c r="AX1638" s="66"/>
      <c r="AY1638" s="66"/>
      <c r="AZ1638" s="66"/>
      <c r="BA1638" s="66"/>
      <c r="BB1638" s="66"/>
      <c r="BC1638" s="66"/>
      <c r="BD1638" s="68" t="s">
        <v>74</v>
      </c>
      <c r="BE1638" s="69"/>
    </row>
    <row r="1639" spans="1:57" s="1" customFormat="1" ht="23.25" customHeight="1" thickBot="1" x14ac:dyDescent="0.45">
      <c r="A1639" s="37" t="str">
        <f t="shared" si="638"/>
        <v>27Д</v>
      </c>
      <c r="B1639" s="183"/>
      <c r="C1639" s="41"/>
      <c r="D1639" s="184"/>
      <c r="E1639" s="50"/>
      <c r="F1639" s="70"/>
      <c r="G1639" s="70"/>
      <c r="H1639" s="70"/>
      <c r="I1639" s="104"/>
      <c r="J1639" s="104"/>
      <c r="K1639" s="104"/>
      <c r="L1639" s="104"/>
      <c r="M1639" s="104"/>
      <c r="N1639" s="104"/>
      <c r="O1639" s="71"/>
      <c r="P1639" s="105"/>
      <c r="Q1639" s="105"/>
      <c r="R1639" s="105"/>
      <c r="S1639" s="105"/>
      <c r="T1639" s="105"/>
      <c r="U1639" s="71"/>
      <c r="V1639" s="71"/>
      <c r="W1639" s="106"/>
      <c r="X1639" s="188"/>
      <c r="Y1639" s="72"/>
      <c r="Z1639" s="73"/>
      <c r="AA1639" s="90"/>
      <c r="AB1639" s="41"/>
      <c r="AC1639" s="41"/>
      <c r="AD1639" s="50"/>
      <c r="AE1639" s="47"/>
      <c r="AF1639" s="47"/>
      <c r="AG1639" s="47"/>
      <c r="AH1639" s="47"/>
      <c r="AI1639" s="47"/>
      <c r="AJ1639" s="47"/>
      <c r="AK1639" s="47"/>
      <c r="AL1639" s="47"/>
      <c r="AM1639" s="70"/>
      <c r="AN1639" s="47"/>
      <c r="AO1639" s="70"/>
      <c r="AP1639" s="70"/>
      <c r="AQ1639" s="70"/>
      <c r="AR1639" s="70"/>
      <c r="AS1639" s="70"/>
      <c r="AT1639" s="191"/>
      <c r="AU1639" s="70"/>
      <c r="AV1639" s="192"/>
      <c r="AW1639" s="294"/>
      <c r="AX1639" s="70"/>
      <c r="AY1639" s="70"/>
      <c r="AZ1639" s="70"/>
      <c r="BA1639" s="70"/>
      <c r="BB1639" s="70"/>
      <c r="BC1639" s="70"/>
      <c r="BD1639" s="72"/>
      <c r="BE1639" s="73"/>
    </row>
    <row r="1640" spans="1:57" s="1" customFormat="1" ht="48" customHeight="1" x14ac:dyDescent="0.4">
      <c r="A1640" s="37" t="str">
        <f t="shared" si="638"/>
        <v>27Д</v>
      </c>
      <c r="B1640" s="183"/>
      <c r="C1640" s="41"/>
      <c r="D1640" s="184"/>
      <c r="E1640" s="281">
        <f>B1635</f>
        <v>27</v>
      </c>
      <c r="F1640" s="337"/>
      <c r="G1640" s="338"/>
      <c r="H1640" s="338"/>
      <c r="I1640" s="338"/>
      <c r="J1640" s="338"/>
      <c r="K1640" s="338"/>
      <c r="L1640" s="338"/>
      <c r="M1640" s="338"/>
      <c r="N1640" s="338"/>
      <c r="O1640" s="338"/>
      <c r="P1640" s="338"/>
      <c r="Q1640" s="338"/>
      <c r="R1640" s="338"/>
      <c r="S1640" s="338"/>
      <c r="T1640" s="338"/>
      <c r="U1640" s="338"/>
      <c r="V1640" s="338"/>
      <c r="W1640" s="338"/>
      <c r="X1640" s="98">
        <v>1</v>
      </c>
      <c r="Y1640" s="74">
        <v>1</v>
      </c>
      <c r="Z1640" s="75">
        <f t="shared" ref="Z1640:Z1651" si="644">Y1640-X1640</f>
        <v>0</v>
      </c>
      <c r="AA1640" s="189"/>
      <c r="AB1640" s="41"/>
      <c r="AC1640" s="184"/>
      <c r="AD1640" s="210">
        <f>E1640</f>
        <v>27</v>
      </c>
      <c r="AE1640" s="387"/>
      <c r="AF1640" s="388"/>
      <c r="AG1640" s="388"/>
      <c r="AH1640" s="388"/>
      <c r="AI1640" s="388"/>
      <c r="AJ1640" s="388"/>
      <c r="AK1640" s="388"/>
      <c r="AL1640" s="388"/>
      <c r="AM1640" s="388"/>
      <c r="AN1640" s="388"/>
      <c r="AO1640" s="388"/>
      <c r="AP1640" s="388"/>
      <c r="AQ1640" s="388"/>
      <c r="AR1640" s="388"/>
      <c r="AS1640" s="388"/>
      <c r="AT1640" s="388"/>
      <c r="AU1640" s="388"/>
      <c r="AV1640" s="388"/>
      <c r="AW1640" s="388"/>
      <c r="AX1640" s="388"/>
      <c r="AY1640" s="388"/>
      <c r="AZ1640" s="388"/>
      <c r="BA1640" s="388"/>
      <c r="BB1640" s="389"/>
      <c r="BC1640" s="98">
        <v>1</v>
      </c>
      <c r="BD1640" s="74">
        <v>1</v>
      </c>
      <c r="BE1640" s="75">
        <f t="shared" ref="BE1640:BE1651" si="645">BD1640-BC1640</f>
        <v>0</v>
      </c>
    </row>
    <row r="1641" spans="1:57" s="1" customFormat="1" ht="21.9" customHeight="1" x14ac:dyDescent="0.4">
      <c r="A1641" s="37" t="str">
        <f t="shared" si="638"/>
        <v>27Д</v>
      </c>
      <c r="B1641" s="183"/>
      <c r="C1641" s="41"/>
      <c r="D1641" s="184"/>
      <c r="E1641" s="282">
        <f>E1640</f>
        <v>27</v>
      </c>
      <c r="F1641" s="335"/>
      <c r="G1641" s="336"/>
      <c r="H1641" s="336"/>
      <c r="I1641" s="336"/>
      <c r="J1641" s="336"/>
      <c r="K1641" s="336"/>
      <c r="L1641" s="336"/>
      <c r="M1641" s="336"/>
      <c r="N1641" s="336"/>
      <c r="O1641" s="336"/>
      <c r="P1641" s="336"/>
      <c r="Q1641" s="336"/>
      <c r="R1641" s="336"/>
      <c r="S1641" s="336"/>
      <c r="T1641" s="336"/>
      <c r="U1641" s="336"/>
      <c r="V1641" s="336"/>
      <c r="W1641" s="336"/>
      <c r="X1641" s="98">
        <v>1</v>
      </c>
      <c r="Y1641" s="74">
        <v>1</v>
      </c>
      <c r="Z1641" s="75">
        <f t="shared" si="644"/>
        <v>0</v>
      </c>
      <c r="AA1641" s="107">
        <f>AA1640</f>
        <v>0</v>
      </c>
      <c r="AB1641" s="41"/>
      <c r="AC1641" s="184"/>
      <c r="AD1641" s="212">
        <f>AD1640</f>
        <v>27</v>
      </c>
      <c r="AE1641" s="387"/>
      <c r="AF1641" s="388"/>
      <c r="AG1641" s="388"/>
      <c r="AH1641" s="388"/>
      <c r="AI1641" s="388"/>
      <c r="AJ1641" s="388"/>
      <c r="AK1641" s="388"/>
      <c r="AL1641" s="388"/>
      <c r="AM1641" s="388"/>
      <c r="AN1641" s="388"/>
      <c r="AO1641" s="388"/>
      <c r="AP1641" s="388"/>
      <c r="AQ1641" s="388"/>
      <c r="AR1641" s="388"/>
      <c r="AS1641" s="388"/>
      <c r="AT1641" s="388"/>
      <c r="AU1641" s="388"/>
      <c r="AV1641" s="388"/>
      <c r="AW1641" s="388"/>
      <c r="AX1641" s="388"/>
      <c r="AY1641" s="388"/>
      <c r="AZ1641" s="388"/>
      <c r="BA1641" s="388"/>
      <c r="BB1641" s="389"/>
      <c r="BC1641" s="98">
        <v>1</v>
      </c>
      <c r="BD1641" s="74">
        <v>1</v>
      </c>
      <c r="BE1641" s="75">
        <f t="shared" si="645"/>
        <v>0</v>
      </c>
    </row>
    <row r="1642" spans="1:57" s="1" customFormat="1" ht="21.9" customHeight="1" x14ac:dyDescent="0.4">
      <c r="A1642" s="37" t="str">
        <f t="shared" si="638"/>
        <v>27Д</v>
      </c>
      <c r="B1642" s="183"/>
      <c r="C1642" s="41"/>
      <c r="D1642" s="184"/>
      <c r="E1642" s="282">
        <f t="shared" ref="E1642:E1651" si="646">E1641</f>
        <v>27</v>
      </c>
      <c r="F1642" s="335"/>
      <c r="G1642" s="336"/>
      <c r="H1642" s="336"/>
      <c r="I1642" s="336"/>
      <c r="J1642" s="336"/>
      <c r="K1642" s="336"/>
      <c r="L1642" s="336"/>
      <c r="M1642" s="336"/>
      <c r="N1642" s="336"/>
      <c r="O1642" s="336"/>
      <c r="P1642" s="336"/>
      <c r="Q1642" s="336"/>
      <c r="R1642" s="336"/>
      <c r="S1642" s="336"/>
      <c r="T1642" s="336"/>
      <c r="U1642" s="336"/>
      <c r="V1642" s="336"/>
      <c r="W1642" s="336"/>
      <c r="X1642" s="98">
        <v>1</v>
      </c>
      <c r="Y1642" s="74">
        <v>1</v>
      </c>
      <c r="Z1642" s="75">
        <f t="shared" si="644"/>
        <v>0</v>
      </c>
      <c r="AA1642" s="107">
        <f>AA1641</f>
        <v>0</v>
      </c>
      <c r="AB1642" s="41"/>
      <c r="AC1642" s="184"/>
      <c r="AD1642" s="212">
        <f t="shared" ref="AD1642:AD1651" si="647">AD1641</f>
        <v>27</v>
      </c>
      <c r="AE1642" s="387"/>
      <c r="AF1642" s="388"/>
      <c r="AG1642" s="388"/>
      <c r="AH1642" s="388"/>
      <c r="AI1642" s="388"/>
      <c r="AJ1642" s="388"/>
      <c r="AK1642" s="388"/>
      <c r="AL1642" s="388"/>
      <c r="AM1642" s="388"/>
      <c r="AN1642" s="388"/>
      <c r="AO1642" s="388"/>
      <c r="AP1642" s="388"/>
      <c r="AQ1642" s="388"/>
      <c r="AR1642" s="388"/>
      <c r="AS1642" s="388"/>
      <c r="AT1642" s="388"/>
      <c r="AU1642" s="388"/>
      <c r="AV1642" s="388"/>
      <c r="AW1642" s="388"/>
      <c r="AX1642" s="388"/>
      <c r="AY1642" s="388"/>
      <c r="AZ1642" s="388"/>
      <c r="BA1642" s="388"/>
      <c r="BB1642" s="389"/>
      <c r="BC1642" s="98">
        <v>1</v>
      </c>
      <c r="BD1642" s="74">
        <v>1</v>
      </c>
      <c r="BE1642" s="75">
        <f t="shared" si="645"/>
        <v>0</v>
      </c>
    </row>
    <row r="1643" spans="1:57" s="1" customFormat="1" ht="21.9" customHeight="1" x14ac:dyDescent="0.4">
      <c r="A1643" s="37" t="str">
        <f t="shared" si="638"/>
        <v>27Д</v>
      </c>
      <c r="B1643" s="183"/>
      <c r="C1643" s="41"/>
      <c r="D1643" s="184"/>
      <c r="E1643" s="282">
        <f t="shared" si="646"/>
        <v>27</v>
      </c>
      <c r="F1643" s="335"/>
      <c r="G1643" s="336"/>
      <c r="H1643" s="336"/>
      <c r="I1643" s="336"/>
      <c r="J1643" s="336"/>
      <c r="K1643" s="336"/>
      <c r="L1643" s="336"/>
      <c r="M1643" s="336"/>
      <c r="N1643" s="336"/>
      <c r="O1643" s="336"/>
      <c r="P1643" s="336"/>
      <c r="Q1643" s="336"/>
      <c r="R1643" s="336"/>
      <c r="S1643" s="336"/>
      <c r="T1643" s="336"/>
      <c r="U1643" s="336"/>
      <c r="V1643" s="336"/>
      <c r="W1643" s="336"/>
      <c r="X1643" s="98">
        <v>1</v>
      </c>
      <c r="Y1643" s="74">
        <v>1</v>
      </c>
      <c r="Z1643" s="75">
        <f t="shared" si="644"/>
        <v>0</v>
      </c>
      <c r="AA1643" s="107">
        <f t="shared" ref="AA1643:AA1651" si="648">AA1642</f>
        <v>0</v>
      </c>
      <c r="AB1643" s="41"/>
      <c r="AC1643" s="184"/>
      <c r="AD1643" s="212">
        <f t="shared" si="647"/>
        <v>27</v>
      </c>
      <c r="AE1643" s="387"/>
      <c r="AF1643" s="388"/>
      <c r="AG1643" s="388"/>
      <c r="AH1643" s="388"/>
      <c r="AI1643" s="388"/>
      <c r="AJ1643" s="388"/>
      <c r="AK1643" s="388"/>
      <c r="AL1643" s="388"/>
      <c r="AM1643" s="388"/>
      <c r="AN1643" s="388"/>
      <c r="AO1643" s="388"/>
      <c r="AP1643" s="388"/>
      <c r="AQ1643" s="388"/>
      <c r="AR1643" s="388"/>
      <c r="AS1643" s="388"/>
      <c r="AT1643" s="388"/>
      <c r="AU1643" s="388"/>
      <c r="AV1643" s="388"/>
      <c r="AW1643" s="388"/>
      <c r="AX1643" s="388"/>
      <c r="AY1643" s="388"/>
      <c r="AZ1643" s="388"/>
      <c r="BA1643" s="388"/>
      <c r="BB1643" s="389"/>
      <c r="BC1643" s="98">
        <v>1</v>
      </c>
      <c r="BD1643" s="74">
        <v>1</v>
      </c>
      <c r="BE1643" s="75">
        <f t="shared" si="645"/>
        <v>0</v>
      </c>
    </row>
    <row r="1644" spans="1:57" s="1" customFormat="1" ht="18" customHeight="1" x14ac:dyDescent="0.4">
      <c r="A1644" s="37" t="str">
        <f t="shared" si="638"/>
        <v>27Д</v>
      </c>
      <c r="B1644" s="183"/>
      <c r="C1644" s="41"/>
      <c r="D1644" s="184"/>
      <c r="E1644" s="282">
        <f t="shared" si="646"/>
        <v>27</v>
      </c>
      <c r="F1644" s="335"/>
      <c r="G1644" s="336"/>
      <c r="H1644" s="336"/>
      <c r="I1644" s="336"/>
      <c r="J1644" s="336"/>
      <c r="K1644" s="336"/>
      <c r="L1644" s="336"/>
      <c r="M1644" s="336"/>
      <c r="N1644" s="336"/>
      <c r="O1644" s="336"/>
      <c r="P1644" s="336"/>
      <c r="Q1644" s="336"/>
      <c r="R1644" s="336"/>
      <c r="S1644" s="336"/>
      <c r="T1644" s="336"/>
      <c r="U1644" s="336"/>
      <c r="V1644" s="336"/>
      <c r="W1644" s="336"/>
      <c r="X1644" s="98">
        <v>1</v>
      </c>
      <c r="Y1644" s="74">
        <v>1</v>
      </c>
      <c r="Z1644" s="75">
        <f t="shared" si="644"/>
        <v>0</v>
      </c>
      <c r="AA1644" s="107">
        <f t="shared" si="648"/>
        <v>0</v>
      </c>
      <c r="AB1644" s="41"/>
      <c r="AC1644" s="184"/>
      <c r="AD1644" s="212">
        <f t="shared" si="647"/>
        <v>27</v>
      </c>
      <c r="AE1644" s="387"/>
      <c r="AF1644" s="388"/>
      <c r="AG1644" s="388"/>
      <c r="AH1644" s="388"/>
      <c r="AI1644" s="388"/>
      <c r="AJ1644" s="388"/>
      <c r="AK1644" s="388"/>
      <c r="AL1644" s="388"/>
      <c r="AM1644" s="388"/>
      <c r="AN1644" s="388"/>
      <c r="AO1644" s="388"/>
      <c r="AP1644" s="388"/>
      <c r="AQ1644" s="388"/>
      <c r="AR1644" s="388"/>
      <c r="AS1644" s="388"/>
      <c r="AT1644" s="388"/>
      <c r="AU1644" s="388"/>
      <c r="AV1644" s="388"/>
      <c r="AW1644" s="388"/>
      <c r="AX1644" s="388"/>
      <c r="AY1644" s="388"/>
      <c r="AZ1644" s="388"/>
      <c r="BA1644" s="388"/>
      <c r="BB1644" s="389"/>
      <c r="BC1644" s="98">
        <v>1</v>
      </c>
      <c r="BD1644" s="74">
        <v>1</v>
      </c>
      <c r="BE1644" s="75">
        <f t="shared" si="645"/>
        <v>0</v>
      </c>
    </row>
    <row r="1645" spans="1:57" s="1" customFormat="1" ht="18" customHeight="1" x14ac:dyDescent="0.4">
      <c r="A1645" s="37" t="str">
        <f t="shared" si="638"/>
        <v>27Д</v>
      </c>
      <c r="B1645" s="183"/>
      <c r="C1645" s="41"/>
      <c r="D1645" s="184"/>
      <c r="E1645" s="282">
        <f t="shared" si="646"/>
        <v>27</v>
      </c>
      <c r="F1645" s="335"/>
      <c r="G1645" s="336"/>
      <c r="H1645" s="336"/>
      <c r="I1645" s="336"/>
      <c r="J1645" s="336"/>
      <c r="K1645" s="336"/>
      <c r="L1645" s="336"/>
      <c r="M1645" s="336"/>
      <c r="N1645" s="336"/>
      <c r="O1645" s="336"/>
      <c r="P1645" s="336"/>
      <c r="Q1645" s="336"/>
      <c r="R1645" s="336"/>
      <c r="S1645" s="336"/>
      <c r="T1645" s="336"/>
      <c r="U1645" s="336"/>
      <c r="V1645" s="336"/>
      <c r="W1645" s="336"/>
      <c r="X1645" s="98">
        <v>1</v>
      </c>
      <c r="Y1645" s="74">
        <v>1</v>
      </c>
      <c r="Z1645" s="75">
        <f t="shared" si="644"/>
        <v>0</v>
      </c>
      <c r="AA1645" s="107">
        <f t="shared" si="648"/>
        <v>0</v>
      </c>
      <c r="AB1645" s="41"/>
      <c r="AC1645" s="184"/>
      <c r="AD1645" s="212">
        <f t="shared" si="647"/>
        <v>27</v>
      </c>
      <c r="AE1645" s="387"/>
      <c r="AF1645" s="388"/>
      <c r="AG1645" s="388"/>
      <c r="AH1645" s="388"/>
      <c r="AI1645" s="388"/>
      <c r="AJ1645" s="388"/>
      <c r="AK1645" s="388"/>
      <c r="AL1645" s="388"/>
      <c r="AM1645" s="388"/>
      <c r="AN1645" s="388"/>
      <c r="AO1645" s="388"/>
      <c r="AP1645" s="388"/>
      <c r="AQ1645" s="388"/>
      <c r="AR1645" s="388"/>
      <c r="AS1645" s="388"/>
      <c r="AT1645" s="388"/>
      <c r="AU1645" s="388"/>
      <c r="AV1645" s="388"/>
      <c r="AW1645" s="388"/>
      <c r="AX1645" s="388"/>
      <c r="AY1645" s="388"/>
      <c r="AZ1645" s="388"/>
      <c r="BA1645" s="388"/>
      <c r="BB1645" s="389"/>
      <c r="BC1645" s="98">
        <v>1</v>
      </c>
      <c r="BD1645" s="74">
        <v>1</v>
      </c>
      <c r="BE1645" s="75">
        <f t="shared" si="645"/>
        <v>0</v>
      </c>
    </row>
    <row r="1646" spans="1:57" s="1" customFormat="1" ht="18" customHeight="1" x14ac:dyDescent="0.4">
      <c r="A1646" s="37" t="str">
        <f t="shared" si="638"/>
        <v>27Д</v>
      </c>
      <c r="B1646" s="183"/>
      <c r="C1646" s="41"/>
      <c r="D1646" s="184"/>
      <c r="E1646" s="282">
        <f t="shared" si="646"/>
        <v>27</v>
      </c>
      <c r="F1646" s="335"/>
      <c r="G1646" s="336"/>
      <c r="H1646" s="336"/>
      <c r="I1646" s="336"/>
      <c r="J1646" s="336"/>
      <c r="K1646" s="336"/>
      <c r="L1646" s="336"/>
      <c r="M1646" s="336"/>
      <c r="N1646" s="336"/>
      <c r="O1646" s="336"/>
      <c r="P1646" s="336"/>
      <c r="Q1646" s="336"/>
      <c r="R1646" s="336"/>
      <c r="S1646" s="336"/>
      <c r="T1646" s="336"/>
      <c r="U1646" s="336"/>
      <c r="V1646" s="336"/>
      <c r="W1646" s="336"/>
      <c r="X1646" s="98">
        <v>1</v>
      </c>
      <c r="Y1646" s="74">
        <v>1</v>
      </c>
      <c r="Z1646" s="75">
        <f t="shared" si="644"/>
        <v>0</v>
      </c>
      <c r="AA1646" s="107">
        <f t="shared" si="648"/>
        <v>0</v>
      </c>
      <c r="AB1646" s="41"/>
      <c r="AC1646" s="184"/>
      <c r="AD1646" s="212">
        <f t="shared" si="647"/>
        <v>27</v>
      </c>
      <c r="AE1646" s="387"/>
      <c r="AF1646" s="388"/>
      <c r="AG1646" s="388"/>
      <c r="AH1646" s="388"/>
      <c r="AI1646" s="388"/>
      <c r="AJ1646" s="388"/>
      <c r="AK1646" s="388"/>
      <c r="AL1646" s="388"/>
      <c r="AM1646" s="388"/>
      <c r="AN1646" s="388"/>
      <c r="AO1646" s="388"/>
      <c r="AP1646" s="388"/>
      <c r="AQ1646" s="388"/>
      <c r="AR1646" s="388"/>
      <c r="AS1646" s="388"/>
      <c r="AT1646" s="388"/>
      <c r="AU1646" s="388"/>
      <c r="AV1646" s="388"/>
      <c r="AW1646" s="388"/>
      <c r="AX1646" s="388"/>
      <c r="AY1646" s="388"/>
      <c r="AZ1646" s="388"/>
      <c r="BA1646" s="388"/>
      <c r="BB1646" s="389"/>
      <c r="BC1646" s="98">
        <v>1</v>
      </c>
      <c r="BD1646" s="74">
        <v>1</v>
      </c>
      <c r="BE1646" s="75">
        <f t="shared" si="645"/>
        <v>0</v>
      </c>
    </row>
    <row r="1647" spans="1:57" s="1" customFormat="1" ht="18" customHeight="1" x14ac:dyDescent="0.4">
      <c r="A1647" s="37" t="str">
        <f t="shared" si="638"/>
        <v>27Д</v>
      </c>
      <c r="B1647" s="183"/>
      <c r="C1647" s="41"/>
      <c r="D1647" s="184"/>
      <c r="E1647" s="282">
        <f t="shared" si="646"/>
        <v>27</v>
      </c>
      <c r="F1647" s="335"/>
      <c r="G1647" s="336"/>
      <c r="H1647" s="336"/>
      <c r="I1647" s="336"/>
      <c r="J1647" s="336"/>
      <c r="K1647" s="336"/>
      <c r="L1647" s="336"/>
      <c r="M1647" s="336"/>
      <c r="N1647" s="336"/>
      <c r="O1647" s="336"/>
      <c r="P1647" s="336"/>
      <c r="Q1647" s="336"/>
      <c r="R1647" s="336"/>
      <c r="S1647" s="336"/>
      <c r="T1647" s="336"/>
      <c r="U1647" s="336"/>
      <c r="V1647" s="336"/>
      <c r="W1647" s="336"/>
      <c r="X1647" s="98">
        <v>1</v>
      </c>
      <c r="Y1647" s="74">
        <v>1</v>
      </c>
      <c r="Z1647" s="75">
        <f t="shared" si="644"/>
        <v>0</v>
      </c>
      <c r="AA1647" s="107">
        <f t="shared" si="648"/>
        <v>0</v>
      </c>
      <c r="AB1647" s="41"/>
      <c r="AC1647" s="184"/>
      <c r="AD1647" s="212">
        <f t="shared" si="647"/>
        <v>27</v>
      </c>
      <c r="AE1647" s="387"/>
      <c r="AF1647" s="388"/>
      <c r="AG1647" s="388"/>
      <c r="AH1647" s="388"/>
      <c r="AI1647" s="388"/>
      <c r="AJ1647" s="388"/>
      <c r="AK1647" s="388"/>
      <c r="AL1647" s="388"/>
      <c r="AM1647" s="388"/>
      <c r="AN1647" s="388"/>
      <c r="AO1647" s="388"/>
      <c r="AP1647" s="388"/>
      <c r="AQ1647" s="388"/>
      <c r="AR1647" s="388"/>
      <c r="AS1647" s="388"/>
      <c r="AT1647" s="388"/>
      <c r="AU1647" s="388"/>
      <c r="AV1647" s="388"/>
      <c r="AW1647" s="388"/>
      <c r="AX1647" s="388"/>
      <c r="AY1647" s="388"/>
      <c r="AZ1647" s="388"/>
      <c r="BA1647" s="388"/>
      <c r="BB1647" s="389"/>
      <c r="BC1647" s="98">
        <v>1</v>
      </c>
      <c r="BD1647" s="74">
        <v>1</v>
      </c>
      <c r="BE1647" s="75">
        <f t="shared" si="645"/>
        <v>0</v>
      </c>
    </row>
    <row r="1648" spans="1:57" s="1" customFormat="1" ht="18" customHeight="1" x14ac:dyDescent="0.4">
      <c r="A1648" s="37" t="str">
        <f t="shared" si="638"/>
        <v>27Д</v>
      </c>
      <c r="B1648" s="183"/>
      <c r="C1648" s="41"/>
      <c r="D1648" s="184"/>
      <c r="E1648" s="282">
        <f t="shared" si="646"/>
        <v>27</v>
      </c>
      <c r="F1648" s="335"/>
      <c r="G1648" s="336"/>
      <c r="H1648" s="336"/>
      <c r="I1648" s="336"/>
      <c r="J1648" s="336"/>
      <c r="K1648" s="336"/>
      <c r="L1648" s="336"/>
      <c r="M1648" s="336"/>
      <c r="N1648" s="336"/>
      <c r="O1648" s="336"/>
      <c r="P1648" s="336"/>
      <c r="Q1648" s="336"/>
      <c r="R1648" s="336"/>
      <c r="S1648" s="336"/>
      <c r="T1648" s="336"/>
      <c r="U1648" s="336"/>
      <c r="V1648" s="336"/>
      <c r="W1648" s="336"/>
      <c r="X1648" s="98">
        <v>1</v>
      </c>
      <c r="Y1648" s="74">
        <v>1</v>
      </c>
      <c r="Z1648" s="75">
        <f t="shared" si="644"/>
        <v>0</v>
      </c>
      <c r="AA1648" s="107">
        <f t="shared" si="648"/>
        <v>0</v>
      </c>
      <c r="AB1648" s="41"/>
      <c r="AC1648" s="184"/>
      <c r="AD1648" s="212">
        <f t="shared" si="647"/>
        <v>27</v>
      </c>
      <c r="AE1648" s="387"/>
      <c r="AF1648" s="388"/>
      <c r="AG1648" s="388"/>
      <c r="AH1648" s="388"/>
      <c r="AI1648" s="388"/>
      <c r="AJ1648" s="388"/>
      <c r="AK1648" s="388"/>
      <c r="AL1648" s="388"/>
      <c r="AM1648" s="388"/>
      <c r="AN1648" s="388"/>
      <c r="AO1648" s="388"/>
      <c r="AP1648" s="388"/>
      <c r="AQ1648" s="388"/>
      <c r="AR1648" s="388"/>
      <c r="AS1648" s="388"/>
      <c r="AT1648" s="388"/>
      <c r="AU1648" s="388"/>
      <c r="AV1648" s="388"/>
      <c r="AW1648" s="388"/>
      <c r="AX1648" s="388"/>
      <c r="AY1648" s="388"/>
      <c r="AZ1648" s="388"/>
      <c r="BA1648" s="388"/>
      <c r="BB1648" s="389"/>
      <c r="BC1648" s="98">
        <v>1</v>
      </c>
      <c r="BD1648" s="74">
        <v>1</v>
      </c>
      <c r="BE1648" s="75">
        <f t="shared" si="645"/>
        <v>0</v>
      </c>
    </row>
    <row r="1649" spans="1:57" s="1" customFormat="1" ht="18" customHeight="1" x14ac:dyDescent="0.4">
      <c r="A1649" s="37" t="str">
        <f t="shared" si="638"/>
        <v>27Д</v>
      </c>
      <c r="B1649" s="183"/>
      <c r="C1649" s="41"/>
      <c r="D1649" s="184"/>
      <c r="E1649" s="282">
        <f t="shared" si="646"/>
        <v>27</v>
      </c>
      <c r="F1649" s="335"/>
      <c r="G1649" s="336"/>
      <c r="H1649" s="336"/>
      <c r="I1649" s="336"/>
      <c r="J1649" s="336"/>
      <c r="K1649" s="336"/>
      <c r="L1649" s="336"/>
      <c r="M1649" s="336"/>
      <c r="N1649" s="336"/>
      <c r="O1649" s="336"/>
      <c r="P1649" s="336"/>
      <c r="Q1649" s="336"/>
      <c r="R1649" s="336"/>
      <c r="S1649" s="336"/>
      <c r="T1649" s="336"/>
      <c r="U1649" s="336"/>
      <c r="V1649" s="336"/>
      <c r="W1649" s="336"/>
      <c r="X1649" s="98">
        <v>1</v>
      </c>
      <c r="Y1649" s="74">
        <v>1</v>
      </c>
      <c r="Z1649" s="75">
        <f t="shared" si="644"/>
        <v>0</v>
      </c>
      <c r="AA1649" s="107">
        <f t="shared" si="648"/>
        <v>0</v>
      </c>
      <c r="AB1649" s="41"/>
      <c r="AC1649" s="184"/>
      <c r="AD1649" s="212">
        <f t="shared" si="647"/>
        <v>27</v>
      </c>
      <c r="AE1649" s="387"/>
      <c r="AF1649" s="388"/>
      <c r="AG1649" s="388"/>
      <c r="AH1649" s="388"/>
      <c r="AI1649" s="388"/>
      <c r="AJ1649" s="388"/>
      <c r="AK1649" s="388"/>
      <c r="AL1649" s="388"/>
      <c r="AM1649" s="388"/>
      <c r="AN1649" s="388"/>
      <c r="AO1649" s="388"/>
      <c r="AP1649" s="388"/>
      <c r="AQ1649" s="388"/>
      <c r="AR1649" s="388"/>
      <c r="AS1649" s="388"/>
      <c r="AT1649" s="388"/>
      <c r="AU1649" s="388"/>
      <c r="AV1649" s="388"/>
      <c r="AW1649" s="388"/>
      <c r="AX1649" s="388"/>
      <c r="AY1649" s="388"/>
      <c r="AZ1649" s="388"/>
      <c r="BA1649" s="388"/>
      <c r="BB1649" s="389"/>
      <c r="BC1649" s="98">
        <v>1</v>
      </c>
      <c r="BD1649" s="74">
        <v>1</v>
      </c>
      <c r="BE1649" s="75">
        <f t="shared" si="645"/>
        <v>0</v>
      </c>
    </row>
    <row r="1650" spans="1:57" s="1" customFormat="1" ht="18" customHeight="1" x14ac:dyDescent="0.4">
      <c r="A1650" s="37" t="str">
        <f t="shared" si="638"/>
        <v>27Д</v>
      </c>
      <c r="B1650" s="183"/>
      <c r="C1650" s="41"/>
      <c r="D1650" s="184"/>
      <c r="E1650" s="282">
        <f t="shared" si="646"/>
        <v>27</v>
      </c>
      <c r="F1650" s="335"/>
      <c r="G1650" s="336"/>
      <c r="H1650" s="336"/>
      <c r="I1650" s="336"/>
      <c r="J1650" s="336"/>
      <c r="K1650" s="336"/>
      <c r="L1650" s="336"/>
      <c r="M1650" s="336"/>
      <c r="N1650" s="336"/>
      <c r="O1650" s="336"/>
      <c r="P1650" s="336"/>
      <c r="Q1650" s="336"/>
      <c r="R1650" s="336"/>
      <c r="S1650" s="336"/>
      <c r="T1650" s="336"/>
      <c r="U1650" s="336"/>
      <c r="V1650" s="336"/>
      <c r="W1650" s="336"/>
      <c r="X1650" s="98">
        <v>1</v>
      </c>
      <c r="Y1650" s="74">
        <v>1</v>
      </c>
      <c r="Z1650" s="75">
        <f t="shared" si="644"/>
        <v>0</v>
      </c>
      <c r="AA1650" s="107">
        <f t="shared" si="648"/>
        <v>0</v>
      </c>
      <c r="AB1650" s="41"/>
      <c r="AC1650" s="184"/>
      <c r="AD1650" s="212">
        <f t="shared" si="647"/>
        <v>27</v>
      </c>
      <c r="AE1650" s="387"/>
      <c r="AF1650" s="388"/>
      <c r="AG1650" s="388"/>
      <c r="AH1650" s="388"/>
      <c r="AI1650" s="388"/>
      <c r="AJ1650" s="388"/>
      <c r="AK1650" s="388"/>
      <c r="AL1650" s="388"/>
      <c r="AM1650" s="388"/>
      <c r="AN1650" s="388"/>
      <c r="AO1650" s="388"/>
      <c r="AP1650" s="388"/>
      <c r="AQ1650" s="388"/>
      <c r="AR1650" s="388"/>
      <c r="AS1650" s="388"/>
      <c r="AT1650" s="388"/>
      <c r="AU1650" s="388"/>
      <c r="AV1650" s="388"/>
      <c r="AW1650" s="388"/>
      <c r="AX1650" s="388"/>
      <c r="AY1650" s="388"/>
      <c r="AZ1650" s="388"/>
      <c r="BA1650" s="388"/>
      <c r="BB1650" s="389"/>
      <c r="BC1650" s="98">
        <v>1</v>
      </c>
      <c r="BD1650" s="74">
        <v>1</v>
      </c>
      <c r="BE1650" s="75">
        <f t="shared" si="645"/>
        <v>0</v>
      </c>
    </row>
    <row r="1651" spans="1:57" s="1" customFormat="1" ht="18" customHeight="1" thickBot="1" x14ac:dyDescent="0.45">
      <c r="A1651" s="37" t="str">
        <f t="shared" si="638"/>
        <v>27Д</v>
      </c>
      <c r="B1651" s="183"/>
      <c r="C1651" s="41"/>
      <c r="D1651" s="184"/>
      <c r="E1651" s="283">
        <f t="shared" si="646"/>
        <v>27</v>
      </c>
      <c r="F1651" s="339"/>
      <c r="G1651" s="340"/>
      <c r="H1651" s="340"/>
      <c r="I1651" s="340"/>
      <c r="J1651" s="340"/>
      <c r="K1651" s="340"/>
      <c r="L1651" s="340"/>
      <c r="M1651" s="340"/>
      <c r="N1651" s="340"/>
      <c r="O1651" s="340"/>
      <c r="P1651" s="340"/>
      <c r="Q1651" s="340"/>
      <c r="R1651" s="340"/>
      <c r="S1651" s="340"/>
      <c r="T1651" s="340"/>
      <c r="U1651" s="340"/>
      <c r="V1651" s="340"/>
      <c r="W1651" s="340"/>
      <c r="X1651" s="99">
        <v>1</v>
      </c>
      <c r="Y1651" s="76">
        <v>1</v>
      </c>
      <c r="Z1651" s="77">
        <f t="shared" si="644"/>
        <v>0</v>
      </c>
      <c r="AA1651" s="107">
        <f t="shared" si="648"/>
        <v>0</v>
      </c>
      <c r="AB1651" s="41"/>
      <c r="AC1651" s="184"/>
      <c r="AD1651" s="211">
        <f t="shared" si="647"/>
        <v>27</v>
      </c>
      <c r="AE1651" s="410"/>
      <c r="AF1651" s="411"/>
      <c r="AG1651" s="411"/>
      <c r="AH1651" s="411"/>
      <c r="AI1651" s="411"/>
      <c r="AJ1651" s="411"/>
      <c r="AK1651" s="411"/>
      <c r="AL1651" s="411"/>
      <c r="AM1651" s="411"/>
      <c r="AN1651" s="411"/>
      <c r="AO1651" s="411"/>
      <c r="AP1651" s="411"/>
      <c r="AQ1651" s="411"/>
      <c r="AR1651" s="411"/>
      <c r="AS1651" s="411"/>
      <c r="AT1651" s="411"/>
      <c r="AU1651" s="411"/>
      <c r="AV1651" s="411"/>
      <c r="AW1651" s="411"/>
      <c r="AX1651" s="411"/>
      <c r="AY1651" s="411"/>
      <c r="AZ1651" s="411"/>
      <c r="BA1651" s="411"/>
      <c r="BB1651" s="412"/>
      <c r="BC1651" s="99">
        <v>1</v>
      </c>
      <c r="BD1651" s="76">
        <v>1</v>
      </c>
      <c r="BE1651" s="75">
        <f t="shared" si="645"/>
        <v>0</v>
      </c>
    </row>
    <row r="1652" spans="1:57" s="1" customFormat="1" ht="23.25" customHeight="1" thickBot="1" x14ac:dyDescent="0.45">
      <c r="A1652" s="37" t="str">
        <f t="shared" si="638"/>
        <v>27Д</v>
      </c>
      <c r="B1652" s="193"/>
      <c r="C1652" s="47"/>
      <c r="D1652" s="47"/>
      <c r="E1652" s="47"/>
      <c r="F1652" s="78"/>
      <c r="G1652" s="78"/>
      <c r="H1652" s="78"/>
      <c r="I1652" s="80"/>
      <c r="J1652" s="80"/>
      <c r="K1652" s="80"/>
      <c r="L1652" s="80"/>
      <c r="M1652" s="80"/>
      <c r="N1652" s="80"/>
      <c r="O1652" s="78"/>
      <c r="P1652" s="81"/>
      <c r="Q1652" s="81"/>
      <c r="R1652" s="81"/>
      <c r="S1652" s="81"/>
      <c r="T1652" s="81"/>
      <c r="U1652" s="82"/>
      <c r="V1652" s="82"/>
      <c r="W1652" s="86"/>
      <c r="X1652" s="194"/>
      <c r="Y1652" s="83"/>
      <c r="Z1652" s="83"/>
      <c r="AA1652" s="78"/>
      <c r="AB1652" s="47"/>
      <c r="AC1652" s="47"/>
      <c r="AD1652" s="47"/>
      <c r="AE1652" s="47"/>
      <c r="AF1652" s="47"/>
      <c r="AG1652" s="47"/>
      <c r="AH1652" s="47"/>
      <c r="AI1652" s="47"/>
      <c r="AJ1652" s="47"/>
      <c r="AK1652" s="47"/>
      <c r="AL1652" s="47"/>
      <c r="AM1652" s="84"/>
      <c r="AN1652" s="47"/>
      <c r="AO1652" s="78"/>
      <c r="AP1652" s="78"/>
      <c r="AQ1652" s="78"/>
      <c r="AR1652" s="84"/>
      <c r="AS1652" s="78"/>
      <c r="AT1652" s="85"/>
      <c r="AU1652" s="78"/>
      <c r="AV1652" s="83"/>
      <c r="AW1652" s="83"/>
      <c r="AX1652" s="78"/>
      <c r="AY1652" s="78"/>
      <c r="AZ1652" s="78"/>
      <c r="BA1652" s="78"/>
      <c r="BB1652" s="78"/>
      <c r="BC1652" s="78"/>
      <c r="BD1652" s="79"/>
      <c r="BE1652" s="79"/>
    </row>
    <row r="1653" spans="1:57" s="1" customFormat="1" ht="21.6" customHeight="1" thickBot="1" x14ac:dyDescent="0.45">
      <c r="A1653" s="37" t="s">
        <v>199</v>
      </c>
      <c r="B1653" s="59"/>
      <c r="C1653" s="51"/>
      <c r="D1653" s="51"/>
      <c r="E1653" s="51"/>
      <c r="F1653" s="158" t="s">
        <v>220</v>
      </c>
      <c r="G1653" s="51"/>
      <c r="H1653" s="51"/>
      <c r="I1653" s="156"/>
      <c r="J1653" s="156"/>
      <c r="K1653" s="156"/>
      <c r="L1653" s="156"/>
      <c r="M1653" s="156"/>
      <c r="N1653" s="156"/>
      <c r="O1653" s="91"/>
      <c r="P1653" s="52"/>
      <c r="Q1653" s="52"/>
      <c r="R1653" s="52"/>
      <c r="S1653" s="52"/>
      <c r="T1653" s="52"/>
      <c r="U1653" s="157"/>
      <c r="V1653" s="157"/>
      <c r="W1653" s="94"/>
      <c r="X1653" s="94"/>
      <c r="Y1653" s="51"/>
      <c r="Z1653" s="51"/>
      <c r="AA1653" s="157">
        <f>AA1636</f>
        <v>1</v>
      </c>
      <c r="AB1653" s="157">
        <f t="shared" ref="AB1653:AF1653" si="649">AB1636</f>
        <v>2</v>
      </c>
      <c r="AC1653" s="157">
        <f t="shared" si="649"/>
        <v>3</v>
      </c>
      <c r="AD1653" s="157">
        <f t="shared" si="649"/>
        <v>4</v>
      </c>
      <c r="AE1653" s="157">
        <f t="shared" si="649"/>
        <v>5</v>
      </c>
      <c r="AF1653" s="157">
        <f t="shared" si="649"/>
        <v>6</v>
      </c>
      <c r="AG1653" s="162" t="s">
        <v>123</v>
      </c>
      <c r="AH1653" s="162" t="s">
        <v>124</v>
      </c>
      <c r="AI1653" s="162" t="s">
        <v>125</v>
      </c>
      <c r="AJ1653" s="91" t="s">
        <v>126</v>
      </c>
      <c r="AK1653" s="198" t="s">
        <v>136</v>
      </c>
      <c r="AL1653" s="198" t="s">
        <v>137</v>
      </c>
      <c r="AM1653" s="198" t="s">
        <v>138</v>
      </c>
      <c r="AN1653" s="91"/>
      <c r="AO1653" s="91"/>
      <c r="AP1653" s="91"/>
      <c r="AQ1653" s="91"/>
      <c r="AR1653" s="91"/>
      <c r="AS1653" s="91"/>
      <c r="AT1653" s="91"/>
      <c r="AU1653" s="91"/>
      <c r="AV1653" s="91"/>
      <c r="AW1653" s="91"/>
      <c r="AX1653" s="91"/>
      <c r="AY1653" s="91"/>
      <c r="AZ1653" s="91"/>
      <c r="BA1653" s="91"/>
      <c r="BB1653" s="91"/>
      <c r="BC1653" s="91"/>
      <c r="BD1653" s="91"/>
      <c r="BE1653" s="91"/>
    </row>
    <row r="1654" spans="1:57" s="1" customFormat="1" ht="21.6" customHeight="1" x14ac:dyDescent="0.4">
      <c r="A1654" s="37" t="str">
        <f>A1653</f>
        <v>27Н</v>
      </c>
      <c r="B1654" s="12">
        <f>B1635</f>
        <v>27</v>
      </c>
      <c r="C1654" s="97"/>
      <c r="D1654" s="97">
        <v>1</v>
      </c>
      <c r="E1654" s="29"/>
      <c r="F1654" s="151" t="str">
        <f>IFERROR(VLOOKUP($G1654,нормы!$A$14:$BC$57,2,0),"")</f>
        <v/>
      </c>
      <c r="G1654" s="93"/>
      <c r="H1654" s="54">
        <f>IF(C1654=1,"Кульков С.А.", IF(C1654=2,"Чудаков А.А.",IF(C1654=3,"Королев В.Н.",IF(C1654=4,"Николашин М.П.",IF(C1654=5," Кульков С.А.",IF(C1654=6,"А.А. Чудаков",IF(C1654=7,"В.Н. Королев",IF(C1654=8,"М.П. Николашин",0))))))))</f>
        <v>0</v>
      </c>
      <c r="I1654" s="88" t="s">
        <v>84</v>
      </c>
      <c r="J1654" s="332"/>
      <c r="K1654" s="30">
        <f>IFERROR(VLOOKUP($G1654,[1]нормы!$A$21:$BC$151,15,0),"")</f>
        <v>0</v>
      </c>
      <c r="L1654" s="31">
        <f>IFERROR(VLOOKUP($G1654,[1]нормы!$A$21:$BC$151,17,0),"")</f>
        <v>0</v>
      </c>
      <c r="M1654" s="310">
        <f>IFERROR(VLOOKUP($G1654,[1]нормы!$A$21:$BC$151,27,0),"")</f>
        <v>0</v>
      </c>
      <c r="N1654" s="311" t="str">
        <f>IFERROR(Y1654/Y1660*(1.1*J1654*I1659),"")</f>
        <v/>
      </c>
      <c r="O1654" s="300">
        <f>IFERROR(VLOOKUP($G1654,[1]нормы!$A$21:$BC$151,21,0),"")</f>
        <v>0</v>
      </c>
      <c r="P1654" s="35">
        <f>IFERROR(VLOOKUP($G1654,[1]нормы!$A$21:$BC$151,19,0),"")</f>
        <v>0</v>
      </c>
      <c r="Q1654" s="35">
        <f>IFERROR(VLOOKUP($G1654,[1]нормы!$A$21:$BC$151,23,0),"")</f>
        <v>0</v>
      </c>
      <c r="R1654" s="231">
        <f>IFERROR(VLOOKUP($G1654,[1]нормы!$A$21:$BC$151,29,0),"")</f>
        <v>0</v>
      </c>
      <c r="S1654" s="35">
        <f>IFERROR(VLOOKUP($G1654,[1]нормы!$A$21:$BC$151,31,0),"")</f>
        <v>0</v>
      </c>
      <c r="T1654" s="32">
        <f>IFERROR(VLOOKUP($G1654,[1]нормы!$A$21:$BC$151,25,0),"")</f>
        <v>0</v>
      </c>
      <c r="U1654" s="232" t="str">
        <f>IFERROR(W1654/(((100*Y1654/Y1660)*I1659)/100),"")</f>
        <v/>
      </c>
      <c r="V1654" s="234" t="str">
        <f>IFERROR(VLOOKUP($G1654,нормы!$A$14:$BC$57,38,0),"")</f>
        <v/>
      </c>
      <c r="W1654" s="136"/>
      <c r="X1654" s="236"/>
      <c r="Y1654" s="152" t="str">
        <f>IFERROR(VLOOKUP($G1654,нормы!$A$14:$BC$57,42,0)*W1654,"")</f>
        <v/>
      </c>
      <c r="Z1654" s="163">
        <f>IFERROR(VLOOKUP($G1654,нормы!$A$14:$BC$57,14,0)*W1654/1000,0)</f>
        <v>0</v>
      </c>
      <c r="AA1654" s="33"/>
      <c r="AB1654" s="36"/>
      <c r="AC1654" s="36"/>
      <c r="AD1654" s="36"/>
      <c r="AE1654" s="34"/>
      <c r="AF1654" s="159"/>
      <c r="AG1654" s="390"/>
      <c r="AH1654" s="393"/>
      <c r="AI1654" s="396"/>
      <c r="AJ1654" s="407">
        <f>AG1654+AH1654</f>
        <v>0</v>
      </c>
      <c r="AK1654" s="359"/>
      <c r="AL1654" s="359"/>
      <c r="AM1654" s="359"/>
      <c r="AN1654" s="287">
        <f>IFERROR(Y1654*AJ1654/Y1660,)</f>
        <v>0</v>
      </c>
      <c r="AO1654" s="197" t="str">
        <f>IFERROR(VLOOKUP($G1654,нормы!$A$14:$BC$57,53,0)*$W1654,"")</f>
        <v/>
      </c>
      <c r="AP1654" s="288">
        <f>IFERROR(Y1654*AI1654/Y1660,)</f>
        <v>0</v>
      </c>
      <c r="AQ1654" s="197" t="str">
        <f>IFERROR(VLOOKUP($G1654,нормы!$A$14:$BC$57,54,0)*$W1654,"")</f>
        <v/>
      </c>
      <c r="AR1654" s="288">
        <f>IFERROR(AS1654/SUM(AS1654:AS1659)*AL1654,0)</f>
        <v>0</v>
      </c>
      <c r="AS1654" s="197" t="str">
        <f>IFERROR(VLOOKUP($G1654,нормы!$A$14:$BC$57,55,0)*W1654,"")</f>
        <v/>
      </c>
      <c r="AT1654" s="288">
        <f>IFERROR(AU1654/SUM(AU1654:AU1659)*AM1654,0)</f>
        <v>0</v>
      </c>
      <c r="AU1654" s="197" t="str">
        <f>IFERROR(VLOOKUP($G1654,нормы!$A$14:$BI$57,56,0)*W1654,"")</f>
        <v/>
      </c>
      <c r="AV1654" s="288">
        <f>IFERROR(AW1654/SUM(AW1654:AW1659)*AK1654,0)</f>
        <v>0</v>
      </c>
      <c r="AW1654" s="202" t="str">
        <f>IFERROR(VLOOKUP($G1654,нормы!$A$14:$BI$57,57,0)*W1654,"")</f>
        <v/>
      </c>
      <c r="AX1654" s="33"/>
      <c r="AY1654" s="203" t="str">
        <f>IFERROR(VLOOKUP($G1654,нормы!$A$14:$BI$57,58,0)*W1654,"")</f>
        <v/>
      </c>
      <c r="AZ1654" s="204"/>
      <c r="BA1654" s="200" t="str">
        <f>IFERROR(VLOOKUP($G1654,нормы!$A$14:$BI$57,61,0)*$W1654,"")</f>
        <v/>
      </c>
      <c r="BB1654" s="33"/>
      <c r="BC1654" s="203" t="str">
        <f>IFERROR(VLOOKUP($G1654,нормы!$A$14:$BI$57,60,0)*W1654,"")</f>
        <v/>
      </c>
      <c r="BD1654" s="200" t="str">
        <f>IFERROR(VLOOKUP($G1654,нормы!$A$14:$BG$57,44,0),"")</f>
        <v/>
      </c>
      <c r="BE1654" s="199" t="str">
        <f>IFERROR(W1654/VLOOKUP($G1654,нормы!$A$14:$BI$57,45,0),"")</f>
        <v/>
      </c>
    </row>
    <row r="1655" spans="1:57" s="1" customFormat="1" ht="21.6" customHeight="1" x14ac:dyDescent="0.4">
      <c r="A1655" s="37" t="str">
        <f t="shared" ref="A1655:A1683" si="650">A1654</f>
        <v>27Н</v>
      </c>
      <c r="B1655" s="12">
        <f t="shared" ref="B1655:D1659" si="651">B1654</f>
        <v>27</v>
      </c>
      <c r="C1655" s="97">
        <f t="shared" si="651"/>
        <v>0</v>
      </c>
      <c r="D1655" s="97">
        <f t="shared" si="651"/>
        <v>1</v>
      </c>
      <c r="E1655" s="54"/>
      <c r="F1655" s="151" t="str">
        <f>IFERROR(VLOOKUP($G1655,нормы!$A$14:$BC$57,2,0),"")</f>
        <v/>
      </c>
      <c r="G1655" s="93"/>
      <c r="H1655" s="54">
        <f t="shared" ref="H1655:H1659" si="652">IF(C1655=1,"Кульков С.А.", IF(C1655=2,"Чудаков А.А.",IF(C1655=3,"Королев В.Н.",IF(C1655=4,"Николашин М.П.",IF(C1655=5," Кульков С.А.",IF(C1655=6,"А.А. Чудаков",IF(C1655=7,"В.Н. Королев",IF(C1655=8,"М.П. Николашин",0))))))))</f>
        <v>0</v>
      </c>
      <c r="I1655" s="55"/>
      <c r="J1655" s="333"/>
      <c r="K1655" s="30">
        <f>IFERROR(VLOOKUP($G1655,[1]нормы!$A$21:$BC$151,15,0),"")</f>
        <v>0</v>
      </c>
      <c r="L1655" s="31">
        <f>IFERROR(VLOOKUP($G1655,[1]нормы!$A$21:$BC$151,17,0),"")</f>
        <v>0</v>
      </c>
      <c r="M1655" s="306">
        <f>IFERROR(VLOOKUP($G1655,[1]нормы!$A$21:$BC$151,27,0),"")</f>
        <v>0</v>
      </c>
      <c r="N1655" s="307" t="str">
        <f>IFERROR(Y1655/Y1660*(1.1*J1654*I1659),"")</f>
        <v/>
      </c>
      <c r="O1655" s="300">
        <f>IFERROR(VLOOKUP($G1655,[1]нормы!$A$21:$BC$151,21,0),"")</f>
        <v>0</v>
      </c>
      <c r="P1655" s="35">
        <f>IFERROR(VLOOKUP($G1655,[1]нормы!$A$21:$BC$151,19,0),"")</f>
        <v>0</v>
      </c>
      <c r="Q1655" s="35">
        <f>IFERROR(VLOOKUP($G1655,[1]нормы!$A$21:$BC$151,23,0),"")</f>
        <v>0</v>
      </c>
      <c r="R1655" s="231">
        <f>IFERROR(VLOOKUP($G1655,[1]нормы!$A$21:$BC$151,29,0),"")</f>
        <v>0</v>
      </c>
      <c r="S1655" s="35">
        <f>IFERROR(VLOOKUP($G1655,[1]нормы!$A$21:$BC$151,31,0),"")</f>
        <v>0</v>
      </c>
      <c r="T1655" s="32">
        <f>IFERROR(VLOOKUP($G1655,[1]нормы!$A$21:$BC$151,25,0),"")</f>
        <v>0</v>
      </c>
      <c r="U1655" s="233" t="str">
        <f>IFERROR(W1655/(((100*Y1655/Y1660)*I1659)/100),"")</f>
        <v/>
      </c>
      <c r="V1655" s="234" t="str">
        <f>IFERROR(VLOOKUP($G1655,нормы!$A$14:$BC$57,38,0),"")</f>
        <v/>
      </c>
      <c r="W1655" s="136"/>
      <c r="X1655" s="237"/>
      <c r="Y1655" s="152" t="str">
        <f>IFERROR(VLOOKUP($G1655,нормы!$A$14:$BC$57,42,0)*W1655,"")</f>
        <v/>
      </c>
      <c r="Z1655" s="163">
        <f>IFERROR(VLOOKUP($G1655,нормы!$A$14:$BC$57,14,0)*W1655/1000,0)</f>
        <v>0</v>
      </c>
      <c r="AA1655" s="142"/>
      <c r="AB1655" s="35"/>
      <c r="AC1655" s="35"/>
      <c r="AD1655" s="35"/>
      <c r="AE1655" s="31"/>
      <c r="AF1655" s="160"/>
      <c r="AG1655" s="391"/>
      <c r="AH1655" s="394"/>
      <c r="AI1655" s="397"/>
      <c r="AJ1655" s="408"/>
      <c r="AK1655" s="360"/>
      <c r="AL1655" s="360"/>
      <c r="AM1655" s="360"/>
      <c r="AN1655" s="289">
        <f>IFERROR(Y1655*AJ1654/Y1660,)</f>
        <v>0</v>
      </c>
      <c r="AO1655" s="197" t="str">
        <f>IFERROR(VLOOKUP($G1655,нормы!$A$14:$BC$57,53,0)*$W1655,"")</f>
        <v/>
      </c>
      <c r="AP1655" s="290">
        <f>IFERROR(Y1655*AI1654/Y1660,)</f>
        <v>0</v>
      </c>
      <c r="AQ1655" s="197" t="str">
        <f>IFERROR(VLOOKUP($G1655,нормы!$A$14:$BC$57,54,0)*$W1655,"")</f>
        <v/>
      </c>
      <c r="AR1655" s="290">
        <f>IFERROR(AS1655/SUM(AS1654:AS1659)*AL1654,0)</f>
        <v>0</v>
      </c>
      <c r="AS1655" s="197" t="str">
        <f>IFERROR(VLOOKUP($G1655,нормы!$A$14:$BC$57,55,0)*W1655,"")</f>
        <v/>
      </c>
      <c r="AT1655" s="290">
        <f>IFERROR(AU1655/SUM(AU1654:AU1659)*AM1654,0)</f>
        <v>0</v>
      </c>
      <c r="AU1655" s="197" t="str">
        <f>IFERROR(VLOOKUP($G1655,нормы!$A$14:$BI$57,56,0)*W1655,"")</f>
        <v/>
      </c>
      <c r="AV1655" s="290">
        <f>IFERROR(AW1655/SUM(AW1654:AW1659)*AK1654,0)</f>
        <v>0</v>
      </c>
      <c r="AW1655" s="202" t="str">
        <f>IFERROR(VLOOKUP($G1655,нормы!$A$14:$BI$57,57,0)*W1655,"")</f>
        <v/>
      </c>
      <c r="AX1655" s="30"/>
      <c r="AY1655" s="203" t="str">
        <f>IFERROR(VLOOKUP($G1655,нормы!$A$14:$BI$57,58,0)*W1655,"")</f>
        <v/>
      </c>
      <c r="AZ1655" s="205"/>
      <c r="BA1655" s="200" t="str">
        <f>IFERROR(VLOOKUP($G1655,нормы!$A$14:$BI$57,61,0)*$W1655,"")</f>
        <v/>
      </c>
      <c r="BB1655" s="30"/>
      <c r="BC1655" s="203" t="str">
        <f>IFERROR(VLOOKUP($G1655,нормы!$A$14:$BI$57,60,0)*W1655,"")</f>
        <v/>
      </c>
      <c r="BD1655" s="200" t="str">
        <f>IFERROR(VLOOKUP($G1655,нормы!$A$14:$BG$57,44,0),"")</f>
        <v/>
      </c>
      <c r="BE1655" s="199" t="str">
        <f>IFERROR(W1655/VLOOKUP($G1655,нормы!$A$14:$BI$57,45,0),"")</f>
        <v/>
      </c>
    </row>
    <row r="1656" spans="1:57" s="1" customFormat="1" ht="20.25" customHeight="1" x14ac:dyDescent="0.4">
      <c r="A1656" s="37" t="str">
        <f t="shared" si="650"/>
        <v>27Н</v>
      </c>
      <c r="B1656" s="12">
        <f t="shared" si="651"/>
        <v>27</v>
      </c>
      <c r="C1656" s="97">
        <f t="shared" si="651"/>
        <v>0</v>
      </c>
      <c r="D1656" s="97">
        <f t="shared" si="651"/>
        <v>1</v>
      </c>
      <c r="E1656" s="54"/>
      <c r="F1656" s="151" t="str">
        <f>IFERROR(VLOOKUP($G1656,нормы!$A$14:$BC$57,2,0),"")</f>
        <v/>
      </c>
      <c r="G1656" s="38"/>
      <c r="H1656" s="54">
        <f t="shared" si="652"/>
        <v>0</v>
      </c>
      <c r="I1656" s="89" t="s">
        <v>85</v>
      </c>
      <c r="J1656" s="333"/>
      <c r="K1656" s="30">
        <f>IFERROR(VLOOKUP($G1656,[1]нормы!$A$21:$BC$151,15,0),"")</f>
        <v>0</v>
      </c>
      <c r="L1656" s="31">
        <f>IFERROR(VLOOKUP($G1656,[1]нормы!$A$21:$BC$151,17,0),"")</f>
        <v>0</v>
      </c>
      <c r="M1656" s="306">
        <f>IFERROR(VLOOKUP($G1656,[1]нормы!$A$21:$BC$151,27,0),"")</f>
        <v>0</v>
      </c>
      <c r="N1656" s="307" t="str">
        <f>IFERROR(Y1656/Y1660*(1.1*J1654*I1659),"")</f>
        <v/>
      </c>
      <c r="O1656" s="300">
        <f>IFERROR(VLOOKUP($G1656,[1]нормы!$A$21:$BC$151,21,0),"")</f>
        <v>0</v>
      </c>
      <c r="P1656" s="35">
        <f>IFERROR(VLOOKUP($G1656,[1]нормы!$A$21:$BC$151,19,0),"")</f>
        <v>0</v>
      </c>
      <c r="Q1656" s="35">
        <f>IFERROR(VLOOKUP($G1656,[1]нормы!$A$21:$BC$151,23,0),"")</f>
        <v>0</v>
      </c>
      <c r="R1656" s="231">
        <f>IFERROR(VLOOKUP($G1656,[1]нормы!$A$21:$BC$151,29,0),"")</f>
        <v>0</v>
      </c>
      <c r="S1656" s="35">
        <f>IFERROR(VLOOKUP($G1656,[1]нормы!$A$21:$BC$151,31,0),"")</f>
        <v>0</v>
      </c>
      <c r="T1656" s="32">
        <f>IFERROR(VLOOKUP($G1656,[1]нормы!$A$21:$BC$151,25,0),"")</f>
        <v>0</v>
      </c>
      <c r="U1656" s="233" t="str">
        <f>IFERROR(W1656/(((100*Y1656/Y1660)*I1659)/100),"")</f>
        <v/>
      </c>
      <c r="V1656" s="234" t="str">
        <f>IFERROR(VLOOKUP($G1656,нормы!$A$14:$BC$57,38,0),"")</f>
        <v/>
      </c>
      <c r="W1656" s="136"/>
      <c r="X1656" s="237"/>
      <c r="Y1656" s="152" t="str">
        <f>IFERROR(VLOOKUP($G1656,нормы!$A$14:$BC$57,42,0)*W1656,"")</f>
        <v/>
      </c>
      <c r="Z1656" s="163">
        <f>IFERROR(VLOOKUP($G1656,нормы!$A$14:$BC$57,14,0)*W1656/1000,0)</f>
        <v>0</v>
      </c>
      <c r="AA1656" s="30"/>
      <c r="AB1656" s="35"/>
      <c r="AC1656" s="35"/>
      <c r="AD1656" s="35"/>
      <c r="AE1656" s="31"/>
      <c r="AF1656" s="160"/>
      <c r="AG1656" s="391"/>
      <c r="AH1656" s="394"/>
      <c r="AI1656" s="397"/>
      <c r="AJ1656" s="408"/>
      <c r="AK1656" s="360"/>
      <c r="AL1656" s="360"/>
      <c r="AM1656" s="360"/>
      <c r="AN1656" s="289">
        <f>IFERROR(Y1656*AJ1654/Y1660,)</f>
        <v>0</v>
      </c>
      <c r="AO1656" s="197" t="str">
        <f>IFERROR(VLOOKUP($G1656,нормы!$A$14:$BC$57,53,0)*$W1656,"")</f>
        <v/>
      </c>
      <c r="AP1656" s="290">
        <f>IFERROR(Y1656*AI1654/Y1660,)</f>
        <v>0</v>
      </c>
      <c r="AQ1656" s="197" t="str">
        <f>IFERROR(VLOOKUP($G1656,нормы!$A$14:$BC$57,54,0)*$W1656,"")</f>
        <v/>
      </c>
      <c r="AR1656" s="290">
        <f>IFERROR(AS1656/SUM(AS1654:AS1659)*AL1654,0)</f>
        <v>0</v>
      </c>
      <c r="AS1656" s="197" t="str">
        <f>IFERROR(VLOOKUP($G1656,нормы!$A$14:$BC$57,55,0)*W1656,"")</f>
        <v/>
      </c>
      <c r="AT1656" s="290">
        <f>IFERROR(AU1656/SUM(AU1654:AU1659)*AM1654,0)</f>
        <v>0</v>
      </c>
      <c r="AU1656" s="197" t="str">
        <f>IFERROR(VLOOKUP($G1656,нормы!$A$14:$BI$57,56,0)*W1656,"")</f>
        <v/>
      </c>
      <c r="AV1656" s="290">
        <f>IFERROR(AW1656/SUM(AW1654:AW1659)*AK1654,0)</f>
        <v>0</v>
      </c>
      <c r="AW1656" s="202" t="str">
        <f>IFERROR(VLOOKUP($G1656,нормы!$A$14:$BI$57,57,0)*W1656,"")</f>
        <v/>
      </c>
      <c r="AX1656" s="30"/>
      <c r="AY1656" s="203" t="str">
        <f>IFERROR(VLOOKUP($G1656,нормы!$A$14:$BI$57,58,0)*W1656,"")</f>
        <v/>
      </c>
      <c r="AZ1656" s="205"/>
      <c r="BA1656" s="200" t="str">
        <f>IFERROR(VLOOKUP($G1656,нормы!$A$14:$BI$57,61,0)*$W1656,"")</f>
        <v/>
      </c>
      <c r="BB1656" s="30"/>
      <c r="BC1656" s="203" t="str">
        <f>IFERROR(VLOOKUP($G1656,нормы!$A$14:$BI$57,60,0)*W1656,"")</f>
        <v/>
      </c>
      <c r="BD1656" s="200" t="str">
        <f>IFERROR(VLOOKUP($G1656,нормы!$A$14:$BG$57,44,0),"")</f>
        <v/>
      </c>
      <c r="BE1656" s="199" t="str">
        <f>IFERROR(W1656/VLOOKUP($G1656,нормы!$A$14:$BI$57,45,0),"")</f>
        <v/>
      </c>
    </row>
    <row r="1657" spans="1:57" s="1" customFormat="1" ht="20.25" customHeight="1" x14ac:dyDescent="0.4">
      <c r="A1657" s="37" t="str">
        <f t="shared" si="650"/>
        <v>27Н</v>
      </c>
      <c r="B1657" s="12">
        <f t="shared" si="651"/>
        <v>27</v>
      </c>
      <c r="C1657" s="97">
        <f t="shared" si="651"/>
        <v>0</v>
      </c>
      <c r="D1657" s="97">
        <f t="shared" si="651"/>
        <v>1</v>
      </c>
      <c r="E1657" s="54"/>
      <c r="F1657" s="151" t="str">
        <f>IFERROR(VLOOKUP($G1657,нормы!$A$14:$BC$57,2,0),"")</f>
        <v/>
      </c>
      <c r="G1657" s="93"/>
      <c r="H1657" s="54">
        <f t="shared" si="652"/>
        <v>0</v>
      </c>
      <c r="I1657" s="55"/>
      <c r="J1657" s="333"/>
      <c r="K1657" s="30">
        <f>IFERROR(VLOOKUP($G1657,[1]нормы!$A$21:$BC$151,15,0),"")</f>
        <v>0</v>
      </c>
      <c r="L1657" s="31">
        <f>IFERROR(VLOOKUP($G1657,[1]нормы!$A$21:$BC$151,17,0),"")</f>
        <v>0</v>
      </c>
      <c r="M1657" s="306">
        <f>IFERROR(VLOOKUP($G1657,[1]нормы!$A$21:$BC$151,27,0),"")</f>
        <v>0</v>
      </c>
      <c r="N1657" s="307" t="str">
        <f>IFERROR(Y1657/Y1660*(1.1*J1654*I1662),"")</f>
        <v/>
      </c>
      <c r="O1657" s="300">
        <f>IFERROR(VLOOKUP($G1657,[1]нормы!$A$21:$BC$151,21,0),"")</f>
        <v>0</v>
      </c>
      <c r="P1657" s="35">
        <f>IFERROR(VLOOKUP($G1657,[1]нормы!$A$21:$BC$151,19,0),"")</f>
        <v>0</v>
      </c>
      <c r="Q1657" s="35">
        <f>IFERROR(VLOOKUP($G1657,[1]нормы!$A$21:$BC$151,23,0),"")</f>
        <v>0</v>
      </c>
      <c r="R1657" s="231">
        <f>IFERROR(VLOOKUP($G1657,[1]нормы!$A$21:$BC$151,29,0),"")</f>
        <v>0</v>
      </c>
      <c r="S1657" s="35">
        <f>IFERROR(VLOOKUP($G1657,[1]нормы!$A$21:$BC$151,31,0),"")</f>
        <v>0</v>
      </c>
      <c r="T1657" s="32">
        <f>IFERROR(VLOOKUP($G1657,[1]нормы!$A$21:$BC$151,25,0),"")</f>
        <v>0</v>
      </c>
      <c r="U1657" s="233" t="str">
        <f>IFERROR(W1657/(((100*Y1657/Y1660)*I1659)/100),"")</f>
        <v/>
      </c>
      <c r="V1657" s="234" t="str">
        <f>IFERROR(VLOOKUP($G1657,нормы!$A$14:$BC$57,38,0),"")</f>
        <v/>
      </c>
      <c r="W1657" s="136"/>
      <c r="X1657" s="237"/>
      <c r="Y1657" s="152" t="str">
        <f>IFERROR(VLOOKUP($G1657,нормы!$A$14:$BC$57,42,0)*W1657,"")</f>
        <v/>
      </c>
      <c r="Z1657" s="163">
        <f>IFERROR(VLOOKUP($G1657,нормы!$A$14:$BC$57,14,0)*W1657/1000,0)</f>
        <v>0</v>
      </c>
      <c r="AA1657" s="30"/>
      <c r="AB1657" s="35"/>
      <c r="AC1657" s="35"/>
      <c r="AD1657" s="35"/>
      <c r="AE1657" s="31"/>
      <c r="AF1657" s="160"/>
      <c r="AG1657" s="391"/>
      <c r="AH1657" s="394"/>
      <c r="AI1657" s="397"/>
      <c r="AJ1657" s="408"/>
      <c r="AK1657" s="360"/>
      <c r="AL1657" s="360"/>
      <c r="AM1657" s="360"/>
      <c r="AN1657" s="289">
        <f>IFERROR(Y1657*AJ1654/Y1660,)</f>
        <v>0</v>
      </c>
      <c r="AO1657" s="197" t="str">
        <f>IFERROR(VLOOKUP($G1657,нормы!$A$14:$BC$57,53,0)*$W1657,"")</f>
        <v/>
      </c>
      <c r="AP1657" s="290">
        <f>IFERROR(Y1657*AI1654/Y1660,)</f>
        <v>0</v>
      </c>
      <c r="AQ1657" s="197" t="str">
        <f>IFERROR(VLOOKUP($G1657,нормы!$A$14:$BC$57,54,0)*$W1657,"")</f>
        <v/>
      </c>
      <c r="AR1657" s="290">
        <f>IFERROR(AS1657/SUM(AS1654:AS1659)*AL1654,0)</f>
        <v>0</v>
      </c>
      <c r="AS1657" s="197" t="str">
        <f>IFERROR(VLOOKUP($G1657,нормы!$A$14:$BC$57,55,0)*W1657,"")</f>
        <v/>
      </c>
      <c r="AT1657" s="290">
        <f>IFERROR(AU1657/SUM(AU1654:AU1659)*AM1654,0)</f>
        <v>0</v>
      </c>
      <c r="AU1657" s="197" t="str">
        <f>IFERROR(VLOOKUP($G1657,нормы!$A$14:$BI$57,56,0)*W1657,"")</f>
        <v/>
      </c>
      <c r="AV1657" s="290">
        <f>IFERROR(AW1657/SUM(AW1654:AW1659)*AK1654,0)</f>
        <v>0</v>
      </c>
      <c r="AW1657" s="202" t="str">
        <f>IFERROR(VLOOKUP($G1657,нормы!$A$14:$BI$57,57,0)*W1657,"")</f>
        <v/>
      </c>
      <c r="AX1657" s="30"/>
      <c r="AY1657" s="203" t="str">
        <f>IFERROR(VLOOKUP($G1657,нормы!$A$14:$BI$57,58,0)*W1657,"")</f>
        <v/>
      </c>
      <c r="AZ1657" s="205"/>
      <c r="BA1657" s="200" t="str">
        <f>IFERROR(VLOOKUP($G1657,нормы!$A$14:$BI$57,61,0)*$W1657,"")</f>
        <v/>
      </c>
      <c r="BB1657" s="30"/>
      <c r="BC1657" s="203" t="str">
        <f>IFERROR(VLOOKUP($G1657,нормы!$A$14:$BI$57,60,0)*W1657,"")</f>
        <v/>
      </c>
      <c r="BD1657" s="200" t="str">
        <f>IFERROR(VLOOKUP($G1657,нормы!$A$14:$BG$57,44,0),"")</f>
        <v/>
      </c>
      <c r="BE1657" s="199" t="str">
        <f>IFERROR(W1657/VLOOKUP($G1657,нормы!$A$14:$BI$57,45,0),"")</f>
        <v/>
      </c>
    </row>
    <row r="1658" spans="1:57" s="1" customFormat="1" ht="20.25" customHeight="1" x14ac:dyDescent="0.4">
      <c r="A1658" s="37" t="str">
        <f t="shared" si="650"/>
        <v>27Н</v>
      </c>
      <c r="B1658" s="12">
        <f t="shared" si="651"/>
        <v>27</v>
      </c>
      <c r="C1658" s="97">
        <f t="shared" si="651"/>
        <v>0</v>
      </c>
      <c r="D1658" s="97">
        <f t="shared" si="651"/>
        <v>1</v>
      </c>
      <c r="E1658" s="54"/>
      <c r="F1658" s="151" t="str">
        <f>IFERROR(VLOOKUP($G1658,нормы!$A$14:$BC$57,2,0),"")</f>
        <v/>
      </c>
      <c r="G1658" s="38"/>
      <c r="H1658" s="54">
        <f t="shared" si="652"/>
        <v>0</v>
      </c>
      <c r="I1658" s="89" t="s">
        <v>73</v>
      </c>
      <c r="J1658" s="333"/>
      <c r="K1658" s="30">
        <f>IFERROR(VLOOKUP($G1658,[1]нормы!$A$21:$BC$151,15,0),"")</f>
        <v>0</v>
      </c>
      <c r="L1658" s="31">
        <f>IFERROR(VLOOKUP($G1658,[1]нормы!$A$21:$BC$151,17,0),"")</f>
        <v>0</v>
      </c>
      <c r="M1658" s="306">
        <f>IFERROR(VLOOKUP($G1658,[1]нормы!$A$21:$BC$151,27,0),"")</f>
        <v>0</v>
      </c>
      <c r="N1658" s="307" t="str">
        <f>IFERROR(Y1658/Y1660*(1.1*J1654*I1663),"")</f>
        <v/>
      </c>
      <c r="O1658" s="300">
        <f>IFERROR(VLOOKUP($G1658,[1]нормы!$A$21:$BC$151,21,0),"")</f>
        <v>0</v>
      </c>
      <c r="P1658" s="35">
        <f>IFERROR(VLOOKUP($G1658,[1]нормы!$A$21:$BC$151,19,0),"")</f>
        <v>0</v>
      </c>
      <c r="Q1658" s="35">
        <f>IFERROR(VLOOKUP($G1658,[1]нормы!$A$21:$BC$151,23,0),"")</f>
        <v>0</v>
      </c>
      <c r="R1658" s="231">
        <f>IFERROR(VLOOKUP($G1658,[1]нормы!$A$21:$BC$151,29,0),"")</f>
        <v>0</v>
      </c>
      <c r="S1658" s="35">
        <f>IFERROR(VLOOKUP($G1658,[1]нормы!$A$21:$BC$151,31,0),"")</f>
        <v>0</v>
      </c>
      <c r="T1658" s="32">
        <f>IFERROR(VLOOKUP($G1658,[1]нормы!$A$21:$BC$151,25,0),"")</f>
        <v>0</v>
      </c>
      <c r="U1658" s="233" t="str">
        <f>IFERROR(W1658/(((100*Y1658/Y1660)*I1659)/100),"")</f>
        <v/>
      </c>
      <c r="V1658" s="234" t="str">
        <f>IFERROR(VLOOKUP($G1658,нормы!$A$14:$BC$57,38,0),"")</f>
        <v/>
      </c>
      <c r="W1658" s="136"/>
      <c r="X1658" s="237"/>
      <c r="Y1658" s="152" t="str">
        <f>IFERROR(VLOOKUP($G1658,нормы!$A$14:$BC$57,42,0)*W1658,"")</f>
        <v/>
      </c>
      <c r="Z1658" s="163">
        <f>IFERROR(VLOOKUP($G1658,нормы!$A$14:$BC$57,14,0)*W1658/1000,0)</f>
        <v>0</v>
      </c>
      <c r="AA1658" s="30"/>
      <c r="AB1658" s="35"/>
      <c r="AC1658" s="35"/>
      <c r="AD1658" s="35"/>
      <c r="AE1658" s="31"/>
      <c r="AF1658" s="160"/>
      <c r="AG1658" s="391"/>
      <c r="AH1658" s="394"/>
      <c r="AI1658" s="397"/>
      <c r="AJ1658" s="408"/>
      <c r="AK1658" s="360"/>
      <c r="AL1658" s="360"/>
      <c r="AM1658" s="360"/>
      <c r="AN1658" s="289">
        <f>IFERROR(Y1658*AJ1654/Y1660,)</f>
        <v>0</v>
      </c>
      <c r="AO1658" s="197" t="str">
        <f>IFERROR(VLOOKUP($G1658,нормы!$A$14:$BC$57,53,0)*$W1658,"")</f>
        <v/>
      </c>
      <c r="AP1658" s="290">
        <f>IFERROR(Y1658*AI1654/Y1660,)</f>
        <v>0</v>
      </c>
      <c r="AQ1658" s="197" t="str">
        <f>IFERROR(VLOOKUP($G1658,нормы!$A$14:$BC$57,54,0)*$W1658,"")</f>
        <v/>
      </c>
      <c r="AR1658" s="290">
        <f>IFERROR(AS1658/SUM(AS1654:AS1659)*AL1654,0)</f>
        <v>0</v>
      </c>
      <c r="AS1658" s="197" t="str">
        <f>IFERROR(VLOOKUP($G1658,нормы!$A$14:$BC$57,55,0)*W1658,"")</f>
        <v/>
      </c>
      <c r="AT1658" s="290">
        <f>IFERROR(AU1658/SUM(AU1654:AU1659)*AM1654,0)</f>
        <v>0</v>
      </c>
      <c r="AU1658" s="197" t="str">
        <f>IFERROR(VLOOKUP($G1658,нормы!$A$14:$BI$57,56,0)*W1658,"")</f>
        <v/>
      </c>
      <c r="AV1658" s="290">
        <f>IFERROR(AW1658/SUM(AW1654:AW1659)*AK1654,0)</f>
        <v>0</v>
      </c>
      <c r="AW1658" s="202" t="str">
        <f>IFERROR(VLOOKUP($G1658,нормы!$A$14:$BI$57,57,0)*W1658,"")</f>
        <v/>
      </c>
      <c r="AX1658" s="30"/>
      <c r="AY1658" s="203" t="str">
        <f>IFERROR(VLOOKUP($G1658,нормы!$A$14:$BI$57,58,0)*W1658,"")</f>
        <v/>
      </c>
      <c r="AZ1658" s="205"/>
      <c r="BA1658" s="200" t="str">
        <f>IFERROR(VLOOKUP($G1658,нормы!$A$14:$BI$57,61,0)*$W1658,"")</f>
        <v/>
      </c>
      <c r="BB1658" s="30"/>
      <c r="BC1658" s="203" t="str">
        <f>IFERROR(VLOOKUP($G1658,нормы!$A$14:$BI$57,60,0)*W1658,"")</f>
        <v/>
      </c>
      <c r="BD1658" s="200" t="str">
        <f>IFERROR(VLOOKUP($G1658,нормы!$A$14:$BG$57,44,0),"")</f>
        <v/>
      </c>
      <c r="BE1658" s="199" t="str">
        <f>IFERROR(W1658/VLOOKUP($G1658,нормы!$A$14:$BI$57,45,0),"")</f>
        <v/>
      </c>
    </row>
    <row r="1659" spans="1:57" s="1" customFormat="1" ht="21" customHeight="1" thickBot="1" x14ac:dyDescent="0.45">
      <c r="A1659" s="37" t="str">
        <f t="shared" si="650"/>
        <v>27Н</v>
      </c>
      <c r="B1659" s="12">
        <f t="shared" si="651"/>
        <v>27</v>
      </c>
      <c r="C1659" s="97">
        <f t="shared" si="651"/>
        <v>0</v>
      </c>
      <c r="D1659" s="97">
        <f t="shared" si="651"/>
        <v>1</v>
      </c>
      <c r="E1659" s="54"/>
      <c r="F1659" s="151" t="str">
        <f>IFERROR(VLOOKUP($G1659,нормы!$A$14:$BC$57,2,0),"")</f>
        <v/>
      </c>
      <c r="G1659" s="93"/>
      <c r="H1659" s="63">
        <f t="shared" si="652"/>
        <v>0</v>
      </c>
      <c r="I1659" s="153">
        <f>I1655+I1657</f>
        <v>0</v>
      </c>
      <c r="J1659" s="334"/>
      <c r="K1659" s="30">
        <f>IFERROR(VLOOKUP($G1659,[1]нормы!$A$21:$BC$151,15,0),"")</f>
        <v>0</v>
      </c>
      <c r="L1659" s="31">
        <f>IFERROR(VLOOKUP($G1659,[1]нормы!$A$21:$BC$151,17,0),"")</f>
        <v>0</v>
      </c>
      <c r="M1659" s="308">
        <f>IFERROR(VLOOKUP($G1659,[1]нормы!$A$21:$BC$151,27,0),"")</f>
        <v>0</v>
      </c>
      <c r="N1659" s="309" t="str">
        <f>IFERROR(Y1659/Y1660*(1.1*J1654*I1664),"")</f>
        <v/>
      </c>
      <c r="O1659" s="300">
        <f>IFERROR(VLOOKUP($G1659,[1]нормы!$A$21:$BC$151,21,0),"")</f>
        <v>0</v>
      </c>
      <c r="P1659" s="35">
        <f>IFERROR(VLOOKUP($G1659,[1]нормы!$A$21:$BC$151,19,0),"")</f>
        <v>0</v>
      </c>
      <c r="Q1659" s="35">
        <f>IFERROR(VLOOKUP($G1659,[1]нормы!$A$21:$BC$151,23,0),"")</f>
        <v>0</v>
      </c>
      <c r="R1659" s="231">
        <f>IFERROR(VLOOKUP($G1659,[1]нормы!$A$21:$BC$151,29,0),"")</f>
        <v>0</v>
      </c>
      <c r="S1659" s="35">
        <f>IFERROR(VLOOKUP($G1659,[1]нормы!$A$21:$BC$151,31,0),"")</f>
        <v>0</v>
      </c>
      <c r="T1659" s="32">
        <f>IFERROR(VLOOKUP($G1659,[1]нормы!$A$21:$BC$151,25,0),"")</f>
        <v>0</v>
      </c>
      <c r="U1659" s="235" t="str">
        <f>IFERROR(W1659/(((100*Y1659/Y1660)*I1659)/100),"")</f>
        <v/>
      </c>
      <c r="V1659" s="234" t="str">
        <f>IFERROR(VLOOKUP($G1659,нормы!$A$14:$BC$57,38,0),"")</f>
        <v/>
      </c>
      <c r="W1659" s="154"/>
      <c r="X1659" s="238"/>
      <c r="Y1659" s="152" t="str">
        <f>IFERROR(VLOOKUP($G1659,нормы!$A$14:$BC$57,42,0)*W1659,"")</f>
        <v/>
      </c>
      <c r="Z1659" s="163">
        <f>IFERROR(VLOOKUP($G1659,нормы!$A$14:$BC$57,14,0)*W1659/1000,0)</f>
        <v>0</v>
      </c>
      <c r="AA1659" s="56"/>
      <c r="AB1659" s="58"/>
      <c r="AC1659" s="58"/>
      <c r="AD1659" s="58"/>
      <c r="AE1659" s="57"/>
      <c r="AF1659" s="161"/>
      <c r="AG1659" s="392"/>
      <c r="AH1659" s="395"/>
      <c r="AI1659" s="398"/>
      <c r="AJ1659" s="409"/>
      <c r="AK1659" s="361"/>
      <c r="AL1659" s="361"/>
      <c r="AM1659" s="361"/>
      <c r="AN1659" s="291">
        <f>IFERROR(Y1659*AJ1654/Y1660,)</f>
        <v>0</v>
      </c>
      <c r="AO1659" s="197" t="str">
        <f>IFERROR(VLOOKUP($G1659,нормы!$A$14:$BC$57,53,0)*$W1659,"")</f>
        <v/>
      </c>
      <c r="AP1659" s="292">
        <f>IFERROR(Y1659*AI1654/Y1660,)</f>
        <v>0</v>
      </c>
      <c r="AQ1659" s="197" t="str">
        <f>IFERROR(VLOOKUP($G1659,нормы!$A$14:$BC$57,54,0)*$W1659,"")</f>
        <v/>
      </c>
      <c r="AR1659" s="290">
        <f>IFERROR(AS1659/SUM(AS1654:AS1659)*AL1654,0)</f>
        <v>0</v>
      </c>
      <c r="AS1659" s="197" t="str">
        <f>IFERROR(VLOOKUP($G1659,нормы!$A$14:$BC$57,55,0)*W1659,"")</f>
        <v/>
      </c>
      <c r="AT1659" s="292">
        <f>IFERROR(AU1659/SUM(AU1654:AU1659)*AM1654,0)</f>
        <v>0</v>
      </c>
      <c r="AU1659" s="197" t="str">
        <f>IFERROR(VLOOKUP($G1659,нормы!$A$14:$BI$57,56,0)*W1659,"")</f>
        <v/>
      </c>
      <c r="AV1659" s="292">
        <f>IFERROR(AW1659/SUM(AW1654:AW1659)*AK1654,0)</f>
        <v>0</v>
      </c>
      <c r="AW1659" s="202" t="str">
        <f>IFERROR(VLOOKUP($G1659,нормы!$A$14:$BI$57,57,0)*W1659,"")</f>
        <v/>
      </c>
      <c r="AX1659" s="56"/>
      <c r="AY1659" s="203" t="str">
        <f>IFERROR(VLOOKUP($G1659,нормы!$A$14:$BI$57,58,0)*W1659,"")</f>
        <v/>
      </c>
      <c r="AZ1659" s="206"/>
      <c r="BA1659" s="200" t="str">
        <f>IFERROR(VLOOKUP($G1659,нормы!$A$14:$BI$57,61,0)*$W1659,"")</f>
        <v/>
      </c>
      <c r="BB1659" s="56"/>
      <c r="BC1659" s="203" t="str">
        <f>IFERROR(VLOOKUP($G1659,нормы!$A$14:$BI$57,60,0)*W1659,"")</f>
        <v/>
      </c>
      <c r="BD1659" s="200" t="str">
        <f>IFERROR(VLOOKUP($G1659,нормы!$A$14:$BG$57,44,0),"")</f>
        <v/>
      </c>
      <c r="BE1659" s="199" t="str">
        <f>IFERROR(W1659/VLOOKUP($G1659,нормы!$A$14:$BI$57,45,0),"")</f>
        <v/>
      </c>
    </row>
    <row r="1660" spans="1:57" s="1" customFormat="1" ht="29.4" customHeight="1" thickBot="1" x14ac:dyDescent="0.45">
      <c r="A1660" s="37" t="str">
        <f t="shared" si="650"/>
        <v>27Н</v>
      </c>
      <c r="B1660" s="59"/>
      <c r="C1660" s="51"/>
      <c r="D1660" s="51"/>
      <c r="E1660" s="51"/>
      <c r="F1660" s="295" t="s">
        <v>149</v>
      </c>
      <c r="G1660" s="51"/>
      <c r="H1660" s="51"/>
      <c r="I1660" s="60"/>
      <c r="J1660" s="60"/>
      <c r="K1660" s="319" t="s">
        <v>213</v>
      </c>
      <c r="L1660" s="316"/>
      <c r="M1660" s="303" t="s">
        <v>213</v>
      </c>
      <c r="N1660" s="317">
        <f>SUM(N1654:N1659)</f>
        <v>0</v>
      </c>
      <c r="O1660" s="304" t="s">
        <v>216</v>
      </c>
      <c r="P1660" s="318">
        <f>N1660*8.937/1000</f>
        <v>0</v>
      </c>
      <c r="Q1660" s="305" t="s">
        <v>215</v>
      </c>
      <c r="R1660" s="61"/>
      <c r="S1660" s="61"/>
      <c r="T1660" s="61"/>
      <c r="U1660" s="109"/>
      <c r="V1660" s="109"/>
      <c r="W1660" s="94"/>
      <c r="X1660" s="155"/>
      <c r="Y1660" s="96">
        <f>SUM(Y1654:Y1659)</f>
        <v>0</v>
      </c>
      <c r="Z1660" s="164">
        <f>SUM(Z1654:Z1659)</f>
        <v>0</v>
      </c>
      <c r="AA1660" s="62"/>
      <c r="AB1660" s="62"/>
      <c r="AC1660" s="62"/>
      <c r="AD1660" s="62"/>
      <c r="AE1660" s="62"/>
      <c r="AF1660" s="62"/>
      <c r="AG1660" s="162" t="s">
        <v>140</v>
      </c>
      <c r="AH1660" s="162" t="s">
        <v>141</v>
      </c>
      <c r="AI1660" s="162" t="s">
        <v>142</v>
      </c>
      <c r="AJ1660" s="91" t="s">
        <v>126</v>
      </c>
      <c r="AK1660" s="198" t="s">
        <v>136</v>
      </c>
      <c r="AL1660" s="198" t="s">
        <v>137</v>
      </c>
      <c r="AM1660" s="198" t="s">
        <v>138</v>
      </c>
      <c r="AN1660" s="91"/>
      <c r="AO1660" s="91"/>
      <c r="AP1660" s="91"/>
      <c r="AQ1660" s="91"/>
      <c r="AR1660" s="91"/>
      <c r="AS1660" s="91"/>
      <c r="AT1660" s="91"/>
      <c r="AU1660" s="91"/>
      <c r="AV1660" s="91"/>
      <c r="AW1660" s="91"/>
      <c r="AX1660" s="91"/>
      <c r="AY1660" s="91"/>
      <c r="AZ1660" s="91"/>
      <c r="BA1660" s="91"/>
      <c r="BB1660" s="91"/>
      <c r="BC1660" s="91"/>
      <c r="BD1660" s="91"/>
      <c r="BE1660" s="53" t="str">
        <f>IFERROR(W1660/VLOOKUP($G1660,нормы!$A$14:$BI$15,28,0),"")</f>
        <v/>
      </c>
    </row>
    <row r="1661" spans="1:57" s="1" customFormat="1" ht="21.6" customHeight="1" x14ac:dyDescent="0.4">
      <c r="A1661" s="37" t="str">
        <f t="shared" si="650"/>
        <v>27Н</v>
      </c>
      <c r="B1661" s="12">
        <f>B1659</f>
        <v>27</v>
      </c>
      <c r="C1661" s="97"/>
      <c r="D1661" s="97">
        <v>2</v>
      </c>
      <c r="E1661" s="29"/>
      <c r="F1661" s="151" t="str">
        <f>IFERROR(VLOOKUP($G1661,нормы!$A$14:$BC$57,2,0),"")</f>
        <v/>
      </c>
      <c r="G1661" s="93"/>
      <c r="H1661" s="54">
        <f>IF(C1661=1,"Кульков С.А.", IF(C1661=2,"Чудаков А.А.",IF(C1661=3,"Королев В.Н.",IF(C1661=4,"Николашин М.П.",IF(C1661=5," Кульков С.А.",IF(C1661=6,"А.А. Чудаков",IF(C1661=7,"В.Н. Королев",IF(C1661=8,"М.П. Николашин",0))))))))</f>
        <v>0</v>
      </c>
      <c r="I1661" s="88" t="s">
        <v>211</v>
      </c>
      <c r="J1661" s="332"/>
      <c r="K1661" s="30">
        <f>IFERROR(VLOOKUP($G1661,[1]нормы!$A$21:$BC$151,15,0),"")</f>
        <v>0</v>
      </c>
      <c r="L1661" s="31">
        <f>IFERROR(VLOOKUP($G1661,[1]нормы!$A$21:$BC$151,17,0),"")</f>
        <v>0</v>
      </c>
      <c r="M1661" s="310">
        <f>IFERROR(VLOOKUP($G1661,[1]нормы!$A$21:$BC$151,27,0),"")</f>
        <v>0</v>
      </c>
      <c r="N1661" s="311" t="str">
        <f>IFERROR(Y1661/Y1667*(1.1*J1661*I1666),"")</f>
        <v/>
      </c>
      <c r="O1661" s="300">
        <f>IFERROR(VLOOKUP($G1661,[1]нормы!$A$21:$BC$151,21,0),"")</f>
        <v>0</v>
      </c>
      <c r="P1661" s="35">
        <f>IFERROR(VLOOKUP($G1661,[1]нормы!$A$21:$BC$151,19,0),"")</f>
        <v>0</v>
      </c>
      <c r="Q1661" s="35">
        <f>IFERROR(VLOOKUP($G1661,[1]нормы!$A$21:$BC$151,23,0),"")</f>
        <v>0</v>
      </c>
      <c r="R1661" s="231">
        <f>IFERROR(VLOOKUP($G1661,[1]нормы!$A$21:$BC$151,29,0),"")</f>
        <v>0</v>
      </c>
      <c r="S1661" s="35">
        <f>IFERROR(VLOOKUP($G1661,[1]нормы!$A$21:$BC$151,31,0),"")</f>
        <v>0</v>
      </c>
      <c r="T1661" s="32">
        <f>IFERROR(VLOOKUP($G1661,[1]нормы!$A$21:$BC$151,25,0),"")</f>
        <v>0</v>
      </c>
      <c r="U1661" s="232" t="str">
        <f>IFERROR(W1661/(((100*Y1661/Y1667)*I1666)/100),"")</f>
        <v/>
      </c>
      <c r="V1661" s="234" t="str">
        <f>IFERROR(VLOOKUP($G1661,нормы!$A$14:$BC$57,38,0),"")</f>
        <v/>
      </c>
      <c r="W1661" s="136"/>
      <c r="X1661" s="236"/>
      <c r="Y1661" s="152" t="str">
        <f>IFERROR(VLOOKUP($G1661,нормы!$A$14:$BC$57,42,0)*W1661,"")</f>
        <v/>
      </c>
      <c r="Z1661" s="163">
        <f>IFERROR(VLOOKUP($G1661,нормы!$A$14:$BC$57,14,0)*W1661/1000,0)</f>
        <v>0</v>
      </c>
      <c r="AA1661" s="33"/>
      <c r="AB1661" s="36"/>
      <c r="AC1661" s="36"/>
      <c r="AD1661" s="36"/>
      <c r="AE1661" s="34"/>
      <c r="AF1661" s="159"/>
      <c r="AG1661" s="390"/>
      <c r="AH1661" s="393"/>
      <c r="AI1661" s="396"/>
      <c r="AJ1661" s="407">
        <f>AG1661+AH1661</f>
        <v>0</v>
      </c>
      <c r="AK1661" s="359"/>
      <c r="AL1661" s="359"/>
      <c r="AM1661" s="359"/>
      <c r="AN1661" s="287">
        <f>IFERROR(Y1661*AJ1661/Y1667,)</f>
        <v>0</v>
      </c>
      <c r="AO1661" s="197" t="str">
        <f>IFERROR(VLOOKUP($G1661,нормы!$A$14:$BC$57,53,0)*$W1661,"")</f>
        <v/>
      </c>
      <c r="AP1661" s="288">
        <f>IFERROR(Y1661*AI1661/Y1667,)</f>
        <v>0</v>
      </c>
      <c r="AQ1661" s="197" t="str">
        <f>IFERROR(VLOOKUP($G1661,нормы!$A$14:$BC$57,54,0)*$W1661,"")</f>
        <v/>
      </c>
      <c r="AR1661" s="288">
        <f>IFERROR(AS1661/SUM(AS1661:AS1666)*AL1661,0)</f>
        <v>0</v>
      </c>
      <c r="AS1661" s="197" t="str">
        <f>IFERROR(VLOOKUP($G1661,нормы!$A$14:$BC$57,55,0)*W1661,"")</f>
        <v/>
      </c>
      <c r="AT1661" s="288">
        <f>IFERROR(AU1661/SUM(AU1661:AU1666)*AM1661,0)</f>
        <v>0</v>
      </c>
      <c r="AU1661" s="197" t="str">
        <f>IFERROR(VLOOKUP($G1661,нормы!$A$14:$BI$57,56,0)*W1661,"")</f>
        <v/>
      </c>
      <c r="AV1661" s="288">
        <f>IFERROR(AW1661/SUM(AW1661:AW1666)*AK1661,0)</f>
        <v>0</v>
      </c>
      <c r="AW1661" s="202" t="str">
        <f>IFERROR(VLOOKUP($G1661,нормы!$A$14:$BI$57,57,0)*W1661,"")</f>
        <v/>
      </c>
      <c r="AX1661" s="33"/>
      <c r="AY1661" s="203" t="str">
        <f>IFERROR(VLOOKUP($G1661,нормы!$A$14:$BI$57,58,0)*W1661,"")</f>
        <v/>
      </c>
      <c r="AZ1661" s="204"/>
      <c r="BA1661" s="200" t="str">
        <f>IFERROR(VLOOKUP($G1661,нормы!$A$14:$BI$57,61,0)*$W1661,"")</f>
        <v/>
      </c>
      <c r="BB1661" s="33"/>
      <c r="BC1661" s="203" t="str">
        <f>IFERROR(VLOOKUP($G1661,нормы!$A$14:$BI$57,60,0)*W1661,"")</f>
        <v/>
      </c>
      <c r="BD1661" s="200" t="str">
        <f>IFERROR(VLOOKUP($G1661,нормы!$A$14:$BG$57,44,0),"")</f>
        <v/>
      </c>
      <c r="BE1661" s="199" t="str">
        <f>IFERROR(W1661/VLOOKUP($G1661,нормы!$A$14:$BI$57,45,0),"")</f>
        <v/>
      </c>
    </row>
    <row r="1662" spans="1:57" s="1" customFormat="1" ht="21.6" customHeight="1" x14ac:dyDescent="0.4">
      <c r="A1662" s="37" t="str">
        <f t="shared" si="650"/>
        <v>27Н</v>
      </c>
      <c r="B1662" s="12">
        <f t="shared" ref="B1662:D1666" si="653">B1661</f>
        <v>27</v>
      </c>
      <c r="C1662" s="97">
        <f t="shared" si="653"/>
        <v>0</v>
      </c>
      <c r="D1662" s="97">
        <f t="shared" si="653"/>
        <v>2</v>
      </c>
      <c r="E1662" s="54"/>
      <c r="F1662" s="151" t="str">
        <f>IFERROR(VLOOKUP($G1662,нормы!$A$14:$BC$57,2,0),"")</f>
        <v/>
      </c>
      <c r="G1662" s="93"/>
      <c r="H1662" s="54">
        <f t="shared" ref="H1662:H1666" si="654">IF(C1662=1,"Кульков С.А.", IF(C1662=2,"Чудаков А.А.",IF(C1662=3,"Королев В.Н.",IF(C1662=4,"Николашин М.П.",IF(C1662=5," Кульков С.А.",IF(C1662=6,"А.А. Чудаков",IF(C1662=7,"В.Н. Королев",IF(C1662=8,"М.П. Николашин",0))))))))</f>
        <v>0</v>
      </c>
      <c r="I1662" s="55"/>
      <c r="J1662" s="333"/>
      <c r="K1662" s="30">
        <f>IFERROR(VLOOKUP($G1662,[1]нормы!$A$21:$BC$151,15,0),"")</f>
        <v>0</v>
      </c>
      <c r="L1662" s="31">
        <f>IFERROR(VLOOKUP($G1662,[1]нормы!$A$21:$BC$151,17,0),"")</f>
        <v>0</v>
      </c>
      <c r="M1662" s="306">
        <f>IFERROR(VLOOKUP($G1662,[1]нормы!$A$21:$BC$151,27,0),"")</f>
        <v>0</v>
      </c>
      <c r="N1662" s="307" t="str">
        <f>IFERROR(Y1662/Y1667*(1.1*J1661*I1666),"")</f>
        <v/>
      </c>
      <c r="O1662" s="300">
        <f>IFERROR(VLOOKUP($G1662,[1]нормы!$A$21:$BC$151,21,0),"")</f>
        <v>0</v>
      </c>
      <c r="P1662" s="35">
        <f>IFERROR(VLOOKUP($G1662,[1]нормы!$A$21:$BC$151,19,0),"")</f>
        <v>0</v>
      </c>
      <c r="Q1662" s="35">
        <f>IFERROR(VLOOKUP($G1662,[1]нормы!$A$21:$BC$151,23,0),"")</f>
        <v>0</v>
      </c>
      <c r="R1662" s="231">
        <f>IFERROR(VLOOKUP($G1662,[1]нормы!$A$21:$BC$151,29,0),"")</f>
        <v>0</v>
      </c>
      <c r="S1662" s="35">
        <f>IFERROR(VLOOKUP($G1662,[1]нормы!$A$21:$BC$151,31,0),"")</f>
        <v>0</v>
      </c>
      <c r="T1662" s="32">
        <f>IFERROR(VLOOKUP($G1662,[1]нормы!$A$21:$BC$151,25,0),"")</f>
        <v>0</v>
      </c>
      <c r="U1662" s="233" t="str">
        <f>IFERROR(W1662/(((100*Y1662/Y1667)*I1666)/100),"")</f>
        <v/>
      </c>
      <c r="V1662" s="234" t="str">
        <f>IFERROR(VLOOKUP($G1662,нормы!$A$14:$BC$57,38,0),"")</f>
        <v/>
      </c>
      <c r="W1662" s="136"/>
      <c r="X1662" s="237"/>
      <c r="Y1662" s="152" t="str">
        <f>IFERROR(VLOOKUP($G1662,нормы!$A$14:$BC$57,42,0)*W1662,"")</f>
        <v/>
      </c>
      <c r="Z1662" s="163">
        <f>IFERROR(VLOOKUP($G1662,нормы!$A$14:$BC$57,14,0)*W1662/1000,0)</f>
        <v>0</v>
      </c>
      <c r="AA1662" s="142"/>
      <c r="AB1662" s="35"/>
      <c r="AC1662" s="35"/>
      <c r="AD1662" s="35"/>
      <c r="AE1662" s="31"/>
      <c r="AF1662" s="160"/>
      <c r="AG1662" s="391"/>
      <c r="AH1662" s="394"/>
      <c r="AI1662" s="397"/>
      <c r="AJ1662" s="408"/>
      <c r="AK1662" s="360"/>
      <c r="AL1662" s="360"/>
      <c r="AM1662" s="360"/>
      <c r="AN1662" s="289">
        <f>IFERROR(Y1662*AJ1661/Y1667,)</f>
        <v>0</v>
      </c>
      <c r="AO1662" s="197" t="str">
        <f>IFERROR(VLOOKUP($G1662,нормы!$A$14:$BC$57,53,0)*$W1662,"")</f>
        <v/>
      </c>
      <c r="AP1662" s="290">
        <f>IFERROR(Y1662*AI1661/Y1667,)</f>
        <v>0</v>
      </c>
      <c r="AQ1662" s="197" t="str">
        <f>IFERROR(VLOOKUP($G1662,нормы!$A$14:$BC$57,54,0)*$W1662,"")</f>
        <v/>
      </c>
      <c r="AR1662" s="290">
        <f>IFERROR(AS1662/SUM(AS1661:AS1666)*AL1661,0)</f>
        <v>0</v>
      </c>
      <c r="AS1662" s="197" t="str">
        <f>IFERROR(VLOOKUP($G1662,нормы!$A$14:$BC$57,55,0)*W1662,"")</f>
        <v/>
      </c>
      <c r="AT1662" s="290">
        <f>IFERROR(AU1662/SUM(AU1661:AU1666)*AM1661,0)</f>
        <v>0</v>
      </c>
      <c r="AU1662" s="197" t="str">
        <f>IFERROR(VLOOKUP($G1662,нормы!$A$14:$BI$57,56,0)*W1662,"")</f>
        <v/>
      </c>
      <c r="AV1662" s="290">
        <f>IFERROR(AW1662/SUM(AW1661:AW1666)*AK1661,0)</f>
        <v>0</v>
      </c>
      <c r="AW1662" s="202" t="str">
        <f>IFERROR(VLOOKUP($G1662,нормы!$A$14:$BI$57,57,0)*W1662,"")</f>
        <v/>
      </c>
      <c r="AX1662" s="30"/>
      <c r="AY1662" s="203" t="str">
        <f>IFERROR(VLOOKUP($G1662,нормы!$A$14:$BI$57,58,0)*W1662,"")</f>
        <v/>
      </c>
      <c r="AZ1662" s="205"/>
      <c r="BA1662" s="200" t="str">
        <f>IFERROR(VLOOKUP($G1662,нормы!$A$14:$BI$57,61,0)*$W1662,"")</f>
        <v/>
      </c>
      <c r="BB1662" s="30"/>
      <c r="BC1662" s="203" t="str">
        <f>IFERROR(VLOOKUP($G1662,нормы!$A$14:$BI$57,60,0)*W1662,"")</f>
        <v/>
      </c>
      <c r="BD1662" s="200" t="str">
        <f>IFERROR(VLOOKUP($G1662,нормы!$A$14:$BG$57,44,0),"")</f>
        <v/>
      </c>
      <c r="BE1662" s="199" t="str">
        <f>IFERROR(W1662/VLOOKUP($G1662,нормы!$A$14:$BI$57,45,0),"")</f>
        <v/>
      </c>
    </row>
    <row r="1663" spans="1:57" s="1" customFormat="1" ht="20.25" customHeight="1" x14ac:dyDescent="0.4">
      <c r="A1663" s="37" t="str">
        <f t="shared" si="650"/>
        <v>27Н</v>
      </c>
      <c r="B1663" s="12">
        <f t="shared" si="653"/>
        <v>27</v>
      </c>
      <c r="C1663" s="97">
        <f t="shared" si="653"/>
        <v>0</v>
      </c>
      <c r="D1663" s="97">
        <f t="shared" si="653"/>
        <v>2</v>
      </c>
      <c r="E1663" s="54"/>
      <c r="F1663" s="151" t="str">
        <f>IFERROR(VLOOKUP($G1663,нормы!$A$14:$BC$57,2,0),"")</f>
        <v/>
      </c>
      <c r="G1663" s="38"/>
      <c r="H1663" s="54">
        <f t="shared" si="654"/>
        <v>0</v>
      </c>
      <c r="I1663" s="89" t="s">
        <v>212</v>
      </c>
      <c r="J1663" s="333"/>
      <c r="K1663" s="30">
        <f>IFERROR(VLOOKUP($G1663,[1]нормы!$A$21:$BC$151,15,0),"")</f>
        <v>0</v>
      </c>
      <c r="L1663" s="31">
        <f>IFERROR(VLOOKUP($G1663,[1]нормы!$A$21:$BC$151,17,0),"")</f>
        <v>0</v>
      </c>
      <c r="M1663" s="306">
        <f>IFERROR(VLOOKUP($G1663,[1]нормы!$A$21:$BC$151,27,0),"")</f>
        <v>0</v>
      </c>
      <c r="N1663" s="307" t="str">
        <f>IFERROR(Y1663/Y1667*(1.1*J1661*I1666),"")</f>
        <v/>
      </c>
      <c r="O1663" s="300">
        <f>IFERROR(VLOOKUP($G1663,[1]нормы!$A$21:$BC$151,21,0),"")</f>
        <v>0</v>
      </c>
      <c r="P1663" s="35">
        <f>IFERROR(VLOOKUP($G1663,[1]нормы!$A$21:$BC$151,19,0),"")</f>
        <v>0</v>
      </c>
      <c r="Q1663" s="35">
        <f>IFERROR(VLOOKUP($G1663,[1]нормы!$A$21:$BC$151,23,0),"")</f>
        <v>0</v>
      </c>
      <c r="R1663" s="231">
        <f>IFERROR(VLOOKUP($G1663,[1]нормы!$A$21:$BC$151,29,0),"")</f>
        <v>0</v>
      </c>
      <c r="S1663" s="35">
        <f>IFERROR(VLOOKUP($G1663,[1]нормы!$A$21:$BC$151,31,0),"")</f>
        <v>0</v>
      </c>
      <c r="T1663" s="32">
        <f>IFERROR(VLOOKUP($G1663,[1]нормы!$A$21:$BC$151,25,0),"")</f>
        <v>0</v>
      </c>
      <c r="U1663" s="233" t="str">
        <f>IFERROR(W1663/(((100*Y1663/Y1667)*I1666)/100),"")</f>
        <v/>
      </c>
      <c r="V1663" s="234" t="str">
        <f>IFERROR(VLOOKUP($G1663,нормы!$A$14:$BC$57,38,0),"")</f>
        <v/>
      </c>
      <c r="W1663" s="136"/>
      <c r="X1663" s="237"/>
      <c r="Y1663" s="152" t="str">
        <f>IFERROR(VLOOKUP($G1663,нормы!$A$14:$BC$57,42,0)*W1663,"")</f>
        <v/>
      </c>
      <c r="Z1663" s="163">
        <f>IFERROR(VLOOKUP($G1663,нормы!$A$14:$BC$57,14,0)*W1663/1000,0)</f>
        <v>0</v>
      </c>
      <c r="AA1663" s="30"/>
      <c r="AB1663" s="35"/>
      <c r="AC1663" s="35"/>
      <c r="AD1663" s="35"/>
      <c r="AE1663" s="31"/>
      <c r="AF1663" s="160"/>
      <c r="AG1663" s="391"/>
      <c r="AH1663" s="394"/>
      <c r="AI1663" s="397"/>
      <c r="AJ1663" s="408"/>
      <c r="AK1663" s="360"/>
      <c r="AL1663" s="360"/>
      <c r="AM1663" s="360"/>
      <c r="AN1663" s="289">
        <f>IFERROR(Y1663*AJ1661/Y1667,)</f>
        <v>0</v>
      </c>
      <c r="AO1663" s="197" t="str">
        <f>IFERROR(VLOOKUP($G1663,нормы!$A$14:$BC$57,53,0)*$W1663,"")</f>
        <v/>
      </c>
      <c r="AP1663" s="290">
        <f>IFERROR(Y1663*AI1661/Y1667,)</f>
        <v>0</v>
      </c>
      <c r="AQ1663" s="197" t="str">
        <f>IFERROR(VLOOKUP($G1663,нормы!$A$14:$BC$57,54,0)*$W1663,"")</f>
        <v/>
      </c>
      <c r="AR1663" s="290">
        <f>IFERROR(AS1663/SUM(AS1661:AS1666)*AL1661,0)</f>
        <v>0</v>
      </c>
      <c r="AS1663" s="197" t="str">
        <f>IFERROR(VLOOKUP($G1663,нормы!$A$14:$BC$57,55,0)*W1663,"")</f>
        <v/>
      </c>
      <c r="AT1663" s="290">
        <f>IFERROR(AU1663/SUM(AU1661:AU1666)*AM1661,0)</f>
        <v>0</v>
      </c>
      <c r="AU1663" s="197" t="str">
        <f>IFERROR(VLOOKUP($G1663,нормы!$A$14:$BI$57,56,0)*W1663,"")</f>
        <v/>
      </c>
      <c r="AV1663" s="290">
        <f>IFERROR(AW1663/SUM(AW1661:AW1666)*AK1661,0)</f>
        <v>0</v>
      </c>
      <c r="AW1663" s="202" t="str">
        <f>IFERROR(VLOOKUP($G1663,нормы!$A$14:$BI$57,57,0)*W1663,"")</f>
        <v/>
      </c>
      <c r="AX1663" s="30"/>
      <c r="AY1663" s="203" t="str">
        <f>IFERROR(VLOOKUP($G1663,нормы!$A$14:$BI$57,58,0)*W1663,"")</f>
        <v/>
      </c>
      <c r="AZ1663" s="205"/>
      <c r="BA1663" s="200" t="str">
        <f>IFERROR(VLOOKUP($G1663,нормы!$A$14:$BI$57,61,0)*$W1663,"")</f>
        <v/>
      </c>
      <c r="BB1663" s="30"/>
      <c r="BC1663" s="203" t="str">
        <f>IFERROR(VLOOKUP($G1663,нормы!$A$14:$BI$57,60,0)*W1663,"")</f>
        <v/>
      </c>
      <c r="BD1663" s="200" t="str">
        <f>IFERROR(VLOOKUP($G1663,нормы!$A$14:$BG$57,44,0),"")</f>
        <v/>
      </c>
      <c r="BE1663" s="199" t="str">
        <f>IFERROR(W1663/VLOOKUP($G1663,нормы!$A$14:$BI$57,45,0),"")</f>
        <v/>
      </c>
    </row>
    <row r="1664" spans="1:57" s="1" customFormat="1" ht="20.25" customHeight="1" x14ac:dyDescent="0.4">
      <c r="A1664" s="37" t="str">
        <f t="shared" si="650"/>
        <v>27Н</v>
      </c>
      <c r="B1664" s="12">
        <f t="shared" si="653"/>
        <v>27</v>
      </c>
      <c r="C1664" s="97">
        <f t="shared" si="653"/>
        <v>0</v>
      </c>
      <c r="D1664" s="97">
        <f t="shared" si="653"/>
        <v>2</v>
      </c>
      <c r="E1664" s="54"/>
      <c r="F1664" s="151" t="str">
        <f>IFERROR(VLOOKUP($G1664,нормы!$A$14:$BC$57,2,0),"")</f>
        <v/>
      </c>
      <c r="G1664" s="93"/>
      <c r="H1664" s="54">
        <f t="shared" si="654"/>
        <v>0</v>
      </c>
      <c r="I1664" s="55"/>
      <c r="J1664" s="333"/>
      <c r="K1664" s="30">
        <f>IFERROR(VLOOKUP($G1664,[1]нормы!$A$21:$BC$151,15,0),"")</f>
        <v>0</v>
      </c>
      <c r="L1664" s="31">
        <f>IFERROR(VLOOKUP($G1664,[1]нормы!$A$21:$BC$151,17,0),"")</f>
        <v>0</v>
      </c>
      <c r="M1664" s="306">
        <f>IFERROR(VLOOKUP($G1664,[1]нормы!$A$21:$BC$151,27,0),"")</f>
        <v>0</v>
      </c>
      <c r="N1664" s="307" t="str">
        <f>IFERROR(Y1664/Y1667*(1.1*J1661*I1669),"")</f>
        <v/>
      </c>
      <c r="O1664" s="300">
        <f>IFERROR(VLOOKUP($G1664,[1]нормы!$A$21:$BC$151,21,0),"")</f>
        <v>0</v>
      </c>
      <c r="P1664" s="35">
        <f>IFERROR(VLOOKUP($G1664,[1]нормы!$A$21:$BC$151,19,0),"")</f>
        <v>0</v>
      </c>
      <c r="Q1664" s="35">
        <f>IFERROR(VLOOKUP($G1664,[1]нормы!$A$21:$BC$151,23,0),"")</f>
        <v>0</v>
      </c>
      <c r="R1664" s="231">
        <f>IFERROR(VLOOKUP($G1664,[1]нормы!$A$21:$BC$151,29,0),"")</f>
        <v>0</v>
      </c>
      <c r="S1664" s="35">
        <f>IFERROR(VLOOKUP($G1664,[1]нормы!$A$21:$BC$151,31,0),"")</f>
        <v>0</v>
      </c>
      <c r="T1664" s="32">
        <f>IFERROR(VLOOKUP($G1664,[1]нормы!$A$21:$BC$151,25,0),"")</f>
        <v>0</v>
      </c>
      <c r="U1664" s="233" t="str">
        <f>IFERROR(W1664/(((100*Y1664/Y1667)*I1666)/100),"")</f>
        <v/>
      </c>
      <c r="V1664" s="234" t="str">
        <f>IFERROR(VLOOKUP($G1664,нормы!$A$14:$BC$57,38,0),"")</f>
        <v/>
      </c>
      <c r="W1664" s="136"/>
      <c r="X1664" s="237"/>
      <c r="Y1664" s="152" t="str">
        <f>IFERROR(VLOOKUP($G1664,нормы!$A$14:$BC$57,42,0)*W1664,"")</f>
        <v/>
      </c>
      <c r="Z1664" s="163">
        <f>IFERROR(VLOOKUP($G1664,нормы!$A$14:$BC$57,14,0)*W1664/1000,0)</f>
        <v>0</v>
      </c>
      <c r="AA1664" s="30"/>
      <c r="AB1664" s="35"/>
      <c r="AC1664" s="35"/>
      <c r="AD1664" s="35"/>
      <c r="AE1664" s="31"/>
      <c r="AF1664" s="160"/>
      <c r="AG1664" s="391"/>
      <c r="AH1664" s="394"/>
      <c r="AI1664" s="397"/>
      <c r="AJ1664" s="408"/>
      <c r="AK1664" s="360"/>
      <c r="AL1664" s="360"/>
      <c r="AM1664" s="360"/>
      <c r="AN1664" s="289">
        <f>IFERROR(Y1664*AJ1661/Y1667,)</f>
        <v>0</v>
      </c>
      <c r="AO1664" s="197" t="str">
        <f>IFERROR(VLOOKUP($G1664,нормы!$A$14:$BC$57,53,0)*$W1664,"")</f>
        <v/>
      </c>
      <c r="AP1664" s="290">
        <f>IFERROR(Y1664*AI1661/Y1667,)</f>
        <v>0</v>
      </c>
      <c r="AQ1664" s="197" t="str">
        <f>IFERROR(VLOOKUP($G1664,нормы!$A$14:$BC$57,54,0)*$W1664,"")</f>
        <v/>
      </c>
      <c r="AR1664" s="290">
        <f>IFERROR(AS1664/SUM(AS1661:AS1666)*AL1661,0)</f>
        <v>0</v>
      </c>
      <c r="AS1664" s="197" t="str">
        <f>IFERROR(VLOOKUP($G1664,нормы!$A$14:$BC$57,55,0)*W1664,"")</f>
        <v/>
      </c>
      <c r="AT1664" s="290">
        <f>IFERROR(AU1664/SUM(AU1661:AU1666)*AM1661,0)</f>
        <v>0</v>
      </c>
      <c r="AU1664" s="197" t="str">
        <f>IFERROR(VLOOKUP($G1664,нормы!$A$14:$BI$57,56,0)*W1664,"")</f>
        <v/>
      </c>
      <c r="AV1664" s="290">
        <f>IFERROR(AW1664/SUM(AW1661:AW1666)*AK1661,0)</f>
        <v>0</v>
      </c>
      <c r="AW1664" s="202" t="str">
        <f>IFERROR(VLOOKUP($G1664,нормы!$A$14:$BI$57,57,0)*W1664,"")</f>
        <v/>
      </c>
      <c r="AX1664" s="30"/>
      <c r="AY1664" s="203" t="str">
        <f>IFERROR(VLOOKUP($G1664,нормы!$A$14:$BI$57,58,0)*W1664,"")</f>
        <v/>
      </c>
      <c r="AZ1664" s="205"/>
      <c r="BA1664" s="200" t="str">
        <f>IFERROR(VLOOKUP($G1664,нормы!$A$14:$BI$57,61,0)*$W1664,"")</f>
        <v/>
      </c>
      <c r="BB1664" s="30"/>
      <c r="BC1664" s="203" t="str">
        <f>IFERROR(VLOOKUP($G1664,нормы!$A$14:$BI$57,60,0)*W1664,"")</f>
        <v/>
      </c>
      <c r="BD1664" s="200" t="str">
        <f>IFERROR(VLOOKUP($G1664,нормы!$A$14:$BG$57,44,0),"")</f>
        <v/>
      </c>
      <c r="BE1664" s="199" t="str">
        <f>IFERROR(W1664/VLOOKUP($G1664,нормы!$A$14:$BI$57,45,0),"")</f>
        <v/>
      </c>
    </row>
    <row r="1665" spans="1:57" s="1" customFormat="1" ht="20.25" customHeight="1" x14ac:dyDescent="0.4">
      <c r="A1665" s="37" t="str">
        <f t="shared" si="650"/>
        <v>27Н</v>
      </c>
      <c r="B1665" s="12">
        <f t="shared" si="653"/>
        <v>27</v>
      </c>
      <c r="C1665" s="97">
        <f t="shared" si="653"/>
        <v>0</v>
      </c>
      <c r="D1665" s="97">
        <f t="shared" si="653"/>
        <v>2</v>
      </c>
      <c r="E1665" s="54"/>
      <c r="F1665" s="151" t="str">
        <f>IFERROR(VLOOKUP($G1665,нормы!$A$14:$BC$57,2,0),"")</f>
        <v/>
      </c>
      <c r="G1665" s="38"/>
      <c r="H1665" s="54">
        <f t="shared" si="654"/>
        <v>0</v>
      </c>
      <c r="I1665" s="89" t="s">
        <v>73</v>
      </c>
      <c r="J1665" s="333"/>
      <c r="K1665" s="30">
        <f>IFERROR(VLOOKUP($G1665,[1]нормы!$A$21:$BC$151,15,0),"")</f>
        <v>0</v>
      </c>
      <c r="L1665" s="31">
        <f>IFERROR(VLOOKUP($G1665,[1]нормы!$A$21:$BC$151,17,0),"")</f>
        <v>0</v>
      </c>
      <c r="M1665" s="306">
        <f>IFERROR(VLOOKUP($G1665,[1]нормы!$A$21:$BC$151,27,0),"")</f>
        <v>0</v>
      </c>
      <c r="N1665" s="307" t="str">
        <f>IFERROR(Y1665/Y1667*(1.1*J1661*I1670),"")</f>
        <v/>
      </c>
      <c r="O1665" s="300">
        <f>IFERROR(VLOOKUP($G1665,[1]нормы!$A$21:$BC$151,21,0),"")</f>
        <v>0</v>
      </c>
      <c r="P1665" s="35">
        <f>IFERROR(VLOOKUP($G1665,[1]нормы!$A$21:$BC$151,19,0),"")</f>
        <v>0</v>
      </c>
      <c r="Q1665" s="35">
        <f>IFERROR(VLOOKUP($G1665,[1]нормы!$A$21:$BC$151,23,0),"")</f>
        <v>0</v>
      </c>
      <c r="R1665" s="231">
        <f>IFERROR(VLOOKUP($G1665,[1]нормы!$A$21:$BC$151,29,0),"")</f>
        <v>0</v>
      </c>
      <c r="S1665" s="35">
        <f>IFERROR(VLOOKUP($G1665,[1]нормы!$A$21:$BC$151,31,0),"")</f>
        <v>0</v>
      </c>
      <c r="T1665" s="32">
        <f>IFERROR(VLOOKUP($G1665,[1]нормы!$A$21:$BC$151,25,0),"")</f>
        <v>0</v>
      </c>
      <c r="U1665" s="233" t="str">
        <f>IFERROR(W1665/(((100*Y1665/Y1667)*I1666)/100),"")</f>
        <v/>
      </c>
      <c r="V1665" s="234" t="str">
        <f>IFERROR(VLOOKUP($G1665,нормы!$A$14:$BC$57,38,0),"")</f>
        <v/>
      </c>
      <c r="W1665" s="136"/>
      <c r="X1665" s="237"/>
      <c r="Y1665" s="152" t="str">
        <f>IFERROR(VLOOKUP($G1665,нормы!$A$14:$BC$57,42,0)*W1665,"")</f>
        <v/>
      </c>
      <c r="Z1665" s="163">
        <f>IFERROR(VLOOKUP($G1665,нормы!$A$14:$BC$57,14,0)*W1665/1000,0)</f>
        <v>0</v>
      </c>
      <c r="AA1665" s="30"/>
      <c r="AB1665" s="35"/>
      <c r="AC1665" s="35"/>
      <c r="AD1665" s="35"/>
      <c r="AE1665" s="31"/>
      <c r="AF1665" s="160"/>
      <c r="AG1665" s="391"/>
      <c r="AH1665" s="394"/>
      <c r="AI1665" s="397"/>
      <c r="AJ1665" s="408"/>
      <c r="AK1665" s="360"/>
      <c r="AL1665" s="360"/>
      <c r="AM1665" s="360"/>
      <c r="AN1665" s="289">
        <f>IFERROR(Y1665*AJ1661/Y1667,)</f>
        <v>0</v>
      </c>
      <c r="AO1665" s="197" t="str">
        <f>IFERROR(VLOOKUP($G1665,нормы!$A$14:$BC$57,53,0)*$W1665,"")</f>
        <v/>
      </c>
      <c r="AP1665" s="290">
        <f>IFERROR(Y1665*AI1661/Y1667,)</f>
        <v>0</v>
      </c>
      <c r="AQ1665" s="197" t="str">
        <f>IFERROR(VLOOKUP($G1665,нормы!$A$14:$BC$57,54,0)*$W1665,"")</f>
        <v/>
      </c>
      <c r="AR1665" s="290">
        <f>IFERROR(AS1665/SUM(AS1661:AS1666)*AL1661,0)</f>
        <v>0</v>
      </c>
      <c r="AS1665" s="197" t="str">
        <f>IFERROR(VLOOKUP($G1665,нормы!$A$14:$BC$57,55,0)*W1665,"")</f>
        <v/>
      </c>
      <c r="AT1665" s="290">
        <f>IFERROR(AU1665/SUM(AU1661:AU1666)*AM1661,0)</f>
        <v>0</v>
      </c>
      <c r="AU1665" s="197" t="str">
        <f>IFERROR(VLOOKUP($G1665,нормы!$A$14:$BI$57,56,0)*W1665,"")</f>
        <v/>
      </c>
      <c r="AV1665" s="290">
        <f>IFERROR(AW1665/SUM(AW1661:AW1666)*AK1661,0)</f>
        <v>0</v>
      </c>
      <c r="AW1665" s="202" t="str">
        <f>IFERROR(VLOOKUP($G1665,нормы!$A$14:$BI$57,57,0)*W1665,"")</f>
        <v/>
      </c>
      <c r="AX1665" s="30"/>
      <c r="AY1665" s="203" t="str">
        <f>IFERROR(VLOOKUP($G1665,нормы!$A$14:$BI$57,58,0)*W1665,"")</f>
        <v/>
      </c>
      <c r="AZ1665" s="205"/>
      <c r="BA1665" s="200" t="str">
        <f>IFERROR(VLOOKUP($G1665,нормы!$A$14:$BI$57,61,0)*$W1665,"")</f>
        <v/>
      </c>
      <c r="BB1665" s="30"/>
      <c r="BC1665" s="203" t="str">
        <f>IFERROR(VLOOKUP($G1665,нормы!$A$14:$BI$57,60,0)*W1665,"")</f>
        <v/>
      </c>
      <c r="BD1665" s="200" t="str">
        <f>IFERROR(VLOOKUP($G1665,нормы!$A$14:$BG$57,44,0),"")</f>
        <v/>
      </c>
      <c r="BE1665" s="199" t="str">
        <f>IFERROR(W1665/VLOOKUP($G1665,нормы!$A$14:$BI$57,45,0),"")</f>
        <v/>
      </c>
    </row>
    <row r="1666" spans="1:57" s="1" customFormat="1" ht="21" customHeight="1" thickBot="1" x14ac:dyDescent="0.45">
      <c r="A1666" s="37" t="str">
        <f t="shared" si="650"/>
        <v>27Н</v>
      </c>
      <c r="B1666" s="12">
        <f t="shared" si="653"/>
        <v>27</v>
      </c>
      <c r="C1666" s="97">
        <f t="shared" si="653"/>
        <v>0</v>
      </c>
      <c r="D1666" s="97">
        <f t="shared" si="653"/>
        <v>2</v>
      </c>
      <c r="E1666" s="54"/>
      <c r="F1666" s="151" t="str">
        <f>IFERROR(VLOOKUP($G1666,нормы!$A$14:$BC$57,2,0),"")</f>
        <v/>
      </c>
      <c r="G1666" s="93"/>
      <c r="H1666" s="63">
        <f t="shared" si="654"/>
        <v>0</v>
      </c>
      <c r="I1666" s="153">
        <f>I1662+I1664</f>
        <v>0</v>
      </c>
      <c r="J1666" s="334"/>
      <c r="K1666" s="30">
        <f>IFERROR(VLOOKUP($G1666,[1]нормы!$A$21:$BC$151,15,0),"")</f>
        <v>0</v>
      </c>
      <c r="L1666" s="31">
        <f>IFERROR(VLOOKUP($G1666,[1]нормы!$A$21:$BC$151,17,0),"")</f>
        <v>0</v>
      </c>
      <c r="M1666" s="308">
        <f>IFERROR(VLOOKUP($G1666,[1]нормы!$A$21:$BC$151,27,0),"")</f>
        <v>0</v>
      </c>
      <c r="N1666" s="309" t="str">
        <f>IFERROR(Y1666/Y1667*(1.1*J1661*I1671),"")</f>
        <v/>
      </c>
      <c r="O1666" s="300">
        <f>IFERROR(VLOOKUP($G1666,[1]нормы!$A$21:$BC$151,21,0),"")</f>
        <v>0</v>
      </c>
      <c r="P1666" s="35">
        <f>IFERROR(VLOOKUP($G1666,[1]нормы!$A$21:$BC$151,19,0),"")</f>
        <v>0</v>
      </c>
      <c r="Q1666" s="35">
        <f>IFERROR(VLOOKUP($G1666,[1]нормы!$A$21:$BC$151,23,0),"")</f>
        <v>0</v>
      </c>
      <c r="R1666" s="231">
        <f>IFERROR(VLOOKUP($G1666,[1]нормы!$A$21:$BC$151,29,0),"")</f>
        <v>0</v>
      </c>
      <c r="S1666" s="35">
        <f>IFERROR(VLOOKUP($G1666,[1]нормы!$A$21:$BC$151,31,0),"")</f>
        <v>0</v>
      </c>
      <c r="T1666" s="32">
        <f>IFERROR(VLOOKUP($G1666,[1]нормы!$A$21:$BC$151,25,0),"")</f>
        <v>0</v>
      </c>
      <c r="U1666" s="235" t="str">
        <f>IFERROR(W1666/(((100*Y1666/Y1667)*I1666)/100),"")</f>
        <v/>
      </c>
      <c r="V1666" s="234" t="str">
        <f>IFERROR(VLOOKUP($G1666,нормы!$A$14:$BC$57,38,0),"")</f>
        <v/>
      </c>
      <c r="W1666" s="154"/>
      <c r="X1666" s="238"/>
      <c r="Y1666" s="152" t="str">
        <f>IFERROR(VLOOKUP($G1666,нормы!$A$14:$BC$57,42,0)*W1666,"")</f>
        <v/>
      </c>
      <c r="Z1666" s="163">
        <f>IFERROR(VLOOKUP($G1666,нормы!$A$14:$BC$57,14,0)*W1666/1000,0)</f>
        <v>0</v>
      </c>
      <c r="AA1666" s="56"/>
      <c r="AB1666" s="58"/>
      <c r="AC1666" s="58"/>
      <c r="AD1666" s="58"/>
      <c r="AE1666" s="57"/>
      <c r="AF1666" s="161"/>
      <c r="AG1666" s="392"/>
      <c r="AH1666" s="395"/>
      <c r="AI1666" s="398"/>
      <c r="AJ1666" s="409"/>
      <c r="AK1666" s="361"/>
      <c r="AL1666" s="361"/>
      <c r="AM1666" s="361"/>
      <c r="AN1666" s="291">
        <f>IFERROR(Y1666*AJ1661/Y1667,)</f>
        <v>0</v>
      </c>
      <c r="AO1666" s="197" t="str">
        <f>IFERROR(VLOOKUP($G1666,нормы!$A$14:$BC$57,53,0)*$W1666,"")</f>
        <v/>
      </c>
      <c r="AP1666" s="292">
        <f>IFERROR(Y1666*AI1661/Y1667,)</f>
        <v>0</v>
      </c>
      <c r="AQ1666" s="197" t="str">
        <f>IFERROR(VLOOKUP($G1666,нормы!$A$14:$BC$57,54,0)*$W1666,"")</f>
        <v/>
      </c>
      <c r="AR1666" s="290">
        <f>IFERROR(AS1666/SUM(AS1661:AS1666)*AL1661,0)</f>
        <v>0</v>
      </c>
      <c r="AS1666" s="197" t="str">
        <f>IFERROR(VLOOKUP($G1666,нормы!$A$14:$BC$57,55,0)*W1666,"")</f>
        <v/>
      </c>
      <c r="AT1666" s="292">
        <f>IFERROR(AU1666/SUM(AU1661:AU1666)*AM1661,0)</f>
        <v>0</v>
      </c>
      <c r="AU1666" s="197" t="str">
        <f>IFERROR(VLOOKUP($G1666,нормы!$A$14:$BI$57,56,0)*W1666,"")</f>
        <v/>
      </c>
      <c r="AV1666" s="292">
        <f>IFERROR(AW1666/SUM(AW1661:AW1666)*AK1661,0)</f>
        <v>0</v>
      </c>
      <c r="AW1666" s="202" t="str">
        <f>IFERROR(VLOOKUP($G1666,нормы!$A$14:$BI$57,57,0)*W1666,"")</f>
        <v/>
      </c>
      <c r="AX1666" s="56"/>
      <c r="AY1666" s="203" t="str">
        <f>IFERROR(VLOOKUP($G1666,нормы!$A$14:$BI$57,58,0)*W1666,"")</f>
        <v/>
      </c>
      <c r="AZ1666" s="206"/>
      <c r="BA1666" s="200" t="str">
        <f>IFERROR(VLOOKUP($G1666,нормы!$A$14:$BI$57,61,0)*$W1666,"")</f>
        <v/>
      </c>
      <c r="BB1666" s="56"/>
      <c r="BC1666" s="203" t="str">
        <f>IFERROR(VLOOKUP($G1666,нормы!$A$14:$BI$57,60,0)*W1666,"")</f>
        <v/>
      </c>
      <c r="BD1666" s="200" t="str">
        <f>IFERROR(VLOOKUP($G1666,нормы!$A$14:$BG$57,44,0),"")</f>
        <v/>
      </c>
      <c r="BE1666" s="199" t="str">
        <f>IFERROR(W1666/VLOOKUP($G1666,нормы!$A$14:$BI$57,45,0),"")</f>
        <v/>
      </c>
    </row>
    <row r="1667" spans="1:57" s="1" customFormat="1" ht="29.4" customHeight="1" thickBot="1" x14ac:dyDescent="0.45">
      <c r="A1667" s="37" t="str">
        <f t="shared" si="650"/>
        <v>27Н</v>
      </c>
      <c r="B1667" s="59"/>
      <c r="C1667" s="51"/>
      <c r="D1667" s="51"/>
      <c r="E1667" s="51"/>
      <c r="F1667" s="51"/>
      <c r="G1667" s="51"/>
      <c r="H1667" s="51"/>
      <c r="I1667" s="60"/>
      <c r="J1667" s="60"/>
      <c r="K1667" s="319" t="s">
        <v>213</v>
      </c>
      <c r="L1667" s="316"/>
      <c r="M1667" s="303" t="s">
        <v>213</v>
      </c>
      <c r="N1667" s="317">
        <f>SUM(N1661:N1666)</f>
        <v>0</v>
      </c>
      <c r="O1667" s="304" t="s">
        <v>217</v>
      </c>
      <c r="P1667" s="318">
        <f>N1667*8.937/1000</f>
        <v>0</v>
      </c>
      <c r="Q1667" s="305" t="s">
        <v>215</v>
      </c>
      <c r="R1667" s="61"/>
      <c r="S1667" s="61"/>
      <c r="T1667" s="61"/>
      <c r="U1667" s="109"/>
      <c r="V1667" s="109"/>
      <c r="W1667" s="94"/>
      <c r="X1667" s="155"/>
      <c r="Y1667" s="96">
        <f>SUM(Y1661:Y1666)</f>
        <v>0</v>
      </c>
      <c r="Z1667" s="164">
        <f>SUM(Z1661:Z1666)</f>
        <v>0</v>
      </c>
      <c r="AA1667" s="207">
        <f>(AA1653+AA1654+AA1655+AA1656+AA1657+AA1658+AA1659+AA1661+AA1662+AA1663+AA1664+AA1665+AA1666)-AG1654</f>
        <v>1</v>
      </c>
      <c r="AB1667" s="208">
        <f>(AB1653+AB1654+AB1655+AB1656+AB1657+AB1658+AB1659+AB1661+AB1662+AB1663+AB1664+AB1665+AB1666)-AH1654</f>
        <v>2</v>
      </c>
      <c r="AC1667" s="208">
        <f>(AC1653+AC1654+AC1655+AC1656+AC1657+AC1658+AC1659+AC1661+AC1662+AC1663+AC1664+AC1665+AC1666)-AG1661</f>
        <v>3</v>
      </c>
      <c r="AD1667" s="208">
        <f>(AD1653+AD1654+AD1655+AD1656+AD1657+AD1658+AD1659+AD1661+AD1662+AD1663+AD1664+AD1665+AD1666)-AH1661</f>
        <v>4</v>
      </c>
      <c r="AE1667" s="208">
        <f>(AE1653+AE1654+AE1655+AE1656+AE1657+AE1658+AE1659+AE1661+AE1662+AE1663+AE1664+AE1665+AE1666)-AI1654</f>
        <v>5</v>
      </c>
      <c r="AF1667" s="209">
        <f>(AF1653+AF1654+AF1655+AF1656+AF1657+AF1658+AF1659+AF1661+AF1662+AF1663+AF1664+AF1665+AF1666)-AI1661</f>
        <v>6</v>
      </c>
      <c r="AG1667" s="62"/>
      <c r="AH1667" s="62"/>
      <c r="AI1667" s="62"/>
      <c r="AJ1667" s="62"/>
      <c r="AK1667" s="62"/>
      <c r="AL1667" s="62"/>
      <c r="AM1667" s="62"/>
      <c r="AN1667" s="91">
        <f>SUM(AN1661:AN1666)</f>
        <v>0</v>
      </c>
      <c r="AO1667" s="91">
        <f>SUM(AO1661:AO1666)</f>
        <v>0</v>
      </c>
      <c r="AP1667" s="91"/>
      <c r="AQ1667" s="91"/>
      <c r="AR1667" s="91">
        <f>SUM(AR1661:AR1666)</f>
        <v>0</v>
      </c>
      <c r="AS1667" s="91">
        <f t="shared" ref="AS1667:AW1667" si="655">SUM(AS1661:AS1666)</f>
        <v>0</v>
      </c>
      <c r="AT1667" s="91">
        <f t="shared" si="655"/>
        <v>0</v>
      </c>
      <c r="AU1667" s="91">
        <f t="shared" si="655"/>
        <v>0</v>
      </c>
      <c r="AV1667" s="91">
        <f t="shared" si="655"/>
        <v>0</v>
      </c>
      <c r="AW1667" s="91">
        <f t="shared" si="655"/>
        <v>0</v>
      </c>
      <c r="AX1667" s="91">
        <f>SUM(AX1661:AX1666)</f>
        <v>0</v>
      </c>
      <c r="AY1667" s="91">
        <f>SUM(AY1661:AY1666)</f>
        <v>0</v>
      </c>
      <c r="AZ1667" s="91">
        <f>SUM(AZ1661:AZ1666)</f>
        <v>0</v>
      </c>
      <c r="BA1667" s="91"/>
      <c r="BB1667" s="91"/>
      <c r="BC1667" s="91"/>
      <c r="BD1667" s="91" t="str">
        <f>IFERROR(VLOOKUP($G1667,нормы!$A$14:$BG$15,27,0),"")</f>
        <v/>
      </c>
      <c r="BE1667" s="53" t="str">
        <f>IFERROR(W1667/VLOOKUP($G1667,нормы!$A$14:$BI$15,28,0),"")</f>
        <v/>
      </c>
    </row>
    <row r="1668" spans="1:57" s="1" customFormat="1" ht="29.4" customHeight="1" thickBot="1" x14ac:dyDescent="0.5">
      <c r="A1668" s="37" t="str">
        <f t="shared" si="650"/>
        <v>27Н</v>
      </c>
      <c r="B1668" s="166" t="s">
        <v>130</v>
      </c>
      <c r="C1668" s="167"/>
      <c r="D1668" s="167"/>
      <c r="E1668" s="167"/>
      <c r="F1668" s="165"/>
      <c r="G1668" s="167"/>
      <c r="H1668" s="167"/>
      <c r="I1668" s="168"/>
      <c r="J1668" s="168"/>
      <c r="K1668" s="168"/>
      <c r="L1668" s="168"/>
      <c r="M1668" s="168"/>
      <c r="N1668" s="168"/>
      <c r="O1668" s="167"/>
      <c r="P1668" s="169"/>
      <c r="Q1668" s="169"/>
      <c r="R1668" s="169"/>
      <c r="S1668" s="169"/>
      <c r="T1668" s="169"/>
      <c r="U1668" s="170"/>
      <c r="V1668" s="170"/>
      <c r="W1668" s="171"/>
      <c r="X1668" s="171"/>
      <c r="Y1668" s="172"/>
      <c r="Z1668" s="172"/>
      <c r="AA1668" s="201" t="s">
        <v>144</v>
      </c>
      <c r="AB1668" s="167"/>
      <c r="AC1668" s="167"/>
      <c r="AD1668" s="167"/>
      <c r="AE1668" s="167"/>
      <c r="AF1668" s="167"/>
      <c r="AG1668" s="167"/>
      <c r="AH1668" s="167"/>
      <c r="AI1668" s="167"/>
      <c r="AJ1668" s="167"/>
      <c r="AK1668" s="167"/>
      <c r="AL1668" s="167"/>
      <c r="AM1668" s="64"/>
      <c r="AN1668" s="167"/>
      <c r="AO1668" s="167"/>
      <c r="AP1668" s="167"/>
      <c r="AQ1668" s="167"/>
      <c r="AR1668" s="64"/>
      <c r="AS1668" s="64"/>
      <c r="AT1668" s="65"/>
      <c r="AU1668" s="64"/>
      <c r="AV1668" s="49"/>
      <c r="AW1668" s="49"/>
      <c r="AX1668" s="167"/>
      <c r="AY1668" s="167"/>
      <c r="AZ1668" s="167"/>
      <c r="BA1668" s="167"/>
      <c r="BB1668" s="167"/>
      <c r="BC1668" s="167"/>
      <c r="BD1668" s="66"/>
      <c r="BE1668" s="66"/>
    </row>
    <row r="1669" spans="1:57" s="1" customFormat="1" ht="23.25" customHeight="1" x14ac:dyDescent="0.4">
      <c r="A1669" s="37" t="str">
        <f t="shared" si="650"/>
        <v>27Н</v>
      </c>
      <c r="B1669" s="183"/>
      <c r="C1669" s="100"/>
      <c r="D1669" s="185"/>
      <c r="E1669" s="186" t="s">
        <v>57</v>
      </c>
      <c r="F1669" s="66" t="s">
        <v>87</v>
      </c>
      <c r="G1669" s="66"/>
      <c r="H1669" s="108" t="s">
        <v>131</v>
      </c>
      <c r="I1669" s="101"/>
      <c r="J1669" s="101"/>
      <c r="K1669" s="101"/>
      <c r="L1669" s="101"/>
      <c r="M1669" s="101"/>
      <c r="N1669" s="101"/>
      <c r="O1669" s="67"/>
      <c r="P1669" s="102"/>
      <c r="Q1669" s="102"/>
      <c r="R1669" s="102"/>
      <c r="S1669" s="102"/>
      <c r="T1669" s="102"/>
      <c r="U1669" s="67"/>
      <c r="V1669" s="67"/>
      <c r="W1669" s="103"/>
      <c r="X1669" s="187"/>
      <c r="Y1669" s="68" t="s">
        <v>74</v>
      </c>
      <c r="Z1669" s="69"/>
      <c r="AA1669" s="90"/>
      <c r="AB1669" s="100"/>
      <c r="AC1669" s="100"/>
      <c r="AD1669" s="186" t="s">
        <v>57</v>
      </c>
      <c r="AE1669" s="66"/>
      <c r="AF1669" s="66"/>
      <c r="AG1669" s="66"/>
      <c r="AH1669" s="66"/>
      <c r="AI1669" s="66"/>
      <c r="AJ1669" s="66"/>
      <c r="AK1669" s="66"/>
      <c r="AL1669" s="66"/>
      <c r="AM1669" s="66"/>
      <c r="AN1669" s="66"/>
      <c r="AO1669" s="66"/>
      <c r="AP1669" s="66"/>
      <c r="AQ1669" s="66"/>
      <c r="AR1669" s="66"/>
      <c r="AS1669" s="66"/>
      <c r="AT1669" s="190"/>
      <c r="AU1669" s="66"/>
      <c r="AV1669" s="165"/>
      <c r="AW1669" s="293"/>
      <c r="AX1669" s="66"/>
      <c r="AY1669" s="66"/>
      <c r="AZ1669" s="66"/>
      <c r="BA1669" s="66"/>
      <c r="BB1669" s="66"/>
      <c r="BC1669" s="66"/>
      <c r="BD1669" s="68" t="s">
        <v>74</v>
      </c>
      <c r="BE1669" s="69"/>
    </row>
    <row r="1670" spans="1:57" s="1" customFormat="1" ht="23.25" customHeight="1" thickBot="1" x14ac:dyDescent="0.45">
      <c r="A1670" s="37" t="str">
        <f t="shared" si="650"/>
        <v>27Н</v>
      </c>
      <c r="B1670" s="183"/>
      <c r="C1670" s="41"/>
      <c r="D1670" s="184"/>
      <c r="E1670" s="50"/>
      <c r="F1670" s="70"/>
      <c r="G1670" s="70"/>
      <c r="H1670" s="70"/>
      <c r="I1670" s="104"/>
      <c r="J1670" s="104"/>
      <c r="K1670" s="104"/>
      <c r="L1670" s="104"/>
      <c r="M1670" s="104"/>
      <c r="N1670" s="104"/>
      <c r="O1670" s="71"/>
      <c r="P1670" s="105"/>
      <c r="Q1670" s="105"/>
      <c r="R1670" s="105"/>
      <c r="S1670" s="105"/>
      <c r="T1670" s="105"/>
      <c r="U1670" s="71"/>
      <c r="V1670" s="71"/>
      <c r="W1670" s="106"/>
      <c r="X1670" s="188"/>
      <c r="Y1670" s="72"/>
      <c r="Z1670" s="73"/>
      <c r="AA1670" s="90"/>
      <c r="AB1670" s="41"/>
      <c r="AC1670" s="41"/>
      <c r="AD1670" s="50"/>
      <c r="AE1670" s="47"/>
      <c r="AF1670" s="47"/>
      <c r="AG1670" s="47"/>
      <c r="AH1670" s="47"/>
      <c r="AI1670" s="47"/>
      <c r="AJ1670" s="47"/>
      <c r="AK1670" s="47"/>
      <c r="AL1670" s="47"/>
      <c r="AM1670" s="70"/>
      <c r="AN1670" s="47"/>
      <c r="AO1670" s="70"/>
      <c r="AP1670" s="70"/>
      <c r="AQ1670" s="70"/>
      <c r="AR1670" s="70"/>
      <c r="AS1670" s="70"/>
      <c r="AT1670" s="191"/>
      <c r="AU1670" s="70"/>
      <c r="AV1670" s="192"/>
      <c r="AW1670" s="294"/>
      <c r="AX1670" s="70"/>
      <c r="AY1670" s="70"/>
      <c r="AZ1670" s="70"/>
      <c r="BA1670" s="70"/>
      <c r="BB1670" s="70"/>
      <c r="BC1670" s="70"/>
      <c r="BD1670" s="72"/>
      <c r="BE1670" s="73"/>
    </row>
    <row r="1671" spans="1:57" s="1" customFormat="1" ht="18" customHeight="1" x14ac:dyDescent="0.4">
      <c r="A1671" s="37" t="str">
        <f t="shared" si="650"/>
        <v>27Н</v>
      </c>
      <c r="B1671" s="183"/>
      <c r="C1671" s="41"/>
      <c r="D1671" s="184"/>
      <c r="E1671" s="281">
        <f>B1666</f>
        <v>27</v>
      </c>
      <c r="F1671" s="337"/>
      <c r="G1671" s="338"/>
      <c r="H1671" s="338"/>
      <c r="I1671" s="338"/>
      <c r="J1671" s="338"/>
      <c r="K1671" s="338"/>
      <c r="L1671" s="338"/>
      <c r="M1671" s="338"/>
      <c r="N1671" s="338"/>
      <c r="O1671" s="338"/>
      <c r="P1671" s="338"/>
      <c r="Q1671" s="338"/>
      <c r="R1671" s="338"/>
      <c r="S1671" s="338"/>
      <c r="T1671" s="338"/>
      <c r="U1671" s="338"/>
      <c r="V1671" s="338"/>
      <c r="W1671" s="338"/>
      <c r="X1671" s="98">
        <v>1</v>
      </c>
      <c r="Y1671" s="74">
        <v>1</v>
      </c>
      <c r="Z1671" s="75">
        <f t="shared" ref="Z1671:Z1682" si="656">Y1671-X1671</f>
        <v>0</v>
      </c>
      <c r="AA1671" s="189"/>
      <c r="AB1671" s="41"/>
      <c r="AC1671" s="184"/>
      <c r="AD1671" s="210">
        <f>E1671</f>
        <v>27</v>
      </c>
      <c r="AE1671" s="387"/>
      <c r="AF1671" s="388"/>
      <c r="AG1671" s="388"/>
      <c r="AH1671" s="388"/>
      <c r="AI1671" s="388"/>
      <c r="AJ1671" s="388"/>
      <c r="AK1671" s="388"/>
      <c r="AL1671" s="388"/>
      <c r="AM1671" s="388"/>
      <c r="AN1671" s="388"/>
      <c r="AO1671" s="388"/>
      <c r="AP1671" s="388"/>
      <c r="AQ1671" s="388"/>
      <c r="AR1671" s="388"/>
      <c r="AS1671" s="388"/>
      <c r="AT1671" s="388"/>
      <c r="AU1671" s="388"/>
      <c r="AV1671" s="388"/>
      <c r="AW1671" s="388"/>
      <c r="AX1671" s="388"/>
      <c r="AY1671" s="388"/>
      <c r="AZ1671" s="388"/>
      <c r="BA1671" s="388"/>
      <c r="BB1671" s="389"/>
      <c r="BC1671" s="98">
        <v>1</v>
      </c>
      <c r="BD1671" s="74">
        <v>1</v>
      </c>
      <c r="BE1671" s="75">
        <f t="shared" ref="BE1671:BE1682" si="657">BD1671-BC1671</f>
        <v>0</v>
      </c>
    </row>
    <row r="1672" spans="1:57" s="1" customFormat="1" ht="18" customHeight="1" x14ac:dyDescent="0.4">
      <c r="A1672" s="37" t="str">
        <f t="shared" si="650"/>
        <v>27Н</v>
      </c>
      <c r="B1672" s="183"/>
      <c r="C1672" s="41"/>
      <c r="D1672" s="184"/>
      <c r="E1672" s="282">
        <f>E1671</f>
        <v>27</v>
      </c>
      <c r="F1672" s="335"/>
      <c r="G1672" s="336"/>
      <c r="H1672" s="336"/>
      <c r="I1672" s="336"/>
      <c r="J1672" s="336"/>
      <c r="K1672" s="336"/>
      <c r="L1672" s="336"/>
      <c r="M1672" s="336"/>
      <c r="N1672" s="336"/>
      <c r="O1672" s="336"/>
      <c r="P1672" s="336"/>
      <c r="Q1672" s="336"/>
      <c r="R1672" s="336"/>
      <c r="S1672" s="336"/>
      <c r="T1672" s="336"/>
      <c r="U1672" s="336"/>
      <c r="V1672" s="336"/>
      <c r="W1672" s="336"/>
      <c r="X1672" s="98">
        <v>1</v>
      </c>
      <c r="Y1672" s="74">
        <v>1</v>
      </c>
      <c r="Z1672" s="75">
        <f t="shared" si="656"/>
        <v>0</v>
      </c>
      <c r="AA1672" s="107">
        <f>AA1671</f>
        <v>0</v>
      </c>
      <c r="AB1672" s="41"/>
      <c r="AC1672" s="184"/>
      <c r="AD1672" s="212">
        <f>AD1671</f>
        <v>27</v>
      </c>
      <c r="AE1672" s="387"/>
      <c r="AF1672" s="388"/>
      <c r="AG1672" s="388"/>
      <c r="AH1672" s="388"/>
      <c r="AI1672" s="388"/>
      <c r="AJ1672" s="388"/>
      <c r="AK1672" s="388"/>
      <c r="AL1672" s="388"/>
      <c r="AM1672" s="388"/>
      <c r="AN1672" s="388"/>
      <c r="AO1672" s="388"/>
      <c r="AP1672" s="388"/>
      <c r="AQ1672" s="388"/>
      <c r="AR1672" s="388"/>
      <c r="AS1672" s="388"/>
      <c r="AT1672" s="388"/>
      <c r="AU1672" s="388"/>
      <c r="AV1672" s="388"/>
      <c r="AW1672" s="388"/>
      <c r="AX1672" s="388"/>
      <c r="AY1672" s="388"/>
      <c r="AZ1672" s="388"/>
      <c r="BA1672" s="388"/>
      <c r="BB1672" s="389"/>
      <c r="BC1672" s="98">
        <v>1</v>
      </c>
      <c r="BD1672" s="74">
        <v>1</v>
      </c>
      <c r="BE1672" s="75">
        <f t="shared" si="657"/>
        <v>0</v>
      </c>
    </row>
    <row r="1673" spans="1:57" s="1" customFormat="1" ht="18" customHeight="1" x14ac:dyDescent="0.4">
      <c r="A1673" s="37" t="str">
        <f t="shared" si="650"/>
        <v>27Н</v>
      </c>
      <c r="B1673" s="183"/>
      <c r="C1673" s="41"/>
      <c r="D1673" s="184"/>
      <c r="E1673" s="282">
        <f t="shared" ref="E1673:E1682" si="658">E1672</f>
        <v>27</v>
      </c>
      <c r="F1673" s="335"/>
      <c r="G1673" s="336"/>
      <c r="H1673" s="336"/>
      <c r="I1673" s="336"/>
      <c r="J1673" s="336"/>
      <c r="K1673" s="336"/>
      <c r="L1673" s="336"/>
      <c r="M1673" s="336"/>
      <c r="N1673" s="336"/>
      <c r="O1673" s="336"/>
      <c r="P1673" s="336"/>
      <c r="Q1673" s="336"/>
      <c r="R1673" s="336"/>
      <c r="S1673" s="336"/>
      <c r="T1673" s="336"/>
      <c r="U1673" s="336"/>
      <c r="V1673" s="336"/>
      <c r="W1673" s="336"/>
      <c r="X1673" s="98">
        <v>1</v>
      </c>
      <c r="Y1673" s="74">
        <v>1</v>
      </c>
      <c r="Z1673" s="75">
        <f t="shared" si="656"/>
        <v>0</v>
      </c>
      <c r="AA1673" s="107">
        <f>AA1672</f>
        <v>0</v>
      </c>
      <c r="AB1673" s="41"/>
      <c r="AC1673" s="184"/>
      <c r="AD1673" s="212">
        <f t="shared" ref="AD1673:AD1682" si="659">AD1672</f>
        <v>27</v>
      </c>
      <c r="AE1673" s="387"/>
      <c r="AF1673" s="388"/>
      <c r="AG1673" s="388"/>
      <c r="AH1673" s="388"/>
      <c r="AI1673" s="388"/>
      <c r="AJ1673" s="388"/>
      <c r="AK1673" s="388"/>
      <c r="AL1673" s="388"/>
      <c r="AM1673" s="388"/>
      <c r="AN1673" s="388"/>
      <c r="AO1673" s="388"/>
      <c r="AP1673" s="388"/>
      <c r="AQ1673" s="388"/>
      <c r="AR1673" s="388"/>
      <c r="AS1673" s="388"/>
      <c r="AT1673" s="388"/>
      <c r="AU1673" s="388"/>
      <c r="AV1673" s="388"/>
      <c r="AW1673" s="388"/>
      <c r="AX1673" s="388"/>
      <c r="AY1673" s="388"/>
      <c r="AZ1673" s="388"/>
      <c r="BA1673" s="388"/>
      <c r="BB1673" s="389"/>
      <c r="BC1673" s="98">
        <v>1</v>
      </c>
      <c r="BD1673" s="74">
        <v>1</v>
      </c>
      <c r="BE1673" s="75">
        <f t="shared" si="657"/>
        <v>0</v>
      </c>
    </row>
    <row r="1674" spans="1:57" s="1" customFormat="1" ht="18" customHeight="1" x14ac:dyDescent="0.4">
      <c r="A1674" s="37" t="str">
        <f t="shared" si="650"/>
        <v>27Н</v>
      </c>
      <c r="B1674" s="183"/>
      <c r="C1674" s="41"/>
      <c r="D1674" s="184"/>
      <c r="E1674" s="282">
        <f t="shared" si="658"/>
        <v>27</v>
      </c>
      <c r="F1674" s="335"/>
      <c r="G1674" s="336"/>
      <c r="H1674" s="336"/>
      <c r="I1674" s="336"/>
      <c r="J1674" s="336"/>
      <c r="K1674" s="336"/>
      <c r="L1674" s="336"/>
      <c r="M1674" s="336"/>
      <c r="N1674" s="336"/>
      <c r="O1674" s="336"/>
      <c r="P1674" s="336"/>
      <c r="Q1674" s="336"/>
      <c r="R1674" s="336"/>
      <c r="S1674" s="336"/>
      <c r="T1674" s="336"/>
      <c r="U1674" s="336"/>
      <c r="V1674" s="336"/>
      <c r="W1674" s="336"/>
      <c r="X1674" s="98">
        <v>1</v>
      </c>
      <c r="Y1674" s="74">
        <v>1</v>
      </c>
      <c r="Z1674" s="75">
        <f t="shared" si="656"/>
        <v>0</v>
      </c>
      <c r="AA1674" s="107">
        <f t="shared" ref="AA1674:AA1682" si="660">AA1673</f>
        <v>0</v>
      </c>
      <c r="AB1674" s="41"/>
      <c r="AC1674" s="184"/>
      <c r="AD1674" s="212">
        <f t="shared" si="659"/>
        <v>27</v>
      </c>
      <c r="AE1674" s="387"/>
      <c r="AF1674" s="388"/>
      <c r="AG1674" s="388"/>
      <c r="AH1674" s="388"/>
      <c r="AI1674" s="388"/>
      <c r="AJ1674" s="388"/>
      <c r="AK1674" s="388"/>
      <c r="AL1674" s="388"/>
      <c r="AM1674" s="388"/>
      <c r="AN1674" s="388"/>
      <c r="AO1674" s="388"/>
      <c r="AP1674" s="388"/>
      <c r="AQ1674" s="388"/>
      <c r="AR1674" s="388"/>
      <c r="AS1674" s="388"/>
      <c r="AT1674" s="388"/>
      <c r="AU1674" s="388"/>
      <c r="AV1674" s="388"/>
      <c r="AW1674" s="388"/>
      <c r="AX1674" s="388"/>
      <c r="AY1674" s="388"/>
      <c r="AZ1674" s="388"/>
      <c r="BA1674" s="388"/>
      <c r="BB1674" s="389"/>
      <c r="BC1674" s="98">
        <v>1</v>
      </c>
      <c r="BD1674" s="74">
        <v>1</v>
      </c>
      <c r="BE1674" s="75">
        <f t="shared" si="657"/>
        <v>0</v>
      </c>
    </row>
    <row r="1675" spans="1:57" s="1" customFormat="1" ht="18" customHeight="1" x14ac:dyDescent="0.4">
      <c r="A1675" s="37" t="str">
        <f t="shared" si="650"/>
        <v>27Н</v>
      </c>
      <c r="B1675" s="183"/>
      <c r="C1675" s="41"/>
      <c r="D1675" s="184"/>
      <c r="E1675" s="282">
        <f t="shared" si="658"/>
        <v>27</v>
      </c>
      <c r="F1675" s="335"/>
      <c r="G1675" s="336"/>
      <c r="H1675" s="336"/>
      <c r="I1675" s="336"/>
      <c r="J1675" s="336"/>
      <c r="K1675" s="336"/>
      <c r="L1675" s="336"/>
      <c r="M1675" s="336"/>
      <c r="N1675" s="336"/>
      <c r="O1675" s="336"/>
      <c r="P1675" s="336"/>
      <c r="Q1675" s="336"/>
      <c r="R1675" s="336"/>
      <c r="S1675" s="336"/>
      <c r="T1675" s="336"/>
      <c r="U1675" s="336"/>
      <c r="V1675" s="336"/>
      <c r="W1675" s="336"/>
      <c r="X1675" s="98">
        <v>1</v>
      </c>
      <c r="Y1675" s="74">
        <v>1</v>
      </c>
      <c r="Z1675" s="75">
        <f t="shared" si="656"/>
        <v>0</v>
      </c>
      <c r="AA1675" s="107">
        <f t="shared" si="660"/>
        <v>0</v>
      </c>
      <c r="AB1675" s="41"/>
      <c r="AC1675" s="184"/>
      <c r="AD1675" s="212">
        <f t="shared" si="659"/>
        <v>27</v>
      </c>
      <c r="AE1675" s="387"/>
      <c r="AF1675" s="388"/>
      <c r="AG1675" s="388"/>
      <c r="AH1675" s="388"/>
      <c r="AI1675" s="388"/>
      <c r="AJ1675" s="388"/>
      <c r="AK1675" s="388"/>
      <c r="AL1675" s="388"/>
      <c r="AM1675" s="388"/>
      <c r="AN1675" s="388"/>
      <c r="AO1675" s="388"/>
      <c r="AP1675" s="388"/>
      <c r="AQ1675" s="388"/>
      <c r="AR1675" s="388"/>
      <c r="AS1675" s="388"/>
      <c r="AT1675" s="388"/>
      <c r="AU1675" s="388"/>
      <c r="AV1675" s="388"/>
      <c r="AW1675" s="388"/>
      <c r="AX1675" s="388"/>
      <c r="AY1675" s="388"/>
      <c r="AZ1675" s="388"/>
      <c r="BA1675" s="388"/>
      <c r="BB1675" s="389"/>
      <c r="BC1675" s="98">
        <v>1</v>
      </c>
      <c r="BD1675" s="74">
        <v>1</v>
      </c>
      <c r="BE1675" s="75">
        <f t="shared" si="657"/>
        <v>0</v>
      </c>
    </row>
    <row r="1676" spans="1:57" s="1" customFormat="1" ht="18" customHeight="1" x14ac:dyDescent="0.4">
      <c r="A1676" s="37" t="str">
        <f t="shared" si="650"/>
        <v>27Н</v>
      </c>
      <c r="B1676" s="183"/>
      <c r="C1676" s="41"/>
      <c r="D1676" s="184"/>
      <c r="E1676" s="282">
        <f t="shared" si="658"/>
        <v>27</v>
      </c>
      <c r="F1676" s="335"/>
      <c r="G1676" s="336"/>
      <c r="H1676" s="336"/>
      <c r="I1676" s="336"/>
      <c r="J1676" s="336"/>
      <c r="K1676" s="336"/>
      <c r="L1676" s="336"/>
      <c r="M1676" s="336"/>
      <c r="N1676" s="336"/>
      <c r="O1676" s="336"/>
      <c r="P1676" s="336"/>
      <c r="Q1676" s="336"/>
      <c r="R1676" s="336"/>
      <c r="S1676" s="336"/>
      <c r="T1676" s="336"/>
      <c r="U1676" s="336"/>
      <c r="V1676" s="336"/>
      <c r="W1676" s="336"/>
      <c r="X1676" s="98">
        <v>1</v>
      </c>
      <c r="Y1676" s="74">
        <v>1</v>
      </c>
      <c r="Z1676" s="75">
        <f t="shared" si="656"/>
        <v>0</v>
      </c>
      <c r="AA1676" s="107">
        <f t="shared" si="660"/>
        <v>0</v>
      </c>
      <c r="AB1676" s="41"/>
      <c r="AC1676" s="184"/>
      <c r="AD1676" s="212">
        <f t="shared" si="659"/>
        <v>27</v>
      </c>
      <c r="AE1676" s="387"/>
      <c r="AF1676" s="388"/>
      <c r="AG1676" s="388"/>
      <c r="AH1676" s="388"/>
      <c r="AI1676" s="388"/>
      <c r="AJ1676" s="388"/>
      <c r="AK1676" s="388"/>
      <c r="AL1676" s="388"/>
      <c r="AM1676" s="388"/>
      <c r="AN1676" s="388"/>
      <c r="AO1676" s="388"/>
      <c r="AP1676" s="388"/>
      <c r="AQ1676" s="388"/>
      <c r="AR1676" s="388"/>
      <c r="AS1676" s="388"/>
      <c r="AT1676" s="388"/>
      <c r="AU1676" s="388"/>
      <c r="AV1676" s="388"/>
      <c r="AW1676" s="388"/>
      <c r="AX1676" s="388"/>
      <c r="AY1676" s="388"/>
      <c r="AZ1676" s="388"/>
      <c r="BA1676" s="388"/>
      <c r="BB1676" s="389"/>
      <c r="BC1676" s="98">
        <v>1</v>
      </c>
      <c r="BD1676" s="74">
        <v>1</v>
      </c>
      <c r="BE1676" s="75">
        <f t="shared" si="657"/>
        <v>0</v>
      </c>
    </row>
    <row r="1677" spans="1:57" s="1" customFormat="1" ht="18" customHeight="1" x14ac:dyDescent="0.4">
      <c r="A1677" s="37" t="str">
        <f t="shared" si="650"/>
        <v>27Н</v>
      </c>
      <c r="B1677" s="183"/>
      <c r="C1677" s="41"/>
      <c r="D1677" s="184"/>
      <c r="E1677" s="282">
        <f t="shared" si="658"/>
        <v>27</v>
      </c>
      <c r="F1677" s="335"/>
      <c r="G1677" s="336"/>
      <c r="H1677" s="336"/>
      <c r="I1677" s="336"/>
      <c r="J1677" s="336"/>
      <c r="K1677" s="336"/>
      <c r="L1677" s="336"/>
      <c r="M1677" s="336"/>
      <c r="N1677" s="336"/>
      <c r="O1677" s="336"/>
      <c r="P1677" s="336"/>
      <c r="Q1677" s="336"/>
      <c r="R1677" s="336"/>
      <c r="S1677" s="336"/>
      <c r="T1677" s="336"/>
      <c r="U1677" s="336"/>
      <c r="V1677" s="336"/>
      <c r="W1677" s="336"/>
      <c r="X1677" s="98">
        <v>1</v>
      </c>
      <c r="Y1677" s="74">
        <v>1</v>
      </c>
      <c r="Z1677" s="75">
        <f t="shared" si="656"/>
        <v>0</v>
      </c>
      <c r="AA1677" s="107">
        <f t="shared" si="660"/>
        <v>0</v>
      </c>
      <c r="AB1677" s="41"/>
      <c r="AC1677" s="184"/>
      <c r="AD1677" s="212">
        <f t="shared" si="659"/>
        <v>27</v>
      </c>
      <c r="AE1677" s="387"/>
      <c r="AF1677" s="388"/>
      <c r="AG1677" s="388"/>
      <c r="AH1677" s="388"/>
      <c r="AI1677" s="388"/>
      <c r="AJ1677" s="388"/>
      <c r="AK1677" s="388"/>
      <c r="AL1677" s="388"/>
      <c r="AM1677" s="388"/>
      <c r="AN1677" s="388"/>
      <c r="AO1677" s="388"/>
      <c r="AP1677" s="388"/>
      <c r="AQ1677" s="388"/>
      <c r="AR1677" s="388"/>
      <c r="AS1677" s="388"/>
      <c r="AT1677" s="388"/>
      <c r="AU1677" s="388"/>
      <c r="AV1677" s="388"/>
      <c r="AW1677" s="388"/>
      <c r="AX1677" s="388"/>
      <c r="AY1677" s="388"/>
      <c r="AZ1677" s="388"/>
      <c r="BA1677" s="388"/>
      <c r="BB1677" s="389"/>
      <c r="BC1677" s="98">
        <v>1</v>
      </c>
      <c r="BD1677" s="74">
        <v>1</v>
      </c>
      <c r="BE1677" s="75">
        <f t="shared" si="657"/>
        <v>0</v>
      </c>
    </row>
    <row r="1678" spans="1:57" s="1" customFormat="1" ht="18" customHeight="1" x14ac:dyDescent="0.4">
      <c r="A1678" s="37" t="str">
        <f t="shared" si="650"/>
        <v>27Н</v>
      </c>
      <c r="B1678" s="183"/>
      <c r="C1678" s="41"/>
      <c r="D1678" s="184"/>
      <c r="E1678" s="282">
        <f t="shared" si="658"/>
        <v>27</v>
      </c>
      <c r="F1678" s="335"/>
      <c r="G1678" s="336"/>
      <c r="H1678" s="336"/>
      <c r="I1678" s="336"/>
      <c r="J1678" s="336"/>
      <c r="K1678" s="336"/>
      <c r="L1678" s="336"/>
      <c r="M1678" s="336"/>
      <c r="N1678" s="336"/>
      <c r="O1678" s="336"/>
      <c r="P1678" s="336"/>
      <c r="Q1678" s="336"/>
      <c r="R1678" s="336"/>
      <c r="S1678" s="336"/>
      <c r="T1678" s="336"/>
      <c r="U1678" s="336"/>
      <c r="V1678" s="336"/>
      <c r="W1678" s="336"/>
      <c r="X1678" s="98">
        <v>1</v>
      </c>
      <c r="Y1678" s="74">
        <v>1</v>
      </c>
      <c r="Z1678" s="75">
        <f t="shared" si="656"/>
        <v>0</v>
      </c>
      <c r="AA1678" s="107">
        <f t="shared" si="660"/>
        <v>0</v>
      </c>
      <c r="AB1678" s="41"/>
      <c r="AC1678" s="184"/>
      <c r="AD1678" s="212">
        <f t="shared" si="659"/>
        <v>27</v>
      </c>
      <c r="AE1678" s="387"/>
      <c r="AF1678" s="388"/>
      <c r="AG1678" s="388"/>
      <c r="AH1678" s="388"/>
      <c r="AI1678" s="388"/>
      <c r="AJ1678" s="388"/>
      <c r="AK1678" s="388"/>
      <c r="AL1678" s="388"/>
      <c r="AM1678" s="388"/>
      <c r="AN1678" s="388"/>
      <c r="AO1678" s="388"/>
      <c r="AP1678" s="388"/>
      <c r="AQ1678" s="388"/>
      <c r="AR1678" s="388"/>
      <c r="AS1678" s="388"/>
      <c r="AT1678" s="388"/>
      <c r="AU1678" s="388"/>
      <c r="AV1678" s="388"/>
      <c r="AW1678" s="388"/>
      <c r="AX1678" s="388"/>
      <c r="AY1678" s="388"/>
      <c r="AZ1678" s="388"/>
      <c r="BA1678" s="388"/>
      <c r="BB1678" s="389"/>
      <c r="BC1678" s="98">
        <v>1</v>
      </c>
      <c r="BD1678" s="74">
        <v>1</v>
      </c>
      <c r="BE1678" s="75">
        <f t="shared" si="657"/>
        <v>0</v>
      </c>
    </row>
    <row r="1679" spans="1:57" s="1" customFormat="1" ht="18" customHeight="1" x14ac:dyDescent="0.4">
      <c r="A1679" s="37" t="str">
        <f t="shared" si="650"/>
        <v>27Н</v>
      </c>
      <c r="B1679" s="183"/>
      <c r="C1679" s="41"/>
      <c r="D1679" s="184"/>
      <c r="E1679" s="282">
        <f t="shared" si="658"/>
        <v>27</v>
      </c>
      <c r="F1679" s="335"/>
      <c r="G1679" s="336"/>
      <c r="H1679" s="336"/>
      <c r="I1679" s="336"/>
      <c r="J1679" s="336"/>
      <c r="K1679" s="336"/>
      <c r="L1679" s="336"/>
      <c r="M1679" s="336"/>
      <c r="N1679" s="336"/>
      <c r="O1679" s="336"/>
      <c r="P1679" s="336"/>
      <c r="Q1679" s="336"/>
      <c r="R1679" s="336"/>
      <c r="S1679" s="336"/>
      <c r="T1679" s="336"/>
      <c r="U1679" s="336"/>
      <c r="V1679" s="336"/>
      <c r="W1679" s="336"/>
      <c r="X1679" s="98">
        <v>1</v>
      </c>
      <c r="Y1679" s="74">
        <v>1</v>
      </c>
      <c r="Z1679" s="75">
        <f t="shared" si="656"/>
        <v>0</v>
      </c>
      <c r="AA1679" s="107">
        <f t="shared" si="660"/>
        <v>0</v>
      </c>
      <c r="AB1679" s="41"/>
      <c r="AC1679" s="184"/>
      <c r="AD1679" s="212">
        <f t="shared" si="659"/>
        <v>27</v>
      </c>
      <c r="AE1679" s="387"/>
      <c r="AF1679" s="388"/>
      <c r="AG1679" s="388"/>
      <c r="AH1679" s="388"/>
      <c r="AI1679" s="388"/>
      <c r="AJ1679" s="388"/>
      <c r="AK1679" s="388"/>
      <c r="AL1679" s="388"/>
      <c r="AM1679" s="388"/>
      <c r="AN1679" s="388"/>
      <c r="AO1679" s="388"/>
      <c r="AP1679" s="388"/>
      <c r="AQ1679" s="388"/>
      <c r="AR1679" s="388"/>
      <c r="AS1679" s="388"/>
      <c r="AT1679" s="388"/>
      <c r="AU1679" s="388"/>
      <c r="AV1679" s="388"/>
      <c r="AW1679" s="388"/>
      <c r="AX1679" s="388"/>
      <c r="AY1679" s="388"/>
      <c r="AZ1679" s="388"/>
      <c r="BA1679" s="388"/>
      <c r="BB1679" s="389"/>
      <c r="BC1679" s="98">
        <v>1</v>
      </c>
      <c r="BD1679" s="74">
        <v>1</v>
      </c>
      <c r="BE1679" s="75">
        <f t="shared" si="657"/>
        <v>0</v>
      </c>
    </row>
    <row r="1680" spans="1:57" s="1" customFormat="1" ht="18" customHeight="1" x14ac:dyDescent="0.4">
      <c r="A1680" s="37" t="str">
        <f t="shared" si="650"/>
        <v>27Н</v>
      </c>
      <c r="B1680" s="183"/>
      <c r="C1680" s="41"/>
      <c r="D1680" s="184"/>
      <c r="E1680" s="282">
        <f t="shared" si="658"/>
        <v>27</v>
      </c>
      <c r="F1680" s="335"/>
      <c r="G1680" s="336"/>
      <c r="H1680" s="336"/>
      <c r="I1680" s="336"/>
      <c r="J1680" s="336"/>
      <c r="K1680" s="336"/>
      <c r="L1680" s="336"/>
      <c r="M1680" s="336"/>
      <c r="N1680" s="336"/>
      <c r="O1680" s="336"/>
      <c r="P1680" s="336"/>
      <c r="Q1680" s="336"/>
      <c r="R1680" s="336"/>
      <c r="S1680" s="336"/>
      <c r="T1680" s="336"/>
      <c r="U1680" s="336"/>
      <c r="V1680" s="336"/>
      <c r="W1680" s="336"/>
      <c r="X1680" s="98">
        <v>1</v>
      </c>
      <c r="Y1680" s="74">
        <v>1</v>
      </c>
      <c r="Z1680" s="75">
        <f t="shared" si="656"/>
        <v>0</v>
      </c>
      <c r="AA1680" s="107">
        <f t="shared" si="660"/>
        <v>0</v>
      </c>
      <c r="AB1680" s="41"/>
      <c r="AC1680" s="184"/>
      <c r="AD1680" s="212">
        <f t="shared" si="659"/>
        <v>27</v>
      </c>
      <c r="AE1680" s="387"/>
      <c r="AF1680" s="388"/>
      <c r="AG1680" s="388"/>
      <c r="AH1680" s="388"/>
      <c r="AI1680" s="388"/>
      <c r="AJ1680" s="388"/>
      <c r="AK1680" s="388"/>
      <c r="AL1680" s="388"/>
      <c r="AM1680" s="388"/>
      <c r="AN1680" s="388"/>
      <c r="AO1680" s="388"/>
      <c r="AP1680" s="388"/>
      <c r="AQ1680" s="388"/>
      <c r="AR1680" s="388"/>
      <c r="AS1680" s="388"/>
      <c r="AT1680" s="388"/>
      <c r="AU1680" s="388"/>
      <c r="AV1680" s="388"/>
      <c r="AW1680" s="388"/>
      <c r="AX1680" s="388"/>
      <c r="AY1680" s="388"/>
      <c r="AZ1680" s="388"/>
      <c r="BA1680" s="388"/>
      <c r="BB1680" s="389"/>
      <c r="BC1680" s="98">
        <v>1</v>
      </c>
      <c r="BD1680" s="74">
        <v>1</v>
      </c>
      <c r="BE1680" s="75">
        <f t="shared" si="657"/>
        <v>0</v>
      </c>
    </row>
    <row r="1681" spans="1:57" s="1" customFormat="1" ht="18" customHeight="1" x14ac:dyDescent="0.4">
      <c r="A1681" s="37" t="str">
        <f t="shared" si="650"/>
        <v>27Н</v>
      </c>
      <c r="B1681" s="183"/>
      <c r="C1681" s="41"/>
      <c r="D1681" s="184"/>
      <c r="E1681" s="282">
        <f t="shared" si="658"/>
        <v>27</v>
      </c>
      <c r="F1681" s="335"/>
      <c r="G1681" s="336"/>
      <c r="H1681" s="336"/>
      <c r="I1681" s="336"/>
      <c r="J1681" s="336"/>
      <c r="K1681" s="336"/>
      <c r="L1681" s="336"/>
      <c r="M1681" s="336"/>
      <c r="N1681" s="336"/>
      <c r="O1681" s="336"/>
      <c r="P1681" s="336"/>
      <c r="Q1681" s="336"/>
      <c r="R1681" s="336"/>
      <c r="S1681" s="336"/>
      <c r="T1681" s="336"/>
      <c r="U1681" s="336"/>
      <c r="V1681" s="336"/>
      <c r="W1681" s="336"/>
      <c r="X1681" s="98">
        <v>1</v>
      </c>
      <c r="Y1681" s="74">
        <v>1</v>
      </c>
      <c r="Z1681" s="75">
        <f t="shared" si="656"/>
        <v>0</v>
      </c>
      <c r="AA1681" s="107">
        <f t="shared" si="660"/>
        <v>0</v>
      </c>
      <c r="AB1681" s="41"/>
      <c r="AC1681" s="184"/>
      <c r="AD1681" s="212">
        <f t="shared" si="659"/>
        <v>27</v>
      </c>
      <c r="AE1681" s="387"/>
      <c r="AF1681" s="388"/>
      <c r="AG1681" s="388"/>
      <c r="AH1681" s="388"/>
      <c r="AI1681" s="388"/>
      <c r="AJ1681" s="388"/>
      <c r="AK1681" s="388"/>
      <c r="AL1681" s="388"/>
      <c r="AM1681" s="388"/>
      <c r="AN1681" s="388"/>
      <c r="AO1681" s="388"/>
      <c r="AP1681" s="388"/>
      <c r="AQ1681" s="388"/>
      <c r="AR1681" s="388"/>
      <c r="AS1681" s="388"/>
      <c r="AT1681" s="388"/>
      <c r="AU1681" s="388"/>
      <c r="AV1681" s="388"/>
      <c r="AW1681" s="388"/>
      <c r="AX1681" s="388"/>
      <c r="AY1681" s="388"/>
      <c r="AZ1681" s="388"/>
      <c r="BA1681" s="388"/>
      <c r="BB1681" s="389"/>
      <c r="BC1681" s="98">
        <v>1</v>
      </c>
      <c r="BD1681" s="74">
        <v>1</v>
      </c>
      <c r="BE1681" s="75">
        <f t="shared" si="657"/>
        <v>0</v>
      </c>
    </row>
    <row r="1682" spans="1:57" s="1" customFormat="1" ht="18" customHeight="1" thickBot="1" x14ac:dyDescent="0.45">
      <c r="A1682" s="37" t="str">
        <f t="shared" si="650"/>
        <v>27Н</v>
      </c>
      <c r="B1682" s="183"/>
      <c r="C1682" s="41"/>
      <c r="D1682" s="184"/>
      <c r="E1682" s="283">
        <f t="shared" si="658"/>
        <v>27</v>
      </c>
      <c r="F1682" s="339"/>
      <c r="G1682" s="340"/>
      <c r="H1682" s="340"/>
      <c r="I1682" s="340"/>
      <c r="J1682" s="340"/>
      <c r="K1682" s="340"/>
      <c r="L1682" s="340"/>
      <c r="M1682" s="340"/>
      <c r="N1682" s="340"/>
      <c r="O1682" s="340"/>
      <c r="P1682" s="340"/>
      <c r="Q1682" s="340"/>
      <c r="R1682" s="340"/>
      <c r="S1682" s="340"/>
      <c r="T1682" s="340"/>
      <c r="U1682" s="340"/>
      <c r="V1682" s="340"/>
      <c r="W1682" s="340"/>
      <c r="X1682" s="99">
        <v>1</v>
      </c>
      <c r="Y1682" s="76">
        <v>1</v>
      </c>
      <c r="Z1682" s="77">
        <f t="shared" si="656"/>
        <v>0</v>
      </c>
      <c r="AA1682" s="107">
        <f t="shared" si="660"/>
        <v>0</v>
      </c>
      <c r="AB1682" s="41"/>
      <c r="AC1682" s="184"/>
      <c r="AD1682" s="211">
        <f t="shared" si="659"/>
        <v>27</v>
      </c>
      <c r="AE1682" s="410"/>
      <c r="AF1682" s="411"/>
      <c r="AG1682" s="411"/>
      <c r="AH1682" s="411"/>
      <c r="AI1682" s="411"/>
      <c r="AJ1682" s="411"/>
      <c r="AK1682" s="411"/>
      <c r="AL1682" s="411"/>
      <c r="AM1682" s="411"/>
      <c r="AN1682" s="411"/>
      <c r="AO1682" s="411"/>
      <c r="AP1682" s="411"/>
      <c r="AQ1682" s="411"/>
      <c r="AR1682" s="411"/>
      <c r="AS1682" s="411"/>
      <c r="AT1682" s="411"/>
      <c r="AU1682" s="411"/>
      <c r="AV1682" s="411"/>
      <c r="AW1682" s="411"/>
      <c r="AX1682" s="411"/>
      <c r="AY1682" s="411"/>
      <c r="AZ1682" s="411"/>
      <c r="BA1682" s="411"/>
      <c r="BB1682" s="412"/>
      <c r="BC1682" s="99">
        <v>1</v>
      </c>
      <c r="BD1682" s="76">
        <v>1</v>
      </c>
      <c r="BE1682" s="75">
        <f t="shared" si="657"/>
        <v>0</v>
      </c>
    </row>
    <row r="1683" spans="1:57" s="1" customFormat="1" ht="23.25" customHeight="1" thickBot="1" x14ac:dyDescent="0.45">
      <c r="A1683" s="37" t="str">
        <f t="shared" si="650"/>
        <v>27Н</v>
      </c>
      <c r="B1683" s="193"/>
      <c r="C1683" s="47"/>
      <c r="D1683" s="47"/>
      <c r="E1683" s="47"/>
      <c r="F1683" s="78"/>
      <c r="G1683" s="78"/>
      <c r="H1683" s="78"/>
      <c r="I1683" s="80"/>
      <c r="J1683" s="80"/>
      <c r="K1683" s="80"/>
      <c r="L1683" s="80"/>
      <c r="M1683" s="80"/>
      <c r="N1683" s="80"/>
      <c r="O1683" s="78"/>
      <c r="P1683" s="81"/>
      <c r="Q1683" s="81"/>
      <c r="R1683" s="81"/>
      <c r="S1683" s="81"/>
      <c r="T1683" s="81"/>
      <c r="U1683" s="82"/>
      <c r="V1683" s="82"/>
      <c r="W1683" s="86"/>
      <c r="X1683" s="194"/>
      <c r="Y1683" s="83"/>
      <c r="Z1683" s="83"/>
      <c r="AA1683" s="78"/>
      <c r="AB1683" s="47"/>
      <c r="AC1683" s="47"/>
      <c r="AD1683" s="47"/>
      <c r="AE1683" s="47"/>
      <c r="AF1683" s="47"/>
      <c r="AG1683" s="47"/>
      <c r="AH1683" s="47"/>
      <c r="AI1683" s="47"/>
      <c r="AJ1683" s="47"/>
      <c r="AK1683" s="47"/>
      <c r="AL1683" s="47"/>
      <c r="AM1683" s="84"/>
      <c r="AN1683" s="47"/>
      <c r="AO1683" s="78"/>
      <c r="AP1683" s="78"/>
      <c r="AQ1683" s="78"/>
      <c r="AR1683" s="84"/>
      <c r="AS1683" s="78"/>
      <c r="AT1683" s="85"/>
      <c r="AU1683" s="78"/>
      <c r="AV1683" s="83"/>
      <c r="AW1683" s="83"/>
      <c r="AX1683" s="78"/>
      <c r="AY1683" s="78"/>
      <c r="AZ1683" s="78"/>
      <c r="BA1683" s="78"/>
      <c r="BB1683" s="78"/>
      <c r="BC1683" s="78"/>
      <c r="BD1683" s="79"/>
      <c r="BE1683" s="79"/>
    </row>
    <row r="1684" spans="1:57" s="1" customFormat="1" ht="21.6" customHeight="1" thickBot="1" x14ac:dyDescent="0.45">
      <c r="A1684" s="37" t="s">
        <v>200</v>
      </c>
      <c r="B1684" s="59"/>
      <c r="C1684" s="51"/>
      <c r="D1684" s="51"/>
      <c r="E1684" s="51"/>
      <c r="F1684" s="158" t="s">
        <v>147</v>
      </c>
      <c r="G1684" s="51"/>
      <c r="H1684" s="51"/>
      <c r="I1684" s="156"/>
      <c r="J1684" s="156"/>
      <c r="K1684" s="156"/>
      <c r="L1684" s="156"/>
      <c r="M1684" s="156"/>
      <c r="N1684" s="156"/>
      <c r="O1684" s="91"/>
      <c r="P1684" s="52"/>
      <c r="Q1684" s="52"/>
      <c r="R1684" s="52"/>
      <c r="S1684" s="52"/>
      <c r="T1684" s="52"/>
      <c r="U1684" s="157"/>
      <c r="V1684" s="157"/>
      <c r="W1684" s="94"/>
      <c r="X1684" s="94"/>
      <c r="Y1684" s="51"/>
      <c r="Z1684" s="51"/>
      <c r="AA1684" s="157">
        <f>AA1667</f>
        <v>1</v>
      </c>
      <c r="AB1684" s="157">
        <f t="shared" ref="AB1684:AF1684" si="661">AB1667</f>
        <v>2</v>
      </c>
      <c r="AC1684" s="157">
        <f t="shared" si="661"/>
        <v>3</v>
      </c>
      <c r="AD1684" s="157">
        <f t="shared" si="661"/>
        <v>4</v>
      </c>
      <c r="AE1684" s="157">
        <f t="shared" si="661"/>
        <v>5</v>
      </c>
      <c r="AF1684" s="157">
        <f t="shared" si="661"/>
        <v>6</v>
      </c>
      <c r="AG1684" s="162" t="s">
        <v>123</v>
      </c>
      <c r="AH1684" s="162" t="s">
        <v>124</v>
      </c>
      <c r="AI1684" s="162" t="s">
        <v>125</v>
      </c>
      <c r="AJ1684" s="91" t="s">
        <v>126</v>
      </c>
      <c r="AK1684" s="198" t="s">
        <v>136</v>
      </c>
      <c r="AL1684" s="198" t="s">
        <v>137</v>
      </c>
      <c r="AM1684" s="198" t="s">
        <v>138</v>
      </c>
      <c r="AN1684" s="91"/>
      <c r="AO1684" s="91"/>
      <c r="AP1684" s="91"/>
      <c r="AQ1684" s="91"/>
      <c r="AR1684" s="91"/>
      <c r="AS1684" s="91"/>
      <c r="AT1684" s="91"/>
      <c r="AU1684" s="91"/>
      <c r="AV1684" s="91"/>
      <c r="AW1684" s="91"/>
      <c r="AX1684" s="91"/>
      <c r="AY1684" s="91"/>
      <c r="AZ1684" s="91"/>
      <c r="BA1684" s="91"/>
      <c r="BB1684" s="91"/>
      <c r="BC1684" s="91"/>
      <c r="BD1684" s="91"/>
      <c r="BE1684" s="91"/>
    </row>
    <row r="1685" spans="1:57" s="1" customFormat="1" ht="21.6" customHeight="1" x14ac:dyDescent="0.4">
      <c r="A1685" s="37" t="str">
        <f>A1684</f>
        <v>28Д</v>
      </c>
      <c r="B1685" s="12">
        <f>B1666+1</f>
        <v>28</v>
      </c>
      <c r="C1685" s="97"/>
      <c r="D1685" s="97">
        <v>1</v>
      </c>
      <c r="E1685" s="29"/>
      <c r="F1685" s="151" t="str">
        <f>IFERROR(VLOOKUP($G1685,нормы!$A$14:$BC$57,2,0),"")</f>
        <v/>
      </c>
      <c r="G1685" s="93"/>
      <c r="H1685" s="54">
        <f>IF(C1685=1,"Кульков С.А.", IF(C1685=2,"Чудаков А.А.",IF(C1685=3,"Королев В.Н.",IF(C1685=4,"Николашин М.П.",IF(C1685=5," Кульков С.А.",IF(C1685=6,"А.А. Чудаков",IF(C1685=7,"В.Н. Королев",IF(C1685=8,"М.П. Николашин",0))))))))</f>
        <v>0</v>
      </c>
      <c r="I1685" s="88" t="s">
        <v>84</v>
      </c>
      <c r="J1685" s="332"/>
      <c r="K1685" s="30">
        <f>IFERROR(VLOOKUP($G1685,[1]нормы!$A$21:$BC$151,15,0),"")</f>
        <v>0</v>
      </c>
      <c r="L1685" s="31">
        <f>IFERROR(VLOOKUP($G1685,[1]нормы!$A$21:$BC$151,17,0),"")</f>
        <v>0</v>
      </c>
      <c r="M1685" s="310">
        <f>IFERROR(VLOOKUP($G1685,[1]нормы!$A$21:$BC$151,27,0),"")</f>
        <v>0</v>
      </c>
      <c r="N1685" s="311" t="str">
        <f>IFERROR(Y1685/Y1691*(1.1*J1685*I1690),"")</f>
        <v/>
      </c>
      <c r="O1685" s="300">
        <f>IFERROR(VLOOKUP($G1685,[1]нормы!$A$21:$BC$151,21,0),"")</f>
        <v>0</v>
      </c>
      <c r="P1685" s="35">
        <f>IFERROR(VLOOKUP($G1685,[1]нормы!$A$21:$BC$151,19,0),"")</f>
        <v>0</v>
      </c>
      <c r="Q1685" s="35">
        <f>IFERROR(VLOOKUP($G1685,[1]нормы!$A$21:$BC$151,23,0),"")</f>
        <v>0</v>
      </c>
      <c r="R1685" s="231">
        <f>IFERROR(VLOOKUP($G1685,[1]нормы!$A$21:$BC$151,29,0),"")</f>
        <v>0</v>
      </c>
      <c r="S1685" s="35">
        <f>IFERROR(VLOOKUP($G1685,[1]нормы!$A$21:$BC$151,31,0),"")</f>
        <v>0</v>
      </c>
      <c r="T1685" s="32">
        <f>IFERROR(VLOOKUP($G1685,[1]нормы!$A$21:$BC$151,25,0),"")</f>
        <v>0</v>
      </c>
      <c r="U1685" s="232" t="str">
        <f>IFERROR(W1685/(((100*Y1685/Y1691)*I1690)/100),"")</f>
        <v/>
      </c>
      <c r="V1685" s="234" t="str">
        <f>IFERROR(VLOOKUP($G1685,нормы!$A$14:$BC$57,38,0),"")</f>
        <v/>
      </c>
      <c r="W1685" s="136"/>
      <c r="X1685" s="236"/>
      <c r="Y1685" s="152" t="str">
        <f>IFERROR(VLOOKUP($G1685,нормы!$A$14:$BC$57,42,0)*W1685,"")</f>
        <v/>
      </c>
      <c r="Z1685" s="163">
        <f>IFERROR(VLOOKUP($G1685,нормы!$A$14:$BC$57,14,0)*W1685/1000,0)</f>
        <v>0</v>
      </c>
      <c r="AA1685" s="33"/>
      <c r="AB1685" s="36"/>
      <c r="AC1685" s="36"/>
      <c r="AD1685" s="36"/>
      <c r="AE1685" s="34"/>
      <c r="AF1685" s="159"/>
      <c r="AG1685" s="390"/>
      <c r="AH1685" s="393"/>
      <c r="AI1685" s="396"/>
      <c r="AJ1685" s="407">
        <f>AG1685+AH1685</f>
        <v>0</v>
      </c>
      <c r="AK1685" s="359"/>
      <c r="AL1685" s="359"/>
      <c r="AM1685" s="359"/>
      <c r="AN1685" s="287">
        <f>IFERROR(Y1685*AJ1685/Y1691,)</f>
        <v>0</v>
      </c>
      <c r="AO1685" s="197" t="str">
        <f>IFERROR(VLOOKUP($G1685,нормы!$A$14:$BC$57,53,0)*$W1685,"")</f>
        <v/>
      </c>
      <c r="AP1685" s="288">
        <f>IFERROR(Y1685*AI1685/Y1691,)</f>
        <v>0</v>
      </c>
      <c r="AQ1685" s="197" t="str">
        <f>IFERROR(VLOOKUP($G1685,нормы!$A$14:$BC$57,54,0)*$W1685,"")</f>
        <v/>
      </c>
      <c r="AR1685" s="288">
        <f>IFERROR(AS1685/SUM(AS1685:AS1690)*AL1685,0)</f>
        <v>0</v>
      </c>
      <c r="AS1685" s="197" t="str">
        <f>IFERROR(VLOOKUP($G1685,нормы!$A$14:$BC$57,55,0)*W1685,"")</f>
        <v/>
      </c>
      <c r="AT1685" s="288">
        <f>IFERROR(AU1685/SUM(AU1685:AU1690)*AM1685,0)</f>
        <v>0</v>
      </c>
      <c r="AU1685" s="197" t="str">
        <f>IFERROR(VLOOKUP($G1685,нормы!$A$14:$BI$57,56,0)*W1685,"")</f>
        <v/>
      </c>
      <c r="AV1685" s="288">
        <f>IFERROR(AW1685/SUM(AW1685:AW1690)*AK1685,0)</f>
        <v>0</v>
      </c>
      <c r="AW1685" s="202" t="str">
        <f>IFERROR(VLOOKUP($G1685,нормы!$A$14:$BI$57,57,0)*W1685,"")</f>
        <v/>
      </c>
      <c r="AX1685" s="33"/>
      <c r="AY1685" s="203" t="str">
        <f>IFERROR(VLOOKUP($G1685,нормы!$A$14:$BI$57,58,0)*W1685,"")</f>
        <v/>
      </c>
      <c r="AZ1685" s="204"/>
      <c r="BA1685" s="200" t="str">
        <f>IFERROR(VLOOKUP($G1685,нормы!$A$14:$BI$57,61,0)*$W1685,"")</f>
        <v/>
      </c>
      <c r="BB1685" s="33"/>
      <c r="BC1685" s="203" t="str">
        <f>IFERROR(VLOOKUP($G1685,нормы!$A$14:$BI$57,60,0)*W1685,"")</f>
        <v/>
      </c>
      <c r="BD1685" s="200" t="str">
        <f>IFERROR(VLOOKUP($G1685,нормы!$A$14:$BG$57,44,0),"")</f>
        <v/>
      </c>
      <c r="BE1685" s="199" t="str">
        <f>IFERROR(W1685/VLOOKUP($G1685,нормы!$A$14:$BI$57,45,0),"")</f>
        <v/>
      </c>
    </row>
    <row r="1686" spans="1:57" s="1" customFormat="1" ht="21.6" customHeight="1" x14ac:dyDescent="0.4">
      <c r="A1686" s="37" t="str">
        <f t="shared" ref="A1686:A1714" si="662">A1685</f>
        <v>28Д</v>
      </c>
      <c r="B1686" s="12">
        <f t="shared" ref="B1686:D1690" si="663">B1685</f>
        <v>28</v>
      </c>
      <c r="C1686" s="97">
        <f t="shared" si="663"/>
        <v>0</v>
      </c>
      <c r="D1686" s="97">
        <f t="shared" si="663"/>
        <v>1</v>
      </c>
      <c r="E1686" s="54"/>
      <c r="F1686" s="151" t="str">
        <f>IFERROR(VLOOKUP($G1686,нормы!$A$14:$BC$57,2,0),"")</f>
        <v/>
      </c>
      <c r="G1686" s="93"/>
      <c r="H1686" s="54">
        <f t="shared" ref="H1686:H1690" si="664">IF(C1686=1,"Кульков С.А.", IF(C1686=2,"Чудаков А.А.",IF(C1686=3,"Королев В.Н.",IF(C1686=4,"Николашин М.П.",IF(C1686=5," Кульков С.А.",IF(C1686=6,"А.А. Чудаков",IF(C1686=7,"В.Н. Королев",IF(C1686=8,"М.П. Николашин",0))))))))</f>
        <v>0</v>
      </c>
      <c r="I1686" s="55"/>
      <c r="J1686" s="333"/>
      <c r="K1686" s="30">
        <f>IFERROR(VLOOKUP($G1686,[1]нормы!$A$21:$BC$151,15,0),"")</f>
        <v>0</v>
      </c>
      <c r="L1686" s="31">
        <f>IFERROR(VLOOKUP($G1686,[1]нормы!$A$21:$BC$151,17,0),"")</f>
        <v>0</v>
      </c>
      <c r="M1686" s="306">
        <f>IFERROR(VLOOKUP($G1686,[1]нормы!$A$21:$BC$151,27,0),"")</f>
        <v>0</v>
      </c>
      <c r="N1686" s="307" t="str">
        <f>IFERROR(Y1686/Y1691*(1.1*J1685*I1690),"")</f>
        <v/>
      </c>
      <c r="O1686" s="300">
        <f>IFERROR(VLOOKUP($G1686,[1]нормы!$A$21:$BC$151,21,0),"")</f>
        <v>0</v>
      </c>
      <c r="P1686" s="35">
        <f>IFERROR(VLOOKUP($G1686,[1]нормы!$A$21:$BC$151,19,0),"")</f>
        <v>0</v>
      </c>
      <c r="Q1686" s="35">
        <f>IFERROR(VLOOKUP($G1686,[1]нормы!$A$21:$BC$151,23,0),"")</f>
        <v>0</v>
      </c>
      <c r="R1686" s="231">
        <f>IFERROR(VLOOKUP($G1686,[1]нормы!$A$21:$BC$151,29,0),"")</f>
        <v>0</v>
      </c>
      <c r="S1686" s="35">
        <f>IFERROR(VLOOKUP($G1686,[1]нормы!$A$21:$BC$151,31,0),"")</f>
        <v>0</v>
      </c>
      <c r="T1686" s="32">
        <f>IFERROR(VLOOKUP($G1686,[1]нормы!$A$21:$BC$151,25,0),"")</f>
        <v>0</v>
      </c>
      <c r="U1686" s="233" t="str">
        <f>IFERROR(W1686/(((100*Y1686/Y1691)*I1690)/100),"")</f>
        <v/>
      </c>
      <c r="V1686" s="234" t="str">
        <f>IFERROR(VLOOKUP($G1686,нормы!$A$14:$BC$57,38,0),"")</f>
        <v/>
      </c>
      <c r="W1686" s="136"/>
      <c r="X1686" s="237"/>
      <c r="Y1686" s="152" t="str">
        <f>IFERROR(VLOOKUP($G1686,нормы!$A$14:$BC$57,42,0)*W1686,"")</f>
        <v/>
      </c>
      <c r="Z1686" s="163">
        <f>IFERROR(VLOOKUP($G1686,нормы!$A$14:$BC$57,14,0)*W1686/1000,0)</f>
        <v>0</v>
      </c>
      <c r="AA1686" s="142"/>
      <c r="AB1686" s="35"/>
      <c r="AC1686" s="35"/>
      <c r="AD1686" s="35"/>
      <c r="AE1686" s="31"/>
      <c r="AF1686" s="160"/>
      <c r="AG1686" s="391"/>
      <c r="AH1686" s="394"/>
      <c r="AI1686" s="397"/>
      <c r="AJ1686" s="408"/>
      <c r="AK1686" s="360"/>
      <c r="AL1686" s="360"/>
      <c r="AM1686" s="360"/>
      <c r="AN1686" s="289">
        <f>IFERROR(Y1686*AJ1685/Y1691,)</f>
        <v>0</v>
      </c>
      <c r="AO1686" s="197" t="str">
        <f>IFERROR(VLOOKUP($G1686,нормы!$A$14:$BC$57,53,0)*$W1686,"")</f>
        <v/>
      </c>
      <c r="AP1686" s="290">
        <f>IFERROR(Y1686*AI1685/Y1691,)</f>
        <v>0</v>
      </c>
      <c r="AQ1686" s="197" t="str">
        <f>IFERROR(VLOOKUP($G1686,нормы!$A$14:$BC$57,54,0)*$W1686,"")</f>
        <v/>
      </c>
      <c r="AR1686" s="290">
        <f>IFERROR(AS1686/SUM(AS1685:AS1690)*AL1685,0)</f>
        <v>0</v>
      </c>
      <c r="AS1686" s="197" t="str">
        <f>IFERROR(VLOOKUP($G1686,нормы!$A$14:$BC$57,55,0)*W1686,"")</f>
        <v/>
      </c>
      <c r="AT1686" s="290">
        <f>IFERROR(AU1686/SUM(AU1685:AU1690)*AM1685,0)</f>
        <v>0</v>
      </c>
      <c r="AU1686" s="197" t="str">
        <f>IFERROR(VLOOKUP($G1686,нормы!$A$14:$BI$57,56,0)*W1686,"")</f>
        <v/>
      </c>
      <c r="AV1686" s="290">
        <f>IFERROR(AW1686/SUM(AW1685:AW1690)*AK1685,0)</f>
        <v>0</v>
      </c>
      <c r="AW1686" s="202" t="str">
        <f>IFERROR(VLOOKUP($G1686,нормы!$A$14:$BI$57,57,0)*W1686,"")</f>
        <v/>
      </c>
      <c r="AX1686" s="30"/>
      <c r="AY1686" s="203" t="str">
        <f>IFERROR(VLOOKUP($G1686,нормы!$A$14:$BI$57,58,0)*W1686,"")</f>
        <v/>
      </c>
      <c r="AZ1686" s="205"/>
      <c r="BA1686" s="200" t="str">
        <f>IFERROR(VLOOKUP($G1686,нормы!$A$14:$BI$57,61,0)*$W1686,"")</f>
        <v/>
      </c>
      <c r="BB1686" s="30"/>
      <c r="BC1686" s="203" t="str">
        <f>IFERROR(VLOOKUP($G1686,нормы!$A$14:$BI$57,60,0)*W1686,"")</f>
        <v/>
      </c>
      <c r="BD1686" s="200" t="str">
        <f>IFERROR(VLOOKUP($G1686,нормы!$A$14:$BG$57,44,0),"")</f>
        <v/>
      </c>
      <c r="BE1686" s="199" t="str">
        <f>IFERROR(W1686/VLOOKUP($G1686,нормы!$A$14:$BI$57,45,0),"")</f>
        <v/>
      </c>
    </row>
    <row r="1687" spans="1:57" s="1" customFormat="1" ht="20.25" customHeight="1" x14ac:dyDescent="0.4">
      <c r="A1687" s="37" t="str">
        <f t="shared" si="662"/>
        <v>28Д</v>
      </c>
      <c r="B1687" s="12">
        <f t="shared" si="663"/>
        <v>28</v>
      </c>
      <c r="C1687" s="97">
        <f t="shared" si="663"/>
        <v>0</v>
      </c>
      <c r="D1687" s="97">
        <f t="shared" si="663"/>
        <v>1</v>
      </c>
      <c r="E1687" s="54"/>
      <c r="F1687" s="151" t="str">
        <f>IFERROR(VLOOKUP($G1687,нормы!$A$14:$BC$57,2,0),"")</f>
        <v/>
      </c>
      <c r="G1687" s="38"/>
      <c r="H1687" s="54">
        <f t="shared" si="664"/>
        <v>0</v>
      </c>
      <c r="I1687" s="89" t="s">
        <v>85</v>
      </c>
      <c r="J1687" s="333"/>
      <c r="K1687" s="30">
        <f>IFERROR(VLOOKUP($G1687,[1]нормы!$A$21:$BC$151,15,0),"")</f>
        <v>0</v>
      </c>
      <c r="L1687" s="31">
        <f>IFERROR(VLOOKUP($G1687,[1]нормы!$A$21:$BC$151,17,0),"")</f>
        <v>0</v>
      </c>
      <c r="M1687" s="306">
        <f>IFERROR(VLOOKUP($G1687,[1]нормы!$A$21:$BC$151,27,0),"")</f>
        <v>0</v>
      </c>
      <c r="N1687" s="307" t="str">
        <f>IFERROR(Y1687/Y1691*(1.1*J1685*I1690),"")</f>
        <v/>
      </c>
      <c r="O1687" s="300">
        <f>IFERROR(VLOOKUP($G1687,[1]нормы!$A$21:$BC$151,21,0),"")</f>
        <v>0</v>
      </c>
      <c r="P1687" s="35">
        <f>IFERROR(VLOOKUP($G1687,[1]нормы!$A$21:$BC$151,19,0),"")</f>
        <v>0</v>
      </c>
      <c r="Q1687" s="35">
        <f>IFERROR(VLOOKUP($G1687,[1]нормы!$A$21:$BC$151,23,0),"")</f>
        <v>0</v>
      </c>
      <c r="R1687" s="231">
        <f>IFERROR(VLOOKUP($G1687,[1]нормы!$A$21:$BC$151,29,0),"")</f>
        <v>0</v>
      </c>
      <c r="S1687" s="35">
        <f>IFERROR(VLOOKUP($G1687,[1]нормы!$A$21:$BC$151,31,0),"")</f>
        <v>0</v>
      </c>
      <c r="T1687" s="32">
        <f>IFERROR(VLOOKUP($G1687,[1]нормы!$A$21:$BC$151,25,0),"")</f>
        <v>0</v>
      </c>
      <c r="U1687" s="233" t="str">
        <f>IFERROR(W1687/(((100*Y1687/Y1691)*I1690)/100),"")</f>
        <v/>
      </c>
      <c r="V1687" s="234" t="str">
        <f>IFERROR(VLOOKUP($G1687,нормы!$A$14:$BC$57,38,0),"")</f>
        <v/>
      </c>
      <c r="W1687" s="136"/>
      <c r="X1687" s="237"/>
      <c r="Y1687" s="152" t="str">
        <f>IFERROR(VLOOKUP($G1687,нормы!$A$14:$BC$57,42,0)*W1687,"")</f>
        <v/>
      </c>
      <c r="Z1687" s="163">
        <f>IFERROR(VLOOKUP($G1687,нормы!$A$14:$BC$57,14,0)*W1687/1000,0)</f>
        <v>0</v>
      </c>
      <c r="AA1687" s="30"/>
      <c r="AB1687" s="35"/>
      <c r="AC1687" s="35"/>
      <c r="AD1687" s="35"/>
      <c r="AE1687" s="31"/>
      <c r="AF1687" s="160"/>
      <c r="AG1687" s="391"/>
      <c r="AH1687" s="394"/>
      <c r="AI1687" s="397"/>
      <c r="AJ1687" s="408"/>
      <c r="AK1687" s="360"/>
      <c r="AL1687" s="360"/>
      <c r="AM1687" s="360"/>
      <c r="AN1687" s="289">
        <f>IFERROR(Y1687*AJ1685/Y1691,)</f>
        <v>0</v>
      </c>
      <c r="AO1687" s="197" t="str">
        <f>IFERROR(VLOOKUP($G1687,нормы!$A$14:$BC$57,53,0)*$W1687,"")</f>
        <v/>
      </c>
      <c r="AP1687" s="290">
        <f>IFERROR(Y1687*AI1685/Y1691,)</f>
        <v>0</v>
      </c>
      <c r="AQ1687" s="197" t="str">
        <f>IFERROR(VLOOKUP($G1687,нормы!$A$14:$BC$57,54,0)*$W1687,"")</f>
        <v/>
      </c>
      <c r="AR1687" s="290">
        <f>IFERROR(AS1687/SUM(AS1685:AS1690)*AL1685,0)</f>
        <v>0</v>
      </c>
      <c r="AS1687" s="197" t="str">
        <f>IFERROR(VLOOKUP($G1687,нормы!$A$14:$BC$57,55,0)*W1687,"")</f>
        <v/>
      </c>
      <c r="AT1687" s="290">
        <f>IFERROR(AU1687/SUM(AU1685:AU1690)*AM1685,0)</f>
        <v>0</v>
      </c>
      <c r="AU1687" s="197" t="str">
        <f>IFERROR(VLOOKUP($G1687,нормы!$A$14:$BI$57,56,0)*W1687,"")</f>
        <v/>
      </c>
      <c r="AV1687" s="290">
        <f>IFERROR(AW1687/SUM(AW1685:AW1690)*AK1685,0)</f>
        <v>0</v>
      </c>
      <c r="AW1687" s="202" t="str">
        <f>IFERROR(VLOOKUP($G1687,нормы!$A$14:$BI$57,57,0)*W1687,"")</f>
        <v/>
      </c>
      <c r="AX1687" s="30"/>
      <c r="AY1687" s="203" t="str">
        <f>IFERROR(VLOOKUP($G1687,нормы!$A$14:$BI$57,58,0)*W1687,"")</f>
        <v/>
      </c>
      <c r="AZ1687" s="205"/>
      <c r="BA1687" s="200" t="str">
        <f>IFERROR(VLOOKUP($G1687,нормы!$A$14:$BI$57,61,0)*$W1687,"")</f>
        <v/>
      </c>
      <c r="BB1687" s="30"/>
      <c r="BC1687" s="203" t="str">
        <f>IFERROR(VLOOKUP($G1687,нормы!$A$14:$BI$57,60,0)*W1687,"")</f>
        <v/>
      </c>
      <c r="BD1687" s="200" t="str">
        <f>IFERROR(VLOOKUP($G1687,нормы!$A$14:$BG$57,44,0),"")</f>
        <v/>
      </c>
      <c r="BE1687" s="199" t="str">
        <f>IFERROR(W1687/VLOOKUP($G1687,нормы!$A$14:$BI$57,45,0),"")</f>
        <v/>
      </c>
    </row>
    <row r="1688" spans="1:57" s="1" customFormat="1" ht="20.25" customHeight="1" x14ac:dyDescent="0.4">
      <c r="A1688" s="37" t="str">
        <f t="shared" si="662"/>
        <v>28Д</v>
      </c>
      <c r="B1688" s="12">
        <f t="shared" si="663"/>
        <v>28</v>
      </c>
      <c r="C1688" s="97">
        <f t="shared" si="663"/>
        <v>0</v>
      </c>
      <c r="D1688" s="97">
        <f t="shared" si="663"/>
        <v>1</v>
      </c>
      <c r="E1688" s="54"/>
      <c r="F1688" s="151" t="str">
        <f>IFERROR(VLOOKUP($G1688,нормы!$A$14:$BC$57,2,0),"")</f>
        <v/>
      </c>
      <c r="G1688" s="93"/>
      <c r="H1688" s="54">
        <f t="shared" si="664"/>
        <v>0</v>
      </c>
      <c r="I1688" s="55"/>
      <c r="J1688" s="333"/>
      <c r="K1688" s="30">
        <f>IFERROR(VLOOKUP($G1688,[1]нормы!$A$21:$BC$151,15,0),"")</f>
        <v>0</v>
      </c>
      <c r="L1688" s="31">
        <f>IFERROR(VLOOKUP($G1688,[1]нормы!$A$21:$BC$151,17,0),"")</f>
        <v>0</v>
      </c>
      <c r="M1688" s="306">
        <f>IFERROR(VLOOKUP($G1688,[1]нормы!$A$21:$BC$151,27,0),"")</f>
        <v>0</v>
      </c>
      <c r="N1688" s="307" t="str">
        <f>IFERROR(Y1688/Y1691*(1.1*J1685*I1693),"")</f>
        <v/>
      </c>
      <c r="O1688" s="300">
        <f>IFERROR(VLOOKUP($G1688,[1]нормы!$A$21:$BC$151,21,0),"")</f>
        <v>0</v>
      </c>
      <c r="P1688" s="35">
        <f>IFERROR(VLOOKUP($G1688,[1]нормы!$A$21:$BC$151,19,0),"")</f>
        <v>0</v>
      </c>
      <c r="Q1688" s="35">
        <f>IFERROR(VLOOKUP($G1688,[1]нормы!$A$21:$BC$151,23,0),"")</f>
        <v>0</v>
      </c>
      <c r="R1688" s="231">
        <f>IFERROR(VLOOKUP($G1688,[1]нормы!$A$21:$BC$151,29,0),"")</f>
        <v>0</v>
      </c>
      <c r="S1688" s="35">
        <f>IFERROR(VLOOKUP($G1688,[1]нормы!$A$21:$BC$151,31,0),"")</f>
        <v>0</v>
      </c>
      <c r="T1688" s="32">
        <f>IFERROR(VLOOKUP($G1688,[1]нормы!$A$21:$BC$151,25,0),"")</f>
        <v>0</v>
      </c>
      <c r="U1688" s="233" t="str">
        <f>IFERROR(W1688/(((100*Y1688/Y1691)*I1690)/100),"")</f>
        <v/>
      </c>
      <c r="V1688" s="234" t="str">
        <f>IFERROR(VLOOKUP($G1688,нормы!$A$14:$BC$57,38,0),"")</f>
        <v/>
      </c>
      <c r="W1688" s="136"/>
      <c r="X1688" s="237"/>
      <c r="Y1688" s="152" t="str">
        <f>IFERROR(VLOOKUP($G1688,нормы!$A$14:$BC$57,42,0)*W1688,"")</f>
        <v/>
      </c>
      <c r="Z1688" s="163">
        <f>IFERROR(VLOOKUP($G1688,нормы!$A$14:$BC$57,14,0)*W1688/1000,0)</f>
        <v>0</v>
      </c>
      <c r="AA1688" s="30"/>
      <c r="AB1688" s="35"/>
      <c r="AC1688" s="35"/>
      <c r="AD1688" s="35"/>
      <c r="AE1688" s="31"/>
      <c r="AF1688" s="160"/>
      <c r="AG1688" s="391"/>
      <c r="AH1688" s="394"/>
      <c r="AI1688" s="397"/>
      <c r="AJ1688" s="408"/>
      <c r="AK1688" s="360"/>
      <c r="AL1688" s="360"/>
      <c r="AM1688" s="360"/>
      <c r="AN1688" s="289">
        <f>IFERROR(Y1688*AJ1685/Y1691,)</f>
        <v>0</v>
      </c>
      <c r="AO1688" s="197" t="str">
        <f>IFERROR(VLOOKUP($G1688,нормы!$A$14:$BC$57,53,0)*$W1688,"")</f>
        <v/>
      </c>
      <c r="AP1688" s="290">
        <f>IFERROR(Y1688*AI1685/Y1691,)</f>
        <v>0</v>
      </c>
      <c r="AQ1688" s="197" t="str">
        <f>IFERROR(VLOOKUP($G1688,нормы!$A$14:$BC$57,54,0)*$W1688,"")</f>
        <v/>
      </c>
      <c r="AR1688" s="290">
        <f>IFERROR(AS1688/SUM(AS1685:AS1690)*AL1685,0)</f>
        <v>0</v>
      </c>
      <c r="AS1688" s="197" t="str">
        <f>IFERROR(VLOOKUP($G1688,нормы!$A$14:$BC$57,55,0)*W1688,"")</f>
        <v/>
      </c>
      <c r="AT1688" s="290">
        <f>IFERROR(AU1688/SUM(AU1685:AU1690)*AM1685,0)</f>
        <v>0</v>
      </c>
      <c r="AU1688" s="197" t="str">
        <f>IFERROR(VLOOKUP($G1688,нормы!$A$14:$BI$57,56,0)*W1688,"")</f>
        <v/>
      </c>
      <c r="AV1688" s="290">
        <f>IFERROR(AW1688/SUM(AW1685:AW1690)*AK1685,0)</f>
        <v>0</v>
      </c>
      <c r="AW1688" s="202" t="str">
        <f>IFERROR(VLOOKUP($G1688,нормы!$A$14:$BI$57,57,0)*W1688,"")</f>
        <v/>
      </c>
      <c r="AX1688" s="30"/>
      <c r="AY1688" s="203" t="str">
        <f>IFERROR(VLOOKUP($G1688,нормы!$A$14:$BI$57,58,0)*W1688,"")</f>
        <v/>
      </c>
      <c r="AZ1688" s="205"/>
      <c r="BA1688" s="200" t="str">
        <f>IFERROR(VLOOKUP($G1688,нормы!$A$14:$BI$57,61,0)*$W1688,"")</f>
        <v/>
      </c>
      <c r="BB1688" s="30"/>
      <c r="BC1688" s="203" t="str">
        <f>IFERROR(VLOOKUP($G1688,нормы!$A$14:$BI$57,60,0)*W1688,"")</f>
        <v/>
      </c>
      <c r="BD1688" s="200" t="str">
        <f>IFERROR(VLOOKUP($G1688,нормы!$A$14:$BG$57,44,0),"")</f>
        <v/>
      </c>
      <c r="BE1688" s="199" t="str">
        <f>IFERROR(W1688/VLOOKUP($G1688,нормы!$A$14:$BI$57,45,0),"")</f>
        <v/>
      </c>
    </row>
    <row r="1689" spans="1:57" s="1" customFormat="1" ht="20.25" customHeight="1" x14ac:dyDescent="0.4">
      <c r="A1689" s="37" t="str">
        <f t="shared" si="662"/>
        <v>28Д</v>
      </c>
      <c r="B1689" s="12">
        <f t="shared" si="663"/>
        <v>28</v>
      </c>
      <c r="C1689" s="97">
        <f t="shared" si="663"/>
        <v>0</v>
      </c>
      <c r="D1689" s="97">
        <f t="shared" si="663"/>
        <v>1</v>
      </c>
      <c r="E1689" s="54"/>
      <c r="F1689" s="151" t="str">
        <f>IFERROR(VLOOKUP($G1689,нормы!$A$14:$BC$57,2,0),"")</f>
        <v/>
      </c>
      <c r="G1689" s="38"/>
      <c r="H1689" s="54">
        <f t="shared" si="664"/>
        <v>0</v>
      </c>
      <c r="I1689" s="89" t="s">
        <v>73</v>
      </c>
      <c r="J1689" s="333"/>
      <c r="K1689" s="30">
        <f>IFERROR(VLOOKUP($G1689,[1]нормы!$A$21:$BC$151,15,0),"")</f>
        <v>0</v>
      </c>
      <c r="L1689" s="31">
        <f>IFERROR(VLOOKUP($G1689,[1]нормы!$A$21:$BC$151,17,0),"")</f>
        <v>0</v>
      </c>
      <c r="M1689" s="306">
        <f>IFERROR(VLOOKUP($G1689,[1]нормы!$A$21:$BC$151,27,0),"")</f>
        <v>0</v>
      </c>
      <c r="N1689" s="307" t="str">
        <f>IFERROR(Y1689/Y1691*(1.1*J1685*I1694),"")</f>
        <v/>
      </c>
      <c r="O1689" s="300">
        <f>IFERROR(VLOOKUP($G1689,[1]нормы!$A$21:$BC$151,21,0),"")</f>
        <v>0</v>
      </c>
      <c r="P1689" s="35">
        <f>IFERROR(VLOOKUP($G1689,[1]нормы!$A$21:$BC$151,19,0),"")</f>
        <v>0</v>
      </c>
      <c r="Q1689" s="35">
        <f>IFERROR(VLOOKUP($G1689,[1]нормы!$A$21:$BC$151,23,0),"")</f>
        <v>0</v>
      </c>
      <c r="R1689" s="231">
        <f>IFERROR(VLOOKUP($G1689,[1]нормы!$A$21:$BC$151,29,0),"")</f>
        <v>0</v>
      </c>
      <c r="S1689" s="35">
        <f>IFERROR(VLOOKUP($G1689,[1]нормы!$A$21:$BC$151,31,0),"")</f>
        <v>0</v>
      </c>
      <c r="T1689" s="32">
        <f>IFERROR(VLOOKUP($G1689,[1]нормы!$A$21:$BC$151,25,0),"")</f>
        <v>0</v>
      </c>
      <c r="U1689" s="233" t="str">
        <f>IFERROR(W1689/(((100*Y1689/Y1691)*I1690)/100),"")</f>
        <v/>
      </c>
      <c r="V1689" s="234" t="str">
        <f>IFERROR(VLOOKUP($G1689,нормы!$A$14:$BC$57,38,0),"")</f>
        <v/>
      </c>
      <c r="W1689" s="136"/>
      <c r="X1689" s="237"/>
      <c r="Y1689" s="152" t="str">
        <f>IFERROR(VLOOKUP($G1689,нормы!$A$14:$BC$57,42,0)*W1689,"")</f>
        <v/>
      </c>
      <c r="Z1689" s="163">
        <f>IFERROR(VLOOKUP($G1689,нормы!$A$14:$BC$57,14,0)*W1689/1000,0)</f>
        <v>0</v>
      </c>
      <c r="AA1689" s="30"/>
      <c r="AB1689" s="35"/>
      <c r="AC1689" s="35"/>
      <c r="AD1689" s="35"/>
      <c r="AE1689" s="31"/>
      <c r="AF1689" s="160"/>
      <c r="AG1689" s="391"/>
      <c r="AH1689" s="394"/>
      <c r="AI1689" s="397"/>
      <c r="AJ1689" s="408"/>
      <c r="AK1689" s="360"/>
      <c r="AL1689" s="360"/>
      <c r="AM1689" s="360"/>
      <c r="AN1689" s="289">
        <f>IFERROR(Y1689*AJ1685/Y1691,)</f>
        <v>0</v>
      </c>
      <c r="AO1689" s="197" t="str">
        <f>IFERROR(VLOOKUP($G1689,нормы!$A$14:$BC$57,53,0)*$W1689,"")</f>
        <v/>
      </c>
      <c r="AP1689" s="290">
        <f>IFERROR(Y1689*AI1685/Y1691,)</f>
        <v>0</v>
      </c>
      <c r="AQ1689" s="197" t="str">
        <f>IFERROR(VLOOKUP($G1689,нормы!$A$14:$BC$57,54,0)*$W1689,"")</f>
        <v/>
      </c>
      <c r="AR1689" s="290">
        <f>IFERROR(AS1689/SUM(AS1685:AS1690)*AL1685,0)</f>
        <v>0</v>
      </c>
      <c r="AS1689" s="197" t="str">
        <f>IFERROR(VLOOKUP($G1689,нормы!$A$14:$BC$57,55,0)*W1689,"")</f>
        <v/>
      </c>
      <c r="AT1689" s="290">
        <f>IFERROR(AU1689/SUM(AU1685:AU1690)*AM1685,0)</f>
        <v>0</v>
      </c>
      <c r="AU1689" s="197" t="str">
        <f>IFERROR(VLOOKUP($G1689,нормы!$A$14:$BI$57,56,0)*W1689,"")</f>
        <v/>
      </c>
      <c r="AV1689" s="290">
        <f>IFERROR(AW1689/SUM(AW1685:AW1690)*AK1685,0)</f>
        <v>0</v>
      </c>
      <c r="AW1689" s="202" t="str">
        <f>IFERROR(VLOOKUP($G1689,нормы!$A$14:$BI$57,57,0)*W1689,"")</f>
        <v/>
      </c>
      <c r="AX1689" s="30"/>
      <c r="AY1689" s="203" t="str">
        <f>IFERROR(VLOOKUP($G1689,нормы!$A$14:$BI$57,58,0)*W1689,"")</f>
        <v/>
      </c>
      <c r="AZ1689" s="205"/>
      <c r="BA1689" s="200" t="str">
        <f>IFERROR(VLOOKUP($G1689,нормы!$A$14:$BI$57,61,0)*$W1689,"")</f>
        <v/>
      </c>
      <c r="BB1689" s="30"/>
      <c r="BC1689" s="203" t="str">
        <f>IFERROR(VLOOKUP($G1689,нормы!$A$14:$BI$57,60,0)*W1689,"")</f>
        <v/>
      </c>
      <c r="BD1689" s="200" t="str">
        <f>IFERROR(VLOOKUP($G1689,нормы!$A$14:$BG$57,44,0),"")</f>
        <v/>
      </c>
      <c r="BE1689" s="199" t="str">
        <f>IFERROR(W1689/VLOOKUP($G1689,нормы!$A$14:$BI$57,45,0),"")</f>
        <v/>
      </c>
    </row>
    <row r="1690" spans="1:57" s="1" customFormat="1" ht="21" customHeight="1" thickBot="1" x14ac:dyDescent="0.45">
      <c r="A1690" s="37" t="str">
        <f t="shared" si="662"/>
        <v>28Д</v>
      </c>
      <c r="B1690" s="12">
        <f t="shared" si="663"/>
        <v>28</v>
      </c>
      <c r="C1690" s="97">
        <f t="shared" si="663"/>
        <v>0</v>
      </c>
      <c r="D1690" s="97">
        <f t="shared" si="663"/>
        <v>1</v>
      </c>
      <c r="E1690" s="54"/>
      <c r="F1690" s="151" t="str">
        <f>IFERROR(VLOOKUP($G1690,нормы!$A$14:$BC$57,2,0),"")</f>
        <v/>
      </c>
      <c r="G1690" s="93"/>
      <c r="H1690" s="63">
        <f t="shared" si="664"/>
        <v>0</v>
      </c>
      <c r="I1690" s="153">
        <f>I1686+I1688</f>
        <v>0</v>
      </c>
      <c r="J1690" s="334"/>
      <c r="K1690" s="30">
        <f>IFERROR(VLOOKUP($G1690,[1]нормы!$A$21:$BC$151,15,0),"")</f>
        <v>0</v>
      </c>
      <c r="L1690" s="31">
        <f>IFERROR(VLOOKUP($G1690,[1]нормы!$A$21:$BC$151,17,0),"")</f>
        <v>0</v>
      </c>
      <c r="M1690" s="308">
        <f>IFERROR(VLOOKUP($G1690,[1]нормы!$A$21:$BC$151,27,0),"")</f>
        <v>0</v>
      </c>
      <c r="N1690" s="309" t="str">
        <f>IFERROR(Y1690/Y1691*(1.1*J1685*I1695),"")</f>
        <v/>
      </c>
      <c r="O1690" s="300">
        <f>IFERROR(VLOOKUP($G1690,[1]нормы!$A$21:$BC$151,21,0),"")</f>
        <v>0</v>
      </c>
      <c r="P1690" s="35">
        <f>IFERROR(VLOOKUP($G1690,[1]нормы!$A$21:$BC$151,19,0),"")</f>
        <v>0</v>
      </c>
      <c r="Q1690" s="35">
        <f>IFERROR(VLOOKUP($G1690,[1]нормы!$A$21:$BC$151,23,0),"")</f>
        <v>0</v>
      </c>
      <c r="R1690" s="231">
        <f>IFERROR(VLOOKUP($G1690,[1]нормы!$A$21:$BC$151,29,0),"")</f>
        <v>0</v>
      </c>
      <c r="S1690" s="35">
        <f>IFERROR(VLOOKUP($G1690,[1]нормы!$A$21:$BC$151,31,0),"")</f>
        <v>0</v>
      </c>
      <c r="T1690" s="32">
        <f>IFERROR(VLOOKUP($G1690,[1]нормы!$A$21:$BC$151,25,0),"")</f>
        <v>0</v>
      </c>
      <c r="U1690" s="235" t="str">
        <f>IFERROR(W1690/(((100*Y1690/Y1691)*I1690)/100),"")</f>
        <v/>
      </c>
      <c r="V1690" s="234" t="str">
        <f>IFERROR(VLOOKUP($G1690,нормы!$A$14:$BC$57,38,0),"")</f>
        <v/>
      </c>
      <c r="W1690" s="154"/>
      <c r="X1690" s="238"/>
      <c r="Y1690" s="152" t="str">
        <f>IFERROR(VLOOKUP($G1690,нормы!$A$14:$BC$57,42,0)*W1690,"")</f>
        <v/>
      </c>
      <c r="Z1690" s="163">
        <f>IFERROR(VLOOKUP($G1690,нормы!$A$14:$BC$57,14,0)*W1690/1000,0)</f>
        <v>0</v>
      </c>
      <c r="AA1690" s="56"/>
      <c r="AB1690" s="58"/>
      <c r="AC1690" s="58"/>
      <c r="AD1690" s="58"/>
      <c r="AE1690" s="57"/>
      <c r="AF1690" s="161"/>
      <c r="AG1690" s="392"/>
      <c r="AH1690" s="395"/>
      <c r="AI1690" s="398"/>
      <c r="AJ1690" s="409"/>
      <c r="AK1690" s="361"/>
      <c r="AL1690" s="361"/>
      <c r="AM1690" s="361"/>
      <c r="AN1690" s="291">
        <f>IFERROR(Y1690*AJ1685/Y1691,)</f>
        <v>0</v>
      </c>
      <c r="AO1690" s="197" t="str">
        <f>IFERROR(VLOOKUP($G1690,нормы!$A$14:$BC$57,53,0)*$W1690,"")</f>
        <v/>
      </c>
      <c r="AP1690" s="292">
        <f>IFERROR(Y1690*AI1685/Y1691,)</f>
        <v>0</v>
      </c>
      <c r="AQ1690" s="197" t="str">
        <f>IFERROR(VLOOKUP($G1690,нормы!$A$14:$BC$57,54,0)*$W1690,"")</f>
        <v/>
      </c>
      <c r="AR1690" s="290">
        <f>IFERROR(AS1690/SUM(AS1685:AS1690)*AL1685,0)</f>
        <v>0</v>
      </c>
      <c r="AS1690" s="197" t="str">
        <f>IFERROR(VLOOKUP($G1690,нормы!$A$14:$BC$57,55,0)*W1690,"")</f>
        <v/>
      </c>
      <c r="AT1690" s="292">
        <f>IFERROR(AU1690/SUM(AU1685:AU1690)*AM1685,0)</f>
        <v>0</v>
      </c>
      <c r="AU1690" s="197" t="str">
        <f>IFERROR(VLOOKUP($G1690,нормы!$A$14:$BI$57,56,0)*W1690,"")</f>
        <v/>
      </c>
      <c r="AV1690" s="292">
        <f>IFERROR(AW1690/SUM(AW1685:AW1690)*AK1685,0)</f>
        <v>0</v>
      </c>
      <c r="AW1690" s="202" t="str">
        <f>IFERROR(VLOOKUP($G1690,нормы!$A$14:$BI$57,57,0)*W1690,"")</f>
        <v/>
      </c>
      <c r="AX1690" s="56"/>
      <c r="AY1690" s="203" t="str">
        <f>IFERROR(VLOOKUP($G1690,нормы!$A$14:$BI$57,58,0)*W1690,"")</f>
        <v/>
      </c>
      <c r="AZ1690" s="206"/>
      <c r="BA1690" s="200" t="str">
        <f>IFERROR(VLOOKUP($G1690,нормы!$A$14:$BI$57,61,0)*$W1690,"")</f>
        <v/>
      </c>
      <c r="BB1690" s="56"/>
      <c r="BC1690" s="203" t="str">
        <f>IFERROR(VLOOKUP($G1690,нормы!$A$14:$BI$57,60,0)*W1690,"")</f>
        <v/>
      </c>
      <c r="BD1690" s="200" t="str">
        <f>IFERROR(VLOOKUP($G1690,нормы!$A$14:$BG$57,44,0),"")</f>
        <v/>
      </c>
      <c r="BE1690" s="199" t="str">
        <f>IFERROR(W1690/VLOOKUP($G1690,нормы!$A$14:$BI$57,45,0),"")</f>
        <v/>
      </c>
    </row>
    <row r="1691" spans="1:57" s="1" customFormat="1" ht="29.4" customHeight="1" thickBot="1" x14ac:dyDescent="0.45">
      <c r="A1691" s="37" t="str">
        <f t="shared" si="662"/>
        <v>28Д</v>
      </c>
      <c r="B1691" s="59"/>
      <c r="C1691" s="51"/>
      <c r="D1691" s="51"/>
      <c r="E1691" s="51"/>
      <c r="F1691" s="295" t="s">
        <v>148</v>
      </c>
      <c r="G1691" s="51"/>
      <c r="H1691" s="51"/>
      <c r="I1691" s="60"/>
      <c r="J1691" s="60"/>
      <c r="K1691" s="319" t="s">
        <v>213</v>
      </c>
      <c r="L1691" s="316"/>
      <c r="M1691" s="303" t="s">
        <v>213</v>
      </c>
      <c r="N1691" s="317">
        <f>SUM(N1685:N1690)</f>
        <v>0</v>
      </c>
      <c r="O1691" s="304" t="s">
        <v>216</v>
      </c>
      <c r="P1691" s="318">
        <f>N1691*8.937/1000</f>
        <v>0</v>
      </c>
      <c r="Q1691" s="305" t="s">
        <v>215</v>
      </c>
      <c r="R1691" s="61"/>
      <c r="S1691" s="61"/>
      <c r="T1691" s="61"/>
      <c r="U1691" s="109"/>
      <c r="V1691" s="109"/>
      <c r="W1691" s="94"/>
      <c r="X1691" s="155"/>
      <c r="Y1691" s="96">
        <f>SUM(Y1685:Y1690)</f>
        <v>0</v>
      </c>
      <c r="Z1691" s="164">
        <f>SUM(Z1685:Z1690)</f>
        <v>0</v>
      </c>
      <c r="AA1691" s="62"/>
      <c r="AB1691" s="62"/>
      <c r="AC1691" s="62"/>
      <c r="AD1691" s="62"/>
      <c r="AE1691" s="62"/>
      <c r="AF1691" s="62"/>
      <c r="AG1691" s="162" t="s">
        <v>140</v>
      </c>
      <c r="AH1691" s="162" t="s">
        <v>141</v>
      </c>
      <c r="AI1691" s="162" t="s">
        <v>142</v>
      </c>
      <c r="AJ1691" s="91" t="s">
        <v>126</v>
      </c>
      <c r="AK1691" s="198" t="s">
        <v>136</v>
      </c>
      <c r="AL1691" s="198" t="s">
        <v>137</v>
      </c>
      <c r="AM1691" s="198" t="s">
        <v>138</v>
      </c>
      <c r="AN1691" s="91"/>
      <c r="AO1691" s="91"/>
      <c r="AP1691" s="91"/>
      <c r="AQ1691" s="91"/>
      <c r="AR1691" s="91"/>
      <c r="AS1691" s="91"/>
      <c r="AT1691" s="91"/>
      <c r="AU1691" s="91"/>
      <c r="AV1691" s="91"/>
      <c r="AW1691" s="91"/>
      <c r="AX1691" s="91"/>
      <c r="AY1691" s="91"/>
      <c r="AZ1691" s="91"/>
      <c r="BA1691" s="91"/>
      <c r="BB1691" s="91"/>
      <c r="BC1691" s="91"/>
      <c r="BD1691" s="91"/>
      <c r="BE1691" s="53" t="str">
        <f>IFERROR(W1691/VLOOKUP($G1691,нормы!$A$14:$BI$15,28,0),"")</f>
        <v/>
      </c>
    </row>
    <row r="1692" spans="1:57" s="1" customFormat="1" ht="21.6" customHeight="1" x14ac:dyDescent="0.4">
      <c r="A1692" s="37" t="str">
        <f t="shared" si="662"/>
        <v>28Д</v>
      </c>
      <c r="B1692" s="12">
        <f>B1690</f>
        <v>28</v>
      </c>
      <c r="C1692" s="97"/>
      <c r="D1692" s="97">
        <v>2</v>
      </c>
      <c r="E1692" s="29"/>
      <c r="F1692" s="151" t="str">
        <f>IFERROR(VLOOKUP($G1692,нормы!$A$14:$BC$57,2,0),"")</f>
        <v/>
      </c>
      <c r="G1692" s="93"/>
      <c r="H1692" s="54">
        <f>IF(C1692=1,"Кульков С.А.", IF(C1692=2,"Чудаков А.А.",IF(C1692=3,"Королев В.Н.",IF(C1692=4,"Николашин М.П.",IF(C1692=5," Кульков С.А.",IF(C1692=6,"А.А. Чудаков",IF(C1692=7,"В.Н. Королев",IF(C1692=8,"М.П. Николашин",0))))))))</f>
        <v>0</v>
      </c>
      <c r="I1692" s="88" t="s">
        <v>211</v>
      </c>
      <c r="J1692" s="332"/>
      <c r="K1692" s="30">
        <f>IFERROR(VLOOKUP($G1692,[1]нормы!$A$21:$BC$151,15,0),"")</f>
        <v>0</v>
      </c>
      <c r="L1692" s="31">
        <f>IFERROR(VLOOKUP($G1692,[1]нормы!$A$21:$BC$151,17,0),"")</f>
        <v>0</v>
      </c>
      <c r="M1692" s="310">
        <f>IFERROR(VLOOKUP($G1692,[1]нормы!$A$21:$BC$151,27,0),"")</f>
        <v>0</v>
      </c>
      <c r="N1692" s="311" t="str">
        <f>IFERROR(Y1692/Y1698*(1.1*J1692*I1697),"")</f>
        <v/>
      </c>
      <c r="O1692" s="300">
        <f>IFERROR(VLOOKUP($G1692,[1]нормы!$A$21:$BC$151,21,0),"")</f>
        <v>0</v>
      </c>
      <c r="P1692" s="35">
        <f>IFERROR(VLOOKUP($G1692,[1]нормы!$A$21:$BC$151,19,0),"")</f>
        <v>0</v>
      </c>
      <c r="Q1692" s="35">
        <f>IFERROR(VLOOKUP($G1692,[1]нормы!$A$21:$BC$151,23,0),"")</f>
        <v>0</v>
      </c>
      <c r="R1692" s="231">
        <f>IFERROR(VLOOKUP($G1692,[1]нормы!$A$21:$BC$151,29,0),"")</f>
        <v>0</v>
      </c>
      <c r="S1692" s="35">
        <f>IFERROR(VLOOKUP($G1692,[1]нормы!$A$21:$BC$151,31,0),"")</f>
        <v>0</v>
      </c>
      <c r="T1692" s="32">
        <f>IFERROR(VLOOKUP($G1692,[1]нормы!$A$21:$BC$151,25,0),"")</f>
        <v>0</v>
      </c>
      <c r="U1692" s="232" t="str">
        <f>IFERROR(W1692/(((100*Y1692/Y1698)*I1697)/100),"")</f>
        <v/>
      </c>
      <c r="V1692" s="234" t="str">
        <f>IFERROR(VLOOKUP($G1692,нормы!$A$14:$BC$57,38,0),"")</f>
        <v/>
      </c>
      <c r="W1692" s="136"/>
      <c r="X1692" s="236"/>
      <c r="Y1692" s="152" t="str">
        <f>IFERROR(VLOOKUP($G1692,нормы!$A$14:$BC$57,42,0)*W1692,"")</f>
        <v/>
      </c>
      <c r="Z1692" s="163">
        <f>IFERROR(VLOOKUP($G1692,нормы!$A$14:$BC$57,14,0)*W1692/1000,0)</f>
        <v>0</v>
      </c>
      <c r="AA1692" s="33"/>
      <c r="AB1692" s="36"/>
      <c r="AC1692" s="36"/>
      <c r="AD1692" s="36"/>
      <c r="AE1692" s="34"/>
      <c r="AF1692" s="159"/>
      <c r="AG1692" s="390"/>
      <c r="AH1692" s="393"/>
      <c r="AI1692" s="396"/>
      <c r="AJ1692" s="407">
        <f>AG1692+AH1692</f>
        <v>0</v>
      </c>
      <c r="AK1692" s="359"/>
      <c r="AL1692" s="359"/>
      <c r="AM1692" s="359"/>
      <c r="AN1692" s="287">
        <f>IFERROR(Y1692*AJ1692/Y1698,)</f>
        <v>0</v>
      </c>
      <c r="AO1692" s="197" t="str">
        <f>IFERROR(VLOOKUP($G1692,нормы!$A$14:$BC$57,53,0)*$W1692,"")</f>
        <v/>
      </c>
      <c r="AP1692" s="288">
        <f>IFERROR(Y1692*AI1692/Y1698,)</f>
        <v>0</v>
      </c>
      <c r="AQ1692" s="197" t="str">
        <f>IFERROR(VLOOKUP($G1692,нормы!$A$14:$BC$57,54,0)*$W1692,"")</f>
        <v/>
      </c>
      <c r="AR1692" s="288">
        <f>IFERROR(AS1692/SUM(AS1692:AS1697)*AL1692,0)</f>
        <v>0</v>
      </c>
      <c r="AS1692" s="197" t="str">
        <f>IFERROR(VLOOKUP($G1692,нормы!$A$14:$BC$57,55,0)*W1692,"")</f>
        <v/>
      </c>
      <c r="AT1692" s="288">
        <f>IFERROR(AU1692/SUM(AU1692:AU1697)*AM1692,0)</f>
        <v>0</v>
      </c>
      <c r="AU1692" s="197" t="str">
        <f>IFERROR(VLOOKUP($G1692,нормы!$A$14:$BI$57,56,0)*W1692,"")</f>
        <v/>
      </c>
      <c r="AV1692" s="288">
        <f>IFERROR(AW1692/SUM(AW1692:AW1697)*AK1692,0)</f>
        <v>0</v>
      </c>
      <c r="AW1692" s="202" t="str">
        <f>IFERROR(VLOOKUP($G1692,нормы!$A$14:$BI$57,57,0)*W1692,"")</f>
        <v/>
      </c>
      <c r="AX1692" s="33"/>
      <c r="AY1692" s="203" t="str">
        <f>IFERROR(VLOOKUP($G1692,нормы!$A$14:$BI$57,58,0)*W1692,"")</f>
        <v/>
      </c>
      <c r="AZ1692" s="204"/>
      <c r="BA1692" s="200" t="str">
        <f>IFERROR(VLOOKUP($G1692,нормы!$A$14:$BI$57,61,0)*$W1692,"")</f>
        <v/>
      </c>
      <c r="BB1692" s="33"/>
      <c r="BC1692" s="203" t="str">
        <f>IFERROR(VLOOKUP($G1692,нормы!$A$14:$BI$57,60,0)*W1692,"")</f>
        <v/>
      </c>
      <c r="BD1692" s="200" t="str">
        <f>IFERROR(VLOOKUP($G1692,нормы!$A$14:$BG$57,44,0),"")</f>
        <v/>
      </c>
      <c r="BE1692" s="199" t="str">
        <f>IFERROR(W1692/VLOOKUP($G1692,нормы!$A$14:$BI$57,45,0),"")</f>
        <v/>
      </c>
    </row>
    <row r="1693" spans="1:57" s="1" customFormat="1" ht="21.6" customHeight="1" x14ac:dyDescent="0.4">
      <c r="A1693" s="37" t="str">
        <f t="shared" si="662"/>
        <v>28Д</v>
      </c>
      <c r="B1693" s="12">
        <f t="shared" ref="B1693:D1697" si="665">B1692</f>
        <v>28</v>
      </c>
      <c r="C1693" s="97">
        <f t="shared" si="665"/>
        <v>0</v>
      </c>
      <c r="D1693" s="97">
        <f t="shared" si="665"/>
        <v>2</v>
      </c>
      <c r="E1693" s="54"/>
      <c r="F1693" s="151" t="str">
        <f>IFERROR(VLOOKUP($G1693,нормы!$A$14:$BC$57,2,0),"")</f>
        <v/>
      </c>
      <c r="G1693" s="93"/>
      <c r="H1693" s="54">
        <f t="shared" ref="H1693:H1697" si="666">IF(C1693=1,"Кульков С.А.", IF(C1693=2,"Чудаков А.А.",IF(C1693=3,"Королев В.Н.",IF(C1693=4,"Николашин М.П.",IF(C1693=5," Кульков С.А.",IF(C1693=6,"А.А. Чудаков",IF(C1693=7,"В.Н. Королев",IF(C1693=8,"М.П. Николашин",0))))))))</f>
        <v>0</v>
      </c>
      <c r="I1693" s="55"/>
      <c r="J1693" s="333"/>
      <c r="K1693" s="30">
        <f>IFERROR(VLOOKUP($G1693,[1]нормы!$A$21:$BC$151,15,0),"")</f>
        <v>0</v>
      </c>
      <c r="L1693" s="31">
        <f>IFERROR(VLOOKUP($G1693,[1]нормы!$A$21:$BC$151,17,0),"")</f>
        <v>0</v>
      </c>
      <c r="M1693" s="306">
        <f>IFERROR(VLOOKUP($G1693,[1]нормы!$A$21:$BC$151,27,0),"")</f>
        <v>0</v>
      </c>
      <c r="N1693" s="307" t="str">
        <f>IFERROR(Y1693/Y1698*(1.1*J1692*I1697),"")</f>
        <v/>
      </c>
      <c r="O1693" s="300">
        <f>IFERROR(VLOOKUP($G1693,[1]нормы!$A$21:$BC$151,21,0),"")</f>
        <v>0</v>
      </c>
      <c r="P1693" s="35">
        <f>IFERROR(VLOOKUP($G1693,[1]нормы!$A$21:$BC$151,19,0),"")</f>
        <v>0</v>
      </c>
      <c r="Q1693" s="35">
        <f>IFERROR(VLOOKUP($G1693,[1]нормы!$A$21:$BC$151,23,0),"")</f>
        <v>0</v>
      </c>
      <c r="R1693" s="231">
        <f>IFERROR(VLOOKUP($G1693,[1]нормы!$A$21:$BC$151,29,0),"")</f>
        <v>0</v>
      </c>
      <c r="S1693" s="35">
        <f>IFERROR(VLOOKUP($G1693,[1]нормы!$A$21:$BC$151,31,0),"")</f>
        <v>0</v>
      </c>
      <c r="T1693" s="32">
        <f>IFERROR(VLOOKUP($G1693,[1]нормы!$A$21:$BC$151,25,0),"")</f>
        <v>0</v>
      </c>
      <c r="U1693" s="233" t="str">
        <f>IFERROR(W1693/(((100*Y1693/Y1698)*I1697)/100),"")</f>
        <v/>
      </c>
      <c r="V1693" s="234" t="str">
        <f>IFERROR(VLOOKUP($G1693,нормы!$A$14:$BC$57,38,0),"")</f>
        <v/>
      </c>
      <c r="W1693" s="136"/>
      <c r="X1693" s="237"/>
      <c r="Y1693" s="152" t="str">
        <f>IFERROR(VLOOKUP($G1693,нормы!$A$14:$BC$57,42,0)*W1693,"")</f>
        <v/>
      </c>
      <c r="Z1693" s="163">
        <f>IFERROR(VLOOKUP($G1693,нормы!$A$14:$BC$57,14,0)*W1693/1000,0)</f>
        <v>0</v>
      </c>
      <c r="AA1693" s="142"/>
      <c r="AB1693" s="35"/>
      <c r="AC1693" s="35"/>
      <c r="AD1693" s="35"/>
      <c r="AE1693" s="31"/>
      <c r="AF1693" s="160"/>
      <c r="AG1693" s="391"/>
      <c r="AH1693" s="394"/>
      <c r="AI1693" s="397"/>
      <c r="AJ1693" s="408"/>
      <c r="AK1693" s="360"/>
      <c r="AL1693" s="360"/>
      <c r="AM1693" s="360"/>
      <c r="AN1693" s="289">
        <f>IFERROR(Y1693*AJ1692/Y1698,)</f>
        <v>0</v>
      </c>
      <c r="AO1693" s="197" t="str">
        <f>IFERROR(VLOOKUP($G1693,нормы!$A$14:$BC$57,53,0)*$W1693,"")</f>
        <v/>
      </c>
      <c r="AP1693" s="290">
        <f>IFERROR(Y1693*AI1692/Y1698,)</f>
        <v>0</v>
      </c>
      <c r="AQ1693" s="197" t="str">
        <f>IFERROR(VLOOKUP($G1693,нормы!$A$14:$BC$57,54,0)*$W1693,"")</f>
        <v/>
      </c>
      <c r="AR1693" s="290">
        <f>IFERROR(AS1693/SUM(AS1692:AS1697)*AL1692,0)</f>
        <v>0</v>
      </c>
      <c r="AS1693" s="197" t="str">
        <f>IFERROR(VLOOKUP($G1693,нормы!$A$14:$BC$57,55,0)*W1693,"")</f>
        <v/>
      </c>
      <c r="AT1693" s="290">
        <f>IFERROR(AU1693/SUM(AU1692:AU1697)*AM1692,0)</f>
        <v>0</v>
      </c>
      <c r="AU1693" s="197" t="str">
        <f>IFERROR(VLOOKUP($G1693,нормы!$A$14:$BI$57,56,0)*W1693,"")</f>
        <v/>
      </c>
      <c r="AV1693" s="290">
        <f>IFERROR(AW1693/SUM(AW1692:AW1697)*AK1692,0)</f>
        <v>0</v>
      </c>
      <c r="AW1693" s="202" t="str">
        <f>IFERROR(VLOOKUP($G1693,нормы!$A$14:$BI$57,57,0)*W1693,"")</f>
        <v/>
      </c>
      <c r="AX1693" s="30"/>
      <c r="AY1693" s="203" t="str">
        <f>IFERROR(VLOOKUP($G1693,нормы!$A$14:$BI$57,58,0)*W1693,"")</f>
        <v/>
      </c>
      <c r="AZ1693" s="205"/>
      <c r="BA1693" s="200" t="str">
        <f>IFERROR(VLOOKUP($G1693,нормы!$A$14:$BI$57,61,0)*$W1693,"")</f>
        <v/>
      </c>
      <c r="BB1693" s="30"/>
      <c r="BC1693" s="203" t="str">
        <f>IFERROR(VLOOKUP($G1693,нормы!$A$14:$BI$57,60,0)*W1693,"")</f>
        <v/>
      </c>
      <c r="BD1693" s="200" t="str">
        <f>IFERROR(VLOOKUP($G1693,нормы!$A$14:$BG$57,44,0),"")</f>
        <v/>
      </c>
      <c r="BE1693" s="199" t="str">
        <f>IFERROR(W1693/VLOOKUP($G1693,нормы!$A$14:$BI$57,45,0),"")</f>
        <v/>
      </c>
    </row>
    <row r="1694" spans="1:57" s="1" customFormat="1" ht="20.25" customHeight="1" x14ac:dyDescent="0.4">
      <c r="A1694" s="37" t="str">
        <f t="shared" si="662"/>
        <v>28Д</v>
      </c>
      <c r="B1694" s="12">
        <f t="shared" si="665"/>
        <v>28</v>
      </c>
      <c r="C1694" s="97">
        <f t="shared" si="665"/>
        <v>0</v>
      </c>
      <c r="D1694" s="97">
        <f t="shared" si="665"/>
        <v>2</v>
      </c>
      <c r="E1694" s="54"/>
      <c r="F1694" s="151" t="str">
        <f>IFERROR(VLOOKUP($G1694,нормы!$A$14:$BC$57,2,0),"")</f>
        <v/>
      </c>
      <c r="G1694" s="38"/>
      <c r="H1694" s="54">
        <f t="shared" si="666"/>
        <v>0</v>
      </c>
      <c r="I1694" s="89" t="s">
        <v>212</v>
      </c>
      <c r="J1694" s="333"/>
      <c r="K1694" s="30">
        <f>IFERROR(VLOOKUP($G1694,[1]нормы!$A$21:$BC$151,15,0),"")</f>
        <v>0</v>
      </c>
      <c r="L1694" s="31">
        <f>IFERROR(VLOOKUP($G1694,[1]нормы!$A$21:$BC$151,17,0),"")</f>
        <v>0</v>
      </c>
      <c r="M1694" s="306">
        <f>IFERROR(VLOOKUP($G1694,[1]нормы!$A$21:$BC$151,27,0),"")</f>
        <v>0</v>
      </c>
      <c r="N1694" s="307" t="str">
        <f>IFERROR(Y1694/Y1698*(1.1*J1692*I1697),"")</f>
        <v/>
      </c>
      <c r="O1694" s="300">
        <f>IFERROR(VLOOKUP($G1694,[1]нормы!$A$21:$BC$151,21,0),"")</f>
        <v>0</v>
      </c>
      <c r="P1694" s="35">
        <f>IFERROR(VLOOKUP($G1694,[1]нормы!$A$21:$BC$151,19,0),"")</f>
        <v>0</v>
      </c>
      <c r="Q1694" s="35">
        <f>IFERROR(VLOOKUP($G1694,[1]нормы!$A$21:$BC$151,23,0),"")</f>
        <v>0</v>
      </c>
      <c r="R1694" s="231">
        <f>IFERROR(VLOOKUP($G1694,[1]нормы!$A$21:$BC$151,29,0),"")</f>
        <v>0</v>
      </c>
      <c r="S1694" s="35">
        <f>IFERROR(VLOOKUP($G1694,[1]нормы!$A$21:$BC$151,31,0),"")</f>
        <v>0</v>
      </c>
      <c r="T1694" s="32">
        <f>IFERROR(VLOOKUP($G1694,[1]нормы!$A$21:$BC$151,25,0),"")</f>
        <v>0</v>
      </c>
      <c r="U1694" s="233" t="str">
        <f>IFERROR(W1694/(((100*Y1694/Y1698)*I1697)/100),"")</f>
        <v/>
      </c>
      <c r="V1694" s="234" t="str">
        <f>IFERROR(VLOOKUP($G1694,нормы!$A$14:$BC$57,38,0),"")</f>
        <v/>
      </c>
      <c r="W1694" s="136"/>
      <c r="X1694" s="237"/>
      <c r="Y1694" s="152" t="str">
        <f>IFERROR(VLOOKUP($G1694,нормы!$A$14:$BC$57,42,0)*W1694,"")</f>
        <v/>
      </c>
      <c r="Z1694" s="163">
        <f>IFERROR(VLOOKUP($G1694,нормы!$A$14:$BC$57,14,0)*W1694/1000,0)</f>
        <v>0</v>
      </c>
      <c r="AA1694" s="30"/>
      <c r="AB1694" s="35"/>
      <c r="AC1694" s="35"/>
      <c r="AD1694" s="35"/>
      <c r="AE1694" s="31"/>
      <c r="AF1694" s="160"/>
      <c r="AG1694" s="391"/>
      <c r="AH1694" s="394"/>
      <c r="AI1694" s="397"/>
      <c r="AJ1694" s="408"/>
      <c r="AK1694" s="360"/>
      <c r="AL1694" s="360"/>
      <c r="AM1694" s="360"/>
      <c r="AN1694" s="289">
        <f>IFERROR(Y1694*AJ1692/Y1698,)</f>
        <v>0</v>
      </c>
      <c r="AO1694" s="197" t="str">
        <f>IFERROR(VLOOKUP($G1694,нормы!$A$14:$BC$57,53,0)*$W1694,"")</f>
        <v/>
      </c>
      <c r="AP1694" s="290">
        <f>IFERROR(Y1694*AI1692/Y1698,)</f>
        <v>0</v>
      </c>
      <c r="AQ1694" s="197" t="str">
        <f>IFERROR(VLOOKUP($G1694,нормы!$A$14:$BC$57,54,0)*$W1694,"")</f>
        <v/>
      </c>
      <c r="AR1694" s="290">
        <f>IFERROR(AS1694/SUM(AS1692:AS1697)*AL1692,0)</f>
        <v>0</v>
      </c>
      <c r="AS1694" s="197" t="str">
        <f>IFERROR(VLOOKUP($G1694,нормы!$A$14:$BC$57,55,0)*W1694,"")</f>
        <v/>
      </c>
      <c r="AT1694" s="290">
        <f>IFERROR(AU1694/SUM(AU1692:AU1697)*AM1692,0)</f>
        <v>0</v>
      </c>
      <c r="AU1694" s="197" t="str">
        <f>IFERROR(VLOOKUP($G1694,нормы!$A$14:$BI$57,56,0)*W1694,"")</f>
        <v/>
      </c>
      <c r="AV1694" s="290">
        <f>IFERROR(AW1694/SUM(AW1692:AW1697)*AK1692,0)</f>
        <v>0</v>
      </c>
      <c r="AW1694" s="202" t="str">
        <f>IFERROR(VLOOKUP($G1694,нормы!$A$14:$BI$57,57,0)*W1694,"")</f>
        <v/>
      </c>
      <c r="AX1694" s="30"/>
      <c r="AY1694" s="203" t="str">
        <f>IFERROR(VLOOKUP($G1694,нормы!$A$14:$BI$57,58,0)*W1694,"")</f>
        <v/>
      </c>
      <c r="AZ1694" s="205"/>
      <c r="BA1694" s="200" t="str">
        <f>IFERROR(VLOOKUP($G1694,нормы!$A$14:$BI$57,61,0)*$W1694,"")</f>
        <v/>
      </c>
      <c r="BB1694" s="30"/>
      <c r="BC1694" s="203" t="str">
        <f>IFERROR(VLOOKUP($G1694,нормы!$A$14:$BI$57,60,0)*W1694,"")</f>
        <v/>
      </c>
      <c r="BD1694" s="200" t="str">
        <f>IFERROR(VLOOKUP($G1694,нормы!$A$14:$BG$57,44,0),"")</f>
        <v/>
      </c>
      <c r="BE1694" s="199" t="str">
        <f>IFERROR(W1694/VLOOKUP($G1694,нормы!$A$14:$BI$57,45,0),"")</f>
        <v/>
      </c>
    </row>
    <row r="1695" spans="1:57" s="1" customFormat="1" ht="20.25" customHeight="1" x14ac:dyDescent="0.4">
      <c r="A1695" s="37" t="str">
        <f t="shared" si="662"/>
        <v>28Д</v>
      </c>
      <c r="B1695" s="12">
        <f t="shared" si="665"/>
        <v>28</v>
      </c>
      <c r="C1695" s="97">
        <f t="shared" si="665"/>
        <v>0</v>
      </c>
      <c r="D1695" s="97">
        <f t="shared" si="665"/>
        <v>2</v>
      </c>
      <c r="E1695" s="54"/>
      <c r="F1695" s="151" t="str">
        <f>IFERROR(VLOOKUP($G1695,нормы!$A$14:$BC$57,2,0),"")</f>
        <v/>
      </c>
      <c r="G1695" s="93"/>
      <c r="H1695" s="54">
        <f t="shared" si="666"/>
        <v>0</v>
      </c>
      <c r="I1695" s="55"/>
      <c r="J1695" s="333"/>
      <c r="K1695" s="30">
        <f>IFERROR(VLOOKUP($G1695,[1]нормы!$A$21:$BC$151,15,0),"")</f>
        <v>0</v>
      </c>
      <c r="L1695" s="31">
        <f>IFERROR(VLOOKUP($G1695,[1]нормы!$A$21:$BC$151,17,0),"")</f>
        <v>0</v>
      </c>
      <c r="M1695" s="306">
        <f>IFERROR(VLOOKUP($G1695,[1]нормы!$A$21:$BC$151,27,0),"")</f>
        <v>0</v>
      </c>
      <c r="N1695" s="307" t="str">
        <f>IFERROR(Y1695/Y1698*(1.1*J1692*I1700),"")</f>
        <v/>
      </c>
      <c r="O1695" s="300">
        <f>IFERROR(VLOOKUP($G1695,[1]нормы!$A$21:$BC$151,21,0),"")</f>
        <v>0</v>
      </c>
      <c r="P1695" s="35">
        <f>IFERROR(VLOOKUP($G1695,[1]нормы!$A$21:$BC$151,19,0),"")</f>
        <v>0</v>
      </c>
      <c r="Q1695" s="35">
        <f>IFERROR(VLOOKUP($G1695,[1]нормы!$A$21:$BC$151,23,0),"")</f>
        <v>0</v>
      </c>
      <c r="R1695" s="231">
        <f>IFERROR(VLOOKUP($G1695,[1]нормы!$A$21:$BC$151,29,0),"")</f>
        <v>0</v>
      </c>
      <c r="S1695" s="35">
        <f>IFERROR(VLOOKUP($G1695,[1]нормы!$A$21:$BC$151,31,0),"")</f>
        <v>0</v>
      </c>
      <c r="T1695" s="32">
        <f>IFERROR(VLOOKUP($G1695,[1]нормы!$A$21:$BC$151,25,0),"")</f>
        <v>0</v>
      </c>
      <c r="U1695" s="233" t="str">
        <f>IFERROR(W1695/(((100*Y1695/Y1698)*I1697)/100),"")</f>
        <v/>
      </c>
      <c r="V1695" s="234" t="str">
        <f>IFERROR(VLOOKUP($G1695,нормы!$A$14:$BC$57,38,0),"")</f>
        <v/>
      </c>
      <c r="W1695" s="136"/>
      <c r="X1695" s="237"/>
      <c r="Y1695" s="152" t="str">
        <f>IFERROR(VLOOKUP($G1695,нормы!$A$14:$BC$57,42,0)*W1695,"")</f>
        <v/>
      </c>
      <c r="Z1695" s="163">
        <f>IFERROR(VLOOKUP($G1695,нормы!$A$14:$BC$57,14,0)*W1695/1000,0)</f>
        <v>0</v>
      </c>
      <c r="AA1695" s="30"/>
      <c r="AB1695" s="35"/>
      <c r="AC1695" s="35"/>
      <c r="AD1695" s="35"/>
      <c r="AE1695" s="31"/>
      <c r="AF1695" s="160"/>
      <c r="AG1695" s="391"/>
      <c r="AH1695" s="394"/>
      <c r="AI1695" s="397"/>
      <c r="AJ1695" s="408"/>
      <c r="AK1695" s="360"/>
      <c r="AL1695" s="360"/>
      <c r="AM1695" s="360"/>
      <c r="AN1695" s="289">
        <f>IFERROR(Y1695*AJ1692/Y1698,)</f>
        <v>0</v>
      </c>
      <c r="AO1695" s="197" t="str">
        <f>IFERROR(VLOOKUP($G1695,нормы!$A$14:$BC$57,53,0)*$W1695,"")</f>
        <v/>
      </c>
      <c r="AP1695" s="290">
        <f>IFERROR(Y1695*AI1692/Y1698,)</f>
        <v>0</v>
      </c>
      <c r="AQ1695" s="197" t="str">
        <f>IFERROR(VLOOKUP($G1695,нормы!$A$14:$BC$57,54,0)*$W1695,"")</f>
        <v/>
      </c>
      <c r="AR1695" s="290">
        <f>IFERROR(AS1695/SUM(AS1692:AS1697)*AL1692,0)</f>
        <v>0</v>
      </c>
      <c r="AS1695" s="197" t="str">
        <f>IFERROR(VLOOKUP($G1695,нормы!$A$14:$BC$57,55,0)*W1695,"")</f>
        <v/>
      </c>
      <c r="AT1695" s="290">
        <f>IFERROR(AU1695/SUM(AU1692:AU1697)*AM1692,0)</f>
        <v>0</v>
      </c>
      <c r="AU1695" s="197" t="str">
        <f>IFERROR(VLOOKUP($G1695,нормы!$A$14:$BI$57,56,0)*W1695,"")</f>
        <v/>
      </c>
      <c r="AV1695" s="290">
        <f>IFERROR(AW1695/SUM(AW1692:AW1697)*AK1692,0)</f>
        <v>0</v>
      </c>
      <c r="AW1695" s="202" t="str">
        <f>IFERROR(VLOOKUP($G1695,нормы!$A$14:$BI$57,57,0)*W1695,"")</f>
        <v/>
      </c>
      <c r="AX1695" s="30"/>
      <c r="AY1695" s="203" t="str">
        <f>IFERROR(VLOOKUP($G1695,нормы!$A$14:$BI$57,58,0)*W1695,"")</f>
        <v/>
      </c>
      <c r="AZ1695" s="205"/>
      <c r="BA1695" s="200" t="str">
        <f>IFERROR(VLOOKUP($G1695,нормы!$A$14:$BI$57,61,0)*$W1695,"")</f>
        <v/>
      </c>
      <c r="BB1695" s="30"/>
      <c r="BC1695" s="203" t="str">
        <f>IFERROR(VLOOKUP($G1695,нормы!$A$14:$BI$57,60,0)*W1695,"")</f>
        <v/>
      </c>
      <c r="BD1695" s="200" t="str">
        <f>IFERROR(VLOOKUP($G1695,нормы!$A$14:$BG$57,44,0),"")</f>
        <v/>
      </c>
      <c r="BE1695" s="199" t="str">
        <f>IFERROR(W1695/VLOOKUP($G1695,нормы!$A$14:$BI$57,45,0),"")</f>
        <v/>
      </c>
    </row>
    <row r="1696" spans="1:57" s="1" customFormat="1" ht="20.25" customHeight="1" x14ac:dyDescent="0.4">
      <c r="A1696" s="37" t="str">
        <f t="shared" si="662"/>
        <v>28Д</v>
      </c>
      <c r="B1696" s="12">
        <f t="shared" si="665"/>
        <v>28</v>
      </c>
      <c r="C1696" s="97">
        <f t="shared" si="665"/>
        <v>0</v>
      </c>
      <c r="D1696" s="97">
        <f t="shared" si="665"/>
        <v>2</v>
      </c>
      <c r="E1696" s="54"/>
      <c r="F1696" s="151" t="str">
        <f>IFERROR(VLOOKUP($G1696,нормы!$A$14:$BC$57,2,0),"")</f>
        <v/>
      </c>
      <c r="G1696" s="38"/>
      <c r="H1696" s="54">
        <f t="shared" si="666"/>
        <v>0</v>
      </c>
      <c r="I1696" s="89" t="s">
        <v>73</v>
      </c>
      <c r="J1696" s="333"/>
      <c r="K1696" s="30">
        <f>IFERROR(VLOOKUP($G1696,[1]нормы!$A$21:$BC$151,15,0),"")</f>
        <v>0</v>
      </c>
      <c r="L1696" s="31">
        <f>IFERROR(VLOOKUP($G1696,[1]нормы!$A$21:$BC$151,17,0),"")</f>
        <v>0</v>
      </c>
      <c r="M1696" s="306">
        <f>IFERROR(VLOOKUP($G1696,[1]нормы!$A$21:$BC$151,27,0),"")</f>
        <v>0</v>
      </c>
      <c r="N1696" s="307" t="str">
        <f>IFERROR(Y1696/Y1698*(1.1*J1692*I1701),"")</f>
        <v/>
      </c>
      <c r="O1696" s="300">
        <f>IFERROR(VLOOKUP($G1696,[1]нормы!$A$21:$BC$151,21,0),"")</f>
        <v>0</v>
      </c>
      <c r="P1696" s="35">
        <f>IFERROR(VLOOKUP($G1696,[1]нормы!$A$21:$BC$151,19,0),"")</f>
        <v>0</v>
      </c>
      <c r="Q1696" s="35">
        <f>IFERROR(VLOOKUP($G1696,[1]нормы!$A$21:$BC$151,23,0),"")</f>
        <v>0</v>
      </c>
      <c r="R1696" s="231">
        <f>IFERROR(VLOOKUP($G1696,[1]нормы!$A$21:$BC$151,29,0),"")</f>
        <v>0</v>
      </c>
      <c r="S1696" s="35">
        <f>IFERROR(VLOOKUP($G1696,[1]нормы!$A$21:$BC$151,31,0),"")</f>
        <v>0</v>
      </c>
      <c r="T1696" s="32">
        <f>IFERROR(VLOOKUP($G1696,[1]нормы!$A$21:$BC$151,25,0),"")</f>
        <v>0</v>
      </c>
      <c r="U1696" s="233" t="str">
        <f>IFERROR(W1696/(((100*Y1696/Y1698)*I1697)/100),"")</f>
        <v/>
      </c>
      <c r="V1696" s="234" t="str">
        <f>IFERROR(VLOOKUP($G1696,нормы!$A$14:$BC$57,38,0),"")</f>
        <v/>
      </c>
      <c r="W1696" s="136"/>
      <c r="X1696" s="237"/>
      <c r="Y1696" s="152" t="str">
        <f>IFERROR(VLOOKUP($G1696,нормы!$A$14:$BC$57,42,0)*W1696,"")</f>
        <v/>
      </c>
      <c r="Z1696" s="163">
        <f>IFERROR(VLOOKUP($G1696,нормы!$A$14:$BC$57,14,0)*W1696/1000,0)</f>
        <v>0</v>
      </c>
      <c r="AA1696" s="30"/>
      <c r="AB1696" s="35"/>
      <c r="AC1696" s="35"/>
      <c r="AD1696" s="35"/>
      <c r="AE1696" s="31"/>
      <c r="AF1696" s="160"/>
      <c r="AG1696" s="391"/>
      <c r="AH1696" s="394"/>
      <c r="AI1696" s="397"/>
      <c r="AJ1696" s="408"/>
      <c r="AK1696" s="360"/>
      <c r="AL1696" s="360"/>
      <c r="AM1696" s="360"/>
      <c r="AN1696" s="289">
        <f>IFERROR(Y1696*AJ1692/Y1698,)</f>
        <v>0</v>
      </c>
      <c r="AO1696" s="197" t="str">
        <f>IFERROR(VLOOKUP($G1696,нормы!$A$14:$BC$57,53,0)*$W1696,"")</f>
        <v/>
      </c>
      <c r="AP1696" s="290">
        <f>IFERROR(Y1696*AI1692/Y1698,)</f>
        <v>0</v>
      </c>
      <c r="AQ1696" s="197" t="str">
        <f>IFERROR(VLOOKUP($G1696,нормы!$A$14:$BC$57,54,0)*$W1696,"")</f>
        <v/>
      </c>
      <c r="AR1696" s="290">
        <f>IFERROR(AS1696/SUM(AS1692:AS1697)*AL1692,0)</f>
        <v>0</v>
      </c>
      <c r="AS1696" s="197" t="str">
        <f>IFERROR(VLOOKUP($G1696,нормы!$A$14:$BC$57,55,0)*W1696,"")</f>
        <v/>
      </c>
      <c r="AT1696" s="290">
        <f>IFERROR(AU1696/SUM(AU1692:AU1697)*AM1692,0)</f>
        <v>0</v>
      </c>
      <c r="AU1696" s="197" t="str">
        <f>IFERROR(VLOOKUP($G1696,нормы!$A$14:$BI$57,56,0)*W1696,"")</f>
        <v/>
      </c>
      <c r="AV1696" s="290">
        <f>IFERROR(AW1696/SUM(AW1692:AW1697)*AK1692,0)</f>
        <v>0</v>
      </c>
      <c r="AW1696" s="202" t="str">
        <f>IFERROR(VLOOKUP($G1696,нормы!$A$14:$BI$57,57,0)*W1696,"")</f>
        <v/>
      </c>
      <c r="AX1696" s="30"/>
      <c r="AY1696" s="203" t="str">
        <f>IFERROR(VLOOKUP($G1696,нормы!$A$14:$BI$57,58,0)*W1696,"")</f>
        <v/>
      </c>
      <c r="AZ1696" s="205"/>
      <c r="BA1696" s="200" t="str">
        <f>IFERROR(VLOOKUP($G1696,нормы!$A$14:$BI$57,61,0)*$W1696,"")</f>
        <v/>
      </c>
      <c r="BB1696" s="30"/>
      <c r="BC1696" s="203" t="str">
        <f>IFERROR(VLOOKUP($G1696,нормы!$A$14:$BI$57,60,0)*W1696,"")</f>
        <v/>
      </c>
      <c r="BD1696" s="200" t="str">
        <f>IFERROR(VLOOKUP($G1696,нормы!$A$14:$BG$57,44,0),"")</f>
        <v/>
      </c>
      <c r="BE1696" s="199" t="str">
        <f>IFERROR(W1696/VLOOKUP($G1696,нормы!$A$14:$BI$57,45,0),"")</f>
        <v/>
      </c>
    </row>
    <row r="1697" spans="1:57" s="1" customFormat="1" ht="21" customHeight="1" thickBot="1" x14ac:dyDescent="0.45">
      <c r="A1697" s="37" t="str">
        <f t="shared" si="662"/>
        <v>28Д</v>
      </c>
      <c r="B1697" s="12">
        <f t="shared" si="665"/>
        <v>28</v>
      </c>
      <c r="C1697" s="97">
        <f t="shared" si="665"/>
        <v>0</v>
      </c>
      <c r="D1697" s="97">
        <f t="shared" si="665"/>
        <v>2</v>
      </c>
      <c r="E1697" s="54"/>
      <c r="F1697" s="151" t="str">
        <f>IFERROR(VLOOKUP($G1697,нормы!$A$14:$BC$57,2,0),"")</f>
        <v/>
      </c>
      <c r="G1697" s="93"/>
      <c r="H1697" s="63">
        <f t="shared" si="666"/>
        <v>0</v>
      </c>
      <c r="I1697" s="153">
        <f>I1693+I1695</f>
        <v>0</v>
      </c>
      <c r="J1697" s="334"/>
      <c r="K1697" s="30">
        <f>IFERROR(VLOOKUP($G1697,[1]нормы!$A$21:$BC$151,15,0),"")</f>
        <v>0</v>
      </c>
      <c r="L1697" s="31">
        <f>IFERROR(VLOOKUP($G1697,[1]нормы!$A$21:$BC$151,17,0),"")</f>
        <v>0</v>
      </c>
      <c r="M1697" s="308">
        <f>IFERROR(VLOOKUP($G1697,[1]нормы!$A$21:$BC$151,27,0),"")</f>
        <v>0</v>
      </c>
      <c r="N1697" s="309" t="str">
        <f>IFERROR(Y1697/Y1698*(1.1*J1692*I1702),"")</f>
        <v/>
      </c>
      <c r="O1697" s="300">
        <f>IFERROR(VLOOKUP($G1697,[1]нормы!$A$21:$BC$151,21,0),"")</f>
        <v>0</v>
      </c>
      <c r="P1697" s="35">
        <f>IFERROR(VLOOKUP($G1697,[1]нормы!$A$21:$BC$151,19,0),"")</f>
        <v>0</v>
      </c>
      <c r="Q1697" s="35">
        <f>IFERROR(VLOOKUP($G1697,[1]нормы!$A$21:$BC$151,23,0),"")</f>
        <v>0</v>
      </c>
      <c r="R1697" s="231">
        <f>IFERROR(VLOOKUP($G1697,[1]нормы!$A$21:$BC$151,29,0),"")</f>
        <v>0</v>
      </c>
      <c r="S1697" s="35">
        <f>IFERROR(VLOOKUP($G1697,[1]нормы!$A$21:$BC$151,31,0),"")</f>
        <v>0</v>
      </c>
      <c r="T1697" s="32">
        <f>IFERROR(VLOOKUP($G1697,[1]нормы!$A$21:$BC$151,25,0),"")</f>
        <v>0</v>
      </c>
      <c r="U1697" s="235" t="str">
        <f>IFERROR(W1697/(((100*Y1697/Y1698)*I1697)/100),"")</f>
        <v/>
      </c>
      <c r="V1697" s="234" t="str">
        <f>IFERROR(VLOOKUP($G1697,нормы!$A$14:$BC$57,38,0),"")</f>
        <v/>
      </c>
      <c r="W1697" s="154"/>
      <c r="X1697" s="238"/>
      <c r="Y1697" s="152" t="str">
        <f>IFERROR(VLOOKUP($G1697,нормы!$A$14:$BC$57,42,0)*W1697,"")</f>
        <v/>
      </c>
      <c r="Z1697" s="163">
        <f>IFERROR(VLOOKUP($G1697,нормы!$A$14:$BC$57,14,0)*W1697/1000,0)</f>
        <v>0</v>
      </c>
      <c r="AA1697" s="56"/>
      <c r="AB1697" s="58"/>
      <c r="AC1697" s="58"/>
      <c r="AD1697" s="58"/>
      <c r="AE1697" s="57"/>
      <c r="AF1697" s="161"/>
      <c r="AG1697" s="392"/>
      <c r="AH1697" s="395"/>
      <c r="AI1697" s="398"/>
      <c r="AJ1697" s="409"/>
      <c r="AK1697" s="361"/>
      <c r="AL1697" s="361"/>
      <c r="AM1697" s="361"/>
      <c r="AN1697" s="291">
        <f>IFERROR(Y1697*AJ1692/Y1698,)</f>
        <v>0</v>
      </c>
      <c r="AO1697" s="197" t="str">
        <f>IFERROR(VLOOKUP($G1697,нормы!$A$14:$BC$57,53,0)*$W1697,"")</f>
        <v/>
      </c>
      <c r="AP1697" s="292">
        <f>IFERROR(Y1697*AI1692/Y1698,)</f>
        <v>0</v>
      </c>
      <c r="AQ1697" s="197" t="str">
        <f>IFERROR(VLOOKUP($G1697,нормы!$A$14:$BC$57,54,0)*$W1697,"")</f>
        <v/>
      </c>
      <c r="AR1697" s="290">
        <f>IFERROR(AS1697/SUM(AS1692:AS1697)*AL1692,0)</f>
        <v>0</v>
      </c>
      <c r="AS1697" s="197" t="str">
        <f>IFERROR(VLOOKUP($G1697,нормы!$A$14:$BC$57,55,0)*W1697,"")</f>
        <v/>
      </c>
      <c r="AT1697" s="292">
        <f>IFERROR(AU1697/SUM(AU1692:AU1697)*AM1692,0)</f>
        <v>0</v>
      </c>
      <c r="AU1697" s="197" t="str">
        <f>IFERROR(VLOOKUP($G1697,нормы!$A$14:$BI$57,56,0)*W1697,"")</f>
        <v/>
      </c>
      <c r="AV1697" s="292">
        <f>IFERROR(AW1697/SUM(AW1692:AW1697)*AK1692,0)</f>
        <v>0</v>
      </c>
      <c r="AW1697" s="202" t="str">
        <f>IFERROR(VLOOKUP($G1697,нормы!$A$14:$BI$57,57,0)*W1697,"")</f>
        <v/>
      </c>
      <c r="AX1697" s="56"/>
      <c r="AY1697" s="203" t="str">
        <f>IFERROR(VLOOKUP($G1697,нормы!$A$14:$BI$57,58,0)*W1697,"")</f>
        <v/>
      </c>
      <c r="AZ1697" s="206"/>
      <c r="BA1697" s="200" t="str">
        <f>IFERROR(VLOOKUP($G1697,нормы!$A$14:$BI$57,61,0)*$W1697,"")</f>
        <v/>
      </c>
      <c r="BB1697" s="56"/>
      <c r="BC1697" s="203" t="str">
        <f>IFERROR(VLOOKUP($G1697,нормы!$A$14:$BI$57,60,0)*W1697,"")</f>
        <v/>
      </c>
      <c r="BD1697" s="200" t="str">
        <f>IFERROR(VLOOKUP($G1697,нормы!$A$14:$BG$57,44,0),"")</f>
        <v/>
      </c>
      <c r="BE1697" s="199" t="str">
        <f>IFERROR(W1697/VLOOKUP($G1697,нормы!$A$14:$BI$57,45,0),"")</f>
        <v/>
      </c>
    </row>
    <row r="1698" spans="1:57" s="1" customFormat="1" ht="29.4" customHeight="1" thickBot="1" x14ac:dyDescent="0.45">
      <c r="A1698" s="37" t="str">
        <f t="shared" si="662"/>
        <v>28Д</v>
      </c>
      <c r="B1698" s="59"/>
      <c r="C1698" s="51"/>
      <c r="D1698" s="51"/>
      <c r="E1698" s="51"/>
      <c r="F1698" s="51"/>
      <c r="G1698" s="51"/>
      <c r="H1698" s="51"/>
      <c r="I1698" s="60"/>
      <c r="J1698" s="60"/>
      <c r="K1698" s="319" t="s">
        <v>213</v>
      </c>
      <c r="L1698" s="316"/>
      <c r="M1698" s="303" t="s">
        <v>213</v>
      </c>
      <c r="N1698" s="317">
        <f>SUM(N1692:N1697)</f>
        <v>0</v>
      </c>
      <c r="O1698" s="304" t="s">
        <v>217</v>
      </c>
      <c r="P1698" s="318">
        <f>N1698*8.937/1000</f>
        <v>0</v>
      </c>
      <c r="Q1698" s="305" t="s">
        <v>215</v>
      </c>
      <c r="R1698" s="61"/>
      <c r="S1698" s="61"/>
      <c r="T1698" s="61"/>
      <c r="U1698" s="109"/>
      <c r="V1698" s="109"/>
      <c r="W1698" s="94"/>
      <c r="X1698" s="155"/>
      <c r="Y1698" s="96">
        <f>SUM(Y1692:Y1697)</f>
        <v>0</v>
      </c>
      <c r="Z1698" s="164">
        <f>SUM(Z1692:Z1697)</f>
        <v>0</v>
      </c>
      <c r="AA1698" s="207">
        <f>(AA1684+AA1685+AA1686+AA1687+AA1688+AA1689+AA1690+AA1692+AA1693+AA1694+AA1695+AA1696+AA1697)-AG1685</f>
        <v>1</v>
      </c>
      <c r="AB1698" s="208">
        <f>(AB1684+AB1685+AB1686+AB1687+AB1688+AB1689+AB1690+AB1692+AB1693+AB1694+AB1695+AB1696+AB1697)-AH1685</f>
        <v>2</v>
      </c>
      <c r="AC1698" s="208">
        <f>(AC1684+AC1685+AC1686+AC1687+AC1688+AC1689+AC1690+AC1692+AC1693+AC1694+AC1695+AC1696+AC1697)-AG1692</f>
        <v>3</v>
      </c>
      <c r="AD1698" s="208">
        <f>(AD1684+AD1685+AD1686+AD1687+AD1688+AD1689+AD1690+AD1692+AD1693+AD1694+AD1695+AD1696+AD1697)-AH1692</f>
        <v>4</v>
      </c>
      <c r="AE1698" s="208">
        <f>(AE1684+AE1685+AE1686+AE1687+AE1688+AE1689+AE1690+AE1692+AE1693+AE1694+AE1695+AE1696+AE1697)-AI1685</f>
        <v>5</v>
      </c>
      <c r="AF1698" s="209">
        <f>(AF1684+AF1685+AF1686+AF1687+AF1688+AF1689+AF1690+AF1692+AF1693+AF1694+AF1695+AF1696+AF1697)-AI1692</f>
        <v>6</v>
      </c>
      <c r="AG1698" s="62"/>
      <c r="AH1698" s="62"/>
      <c r="AI1698" s="62"/>
      <c r="AJ1698" s="62"/>
      <c r="AK1698" s="62"/>
      <c r="AL1698" s="62"/>
      <c r="AM1698" s="62"/>
      <c r="AN1698" s="91">
        <f>SUM(AN1692:AN1697)</f>
        <v>0</v>
      </c>
      <c r="AO1698" s="91">
        <f>SUM(AO1692:AO1697)</f>
        <v>0</v>
      </c>
      <c r="AP1698" s="91"/>
      <c r="AQ1698" s="91"/>
      <c r="AR1698" s="91">
        <f>SUM(AR1692:AR1697)</f>
        <v>0</v>
      </c>
      <c r="AS1698" s="91">
        <f t="shared" ref="AS1698:AW1698" si="667">SUM(AS1692:AS1697)</f>
        <v>0</v>
      </c>
      <c r="AT1698" s="91">
        <f t="shared" si="667"/>
        <v>0</v>
      </c>
      <c r="AU1698" s="91">
        <f t="shared" si="667"/>
        <v>0</v>
      </c>
      <c r="AV1698" s="91">
        <f t="shared" si="667"/>
        <v>0</v>
      </c>
      <c r="AW1698" s="91">
        <f t="shared" si="667"/>
        <v>0</v>
      </c>
      <c r="AX1698" s="91">
        <f>SUM(AX1692:AX1697)</f>
        <v>0</v>
      </c>
      <c r="AY1698" s="91">
        <f>SUM(AY1692:AY1697)</f>
        <v>0</v>
      </c>
      <c r="AZ1698" s="91">
        <f>SUM(AZ1692:AZ1697)</f>
        <v>0</v>
      </c>
      <c r="BA1698" s="91"/>
      <c r="BB1698" s="91"/>
      <c r="BC1698" s="91"/>
      <c r="BD1698" s="91" t="str">
        <f>IFERROR(VLOOKUP($G1698,нормы!$A$14:$BG$15,27,0),"")</f>
        <v/>
      </c>
      <c r="BE1698" s="53" t="str">
        <f>IFERROR(W1698/VLOOKUP($G1698,нормы!$A$14:$BI$15,28,0),"")</f>
        <v/>
      </c>
    </row>
    <row r="1699" spans="1:57" s="1" customFormat="1" ht="29.4" customHeight="1" thickBot="1" x14ac:dyDescent="0.5">
      <c r="A1699" s="37" t="str">
        <f t="shared" si="662"/>
        <v>28Д</v>
      </c>
      <c r="B1699" s="166" t="s">
        <v>130</v>
      </c>
      <c r="C1699" s="167"/>
      <c r="D1699" s="167"/>
      <c r="E1699" s="167"/>
      <c r="F1699" s="165"/>
      <c r="G1699" s="167"/>
      <c r="H1699" s="167"/>
      <c r="I1699" s="168"/>
      <c r="J1699" s="168"/>
      <c r="K1699" s="168"/>
      <c r="L1699" s="168"/>
      <c r="M1699" s="168"/>
      <c r="N1699" s="168"/>
      <c r="O1699" s="167"/>
      <c r="P1699" s="169"/>
      <c r="Q1699" s="169"/>
      <c r="R1699" s="169"/>
      <c r="S1699" s="169"/>
      <c r="T1699" s="169"/>
      <c r="U1699" s="170"/>
      <c r="V1699" s="170"/>
      <c r="W1699" s="171"/>
      <c r="X1699" s="171"/>
      <c r="Y1699" s="172"/>
      <c r="Z1699" s="172"/>
      <c r="AA1699" s="201" t="s">
        <v>144</v>
      </c>
      <c r="AB1699" s="167"/>
      <c r="AC1699" s="167"/>
      <c r="AD1699" s="167"/>
      <c r="AE1699" s="167"/>
      <c r="AF1699" s="167"/>
      <c r="AG1699" s="167"/>
      <c r="AH1699" s="167"/>
      <c r="AI1699" s="167"/>
      <c r="AJ1699" s="167"/>
      <c r="AK1699" s="167"/>
      <c r="AL1699" s="167"/>
      <c r="AM1699" s="64"/>
      <c r="AN1699" s="167"/>
      <c r="AO1699" s="167"/>
      <c r="AP1699" s="167"/>
      <c r="AQ1699" s="167"/>
      <c r="AR1699" s="64"/>
      <c r="AS1699" s="64"/>
      <c r="AT1699" s="65"/>
      <c r="AU1699" s="64"/>
      <c r="AV1699" s="49"/>
      <c r="AW1699" s="49"/>
      <c r="AX1699" s="167"/>
      <c r="AY1699" s="167"/>
      <c r="AZ1699" s="167"/>
      <c r="BA1699" s="167"/>
      <c r="BB1699" s="167"/>
      <c r="BC1699" s="167"/>
      <c r="BD1699" s="66"/>
      <c r="BE1699" s="66"/>
    </row>
    <row r="1700" spans="1:57" s="1" customFormat="1" ht="23.25" customHeight="1" x14ac:dyDescent="0.4">
      <c r="A1700" s="37" t="str">
        <f t="shared" si="662"/>
        <v>28Д</v>
      </c>
      <c r="B1700" s="183"/>
      <c r="C1700" s="100"/>
      <c r="D1700" s="185"/>
      <c r="E1700" s="186" t="s">
        <v>57</v>
      </c>
      <c r="F1700" s="66" t="s">
        <v>87</v>
      </c>
      <c r="G1700" s="66"/>
      <c r="H1700" s="108" t="s">
        <v>131</v>
      </c>
      <c r="I1700" s="101"/>
      <c r="J1700" s="101"/>
      <c r="K1700" s="101"/>
      <c r="L1700" s="101"/>
      <c r="M1700" s="101"/>
      <c r="N1700" s="101"/>
      <c r="O1700" s="67"/>
      <c r="P1700" s="102"/>
      <c r="Q1700" s="102"/>
      <c r="R1700" s="102"/>
      <c r="S1700" s="102"/>
      <c r="T1700" s="102"/>
      <c r="U1700" s="67"/>
      <c r="V1700" s="67"/>
      <c r="W1700" s="103"/>
      <c r="X1700" s="187"/>
      <c r="Y1700" s="68" t="s">
        <v>74</v>
      </c>
      <c r="Z1700" s="69"/>
      <c r="AA1700" s="90"/>
      <c r="AB1700" s="100"/>
      <c r="AC1700" s="100"/>
      <c r="AD1700" s="186" t="s">
        <v>57</v>
      </c>
      <c r="AE1700" s="66"/>
      <c r="AF1700" s="66"/>
      <c r="AG1700" s="66"/>
      <c r="AH1700" s="66"/>
      <c r="AI1700" s="66"/>
      <c r="AJ1700" s="66"/>
      <c r="AK1700" s="66"/>
      <c r="AL1700" s="66"/>
      <c r="AM1700" s="66"/>
      <c r="AN1700" s="66"/>
      <c r="AO1700" s="66"/>
      <c r="AP1700" s="66"/>
      <c r="AQ1700" s="66"/>
      <c r="AR1700" s="66"/>
      <c r="AS1700" s="66"/>
      <c r="AT1700" s="190"/>
      <c r="AU1700" s="66"/>
      <c r="AV1700" s="165"/>
      <c r="AW1700" s="293"/>
      <c r="AX1700" s="66"/>
      <c r="AY1700" s="66"/>
      <c r="AZ1700" s="66"/>
      <c r="BA1700" s="66"/>
      <c r="BB1700" s="66"/>
      <c r="BC1700" s="66"/>
      <c r="BD1700" s="68" t="s">
        <v>74</v>
      </c>
      <c r="BE1700" s="69"/>
    </row>
    <row r="1701" spans="1:57" s="1" customFormat="1" ht="23.25" customHeight="1" thickBot="1" x14ac:dyDescent="0.45">
      <c r="A1701" s="37" t="str">
        <f t="shared" si="662"/>
        <v>28Д</v>
      </c>
      <c r="B1701" s="183"/>
      <c r="C1701" s="41"/>
      <c r="D1701" s="184"/>
      <c r="E1701" s="50"/>
      <c r="F1701" s="70"/>
      <c r="G1701" s="70"/>
      <c r="H1701" s="70"/>
      <c r="I1701" s="104"/>
      <c r="J1701" s="104"/>
      <c r="K1701" s="104"/>
      <c r="L1701" s="104"/>
      <c r="M1701" s="104"/>
      <c r="N1701" s="104"/>
      <c r="O1701" s="71"/>
      <c r="P1701" s="105"/>
      <c r="Q1701" s="105"/>
      <c r="R1701" s="105"/>
      <c r="S1701" s="105"/>
      <c r="T1701" s="105"/>
      <c r="U1701" s="71"/>
      <c r="V1701" s="71"/>
      <c r="W1701" s="106"/>
      <c r="X1701" s="188"/>
      <c r="Y1701" s="72"/>
      <c r="Z1701" s="73"/>
      <c r="AA1701" s="90"/>
      <c r="AB1701" s="41"/>
      <c r="AC1701" s="41"/>
      <c r="AD1701" s="50"/>
      <c r="AE1701" s="47"/>
      <c r="AF1701" s="47"/>
      <c r="AG1701" s="47"/>
      <c r="AH1701" s="47"/>
      <c r="AI1701" s="47"/>
      <c r="AJ1701" s="47"/>
      <c r="AK1701" s="47"/>
      <c r="AL1701" s="47"/>
      <c r="AM1701" s="70"/>
      <c r="AN1701" s="47"/>
      <c r="AO1701" s="70"/>
      <c r="AP1701" s="70"/>
      <c r="AQ1701" s="70"/>
      <c r="AR1701" s="70"/>
      <c r="AS1701" s="70"/>
      <c r="AT1701" s="191"/>
      <c r="AU1701" s="70"/>
      <c r="AV1701" s="192"/>
      <c r="AW1701" s="294"/>
      <c r="AX1701" s="70"/>
      <c r="AY1701" s="70"/>
      <c r="AZ1701" s="70"/>
      <c r="BA1701" s="70"/>
      <c r="BB1701" s="70"/>
      <c r="BC1701" s="70"/>
      <c r="BD1701" s="72"/>
      <c r="BE1701" s="73"/>
    </row>
    <row r="1702" spans="1:57" s="1" customFormat="1" ht="72.75" customHeight="1" x14ac:dyDescent="0.4">
      <c r="A1702" s="37" t="str">
        <f t="shared" si="662"/>
        <v>28Д</v>
      </c>
      <c r="B1702" s="183"/>
      <c r="C1702" s="41"/>
      <c r="D1702" s="184"/>
      <c r="E1702" s="281">
        <f>B1697</f>
        <v>28</v>
      </c>
      <c r="F1702" s="337"/>
      <c r="G1702" s="338"/>
      <c r="H1702" s="338"/>
      <c r="I1702" s="338"/>
      <c r="J1702" s="338"/>
      <c r="K1702" s="338"/>
      <c r="L1702" s="338"/>
      <c r="M1702" s="338"/>
      <c r="N1702" s="338"/>
      <c r="O1702" s="338"/>
      <c r="P1702" s="338"/>
      <c r="Q1702" s="338"/>
      <c r="R1702" s="338"/>
      <c r="S1702" s="338"/>
      <c r="T1702" s="338"/>
      <c r="U1702" s="338"/>
      <c r="V1702" s="338"/>
      <c r="W1702" s="338"/>
      <c r="X1702" s="98">
        <v>1</v>
      </c>
      <c r="Y1702" s="74">
        <v>1</v>
      </c>
      <c r="Z1702" s="75">
        <f t="shared" ref="Z1702:Z1713" si="668">Y1702-X1702</f>
        <v>0</v>
      </c>
      <c r="AA1702" s="189"/>
      <c r="AB1702" s="41"/>
      <c r="AC1702" s="184"/>
      <c r="AD1702" s="210">
        <f>E1702</f>
        <v>28</v>
      </c>
      <c r="AE1702" s="387"/>
      <c r="AF1702" s="388"/>
      <c r="AG1702" s="388"/>
      <c r="AH1702" s="388"/>
      <c r="AI1702" s="388"/>
      <c r="AJ1702" s="388"/>
      <c r="AK1702" s="388"/>
      <c r="AL1702" s="388"/>
      <c r="AM1702" s="388"/>
      <c r="AN1702" s="388"/>
      <c r="AO1702" s="388"/>
      <c r="AP1702" s="388"/>
      <c r="AQ1702" s="388"/>
      <c r="AR1702" s="388"/>
      <c r="AS1702" s="388"/>
      <c r="AT1702" s="388"/>
      <c r="AU1702" s="388"/>
      <c r="AV1702" s="388"/>
      <c r="AW1702" s="388"/>
      <c r="AX1702" s="388"/>
      <c r="AY1702" s="388"/>
      <c r="AZ1702" s="388"/>
      <c r="BA1702" s="388"/>
      <c r="BB1702" s="389"/>
      <c r="BC1702" s="98">
        <v>1</v>
      </c>
      <c r="BD1702" s="74">
        <v>1</v>
      </c>
      <c r="BE1702" s="75">
        <f t="shared" ref="BE1702:BE1713" si="669">BD1702-BC1702</f>
        <v>0</v>
      </c>
    </row>
    <row r="1703" spans="1:57" s="1" customFormat="1" ht="25.5" customHeight="1" x14ac:dyDescent="0.4">
      <c r="A1703" s="37" t="str">
        <f t="shared" si="662"/>
        <v>28Д</v>
      </c>
      <c r="B1703" s="183"/>
      <c r="C1703" s="41"/>
      <c r="D1703" s="184"/>
      <c r="E1703" s="282">
        <f>E1702</f>
        <v>28</v>
      </c>
      <c r="F1703" s="335"/>
      <c r="G1703" s="336"/>
      <c r="H1703" s="336"/>
      <c r="I1703" s="336"/>
      <c r="J1703" s="336"/>
      <c r="K1703" s="336"/>
      <c r="L1703" s="336"/>
      <c r="M1703" s="336"/>
      <c r="N1703" s="336"/>
      <c r="O1703" s="336"/>
      <c r="P1703" s="336"/>
      <c r="Q1703" s="336"/>
      <c r="R1703" s="336"/>
      <c r="S1703" s="336"/>
      <c r="T1703" s="336"/>
      <c r="U1703" s="336"/>
      <c r="V1703" s="336"/>
      <c r="W1703" s="336"/>
      <c r="X1703" s="98">
        <v>1</v>
      </c>
      <c r="Y1703" s="74">
        <v>1</v>
      </c>
      <c r="Z1703" s="75">
        <f t="shared" si="668"/>
        <v>0</v>
      </c>
      <c r="AA1703" s="107">
        <f>AA1702</f>
        <v>0</v>
      </c>
      <c r="AB1703" s="41"/>
      <c r="AC1703" s="184"/>
      <c r="AD1703" s="212">
        <f>AD1702</f>
        <v>28</v>
      </c>
      <c r="AE1703" s="387"/>
      <c r="AF1703" s="388"/>
      <c r="AG1703" s="388"/>
      <c r="AH1703" s="388"/>
      <c r="AI1703" s="388"/>
      <c r="AJ1703" s="388"/>
      <c r="AK1703" s="388"/>
      <c r="AL1703" s="388"/>
      <c r="AM1703" s="388"/>
      <c r="AN1703" s="388"/>
      <c r="AO1703" s="388"/>
      <c r="AP1703" s="388"/>
      <c r="AQ1703" s="388"/>
      <c r="AR1703" s="388"/>
      <c r="AS1703" s="388"/>
      <c r="AT1703" s="388"/>
      <c r="AU1703" s="388"/>
      <c r="AV1703" s="388"/>
      <c r="AW1703" s="388"/>
      <c r="AX1703" s="388"/>
      <c r="AY1703" s="388"/>
      <c r="AZ1703" s="388"/>
      <c r="BA1703" s="388"/>
      <c r="BB1703" s="389"/>
      <c r="BC1703" s="98">
        <v>1</v>
      </c>
      <c r="BD1703" s="74">
        <v>1</v>
      </c>
      <c r="BE1703" s="75">
        <f t="shared" si="669"/>
        <v>0</v>
      </c>
    </row>
    <row r="1704" spans="1:57" s="1" customFormat="1" ht="18" customHeight="1" x14ac:dyDescent="0.4">
      <c r="A1704" s="37" t="str">
        <f t="shared" si="662"/>
        <v>28Д</v>
      </c>
      <c r="B1704" s="183"/>
      <c r="C1704" s="41"/>
      <c r="D1704" s="184"/>
      <c r="E1704" s="282">
        <f t="shared" ref="E1704:E1713" si="670">E1703</f>
        <v>28</v>
      </c>
      <c r="F1704" s="335"/>
      <c r="G1704" s="336"/>
      <c r="H1704" s="336"/>
      <c r="I1704" s="336"/>
      <c r="J1704" s="336"/>
      <c r="K1704" s="336"/>
      <c r="L1704" s="336"/>
      <c r="M1704" s="336"/>
      <c r="N1704" s="336"/>
      <c r="O1704" s="336"/>
      <c r="P1704" s="336"/>
      <c r="Q1704" s="336"/>
      <c r="R1704" s="336"/>
      <c r="S1704" s="336"/>
      <c r="T1704" s="336"/>
      <c r="U1704" s="336"/>
      <c r="V1704" s="336"/>
      <c r="W1704" s="336"/>
      <c r="X1704" s="98">
        <v>1</v>
      </c>
      <c r="Y1704" s="74">
        <v>1</v>
      </c>
      <c r="Z1704" s="75">
        <f t="shared" si="668"/>
        <v>0</v>
      </c>
      <c r="AA1704" s="107">
        <f>AA1703</f>
        <v>0</v>
      </c>
      <c r="AB1704" s="41"/>
      <c r="AC1704" s="184"/>
      <c r="AD1704" s="212">
        <f t="shared" ref="AD1704:AD1713" si="671">AD1703</f>
        <v>28</v>
      </c>
      <c r="AE1704" s="387"/>
      <c r="AF1704" s="388"/>
      <c r="AG1704" s="388"/>
      <c r="AH1704" s="388"/>
      <c r="AI1704" s="388"/>
      <c r="AJ1704" s="388"/>
      <c r="AK1704" s="388"/>
      <c r="AL1704" s="388"/>
      <c r="AM1704" s="388"/>
      <c r="AN1704" s="388"/>
      <c r="AO1704" s="388"/>
      <c r="AP1704" s="388"/>
      <c r="AQ1704" s="388"/>
      <c r="AR1704" s="388"/>
      <c r="AS1704" s="388"/>
      <c r="AT1704" s="388"/>
      <c r="AU1704" s="388"/>
      <c r="AV1704" s="388"/>
      <c r="AW1704" s="388"/>
      <c r="AX1704" s="388"/>
      <c r="AY1704" s="388"/>
      <c r="AZ1704" s="388"/>
      <c r="BA1704" s="388"/>
      <c r="BB1704" s="389"/>
      <c r="BC1704" s="98">
        <v>1</v>
      </c>
      <c r="BD1704" s="74">
        <v>1</v>
      </c>
      <c r="BE1704" s="75">
        <f t="shared" si="669"/>
        <v>0</v>
      </c>
    </row>
    <row r="1705" spans="1:57" s="1" customFormat="1" ht="18" customHeight="1" x14ac:dyDescent="0.4">
      <c r="A1705" s="37" t="str">
        <f t="shared" si="662"/>
        <v>28Д</v>
      </c>
      <c r="B1705" s="183"/>
      <c r="C1705" s="41"/>
      <c r="D1705" s="184"/>
      <c r="E1705" s="282">
        <f t="shared" si="670"/>
        <v>28</v>
      </c>
      <c r="F1705" s="335"/>
      <c r="G1705" s="336"/>
      <c r="H1705" s="336"/>
      <c r="I1705" s="336"/>
      <c r="J1705" s="336"/>
      <c r="K1705" s="336"/>
      <c r="L1705" s="336"/>
      <c r="M1705" s="336"/>
      <c r="N1705" s="336"/>
      <c r="O1705" s="336"/>
      <c r="P1705" s="336"/>
      <c r="Q1705" s="336"/>
      <c r="R1705" s="336"/>
      <c r="S1705" s="336"/>
      <c r="T1705" s="336"/>
      <c r="U1705" s="336"/>
      <c r="V1705" s="336"/>
      <c r="W1705" s="336"/>
      <c r="X1705" s="98">
        <v>1</v>
      </c>
      <c r="Y1705" s="74">
        <v>1</v>
      </c>
      <c r="Z1705" s="75">
        <f t="shared" si="668"/>
        <v>0</v>
      </c>
      <c r="AA1705" s="107">
        <f t="shared" ref="AA1705:AA1713" si="672">AA1704</f>
        <v>0</v>
      </c>
      <c r="AB1705" s="41"/>
      <c r="AC1705" s="184"/>
      <c r="AD1705" s="212">
        <f t="shared" si="671"/>
        <v>28</v>
      </c>
      <c r="AE1705" s="387"/>
      <c r="AF1705" s="388"/>
      <c r="AG1705" s="388"/>
      <c r="AH1705" s="388"/>
      <c r="AI1705" s="388"/>
      <c r="AJ1705" s="388"/>
      <c r="AK1705" s="388"/>
      <c r="AL1705" s="388"/>
      <c r="AM1705" s="388"/>
      <c r="AN1705" s="388"/>
      <c r="AO1705" s="388"/>
      <c r="AP1705" s="388"/>
      <c r="AQ1705" s="388"/>
      <c r="AR1705" s="388"/>
      <c r="AS1705" s="388"/>
      <c r="AT1705" s="388"/>
      <c r="AU1705" s="388"/>
      <c r="AV1705" s="388"/>
      <c r="AW1705" s="388"/>
      <c r="AX1705" s="388"/>
      <c r="AY1705" s="388"/>
      <c r="AZ1705" s="388"/>
      <c r="BA1705" s="388"/>
      <c r="BB1705" s="389"/>
      <c r="BC1705" s="98">
        <v>1</v>
      </c>
      <c r="BD1705" s="74">
        <v>1</v>
      </c>
      <c r="BE1705" s="75">
        <f t="shared" si="669"/>
        <v>0</v>
      </c>
    </row>
    <row r="1706" spans="1:57" s="1" customFormat="1" ht="18" customHeight="1" x14ac:dyDescent="0.4">
      <c r="A1706" s="37" t="str">
        <f t="shared" si="662"/>
        <v>28Д</v>
      </c>
      <c r="B1706" s="183"/>
      <c r="C1706" s="41"/>
      <c r="D1706" s="184"/>
      <c r="E1706" s="282">
        <f t="shared" si="670"/>
        <v>28</v>
      </c>
      <c r="F1706" s="335"/>
      <c r="G1706" s="336"/>
      <c r="H1706" s="336"/>
      <c r="I1706" s="336"/>
      <c r="J1706" s="336"/>
      <c r="K1706" s="336"/>
      <c r="L1706" s="336"/>
      <c r="M1706" s="336"/>
      <c r="N1706" s="336"/>
      <c r="O1706" s="336"/>
      <c r="P1706" s="336"/>
      <c r="Q1706" s="336"/>
      <c r="R1706" s="336"/>
      <c r="S1706" s="336"/>
      <c r="T1706" s="336"/>
      <c r="U1706" s="336"/>
      <c r="V1706" s="336"/>
      <c r="W1706" s="336"/>
      <c r="X1706" s="98">
        <v>1</v>
      </c>
      <c r="Y1706" s="74">
        <v>1</v>
      </c>
      <c r="Z1706" s="75">
        <f t="shared" si="668"/>
        <v>0</v>
      </c>
      <c r="AA1706" s="107">
        <f t="shared" si="672"/>
        <v>0</v>
      </c>
      <c r="AB1706" s="41"/>
      <c r="AC1706" s="184"/>
      <c r="AD1706" s="212">
        <f t="shared" si="671"/>
        <v>28</v>
      </c>
      <c r="AE1706" s="387"/>
      <c r="AF1706" s="388"/>
      <c r="AG1706" s="388"/>
      <c r="AH1706" s="388"/>
      <c r="AI1706" s="388"/>
      <c r="AJ1706" s="388"/>
      <c r="AK1706" s="388"/>
      <c r="AL1706" s="388"/>
      <c r="AM1706" s="388"/>
      <c r="AN1706" s="388"/>
      <c r="AO1706" s="388"/>
      <c r="AP1706" s="388"/>
      <c r="AQ1706" s="388"/>
      <c r="AR1706" s="388"/>
      <c r="AS1706" s="388"/>
      <c r="AT1706" s="388"/>
      <c r="AU1706" s="388"/>
      <c r="AV1706" s="388"/>
      <c r="AW1706" s="388"/>
      <c r="AX1706" s="388"/>
      <c r="AY1706" s="388"/>
      <c r="AZ1706" s="388"/>
      <c r="BA1706" s="388"/>
      <c r="BB1706" s="389"/>
      <c r="BC1706" s="98">
        <v>1</v>
      </c>
      <c r="BD1706" s="74">
        <v>1</v>
      </c>
      <c r="BE1706" s="75">
        <f t="shared" si="669"/>
        <v>0</v>
      </c>
    </row>
    <row r="1707" spans="1:57" s="1" customFormat="1" ht="18" customHeight="1" x14ac:dyDescent="0.4">
      <c r="A1707" s="37" t="str">
        <f t="shared" si="662"/>
        <v>28Д</v>
      </c>
      <c r="B1707" s="183"/>
      <c r="C1707" s="41"/>
      <c r="D1707" s="184"/>
      <c r="E1707" s="282">
        <f t="shared" si="670"/>
        <v>28</v>
      </c>
      <c r="F1707" s="335"/>
      <c r="G1707" s="336"/>
      <c r="H1707" s="336"/>
      <c r="I1707" s="336"/>
      <c r="J1707" s="336"/>
      <c r="K1707" s="336"/>
      <c r="L1707" s="336"/>
      <c r="M1707" s="336"/>
      <c r="N1707" s="336"/>
      <c r="O1707" s="336"/>
      <c r="P1707" s="336"/>
      <c r="Q1707" s="336"/>
      <c r="R1707" s="336"/>
      <c r="S1707" s="336"/>
      <c r="T1707" s="336"/>
      <c r="U1707" s="336"/>
      <c r="V1707" s="336"/>
      <c r="W1707" s="336"/>
      <c r="X1707" s="98">
        <v>1</v>
      </c>
      <c r="Y1707" s="74">
        <v>1</v>
      </c>
      <c r="Z1707" s="75">
        <f t="shared" si="668"/>
        <v>0</v>
      </c>
      <c r="AA1707" s="107">
        <f t="shared" si="672"/>
        <v>0</v>
      </c>
      <c r="AB1707" s="41"/>
      <c r="AC1707" s="184"/>
      <c r="AD1707" s="212">
        <f t="shared" si="671"/>
        <v>28</v>
      </c>
      <c r="AE1707" s="387"/>
      <c r="AF1707" s="388"/>
      <c r="AG1707" s="388"/>
      <c r="AH1707" s="388"/>
      <c r="AI1707" s="388"/>
      <c r="AJ1707" s="388"/>
      <c r="AK1707" s="388"/>
      <c r="AL1707" s="388"/>
      <c r="AM1707" s="388"/>
      <c r="AN1707" s="388"/>
      <c r="AO1707" s="388"/>
      <c r="AP1707" s="388"/>
      <c r="AQ1707" s="388"/>
      <c r="AR1707" s="388"/>
      <c r="AS1707" s="388"/>
      <c r="AT1707" s="388"/>
      <c r="AU1707" s="388"/>
      <c r="AV1707" s="388"/>
      <c r="AW1707" s="388"/>
      <c r="AX1707" s="388"/>
      <c r="AY1707" s="388"/>
      <c r="AZ1707" s="388"/>
      <c r="BA1707" s="388"/>
      <c r="BB1707" s="389"/>
      <c r="BC1707" s="98">
        <v>1</v>
      </c>
      <c r="BD1707" s="74">
        <v>1</v>
      </c>
      <c r="BE1707" s="75">
        <f t="shared" si="669"/>
        <v>0</v>
      </c>
    </row>
    <row r="1708" spans="1:57" s="1" customFormat="1" ht="18" customHeight="1" x14ac:dyDescent="0.4">
      <c r="A1708" s="37" t="str">
        <f t="shared" si="662"/>
        <v>28Д</v>
      </c>
      <c r="B1708" s="183"/>
      <c r="C1708" s="41"/>
      <c r="D1708" s="184"/>
      <c r="E1708" s="282">
        <f t="shared" si="670"/>
        <v>28</v>
      </c>
      <c r="F1708" s="335"/>
      <c r="G1708" s="336"/>
      <c r="H1708" s="336"/>
      <c r="I1708" s="336"/>
      <c r="J1708" s="336"/>
      <c r="K1708" s="336"/>
      <c r="L1708" s="336"/>
      <c r="M1708" s="336"/>
      <c r="N1708" s="336"/>
      <c r="O1708" s="336"/>
      <c r="P1708" s="336"/>
      <c r="Q1708" s="336"/>
      <c r="R1708" s="336"/>
      <c r="S1708" s="336"/>
      <c r="T1708" s="336"/>
      <c r="U1708" s="336"/>
      <c r="V1708" s="336"/>
      <c r="W1708" s="336"/>
      <c r="X1708" s="98">
        <v>1</v>
      </c>
      <c r="Y1708" s="74">
        <v>1</v>
      </c>
      <c r="Z1708" s="75">
        <f t="shared" si="668"/>
        <v>0</v>
      </c>
      <c r="AA1708" s="107">
        <f t="shared" si="672"/>
        <v>0</v>
      </c>
      <c r="AB1708" s="41"/>
      <c r="AC1708" s="184"/>
      <c r="AD1708" s="212">
        <f t="shared" si="671"/>
        <v>28</v>
      </c>
      <c r="AE1708" s="387"/>
      <c r="AF1708" s="388"/>
      <c r="AG1708" s="388"/>
      <c r="AH1708" s="388"/>
      <c r="AI1708" s="388"/>
      <c r="AJ1708" s="388"/>
      <c r="AK1708" s="388"/>
      <c r="AL1708" s="388"/>
      <c r="AM1708" s="388"/>
      <c r="AN1708" s="388"/>
      <c r="AO1708" s="388"/>
      <c r="AP1708" s="388"/>
      <c r="AQ1708" s="388"/>
      <c r="AR1708" s="388"/>
      <c r="AS1708" s="388"/>
      <c r="AT1708" s="388"/>
      <c r="AU1708" s="388"/>
      <c r="AV1708" s="388"/>
      <c r="AW1708" s="388"/>
      <c r="AX1708" s="388"/>
      <c r="AY1708" s="388"/>
      <c r="AZ1708" s="388"/>
      <c r="BA1708" s="388"/>
      <c r="BB1708" s="389"/>
      <c r="BC1708" s="98">
        <v>1</v>
      </c>
      <c r="BD1708" s="74">
        <v>1</v>
      </c>
      <c r="BE1708" s="75">
        <f t="shared" si="669"/>
        <v>0</v>
      </c>
    </row>
    <row r="1709" spans="1:57" s="1" customFormat="1" ht="18" customHeight="1" x14ac:dyDescent="0.4">
      <c r="A1709" s="37" t="str">
        <f t="shared" si="662"/>
        <v>28Д</v>
      </c>
      <c r="B1709" s="183"/>
      <c r="C1709" s="41"/>
      <c r="D1709" s="184"/>
      <c r="E1709" s="282">
        <f t="shared" si="670"/>
        <v>28</v>
      </c>
      <c r="F1709" s="335"/>
      <c r="G1709" s="336"/>
      <c r="H1709" s="336"/>
      <c r="I1709" s="336"/>
      <c r="J1709" s="336"/>
      <c r="K1709" s="336"/>
      <c r="L1709" s="336"/>
      <c r="M1709" s="336"/>
      <c r="N1709" s="336"/>
      <c r="O1709" s="336"/>
      <c r="P1709" s="336"/>
      <c r="Q1709" s="336"/>
      <c r="R1709" s="336"/>
      <c r="S1709" s="336"/>
      <c r="T1709" s="336"/>
      <c r="U1709" s="336"/>
      <c r="V1709" s="336"/>
      <c r="W1709" s="336"/>
      <c r="X1709" s="98">
        <v>1</v>
      </c>
      <c r="Y1709" s="74">
        <v>1</v>
      </c>
      <c r="Z1709" s="75">
        <f t="shared" si="668"/>
        <v>0</v>
      </c>
      <c r="AA1709" s="107">
        <f t="shared" si="672"/>
        <v>0</v>
      </c>
      <c r="AB1709" s="41"/>
      <c r="AC1709" s="184"/>
      <c r="AD1709" s="212">
        <f t="shared" si="671"/>
        <v>28</v>
      </c>
      <c r="AE1709" s="387"/>
      <c r="AF1709" s="388"/>
      <c r="AG1709" s="388"/>
      <c r="AH1709" s="388"/>
      <c r="AI1709" s="388"/>
      <c r="AJ1709" s="388"/>
      <c r="AK1709" s="388"/>
      <c r="AL1709" s="388"/>
      <c r="AM1709" s="388"/>
      <c r="AN1709" s="388"/>
      <c r="AO1709" s="388"/>
      <c r="AP1709" s="388"/>
      <c r="AQ1709" s="388"/>
      <c r="AR1709" s="388"/>
      <c r="AS1709" s="388"/>
      <c r="AT1709" s="388"/>
      <c r="AU1709" s="388"/>
      <c r="AV1709" s="388"/>
      <c r="AW1709" s="388"/>
      <c r="AX1709" s="388"/>
      <c r="AY1709" s="388"/>
      <c r="AZ1709" s="388"/>
      <c r="BA1709" s="388"/>
      <c r="BB1709" s="389"/>
      <c r="BC1709" s="98">
        <v>1</v>
      </c>
      <c r="BD1709" s="74">
        <v>1</v>
      </c>
      <c r="BE1709" s="75">
        <f t="shared" si="669"/>
        <v>0</v>
      </c>
    </row>
    <row r="1710" spans="1:57" s="1" customFormat="1" ht="18" customHeight="1" x14ac:dyDescent="0.4">
      <c r="A1710" s="37" t="str">
        <f t="shared" si="662"/>
        <v>28Д</v>
      </c>
      <c r="B1710" s="183"/>
      <c r="C1710" s="41"/>
      <c r="D1710" s="184"/>
      <c r="E1710" s="282">
        <f t="shared" si="670"/>
        <v>28</v>
      </c>
      <c r="F1710" s="335"/>
      <c r="G1710" s="336"/>
      <c r="H1710" s="336"/>
      <c r="I1710" s="336"/>
      <c r="J1710" s="336"/>
      <c r="K1710" s="336"/>
      <c r="L1710" s="336"/>
      <c r="M1710" s="336"/>
      <c r="N1710" s="336"/>
      <c r="O1710" s="336"/>
      <c r="P1710" s="336"/>
      <c r="Q1710" s="336"/>
      <c r="R1710" s="336"/>
      <c r="S1710" s="336"/>
      <c r="T1710" s="336"/>
      <c r="U1710" s="336"/>
      <c r="V1710" s="336"/>
      <c r="W1710" s="336"/>
      <c r="X1710" s="98">
        <v>1</v>
      </c>
      <c r="Y1710" s="74">
        <v>1</v>
      </c>
      <c r="Z1710" s="75">
        <f t="shared" si="668"/>
        <v>0</v>
      </c>
      <c r="AA1710" s="107">
        <f t="shared" si="672"/>
        <v>0</v>
      </c>
      <c r="AB1710" s="41"/>
      <c r="AC1710" s="184"/>
      <c r="AD1710" s="212">
        <f t="shared" si="671"/>
        <v>28</v>
      </c>
      <c r="AE1710" s="387"/>
      <c r="AF1710" s="388"/>
      <c r="AG1710" s="388"/>
      <c r="AH1710" s="388"/>
      <c r="AI1710" s="388"/>
      <c r="AJ1710" s="388"/>
      <c r="AK1710" s="388"/>
      <c r="AL1710" s="388"/>
      <c r="AM1710" s="388"/>
      <c r="AN1710" s="388"/>
      <c r="AO1710" s="388"/>
      <c r="AP1710" s="388"/>
      <c r="AQ1710" s="388"/>
      <c r="AR1710" s="388"/>
      <c r="AS1710" s="388"/>
      <c r="AT1710" s="388"/>
      <c r="AU1710" s="388"/>
      <c r="AV1710" s="388"/>
      <c r="AW1710" s="388"/>
      <c r="AX1710" s="388"/>
      <c r="AY1710" s="388"/>
      <c r="AZ1710" s="388"/>
      <c r="BA1710" s="388"/>
      <c r="BB1710" s="389"/>
      <c r="BC1710" s="98">
        <v>1</v>
      </c>
      <c r="BD1710" s="74">
        <v>1</v>
      </c>
      <c r="BE1710" s="75">
        <f t="shared" si="669"/>
        <v>0</v>
      </c>
    </row>
    <row r="1711" spans="1:57" s="1" customFormat="1" ht="18" customHeight="1" x14ac:dyDescent="0.4">
      <c r="A1711" s="37" t="str">
        <f t="shared" si="662"/>
        <v>28Д</v>
      </c>
      <c r="B1711" s="183"/>
      <c r="C1711" s="41"/>
      <c r="D1711" s="184"/>
      <c r="E1711" s="282">
        <f t="shared" si="670"/>
        <v>28</v>
      </c>
      <c r="F1711" s="335"/>
      <c r="G1711" s="336"/>
      <c r="H1711" s="336"/>
      <c r="I1711" s="336"/>
      <c r="J1711" s="336"/>
      <c r="K1711" s="336"/>
      <c r="L1711" s="336"/>
      <c r="M1711" s="336"/>
      <c r="N1711" s="336"/>
      <c r="O1711" s="336"/>
      <c r="P1711" s="336"/>
      <c r="Q1711" s="336"/>
      <c r="R1711" s="336"/>
      <c r="S1711" s="336"/>
      <c r="T1711" s="336"/>
      <c r="U1711" s="336"/>
      <c r="V1711" s="336"/>
      <c r="W1711" s="336"/>
      <c r="X1711" s="98">
        <v>1</v>
      </c>
      <c r="Y1711" s="74">
        <v>1</v>
      </c>
      <c r="Z1711" s="75">
        <f t="shared" si="668"/>
        <v>0</v>
      </c>
      <c r="AA1711" s="107">
        <f t="shared" si="672"/>
        <v>0</v>
      </c>
      <c r="AB1711" s="41"/>
      <c r="AC1711" s="184"/>
      <c r="AD1711" s="212">
        <f t="shared" si="671"/>
        <v>28</v>
      </c>
      <c r="AE1711" s="387"/>
      <c r="AF1711" s="388"/>
      <c r="AG1711" s="388"/>
      <c r="AH1711" s="388"/>
      <c r="AI1711" s="388"/>
      <c r="AJ1711" s="388"/>
      <c r="AK1711" s="388"/>
      <c r="AL1711" s="388"/>
      <c r="AM1711" s="388"/>
      <c r="AN1711" s="388"/>
      <c r="AO1711" s="388"/>
      <c r="AP1711" s="388"/>
      <c r="AQ1711" s="388"/>
      <c r="AR1711" s="388"/>
      <c r="AS1711" s="388"/>
      <c r="AT1711" s="388"/>
      <c r="AU1711" s="388"/>
      <c r="AV1711" s="388"/>
      <c r="AW1711" s="388"/>
      <c r="AX1711" s="388"/>
      <c r="AY1711" s="388"/>
      <c r="AZ1711" s="388"/>
      <c r="BA1711" s="388"/>
      <c r="BB1711" s="389"/>
      <c r="BC1711" s="98">
        <v>1</v>
      </c>
      <c r="BD1711" s="74">
        <v>1</v>
      </c>
      <c r="BE1711" s="75">
        <f t="shared" si="669"/>
        <v>0</v>
      </c>
    </row>
    <row r="1712" spans="1:57" s="1" customFormat="1" ht="18" customHeight="1" x14ac:dyDescent="0.4">
      <c r="A1712" s="37" t="str">
        <f t="shared" si="662"/>
        <v>28Д</v>
      </c>
      <c r="B1712" s="183"/>
      <c r="C1712" s="41"/>
      <c r="D1712" s="184"/>
      <c r="E1712" s="282">
        <f t="shared" si="670"/>
        <v>28</v>
      </c>
      <c r="F1712" s="335"/>
      <c r="G1712" s="336"/>
      <c r="H1712" s="336"/>
      <c r="I1712" s="336"/>
      <c r="J1712" s="336"/>
      <c r="K1712" s="336"/>
      <c r="L1712" s="336"/>
      <c r="M1712" s="336"/>
      <c r="N1712" s="336"/>
      <c r="O1712" s="336"/>
      <c r="P1712" s="336"/>
      <c r="Q1712" s="336"/>
      <c r="R1712" s="336"/>
      <c r="S1712" s="336"/>
      <c r="T1712" s="336"/>
      <c r="U1712" s="336"/>
      <c r="V1712" s="336"/>
      <c r="W1712" s="336"/>
      <c r="X1712" s="98">
        <v>1</v>
      </c>
      <c r="Y1712" s="74">
        <v>1</v>
      </c>
      <c r="Z1712" s="75">
        <f t="shared" si="668"/>
        <v>0</v>
      </c>
      <c r="AA1712" s="107">
        <f t="shared" si="672"/>
        <v>0</v>
      </c>
      <c r="AB1712" s="41"/>
      <c r="AC1712" s="184"/>
      <c r="AD1712" s="212">
        <f t="shared" si="671"/>
        <v>28</v>
      </c>
      <c r="AE1712" s="387"/>
      <c r="AF1712" s="388"/>
      <c r="AG1712" s="388"/>
      <c r="AH1712" s="388"/>
      <c r="AI1712" s="388"/>
      <c r="AJ1712" s="388"/>
      <c r="AK1712" s="388"/>
      <c r="AL1712" s="388"/>
      <c r="AM1712" s="388"/>
      <c r="AN1712" s="388"/>
      <c r="AO1712" s="388"/>
      <c r="AP1712" s="388"/>
      <c r="AQ1712" s="388"/>
      <c r="AR1712" s="388"/>
      <c r="AS1712" s="388"/>
      <c r="AT1712" s="388"/>
      <c r="AU1712" s="388"/>
      <c r="AV1712" s="388"/>
      <c r="AW1712" s="388"/>
      <c r="AX1712" s="388"/>
      <c r="AY1712" s="388"/>
      <c r="AZ1712" s="388"/>
      <c r="BA1712" s="388"/>
      <c r="BB1712" s="389"/>
      <c r="BC1712" s="98">
        <v>1</v>
      </c>
      <c r="BD1712" s="74">
        <v>1</v>
      </c>
      <c r="BE1712" s="75">
        <f t="shared" si="669"/>
        <v>0</v>
      </c>
    </row>
    <row r="1713" spans="1:57" s="1" customFormat="1" ht="18" customHeight="1" thickBot="1" x14ac:dyDescent="0.45">
      <c r="A1713" s="37" t="str">
        <f t="shared" si="662"/>
        <v>28Д</v>
      </c>
      <c r="B1713" s="183"/>
      <c r="C1713" s="41"/>
      <c r="D1713" s="184"/>
      <c r="E1713" s="283">
        <f t="shared" si="670"/>
        <v>28</v>
      </c>
      <c r="F1713" s="339"/>
      <c r="G1713" s="340"/>
      <c r="H1713" s="340"/>
      <c r="I1713" s="340"/>
      <c r="J1713" s="340"/>
      <c r="K1713" s="340"/>
      <c r="L1713" s="340"/>
      <c r="M1713" s="340"/>
      <c r="N1713" s="340"/>
      <c r="O1713" s="340"/>
      <c r="P1713" s="340"/>
      <c r="Q1713" s="340"/>
      <c r="R1713" s="340"/>
      <c r="S1713" s="340"/>
      <c r="T1713" s="340"/>
      <c r="U1713" s="340"/>
      <c r="V1713" s="340"/>
      <c r="W1713" s="340"/>
      <c r="X1713" s="99">
        <v>1</v>
      </c>
      <c r="Y1713" s="76">
        <v>1</v>
      </c>
      <c r="Z1713" s="77">
        <f t="shared" si="668"/>
        <v>0</v>
      </c>
      <c r="AA1713" s="107">
        <f t="shared" si="672"/>
        <v>0</v>
      </c>
      <c r="AB1713" s="41"/>
      <c r="AC1713" s="184"/>
      <c r="AD1713" s="211">
        <f t="shared" si="671"/>
        <v>28</v>
      </c>
      <c r="AE1713" s="410"/>
      <c r="AF1713" s="411"/>
      <c r="AG1713" s="411"/>
      <c r="AH1713" s="411"/>
      <c r="AI1713" s="411"/>
      <c r="AJ1713" s="411"/>
      <c r="AK1713" s="411"/>
      <c r="AL1713" s="411"/>
      <c r="AM1713" s="411"/>
      <c r="AN1713" s="411"/>
      <c r="AO1713" s="411"/>
      <c r="AP1713" s="411"/>
      <c r="AQ1713" s="411"/>
      <c r="AR1713" s="411"/>
      <c r="AS1713" s="411"/>
      <c r="AT1713" s="411"/>
      <c r="AU1713" s="411"/>
      <c r="AV1713" s="411"/>
      <c r="AW1713" s="411"/>
      <c r="AX1713" s="411"/>
      <c r="AY1713" s="411"/>
      <c r="AZ1713" s="411"/>
      <c r="BA1713" s="411"/>
      <c r="BB1713" s="412"/>
      <c r="BC1713" s="99">
        <v>1</v>
      </c>
      <c r="BD1713" s="76">
        <v>1</v>
      </c>
      <c r="BE1713" s="75">
        <f t="shared" si="669"/>
        <v>0</v>
      </c>
    </row>
    <row r="1714" spans="1:57" s="1" customFormat="1" ht="23.25" customHeight="1" thickBot="1" x14ac:dyDescent="0.45">
      <c r="A1714" s="37" t="str">
        <f t="shared" si="662"/>
        <v>28Д</v>
      </c>
      <c r="B1714" s="193"/>
      <c r="C1714" s="47"/>
      <c r="D1714" s="47"/>
      <c r="E1714" s="47"/>
      <c r="F1714" s="78"/>
      <c r="G1714" s="78"/>
      <c r="H1714" s="78"/>
      <c r="I1714" s="80"/>
      <c r="J1714" s="80"/>
      <c r="K1714" s="80"/>
      <c r="L1714" s="80"/>
      <c r="M1714" s="80"/>
      <c r="N1714" s="80"/>
      <c r="O1714" s="78"/>
      <c r="P1714" s="81"/>
      <c r="Q1714" s="81"/>
      <c r="R1714" s="81"/>
      <c r="S1714" s="81"/>
      <c r="T1714" s="81"/>
      <c r="U1714" s="82"/>
      <c r="V1714" s="82"/>
      <c r="W1714" s="86"/>
      <c r="X1714" s="194"/>
      <c r="Y1714" s="83"/>
      <c r="Z1714" s="83"/>
      <c r="AA1714" s="78"/>
      <c r="AB1714" s="47"/>
      <c r="AC1714" s="47"/>
      <c r="AD1714" s="47"/>
      <c r="AE1714" s="47"/>
      <c r="AF1714" s="47"/>
      <c r="AG1714" s="47"/>
      <c r="AH1714" s="47"/>
      <c r="AI1714" s="47"/>
      <c r="AJ1714" s="47"/>
      <c r="AK1714" s="47"/>
      <c r="AL1714" s="47"/>
      <c r="AM1714" s="84"/>
      <c r="AN1714" s="47"/>
      <c r="AO1714" s="78"/>
      <c r="AP1714" s="78"/>
      <c r="AQ1714" s="78"/>
      <c r="AR1714" s="84"/>
      <c r="AS1714" s="78"/>
      <c r="AT1714" s="85"/>
      <c r="AU1714" s="78"/>
      <c r="AV1714" s="83"/>
      <c r="AW1714" s="83"/>
      <c r="AX1714" s="78"/>
      <c r="AY1714" s="78"/>
      <c r="AZ1714" s="78"/>
      <c r="BA1714" s="78"/>
      <c r="BB1714" s="78"/>
      <c r="BC1714" s="78"/>
      <c r="BD1714" s="79"/>
      <c r="BE1714" s="79"/>
    </row>
    <row r="1715" spans="1:57" s="1" customFormat="1" ht="21.6" customHeight="1" thickBot="1" x14ac:dyDescent="0.45">
      <c r="A1715" s="37" t="s">
        <v>201</v>
      </c>
      <c r="B1715" s="59"/>
      <c r="C1715" s="51"/>
      <c r="D1715" s="51"/>
      <c r="E1715" s="51"/>
      <c r="F1715" s="158" t="s">
        <v>220</v>
      </c>
      <c r="G1715" s="51"/>
      <c r="H1715" s="51"/>
      <c r="I1715" s="156"/>
      <c r="J1715" s="156"/>
      <c r="K1715" s="156"/>
      <c r="L1715" s="156"/>
      <c r="M1715" s="156"/>
      <c r="N1715" s="156"/>
      <c r="O1715" s="91"/>
      <c r="P1715" s="52"/>
      <c r="Q1715" s="52"/>
      <c r="R1715" s="52"/>
      <c r="S1715" s="52"/>
      <c r="T1715" s="52"/>
      <c r="U1715" s="157"/>
      <c r="V1715" s="157"/>
      <c r="W1715" s="94"/>
      <c r="X1715" s="94"/>
      <c r="Y1715" s="51"/>
      <c r="Z1715" s="51"/>
      <c r="AA1715" s="157">
        <f>AA1698</f>
        <v>1</v>
      </c>
      <c r="AB1715" s="157">
        <f t="shared" ref="AB1715:AF1715" si="673">AB1698</f>
        <v>2</v>
      </c>
      <c r="AC1715" s="157">
        <f t="shared" si="673"/>
        <v>3</v>
      </c>
      <c r="AD1715" s="157">
        <f t="shared" si="673"/>
        <v>4</v>
      </c>
      <c r="AE1715" s="157">
        <f t="shared" si="673"/>
        <v>5</v>
      </c>
      <c r="AF1715" s="157">
        <f t="shared" si="673"/>
        <v>6</v>
      </c>
      <c r="AG1715" s="162" t="s">
        <v>123</v>
      </c>
      <c r="AH1715" s="162" t="s">
        <v>124</v>
      </c>
      <c r="AI1715" s="162" t="s">
        <v>125</v>
      </c>
      <c r="AJ1715" s="91" t="s">
        <v>126</v>
      </c>
      <c r="AK1715" s="198" t="s">
        <v>136</v>
      </c>
      <c r="AL1715" s="198" t="s">
        <v>137</v>
      </c>
      <c r="AM1715" s="198" t="s">
        <v>138</v>
      </c>
      <c r="AN1715" s="91"/>
      <c r="AO1715" s="91"/>
      <c r="AP1715" s="91"/>
      <c r="AQ1715" s="91"/>
      <c r="AR1715" s="91"/>
      <c r="AS1715" s="91"/>
      <c r="AT1715" s="91"/>
      <c r="AU1715" s="91"/>
      <c r="AV1715" s="91"/>
      <c r="AW1715" s="91"/>
      <c r="AX1715" s="91"/>
      <c r="AY1715" s="91"/>
      <c r="AZ1715" s="91"/>
      <c r="BA1715" s="91"/>
      <c r="BB1715" s="91"/>
      <c r="BC1715" s="91"/>
      <c r="BD1715" s="91"/>
      <c r="BE1715" s="91"/>
    </row>
    <row r="1716" spans="1:57" s="1" customFormat="1" ht="21.6" customHeight="1" x14ac:dyDescent="0.4">
      <c r="A1716" s="37" t="str">
        <f>A1715</f>
        <v>28Н</v>
      </c>
      <c r="B1716" s="12">
        <f>B1697</f>
        <v>28</v>
      </c>
      <c r="C1716" s="97"/>
      <c r="D1716" s="97">
        <v>1</v>
      </c>
      <c r="E1716" s="29"/>
      <c r="F1716" s="151" t="str">
        <f>IFERROR(VLOOKUP($G1716,нормы!$A$14:$BC$57,2,0),"")</f>
        <v/>
      </c>
      <c r="G1716" s="93"/>
      <c r="H1716" s="54">
        <f>IF(C1716=1,"Кульков С.А.", IF(C1716=2,"Чудаков А.А.",IF(C1716=3,"Королев В.Н.",IF(C1716=4,"Николашин М.П.",IF(C1716=5," Кульков С.А.",IF(C1716=6,"А.А. Чудаков",IF(C1716=7,"В.Н. Королев",IF(C1716=8,"М.П. Николашин",0))))))))</f>
        <v>0</v>
      </c>
      <c r="I1716" s="88" t="s">
        <v>84</v>
      </c>
      <c r="J1716" s="332"/>
      <c r="K1716" s="30">
        <f>IFERROR(VLOOKUP($G1716,[1]нормы!$A$21:$BC$151,15,0),"")</f>
        <v>0</v>
      </c>
      <c r="L1716" s="31">
        <f>IFERROR(VLOOKUP($G1716,[1]нормы!$A$21:$BC$151,17,0),"")</f>
        <v>0</v>
      </c>
      <c r="M1716" s="310">
        <f>IFERROR(VLOOKUP($G1716,[1]нормы!$A$21:$BC$151,27,0),"")</f>
        <v>0</v>
      </c>
      <c r="N1716" s="311" t="str">
        <f>IFERROR(Y1716/Y1722*(1.1*J1716*I1721),"")</f>
        <v/>
      </c>
      <c r="O1716" s="300">
        <f>IFERROR(VLOOKUP($G1716,[1]нормы!$A$21:$BC$151,21,0),"")</f>
        <v>0</v>
      </c>
      <c r="P1716" s="35">
        <f>IFERROR(VLOOKUP($G1716,[1]нормы!$A$21:$BC$151,19,0),"")</f>
        <v>0</v>
      </c>
      <c r="Q1716" s="35">
        <f>IFERROR(VLOOKUP($G1716,[1]нормы!$A$21:$BC$151,23,0),"")</f>
        <v>0</v>
      </c>
      <c r="R1716" s="231">
        <f>IFERROR(VLOOKUP($G1716,[1]нормы!$A$21:$BC$151,29,0),"")</f>
        <v>0</v>
      </c>
      <c r="S1716" s="35">
        <f>IFERROR(VLOOKUP($G1716,[1]нормы!$A$21:$BC$151,31,0),"")</f>
        <v>0</v>
      </c>
      <c r="T1716" s="32">
        <f>IFERROR(VLOOKUP($G1716,[1]нормы!$A$21:$BC$151,25,0),"")</f>
        <v>0</v>
      </c>
      <c r="U1716" s="232" t="str">
        <f>IFERROR(W1716/(((100*Y1716/Y1722)*I1721)/100),"")</f>
        <v/>
      </c>
      <c r="V1716" s="234" t="str">
        <f>IFERROR(VLOOKUP($G1716,нормы!$A$14:$BC$57,38,0),"")</f>
        <v/>
      </c>
      <c r="W1716" s="136"/>
      <c r="X1716" s="236"/>
      <c r="Y1716" s="152" t="str">
        <f>IFERROR(VLOOKUP($G1716,нормы!$A$14:$BC$57,42,0)*W1716,"")</f>
        <v/>
      </c>
      <c r="Z1716" s="163">
        <f>IFERROR(VLOOKUP($G1716,нормы!$A$14:$BC$57,14,0)*W1716/1000,0)</f>
        <v>0</v>
      </c>
      <c r="AA1716" s="33"/>
      <c r="AB1716" s="36"/>
      <c r="AC1716" s="36"/>
      <c r="AD1716" s="36"/>
      <c r="AE1716" s="34"/>
      <c r="AF1716" s="159"/>
      <c r="AG1716" s="390"/>
      <c r="AH1716" s="393"/>
      <c r="AI1716" s="396"/>
      <c r="AJ1716" s="407">
        <f>AG1716+AH1716</f>
        <v>0</v>
      </c>
      <c r="AK1716" s="359"/>
      <c r="AL1716" s="359"/>
      <c r="AM1716" s="359"/>
      <c r="AN1716" s="287">
        <f>IFERROR(Y1716*AJ1716/Y1722,)</f>
        <v>0</v>
      </c>
      <c r="AO1716" s="197" t="str">
        <f>IFERROR(VLOOKUP($G1716,нормы!$A$14:$BC$57,53,0)*$W1716,"")</f>
        <v/>
      </c>
      <c r="AP1716" s="288">
        <f>IFERROR(Y1716*AI1716/Y1722,)</f>
        <v>0</v>
      </c>
      <c r="AQ1716" s="197" t="str">
        <f>IFERROR(VLOOKUP($G1716,нормы!$A$14:$BC$57,54,0)*$W1716,"")</f>
        <v/>
      </c>
      <c r="AR1716" s="288">
        <f>IFERROR(AS1716/SUM(AS1716:AS1721)*AL1716,0)</f>
        <v>0</v>
      </c>
      <c r="AS1716" s="197" t="str">
        <f>IFERROR(VLOOKUP($G1716,нормы!$A$14:$BC$57,55,0)*W1716,"")</f>
        <v/>
      </c>
      <c r="AT1716" s="288">
        <f>IFERROR(AU1716/SUM(AU1716:AU1721)*AM1716,0)</f>
        <v>0</v>
      </c>
      <c r="AU1716" s="197" t="str">
        <f>IFERROR(VLOOKUP($G1716,нормы!$A$14:$BI$57,56,0)*W1716,"")</f>
        <v/>
      </c>
      <c r="AV1716" s="288">
        <f>IFERROR(AW1716/SUM(AW1716:AW1721)*AK1716,0)</f>
        <v>0</v>
      </c>
      <c r="AW1716" s="202" t="str">
        <f>IFERROR(VLOOKUP($G1716,нормы!$A$14:$BI$57,57,0)*W1716,"")</f>
        <v/>
      </c>
      <c r="AX1716" s="33"/>
      <c r="AY1716" s="203" t="str">
        <f>IFERROR(VLOOKUP($G1716,нормы!$A$14:$BI$57,58,0)*W1716,"")</f>
        <v/>
      </c>
      <c r="AZ1716" s="204"/>
      <c r="BA1716" s="200" t="str">
        <f>IFERROR(VLOOKUP($G1716,нормы!$A$14:$BI$57,61,0)*$W1716,"")</f>
        <v/>
      </c>
      <c r="BB1716" s="33"/>
      <c r="BC1716" s="203" t="str">
        <f>IFERROR(VLOOKUP($G1716,нормы!$A$14:$BI$57,60,0)*W1716,"")</f>
        <v/>
      </c>
      <c r="BD1716" s="200" t="str">
        <f>IFERROR(VLOOKUP($G1716,нормы!$A$14:$BG$57,44,0),"")</f>
        <v/>
      </c>
      <c r="BE1716" s="199" t="str">
        <f>IFERROR(W1716/VLOOKUP($G1716,нормы!$A$14:$BI$57,45,0),"")</f>
        <v/>
      </c>
    </row>
    <row r="1717" spans="1:57" s="1" customFormat="1" ht="21.6" customHeight="1" x14ac:dyDescent="0.4">
      <c r="A1717" s="37" t="str">
        <f t="shared" ref="A1717:A1745" si="674">A1716</f>
        <v>28Н</v>
      </c>
      <c r="B1717" s="12">
        <f t="shared" ref="B1717:D1721" si="675">B1716</f>
        <v>28</v>
      </c>
      <c r="C1717" s="97">
        <f t="shared" si="675"/>
        <v>0</v>
      </c>
      <c r="D1717" s="97">
        <f t="shared" si="675"/>
        <v>1</v>
      </c>
      <c r="E1717" s="54"/>
      <c r="F1717" s="151" t="str">
        <f>IFERROR(VLOOKUP($G1717,нормы!$A$14:$BC$57,2,0),"")</f>
        <v/>
      </c>
      <c r="G1717" s="93"/>
      <c r="H1717" s="54">
        <f t="shared" ref="H1717:H1721" si="676">IF(C1717=1,"Кульков С.А.", IF(C1717=2,"Чудаков А.А.",IF(C1717=3,"Королев В.Н.",IF(C1717=4,"Николашин М.П.",IF(C1717=5," Кульков С.А.",IF(C1717=6,"А.А. Чудаков",IF(C1717=7,"В.Н. Королев",IF(C1717=8,"М.П. Николашин",0))))))))</f>
        <v>0</v>
      </c>
      <c r="I1717" s="55"/>
      <c r="J1717" s="333"/>
      <c r="K1717" s="30">
        <f>IFERROR(VLOOKUP($G1717,[1]нормы!$A$21:$BC$151,15,0),"")</f>
        <v>0</v>
      </c>
      <c r="L1717" s="31">
        <f>IFERROR(VLOOKUP($G1717,[1]нормы!$A$21:$BC$151,17,0),"")</f>
        <v>0</v>
      </c>
      <c r="M1717" s="306">
        <f>IFERROR(VLOOKUP($G1717,[1]нормы!$A$21:$BC$151,27,0),"")</f>
        <v>0</v>
      </c>
      <c r="N1717" s="307" t="str">
        <f>IFERROR(Y1717/Y1722*(1.1*J1716*I1721),"")</f>
        <v/>
      </c>
      <c r="O1717" s="300">
        <f>IFERROR(VLOOKUP($G1717,[1]нормы!$A$21:$BC$151,21,0),"")</f>
        <v>0</v>
      </c>
      <c r="P1717" s="35">
        <f>IFERROR(VLOOKUP($G1717,[1]нормы!$A$21:$BC$151,19,0),"")</f>
        <v>0</v>
      </c>
      <c r="Q1717" s="35">
        <f>IFERROR(VLOOKUP($G1717,[1]нормы!$A$21:$BC$151,23,0),"")</f>
        <v>0</v>
      </c>
      <c r="R1717" s="231">
        <f>IFERROR(VLOOKUP($G1717,[1]нормы!$A$21:$BC$151,29,0),"")</f>
        <v>0</v>
      </c>
      <c r="S1717" s="35">
        <f>IFERROR(VLOOKUP($G1717,[1]нормы!$A$21:$BC$151,31,0),"")</f>
        <v>0</v>
      </c>
      <c r="T1717" s="32">
        <f>IFERROR(VLOOKUP($G1717,[1]нормы!$A$21:$BC$151,25,0),"")</f>
        <v>0</v>
      </c>
      <c r="U1717" s="233" t="str">
        <f>IFERROR(W1717/(((100*Y1717/Y1722)*I1721)/100),"")</f>
        <v/>
      </c>
      <c r="V1717" s="234" t="str">
        <f>IFERROR(VLOOKUP($G1717,нормы!$A$14:$BC$57,38,0),"")</f>
        <v/>
      </c>
      <c r="W1717" s="136"/>
      <c r="X1717" s="237"/>
      <c r="Y1717" s="152" t="str">
        <f>IFERROR(VLOOKUP($G1717,нормы!$A$14:$BC$57,42,0)*W1717,"")</f>
        <v/>
      </c>
      <c r="Z1717" s="163">
        <f>IFERROR(VLOOKUP($G1717,нормы!$A$14:$BC$57,14,0)*W1717/1000,0)</f>
        <v>0</v>
      </c>
      <c r="AA1717" s="142"/>
      <c r="AB1717" s="35"/>
      <c r="AC1717" s="35"/>
      <c r="AD1717" s="35"/>
      <c r="AE1717" s="31"/>
      <c r="AF1717" s="160"/>
      <c r="AG1717" s="391"/>
      <c r="AH1717" s="394"/>
      <c r="AI1717" s="397"/>
      <c r="AJ1717" s="408"/>
      <c r="AK1717" s="360"/>
      <c r="AL1717" s="360"/>
      <c r="AM1717" s="360"/>
      <c r="AN1717" s="289">
        <f>IFERROR(Y1717*AJ1716/Y1722,)</f>
        <v>0</v>
      </c>
      <c r="AO1717" s="197" t="str">
        <f>IFERROR(VLOOKUP($G1717,нормы!$A$14:$BC$57,53,0)*$W1717,"")</f>
        <v/>
      </c>
      <c r="AP1717" s="290">
        <f>IFERROR(Y1717*AI1716/Y1722,)</f>
        <v>0</v>
      </c>
      <c r="AQ1717" s="197" t="str">
        <f>IFERROR(VLOOKUP($G1717,нормы!$A$14:$BC$57,54,0)*$W1717,"")</f>
        <v/>
      </c>
      <c r="AR1717" s="290">
        <f>IFERROR(AS1717/SUM(AS1716:AS1721)*AL1716,0)</f>
        <v>0</v>
      </c>
      <c r="AS1717" s="197" t="str">
        <f>IFERROR(VLOOKUP($G1717,нормы!$A$14:$BC$57,55,0)*W1717,"")</f>
        <v/>
      </c>
      <c r="AT1717" s="290">
        <f>IFERROR(AU1717/SUM(AU1716:AU1721)*AM1716,0)</f>
        <v>0</v>
      </c>
      <c r="AU1717" s="197" t="str">
        <f>IFERROR(VLOOKUP($G1717,нормы!$A$14:$BI$57,56,0)*W1717,"")</f>
        <v/>
      </c>
      <c r="AV1717" s="290">
        <f>IFERROR(AW1717/SUM(AW1716:AW1721)*AK1716,0)</f>
        <v>0</v>
      </c>
      <c r="AW1717" s="202" t="str">
        <f>IFERROR(VLOOKUP($G1717,нормы!$A$14:$BI$57,57,0)*W1717,"")</f>
        <v/>
      </c>
      <c r="AX1717" s="30"/>
      <c r="AY1717" s="203" t="str">
        <f>IFERROR(VLOOKUP($G1717,нормы!$A$14:$BI$57,58,0)*W1717,"")</f>
        <v/>
      </c>
      <c r="AZ1717" s="205"/>
      <c r="BA1717" s="200" t="str">
        <f>IFERROR(VLOOKUP($G1717,нормы!$A$14:$BI$57,61,0)*$W1717,"")</f>
        <v/>
      </c>
      <c r="BB1717" s="30"/>
      <c r="BC1717" s="203" t="str">
        <f>IFERROR(VLOOKUP($G1717,нормы!$A$14:$BI$57,60,0)*W1717,"")</f>
        <v/>
      </c>
      <c r="BD1717" s="200" t="str">
        <f>IFERROR(VLOOKUP($G1717,нормы!$A$14:$BG$57,44,0),"")</f>
        <v/>
      </c>
      <c r="BE1717" s="199" t="str">
        <f>IFERROR(W1717/VLOOKUP($G1717,нормы!$A$14:$BI$57,45,0),"")</f>
        <v/>
      </c>
    </row>
    <row r="1718" spans="1:57" s="1" customFormat="1" ht="20.25" customHeight="1" x14ac:dyDescent="0.4">
      <c r="A1718" s="37" t="str">
        <f t="shared" si="674"/>
        <v>28Н</v>
      </c>
      <c r="B1718" s="12">
        <f t="shared" si="675"/>
        <v>28</v>
      </c>
      <c r="C1718" s="97">
        <f t="shared" si="675"/>
        <v>0</v>
      </c>
      <c r="D1718" s="97">
        <f t="shared" si="675"/>
        <v>1</v>
      </c>
      <c r="E1718" s="54"/>
      <c r="F1718" s="151" t="str">
        <f>IFERROR(VLOOKUP($G1718,нормы!$A$14:$BC$57,2,0),"")</f>
        <v/>
      </c>
      <c r="G1718" s="38"/>
      <c r="H1718" s="54">
        <f t="shared" si="676"/>
        <v>0</v>
      </c>
      <c r="I1718" s="89" t="s">
        <v>85</v>
      </c>
      <c r="J1718" s="333"/>
      <c r="K1718" s="30">
        <f>IFERROR(VLOOKUP($G1718,[1]нормы!$A$21:$BC$151,15,0),"")</f>
        <v>0</v>
      </c>
      <c r="L1718" s="31">
        <f>IFERROR(VLOOKUP($G1718,[1]нормы!$A$21:$BC$151,17,0),"")</f>
        <v>0</v>
      </c>
      <c r="M1718" s="306">
        <f>IFERROR(VLOOKUP($G1718,[1]нормы!$A$21:$BC$151,27,0),"")</f>
        <v>0</v>
      </c>
      <c r="N1718" s="307" t="str">
        <f>IFERROR(Y1718/Y1722*(1.1*J1716*I1721),"")</f>
        <v/>
      </c>
      <c r="O1718" s="300">
        <f>IFERROR(VLOOKUP($G1718,[1]нормы!$A$21:$BC$151,21,0),"")</f>
        <v>0</v>
      </c>
      <c r="P1718" s="35">
        <f>IFERROR(VLOOKUP($G1718,[1]нормы!$A$21:$BC$151,19,0),"")</f>
        <v>0</v>
      </c>
      <c r="Q1718" s="35">
        <f>IFERROR(VLOOKUP($G1718,[1]нормы!$A$21:$BC$151,23,0),"")</f>
        <v>0</v>
      </c>
      <c r="R1718" s="231">
        <f>IFERROR(VLOOKUP($G1718,[1]нормы!$A$21:$BC$151,29,0),"")</f>
        <v>0</v>
      </c>
      <c r="S1718" s="35">
        <f>IFERROR(VLOOKUP($G1718,[1]нормы!$A$21:$BC$151,31,0),"")</f>
        <v>0</v>
      </c>
      <c r="T1718" s="32">
        <f>IFERROR(VLOOKUP($G1718,[1]нормы!$A$21:$BC$151,25,0),"")</f>
        <v>0</v>
      </c>
      <c r="U1718" s="233" t="str">
        <f>IFERROR(W1718/(((100*Y1718/Y1722)*I1721)/100),"")</f>
        <v/>
      </c>
      <c r="V1718" s="234" t="str">
        <f>IFERROR(VLOOKUP($G1718,нормы!$A$14:$BC$57,38,0),"")</f>
        <v/>
      </c>
      <c r="W1718" s="136"/>
      <c r="X1718" s="237"/>
      <c r="Y1718" s="152" t="str">
        <f>IFERROR(VLOOKUP($G1718,нормы!$A$14:$BC$57,42,0)*W1718,"")</f>
        <v/>
      </c>
      <c r="Z1718" s="163">
        <f>IFERROR(VLOOKUP($G1718,нормы!$A$14:$BC$57,14,0)*W1718/1000,0)</f>
        <v>0</v>
      </c>
      <c r="AA1718" s="30"/>
      <c r="AB1718" s="35"/>
      <c r="AC1718" s="35"/>
      <c r="AD1718" s="35"/>
      <c r="AE1718" s="31"/>
      <c r="AF1718" s="160"/>
      <c r="AG1718" s="391"/>
      <c r="AH1718" s="394"/>
      <c r="AI1718" s="397"/>
      <c r="AJ1718" s="408"/>
      <c r="AK1718" s="360"/>
      <c r="AL1718" s="360"/>
      <c r="AM1718" s="360"/>
      <c r="AN1718" s="289">
        <f>IFERROR(Y1718*AJ1716/Y1722,)</f>
        <v>0</v>
      </c>
      <c r="AO1718" s="197" t="str">
        <f>IFERROR(VLOOKUP($G1718,нормы!$A$14:$BC$57,53,0)*$W1718,"")</f>
        <v/>
      </c>
      <c r="AP1718" s="290">
        <f>IFERROR(Y1718*AI1716/Y1722,)</f>
        <v>0</v>
      </c>
      <c r="AQ1718" s="197" t="str">
        <f>IFERROR(VLOOKUP($G1718,нормы!$A$14:$BC$57,54,0)*$W1718,"")</f>
        <v/>
      </c>
      <c r="AR1718" s="290">
        <f>IFERROR(AS1718/SUM(AS1716:AS1721)*AL1716,0)</f>
        <v>0</v>
      </c>
      <c r="AS1718" s="197" t="str">
        <f>IFERROR(VLOOKUP($G1718,нормы!$A$14:$BC$57,55,0)*W1718,"")</f>
        <v/>
      </c>
      <c r="AT1718" s="290">
        <f>IFERROR(AU1718/SUM(AU1716:AU1721)*AM1716,0)</f>
        <v>0</v>
      </c>
      <c r="AU1718" s="197" t="str">
        <f>IFERROR(VLOOKUP($G1718,нормы!$A$14:$BI$57,56,0)*W1718,"")</f>
        <v/>
      </c>
      <c r="AV1718" s="290">
        <f>IFERROR(AW1718/SUM(AW1716:AW1721)*AK1716,0)</f>
        <v>0</v>
      </c>
      <c r="AW1718" s="202" t="str">
        <f>IFERROR(VLOOKUP($G1718,нормы!$A$14:$BI$57,57,0)*W1718,"")</f>
        <v/>
      </c>
      <c r="AX1718" s="30"/>
      <c r="AY1718" s="203" t="str">
        <f>IFERROR(VLOOKUP($G1718,нормы!$A$14:$BI$57,58,0)*W1718,"")</f>
        <v/>
      </c>
      <c r="AZ1718" s="205"/>
      <c r="BA1718" s="200" t="str">
        <f>IFERROR(VLOOKUP($G1718,нормы!$A$14:$BI$57,61,0)*$W1718,"")</f>
        <v/>
      </c>
      <c r="BB1718" s="30"/>
      <c r="BC1718" s="203" t="str">
        <f>IFERROR(VLOOKUP($G1718,нормы!$A$14:$BI$57,60,0)*W1718,"")</f>
        <v/>
      </c>
      <c r="BD1718" s="200" t="str">
        <f>IFERROR(VLOOKUP($G1718,нормы!$A$14:$BG$57,44,0),"")</f>
        <v/>
      </c>
      <c r="BE1718" s="199" t="str">
        <f>IFERROR(W1718/VLOOKUP($G1718,нормы!$A$14:$BI$57,45,0),"")</f>
        <v/>
      </c>
    </row>
    <row r="1719" spans="1:57" s="1" customFormat="1" ht="20.25" customHeight="1" x14ac:dyDescent="0.4">
      <c r="A1719" s="37" t="str">
        <f t="shared" si="674"/>
        <v>28Н</v>
      </c>
      <c r="B1719" s="12">
        <f t="shared" si="675"/>
        <v>28</v>
      </c>
      <c r="C1719" s="97">
        <f t="shared" si="675"/>
        <v>0</v>
      </c>
      <c r="D1719" s="97">
        <f t="shared" si="675"/>
        <v>1</v>
      </c>
      <c r="E1719" s="54"/>
      <c r="F1719" s="151" t="str">
        <f>IFERROR(VLOOKUP($G1719,нормы!$A$14:$BC$57,2,0),"")</f>
        <v/>
      </c>
      <c r="G1719" s="93"/>
      <c r="H1719" s="54">
        <f t="shared" si="676"/>
        <v>0</v>
      </c>
      <c r="I1719" s="55"/>
      <c r="J1719" s="333"/>
      <c r="K1719" s="30">
        <f>IFERROR(VLOOKUP($G1719,[1]нормы!$A$21:$BC$151,15,0),"")</f>
        <v>0</v>
      </c>
      <c r="L1719" s="31">
        <f>IFERROR(VLOOKUP($G1719,[1]нормы!$A$21:$BC$151,17,0),"")</f>
        <v>0</v>
      </c>
      <c r="M1719" s="306">
        <f>IFERROR(VLOOKUP($G1719,[1]нормы!$A$21:$BC$151,27,0),"")</f>
        <v>0</v>
      </c>
      <c r="N1719" s="307" t="str">
        <f>IFERROR(Y1719/Y1722*(1.1*J1716*I1724),"")</f>
        <v/>
      </c>
      <c r="O1719" s="300">
        <f>IFERROR(VLOOKUP($G1719,[1]нормы!$A$21:$BC$151,21,0),"")</f>
        <v>0</v>
      </c>
      <c r="P1719" s="35">
        <f>IFERROR(VLOOKUP($G1719,[1]нормы!$A$21:$BC$151,19,0),"")</f>
        <v>0</v>
      </c>
      <c r="Q1719" s="35">
        <f>IFERROR(VLOOKUP($G1719,[1]нормы!$A$21:$BC$151,23,0),"")</f>
        <v>0</v>
      </c>
      <c r="R1719" s="231">
        <f>IFERROR(VLOOKUP($G1719,[1]нормы!$A$21:$BC$151,29,0),"")</f>
        <v>0</v>
      </c>
      <c r="S1719" s="35">
        <f>IFERROR(VLOOKUP($G1719,[1]нормы!$A$21:$BC$151,31,0),"")</f>
        <v>0</v>
      </c>
      <c r="T1719" s="32">
        <f>IFERROR(VLOOKUP($G1719,[1]нормы!$A$21:$BC$151,25,0),"")</f>
        <v>0</v>
      </c>
      <c r="U1719" s="233" t="str">
        <f>IFERROR(W1719/(((100*Y1719/Y1722)*I1721)/100),"")</f>
        <v/>
      </c>
      <c r="V1719" s="234" t="str">
        <f>IFERROR(VLOOKUP($G1719,нормы!$A$14:$BC$57,38,0),"")</f>
        <v/>
      </c>
      <c r="W1719" s="136"/>
      <c r="X1719" s="237"/>
      <c r="Y1719" s="152" t="str">
        <f>IFERROR(VLOOKUP($G1719,нормы!$A$14:$BC$57,42,0)*W1719,"")</f>
        <v/>
      </c>
      <c r="Z1719" s="163">
        <f>IFERROR(VLOOKUP($G1719,нормы!$A$14:$BC$57,14,0)*W1719/1000,0)</f>
        <v>0</v>
      </c>
      <c r="AA1719" s="30"/>
      <c r="AB1719" s="35"/>
      <c r="AC1719" s="35"/>
      <c r="AD1719" s="35"/>
      <c r="AE1719" s="31"/>
      <c r="AF1719" s="160"/>
      <c r="AG1719" s="391"/>
      <c r="AH1719" s="394"/>
      <c r="AI1719" s="397"/>
      <c r="AJ1719" s="408"/>
      <c r="AK1719" s="360"/>
      <c r="AL1719" s="360"/>
      <c r="AM1719" s="360"/>
      <c r="AN1719" s="289">
        <f>IFERROR(Y1719*AJ1716/Y1722,)</f>
        <v>0</v>
      </c>
      <c r="AO1719" s="197" t="str">
        <f>IFERROR(VLOOKUP($G1719,нормы!$A$14:$BC$57,53,0)*$W1719,"")</f>
        <v/>
      </c>
      <c r="AP1719" s="290">
        <f>IFERROR(Y1719*AI1716/Y1722,)</f>
        <v>0</v>
      </c>
      <c r="AQ1719" s="197" t="str">
        <f>IFERROR(VLOOKUP($G1719,нормы!$A$14:$BC$57,54,0)*$W1719,"")</f>
        <v/>
      </c>
      <c r="AR1719" s="290">
        <f>IFERROR(AS1719/SUM(AS1716:AS1721)*AL1716,0)</f>
        <v>0</v>
      </c>
      <c r="AS1719" s="197" t="str">
        <f>IFERROR(VLOOKUP($G1719,нормы!$A$14:$BC$57,55,0)*W1719,"")</f>
        <v/>
      </c>
      <c r="AT1719" s="290">
        <f>IFERROR(AU1719/SUM(AU1716:AU1721)*AM1716,0)</f>
        <v>0</v>
      </c>
      <c r="AU1719" s="197" t="str">
        <f>IFERROR(VLOOKUP($G1719,нормы!$A$14:$BI$57,56,0)*W1719,"")</f>
        <v/>
      </c>
      <c r="AV1719" s="290">
        <f>IFERROR(AW1719/SUM(AW1716:AW1721)*AK1716,0)</f>
        <v>0</v>
      </c>
      <c r="AW1719" s="202" t="str">
        <f>IFERROR(VLOOKUP($G1719,нормы!$A$14:$BI$57,57,0)*W1719,"")</f>
        <v/>
      </c>
      <c r="AX1719" s="30"/>
      <c r="AY1719" s="203" t="str">
        <f>IFERROR(VLOOKUP($G1719,нормы!$A$14:$BI$57,58,0)*W1719,"")</f>
        <v/>
      </c>
      <c r="AZ1719" s="205"/>
      <c r="BA1719" s="200" t="str">
        <f>IFERROR(VLOOKUP($G1719,нормы!$A$14:$BI$57,61,0)*$W1719,"")</f>
        <v/>
      </c>
      <c r="BB1719" s="30"/>
      <c r="BC1719" s="203" t="str">
        <f>IFERROR(VLOOKUP($G1719,нормы!$A$14:$BI$57,60,0)*W1719,"")</f>
        <v/>
      </c>
      <c r="BD1719" s="200" t="str">
        <f>IFERROR(VLOOKUP($G1719,нормы!$A$14:$BG$57,44,0),"")</f>
        <v/>
      </c>
      <c r="BE1719" s="199" t="str">
        <f>IFERROR(W1719/VLOOKUP($G1719,нормы!$A$14:$BI$57,45,0),"")</f>
        <v/>
      </c>
    </row>
    <row r="1720" spans="1:57" s="1" customFormat="1" ht="20.25" customHeight="1" x14ac:dyDescent="0.4">
      <c r="A1720" s="37" t="str">
        <f t="shared" si="674"/>
        <v>28Н</v>
      </c>
      <c r="B1720" s="12">
        <f t="shared" si="675"/>
        <v>28</v>
      </c>
      <c r="C1720" s="97">
        <f t="shared" si="675"/>
        <v>0</v>
      </c>
      <c r="D1720" s="97">
        <f t="shared" si="675"/>
        <v>1</v>
      </c>
      <c r="E1720" s="54"/>
      <c r="F1720" s="151" t="str">
        <f>IFERROR(VLOOKUP($G1720,нормы!$A$14:$BC$57,2,0),"")</f>
        <v/>
      </c>
      <c r="G1720" s="38"/>
      <c r="H1720" s="54">
        <f t="shared" si="676"/>
        <v>0</v>
      </c>
      <c r="I1720" s="89" t="s">
        <v>73</v>
      </c>
      <c r="J1720" s="333"/>
      <c r="K1720" s="30">
        <f>IFERROR(VLOOKUP($G1720,[1]нормы!$A$21:$BC$151,15,0),"")</f>
        <v>0</v>
      </c>
      <c r="L1720" s="31">
        <f>IFERROR(VLOOKUP($G1720,[1]нормы!$A$21:$BC$151,17,0),"")</f>
        <v>0</v>
      </c>
      <c r="M1720" s="306">
        <f>IFERROR(VLOOKUP($G1720,[1]нормы!$A$21:$BC$151,27,0),"")</f>
        <v>0</v>
      </c>
      <c r="N1720" s="307" t="str">
        <f>IFERROR(Y1720/Y1722*(1.1*J1716*I1725),"")</f>
        <v/>
      </c>
      <c r="O1720" s="300">
        <f>IFERROR(VLOOKUP($G1720,[1]нормы!$A$21:$BC$151,21,0),"")</f>
        <v>0</v>
      </c>
      <c r="P1720" s="35">
        <f>IFERROR(VLOOKUP($G1720,[1]нормы!$A$21:$BC$151,19,0),"")</f>
        <v>0</v>
      </c>
      <c r="Q1720" s="35">
        <f>IFERROR(VLOOKUP($G1720,[1]нормы!$A$21:$BC$151,23,0),"")</f>
        <v>0</v>
      </c>
      <c r="R1720" s="231">
        <f>IFERROR(VLOOKUP($G1720,[1]нормы!$A$21:$BC$151,29,0),"")</f>
        <v>0</v>
      </c>
      <c r="S1720" s="35">
        <f>IFERROR(VLOOKUP($G1720,[1]нормы!$A$21:$BC$151,31,0),"")</f>
        <v>0</v>
      </c>
      <c r="T1720" s="32">
        <f>IFERROR(VLOOKUP($G1720,[1]нормы!$A$21:$BC$151,25,0),"")</f>
        <v>0</v>
      </c>
      <c r="U1720" s="233" t="str">
        <f>IFERROR(W1720/(((100*Y1720/Y1722)*I1721)/100),"")</f>
        <v/>
      </c>
      <c r="V1720" s="234" t="str">
        <f>IFERROR(VLOOKUP($G1720,нормы!$A$14:$BC$57,38,0),"")</f>
        <v/>
      </c>
      <c r="W1720" s="136"/>
      <c r="X1720" s="237"/>
      <c r="Y1720" s="152" t="str">
        <f>IFERROR(VLOOKUP($G1720,нормы!$A$14:$BC$57,42,0)*W1720,"")</f>
        <v/>
      </c>
      <c r="Z1720" s="163">
        <f>IFERROR(VLOOKUP($G1720,нормы!$A$14:$BC$57,14,0)*W1720/1000,0)</f>
        <v>0</v>
      </c>
      <c r="AA1720" s="30"/>
      <c r="AB1720" s="35"/>
      <c r="AC1720" s="35"/>
      <c r="AD1720" s="35"/>
      <c r="AE1720" s="31"/>
      <c r="AF1720" s="160"/>
      <c r="AG1720" s="391"/>
      <c r="AH1720" s="394"/>
      <c r="AI1720" s="397"/>
      <c r="AJ1720" s="408"/>
      <c r="AK1720" s="360"/>
      <c r="AL1720" s="360"/>
      <c r="AM1720" s="360"/>
      <c r="AN1720" s="289">
        <f>IFERROR(Y1720*AJ1716/Y1722,)</f>
        <v>0</v>
      </c>
      <c r="AO1720" s="197" t="str">
        <f>IFERROR(VLOOKUP($G1720,нормы!$A$14:$BC$57,53,0)*$W1720,"")</f>
        <v/>
      </c>
      <c r="AP1720" s="290">
        <f>IFERROR(Y1720*AI1716/Y1722,)</f>
        <v>0</v>
      </c>
      <c r="AQ1720" s="197" t="str">
        <f>IFERROR(VLOOKUP($G1720,нормы!$A$14:$BC$57,54,0)*$W1720,"")</f>
        <v/>
      </c>
      <c r="AR1720" s="290">
        <f>IFERROR(AS1720/SUM(AS1716:AS1721)*AL1716,0)</f>
        <v>0</v>
      </c>
      <c r="AS1720" s="197" t="str">
        <f>IFERROR(VLOOKUP($G1720,нормы!$A$14:$BC$57,55,0)*W1720,"")</f>
        <v/>
      </c>
      <c r="AT1720" s="290">
        <f>IFERROR(AU1720/SUM(AU1716:AU1721)*AM1716,0)</f>
        <v>0</v>
      </c>
      <c r="AU1720" s="197" t="str">
        <f>IFERROR(VLOOKUP($G1720,нормы!$A$14:$BI$57,56,0)*W1720,"")</f>
        <v/>
      </c>
      <c r="AV1720" s="290">
        <f>IFERROR(AW1720/SUM(AW1716:AW1721)*AK1716,0)</f>
        <v>0</v>
      </c>
      <c r="AW1720" s="202" t="str">
        <f>IFERROR(VLOOKUP($G1720,нормы!$A$14:$BI$57,57,0)*W1720,"")</f>
        <v/>
      </c>
      <c r="AX1720" s="30"/>
      <c r="AY1720" s="203" t="str">
        <f>IFERROR(VLOOKUP($G1720,нормы!$A$14:$BI$57,58,0)*W1720,"")</f>
        <v/>
      </c>
      <c r="AZ1720" s="205"/>
      <c r="BA1720" s="200" t="str">
        <f>IFERROR(VLOOKUP($G1720,нормы!$A$14:$BI$57,61,0)*$W1720,"")</f>
        <v/>
      </c>
      <c r="BB1720" s="30"/>
      <c r="BC1720" s="203" t="str">
        <f>IFERROR(VLOOKUP($G1720,нормы!$A$14:$BI$57,60,0)*W1720,"")</f>
        <v/>
      </c>
      <c r="BD1720" s="200" t="str">
        <f>IFERROR(VLOOKUP($G1720,нормы!$A$14:$BG$57,44,0),"")</f>
        <v/>
      </c>
      <c r="BE1720" s="199" t="str">
        <f>IFERROR(W1720/VLOOKUP($G1720,нормы!$A$14:$BI$57,45,0),"")</f>
        <v/>
      </c>
    </row>
    <row r="1721" spans="1:57" s="1" customFormat="1" ht="21" customHeight="1" thickBot="1" x14ac:dyDescent="0.45">
      <c r="A1721" s="37" t="str">
        <f t="shared" si="674"/>
        <v>28Н</v>
      </c>
      <c r="B1721" s="12">
        <f t="shared" si="675"/>
        <v>28</v>
      </c>
      <c r="C1721" s="97">
        <f t="shared" si="675"/>
        <v>0</v>
      </c>
      <c r="D1721" s="97">
        <f t="shared" si="675"/>
        <v>1</v>
      </c>
      <c r="E1721" s="54"/>
      <c r="F1721" s="151" t="str">
        <f>IFERROR(VLOOKUP($G1721,нормы!$A$14:$BC$57,2,0),"")</f>
        <v/>
      </c>
      <c r="G1721" s="93"/>
      <c r="H1721" s="63">
        <f t="shared" si="676"/>
        <v>0</v>
      </c>
      <c r="I1721" s="153">
        <f>I1717+I1719</f>
        <v>0</v>
      </c>
      <c r="J1721" s="334"/>
      <c r="K1721" s="30">
        <f>IFERROR(VLOOKUP($G1721,[1]нормы!$A$21:$BC$151,15,0),"")</f>
        <v>0</v>
      </c>
      <c r="L1721" s="31">
        <f>IFERROR(VLOOKUP($G1721,[1]нормы!$A$21:$BC$151,17,0),"")</f>
        <v>0</v>
      </c>
      <c r="M1721" s="308">
        <f>IFERROR(VLOOKUP($G1721,[1]нормы!$A$21:$BC$151,27,0),"")</f>
        <v>0</v>
      </c>
      <c r="N1721" s="309" t="str">
        <f>IFERROR(Y1721/Y1722*(1.1*J1716*I1726),"")</f>
        <v/>
      </c>
      <c r="O1721" s="300">
        <f>IFERROR(VLOOKUP($G1721,[1]нормы!$A$21:$BC$151,21,0),"")</f>
        <v>0</v>
      </c>
      <c r="P1721" s="35">
        <f>IFERROR(VLOOKUP($G1721,[1]нормы!$A$21:$BC$151,19,0),"")</f>
        <v>0</v>
      </c>
      <c r="Q1721" s="35">
        <f>IFERROR(VLOOKUP($G1721,[1]нормы!$A$21:$BC$151,23,0),"")</f>
        <v>0</v>
      </c>
      <c r="R1721" s="231">
        <f>IFERROR(VLOOKUP($G1721,[1]нормы!$A$21:$BC$151,29,0),"")</f>
        <v>0</v>
      </c>
      <c r="S1721" s="35">
        <f>IFERROR(VLOOKUP($G1721,[1]нормы!$A$21:$BC$151,31,0),"")</f>
        <v>0</v>
      </c>
      <c r="T1721" s="32">
        <f>IFERROR(VLOOKUP($G1721,[1]нормы!$A$21:$BC$151,25,0),"")</f>
        <v>0</v>
      </c>
      <c r="U1721" s="235" t="str">
        <f>IFERROR(W1721/(((100*Y1721/Y1722)*I1721)/100),"")</f>
        <v/>
      </c>
      <c r="V1721" s="234" t="str">
        <f>IFERROR(VLOOKUP($G1721,нормы!$A$14:$BC$57,38,0),"")</f>
        <v/>
      </c>
      <c r="W1721" s="154"/>
      <c r="X1721" s="238"/>
      <c r="Y1721" s="152" t="str">
        <f>IFERROR(VLOOKUP($G1721,нормы!$A$14:$BC$57,42,0)*W1721,"")</f>
        <v/>
      </c>
      <c r="Z1721" s="163">
        <f>IFERROR(VLOOKUP($G1721,нормы!$A$14:$BC$57,14,0)*W1721/1000,0)</f>
        <v>0</v>
      </c>
      <c r="AA1721" s="56"/>
      <c r="AB1721" s="58"/>
      <c r="AC1721" s="58"/>
      <c r="AD1721" s="58"/>
      <c r="AE1721" s="57"/>
      <c r="AF1721" s="161"/>
      <c r="AG1721" s="392"/>
      <c r="AH1721" s="395"/>
      <c r="AI1721" s="398"/>
      <c r="AJ1721" s="409"/>
      <c r="AK1721" s="361"/>
      <c r="AL1721" s="361"/>
      <c r="AM1721" s="361"/>
      <c r="AN1721" s="291">
        <f>IFERROR(Y1721*AJ1716/Y1722,)</f>
        <v>0</v>
      </c>
      <c r="AO1721" s="197" t="str">
        <f>IFERROR(VLOOKUP($G1721,нормы!$A$14:$BC$57,53,0)*$W1721,"")</f>
        <v/>
      </c>
      <c r="AP1721" s="292">
        <f>IFERROR(Y1721*AI1716/Y1722,)</f>
        <v>0</v>
      </c>
      <c r="AQ1721" s="197" t="str">
        <f>IFERROR(VLOOKUP($G1721,нормы!$A$14:$BC$57,54,0)*$W1721,"")</f>
        <v/>
      </c>
      <c r="AR1721" s="290">
        <f>IFERROR(AS1721/SUM(AS1716:AS1721)*AL1716,0)</f>
        <v>0</v>
      </c>
      <c r="AS1721" s="197" t="str">
        <f>IFERROR(VLOOKUP($G1721,нормы!$A$14:$BC$57,55,0)*W1721,"")</f>
        <v/>
      </c>
      <c r="AT1721" s="292">
        <f>IFERROR(AU1721/SUM(AU1716:AU1721)*AM1716,0)</f>
        <v>0</v>
      </c>
      <c r="AU1721" s="197" t="str">
        <f>IFERROR(VLOOKUP($G1721,нормы!$A$14:$BI$57,56,0)*W1721,"")</f>
        <v/>
      </c>
      <c r="AV1721" s="292">
        <f>IFERROR(AW1721/SUM(AW1716:AW1721)*AK1716,0)</f>
        <v>0</v>
      </c>
      <c r="AW1721" s="202" t="str">
        <f>IFERROR(VLOOKUP($G1721,нормы!$A$14:$BI$57,57,0)*W1721,"")</f>
        <v/>
      </c>
      <c r="AX1721" s="56"/>
      <c r="AY1721" s="203" t="str">
        <f>IFERROR(VLOOKUP($G1721,нормы!$A$14:$BI$57,58,0)*W1721,"")</f>
        <v/>
      </c>
      <c r="AZ1721" s="206"/>
      <c r="BA1721" s="200" t="str">
        <f>IFERROR(VLOOKUP($G1721,нормы!$A$14:$BI$57,61,0)*$W1721,"")</f>
        <v/>
      </c>
      <c r="BB1721" s="56"/>
      <c r="BC1721" s="203" t="str">
        <f>IFERROR(VLOOKUP($G1721,нормы!$A$14:$BI$57,60,0)*W1721,"")</f>
        <v/>
      </c>
      <c r="BD1721" s="200" t="str">
        <f>IFERROR(VLOOKUP($G1721,нормы!$A$14:$BG$57,44,0),"")</f>
        <v/>
      </c>
      <c r="BE1721" s="199" t="str">
        <f>IFERROR(W1721/VLOOKUP($G1721,нормы!$A$14:$BI$57,45,0),"")</f>
        <v/>
      </c>
    </row>
    <row r="1722" spans="1:57" s="1" customFormat="1" ht="29.4" customHeight="1" thickBot="1" x14ac:dyDescent="0.45">
      <c r="A1722" s="37" t="str">
        <f t="shared" si="674"/>
        <v>28Н</v>
      </c>
      <c r="B1722" s="59"/>
      <c r="C1722" s="51"/>
      <c r="D1722" s="51"/>
      <c r="E1722" s="51"/>
      <c r="F1722" s="295" t="s">
        <v>149</v>
      </c>
      <c r="G1722" s="51"/>
      <c r="H1722" s="51"/>
      <c r="I1722" s="60"/>
      <c r="J1722" s="60"/>
      <c r="K1722" s="319" t="s">
        <v>213</v>
      </c>
      <c r="L1722" s="316"/>
      <c r="M1722" s="303" t="s">
        <v>213</v>
      </c>
      <c r="N1722" s="317">
        <f>SUM(N1716:N1721)</f>
        <v>0</v>
      </c>
      <c r="O1722" s="304" t="s">
        <v>216</v>
      </c>
      <c r="P1722" s="318">
        <f>N1722*8.937/1000</f>
        <v>0</v>
      </c>
      <c r="Q1722" s="305" t="s">
        <v>215</v>
      </c>
      <c r="R1722" s="61"/>
      <c r="S1722" s="61"/>
      <c r="T1722" s="61"/>
      <c r="U1722" s="109"/>
      <c r="V1722" s="109"/>
      <c r="W1722" s="94"/>
      <c r="X1722" s="155"/>
      <c r="Y1722" s="96">
        <f>SUM(Y1716:Y1721)</f>
        <v>0</v>
      </c>
      <c r="Z1722" s="164">
        <f>SUM(Z1716:Z1721)</f>
        <v>0</v>
      </c>
      <c r="AA1722" s="62"/>
      <c r="AB1722" s="62"/>
      <c r="AC1722" s="62"/>
      <c r="AD1722" s="62"/>
      <c r="AE1722" s="62"/>
      <c r="AF1722" s="62"/>
      <c r="AG1722" s="162" t="s">
        <v>140</v>
      </c>
      <c r="AH1722" s="162" t="s">
        <v>141</v>
      </c>
      <c r="AI1722" s="162" t="s">
        <v>142</v>
      </c>
      <c r="AJ1722" s="91" t="s">
        <v>126</v>
      </c>
      <c r="AK1722" s="198" t="s">
        <v>136</v>
      </c>
      <c r="AL1722" s="198" t="s">
        <v>137</v>
      </c>
      <c r="AM1722" s="198" t="s">
        <v>138</v>
      </c>
      <c r="AN1722" s="91"/>
      <c r="AO1722" s="91"/>
      <c r="AP1722" s="91"/>
      <c r="AQ1722" s="91"/>
      <c r="AR1722" s="91"/>
      <c r="AS1722" s="91"/>
      <c r="AT1722" s="91"/>
      <c r="AU1722" s="91"/>
      <c r="AV1722" s="91"/>
      <c r="AW1722" s="91"/>
      <c r="AX1722" s="91"/>
      <c r="AY1722" s="91"/>
      <c r="AZ1722" s="91"/>
      <c r="BA1722" s="91"/>
      <c r="BB1722" s="91"/>
      <c r="BC1722" s="91"/>
      <c r="BD1722" s="91"/>
      <c r="BE1722" s="53" t="str">
        <f>IFERROR(W1722/VLOOKUP($G1722,нормы!$A$14:$BI$15,28,0),"")</f>
        <v/>
      </c>
    </row>
    <row r="1723" spans="1:57" s="1" customFormat="1" ht="21.6" customHeight="1" x14ac:dyDescent="0.4">
      <c r="A1723" s="37" t="str">
        <f t="shared" si="674"/>
        <v>28Н</v>
      </c>
      <c r="B1723" s="12">
        <f>B1721</f>
        <v>28</v>
      </c>
      <c r="C1723" s="97"/>
      <c r="D1723" s="97">
        <v>2</v>
      </c>
      <c r="E1723" s="29"/>
      <c r="F1723" s="151" t="str">
        <f>IFERROR(VLOOKUP($G1723,нормы!$A$14:$BC$57,2,0),"")</f>
        <v/>
      </c>
      <c r="G1723" s="93"/>
      <c r="H1723" s="54">
        <f>IF(C1723=1,"Кульков С.А.", IF(C1723=2,"Чудаков А.А.",IF(C1723=3,"Королев В.Н.",IF(C1723=4,"Николашин М.П.",IF(C1723=5," Кульков С.А.",IF(C1723=6,"А.А. Чудаков",IF(C1723=7,"В.Н. Королев",IF(C1723=8,"М.П. Николашин",0))))))))</f>
        <v>0</v>
      </c>
      <c r="I1723" s="88" t="s">
        <v>211</v>
      </c>
      <c r="J1723" s="332"/>
      <c r="K1723" s="30">
        <f>IFERROR(VLOOKUP($G1723,[1]нормы!$A$21:$BC$151,15,0),"")</f>
        <v>0</v>
      </c>
      <c r="L1723" s="31">
        <f>IFERROR(VLOOKUP($G1723,[1]нормы!$A$21:$BC$151,17,0),"")</f>
        <v>0</v>
      </c>
      <c r="M1723" s="310">
        <f>IFERROR(VLOOKUP($G1723,[1]нормы!$A$21:$BC$151,27,0),"")</f>
        <v>0</v>
      </c>
      <c r="N1723" s="311" t="str">
        <f>IFERROR(Y1723/Y1729*(1.1*J1723*I1728),"")</f>
        <v/>
      </c>
      <c r="O1723" s="300">
        <f>IFERROR(VLOOKUP($G1723,[1]нормы!$A$21:$BC$151,21,0),"")</f>
        <v>0</v>
      </c>
      <c r="P1723" s="35">
        <f>IFERROR(VLOOKUP($G1723,[1]нормы!$A$21:$BC$151,19,0),"")</f>
        <v>0</v>
      </c>
      <c r="Q1723" s="35">
        <f>IFERROR(VLOOKUP($G1723,[1]нормы!$A$21:$BC$151,23,0),"")</f>
        <v>0</v>
      </c>
      <c r="R1723" s="231">
        <f>IFERROR(VLOOKUP($G1723,[1]нормы!$A$21:$BC$151,29,0),"")</f>
        <v>0</v>
      </c>
      <c r="S1723" s="35">
        <f>IFERROR(VLOOKUP($G1723,[1]нормы!$A$21:$BC$151,31,0),"")</f>
        <v>0</v>
      </c>
      <c r="T1723" s="32">
        <f>IFERROR(VLOOKUP($G1723,[1]нормы!$A$21:$BC$151,25,0),"")</f>
        <v>0</v>
      </c>
      <c r="U1723" s="232" t="str">
        <f>IFERROR(W1723/(((100*Y1723/Y1729)*I1728)/100),"")</f>
        <v/>
      </c>
      <c r="V1723" s="234" t="str">
        <f>IFERROR(VLOOKUP($G1723,нормы!$A$14:$BC$57,38,0),"")</f>
        <v/>
      </c>
      <c r="W1723" s="136"/>
      <c r="X1723" s="236"/>
      <c r="Y1723" s="152" t="str">
        <f>IFERROR(VLOOKUP($G1723,нормы!$A$14:$BC$57,42,0)*W1723,"")</f>
        <v/>
      </c>
      <c r="Z1723" s="163">
        <f>IFERROR(VLOOKUP($G1723,нормы!$A$14:$BC$57,14,0)*W1723/1000,0)</f>
        <v>0</v>
      </c>
      <c r="AA1723" s="33"/>
      <c r="AB1723" s="36"/>
      <c r="AC1723" s="36"/>
      <c r="AD1723" s="36"/>
      <c r="AE1723" s="34"/>
      <c r="AF1723" s="159"/>
      <c r="AG1723" s="390"/>
      <c r="AH1723" s="393"/>
      <c r="AI1723" s="396"/>
      <c r="AJ1723" s="407">
        <f>AG1723+AH1723</f>
        <v>0</v>
      </c>
      <c r="AK1723" s="359"/>
      <c r="AL1723" s="359"/>
      <c r="AM1723" s="359"/>
      <c r="AN1723" s="287">
        <f>IFERROR(Y1723*AJ1723/Y1729,)</f>
        <v>0</v>
      </c>
      <c r="AO1723" s="197" t="str">
        <f>IFERROR(VLOOKUP($G1723,нормы!$A$14:$BC$57,53,0)*$W1723,"")</f>
        <v/>
      </c>
      <c r="AP1723" s="288">
        <f>IFERROR(Y1723*AI1723/Y1729,)</f>
        <v>0</v>
      </c>
      <c r="AQ1723" s="197" t="str">
        <f>IFERROR(VLOOKUP($G1723,нормы!$A$14:$BC$57,54,0)*$W1723,"")</f>
        <v/>
      </c>
      <c r="AR1723" s="288">
        <f>IFERROR(AS1723/SUM(AS1723:AS1728)*AL1723,0)</f>
        <v>0</v>
      </c>
      <c r="AS1723" s="197" t="str">
        <f>IFERROR(VLOOKUP($G1723,нормы!$A$14:$BC$57,55,0)*W1723,"")</f>
        <v/>
      </c>
      <c r="AT1723" s="288">
        <f>IFERROR(AU1723/SUM(AU1723:AU1728)*AM1723,0)</f>
        <v>0</v>
      </c>
      <c r="AU1723" s="197" t="str">
        <f>IFERROR(VLOOKUP($G1723,нормы!$A$14:$BI$57,56,0)*W1723,"")</f>
        <v/>
      </c>
      <c r="AV1723" s="288">
        <f>IFERROR(AW1723/SUM(AW1723:AW1728)*AK1723,0)</f>
        <v>0</v>
      </c>
      <c r="AW1723" s="202" t="str">
        <f>IFERROR(VLOOKUP($G1723,нормы!$A$14:$BI$57,57,0)*W1723,"")</f>
        <v/>
      </c>
      <c r="AX1723" s="33"/>
      <c r="AY1723" s="203" t="str">
        <f>IFERROR(VLOOKUP($G1723,нормы!$A$14:$BI$57,58,0)*W1723,"")</f>
        <v/>
      </c>
      <c r="AZ1723" s="204"/>
      <c r="BA1723" s="200" t="str">
        <f>IFERROR(VLOOKUP($G1723,нормы!$A$14:$BI$57,61,0)*$W1723,"")</f>
        <v/>
      </c>
      <c r="BB1723" s="33"/>
      <c r="BC1723" s="203" t="str">
        <f>IFERROR(VLOOKUP($G1723,нормы!$A$14:$BI$57,60,0)*W1723,"")</f>
        <v/>
      </c>
      <c r="BD1723" s="200" t="str">
        <f>IFERROR(VLOOKUP($G1723,нормы!$A$14:$BG$57,44,0),"")</f>
        <v/>
      </c>
      <c r="BE1723" s="199" t="str">
        <f>IFERROR(W1723/VLOOKUP($G1723,нормы!$A$14:$BI$57,45,0),"")</f>
        <v/>
      </c>
    </row>
    <row r="1724" spans="1:57" s="1" customFormat="1" ht="21.6" customHeight="1" x14ac:dyDescent="0.4">
      <c r="A1724" s="37" t="str">
        <f t="shared" si="674"/>
        <v>28Н</v>
      </c>
      <c r="B1724" s="12">
        <f t="shared" ref="B1724:D1728" si="677">B1723</f>
        <v>28</v>
      </c>
      <c r="C1724" s="97">
        <f t="shared" si="677"/>
        <v>0</v>
      </c>
      <c r="D1724" s="97">
        <f t="shared" si="677"/>
        <v>2</v>
      </c>
      <c r="E1724" s="54"/>
      <c r="F1724" s="151" t="str">
        <f>IFERROR(VLOOKUP($G1724,нормы!$A$14:$BC$57,2,0),"")</f>
        <v/>
      </c>
      <c r="G1724" s="93"/>
      <c r="H1724" s="54">
        <f t="shared" ref="H1724:H1728" si="678">IF(C1724=1,"Кульков С.А.", IF(C1724=2,"Чудаков А.А.",IF(C1724=3,"Королев В.Н.",IF(C1724=4,"Николашин М.П.",IF(C1724=5," Кульков С.А.",IF(C1724=6,"А.А. Чудаков",IF(C1724=7,"В.Н. Королев",IF(C1724=8,"М.П. Николашин",0))))))))</f>
        <v>0</v>
      </c>
      <c r="I1724" s="55"/>
      <c r="J1724" s="333"/>
      <c r="K1724" s="30">
        <f>IFERROR(VLOOKUP($G1724,[1]нормы!$A$21:$BC$151,15,0),"")</f>
        <v>0</v>
      </c>
      <c r="L1724" s="31">
        <f>IFERROR(VLOOKUP($G1724,[1]нормы!$A$21:$BC$151,17,0),"")</f>
        <v>0</v>
      </c>
      <c r="M1724" s="306">
        <f>IFERROR(VLOOKUP($G1724,[1]нормы!$A$21:$BC$151,27,0),"")</f>
        <v>0</v>
      </c>
      <c r="N1724" s="307" t="str">
        <f>IFERROR(Y1724/Y1729*(1.1*J1723*I1728),"")</f>
        <v/>
      </c>
      <c r="O1724" s="300">
        <f>IFERROR(VLOOKUP($G1724,[1]нормы!$A$21:$BC$151,21,0),"")</f>
        <v>0</v>
      </c>
      <c r="P1724" s="35">
        <f>IFERROR(VLOOKUP($G1724,[1]нормы!$A$21:$BC$151,19,0),"")</f>
        <v>0</v>
      </c>
      <c r="Q1724" s="35">
        <f>IFERROR(VLOOKUP($G1724,[1]нормы!$A$21:$BC$151,23,0),"")</f>
        <v>0</v>
      </c>
      <c r="R1724" s="231">
        <f>IFERROR(VLOOKUP($G1724,[1]нормы!$A$21:$BC$151,29,0),"")</f>
        <v>0</v>
      </c>
      <c r="S1724" s="35">
        <f>IFERROR(VLOOKUP($G1724,[1]нормы!$A$21:$BC$151,31,0),"")</f>
        <v>0</v>
      </c>
      <c r="T1724" s="32">
        <f>IFERROR(VLOOKUP($G1724,[1]нормы!$A$21:$BC$151,25,0),"")</f>
        <v>0</v>
      </c>
      <c r="U1724" s="233" t="str">
        <f>IFERROR(W1724/(((100*Y1724/Y1729)*I1728)/100),"")</f>
        <v/>
      </c>
      <c r="V1724" s="234" t="str">
        <f>IFERROR(VLOOKUP($G1724,нормы!$A$14:$BC$57,38,0),"")</f>
        <v/>
      </c>
      <c r="W1724" s="136"/>
      <c r="X1724" s="237"/>
      <c r="Y1724" s="152" t="str">
        <f>IFERROR(VLOOKUP($G1724,нормы!$A$14:$BC$57,42,0)*W1724,"")</f>
        <v/>
      </c>
      <c r="Z1724" s="163">
        <f>IFERROR(VLOOKUP($G1724,нормы!$A$14:$BC$57,14,0)*W1724/1000,0)</f>
        <v>0</v>
      </c>
      <c r="AA1724" s="142"/>
      <c r="AB1724" s="35"/>
      <c r="AC1724" s="35"/>
      <c r="AD1724" s="35"/>
      <c r="AE1724" s="31"/>
      <c r="AF1724" s="160"/>
      <c r="AG1724" s="391"/>
      <c r="AH1724" s="394"/>
      <c r="AI1724" s="397"/>
      <c r="AJ1724" s="408"/>
      <c r="AK1724" s="360"/>
      <c r="AL1724" s="360"/>
      <c r="AM1724" s="360"/>
      <c r="AN1724" s="289">
        <f>IFERROR(Y1724*AJ1723/Y1729,)</f>
        <v>0</v>
      </c>
      <c r="AO1724" s="197" t="str">
        <f>IFERROR(VLOOKUP($G1724,нормы!$A$14:$BC$57,53,0)*$W1724,"")</f>
        <v/>
      </c>
      <c r="AP1724" s="290">
        <f>IFERROR(Y1724*AI1723/Y1729,)</f>
        <v>0</v>
      </c>
      <c r="AQ1724" s="197" t="str">
        <f>IFERROR(VLOOKUP($G1724,нормы!$A$14:$BC$57,54,0)*$W1724,"")</f>
        <v/>
      </c>
      <c r="AR1724" s="290">
        <f>IFERROR(AS1724/SUM(AS1723:AS1728)*AL1723,0)</f>
        <v>0</v>
      </c>
      <c r="AS1724" s="197" t="str">
        <f>IFERROR(VLOOKUP($G1724,нормы!$A$14:$BC$57,55,0)*W1724,"")</f>
        <v/>
      </c>
      <c r="AT1724" s="290">
        <f>IFERROR(AU1724/SUM(AU1723:AU1728)*AM1723,0)</f>
        <v>0</v>
      </c>
      <c r="AU1724" s="197" t="str">
        <f>IFERROR(VLOOKUP($G1724,нормы!$A$14:$BI$57,56,0)*W1724,"")</f>
        <v/>
      </c>
      <c r="AV1724" s="290">
        <f>IFERROR(AW1724/SUM(AW1723:AW1728)*AK1723,0)</f>
        <v>0</v>
      </c>
      <c r="AW1724" s="202" t="str">
        <f>IFERROR(VLOOKUP($G1724,нормы!$A$14:$BI$57,57,0)*W1724,"")</f>
        <v/>
      </c>
      <c r="AX1724" s="30"/>
      <c r="AY1724" s="203" t="str">
        <f>IFERROR(VLOOKUP($G1724,нормы!$A$14:$BI$57,58,0)*W1724,"")</f>
        <v/>
      </c>
      <c r="AZ1724" s="205"/>
      <c r="BA1724" s="200" t="str">
        <f>IFERROR(VLOOKUP($G1724,нормы!$A$14:$BI$57,61,0)*$W1724,"")</f>
        <v/>
      </c>
      <c r="BB1724" s="30"/>
      <c r="BC1724" s="203" t="str">
        <f>IFERROR(VLOOKUP($G1724,нормы!$A$14:$BI$57,60,0)*W1724,"")</f>
        <v/>
      </c>
      <c r="BD1724" s="200" t="str">
        <f>IFERROR(VLOOKUP($G1724,нормы!$A$14:$BG$57,44,0),"")</f>
        <v/>
      </c>
      <c r="BE1724" s="199" t="str">
        <f>IFERROR(W1724/VLOOKUP($G1724,нормы!$A$14:$BI$57,45,0),"")</f>
        <v/>
      </c>
    </row>
    <row r="1725" spans="1:57" s="1" customFormat="1" ht="20.25" customHeight="1" x14ac:dyDescent="0.4">
      <c r="A1725" s="37" t="str">
        <f t="shared" si="674"/>
        <v>28Н</v>
      </c>
      <c r="B1725" s="12">
        <f t="shared" si="677"/>
        <v>28</v>
      </c>
      <c r="C1725" s="97">
        <f t="shared" si="677"/>
        <v>0</v>
      </c>
      <c r="D1725" s="97">
        <f t="shared" si="677"/>
        <v>2</v>
      </c>
      <c r="E1725" s="54"/>
      <c r="F1725" s="151" t="str">
        <f>IFERROR(VLOOKUP($G1725,нормы!$A$14:$BC$57,2,0),"")</f>
        <v/>
      </c>
      <c r="G1725" s="38"/>
      <c r="H1725" s="54">
        <f t="shared" si="678"/>
        <v>0</v>
      </c>
      <c r="I1725" s="89" t="s">
        <v>212</v>
      </c>
      <c r="J1725" s="333"/>
      <c r="K1725" s="30">
        <f>IFERROR(VLOOKUP($G1725,[1]нормы!$A$21:$BC$151,15,0),"")</f>
        <v>0</v>
      </c>
      <c r="L1725" s="31">
        <f>IFERROR(VLOOKUP($G1725,[1]нормы!$A$21:$BC$151,17,0),"")</f>
        <v>0</v>
      </c>
      <c r="M1725" s="306">
        <f>IFERROR(VLOOKUP($G1725,[1]нормы!$A$21:$BC$151,27,0),"")</f>
        <v>0</v>
      </c>
      <c r="N1725" s="307" t="str">
        <f>IFERROR(Y1725/Y1729*(1.1*J1723*I1728),"")</f>
        <v/>
      </c>
      <c r="O1725" s="300">
        <f>IFERROR(VLOOKUP($G1725,[1]нормы!$A$21:$BC$151,21,0),"")</f>
        <v>0</v>
      </c>
      <c r="P1725" s="35">
        <f>IFERROR(VLOOKUP($G1725,[1]нормы!$A$21:$BC$151,19,0),"")</f>
        <v>0</v>
      </c>
      <c r="Q1725" s="35">
        <f>IFERROR(VLOOKUP($G1725,[1]нормы!$A$21:$BC$151,23,0),"")</f>
        <v>0</v>
      </c>
      <c r="R1725" s="231">
        <f>IFERROR(VLOOKUP($G1725,[1]нормы!$A$21:$BC$151,29,0),"")</f>
        <v>0</v>
      </c>
      <c r="S1725" s="35">
        <f>IFERROR(VLOOKUP($G1725,[1]нормы!$A$21:$BC$151,31,0),"")</f>
        <v>0</v>
      </c>
      <c r="T1725" s="32">
        <f>IFERROR(VLOOKUP($G1725,[1]нормы!$A$21:$BC$151,25,0),"")</f>
        <v>0</v>
      </c>
      <c r="U1725" s="233" t="str">
        <f>IFERROR(W1725/(((100*Y1725/Y1729)*I1728)/100),"")</f>
        <v/>
      </c>
      <c r="V1725" s="234" t="str">
        <f>IFERROR(VLOOKUP($G1725,нормы!$A$14:$BC$57,38,0),"")</f>
        <v/>
      </c>
      <c r="W1725" s="136"/>
      <c r="X1725" s="237"/>
      <c r="Y1725" s="152" t="str">
        <f>IFERROR(VLOOKUP($G1725,нормы!$A$14:$BC$57,42,0)*W1725,"")</f>
        <v/>
      </c>
      <c r="Z1725" s="163">
        <f>IFERROR(VLOOKUP($G1725,нормы!$A$14:$BC$57,14,0)*W1725/1000,0)</f>
        <v>0</v>
      </c>
      <c r="AA1725" s="30"/>
      <c r="AB1725" s="35"/>
      <c r="AC1725" s="35"/>
      <c r="AD1725" s="35"/>
      <c r="AE1725" s="31"/>
      <c r="AF1725" s="160"/>
      <c r="AG1725" s="391"/>
      <c r="AH1725" s="394"/>
      <c r="AI1725" s="397"/>
      <c r="AJ1725" s="408"/>
      <c r="AK1725" s="360"/>
      <c r="AL1725" s="360"/>
      <c r="AM1725" s="360"/>
      <c r="AN1725" s="289">
        <f>IFERROR(Y1725*AJ1723/Y1729,)</f>
        <v>0</v>
      </c>
      <c r="AO1725" s="197" t="str">
        <f>IFERROR(VLOOKUP($G1725,нормы!$A$14:$BC$57,53,0)*$W1725,"")</f>
        <v/>
      </c>
      <c r="AP1725" s="290">
        <f>IFERROR(Y1725*AI1723/Y1729,)</f>
        <v>0</v>
      </c>
      <c r="AQ1725" s="197" t="str">
        <f>IFERROR(VLOOKUP($G1725,нормы!$A$14:$BC$57,54,0)*$W1725,"")</f>
        <v/>
      </c>
      <c r="AR1725" s="290">
        <f>IFERROR(AS1725/SUM(AS1723:AS1728)*AL1723,0)</f>
        <v>0</v>
      </c>
      <c r="AS1725" s="197" t="str">
        <f>IFERROR(VLOOKUP($G1725,нормы!$A$14:$BC$57,55,0)*W1725,"")</f>
        <v/>
      </c>
      <c r="AT1725" s="290">
        <f>IFERROR(AU1725/SUM(AU1723:AU1728)*AM1723,0)</f>
        <v>0</v>
      </c>
      <c r="AU1725" s="197" t="str">
        <f>IFERROR(VLOOKUP($G1725,нормы!$A$14:$BI$57,56,0)*W1725,"")</f>
        <v/>
      </c>
      <c r="AV1725" s="290">
        <f>IFERROR(AW1725/SUM(AW1723:AW1728)*AK1723,0)</f>
        <v>0</v>
      </c>
      <c r="AW1725" s="202" t="str">
        <f>IFERROR(VLOOKUP($G1725,нормы!$A$14:$BI$57,57,0)*W1725,"")</f>
        <v/>
      </c>
      <c r="AX1725" s="30"/>
      <c r="AY1725" s="203" t="str">
        <f>IFERROR(VLOOKUP($G1725,нормы!$A$14:$BI$57,58,0)*W1725,"")</f>
        <v/>
      </c>
      <c r="AZ1725" s="205"/>
      <c r="BA1725" s="200" t="str">
        <f>IFERROR(VLOOKUP($G1725,нормы!$A$14:$BI$57,61,0)*$W1725,"")</f>
        <v/>
      </c>
      <c r="BB1725" s="30"/>
      <c r="BC1725" s="203" t="str">
        <f>IFERROR(VLOOKUP($G1725,нормы!$A$14:$BI$57,60,0)*W1725,"")</f>
        <v/>
      </c>
      <c r="BD1725" s="200" t="str">
        <f>IFERROR(VLOOKUP($G1725,нормы!$A$14:$BG$57,44,0),"")</f>
        <v/>
      </c>
      <c r="BE1725" s="199" t="str">
        <f>IFERROR(W1725/VLOOKUP($G1725,нормы!$A$14:$BI$57,45,0),"")</f>
        <v/>
      </c>
    </row>
    <row r="1726" spans="1:57" s="1" customFormat="1" ht="20.25" customHeight="1" x14ac:dyDescent="0.4">
      <c r="A1726" s="37" t="str">
        <f t="shared" si="674"/>
        <v>28Н</v>
      </c>
      <c r="B1726" s="12">
        <f t="shared" si="677"/>
        <v>28</v>
      </c>
      <c r="C1726" s="97">
        <f t="shared" si="677"/>
        <v>0</v>
      </c>
      <c r="D1726" s="97">
        <f t="shared" si="677"/>
        <v>2</v>
      </c>
      <c r="E1726" s="54"/>
      <c r="F1726" s="151" t="str">
        <f>IFERROR(VLOOKUP($G1726,нормы!$A$14:$BC$57,2,0),"")</f>
        <v/>
      </c>
      <c r="G1726" s="93"/>
      <c r="H1726" s="54">
        <f t="shared" si="678"/>
        <v>0</v>
      </c>
      <c r="I1726" s="55"/>
      <c r="J1726" s="333"/>
      <c r="K1726" s="30">
        <f>IFERROR(VLOOKUP($G1726,[1]нормы!$A$21:$BC$151,15,0),"")</f>
        <v>0</v>
      </c>
      <c r="L1726" s="31">
        <f>IFERROR(VLOOKUP($G1726,[1]нормы!$A$21:$BC$151,17,0),"")</f>
        <v>0</v>
      </c>
      <c r="M1726" s="306">
        <f>IFERROR(VLOOKUP($G1726,[1]нормы!$A$21:$BC$151,27,0),"")</f>
        <v>0</v>
      </c>
      <c r="N1726" s="307" t="str">
        <f>IFERROR(Y1726/Y1729*(1.1*J1723*I1731),"")</f>
        <v/>
      </c>
      <c r="O1726" s="300">
        <f>IFERROR(VLOOKUP($G1726,[1]нормы!$A$21:$BC$151,21,0),"")</f>
        <v>0</v>
      </c>
      <c r="P1726" s="35">
        <f>IFERROR(VLOOKUP($G1726,[1]нормы!$A$21:$BC$151,19,0),"")</f>
        <v>0</v>
      </c>
      <c r="Q1726" s="35">
        <f>IFERROR(VLOOKUP($G1726,[1]нормы!$A$21:$BC$151,23,0),"")</f>
        <v>0</v>
      </c>
      <c r="R1726" s="231">
        <f>IFERROR(VLOOKUP($G1726,[1]нормы!$A$21:$BC$151,29,0),"")</f>
        <v>0</v>
      </c>
      <c r="S1726" s="35">
        <f>IFERROR(VLOOKUP($G1726,[1]нормы!$A$21:$BC$151,31,0),"")</f>
        <v>0</v>
      </c>
      <c r="T1726" s="32">
        <f>IFERROR(VLOOKUP($G1726,[1]нормы!$A$21:$BC$151,25,0),"")</f>
        <v>0</v>
      </c>
      <c r="U1726" s="233" t="str">
        <f>IFERROR(W1726/(((100*Y1726/Y1729)*I1728)/100),"")</f>
        <v/>
      </c>
      <c r="V1726" s="234" t="str">
        <f>IFERROR(VLOOKUP($G1726,нормы!$A$14:$BC$57,38,0),"")</f>
        <v/>
      </c>
      <c r="W1726" s="136"/>
      <c r="X1726" s="237"/>
      <c r="Y1726" s="152" t="str">
        <f>IFERROR(VLOOKUP($G1726,нормы!$A$14:$BC$57,42,0)*W1726,"")</f>
        <v/>
      </c>
      <c r="Z1726" s="163">
        <f>IFERROR(VLOOKUP($G1726,нормы!$A$14:$BC$57,14,0)*W1726/1000,0)</f>
        <v>0</v>
      </c>
      <c r="AA1726" s="30"/>
      <c r="AB1726" s="35"/>
      <c r="AC1726" s="35"/>
      <c r="AD1726" s="35"/>
      <c r="AE1726" s="31"/>
      <c r="AF1726" s="160"/>
      <c r="AG1726" s="391"/>
      <c r="AH1726" s="394"/>
      <c r="AI1726" s="397"/>
      <c r="AJ1726" s="408"/>
      <c r="AK1726" s="360"/>
      <c r="AL1726" s="360"/>
      <c r="AM1726" s="360"/>
      <c r="AN1726" s="289">
        <f>IFERROR(Y1726*AJ1723/Y1729,)</f>
        <v>0</v>
      </c>
      <c r="AO1726" s="197" t="str">
        <f>IFERROR(VLOOKUP($G1726,нормы!$A$14:$BC$57,53,0)*$W1726,"")</f>
        <v/>
      </c>
      <c r="AP1726" s="290">
        <f>IFERROR(Y1726*AI1723/Y1729,)</f>
        <v>0</v>
      </c>
      <c r="AQ1726" s="197" t="str">
        <f>IFERROR(VLOOKUP($G1726,нормы!$A$14:$BC$57,54,0)*$W1726,"")</f>
        <v/>
      </c>
      <c r="AR1726" s="290">
        <f>IFERROR(AS1726/SUM(AS1723:AS1728)*AL1723,0)</f>
        <v>0</v>
      </c>
      <c r="AS1726" s="197" t="str">
        <f>IFERROR(VLOOKUP($G1726,нормы!$A$14:$BC$57,55,0)*W1726,"")</f>
        <v/>
      </c>
      <c r="AT1726" s="290">
        <f>IFERROR(AU1726/SUM(AU1723:AU1728)*AM1723,0)</f>
        <v>0</v>
      </c>
      <c r="AU1726" s="197" t="str">
        <f>IFERROR(VLOOKUP($G1726,нормы!$A$14:$BI$57,56,0)*W1726,"")</f>
        <v/>
      </c>
      <c r="AV1726" s="290">
        <f>IFERROR(AW1726/SUM(AW1723:AW1728)*AK1723,0)</f>
        <v>0</v>
      </c>
      <c r="AW1726" s="202" t="str">
        <f>IFERROR(VLOOKUP($G1726,нормы!$A$14:$BI$57,57,0)*W1726,"")</f>
        <v/>
      </c>
      <c r="AX1726" s="30"/>
      <c r="AY1726" s="203" t="str">
        <f>IFERROR(VLOOKUP($G1726,нормы!$A$14:$BI$57,58,0)*W1726,"")</f>
        <v/>
      </c>
      <c r="AZ1726" s="205"/>
      <c r="BA1726" s="200" t="str">
        <f>IFERROR(VLOOKUP($G1726,нормы!$A$14:$BI$57,61,0)*$W1726,"")</f>
        <v/>
      </c>
      <c r="BB1726" s="30"/>
      <c r="BC1726" s="203" t="str">
        <f>IFERROR(VLOOKUP($G1726,нормы!$A$14:$BI$57,60,0)*W1726,"")</f>
        <v/>
      </c>
      <c r="BD1726" s="200" t="str">
        <f>IFERROR(VLOOKUP($G1726,нормы!$A$14:$BG$57,44,0),"")</f>
        <v/>
      </c>
      <c r="BE1726" s="199" t="str">
        <f>IFERROR(W1726/VLOOKUP($G1726,нормы!$A$14:$BI$57,45,0),"")</f>
        <v/>
      </c>
    </row>
    <row r="1727" spans="1:57" s="1" customFormat="1" ht="20.25" customHeight="1" x14ac:dyDescent="0.4">
      <c r="A1727" s="37" t="str">
        <f t="shared" si="674"/>
        <v>28Н</v>
      </c>
      <c r="B1727" s="12">
        <f t="shared" si="677"/>
        <v>28</v>
      </c>
      <c r="C1727" s="97">
        <f t="shared" si="677"/>
        <v>0</v>
      </c>
      <c r="D1727" s="97">
        <f t="shared" si="677"/>
        <v>2</v>
      </c>
      <c r="E1727" s="54"/>
      <c r="F1727" s="151" t="str">
        <f>IFERROR(VLOOKUP($G1727,нормы!$A$14:$BC$57,2,0),"")</f>
        <v/>
      </c>
      <c r="G1727" s="38"/>
      <c r="H1727" s="54">
        <f t="shared" si="678"/>
        <v>0</v>
      </c>
      <c r="I1727" s="89" t="s">
        <v>73</v>
      </c>
      <c r="J1727" s="333"/>
      <c r="K1727" s="30">
        <f>IFERROR(VLOOKUP($G1727,[1]нормы!$A$21:$BC$151,15,0),"")</f>
        <v>0</v>
      </c>
      <c r="L1727" s="31">
        <f>IFERROR(VLOOKUP($G1727,[1]нормы!$A$21:$BC$151,17,0),"")</f>
        <v>0</v>
      </c>
      <c r="M1727" s="306">
        <f>IFERROR(VLOOKUP($G1727,[1]нормы!$A$21:$BC$151,27,0),"")</f>
        <v>0</v>
      </c>
      <c r="N1727" s="307" t="str">
        <f>IFERROR(Y1727/Y1729*(1.1*J1723*I1732),"")</f>
        <v/>
      </c>
      <c r="O1727" s="300">
        <f>IFERROR(VLOOKUP($G1727,[1]нормы!$A$21:$BC$151,21,0),"")</f>
        <v>0</v>
      </c>
      <c r="P1727" s="35">
        <f>IFERROR(VLOOKUP($G1727,[1]нормы!$A$21:$BC$151,19,0),"")</f>
        <v>0</v>
      </c>
      <c r="Q1727" s="35">
        <f>IFERROR(VLOOKUP($G1727,[1]нормы!$A$21:$BC$151,23,0),"")</f>
        <v>0</v>
      </c>
      <c r="R1727" s="231">
        <f>IFERROR(VLOOKUP($G1727,[1]нормы!$A$21:$BC$151,29,0),"")</f>
        <v>0</v>
      </c>
      <c r="S1727" s="35">
        <f>IFERROR(VLOOKUP($G1727,[1]нормы!$A$21:$BC$151,31,0),"")</f>
        <v>0</v>
      </c>
      <c r="T1727" s="32">
        <f>IFERROR(VLOOKUP($G1727,[1]нормы!$A$21:$BC$151,25,0),"")</f>
        <v>0</v>
      </c>
      <c r="U1727" s="233" t="str">
        <f>IFERROR(W1727/(((100*Y1727/Y1729)*I1728)/100),"")</f>
        <v/>
      </c>
      <c r="V1727" s="234" t="str">
        <f>IFERROR(VLOOKUP($G1727,нормы!$A$14:$BC$57,38,0),"")</f>
        <v/>
      </c>
      <c r="W1727" s="136"/>
      <c r="X1727" s="237"/>
      <c r="Y1727" s="152" t="str">
        <f>IFERROR(VLOOKUP($G1727,нормы!$A$14:$BC$57,42,0)*W1727,"")</f>
        <v/>
      </c>
      <c r="Z1727" s="163">
        <f>IFERROR(VLOOKUP($G1727,нормы!$A$14:$BC$57,14,0)*W1727/1000,0)</f>
        <v>0</v>
      </c>
      <c r="AA1727" s="30"/>
      <c r="AB1727" s="35"/>
      <c r="AC1727" s="35"/>
      <c r="AD1727" s="35"/>
      <c r="AE1727" s="31"/>
      <c r="AF1727" s="160"/>
      <c r="AG1727" s="391"/>
      <c r="AH1727" s="394"/>
      <c r="AI1727" s="397"/>
      <c r="AJ1727" s="408"/>
      <c r="AK1727" s="360"/>
      <c r="AL1727" s="360"/>
      <c r="AM1727" s="360"/>
      <c r="AN1727" s="289">
        <f>IFERROR(Y1727*AJ1723/Y1729,)</f>
        <v>0</v>
      </c>
      <c r="AO1727" s="197" t="str">
        <f>IFERROR(VLOOKUP($G1727,нормы!$A$14:$BC$57,53,0)*$W1727,"")</f>
        <v/>
      </c>
      <c r="AP1727" s="290">
        <f>IFERROR(Y1727*AI1723/Y1729,)</f>
        <v>0</v>
      </c>
      <c r="AQ1727" s="197" t="str">
        <f>IFERROR(VLOOKUP($G1727,нормы!$A$14:$BC$57,54,0)*$W1727,"")</f>
        <v/>
      </c>
      <c r="AR1727" s="290">
        <f>IFERROR(AS1727/SUM(AS1723:AS1728)*AL1723,0)</f>
        <v>0</v>
      </c>
      <c r="AS1727" s="197" t="str">
        <f>IFERROR(VLOOKUP($G1727,нормы!$A$14:$BC$57,55,0)*W1727,"")</f>
        <v/>
      </c>
      <c r="AT1727" s="290">
        <f>IFERROR(AU1727/SUM(AU1723:AU1728)*AM1723,0)</f>
        <v>0</v>
      </c>
      <c r="AU1727" s="197" t="str">
        <f>IFERROR(VLOOKUP($G1727,нормы!$A$14:$BI$57,56,0)*W1727,"")</f>
        <v/>
      </c>
      <c r="AV1727" s="290">
        <f>IFERROR(AW1727/SUM(AW1723:AW1728)*AK1723,0)</f>
        <v>0</v>
      </c>
      <c r="AW1727" s="202" t="str">
        <f>IFERROR(VLOOKUP($G1727,нормы!$A$14:$BI$57,57,0)*W1727,"")</f>
        <v/>
      </c>
      <c r="AX1727" s="30"/>
      <c r="AY1727" s="203" t="str">
        <f>IFERROR(VLOOKUP($G1727,нормы!$A$14:$BI$57,58,0)*W1727,"")</f>
        <v/>
      </c>
      <c r="AZ1727" s="205"/>
      <c r="BA1727" s="200" t="str">
        <f>IFERROR(VLOOKUP($G1727,нормы!$A$14:$BI$57,61,0)*$W1727,"")</f>
        <v/>
      </c>
      <c r="BB1727" s="30"/>
      <c r="BC1727" s="203" t="str">
        <f>IFERROR(VLOOKUP($G1727,нормы!$A$14:$BI$57,60,0)*W1727,"")</f>
        <v/>
      </c>
      <c r="BD1727" s="200" t="str">
        <f>IFERROR(VLOOKUP($G1727,нормы!$A$14:$BG$57,44,0),"")</f>
        <v/>
      </c>
      <c r="BE1727" s="199" t="str">
        <f>IFERROR(W1727/VLOOKUP($G1727,нормы!$A$14:$BI$57,45,0),"")</f>
        <v/>
      </c>
    </row>
    <row r="1728" spans="1:57" s="1" customFormat="1" ht="21" customHeight="1" thickBot="1" x14ac:dyDescent="0.45">
      <c r="A1728" s="37" t="str">
        <f t="shared" si="674"/>
        <v>28Н</v>
      </c>
      <c r="B1728" s="12">
        <f t="shared" si="677"/>
        <v>28</v>
      </c>
      <c r="C1728" s="97">
        <f t="shared" si="677"/>
        <v>0</v>
      </c>
      <c r="D1728" s="97">
        <f t="shared" si="677"/>
        <v>2</v>
      </c>
      <c r="E1728" s="54"/>
      <c r="F1728" s="151" t="str">
        <f>IFERROR(VLOOKUP($G1728,нормы!$A$14:$BC$57,2,0),"")</f>
        <v/>
      </c>
      <c r="G1728" s="93"/>
      <c r="H1728" s="63">
        <f t="shared" si="678"/>
        <v>0</v>
      </c>
      <c r="I1728" s="153">
        <f>I1724+I1726</f>
        <v>0</v>
      </c>
      <c r="J1728" s="334"/>
      <c r="K1728" s="30">
        <f>IFERROR(VLOOKUP($G1728,[1]нормы!$A$21:$BC$151,15,0),"")</f>
        <v>0</v>
      </c>
      <c r="L1728" s="31">
        <f>IFERROR(VLOOKUP($G1728,[1]нормы!$A$21:$BC$151,17,0),"")</f>
        <v>0</v>
      </c>
      <c r="M1728" s="308">
        <f>IFERROR(VLOOKUP($G1728,[1]нормы!$A$21:$BC$151,27,0),"")</f>
        <v>0</v>
      </c>
      <c r="N1728" s="309" t="str">
        <f>IFERROR(Y1728/Y1729*(1.1*J1723*I1733),"")</f>
        <v/>
      </c>
      <c r="O1728" s="300">
        <f>IFERROR(VLOOKUP($G1728,[1]нормы!$A$21:$BC$151,21,0),"")</f>
        <v>0</v>
      </c>
      <c r="P1728" s="35">
        <f>IFERROR(VLOOKUP($G1728,[1]нормы!$A$21:$BC$151,19,0),"")</f>
        <v>0</v>
      </c>
      <c r="Q1728" s="35">
        <f>IFERROR(VLOOKUP($G1728,[1]нормы!$A$21:$BC$151,23,0),"")</f>
        <v>0</v>
      </c>
      <c r="R1728" s="231">
        <f>IFERROR(VLOOKUP($G1728,[1]нормы!$A$21:$BC$151,29,0),"")</f>
        <v>0</v>
      </c>
      <c r="S1728" s="35">
        <f>IFERROR(VLOOKUP($G1728,[1]нормы!$A$21:$BC$151,31,0),"")</f>
        <v>0</v>
      </c>
      <c r="T1728" s="32">
        <f>IFERROR(VLOOKUP($G1728,[1]нормы!$A$21:$BC$151,25,0),"")</f>
        <v>0</v>
      </c>
      <c r="U1728" s="235" t="str">
        <f>IFERROR(W1728/(((100*Y1728/Y1729)*I1728)/100),"")</f>
        <v/>
      </c>
      <c r="V1728" s="234" t="str">
        <f>IFERROR(VLOOKUP($G1728,нормы!$A$14:$BC$57,38,0),"")</f>
        <v/>
      </c>
      <c r="W1728" s="154"/>
      <c r="X1728" s="238"/>
      <c r="Y1728" s="152" t="str">
        <f>IFERROR(VLOOKUP($G1728,нормы!$A$14:$BC$57,42,0)*W1728,"")</f>
        <v/>
      </c>
      <c r="Z1728" s="163">
        <f>IFERROR(VLOOKUP($G1728,нормы!$A$14:$BC$57,14,0)*W1728/1000,0)</f>
        <v>0</v>
      </c>
      <c r="AA1728" s="56"/>
      <c r="AB1728" s="58"/>
      <c r="AC1728" s="58"/>
      <c r="AD1728" s="58"/>
      <c r="AE1728" s="57"/>
      <c r="AF1728" s="161"/>
      <c r="AG1728" s="392"/>
      <c r="AH1728" s="395"/>
      <c r="AI1728" s="398"/>
      <c r="AJ1728" s="409"/>
      <c r="AK1728" s="361"/>
      <c r="AL1728" s="361"/>
      <c r="AM1728" s="361"/>
      <c r="AN1728" s="291">
        <f>IFERROR(Y1728*AJ1723/Y1729,)</f>
        <v>0</v>
      </c>
      <c r="AO1728" s="197" t="str">
        <f>IFERROR(VLOOKUP($G1728,нормы!$A$14:$BC$57,53,0)*$W1728,"")</f>
        <v/>
      </c>
      <c r="AP1728" s="292">
        <f>IFERROR(Y1728*AI1723/Y1729,)</f>
        <v>0</v>
      </c>
      <c r="AQ1728" s="197" t="str">
        <f>IFERROR(VLOOKUP($G1728,нормы!$A$14:$BC$57,54,0)*$W1728,"")</f>
        <v/>
      </c>
      <c r="AR1728" s="290">
        <f>IFERROR(AS1728/SUM(AS1723:AS1728)*AL1723,0)</f>
        <v>0</v>
      </c>
      <c r="AS1728" s="197" t="str">
        <f>IFERROR(VLOOKUP($G1728,нормы!$A$14:$BC$57,55,0)*W1728,"")</f>
        <v/>
      </c>
      <c r="AT1728" s="292">
        <f>IFERROR(AU1728/SUM(AU1723:AU1728)*AM1723,0)</f>
        <v>0</v>
      </c>
      <c r="AU1728" s="197" t="str">
        <f>IFERROR(VLOOKUP($G1728,нормы!$A$14:$BI$57,56,0)*W1728,"")</f>
        <v/>
      </c>
      <c r="AV1728" s="292">
        <f>IFERROR(AW1728/SUM(AW1723:AW1728)*AK1723,0)</f>
        <v>0</v>
      </c>
      <c r="AW1728" s="202" t="str">
        <f>IFERROR(VLOOKUP($G1728,нормы!$A$14:$BI$57,57,0)*W1728,"")</f>
        <v/>
      </c>
      <c r="AX1728" s="56"/>
      <c r="AY1728" s="203" t="str">
        <f>IFERROR(VLOOKUP($G1728,нормы!$A$14:$BI$57,58,0)*W1728,"")</f>
        <v/>
      </c>
      <c r="AZ1728" s="206"/>
      <c r="BA1728" s="200" t="str">
        <f>IFERROR(VLOOKUP($G1728,нормы!$A$14:$BI$57,61,0)*$W1728,"")</f>
        <v/>
      </c>
      <c r="BB1728" s="56"/>
      <c r="BC1728" s="203" t="str">
        <f>IFERROR(VLOOKUP($G1728,нормы!$A$14:$BI$57,60,0)*W1728,"")</f>
        <v/>
      </c>
      <c r="BD1728" s="200" t="str">
        <f>IFERROR(VLOOKUP($G1728,нормы!$A$14:$BG$57,44,0),"")</f>
        <v/>
      </c>
      <c r="BE1728" s="199" t="str">
        <f>IFERROR(W1728/VLOOKUP($G1728,нормы!$A$14:$BI$57,45,0),"")</f>
        <v/>
      </c>
    </row>
    <row r="1729" spans="1:57" s="1" customFormat="1" ht="29.4" customHeight="1" thickBot="1" x14ac:dyDescent="0.45">
      <c r="A1729" s="37" t="str">
        <f t="shared" si="674"/>
        <v>28Н</v>
      </c>
      <c r="B1729" s="59"/>
      <c r="C1729" s="51"/>
      <c r="D1729" s="51"/>
      <c r="E1729" s="51"/>
      <c r="F1729" s="51"/>
      <c r="G1729" s="51"/>
      <c r="H1729" s="51"/>
      <c r="I1729" s="60"/>
      <c r="J1729" s="60"/>
      <c r="K1729" s="319" t="s">
        <v>213</v>
      </c>
      <c r="L1729" s="316"/>
      <c r="M1729" s="303" t="s">
        <v>213</v>
      </c>
      <c r="N1729" s="317">
        <f>SUM(N1723:N1728)</f>
        <v>0</v>
      </c>
      <c r="O1729" s="304" t="s">
        <v>217</v>
      </c>
      <c r="P1729" s="318">
        <f>N1729*8.937/1000</f>
        <v>0</v>
      </c>
      <c r="Q1729" s="305" t="s">
        <v>215</v>
      </c>
      <c r="R1729" s="61"/>
      <c r="S1729" s="61"/>
      <c r="T1729" s="61"/>
      <c r="U1729" s="109"/>
      <c r="V1729" s="109"/>
      <c r="W1729" s="94"/>
      <c r="X1729" s="155"/>
      <c r="Y1729" s="96">
        <f>SUM(Y1723:Y1728)</f>
        <v>0</v>
      </c>
      <c r="Z1729" s="164">
        <f>SUM(Z1723:Z1728)</f>
        <v>0</v>
      </c>
      <c r="AA1729" s="207">
        <f>(AA1715+AA1716+AA1717+AA1718+AA1719+AA1720+AA1721+AA1723+AA1724+AA1725+AA1726+AA1727+AA1728)-AG1716</f>
        <v>1</v>
      </c>
      <c r="AB1729" s="208">
        <f>(AB1715+AB1716+AB1717+AB1718+AB1719+AB1720+AB1721+AB1723+AB1724+AB1725+AB1726+AB1727+AB1728)-AH1716</f>
        <v>2</v>
      </c>
      <c r="AC1729" s="208">
        <f>(AC1715+AC1716+AC1717+AC1718+AC1719+AC1720+AC1721+AC1723+AC1724+AC1725+AC1726+AC1727+AC1728)-AG1723</f>
        <v>3</v>
      </c>
      <c r="AD1729" s="208">
        <f>(AD1715+AD1716+AD1717+AD1718+AD1719+AD1720+AD1721+AD1723+AD1724+AD1725+AD1726+AD1727+AD1728)-AH1723</f>
        <v>4</v>
      </c>
      <c r="AE1729" s="208">
        <f>(AE1715+AE1716+AE1717+AE1718+AE1719+AE1720+AE1721+AE1723+AE1724+AE1725+AE1726+AE1727+AE1728)-AI1716</f>
        <v>5</v>
      </c>
      <c r="AF1729" s="209">
        <f>(AF1715+AF1716+AF1717+AF1718+AF1719+AF1720+AF1721+AF1723+AF1724+AF1725+AF1726+AF1727+AF1728)-AI1723</f>
        <v>6</v>
      </c>
      <c r="AG1729" s="62"/>
      <c r="AH1729" s="62"/>
      <c r="AI1729" s="62"/>
      <c r="AJ1729" s="62"/>
      <c r="AK1729" s="62"/>
      <c r="AL1729" s="62"/>
      <c r="AM1729" s="62"/>
      <c r="AN1729" s="91">
        <f>SUM(AN1723:AN1728)</f>
        <v>0</v>
      </c>
      <c r="AO1729" s="91">
        <f>SUM(AO1723:AO1728)</f>
        <v>0</v>
      </c>
      <c r="AP1729" s="91"/>
      <c r="AQ1729" s="91"/>
      <c r="AR1729" s="91">
        <f>SUM(AR1723:AR1728)</f>
        <v>0</v>
      </c>
      <c r="AS1729" s="91">
        <f t="shared" ref="AS1729:AW1729" si="679">SUM(AS1723:AS1728)</f>
        <v>0</v>
      </c>
      <c r="AT1729" s="91">
        <f t="shared" si="679"/>
        <v>0</v>
      </c>
      <c r="AU1729" s="91">
        <f t="shared" si="679"/>
        <v>0</v>
      </c>
      <c r="AV1729" s="91">
        <f t="shared" si="679"/>
        <v>0</v>
      </c>
      <c r="AW1729" s="91">
        <f t="shared" si="679"/>
        <v>0</v>
      </c>
      <c r="AX1729" s="91">
        <f>SUM(AX1723:AX1728)</f>
        <v>0</v>
      </c>
      <c r="AY1729" s="91">
        <f>SUM(AY1723:AY1728)</f>
        <v>0</v>
      </c>
      <c r="AZ1729" s="91">
        <f>SUM(AZ1723:AZ1728)</f>
        <v>0</v>
      </c>
      <c r="BA1729" s="91"/>
      <c r="BB1729" s="91"/>
      <c r="BC1729" s="91"/>
      <c r="BD1729" s="91" t="str">
        <f>IFERROR(VLOOKUP($G1729,нормы!$A$14:$BG$15,27,0),"")</f>
        <v/>
      </c>
      <c r="BE1729" s="53" t="str">
        <f>IFERROR(W1729/VLOOKUP($G1729,нормы!$A$14:$BI$15,28,0),"")</f>
        <v/>
      </c>
    </row>
    <row r="1730" spans="1:57" s="1" customFormat="1" ht="29.4" customHeight="1" thickBot="1" x14ac:dyDescent="0.5">
      <c r="A1730" s="37" t="str">
        <f t="shared" si="674"/>
        <v>28Н</v>
      </c>
      <c r="B1730" s="166" t="s">
        <v>130</v>
      </c>
      <c r="C1730" s="167"/>
      <c r="D1730" s="167"/>
      <c r="E1730" s="167"/>
      <c r="F1730" s="165"/>
      <c r="G1730" s="167"/>
      <c r="H1730" s="167"/>
      <c r="I1730" s="168"/>
      <c r="J1730" s="168"/>
      <c r="K1730" s="168"/>
      <c r="L1730" s="168"/>
      <c r="M1730" s="168"/>
      <c r="N1730" s="168"/>
      <c r="O1730" s="167"/>
      <c r="P1730" s="169"/>
      <c r="Q1730" s="169"/>
      <c r="R1730" s="169"/>
      <c r="S1730" s="169"/>
      <c r="T1730" s="169"/>
      <c r="U1730" s="170"/>
      <c r="V1730" s="170"/>
      <c r="W1730" s="171"/>
      <c r="X1730" s="171"/>
      <c r="Y1730" s="172"/>
      <c r="Z1730" s="172"/>
      <c r="AA1730" s="201" t="s">
        <v>144</v>
      </c>
      <c r="AB1730" s="167"/>
      <c r="AC1730" s="167"/>
      <c r="AD1730" s="167"/>
      <c r="AE1730" s="167"/>
      <c r="AF1730" s="167"/>
      <c r="AG1730" s="167"/>
      <c r="AH1730" s="167"/>
      <c r="AI1730" s="167"/>
      <c r="AJ1730" s="167"/>
      <c r="AK1730" s="167"/>
      <c r="AL1730" s="167"/>
      <c r="AM1730" s="64"/>
      <c r="AN1730" s="167"/>
      <c r="AO1730" s="167"/>
      <c r="AP1730" s="167"/>
      <c r="AQ1730" s="167"/>
      <c r="AR1730" s="64"/>
      <c r="AS1730" s="64"/>
      <c r="AT1730" s="65"/>
      <c r="AU1730" s="64"/>
      <c r="AV1730" s="49"/>
      <c r="AW1730" s="49"/>
      <c r="AX1730" s="167"/>
      <c r="AY1730" s="167"/>
      <c r="AZ1730" s="167"/>
      <c r="BA1730" s="167"/>
      <c r="BB1730" s="167"/>
      <c r="BC1730" s="167"/>
      <c r="BD1730" s="66"/>
      <c r="BE1730" s="66"/>
    </row>
    <row r="1731" spans="1:57" s="1" customFormat="1" ht="23.25" customHeight="1" x14ac:dyDescent="0.4">
      <c r="A1731" s="37" t="str">
        <f t="shared" si="674"/>
        <v>28Н</v>
      </c>
      <c r="B1731" s="183"/>
      <c r="C1731" s="100"/>
      <c r="D1731" s="185"/>
      <c r="E1731" s="186" t="s">
        <v>57</v>
      </c>
      <c r="F1731" s="66" t="s">
        <v>87</v>
      </c>
      <c r="G1731" s="66"/>
      <c r="H1731" s="108" t="s">
        <v>131</v>
      </c>
      <c r="I1731" s="101"/>
      <c r="J1731" s="101"/>
      <c r="K1731" s="101"/>
      <c r="L1731" s="101"/>
      <c r="M1731" s="101"/>
      <c r="N1731" s="101"/>
      <c r="O1731" s="67"/>
      <c r="P1731" s="102"/>
      <c r="Q1731" s="102"/>
      <c r="R1731" s="102"/>
      <c r="S1731" s="102"/>
      <c r="T1731" s="102"/>
      <c r="U1731" s="67"/>
      <c r="V1731" s="67"/>
      <c r="W1731" s="103"/>
      <c r="X1731" s="187"/>
      <c r="Y1731" s="68" t="s">
        <v>74</v>
      </c>
      <c r="Z1731" s="69"/>
      <c r="AA1731" s="90"/>
      <c r="AB1731" s="100"/>
      <c r="AC1731" s="100"/>
      <c r="AD1731" s="186" t="s">
        <v>57</v>
      </c>
      <c r="AE1731" s="66"/>
      <c r="AF1731" s="66"/>
      <c r="AG1731" s="66"/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190"/>
      <c r="AU1731" s="66"/>
      <c r="AV1731" s="165"/>
      <c r="AW1731" s="293"/>
      <c r="AX1731" s="66"/>
      <c r="AY1731" s="66"/>
      <c r="AZ1731" s="66"/>
      <c r="BA1731" s="66"/>
      <c r="BB1731" s="66"/>
      <c r="BC1731" s="66"/>
      <c r="BD1731" s="68" t="s">
        <v>74</v>
      </c>
      <c r="BE1731" s="69"/>
    </row>
    <row r="1732" spans="1:57" s="1" customFormat="1" ht="23.25" customHeight="1" thickBot="1" x14ac:dyDescent="0.45">
      <c r="A1732" s="37" t="str">
        <f t="shared" si="674"/>
        <v>28Н</v>
      </c>
      <c r="B1732" s="183"/>
      <c r="C1732" s="41"/>
      <c r="D1732" s="184"/>
      <c r="E1732" s="50"/>
      <c r="F1732" s="70"/>
      <c r="G1732" s="70"/>
      <c r="H1732" s="70"/>
      <c r="I1732" s="104"/>
      <c r="J1732" s="104"/>
      <c r="K1732" s="104"/>
      <c r="L1732" s="104"/>
      <c r="M1732" s="104"/>
      <c r="N1732" s="104"/>
      <c r="O1732" s="71"/>
      <c r="P1732" s="105"/>
      <c r="Q1732" s="105"/>
      <c r="R1732" s="105"/>
      <c r="S1732" s="105"/>
      <c r="T1732" s="105"/>
      <c r="U1732" s="71"/>
      <c r="V1732" s="71"/>
      <c r="W1732" s="106"/>
      <c r="X1732" s="188"/>
      <c r="Y1732" s="72"/>
      <c r="Z1732" s="73"/>
      <c r="AA1732" s="90"/>
      <c r="AB1732" s="41"/>
      <c r="AC1732" s="41"/>
      <c r="AD1732" s="50"/>
      <c r="AE1732" s="47"/>
      <c r="AF1732" s="47"/>
      <c r="AG1732" s="47"/>
      <c r="AH1732" s="47"/>
      <c r="AI1732" s="47"/>
      <c r="AJ1732" s="47"/>
      <c r="AK1732" s="47"/>
      <c r="AL1732" s="47"/>
      <c r="AM1732" s="70"/>
      <c r="AN1732" s="47"/>
      <c r="AO1732" s="70"/>
      <c r="AP1732" s="70"/>
      <c r="AQ1732" s="70"/>
      <c r="AR1732" s="70"/>
      <c r="AS1732" s="70"/>
      <c r="AT1732" s="191"/>
      <c r="AU1732" s="70"/>
      <c r="AV1732" s="192"/>
      <c r="AW1732" s="294"/>
      <c r="AX1732" s="70"/>
      <c r="AY1732" s="70"/>
      <c r="AZ1732" s="70"/>
      <c r="BA1732" s="70"/>
      <c r="BB1732" s="70"/>
      <c r="BC1732" s="70"/>
      <c r="BD1732" s="72"/>
      <c r="BE1732" s="73"/>
    </row>
    <row r="1733" spans="1:57" s="1" customFormat="1" ht="18" customHeight="1" x14ac:dyDescent="0.4">
      <c r="A1733" s="37" t="str">
        <f t="shared" si="674"/>
        <v>28Н</v>
      </c>
      <c r="B1733" s="183"/>
      <c r="C1733" s="41"/>
      <c r="D1733" s="184"/>
      <c r="E1733" s="281">
        <f>B1728</f>
        <v>28</v>
      </c>
      <c r="F1733" s="337"/>
      <c r="G1733" s="338"/>
      <c r="H1733" s="338"/>
      <c r="I1733" s="338"/>
      <c r="J1733" s="338"/>
      <c r="K1733" s="338"/>
      <c r="L1733" s="338"/>
      <c r="M1733" s="338"/>
      <c r="N1733" s="338"/>
      <c r="O1733" s="338"/>
      <c r="P1733" s="338"/>
      <c r="Q1733" s="338"/>
      <c r="R1733" s="338"/>
      <c r="S1733" s="338"/>
      <c r="T1733" s="338"/>
      <c r="U1733" s="338"/>
      <c r="V1733" s="338"/>
      <c r="W1733" s="338"/>
      <c r="X1733" s="98">
        <v>1</v>
      </c>
      <c r="Y1733" s="74">
        <v>1</v>
      </c>
      <c r="Z1733" s="75">
        <f t="shared" ref="Z1733:Z1744" si="680">Y1733-X1733</f>
        <v>0</v>
      </c>
      <c r="AA1733" s="189"/>
      <c r="AB1733" s="41"/>
      <c r="AC1733" s="184"/>
      <c r="AD1733" s="210">
        <f>E1733</f>
        <v>28</v>
      </c>
      <c r="AE1733" s="387"/>
      <c r="AF1733" s="388"/>
      <c r="AG1733" s="388"/>
      <c r="AH1733" s="388"/>
      <c r="AI1733" s="388"/>
      <c r="AJ1733" s="388"/>
      <c r="AK1733" s="388"/>
      <c r="AL1733" s="388"/>
      <c r="AM1733" s="388"/>
      <c r="AN1733" s="388"/>
      <c r="AO1733" s="388"/>
      <c r="AP1733" s="388"/>
      <c r="AQ1733" s="388"/>
      <c r="AR1733" s="388"/>
      <c r="AS1733" s="388"/>
      <c r="AT1733" s="388"/>
      <c r="AU1733" s="388"/>
      <c r="AV1733" s="388"/>
      <c r="AW1733" s="388"/>
      <c r="AX1733" s="388"/>
      <c r="AY1733" s="388"/>
      <c r="AZ1733" s="388"/>
      <c r="BA1733" s="388"/>
      <c r="BB1733" s="389"/>
      <c r="BC1733" s="98">
        <v>1</v>
      </c>
      <c r="BD1733" s="74">
        <v>1</v>
      </c>
      <c r="BE1733" s="75">
        <f t="shared" ref="BE1733:BE1744" si="681">BD1733-BC1733</f>
        <v>0</v>
      </c>
    </row>
    <row r="1734" spans="1:57" s="1" customFormat="1" ht="18" customHeight="1" x14ac:dyDescent="0.4">
      <c r="A1734" s="37" t="str">
        <f t="shared" si="674"/>
        <v>28Н</v>
      </c>
      <c r="B1734" s="183"/>
      <c r="C1734" s="41"/>
      <c r="D1734" s="184"/>
      <c r="E1734" s="282">
        <f>E1733</f>
        <v>28</v>
      </c>
      <c r="F1734" s="335"/>
      <c r="G1734" s="336"/>
      <c r="H1734" s="336"/>
      <c r="I1734" s="336"/>
      <c r="J1734" s="336"/>
      <c r="K1734" s="336"/>
      <c r="L1734" s="336"/>
      <c r="M1734" s="336"/>
      <c r="N1734" s="336"/>
      <c r="O1734" s="336"/>
      <c r="P1734" s="336"/>
      <c r="Q1734" s="336"/>
      <c r="R1734" s="336"/>
      <c r="S1734" s="336"/>
      <c r="T1734" s="336"/>
      <c r="U1734" s="336"/>
      <c r="V1734" s="336"/>
      <c r="W1734" s="336"/>
      <c r="X1734" s="98">
        <v>1</v>
      </c>
      <c r="Y1734" s="74">
        <v>1</v>
      </c>
      <c r="Z1734" s="75">
        <f t="shared" si="680"/>
        <v>0</v>
      </c>
      <c r="AA1734" s="107">
        <f>AA1733</f>
        <v>0</v>
      </c>
      <c r="AB1734" s="41"/>
      <c r="AC1734" s="184"/>
      <c r="AD1734" s="212">
        <f>AD1733</f>
        <v>28</v>
      </c>
      <c r="AE1734" s="387"/>
      <c r="AF1734" s="388"/>
      <c r="AG1734" s="388"/>
      <c r="AH1734" s="388"/>
      <c r="AI1734" s="388"/>
      <c r="AJ1734" s="388"/>
      <c r="AK1734" s="388"/>
      <c r="AL1734" s="388"/>
      <c r="AM1734" s="388"/>
      <c r="AN1734" s="388"/>
      <c r="AO1734" s="388"/>
      <c r="AP1734" s="388"/>
      <c r="AQ1734" s="388"/>
      <c r="AR1734" s="388"/>
      <c r="AS1734" s="388"/>
      <c r="AT1734" s="388"/>
      <c r="AU1734" s="388"/>
      <c r="AV1734" s="388"/>
      <c r="AW1734" s="388"/>
      <c r="AX1734" s="388"/>
      <c r="AY1734" s="388"/>
      <c r="AZ1734" s="388"/>
      <c r="BA1734" s="388"/>
      <c r="BB1734" s="389"/>
      <c r="BC1734" s="98">
        <v>1</v>
      </c>
      <c r="BD1734" s="74">
        <v>1</v>
      </c>
      <c r="BE1734" s="75">
        <f t="shared" si="681"/>
        <v>0</v>
      </c>
    </row>
    <row r="1735" spans="1:57" s="1" customFormat="1" ht="18" customHeight="1" x14ac:dyDescent="0.4">
      <c r="A1735" s="37" t="str">
        <f t="shared" si="674"/>
        <v>28Н</v>
      </c>
      <c r="B1735" s="183"/>
      <c r="C1735" s="41"/>
      <c r="D1735" s="184"/>
      <c r="E1735" s="282">
        <f t="shared" ref="E1735:E1744" si="682">E1734</f>
        <v>28</v>
      </c>
      <c r="F1735" s="335"/>
      <c r="G1735" s="336"/>
      <c r="H1735" s="336"/>
      <c r="I1735" s="336"/>
      <c r="J1735" s="336"/>
      <c r="K1735" s="336"/>
      <c r="L1735" s="336"/>
      <c r="M1735" s="336"/>
      <c r="N1735" s="336"/>
      <c r="O1735" s="336"/>
      <c r="P1735" s="336"/>
      <c r="Q1735" s="336"/>
      <c r="R1735" s="336"/>
      <c r="S1735" s="336"/>
      <c r="T1735" s="336"/>
      <c r="U1735" s="336"/>
      <c r="V1735" s="336"/>
      <c r="W1735" s="336"/>
      <c r="X1735" s="98">
        <v>1</v>
      </c>
      <c r="Y1735" s="74">
        <v>1</v>
      </c>
      <c r="Z1735" s="75">
        <f t="shared" si="680"/>
        <v>0</v>
      </c>
      <c r="AA1735" s="107">
        <f>AA1734</f>
        <v>0</v>
      </c>
      <c r="AB1735" s="41"/>
      <c r="AC1735" s="184"/>
      <c r="AD1735" s="212">
        <f t="shared" ref="AD1735:AD1744" si="683">AD1734</f>
        <v>28</v>
      </c>
      <c r="AE1735" s="387"/>
      <c r="AF1735" s="388"/>
      <c r="AG1735" s="388"/>
      <c r="AH1735" s="388"/>
      <c r="AI1735" s="388"/>
      <c r="AJ1735" s="388"/>
      <c r="AK1735" s="388"/>
      <c r="AL1735" s="388"/>
      <c r="AM1735" s="388"/>
      <c r="AN1735" s="388"/>
      <c r="AO1735" s="388"/>
      <c r="AP1735" s="388"/>
      <c r="AQ1735" s="388"/>
      <c r="AR1735" s="388"/>
      <c r="AS1735" s="388"/>
      <c r="AT1735" s="388"/>
      <c r="AU1735" s="388"/>
      <c r="AV1735" s="388"/>
      <c r="AW1735" s="388"/>
      <c r="AX1735" s="388"/>
      <c r="AY1735" s="388"/>
      <c r="AZ1735" s="388"/>
      <c r="BA1735" s="388"/>
      <c r="BB1735" s="389"/>
      <c r="BC1735" s="98">
        <v>1</v>
      </c>
      <c r="BD1735" s="74">
        <v>1</v>
      </c>
      <c r="BE1735" s="75">
        <f t="shared" si="681"/>
        <v>0</v>
      </c>
    </row>
    <row r="1736" spans="1:57" s="1" customFormat="1" ht="18" customHeight="1" x14ac:dyDescent="0.4">
      <c r="A1736" s="37" t="str">
        <f t="shared" si="674"/>
        <v>28Н</v>
      </c>
      <c r="B1736" s="183"/>
      <c r="C1736" s="41"/>
      <c r="D1736" s="184"/>
      <c r="E1736" s="282">
        <f t="shared" si="682"/>
        <v>28</v>
      </c>
      <c r="F1736" s="335"/>
      <c r="G1736" s="336"/>
      <c r="H1736" s="336"/>
      <c r="I1736" s="336"/>
      <c r="J1736" s="336"/>
      <c r="K1736" s="336"/>
      <c r="L1736" s="336"/>
      <c r="M1736" s="336"/>
      <c r="N1736" s="336"/>
      <c r="O1736" s="336"/>
      <c r="P1736" s="336"/>
      <c r="Q1736" s="336"/>
      <c r="R1736" s="336"/>
      <c r="S1736" s="336"/>
      <c r="T1736" s="336"/>
      <c r="U1736" s="336"/>
      <c r="V1736" s="336"/>
      <c r="W1736" s="336"/>
      <c r="X1736" s="98">
        <v>1</v>
      </c>
      <c r="Y1736" s="74">
        <v>1</v>
      </c>
      <c r="Z1736" s="75">
        <f t="shared" si="680"/>
        <v>0</v>
      </c>
      <c r="AA1736" s="107">
        <f t="shared" ref="AA1736:AA1744" si="684">AA1735</f>
        <v>0</v>
      </c>
      <c r="AB1736" s="41"/>
      <c r="AC1736" s="184"/>
      <c r="AD1736" s="212">
        <f t="shared" si="683"/>
        <v>28</v>
      </c>
      <c r="AE1736" s="387"/>
      <c r="AF1736" s="388"/>
      <c r="AG1736" s="388"/>
      <c r="AH1736" s="388"/>
      <c r="AI1736" s="388"/>
      <c r="AJ1736" s="388"/>
      <c r="AK1736" s="388"/>
      <c r="AL1736" s="388"/>
      <c r="AM1736" s="388"/>
      <c r="AN1736" s="388"/>
      <c r="AO1736" s="388"/>
      <c r="AP1736" s="388"/>
      <c r="AQ1736" s="388"/>
      <c r="AR1736" s="388"/>
      <c r="AS1736" s="388"/>
      <c r="AT1736" s="388"/>
      <c r="AU1736" s="388"/>
      <c r="AV1736" s="388"/>
      <c r="AW1736" s="388"/>
      <c r="AX1736" s="388"/>
      <c r="AY1736" s="388"/>
      <c r="AZ1736" s="388"/>
      <c r="BA1736" s="388"/>
      <c r="BB1736" s="389"/>
      <c r="BC1736" s="98">
        <v>1</v>
      </c>
      <c r="BD1736" s="74">
        <v>1</v>
      </c>
      <c r="BE1736" s="75">
        <f t="shared" si="681"/>
        <v>0</v>
      </c>
    </row>
    <row r="1737" spans="1:57" s="1" customFormat="1" ht="18" customHeight="1" x14ac:dyDescent="0.4">
      <c r="A1737" s="37" t="str">
        <f t="shared" si="674"/>
        <v>28Н</v>
      </c>
      <c r="B1737" s="183"/>
      <c r="C1737" s="41"/>
      <c r="D1737" s="184"/>
      <c r="E1737" s="282">
        <f t="shared" si="682"/>
        <v>28</v>
      </c>
      <c r="F1737" s="335"/>
      <c r="G1737" s="336"/>
      <c r="H1737" s="336"/>
      <c r="I1737" s="336"/>
      <c r="J1737" s="336"/>
      <c r="K1737" s="336"/>
      <c r="L1737" s="336"/>
      <c r="M1737" s="336"/>
      <c r="N1737" s="336"/>
      <c r="O1737" s="336"/>
      <c r="P1737" s="336"/>
      <c r="Q1737" s="336"/>
      <c r="R1737" s="336"/>
      <c r="S1737" s="336"/>
      <c r="T1737" s="336"/>
      <c r="U1737" s="336"/>
      <c r="V1737" s="336"/>
      <c r="W1737" s="336"/>
      <c r="X1737" s="98">
        <v>1</v>
      </c>
      <c r="Y1737" s="74">
        <v>1</v>
      </c>
      <c r="Z1737" s="75">
        <f t="shared" si="680"/>
        <v>0</v>
      </c>
      <c r="AA1737" s="107">
        <f t="shared" si="684"/>
        <v>0</v>
      </c>
      <c r="AB1737" s="41"/>
      <c r="AC1737" s="184"/>
      <c r="AD1737" s="212">
        <f t="shared" si="683"/>
        <v>28</v>
      </c>
      <c r="AE1737" s="387"/>
      <c r="AF1737" s="388"/>
      <c r="AG1737" s="388"/>
      <c r="AH1737" s="388"/>
      <c r="AI1737" s="388"/>
      <c r="AJ1737" s="388"/>
      <c r="AK1737" s="388"/>
      <c r="AL1737" s="388"/>
      <c r="AM1737" s="388"/>
      <c r="AN1737" s="388"/>
      <c r="AO1737" s="388"/>
      <c r="AP1737" s="388"/>
      <c r="AQ1737" s="388"/>
      <c r="AR1737" s="388"/>
      <c r="AS1737" s="388"/>
      <c r="AT1737" s="388"/>
      <c r="AU1737" s="388"/>
      <c r="AV1737" s="388"/>
      <c r="AW1737" s="388"/>
      <c r="AX1737" s="388"/>
      <c r="AY1737" s="388"/>
      <c r="AZ1737" s="388"/>
      <c r="BA1737" s="388"/>
      <c r="BB1737" s="389"/>
      <c r="BC1737" s="98">
        <v>1</v>
      </c>
      <c r="BD1737" s="74">
        <v>1</v>
      </c>
      <c r="BE1737" s="75">
        <f t="shared" si="681"/>
        <v>0</v>
      </c>
    </row>
    <row r="1738" spans="1:57" s="1" customFormat="1" ht="18" customHeight="1" x14ac:dyDescent="0.4">
      <c r="A1738" s="37" t="str">
        <f t="shared" si="674"/>
        <v>28Н</v>
      </c>
      <c r="B1738" s="183"/>
      <c r="C1738" s="41"/>
      <c r="D1738" s="184"/>
      <c r="E1738" s="282">
        <f t="shared" si="682"/>
        <v>28</v>
      </c>
      <c r="F1738" s="335"/>
      <c r="G1738" s="336"/>
      <c r="H1738" s="336"/>
      <c r="I1738" s="336"/>
      <c r="J1738" s="336"/>
      <c r="K1738" s="336"/>
      <c r="L1738" s="336"/>
      <c r="M1738" s="336"/>
      <c r="N1738" s="336"/>
      <c r="O1738" s="336"/>
      <c r="P1738" s="336"/>
      <c r="Q1738" s="336"/>
      <c r="R1738" s="336"/>
      <c r="S1738" s="336"/>
      <c r="T1738" s="336"/>
      <c r="U1738" s="336"/>
      <c r="V1738" s="336"/>
      <c r="W1738" s="336"/>
      <c r="X1738" s="98">
        <v>1</v>
      </c>
      <c r="Y1738" s="74">
        <v>1</v>
      </c>
      <c r="Z1738" s="75">
        <f t="shared" si="680"/>
        <v>0</v>
      </c>
      <c r="AA1738" s="107">
        <f t="shared" si="684"/>
        <v>0</v>
      </c>
      <c r="AB1738" s="41"/>
      <c r="AC1738" s="184"/>
      <c r="AD1738" s="212">
        <f t="shared" si="683"/>
        <v>28</v>
      </c>
      <c r="AE1738" s="387"/>
      <c r="AF1738" s="388"/>
      <c r="AG1738" s="388"/>
      <c r="AH1738" s="388"/>
      <c r="AI1738" s="388"/>
      <c r="AJ1738" s="388"/>
      <c r="AK1738" s="388"/>
      <c r="AL1738" s="388"/>
      <c r="AM1738" s="388"/>
      <c r="AN1738" s="388"/>
      <c r="AO1738" s="388"/>
      <c r="AP1738" s="388"/>
      <c r="AQ1738" s="388"/>
      <c r="AR1738" s="388"/>
      <c r="AS1738" s="388"/>
      <c r="AT1738" s="388"/>
      <c r="AU1738" s="388"/>
      <c r="AV1738" s="388"/>
      <c r="AW1738" s="388"/>
      <c r="AX1738" s="388"/>
      <c r="AY1738" s="388"/>
      <c r="AZ1738" s="388"/>
      <c r="BA1738" s="388"/>
      <c r="BB1738" s="389"/>
      <c r="BC1738" s="98">
        <v>1</v>
      </c>
      <c r="BD1738" s="74">
        <v>1</v>
      </c>
      <c r="BE1738" s="75">
        <f t="shared" si="681"/>
        <v>0</v>
      </c>
    </row>
    <row r="1739" spans="1:57" s="1" customFormat="1" ht="18" customHeight="1" x14ac:dyDescent="0.4">
      <c r="A1739" s="37" t="str">
        <f t="shared" si="674"/>
        <v>28Н</v>
      </c>
      <c r="B1739" s="183"/>
      <c r="C1739" s="41"/>
      <c r="D1739" s="184"/>
      <c r="E1739" s="282">
        <f t="shared" si="682"/>
        <v>28</v>
      </c>
      <c r="F1739" s="335"/>
      <c r="G1739" s="336"/>
      <c r="H1739" s="336"/>
      <c r="I1739" s="336"/>
      <c r="J1739" s="336"/>
      <c r="K1739" s="336"/>
      <c r="L1739" s="336"/>
      <c r="M1739" s="336"/>
      <c r="N1739" s="336"/>
      <c r="O1739" s="336"/>
      <c r="P1739" s="336"/>
      <c r="Q1739" s="336"/>
      <c r="R1739" s="336"/>
      <c r="S1739" s="336"/>
      <c r="T1739" s="336"/>
      <c r="U1739" s="336"/>
      <c r="V1739" s="336"/>
      <c r="W1739" s="336"/>
      <c r="X1739" s="98">
        <v>1</v>
      </c>
      <c r="Y1739" s="74">
        <v>1</v>
      </c>
      <c r="Z1739" s="75">
        <f t="shared" si="680"/>
        <v>0</v>
      </c>
      <c r="AA1739" s="107">
        <f t="shared" si="684"/>
        <v>0</v>
      </c>
      <c r="AB1739" s="41"/>
      <c r="AC1739" s="184"/>
      <c r="AD1739" s="212">
        <f t="shared" si="683"/>
        <v>28</v>
      </c>
      <c r="AE1739" s="387"/>
      <c r="AF1739" s="388"/>
      <c r="AG1739" s="388"/>
      <c r="AH1739" s="388"/>
      <c r="AI1739" s="388"/>
      <c r="AJ1739" s="388"/>
      <c r="AK1739" s="388"/>
      <c r="AL1739" s="388"/>
      <c r="AM1739" s="388"/>
      <c r="AN1739" s="388"/>
      <c r="AO1739" s="388"/>
      <c r="AP1739" s="388"/>
      <c r="AQ1739" s="388"/>
      <c r="AR1739" s="388"/>
      <c r="AS1739" s="388"/>
      <c r="AT1739" s="388"/>
      <c r="AU1739" s="388"/>
      <c r="AV1739" s="388"/>
      <c r="AW1739" s="388"/>
      <c r="AX1739" s="388"/>
      <c r="AY1739" s="388"/>
      <c r="AZ1739" s="388"/>
      <c r="BA1739" s="388"/>
      <c r="BB1739" s="389"/>
      <c r="BC1739" s="98">
        <v>1</v>
      </c>
      <c r="BD1739" s="74">
        <v>1</v>
      </c>
      <c r="BE1739" s="75">
        <f t="shared" si="681"/>
        <v>0</v>
      </c>
    </row>
    <row r="1740" spans="1:57" s="1" customFormat="1" ht="18" customHeight="1" x14ac:dyDescent="0.4">
      <c r="A1740" s="37" t="str">
        <f t="shared" si="674"/>
        <v>28Н</v>
      </c>
      <c r="B1740" s="183"/>
      <c r="C1740" s="41"/>
      <c r="D1740" s="184"/>
      <c r="E1740" s="282">
        <f t="shared" si="682"/>
        <v>28</v>
      </c>
      <c r="F1740" s="335"/>
      <c r="G1740" s="336"/>
      <c r="H1740" s="336"/>
      <c r="I1740" s="336"/>
      <c r="J1740" s="336"/>
      <c r="K1740" s="336"/>
      <c r="L1740" s="336"/>
      <c r="M1740" s="336"/>
      <c r="N1740" s="336"/>
      <c r="O1740" s="336"/>
      <c r="P1740" s="336"/>
      <c r="Q1740" s="336"/>
      <c r="R1740" s="336"/>
      <c r="S1740" s="336"/>
      <c r="T1740" s="336"/>
      <c r="U1740" s="336"/>
      <c r="V1740" s="336"/>
      <c r="W1740" s="336"/>
      <c r="X1740" s="98">
        <v>1</v>
      </c>
      <c r="Y1740" s="74">
        <v>1</v>
      </c>
      <c r="Z1740" s="75">
        <f t="shared" si="680"/>
        <v>0</v>
      </c>
      <c r="AA1740" s="107">
        <f t="shared" si="684"/>
        <v>0</v>
      </c>
      <c r="AB1740" s="41"/>
      <c r="AC1740" s="184"/>
      <c r="AD1740" s="212">
        <f t="shared" si="683"/>
        <v>28</v>
      </c>
      <c r="AE1740" s="387"/>
      <c r="AF1740" s="388"/>
      <c r="AG1740" s="388"/>
      <c r="AH1740" s="388"/>
      <c r="AI1740" s="388"/>
      <c r="AJ1740" s="388"/>
      <c r="AK1740" s="388"/>
      <c r="AL1740" s="388"/>
      <c r="AM1740" s="388"/>
      <c r="AN1740" s="388"/>
      <c r="AO1740" s="388"/>
      <c r="AP1740" s="388"/>
      <c r="AQ1740" s="388"/>
      <c r="AR1740" s="388"/>
      <c r="AS1740" s="388"/>
      <c r="AT1740" s="388"/>
      <c r="AU1740" s="388"/>
      <c r="AV1740" s="388"/>
      <c r="AW1740" s="388"/>
      <c r="AX1740" s="388"/>
      <c r="AY1740" s="388"/>
      <c r="AZ1740" s="388"/>
      <c r="BA1740" s="388"/>
      <c r="BB1740" s="389"/>
      <c r="BC1740" s="98">
        <v>1</v>
      </c>
      <c r="BD1740" s="74">
        <v>1</v>
      </c>
      <c r="BE1740" s="75">
        <f t="shared" si="681"/>
        <v>0</v>
      </c>
    </row>
    <row r="1741" spans="1:57" s="1" customFormat="1" ht="18" customHeight="1" x14ac:dyDescent="0.4">
      <c r="A1741" s="37" t="str">
        <f t="shared" si="674"/>
        <v>28Н</v>
      </c>
      <c r="B1741" s="183"/>
      <c r="C1741" s="41"/>
      <c r="D1741" s="184"/>
      <c r="E1741" s="282">
        <f t="shared" si="682"/>
        <v>28</v>
      </c>
      <c r="F1741" s="335"/>
      <c r="G1741" s="336"/>
      <c r="H1741" s="336"/>
      <c r="I1741" s="336"/>
      <c r="J1741" s="336"/>
      <c r="K1741" s="336"/>
      <c r="L1741" s="336"/>
      <c r="M1741" s="336"/>
      <c r="N1741" s="336"/>
      <c r="O1741" s="336"/>
      <c r="P1741" s="336"/>
      <c r="Q1741" s="336"/>
      <c r="R1741" s="336"/>
      <c r="S1741" s="336"/>
      <c r="T1741" s="336"/>
      <c r="U1741" s="336"/>
      <c r="V1741" s="336"/>
      <c r="W1741" s="336"/>
      <c r="X1741" s="98">
        <v>1</v>
      </c>
      <c r="Y1741" s="74">
        <v>1</v>
      </c>
      <c r="Z1741" s="75">
        <f t="shared" si="680"/>
        <v>0</v>
      </c>
      <c r="AA1741" s="107">
        <f t="shared" si="684"/>
        <v>0</v>
      </c>
      <c r="AB1741" s="41"/>
      <c r="AC1741" s="184"/>
      <c r="AD1741" s="212">
        <f t="shared" si="683"/>
        <v>28</v>
      </c>
      <c r="AE1741" s="387"/>
      <c r="AF1741" s="388"/>
      <c r="AG1741" s="388"/>
      <c r="AH1741" s="388"/>
      <c r="AI1741" s="388"/>
      <c r="AJ1741" s="388"/>
      <c r="AK1741" s="388"/>
      <c r="AL1741" s="388"/>
      <c r="AM1741" s="388"/>
      <c r="AN1741" s="388"/>
      <c r="AO1741" s="388"/>
      <c r="AP1741" s="388"/>
      <c r="AQ1741" s="388"/>
      <c r="AR1741" s="388"/>
      <c r="AS1741" s="388"/>
      <c r="AT1741" s="388"/>
      <c r="AU1741" s="388"/>
      <c r="AV1741" s="388"/>
      <c r="AW1741" s="388"/>
      <c r="AX1741" s="388"/>
      <c r="AY1741" s="388"/>
      <c r="AZ1741" s="388"/>
      <c r="BA1741" s="388"/>
      <c r="BB1741" s="389"/>
      <c r="BC1741" s="98">
        <v>1</v>
      </c>
      <c r="BD1741" s="74">
        <v>1</v>
      </c>
      <c r="BE1741" s="75">
        <f t="shared" si="681"/>
        <v>0</v>
      </c>
    </row>
    <row r="1742" spans="1:57" s="1" customFormat="1" ht="18" customHeight="1" x14ac:dyDescent="0.4">
      <c r="A1742" s="37" t="str">
        <f t="shared" si="674"/>
        <v>28Н</v>
      </c>
      <c r="B1742" s="183"/>
      <c r="C1742" s="41"/>
      <c r="D1742" s="184"/>
      <c r="E1742" s="282">
        <f t="shared" si="682"/>
        <v>28</v>
      </c>
      <c r="F1742" s="335"/>
      <c r="G1742" s="336"/>
      <c r="H1742" s="336"/>
      <c r="I1742" s="336"/>
      <c r="J1742" s="336"/>
      <c r="K1742" s="336"/>
      <c r="L1742" s="336"/>
      <c r="M1742" s="336"/>
      <c r="N1742" s="336"/>
      <c r="O1742" s="336"/>
      <c r="P1742" s="336"/>
      <c r="Q1742" s="336"/>
      <c r="R1742" s="336"/>
      <c r="S1742" s="336"/>
      <c r="T1742" s="336"/>
      <c r="U1742" s="336"/>
      <c r="V1742" s="336"/>
      <c r="W1742" s="336"/>
      <c r="X1742" s="98">
        <v>1</v>
      </c>
      <c r="Y1742" s="74">
        <v>1</v>
      </c>
      <c r="Z1742" s="75">
        <f t="shared" si="680"/>
        <v>0</v>
      </c>
      <c r="AA1742" s="107">
        <f t="shared" si="684"/>
        <v>0</v>
      </c>
      <c r="AB1742" s="41"/>
      <c r="AC1742" s="184"/>
      <c r="AD1742" s="212">
        <f t="shared" si="683"/>
        <v>28</v>
      </c>
      <c r="AE1742" s="387"/>
      <c r="AF1742" s="388"/>
      <c r="AG1742" s="388"/>
      <c r="AH1742" s="388"/>
      <c r="AI1742" s="388"/>
      <c r="AJ1742" s="388"/>
      <c r="AK1742" s="388"/>
      <c r="AL1742" s="388"/>
      <c r="AM1742" s="388"/>
      <c r="AN1742" s="388"/>
      <c r="AO1742" s="388"/>
      <c r="AP1742" s="388"/>
      <c r="AQ1742" s="388"/>
      <c r="AR1742" s="388"/>
      <c r="AS1742" s="388"/>
      <c r="AT1742" s="388"/>
      <c r="AU1742" s="388"/>
      <c r="AV1742" s="388"/>
      <c r="AW1742" s="388"/>
      <c r="AX1742" s="388"/>
      <c r="AY1742" s="388"/>
      <c r="AZ1742" s="388"/>
      <c r="BA1742" s="388"/>
      <c r="BB1742" s="389"/>
      <c r="BC1742" s="98">
        <v>1</v>
      </c>
      <c r="BD1742" s="74">
        <v>1</v>
      </c>
      <c r="BE1742" s="75">
        <f t="shared" si="681"/>
        <v>0</v>
      </c>
    </row>
    <row r="1743" spans="1:57" s="1" customFormat="1" ht="18" customHeight="1" x14ac:dyDescent="0.4">
      <c r="A1743" s="37" t="str">
        <f t="shared" si="674"/>
        <v>28Н</v>
      </c>
      <c r="B1743" s="183"/>
      <c r="C1743" s="41"/>
      <c r="D1743" s="184"/>
      <c r="E1743" s="282">
        <f t="shared" si="682"/>
        <v>28</v>
      </c>
      <c r="F1743" s="335"/>
      <c r="G1743" s="336"/>
      <c r="H1743" s="336"/>
      <c r="I1743" s="336"/>
      <c r="J1743" s="336"/>
      <c r="K1743" s="336"/>
      <c r="L1743" s="336"/>
      <c r="M1743" s="336"/>
      <c r="N1743" s="336"/>
      <c r="O1743" s="336"/>
      <c r="P1743" s="336"/>
      <c r="Q1743" s="336"/>
      <c r="R1743" s="336"/>
      <c r="S1743" s="336"/>
      <c r="T1743" s="336"/>
      <c r="U1743" s="336"/>
      <c r="V1743" s="336"/>
      <c r="W1743" s="336"/>
      <c r="X1743" s="98">
        <v>1</v>
      </c>
      <c r="Y1743" s="74">
        <v>1</v>
      </c>
      <c r="Z1743" s="75">
        <f t="shared" si="680"/>
        <v>0</v>
      </c>
      <c r="AA1743" s="107">
        <f t="shared" si="684"/>
        <v>0</v>
      </c>
      <c r="AB1743" s="41"/>
      <c r="AC1743" s="184"/>
      <c r="AD1743" s="212">
        <f t="shared" si="683"/>
        <v>28</v>
      </c>
      <c r="AE1743" s="387"/>
      <c r="AF1743" s="388"/>
      <c r="AG1743" s="388"/>
      <c r="AH1743" s="388"/>
      <c r="AI1743" s="388"/>
      <c r="AJ1743" s="388"/>
      <c r="AK1743" s="388"/>
      <c r="AL1743" s="388"/>
      <c r="AM1743" s="388"/>
      <c r="AN1743" s="388"/>
      <c r="AO1743" s="388"/>
      <c r="AP1743" s="388"/>
      <c r="AQ1743" s="388"/>
      <c r="AR1743" s="388"/>
      <c r="AS1743" s="388"/>
      <c r="AT1743" s="388"/>
      <c r="AU1743" s="388"/>
      <c r="AV1743" s="388"/>
      <c r="AW1743" s="388"/>
      <c r="AX1743" s="388"/>
      <c r="AY1743" s="388"/>
      <c r="AZ1743" s="388"/>
      <c r="BA1743" s="388"/>
      <c r="BB1743" s="389"/>
      <c r="BC1743" s="98">
        <v>1</v>
      </c>
      <c r="BD1743" s="74">
        <v>1</v>
      </c>
      <c r="BE1743" s="75">
        <f t="shared" si="681"/>
        <v>0</v>
      </c>
    </row>
    <row r="1744" spans="1:57" s="1" customFormat="1" ht="18" customHeight="1" thickBot="1" x14ac:dyDescent="0.45">
      <c r="A1744" s="37" t="str">
        <f t="shared" si="674"/>
        <v>28Н</v>
      </c>
      <c r="B1744" s="183"/>
      <c r="C1744" s="41"/>
      <c r="D1744" s="184"/>
      <c r="E1744" s="283">
        <f t="shared" si="682"/>
        <v>28</v>
      </c>
      <c r="F1744" s="339"/>
      <c r="G1744" s="340"/>
      <c r="H1744" s="340"/>
      <c r="I1744" s="340"/>
      <c r="J1744" s="340"/>
      <c r="K1744" s="340"/>
      <c r="L1744" s="340"/>
      <c r="M1744" s="340"/>
      <c r="N1744" s="340"/>
      <c r="O1744" s="340"/>
      <c r="P1744" s="340"/>
      <c r="Q1744" s="340"/>
      <c r="R1744" s="340"/>
      <c r="S1744" s="340"/>
      <c r="T1744" s="340"/>
      <c r="U1744" s="340"/>
      <c r="V1744" s="340"/>
      <c r="W1744" s="340"/>
      <c r="X1744" s="99">
        <v>1</v>
      </c>
      <c r="Y1744" s="76">
        <v>1</v>
      </c>
      <c r="Z1744" s="77">
        <f t="shared" si="680"/>
        <v>0</v>
      </c>
      <c r="AA1744" s="107">
        <f t="shared" si="684"/>
        <v>0</v>
      </c>
      <c r="AB1744" s="41"/>
      <c r="AC1744" s="184"/>
      <c r="AD1744" s="211">
        <f t="shared" si="683"/>
        <v>28</v>
      </c>
      <c r="AE1744" s="410"/>
      <c r="AF1744" s="411"/>
      <c r="AG1744" s="411"/>
      <c r="AH1744" s="411"/>
      <c r="AI1744" s="411"/>
      <c r="AJ1744" s="411"/>
      <c r="AK1744" s="411"/>
      <c r="AL1744" s="411"/>
      <c r="AM1744" s="411"/>
      <c r="AN1744" s="411"/>
      <c r="AO1744" s="411"/>
      <c r="AP1744" s="411"/>
      <c r="AQ1744" s="411"/>
      <c r="AR1744" s="411"/>
      <c r="AS1744" s="411"/>
      <c r="AT1744" s="411"/>
      <c r="AU1744" s="411"/>
      <c r="AV1744" s="411"/>
      <c r="AW1744" s="411"/>
      <c r="AX1744" s="411"/>
      <c r="AY1744" s="411"/>
      <c r="AZ1744" s="411"/>
      <c r="BA1744" s="411"/>
      <c r="BB1744" s="412"/>
      <c r="BC1744" s="99">
        <v>1</v>
      </c>
      <c r="BD1744" s="76">
        <v>1</v>
      </c>
      <c r="BE1744" s="75">
        <f t="shared" si="681"/>
        <v>0</v>
      </c>
    </row>
    <row r="1745" spans="1:57" s="1" customFormat="1" ht="23.25" customHeight="1" thickBot="1" x14ac:dyDescent="0.45">
      <c r="A1745" s="37" t="str">
        <f t="shared" si="674"/>
        <v>28Н</v>
      </c>
      <c r="B1745" s="193"/>
      <c r="C1745" s="47"/>
      <c r="D1745" s="47"/>
      <c r="E1745" s="47"/>
      <c r="F1745" s="78"/>
      <c r="G1745" s="78"/>
      <c r="H1745" s="78"/>
      <c r="I1745" s="80"/>
      <c r="J1745" s="80"/>
      <c r="K1745" s="80"/>
      <c r="L1745" s="80"/>
      <c r="M1745" s="80"/>
      <c r="N1745" s="80"/>
      <c r="O1745" s="78"/>
      <c r="P1745" s="81"/>
      <c r="Q1745" s="81"/>
      <c r="R1745" s="81"/>
      <c r="S1745" s="81"/>
      <c r="T1745" s="81"/>
      <c r="U1745" s="82"/>
      <c r="V1745" s="82"/>
      <c r="W1745" s="86"/>
      <c r="X1745" s="194"/>
      <c r="Y1745" s="83"/>
      <c r="Z1745" s="83"/>
      <c r="AA1745" s="78"/>
      <c r="AB1745" s="47"/>
      <c r="AC1745" s="47"/>
      <c r="AD1745" s="47"/>
      <c r="AE1745" s="47"/>
      <c r="AF1745" s="47"/>
      <c r="AG1745" s="47"/>
      <c r="AH1745" s="47"/>
      <c r="AI1745" s="47"/>
      <c r="AJ1745" s="47"/>
      <c r="AK1745" s="47"/>
      <c r="AL1745" s="47"/>
      <c r="AM1745" s="84"/>
      <c r="AN1745" s="47"/>
      <c r="AO1745" s="78"/>
      <c r="AP1745" s="78"/>
      <c r="AQ1745" s="78"/>
      <c r="AR1745" s="84"/>
      <c r="AS1745" s="78"/>
      <c r="AT1745" s="85"/>
      <c r="AU1745" s="78"/>
      <c r="AV1745" s="83"/>
      <c r="AW1745" s="83"/>
      <c r="AX1745" s="78"/>
      <c r="AY1745" s="78"/>
      <c r="AZ1745" s="78"/>
      <c r="BA1745" s="78"/>
      <c r="BB1745" s="78"/>
      <c r="BC1745" s="78"/>
      <c r="BD1745" s="79"/>
      <c r="BE1745" s="79"/>
    </row>
    <row r="1746" spans="1:57" s="1" customFormat="1" ht="21.6" customHeight="1" thickBot="1" x14ac:dyDescent="0.45">
      <c r="A1746" s="37" t="s">
        <v>202</v>
      </c>
      <c r="B1746" s="59"/>
      <c r="C1746" s="51"/>
      <c r="D1746" s="51"/>
      <c r="E1746" s="51"/>
      <c r="F1746" s="158" t="s">
        <v>147</v>
      </c>
      <c r="G1746" s="51"/>
      <c r="H1746" s="51"/>
      <c r="I1746" s="156"/>
      <c r="J1746" s="156"/>
      <c r="K1746" s="156"/>
      <c r="L1746" s="156"/>
      <c r="M1746" s="156"/>
      <c r="N1746" s="156"/>
      <c r="O1746" s="91"/>
      <c r="P1746" s="52"/>
      <c r="Q1746" s="52"/>
      <c r="R1746" s="52"/>
      <c r="S1746" s="52"/>
      <c r="T1746" s="52"/>
      <c r="U1746" s="157"/>
      <c r="V1746" s="157"/>
      <c r="W1746" s="94"/>
      <c r="X1746" s="94"/>
      <c r="Y1746" s="51"/>
      <c r="Z1746" s="51"/>
      <c r="AA1746" s="157">
        <f>AA1729</f>
        <v>1</v>
      </c>
      <c r="AB1746" s="157">
        <f t="shared" ref="AB1746:AF1746" si="685">AB1729</f>
        <v>2</v>
      </c>
      <c r="AC1746" s="157">
        <f t="shared" si="685"/>
        <v>3</v>
      </c>
      <c r="AD1746" s="157">
        <f t="shared" si="685"/>
        <v>4</v>
      </c>
      <c r="AE1746" s="157">
        <f t="shared" si="685"/>
        <v>5</v>
      </c>
      <c r="AF1746" s="157">
        <f t="shared" si="685"/>
        <v>6</v>
      </c>
      <c r="AG1746" s="162" t="s">
        <v>123</v>
      </c>
      <c r="AH1746" s="162" t="s">
        <v>124</v>
      </c>
      <c r="AI1746" s="162" t="s">
        <v>125</v>
      </c>
      <c r="AJ1746" s="91" t="s">
        <v>126</v>
      </c>
      <c r="AK1746" s="198" t="s">
        <v>136</v>
      </c>
      <c r="AL1746" s="198" t="s">
        <v>137</v>
      </c>
      <c r="AM1746" s="198" t="s">
        <v>138</v>
      </c>
      <c r="AN1746" s="91"/>
      <c r="AO1746" s="91"/>
      <c r="AP1746" s="91"/>
      <c r="AQ1746" s="91"/>
      <c r="AR1746" s="91"/>
      <c r="AS1746" s="91"/>
      <c r="AT1746" s="91"/>
      <c r="AU1746" s="91"/>
      <c r="AV1746" s="91"/>
      <c r="AW1746" s="91"/>
      <c r="AX1746" s="91"/>
      <c r="AY1746" s="91"/>
      <c r="AZ1746" s="91"/>
      <c r="BA1746" s="91"/>
      <c r="BB1746" s="91"/>
      <c r="BC1746" s="91"/>
      <c r="BD1746" s="91"/>
      <c r="BE1746" s="91"/>
    </row>
    <row r="1747" spans="1:57" s="1" customFormat="1" ht="21.6" customHeight="1" x14ac:dyDescent="0.4">
      <c r="A1747" s="37" t="str">
        <f>A1746</f>
        <v>29Д</v>
      </c>
      <c r="B1747" s="12">
        <f>B1728+1</f>
        <v>29</v>
      </c>
      <c r="C1747" s="97"/>
      <c r="D1747" s="97">
        <v>1</v>
      </c>
      <c r="E1747" s="29"/>
      <c r="F1747" s="151" t="str">
        <f>IFERROR(VLOOKUP($G1747,нормы!$A$14:$BC$57,2,0),"")</f>
        <v/>
      </c>
      <c r="G1747" s="93"/>
      <c r="H1747" s="54">
        <f>IF(C1747=1,"Кульков С.А.", IF(C1747=2,"Чудаков А.А.",IF(C1747=3,"Королев В.Н.",IF(C1747=4,"Николашин М.П.",IF(C1747=5," Кульков С.А.",IF(C1747=6,"А.А. Чудаков",IF(C1747=7,"В.Н. Королев",IF(C1747=8,"М.П. Николашин",0))))))))</f>
        <v>0</v>
      </c>
      <c r="I1747" s="88" t="s">
        <v>84</v>
      </c>
      <c r="J1747" s="332"/>
      <c r="K1747" s="30">
        <f>IFERROR(VLOOKUP($G1747,[1]нормы!$A$21:$BC$151,15,0),"")</f>
        <v>0</v>
      </c>
      <c r="L1747" s="31">
        <f>IFERROR(VLOOKUP($G1747,[1]нормы!$A$21:$BC$151,17,0),"")</f>
        <v>0</v>
      </c>
      <c r="M1747" s="310">
        <f>IFERROR(VLOOKUP($G1747,[1]нормы!$A$21:$BC$151,27,0),"")</f>
        <v>0</v>
      </c>
      <c r="N1747" s="311" t="str">
        <f>IFERROR(Y1747/Y1753*(1.1*J1747*I1752),"")</f>
        <v/>
      </c>
      <c r="O1747" s="300">
        <f>IFERROR(VLOOKUP($G1747,[1]нормы!$A$21:$BC$151,21,0),"")</f>
        <v>0</v>
      </c>
      <c r="P1747" s="35">
        <f>IFERROR(VLOOKUP($G1747,[1]нормы!$A$21:$BC$151,19,0),"")</f>
        <v>0</v>
      </c>
      <c r="Q1747" s="35">
        <f>IFERROR(VLOOKUP($G1747,[1]нормы!$A$21:$BC$151,23,0),"")</f>
        <v>0</v>
      </c>
      <c r="R1747" s="231">
        <f>IFERROR(VLOOKUP($G1747,[1]нормы!$A$21:$BC$151,29,0),"")</f>
        <v>0</v>
      </c>
      <c r="S1747" s="35">
        <f>IFERROR(VLOOKUP($G1747,[1]нормы!$A$21:$BC$151,31,0),"")</f>
        <v>0</v>
      </c>
      <c r="T1747" s="32">
        <f>IFERROR(VLOOKUP($G1747,[1]нормы!$A$21:$BC$151,25,0),"")</f>
        <v>0</v>
      </c>
      <c r="U1747" s="232" t="str">
        <f>IFERROR(W1747/(((100*Y1747/Y1753)*I1752)/100),"")</f>
        <v/>
      </c>
      <c r="V1747" s="234" t="str">
        <f>IFERROR(VLOOKUP($G1747,нормы!$A$14:$BC$57,38,0),"")</f>
        <v/>
      </c>
      <c r="W1747" s="136"/>
      <c r="X1747" s="236"/>
      <c r="Y1747" s="152" t="str">
        <f>IFERROR(VLOOKUP($G1747,нормы!$A$14:$BC$57,42,0)*W1747,"")</f>
        <v/>
      </c>
      <c r="Z1747" s="163">
        <f>IFERROR(VLOOKUP($G1747,нормы!$A$14:$BC$57,14,0)*W1747/1000,0)</f>
        <v>0</v>
      </c>
      <c r="AA1747" s="33"/>
      <c r="AB1747" s="36"/>
      <c r="AC1747" s="36"/>
      <c r="AD1747" s="36"/>
      <c r="AE1747" s="34"/>
      <c r="AF1747" s="159"/>
      <c r="AG1747" s="390"/>
      <c r="AH1747" s="393"/>
      <c r="AI1747" s="396"/>
      <c r="AJ1747" s="407">
        <f>AG1747+AH1747</f>
        <v>0</v>
      </c>
      <c r="AK1747" s="359"/>
      <c r="AL1747" s="359"/>
      <c r="AM1747" s="359"/>
      <c r="AN1747" s="287">
        <f>IFERROR(Y1747*AJ1747/Y1753,)</f>
        <v>0</v>
      </c>
      <c r="AO1747" s="197" t="str">
        <f>IFERROR(VLOOKUP($G1747,нормы!$A$14:$BC$57,53,0)*$W1747,"")</f>
        <v/>
      </c>
      <c r="AP1747" s="288">
        <f>IFERROR(Y1747*AI1747/Y1753,)</f>
        <v>0</v>
      </c>
      <c r="AQ1747" s="197" t="str">
        <f>IFERROR(VLOOKUP($G1747,нормы!$A$14:$BC$57,54,0)*$W1747,"")</f>
        <v/>
      </c>
      <c r="AR1747" s="288">
        <f>IFERROR(AS1747/SUM(AS1747:AS1752)*AL1747,0)</f>
        <v>0</v>
      </c>
      <c r="AS1747" s="197" t="str">
        <f>IFERROR(VLOOKUP($G1747,нормы!$A$14:$BC$57,55,0)*W1747,"")</f>
        <v/>
      </c>
      <c r="AT1747" s="288">
        <f>IFERROR(AU1747/SUM(AU1747:AU1752)*AM1747,0)</f>
        <v>0</v>
      </c>
      <c r="AU1747" s="197" t="str">
        <f>IFERROR(VLOOKUP($G1747,нормы!$A$14:$BI$57,56,0)*W1747,"")</f>
        <v/>
      </c>
      <c r="AV1747" s="288">
        <f>IFERROR(AW1747/SUM(AW1747:AW1752)*AK1747,0)</f>
        <v>0</v>
      </c>
      <c r="AW1747" s="202" t="str">
        <f>IFERROR(VLOOKUP($G1747,нормы!$A$14:$BI$57,57,0)*W1747,"")</f>
        <v/>
      </c>
      <c r="AX1747" s="33"/>
      <c r="AY1747" s="203" t="str">
        <f>IFERROR(VLOOKUP($G1747,нормы!$A$14:$BI$57,58,0)*W1747,"")</f>
        <v/>
      </c>
      <c r="AZ1747" s="204"/>
      <c r="BA1747" s="200" t="str">
        <f>IFERROR(VLOOKUP($G1747,нормы!$A$14:$BI$57,61,0)*$W1747,"")</f>
        <v/>
      </c>
      <c r="BB1747" s="33"/>
      <c r="BC1747" s="203" t="str">
        <f>IFERROR(VLOOKUP($G1747,нормы!$A$14:$BI$57,60,0)*W1747,"")</f>
        <v/>
      </c>
      <c r="BD1747" s="200" t="str">
        <f>IFERROR(VLOOKUP($G1747,нормы!$A$14:$BG$57,44,0),"")</f>
        <v/>
      </c>
      <c r="BE1747" s="199" t="str">
        <f>IFERROR(W1747/VLOOKUP($G1747,нормы!$A$14:$BI$57,45,0),"")</f>
        <v/>
      </c>
    </row>
    <row r="1748" spans="1:57" s="1" customFormat="1" ht="21.6" customHeight="1" x14ac:dyDescent="0.4">
      <c r="A1748" s="37" t="str">
        <f t="shared" ref="A1748:D1776" si="686">A1747</f>
        <v>29Д</v>
      </c>
      <c r="B1748" s="12">
        <f t="shared" si="686"/>
        <v>29</v>
      </c>
      <c r="C1748" s="97">
        <f t="shared" si="686"/>
        <v>0</v>
      </c>
      <c r="D1748" s="97">
        <f t="shared" si="686"/>
        <v>1</v>
      </c>
      <c r="E1748" s="54"/>
      <c r="F1748" s="151" t="str">
        <f>IFERROR(VLOOKUP($G1748,нормы!$A$14:$BC$57,2,0),"")</f>
        <v/>
      </c>
      <c r="G1748" s="93"/>
      <c r="H1748" s="54">
        <f t="shared" ref="H1748:H1752" si="687">IF(C1748=1,"Кульков С.А.", IF(C1748=2,"Чудаков А.А.",IF(C1748=3,"Королев В.Н.",IF(C1748=4,"Николашин М.П.",IF(C1748=5," Кульков С.А.",IF(C1748=6,"А.А. Чудаков",IF(C1748=7,"В.Н. Королев",IF(C1748=8,"М.П. Николашин",0))))))))</f>
        <v>0</v>
      </c>
      <c r="I1748" s="55"/>
      <c r="J1748" s="333"/>
      <c r="K1748" s="30">
        <f>IFERROR(VLOOKUP($G1748,[1]нормы!$A$21:$BC$151,15,0),"")</f>
        <v>0</v>
      </c>
      <c r="L1748" s="31">
        <f>IFERROR(VLOOKUP($G1748,[1]нормы!$A$21:$BC$151,17,0),"")</f>
        <v>0</v>
      </c>
      <c r="M1748" s="306">
        <f>IFERROR(VLOOKUP($G1748,[1]нормы!$A$21:$BC$151,27,0),"")</f>
        <v>0</v>
      </c>
      <c r="N1748" s="307" t="str">
        <f>IFERROR(Y1748/Y1753*(1.1*J1747*I1752),"")</f>
        <v/>
      </c>
      <c r="O1748" s="300">
        <f>IFERROR(VLOOKUP($G1748,[1]нормы!$A$21:$BC$151,21,0),"")</f>
        <v>0</v>
      </c>
      <c r="P1748" s="35">
        <f>IFERROR(VLOOKUP($G1748,[1]нормы!$A$21:$BC$151,19,0),"")</f>
        <v>0</v>
      </c>
      <c r="Q1748" s="35">
        <f>IFERROR(VLOOKUP($G1748,[1]нормы!$A$21:$BC$151,23,0),"")</f>
        <v>0</v>
      </c>
      <c r="R1748" s="231">
        <f>IFERROR(VLOOKUP($G1748,[1]нормы!$A$21:$BC$151,29,0),"")</f>
        <v>0</v>
      </c>
      <c r="S1748" s="35">
        <f>IFERROR(VLOOKUP($G1748,[1]нормы!$A$21:$BC$151,31,0),"")</f>
        <v>0</v>
      </c>
      <c r="T1748" s="32">
        <f>IFERROR(VLOOKUP($G1748,[1]нормы!$A$21:$BC$151,25,0),"")</f>
        <v>0</v>
      </c>
      <c r="U1748" s="233" t="str">
        <f>IFERROR(W1748/(((100*Y1748/Y1753)*I1752)/100),"")</f>
        <v/>
      </c>
      <c r="V1748" s="234" t="str">
        <f>IFERROR(VLOOKUP($G1748,нормы!$A$14:$BC$57,38,0),"")</f>
        <v/>
      </c>
      <c r="W1748" s="136"/>
      <c r="X1748" s="237"/>
      <c r="Y1748" s="152" t="str">
        <f>IFERROR(VLOOKUP($G1748,нормы!$A$14:$BC$57,42,0)*W1748,"")</f>
        <v/>
      </c>
      <c r="Z1748" s="163">
        <f>IFERROR(VLOOKUP($G1748,нормы!$A$14:$BC$57,14,0)*W1748/1000,0)</f>
        <v>0</v>
      </c>
      <c r="AA1748" s="142"/>
      <c r="AB1748" s="35"/>
      <c r="AC1748" s="35"/>
      <c r="AD1748" s="35"/>
      <c r="AE1748" s="31"/>
      <c r="AF1748" s="160"/>
      <c r="AG1748" s="391"/>
      <c r="AH1748" s="394"/>
      <c r="AI1748" s="397"/>
      <c r="AJ1748" s="408"/>
      <c r="AK1748" s="360"/>
      <c r="AL1748" s="360"/>
      <c r="AM1748" s="360"/>
      <c r="AN1748" s="289">
        <f>IFERROR(Y1748*AJ1747/Y1753,)</f>
        <v>0</v>
      </c>
      <c r="AO1748" s="197" t="str">
        <f>IFERROR(VLOOKUP($G1748,нормы!$A$14:$BC$57,53,0)*$W1748,"")</f>
        <v/>
      </c>
      <c r="AP1748" s="290">
        <f>IFERROR(Y1748*AI1747/Y1753,)</f>
        <v>0</v>
      </c>
      <c r="AQ1748" s="197" t="str">
        <f>IFERROR(VLOOKUP($G1748,нормы!$A$14:$BC$57,54,0)*$W1748,"")</f>
        <v/>
      </c>
      <c r="AR1748" s="290">
        <f>IFERROR(AS1748/SUM(AS1747:AS1752)*AL1747,0)</f>
        <v>0</v>
      </c>
      <c r="AS1748" s="197" t="str">
        <f>IFERROR(VLOOKUP($G1748,нормы!$A$14:$BC$57,55,0)*W1748,"")</f>
        <v/>
      </c>
      <c r="AT1748" s="290">
        <f>IFERROR(AU1748/SUM(AU1747:AU1752)*AM1747,0)</f>
        <v>0</v>
      </c>
      <c r="AU1748" s="197" t="str">
        <f>IFERROR(VLOOKUP($G1748,нормы!$A$14:$BI$57,56,0)*W1748,"")</f>
        <v/>
      </c>
      <c r="AV1748" s="290">
        <f>IFERROR(AW1748/SUM(AW1747:AW1752)*AK1747,0)</f>
        <v>0</v>
      </c>
      <c r="AW1748" s="202" t="str">
        <f>IFERROR(VLOOKUP($G1748,нормы!$A$14:$BI$57,57,0)*W1748,"")</f>
        <v/>
      </c>
      <c r="AX1748" s="30"/>
      <c r="AY1748" s="203" t="str">
        <f>IFERROR(VLOOKUP($G1748,нормы!$A$14:$BI$57,58,0)*W1748,"")</f>
        <v/>
      </c>
      <c r="AZ1748" s="205"/>
      <c r="BA1748" s="200" t="str">
        <f>IFERROR(VLOOKUP($G1748,нормы!$A$14:$BI$57,61,0)*$W1748,"")</f>
        <v/>
      </c>
      <c r="BB1748" s="30"/>
      <c r="BC1748" s="203" t="str">
        <f>IFERROR(VLOOKUP($G1748,нормы!$A$14:$BI$57,60,0)*W1748,"")</f>
        <v/>
      </c>
      <c r="BD1748" s="200" t="str">
        <f>IFERROR(VLOOKUP($G1748,нормы!$A$14:$BG$57,44,0),"")</f>
        <v/>
      </c>
      <c r="BE1748" s="199" t="str">
        <f>IFERROR(W1748/VLOOKUP($G1748,нормы!$A$14:$BI$57,45,0),"")</f>
        <v/>
      </c>
    </row>
    <row r="1749" spans="1:57" s="1" customFormat="1" ht="20.25" customHeight="1" x14ac:dyDescent="0.4">
      <c r="A1749" s="37" t="str">
        <f t="shared" si="686"/>
        <v>29Д</v>
      </c>
      <c r="B1749" s="12">
        <f t="shared" ref="B1749:D1749" si="688">B1748</f>
        <v>29</v>
      </c>
      <c r="C1749" s="97">
        <f t="shared" si="688"/>
        <v>0</v>
      </c>
      <c r="D1749" s="97">
        <f t="shared" si="688"/>
        <v>1</v>
      </c>
      <c r="E1749" s="54"/>
      <c r="F1749" s="151" t="str">
        <f>IFERROR(VLOOKUP($G1749,нормы!$A$14:$BC$57,2,0),"")</f>
        <v/>
      </c>
      <c r="G1749" s="38"/>
      <c r="H1749" s="54">
        <f t="shared" si="687"/>
        <v>0</v>
      </c>
      <c r="I1749" s="89" t="s">
        <v>85</v>
      </c>
      <c r="J1749" s="333"/>
      <c r="K1749" s="30">
        <f>IFERROR(VLOOKUP($G1749,[1]нормы!$A$21:$BC$151,15,0),"")</f>
        <v>0</v>
      </c>
      <c r="L1749" s="31">
        <f>IFERROR(VLOOKUP($G1749,[1]нормы!$A$21:$BC$151,17,0),"")</f>
        <v>0</v>
      </c>
      <c r="M1749" s="306">
        <f>IFERROR(VLOOKUP($G1749,[1]нормы!$A$21:$BC$151,27,0),"")</f>
        <v>0</v>
      </c>
      <c r="N1749" s="307" t="str">
        <f>IFERROR(Y1749/Y1753*(1.1*J1747*I1752),"")</f>
        <v/>
      </c>
      <c r="O1749" s="300">
        <f>IFERROR(VLOOKUP($G1749,[1]нормы!$A$21:$BC$151,21,0),"")</f>
        <v>0</v>
      </c>
      <c r="P1749" s="35">
        <f>IFERROR(VLOOKUP($G1749,[1]нормы!$A$21:$BC$151,19,0),"")</f>
        <v>0</v>
      </c>
      <c r="Q1749" s="35">
        <f>IFERROR(VLOOKUP($G1749,[1]нормы!$A$21:$BC$151,23,0),"")</f>
        <v>0</v>
      </c>
      <c r="R1749" s="231">
        <f>IFERROR(VLOOKUP($G1749,[1]нормы!$A$21:$BC$151,29,0),"")</f>
        <v>0</v>
      </c>
      <c r="S1749" s="35">
        <f>IFERROR(VLOOKUP($G1749,[1]нормы!$A$21:$BC$151,31,0),"")</f>
        <v>0</v>
      </c>
      <c r="T1749" s="32">
        <f>IFERROR(VLOOKUP($G1749,[1]нормы!$A$21:$BC$151,25,0),"")</f>
        <v>0</v>
      </c>
      <c r="U1749" s="233" t="str">
        <f>IFERROR(W1749/(((100*Y1749/Y1753)*I1752)/100),"")</f>
        <v/>
      </c>
      <c r="V1749" s="234" t="str">
        <f>IFERROR(VLOOKUP($G1749,нормы!$A$14:$BC$57,38,0),"")</f>
        <v/>
      </c>
      <c r="W1749" s="136"/>
      <c r="X1749" s="237"/>
      <c r="Y1749" s="152" t="str">
        <f>IFERROR(VLOOKUP($G1749,нормы!$A$14:$BC$57,42,0)*W1749,"")</f>
        <v/>
      </c>
      <c r="Z1749" s="163">
        <f>IFERROR(VLOOKUP($G1749,нормы!$A$14:$BC$57,14,0)*W1749/1000,0)</f>
        <v>0</v>
      </c>
      <c r="AA1749" s="30"/>
      <c r="AB1749" s="35"/>
      <c r="AC1749" s="35"/>
      <c r="AD1749" s="35"/>
      <c r="AE1749" s="31"/>
      <c r="AF1749" s="160"/>
      <c r="AG1749" s="391"/>
      <c r="AH1749" s="394"/>
      <c r="AI1749" s="397"/>
      <c r="AJ1749" s="408"/>
      <c r="AK1749" s="360"/>
      <c r="AL1749" s="360"/>
      <c r="AM1749" s="360"/>
      <c r="AN1749" s="289">
        <f>IFERROR(Y1749*AJ1747/Y1753,)</f>
        <v>0</v>
      </c>
      <c r="AO1749" s="197" t="str">
        <f>IFERROR(VLOOKUP($G1749,нормы!$A$14:$BC$57,53,0)*$W1749,"")</f>
        <v/>
      </c>
      <c r="AP1749" s="290">
        <f>IFERROR(Y1749*AI1747/Y1753,)</f>
        <v>0</v>
      </c>
      <c r="AQ1749" s="197" t="str">
        <f>IFERROR(VLOOKUP($G1749,нормы!$A$14:$BC$57,54,0)*$W1749,"")</f>
        <v/>
      </c>
      <c r="AR1749" s="290">
        <f>IFERROR(AS1749/SUM(AS1747:AS1752)*AL1747,0)</f>
        <v>0</v>
      </c>
      <c r="AS1749" s="197" t="str">
        <f>IFERROR(VLOOKUP($G1749,нормы!$A$14:$BC$57,55,0)*W1749,"")</f>
        <v/>
      </c>
      <c r="AT1749" s="290">
        <f>IFERROR(AU1749/SUM(AU1747:AU1752)*AM1747,0)</f>
        <v>0</v>
      </c>
      <c r="AU1749" s="197" t="str">
        <f>IFERROR(VLOOKUP($G1749,нормы!$A$14:$BI$57,56,0)*W1749,"")</f>
        <v/>
      </c>
      <c r="AV1749" s="290">
        <f>IFERROR(AW1749/SUM(AW1747:AW1752)*AK1747,0)</f>
        <v>0</v>
      </c>
      <c r="AW1749" s="202" t="str">
        <f>IFERROR(VLOOKUP($G1749,нормы!$A$14:$BI$57,57,0)*W1749,"")</f>
        <v/>
      </c>
      <c r="AX1749" s="30"/>
      <c r="AY1749" s="203" t="str">
        <f>IFERROR(VLOOKUP($G1749,нормы!$A$14:$BI$57,58,0)*W1749,"")</f>
        <v/>
      </c>
      <c r="AZ1749" s="205"/>
      <c r="BA1749" s="200" t="str">
        <f>IFERROR(VLOOKUP($G1749,нормы!$A$14:$BI$57,61,0)*$W1749,"")</f>
        <v/>
      </c>
      <c r="BB1749" s="30"/>
      <c r="BC1749" s="203" t="str">
        <f>IFERROR(VLOOKUP($G1749,нормы!$A$14:$BI$57,60,0)*W1749,"")</f>
        <v/>
      </c>
      <c r="BD1749" s="200" t="str">
        <f>IFERROR(VLOOKUP($G1749,нормы!$A$14:$BG$57,44,0),"")</f>
        <v/>
      </c>
      <c r="BE1749" s="199" t="str">
        <f>IFERROR(W1749/VLOOKUP($G1749,нормы!$A$14:$BI$57,45,0),"")</f>
        <v/>
      </c>
    </row>
    <row r="1750" spans="1:57" s="1" customFormat="1" ht="20.25" customHeight="1" x14ac:dyDescent="0.4">
      <c r="A1750" s="37" t="str">
        <f t="shared" si="686"/>
        <v>29Д</v>
      </c>
      <c r="B1750" s="12">
        <f t="shared" ref="B1750:D1750" si="689">B1749</f>
        <v>29</v>
      </c>
      <c r="C1750" s="97">
        <f t="shared" si="689"/>
        <v>0</v>
      </c>
      <c r="D1750" s="97">
        <f t="shared" si="689"/>
        <v>1</v>
      </c>
      <c r="E1750" s="54"/>
      <c r="F1750" s="151" t="str">
        <f>IFERROR(VLOOKUP($G1750,нормы!$A$14:$BC$57,2,0),"")</f>
        <v/>
      </c>
      <c r="G1750" s="93"/>
      <c r="H1750" s="54">
        <f t="shared" si="687"/>
        <v>0</v>
      </c>
      <c r="I1750" s="55"/>
      <c r="J1750" s="333"/>
      <c r="K1750" s="30">
        <f>IFERROR(VLOOKUP($G1750,[1]нормы!$A$21:$BC$151,15,0),"")</f>
        <v>0</v>
      </c>
      <c r="L1750" s="31">
        <f>IFERROR(VLOOKUP($G1750,[1]нормы!$A$21:$BC$151,17,0),"")</f>
        <v>0</v>
      </c>
      <c r="M1750" s="306">
        <f>IFERROR(VLOOKUP($G1750,[1]нормы!$A$21:$BC$151,27,0),"")</f>
        <v>0</v>
      </c>
      <c r="N1750" s="307" t="str">
        <f>IFERROR(Y1750/Y1753*(1.1*J1747*I1755),"")</f>
        <v/>
      </c>
      <c r="O1750" s="300">
        <f>IFERROR(VLOOKUP($G1750,[1]нормы!$A$21:$BC$151,21,0),"")</f>
        <v>0</v>
      </c>
      <c r="P1750" s="35">
        <f>IFERROR(VLOOKUP($G1750,[1]нормы!$A$21:$BC$151,19,0),"")</f>
        <v>0</v>
      </c>
      <c r="Q1750" s="35">
        <f>IFERROR(VLOOKUP($G1750,[1]нормы!$A$21:$BC$151,23,0),"")</f>
        <v>0</v>
      </c>
      <c r="R1750" s="231">
        <f>IFERROR(VLOOKUP($G1750,[1]нормы!$A$21:$BC$151,29,0),"")</f>
        <v>0</v>
      </c>
      <c r="S1750" s="35">
        <f>IFERROR(VLOOKUP($G1750,[1]нормы!$A$21:$BC$151,31,0),"")</f>
        <v>0</v>
      </c>
      <c r="T1750" s="32">
        <f>IFERROR(VLOOKUP($G1750,[1]нормы!$A$21:$BC$151,25,0),"")</f>
        <v>0</v>
      </c>
      <c r="U1750" s="233" t="str">
        <f>IFERROR(W1750/(((100*Y1750/Y1753)*I1752)/100),"")</f>
        <v/>
      </c>
      <c r="V1750" s="234" t="str">
        <f>IFERROR(VLOOKUP($G1750,нормы!$A$14:$BC$57,38,0),"")</f>
        <v/>
      </c>
      <c r="W1750" s="136"/>
      <c r="X1750" s="237"/>
      <c r="Y1750" s="152" t="str">
        <f>IFERROR(VLOOKUP($G1750,нормы!$A$14:$BC$57,42,0)*W1750,"")</f>
        <v/>
      </c>
      <c r="Z1750" s="163">
        <f>IFERROR(VLOOKUP($G1750,нормы!$A$14:$BC$57,14,0)*W1750/1000,0)</f>
        <v>0</v>
      </c>
      <c r="AA1750" s="30"/>
      <c r="AB1750" s="35"/>
      <c r="AC1750" s="35"/>
      <c r="AD1750" s="35"/>
      <c r="AE1750" s="31"/>
      <c r="AF1750" s="160"/>
      <c r="AG1750" s="391"/>
      <c r="AH1750" s="394"/>
      <c r="AI1750" s="397"/>
      <c r="AJ1750" s="408"/>
      <c r="AK1750" s="360"/>
      <c r="AL1750" s="360"/>
      <c r="AM1750" s="360"/>
      <c r="AN1750" s="289">
        <f>IFERROR(Y1750*AJ1747/Y1753,)</f>
        <v>0</v>
      </c>
      <c r="AO1750" s="197" t="str">
        <f>IFERROR(VLOOKUP($G1750,нормы!$A$14:$BC$57,53,0)*$W1750,"")</f>
        <v/>
      </c>
      <c r="AP1750" s="290">
        <f>IFERROR(Y1750*AI1747/Y1753,)</f>
        <v>0</v>
      </c>
      <c r="AQ1750" s="197" t="str">
        <f>IFERROR(VLOOKUP($G1750,нормы!$A$14:$BC$57,54,0)*$W1750,"")</f>
        <v/>
      </c>
      <c r="AR1750" s="290">
        <f>IFERROR(AS1750/SUM(AS1747:AS1752)*AL1747,0)</f>
        <v>0</v>
      </c>
      <c r="AS1750" s="197" t="str">
        <f>IFERROR(VLOOKUP($G1750,нормы!$A$14:$BC$57,55,0)*W1750,"")</f>
        <v/>
      </c>
      <c r="AT1750" s="290">
        <f>IFERROR(AU1750/SUM(AU1747:AU1752)*AM1747,0)</f>
        <v>0</v>
      </c>
      <c r="AU1750" s="197" t="str">
        <f>IFERROR(VLOOKUP($G1750,нормы!$A$14:$BI$57,56,0)*W1750,"")</f>
        <v/>
      </c>
      <c r="AV1750" s="290">
        <f>IFERROR(AW1750/SUM(AW1747:AW1752)*AK1747,0)</f>
        <v>0</v>
      </c>
      <c r="AW1750" s="202" t="str">
        <f>IFERROR(VLOOKUP($G1750,нормы!$A$14:$BI$57,57,0)*W1750,"")</f>
        <v/>
      </c>
      <c r="AX1750" s="30"/>
      <c r="AY1750" s="203" t="str">
        <f>IFERROR(VLOOKUP($G1750,нормы!$A$14:$BI$57,58,0)*W1750,"")</f>
        <v/>
      </c>
      <c r="AZ1750" s="205"/>
      <c r="BA1750" s="200" t="str">
        <f>IFERROR(VLOOKUP($G1750,нормы!$A$14:$BI$57,61,0)*$W1750,"")</f>
        <v/>
      </c>
      <c r="BB1750" s="30"/>
      <c r="BC1750" s="203" t="str">
        <f>IFERROR(VLOOKUP($G1750,нормы!$A$14:$BI$57,60,0)*W1750,"")</f>
        <v/>
      </c>
      <c r="BD1750" s="200" t="str">
        <f>IFERROR(VLOOKUP($G1750,нормы!$A$14:$BG$57,44,0),"")</f>
        <v/>
      </c>
      <c r="BE1750" s="199" t="str">
        <f>IFERROR(W1750/VLOOKUP($G1750,нормы!$A$14:$BI$57,45,0),"")</f>
        <v/>
      </c>
    </row>
    <row r="1751" spans="1:57" s="1" customFormat="1" ht="20.25" customHeight="1" x14ac:dyDescent="0.4">
      <c r="A1751" s="37" t="str">
        <f t="shared" si="686"/>
        <v>29Д</v>
      </c>
      <c r="B1751" s="12">
        <f t="shared" ref="B1751:D1751" si="690">B1750</f>
        <v>29</v>
      </c>
      <c r="C1751" s="97">
        <f t="shared" si="690"/>
        <v>0</v>
      </c>
      <c r="D1751" s="97">
        <f t="shared" si="690"/>
        <v>1</v>
      </c>
      <c r="E1751" s="54"/>
      <c r="F1751" s="151" t="str">
        <f>IFERROR(VLOOKUP($G1751,нормы!$A$14:$BC$57,2,0),"")</f>
        <v/>
      </c>
      <c r="G1751" s="38"/>
      <c r="H1751" s="54">
        <f t="shared" si="687"/>
        <v>0</v>
      </c>
      <c r="I1751" s="89" t="s">
        <v>73</v>
      </c>
      <c r="J1751" s="333"/>
      <c r="K1751" s="30">
        <f>IFERROR(VLOOKUP($G1751,[1]нормы!$A$21:$BC$151,15,0),"")</f>
        <v>0</v>
      </c>
      <c r="L1751" s="31">
        <f>IFERROR(VLOOKUP($G1751,[1]нормы!$A$21:$BC$151,17,0),"")</f>
        <v>0</v>
      </c>
      <c r="M1751" s="306">
        <f>IFERROR(VLOOKUP($G1751,[1]нормы!$A$21:$BC$151,27,0),"")</f>
        <v>0</v>
      </c>
      <c r="N1751" s="307" t="str">
        <f>IFERROR(Y1751/Y1753*(1.1*J1747*I1756),"")</f>
        <v/>
      </c>
      <c r="O1751" s="300">
        <f>IFERROR(VLOOKUP($G1751,[1]нормы!$A$21:$BC$151,21,0),"")</f>
        <v>0</v>
      </c>
      <c r="P1751" s="35">
        <f>IFERROR(VLOOKUP($G1751,[1]нормы!$A$21:$BC$151,19,0),"")</f>
        <v>0</v>
      </c>
      <c r="Q1751" s="35">
        <f>IFERROR(VLOOKUP($G1751,[1]нормы!$A$21:$BC$151,23,0),"")</f>
        <v>0</v>
      </c>
      <c r="R1751" s="231">
        <f>IFERROR(VLOOKUP($G1751,[1]нормы!$A$21:$BC$151,29,0),"")</f>
        <v>0</v>
      </c>
      <c r="S1751" s="35">
        <f>IFERROR(VLOOKUP($G1751,[1]нормы!$A$21:$BC$151,31,0),"")</f>
        <v>0</v>
      </c>
      <c r="T1751" s="32">
        <f>IFERROR(VLOOKUP($G1751,[1]нормы!$A$21:$BC$151,25,0),"")</f>
        <v>0</v>
      </c>
      <c r="U1751" s="233" t="str">
        <f>IFERROR(W1751/(((100*Y1751/Y1753)*I1752)/100),"")</f>
        <v/>
      </c>
      <c r="V1751" s="234" t="str">
        <f>IFERROR(VLOOKUP($G1751,нормы!$A$14:$BC$57,38,0),"")</f>
        <v/>
      </c>
      <c r="W1751" s="136"/>
      <c r="X1751" s="237"/>
      <c r="Y1751" s="152" t="str">
        <f>IFERROR(VLOOKUP($G1751,нормы!$A$14:$BC$57,42,0)*W1751,"")</f>
        <v/>
      </c>
      <c r="Z1751" s="163">
        <f>IFERROR(VLOOKUP($G1751,нормы!$A$14:$BC$57,14,0)*W1751/1000,0)</f>
        <v>0</v>
      </c>
      <c r="AA1751" s="30"/>
      <c r="AB1751" s="35"/>
      <c r="AC1751" s="35"/>
      <c r="AD1751" s="35"/>
      <c r="AE1751" s="31"/>
      <c r="AF1751" s="160"/>
      <c r="AG1751" s="391"/>
      <c r="AH1751" s="394"/>
      <c r="AI1751" s="397"/>
      <c r="AJ1751" s="408"/>
      <c r="AK1751" s="360"/>
      <c r="AL1751" s="360"/>
      <c r="AM1751" s="360"/>
      <c r="AN1751" s="289">
        <f>IFERROR(Y1751*AJ1747/Y1753,)</f>
        <v>0</v>
      </c>
      <c r="AO1751" s="197" t="str">
        <f>IFERROR(VLOOKUP($G1751,нормы!$A$14:$BC$57,53,0)*$W1751,"")</f>
        <v/>
      </c>
      <c r="AP1751" s="290">
        <f>IFERROR(Y1751*AI1747/Y1753,)</f>
        <v>0</v>
      </c>
      <c r="AQ1751" s="197" t="str">
        <f>IFERROR(VLOOKUP($G1751,нормы!$A$14:$BC$57,54,0)*$W1751,"")</f>
        <v/>
      </c>
      <c r="AR1751" s="290">
        <f>IFERROR(AS1751/SUM(AS1747:AS1752)*AL1747,0)</f>
        <v>0</v>
      </c>
      <c r="AS1751" s="197" t="str">
        <f>IFERROR(VLOOKUP($G1751,нормы!$A$14:$BC$57,55,0)*W1751,"")</f>
        <v/>
      </c>
      <c r="AT1751" s="290">
        <f>IFERROR(AU1751/SUM(AU1747:AU1752)*AM1747,0)</f>
        <v>0</v>
      </c>
      <c r="AU1751" s="197" t="str">
        <f>IFERROR(VLOOKUP($G1751,нормы!$A$14:$BI$57,56,0)*W1751,"")</f>
        <v/>
      </c>
      <c r="AV1751" s="290">
        <f>IFERROR(AW1751/SUM(AW1747:AW1752)*AK1747,0)</f>
        <v>0</v>
      </c>
      <c r="AW1751" s="202" t="str">
        <f>IFERROR(VLOOKUP($G1751,нормы!$A$14:$BI$57,57,0)*W1751,"")</f>
        <v/>
      </c>
      <c r="AX1751" s="30"/>
      <c r="AY1751" s="203" t="str">
        <f>IFERROR(VLOOKUP($G1751,нормы!$A$14:$BI$57,58,0)*W1751,"")</f>
        <v/>
      </c>
      <c r="AZ1751" s="205"/>
      <c r="BA1751" s="200" t="str">
        <f>IFERROR(VLOOKUP($G1751,нормы!$A$14:$BI$57,61,0)*$W1751,"")</f>
        <v/>
      </c>
      <c r="BB1751" s="30"/>
      <c r="BC1751" s="203" t="str">
        <f>IFERROR(VLOOKUP($G1751,нормы!$A$14:$BI$57,60,0)*W1751,"")</f>
        <v/>
      </c>
      <c r="BD1751" s="200" t="str">
        <f>IFERROR(VLOOKUP($G1751,нормы!$A$14:$BG$57,44,0),"")</f>
        <v/>
      </c>
      <c r="BE1751" s="199" t="str">
        <f>IFERROR(W1751/VLOOKUP($G1751,нормы!$A$14:$BI$57,45,0),"")</f>
        <v/>
      </c>
    </row>
    <row r="1752" spans="1:57" s="1" customFormat="1" ht="21" customHeight="1" thickBot="1" x14ac:dyDescent="0.45">
      <c r="A1752" s="37" t="str">
        <f t="shared" si="686"/>
        <v>29Д</v>
      </c>
      <c r="B1752" s="12">
        <f t="shared" ref="B1752:D1752" si="691">B1751</f>
        <v>29</v>
      </c>
      <c r="C1752" s="97">
        <f t="shared" si="691"/>
        <v>0</v>
      </c>
      <c r="D1752" s="97">
        <f t="shared" si="691"/>
        <v>1</v>
      </c>
      <c r="E1752" s="54"/>
      <c r="F1752" s="151" t="str">
        <f>IFERROR(VLOOKUP($G1752,нормы!$A$14:$BC$57,2,0),"")</f>
        <v/>
      </c>
      <c r="G1752" s="93"/>
      <c r="H1752" s="63">
        <f t="shared" si="687"/>
        <v>0</v>
      </c>
      <c r="I1752" s="153">
        <f>I1748+I1750</f>
        <v>0</v>
      </c>
      <c r="J1752" s="334"/>
      <c r="K1752" s="30">
        <f>IFERROR(VLOOKUP($G1752,[1]нормы!$A$21:$BC$151,15,0),"")</f>
        <v>0</v>
      </c>
      <c r="L1752" s="31">
        <f>IFERROR(VLOOKUP($G1752,[1]нормы!$A$21:$BC$151,17,0),"")</f>
        <v>0</v>
      </c>
      <c r="M1752" s="308">
        <f>IFERROR(VLOOKUP($G1752,[1]нормы!$A$21:$BC$151,27,0),"")</f>
        <v>0</v>
      </c>
      <c r="N1752" s="309" t="str">
        <f>IFERROR(Y1752/Y1753*(1.1*J1747*I1757),"")</f>
        <v/>
      </c>
      <c r="O1752" s="300">
        <f>IFERROR(VLOOKUP($G1752,[1]нормы!$A$21:$BC$151,21,0),"")</f>
        <v>0</v>
      </c>
      <c r="P1752" s="35">
        <f>IFERROR(VLOOKUP($G1752,[1]нормы!$A$21:$BC$151,19,0),"")</f>
        <v>0</v>
      </c>
      <c r="Q1752" s="35">
        <f>IFERROR(VLOOKUP($G1752,[1]нормы!$A$21:$BC$151,23,0),"")</f>
        <v>0</v>
      </c>
      <c r="R1752" s="231">
        <f>IFERROR(VLOOKUP($G1752,[1]нормы!$A$21:$BC$151,29,0),"")</f>
        <v>0</v>
      </c>
      <c r="S1752" s="35">
        <f>IFERROR(VLOOKUP($G1752,[1]нормы!$A$21:$BC$151,31,0),"")</f>
        <v>0</v>
      </c>
      <c r="T1752" s="32">
        <f>IFERROR(VLOOKUP($G1752,[1]нормы!$A$21:$BC$151,25,0),"")</f>
        <v>0</v>
      </c>
      <c r="U1752" s="235" t="str">
        <f>IFERROR(W1752/(((100*Y1752/Y1753)*I1752)/100),"")</f>
        <v/>
      </c>
      <c r="V1752" s="234" t="str">
        <f>IFERROR(VLOOKUP($G1752,нормы!$A$14:$BC$57,38,0),"")</f>
        <v/>
      </c>
      <c r="W1752" s="154"/>
      <c r="X1752" s="238"/>
      <c r="Y1752" s="152" t="str">
        <f>IFERROR(VLOOKUP($G1752,нормы!$A$14:$BC$57,42,0)*W1752,"")</f>
        <v/>
      </c>
      <c r="Z1752" s="163">
        <f>IFERROR(VLOOKUP($G1752,нормы!$A$14:$BC$57,14,0)*W1752/1000,0)</f>
        <v>0</v>
      </c>
      <c r="AA1752" s="56"/>
      <c r="AB1752" s="58"/>
      <c r="AC1752" s="58"/>
      <c r="AD1752" s="58"/>
      <c r="AE1752" s="57"/>
      <c r="AF1752" s="161"/>
      <c r="AG1752" s="392"/>
      <c r="AH1752" s="395"/>
      <c r="AI1752" s="398"/>
      <c r="AJ1752" s="409"/>
      <c r="AK1752" s="361"/>
      <c r="AL1752" s="361"/>
      <c r="AM1752" s="361"/>
      <c r="AN1752" s="291">
        <f>IFERROR(Y1752*AJ1747/Y1753,)</f>
        <v>0</v>
      </c>
      <c r="AO1752" s="197" t="str">
        <f>IFERROR(VLOOKUP($G1752,нормы!$A$14:$BC$57,53,0)*$W1752,"")</f>
        <v/>
      </c>
      <c r="AP1752" s="292">
        <f>IFERROR(Y1752*AI1747/Y1753,)</f>
        <v>0</v>
      </c>
      <c r="AQ1752" s="197" t="str">
        <f>IFERROR(VLOOKUP($G1752,нормы!$A$14:$BC$57,54,0)*$W1752,"")</f>
        <v/>
      </c>
      <c r="AR1752" s="290">
        <f>IFERROR(AS1752/SUM(AS1747:AS1752)*AL1747,0)</f>
        <v>0</v>
      </c>
      <c r="AS1752" s="197" t="str">
        <f>IFERROR(VLOOKUP($G1752,нормы!$A$14:$BC$57,55,0)*W1752,"")</f>
        <v/>
      </c>
      <c r="AT1752" s="292">
        <f>IFERROR(AU1752/SUM(AU1747:AU1752)*AM1747,0)</f>
        <v>0</v>
      </c>
      <c r="AU1752" s="197" t="str">
        <f>IFERROR(VLOOKUP($G1752,нормы!$A$14:$BI$57,56,0)*W1752,"")</f>
        <v/>
      </c>
      <c r="AV1752" s="292">
        <f>IFERROR(AW1752/SUM(AW1747:AW1752)*AK1747,0)</f>
        <v>0</v>
      </c>
      <c r="AW1752" s="202" t="str">
        <f>IFERROR(VLOOKUP($G1752,нормы!$A$14:$BI$57,57,0)*W1752,"")</f>
        <v/>
      </c>
      <c r="AX1752" s="56"/>
      <c r="AY1752" s="203" t="str">
        <f>IFERROR(VLOOKUP($G1752,нормы!$A$14:$BI$57,58,0)*W1752,"")</f>
        <v/>
      </c>
      <c r="AZ1752" s="206"/>
      <c r="BA1752" s="200" t="str">
        <f>IFERROR(VLOOKUP($G1752,нормы!$A$14:$BI$57,61,0)*$W1752,"")</f>
        <v/>
      </c>
      <c r="BB1752" s="56"/>
      <c r="BC1752" s="203" t="str">
        <f>IFERROR(VLOOKUP($G1752,нормы!$A$14:$BI$57,60,0)*W1752,"")</f>
        <v/>
      </c>
      <c r="BD1752" s="200" t="str">
        <f>IFERROR(VLOOKUP($G1752,нормы!$A$14:$BG$57,44,0),"")</f>
        <v/>
      </c>
      <c r="BE1752" s="199" t="str">
        <f>IFERROR(W1752/VLOOKUP($G1752,нормы!$A$14:$BI$57,45,0),"")</f>
        <v/>
      </c>
    </row>
    <row r="1753" spans="1:57" s="1" customFormat="1" ht="29.4" customHeight="1" thickBot="1" x14ac:dyDescent="0.45">
      <c r="A1753" s="37" t="str">
        <f t="shared" si="686"/>
        <v>29Д</v>
      </c>
      <c r="B1753" s="59"/>
      <c r="C1753" s="51"/>
      <c r="D1753" s="51"/>
      <c r="E1753" s="51"/>
      <c r="F1753" s="295" t="s">
        <v>148</v>
      </c>
      <c r="G1753" s="51"/>
      <c r="H1753" s="51"/>
      <c r="I1753" s="60"/>
      <c r="J1753" s="60"/>
      <c r="K1753" s="319" t="s">
        <v>213</v>
      </c>
      <c r="L1753" s="316"/>
      <c r="M1753" s="303" t="s">
        <v>213</v>
      </c>
      <c r="N1753" s="317">
        <f>SUM(N1747:N1752)</f>
        <v>0</v>
      </c>
      <c r="O1753" s="304" t="s">
        <v>216</v>
      </c>
      <c r="P1753" s="318">
        <f>N1753*8.937/1000</f>
        <v>0</v>
      </c>
      <c r="Q1753" s="305" t="s">
        <v>215</v>
      </c>
      <c r="R1753" s="61"/>
      <c r="S1753" s="61"/>
      <c r="T1753" s="61"/>
      <c r="U1753" s="109"/>
      <c r="V1753" s="109"/>
      <c r="W1753" s="94"/>
      <c r="X1753" s="155"/>
      <c r="Y1753" s="96">
        <f>SUM(Y1747:Y1752)</f>
        <v>0</v>
      </c>
      <c r="Z1753" s="164">
        <f>SUM(Z1747:Z1752)</f>
        <v>0</v>
      </c>
      <c r="AA1753" s="62"/>
      <c r="AB1753" s="62"/>
      <c r="AC1753" s="62"/>
      <c r="AD1753" s="62"/>
      <c r="AE1753" s="62"/>
      <c r="AF1753" s="62"/>
      <c r="AG1753" s="162" t="s">
        <v>140</v>
      </c>
      <c r="AH1753" s="162" t="s">
        <v>141</v>
      </c>
      <c r="AI1753" s="162" t="s">
        <v>142</v>
      </c>
      <c r="AJ1753" s="91" t="s">
        <v>126</v>
      </c>
      <c r="AK1753" s="198" t="s">
        <v>136</v>
      </c>
      <c r="AL1753" s="198" t="s">
        <v>137</v>
      </c>
      <c r="AM1753" s="198" t="s">
        <v>138</v>
      </c>
      <c r="AN1753" s="91"/>
      <c r="AO1753" s="91"/>
      <c r="AP1753" s="91"/>
      <c r="AQ1753" s="91"/>
      <c r="AR1753" s="91"/>
      <c r="AS1753" s="91"/>
      <c r="AT1753" s="91"/>
      <c r="AU1753" s="91"/>
      <c r="AV1753" s="91"/>
      <c r="AW1753" s="91"/>
      <c r="AX1753" s="91"/>
      <c r="AY1753" s="91"/>
      <c r="AZ1753" s="91"/>
      <c r="BA1753" s="91"/>
      <c r="BB1753" s="91"/>
      <c r="BC1753" s="91"/>
      <c r="BD1753" s="91"/>
      <c r="BE1753" s="53" t="str">
        <f>IFERROR(W1753/VLOOKUP($G1753,нормы!$A$14:$BI$15,28,0),"")</f>
        <v/>
      </c>
    </row>
    <row r="1754" spans="1:57" s="1" customFormat="1" ht="21.6" customHeight="1" x14ac:dyDescent="0.4">
      <c r="A1754" s="37" t="str">
        <f t="shared" si="686"/>
        <v>29Д</v>
      </c>
      <c r="B1754" s="12">
        <f>B1752</f>
        <v>29</v>
      </c>
      <c r="C1754" s="97"/>
      <c r="D1754" s="97">
        <v>2</v>
      </c>
      <c r="E1754" s="29"/>
      <c r="F1754" s="151" t="str">
        <f>IFERROR(VLOOKUP($G1754,нормы!$A$14:$BC$57,2,0),"")</f>
        <v/>
      </c>
      <c r="G1754" s="93"/>
      <c r="H1754" s="54">
        <f>IF(C1754=1,"Кульков С.А.", IF(C1754=2,"Чудаков А.А.",IF(C1754=3,"Королев В.Н.",IF(C1754=4,"Николашин М.П.",IF(C1754=5," Кульков С.А.",IF(C1754=6,"А.А. Чудаков",IF(C1754=7,"В.Н. Королев",IF(C1754=8,"М.П. Николашин",0))))))))</f>
        <v>0</v>
      </c>
      <c r="I1754" s="88" t="s">
        <v>211</v>
      </c>
      <c r="J1754" s="332"/>
      <c r="K1754" s="30">
        <f>IFERROR(VLOOKUP($G1754,[1]нормы!$A$21:$BC$151,15,0),"")</f>
        <v>0</v>
      </c>
      <c r="L1754" s="31">
        <f>IFERROR(VLOOKUP($G1754,[1]нормы!$A$21:$BC$151,17,0),"")</f>
        <v>0</v>
      </c>
      <c r="M1754" s="310">
        <f>IFERROR(VLOOKUP($G1754,[1]нормы!$A$21:$BC$151,27,0),"")</f>
        <v>0</v>
      </c>
      <c r="N1754" s="311" t="str">
        <f>IFERROR(Y1754/Y1760*(1.1*J1754*I1759),"")</f>
        <v/>
      </c>
      <c r="O1754" s="300">
        <f>IFERROR(VLOOKUP($G1754,[1]нормы!$A$21:$BC$151,21,0),"")</f>
        <v>0</v>
      </c>
      <c r="P1754" s="35">
        <f>IFERROR(VLOOKUP($G1754,[1]нормы!$A$21:$BC$151,19,0),"")</f>
        <v>0</v>
      </c>
      <c r="Q1754" s="35">
        <f>IFERROR(VLOOKUP($G1754,[1]нормы!$A$21:$BC$151,23,0),"")</f>
        <v>0</v>
      </c>
      <c r="R1754" s="231">
        <f>IFERROR(VLOOKUP($G1754,[1]нормы!$A$21:$BC$151,29,0),"")</f>
        <v>0</v>
      </c>
      <c r="S1754" s="35">
        <f>IFERROR(VLOOKUP($G1754,[1]нормы!$A$21:$BC$151,31,0),"")</f>
        <v>0</v>
      </c>
      <c r="T1754" s="32">
        <f>IFERROR(VLOOKUP($G1754,[1]нормы!$A$21:$BC$151,25,0),"")</f>
        <v>0</v>
      </c>
      <c r="U1754" s="232" t="str">
        <f>IFERROR(W1754/(((100*Y1754/Y1760)*I1759)/100),"")</f>
        <v/>
      </c>
      <c r="V1754" s="234" t="str">
        <f>IFERROR(VLOOKUP($G1754,нормы!$A$14:$BC$57,38,0),"")</f>
        <v/>
      </c>
      <c r="W1754" s="136"/>
      <c r="X1754" s="236"/>
      <c r="Y1754" s="152" t="str">
        <f>IFERROR(VLOOKUP($G1754,нормы!$A$14:$BC$57,42,0)*W1754,"")</f>
        <v/>
      </c>
      <c r="Z1754" s="163">
        <f>IFERROR(VLOOKUP($G1754,нормы!$A$14:$BC$57,14,0)*W1754/1000,0)</f>
        <v>0</v>
      </c>
      <c r="AA1754" s="33"/>
      <c r="AB1754" s="36"/>
      <c r="AC1754" s="36"/>
      <c r="AD1754" s="36"/>
      <c r="AE1754" s="34"/>
      <c r="AF1754" s="159"/>
      <c r="AG1754" s="390"/>
      <c r="AH1754" s="393"/>
      <c r="AI1754" s="396"/>
      <c r="AJ1754" s="407">
        <f>AG1754+AH1754</f>
        <v>0</v>
      </c>
      <c r="AK1754" s="359"/>
      <c r="AL1754" s="359"/>
      <c r="AM1754" s="359"/>
      <c r="AN1754" s="287">
        <f>IFERROR(Y1754*AJ1754/Y1760,)</f>
        <v>0</v>
      </c>
      <c r="AO1754" s="197" t="str">
        <f>IFERROR(VLOOKUP($G1754,нормы!$A$14:$BC$57,53,0)*$W1754,"")</f>
        <v/>
      </c>
      <c r="AP1754" s="288">
        <f>IFERROR(Y1754*AI1754/Y1760,)</f>
        <v>0</v>
      </c>
      <c r="AQ1754" s="197" t="str">
        <f>IFERROR(VLOOKUP($G1754,нормы!$A$14:$BC$57,54,0)*$W1754,"")</f>
        <v/>
      </c>
      <c r="AR1754" s="288">
        <f>IFERROR(AS1754/SUM(AS1754:AS1759)*AL1754,0)</f>
        <v>0</v>
      </c>
      <c r="AS1754" s="197" t="str">
        <f>IFERROR(VLOOKUP($G1754,нормы!$A$14:$BC$57,55,0)*W1754,"")</f>
        <v/>
      </c>
      <c r="AT1754" s="288">
        <f>IFERROR(AU1754/SUM(AU1754:AU1759)*AM1754,0)</f>
        <v>0</v>
      </c>
      <c r="AU1754" s="197" t="str">
        <f>IFERROR(VLOOKUP($G1754,нормы!$A$14:$BI$57,56,0)*W1754,"")</f>
        <v/>
      </c>
      <c r="AV1754" s="288">
        <f>IFERROR(AW1754/SUM(AW1754:AW1759)*AK1754,0)</f>
        <v>0</v>
      </c>
      <c r="AW1754" s="202" t="str">
        <f>IFERROR(VLOOKUP($G1754,нормы!$A$14:$BI$57,57,0)*W1754,"")</f>
        <v/>
      </c>
      <c r="AX1754" s="33"/>
      <c r="AY1754" s="203" t="str">
        <f>IFERROR(VLOOKUP($G1754,нормы!$A$14:$BI$57,58,0)*W1754,"")</f>
        <v/>
      </c>
      <c r="AZ1754" s="204"/>
      <c r="BA1754" s="200" t="str">
        <f>IFERROR(VLOOKUP($G1754,нормы!$A$14:$BI$57,61,0)*$W1754,"")</f>
        <v/>
      </c>
      <c r="BB1754" s="33"/>
      <c r="BC1754" s="203" t="str">
        <f>IFERROR(VLOOKUP($G1754,нормы!$A$14:$BI$57,60,0)*W1754,"")</f>
        <v/>
      </c>
      <c r="BD1754" s="200" t="str">
        <f>IFERROR(VLOOKUP($G1754,нормы!$A$14:$BG$57,44,0),"")</f>
        <v/>
      </c>
      <c r="BE1754" s="199" t="str">
        <f>IFERROR(W1754/VLOOKUP($G1754,нормы!$A$14:$BI$57,45,0),"")</f>
        <v/>
      </c>
    </row>
    <row r="1755" spans="1:57" s="1" customFormat="1" ht="21.6" customHeight="1" x14ac:dyDescent="0.4">
      <c r="A1755" s="37" t="str">
        <f t="shared" si="686"/>
        <v>29Д</v>
      </c>
      <c r="B1755" s="12">
        <f>B1754</f>
        <v>29</v>
      </c>
      <c r="C1755" s="97">
        <f t="shared" ref="C1755:D1755" si="692">C1754</f>
        <v>0</v>
      </c>
      <c r="D1755" s="97">
        <f t="shared" si="692"/>
        <v>2</v>
      </c>
      <c r="E1755" s="54"/>
      <c r="F1755" s="151" t="str">
        <f>IFERROR(VLOOKUP($G1755,нормы!$A$14:$BC$57,2,0),"")</f>
        <v/>
      </c>
      <c r="G1755" s="93"/>
      <c r="H1755" s="54">
        <f t="shared" ref="H1755:H1759" si="693">IF(C1755=1,"Кульков С.А.", IF(C1755=2,"Чудаков А.А.",IF(C1755=3,"Королев В.Н.",IF(C1755=4,"Николашин М.П.",IF(C1755=5," Кульков С.А.",IF(C1755=6,"А.А. Чудаков",IF(C1755=7,"В.Н. Королев",IF(C1755=8,"М.П. Николашин",0))))))))</f>
        <v>0</v>
      </c>
      <c r="I1755" s="55"/>
      <c r="J1755" s="333"/>
      <c r="K1755" s="30">
        <f>IFERROR(VLOOKUP($G1755,[1]нормы!$A$21:$BC$151,15,0),"")</f>
        <v>0</v>
      </c>
      <c r="L1755" s="31">
        <f>IFERROR(VLOOKUP($G1755,[1]нормы!$A$21:$BC$151,17,0),"")</f>
        <v>0</v>
      </c>
      <c r="M1755" s="306">
        <f>IFERROR(VLOOKUP($G1755,[1]нормы!$A$21:$BC$151,27,0),"")</f>
        <v>0</v>
      </c>
      <c r="N1755" s="307" t="str">
        <f>IFERROR(Y1755/Y1760*(1.1*J1754*I1759),"")</f>
        <v/>
      </c>
      <c r="O1755" s="300">
        <f>IFERROR(VLOOKUP($G1755,[1]нормы!$A$21:$BC$151,21,0),"")</f>
        <v>0</v>
      </c>
      <c r="P1755" s="35">
        <f>IFERROR(VLOOKUP($G1755,[1]нормы!$A$21:$BC$151,19,0),"")</f>
        <v>0</v>
      </c>
      <c r="Q1755" s="35">
        <f>IFERROR(VLOOKUP($G1755,[1]нормы!$A$21:$BC$151,23,0),"")</f>
        <v>0</v>
      </c>
      <c r="R1755" s="231">
        <f>IFERROR(VLOOKUP($G1755,[1]нормы!$A$21:$BC$151,29,0),"")</f>
        <v>0</v>
      </c>
      <c r="S1755" s="35">
        <f>IFERROR(VLOOKUP($G1755,[1]нормы!$A$21:$BC$151,31,0),"")</f>
        <v>0</v>
      </c>
      <c r="T1755" s="32">
        <f>IFERROR(VLOOKUP($G1755,[1]нормы!$A$21:$BC$151,25,0),"")</f>
        <v>0</v>
      </c>
      <c r="U1755" s="233" t="str">
        <f>IFERROR(W1755/(((100*Y1755/Y1760)*I1759)/100),"")</f>
        <v/>
      </c>
      <c r="V1755" s="234" t="str">
        <f>IFERROR(VLOOKUP($G1755,нормы!$A$14:$BC$57,38,0),"")</f>
        <v/>
      </c>
      <c r="W1755" s="136"/>
      <c r="X1755" s="237"/>
      <c r="Y1755" s="152" t="str">
        <f>IFERROR(VLOOKUP($G1755,нормы!$A$14:$BC$57,42,0)*W1755,"")</f>
        <v/>
      </c>
      <c r="Z1755" s="163">
        <f>IFERROR(VLOOKUP($G1755,нормы!$A$14:$BC$57,14,0)*W1755/1000,0)</f>
        <v>0</v>
      </c>
      <c r="AA1755" s="142"/>
      <c r="AB1755" s="35"/>
      <c r="AC1755" s="35"/>
      <c r="AD1755" s="35"/>
      <c r="AE1755" s="31"/>
      <c r="AF1755" s="160"/>
      <c r="AG1755" s="391"/>
      <c r="AH1755" s="394"/>
      <c r="AI1755" s="397"/>
      <c r="AJ1755" s="408"/>
      <c r="AK1755" s="360"/>
      <c r="AL1755" s="360"/>
      <c r="AM1755" s="360"/>
      <c r="AN1755" s="289">
        <f>IFERROR(Y1755*AJ1754/Y1760,)</f>
        <v>0</v>
      </c>
      <c r="AO1755" s="197" t="str">
        <f>IFERROR(VLOOKUP($G1755,нормы!$A$14:$BC$57,53,0)*$W1755,"")</f>
        <v/>
      </c>
      <c r="AP1755" s="290">
        <f>IFERROR(Y1755*AI1754/Y1760,)</f>
        <v>0</v>
      </c>
      <c r="AQ1755" s="197" t="str">
        <f>IFERROR(VLOOKUP($G1755,нормы!$A$14:$BC$57,54,0)*$W1755,"")</f>
        <v/>
      </c>
      <c r="AR1755" s="290">
        <f>IFERROR(AS1755/SUM(AS1754:AS1759)*AL1754,0)</f>
        <v>0</v>
      </c>
      <c r="AS1755" s="197" t="str">
        <f>IFERROR(VLOOKUP($G1755,нормы!$A$14:$BC$57,55,0)*W1755,"")</f>
        <v/>
      </c>
      <c r="AT1755" s="290">
        <f>IFERROR(AU1755/SUM(AU1754:AU1759)*AM1754,0)</f>
        <v>0</v>
      </c>
      <c r="AU1755" s="197" t="str">
        <f>IFERROR(VLOOKUP($G1755,нормы!$A$14:$BI$57,56,0)*W1755,"")</f>
        <v/>
      </c>
      <c r="AV1755" s="290">
        <f>IFERROR(AW1755/SUM(AW1754:AW1759)*AK1754,0)</f>
        <v>0</v>
      </c>
      <c r="AW1755" s="202" t="str">
        <f>IFERROR(VLOOKUP($G1755,нормы!$A$14:$BI$57,57,0)*W1755,"")</f>
        <v/>
      </c>
      <c r="AX1755" s="30"/>
      <c r="AY1755" s="203" t="str">
        <f>IFERROR(VLOOKUP($G1755,нормы!$A$14:$BI$57,58,0)*W1755,"")</f>
        <v/>
      </c>
      <c r="AZ1755" s="205"/>
      <c r="BA1755" s="200" t="str">
        <f>IFERROR(VLOOKUP($G1755,нормы!$A$14:$BI$57,61,0)*$W1755,"")</f>
        <v/>
      </c>
      <c r="BB1755" s="30"/>
      <c r="BC1755" s="203" t="str">
        <f>IFERROR(VLOOKUP($G1755,нормы!$A$14:$BI$57,60,0)*W1755,"")</f>
        <v/>
      </c>
      <c r="BD1755" s="200" t="str">
        <f>IFERROR(VLOOKUP($G1755,нормы!$A$14:$BG$57,44,0),"")</f>
        <v/>
      </c>
      <c r="BE1755" s="199" t="str">
        <f>IFERROR(W1755/VLOOKUP($G1755,нормы!$A$14:$BI$57,45,0),"")</f>
        <v/>
      </c>
    </row>
    <row r="1756" spans="1:57" s="1" customFormat="1" ht="20.25" customHeight="1" x14ac:dyDescent="0.4">
      <c r="A1756" s="37" t="str">
        <f t="shared" si="686"/>
        <v>29Д</v>
      </c>
      <c r="B1756" s="12">
        <f t="shared" si="686"/>
        <v>29</v>
      </c>
      <c r="C1756" s="97">
        <f t="shared" si="686"/>
        <v>0</v>
      </c>
      <c r="D1756" s="97">
        <f t="shared" si="686"/>
        <v>2</v>
      </c>
      <c r="E1756" s="54"/>
      <c r="F1756" s="151" t="str">
        <f>IFERROR(VLOOKUP($G1756,нормы!$A$14:$BC$57,2,0),"")</f>
        <v/>
      </c>
      <c r="G1756" s="38"/>
      <c r="H1756" s="54">
        <f t="shared" si="693"/>
        <v>0</v>
      </c>
      <c r="I1756" s="89" t="s">
        <v>212</v>
      </c>
      <c r="J1756" s="333"/>
      <c r="K1756" s="30">
        <f>IFERROR(VLOOKUP($G1756,[1]нормы!$A$21:$BC$151,15,0),"")</f>
        <v>0</v>
      </c>
      <c r="L1756" s="31">
        <f>IFERROR(VLOOKUP($G1756,[1]нормы!$A$21:$BC$151,17,0),"")</f>
        <v>0</v>
      </c>
      <c r="M1756" s="306">
        <f>IFERROR(VLOOKUP($G1756,[1]нормы!$A$21:$BC$151,27,0),"")</f>
        <v>0</v>
      </c>
      <c r="N1756" s="307" t="str">
        <f>IFERROR(Y1756/Y1760*(1.1*J1754*I1759),"")</f>
        <v/>
      </c>
      <c r="O1756" s="300">
        <f>IFERROR(VLOOKUP($G1756,[1]нормы!$A$21:$BC$151,21,0),"")</f>
        <v>0</v>
      </c>
      <c r="P1756" s="35">
        <f>IFERROR(VLOOKUP($G1756,[1]нормы!$A$21:$BC$151,19,0),"")</f>
        <v>0</v>
      </c>
      <c r="Q1756" s="35">
        <f>IFERROR(VLOOKUP($G1756,[1]нормы!$A$21:$BC$151,23,0),"")</f>
        <v>0</v>
      </c>
      <c r="R1756" s="231">
        <f>IFERROR(VLOOKUP($G1756,[1]нормы!$A$21:$BC$151,29,0),"")</f>
        <v>0</v>
      </c>
      <c r="S1756" s="35">
        <f>IFERROR(VLOOKUP($G1756,[1]нормы!$A$21:$BC$151,31,0),"")</f>
        <v>0</v>
      </c>
      <c r="T1756" s="32">
        <f>IFERROR(VLOOKUP($G1756,[1]нормы!$A$21:$BC$151,25,0),"")</f>
        <v>0</v>
      </c>
      <c r="U1756" s="233" t="str">
        <f>IFERROR(W1756/(((100*Y1756/Y1760)*I1759)/100),"")</f>
        <v/>
      </c>
      <c r="V1756" s="234" t="str">
        <f>IFERROR(VLOOKUP($G1756,нормы!$A$14:$BC$57,38,0),"")</f>
        <v/>
      </c>
      <c r="W1756" s="136"/>
      <c r="X1756" s="237"/>
      <c r="Y1756" s="152" t="str">
        <f>IFERROR(VLOOKUP($G1756,нормы!$A$14:$BC$57,42,0)*W1756,"")</f>
        <v/>
      </c>
      <c r="Z1756" s="163">
        <f>IFERROR(VLOOKUP($G1756,нормы!$A$14:$BC$57,14,0)*W1756/1000,0)</f>
        <v>0</v>
      </c>
      <c r="AA1756" s="30"/>
      <c r="AB1756" s="35"/>
      <c r="AC1756" s="35"/>
      <c r="AD1756" s="35"/>
      <c r="AE1756" s="31"/>
      <c r="AF1756" s="160"/>
      <c r="AG1756" s="391"/>
      <c r="AH1756" s="394"/>
      <c r="AI1756" s="397"/>
      <c r="AJ1756" s="408"/>
      <c r="AK1756" s="360"/>
      <c r="AL1756" s="360"/>
      <c r="AM1756" s="360"/>
      <c r="AN1756" s="289">
        <f>IFERROR(Y1756*AJ1754/Y1760,)</f>
        <v>0</v>
      </c>
      <c r="AO1756" s="197" t="str">
        <f>IFERROR(VLOOKUP($G1756,нормы!$A$14:$BC$57,53,0)*$W1756,"")</f>
        <v/>
      </c>
      <c r="AP1756" s="290">
        <f>IFERROR(Y1756*AI1754/Y1760,)</f>
        <v>0</v>
      </c>
      <c r="AQ1756" s="197" t="str">
        <f>IFERROR(VLOOKUP($G1756,нормы!$A$14:$BC$57,54,0)*$W1756,"")</f>
        <v/>
      </c>
      <c r="AR1756" s="290">
        <f>IFERROR(AS1756/SUM(AS1754:AS1759)*AL1754,0)</f>
        <v>0</v>
      </c>
      <c r="AS1756" s="197" t="str">
        <f>IFERROR(VLOOKUP($G1756,нормы!$A$14:$BC$57,55,0)*W1756,"")</f>
        <v/>
      </c>
      <c r="AT1756" s="290">
        <f>IFERROR(AU1756/SUM(AU1754:AU1759)*AM1754,0)</f>
        <v>0</v>
      </c>
      <c r="AU1756" s="197" t="str">
        <f>IFERROR(VLOOKUP($G1756,нормы!$A$14:$BI$57,56,0)*W1756,"")</f>
        <v/>
      </c>
      <c r="AV1756" s="290">
        <f>IFERROR(AW1756/SUM(AW1754:AW1759)*AK1754,0)</f>
        <v>0</v>
      </c>
      <c r="AW1756" s="202" t="str">
        <f>IFERROR(VLOOKUP($G1756,нормы!$A$14:$BI$57,57,0)*W1756,"")</f>
        <v/>
      </c>
      <c r="AX1756" s="30"/>
      <c r="AY1756" s="203" t="str">
        <f>IFERROR(VLOOKUP($G1756,нормы!$A$14:$BI$57,58,0)*W1756,"")</f>
        <v/>
      </c>
      <c r="AZ1756" s="205"/>
      <c r="BA1756" s="200" t="str">
        <f>IFERROR(VLOOKUP($G1756,нормы!$A$14:$BI$57,61,0)*$W1756,"")</f>
        <v/>
      </c>
      <c r="BB1756" s="30"/>
      <c r="BC1756" s="203" t="str">
        <f>IFERROR(VLOOKUP($G1756,нормы!$A$14:$BI$57,60,0)*W1756,"")</f>
        <v/>
      </c>
      <c r="BD1756" s="200" t="str">
        <f>IFERROR(VLOOKUP($G1756,нормы!$A$14:$BG$57,44,0),"")</f>
        <v/>
      </c>
      <c r="BE1756" s="199" t="str">
        <f>IFERROR(W1756/VLOOKUP($G1756,нормы!$A$14:$BI$57,45,0),"")</f>
        <v/>
      </c>
    </row>
    <row r="1757" spans="1:57" s="1" customFormat="1" ht="20.25" customHeight="1" x14ac:dyDescent="0.4">
      <c r="A1757" s="37" t="str">
        <f t="shared" si="686"/>
        <v>29Д</v>
      </c>
      <c r="B1757" s="12">
        <f t="shared" si="686"/>
        <v>29</v>
      </c>
      <c r="C1757" s="97">
        <f t="shared" si="686"/>
        <v>0</v>
      </c>
      <c r="D1757" s="97">
        <f t="shared" si="686"/>
        <v>2</v>
      </c>
      <c r="E1757" s="54"/>
      <c r="F1757" s="151" t="str">
        <f>IFERROR(VLOOKUP($G1757,нормы!$A$14:$BC$57,2,0),"")</f>
        <v/>
      </c>
      <c r="G1757" s="93"/>
      <c r="H1757" s="54">
        <f t="shared" si="693"/>
        <v>0</v>
      </c>
      <c r="I1757" s="55"/>
      <c r="J1757" s="333"/>
      <c r="K1757" s="30">
        <f>IFERROR(VLOOKUP($G1757,[1]нормы!$A$21:$BC$151,15,0),"")</f>
        <v>0</v>
      </c>
      <c r="L1757" s="31">
        <f>IFERROR(VLOOKUP($G1757,[1]нормы!$A$21:$BC$151,17,0),"")</f>
        <v>0</v>
      </c>
      <c r="M1757" s="306">
        <f>IFERROR(VLOOKUP($G1757,[1]нормы!$A$21:$BC$151,27,0),"")</f>
        <v>0</v>
      </c>
      <c r="N1757" s="307" t="str">
        <f>IFERROR(Y1757/Y1760*(1.1*J1754*I1762),"")</f>
        <v/>
      </c>
      <c r="O1757" s="300">
        <f>IFERROR(VLOOKUP($G1757,[1]нормы!$A$21:$BC$151,21,0),"")</f>
        <v>0</v>
      </c>
      <c r="P1757" s="35">
        <f>IFERROR(VLOOKUP($G1757,[1]нормы!$A$21:$BC$151,19,0),"")</f>
        <v>0</v>
      </c>
      <c r="Q1757" s="35">
        <f>IFERROR(VLOOKUP($G1757,[1]нормы!$A$21:$BC$151,23,0),"")</f>
        <v>0</v>
      </c>
      <c r="R1757" s="231">
        <f>IFERROR(VLOOKUP($G1757,[1]нормы!$A$21:$BC$151,29,0),"")</f>
        <v>0</v>
      </c>
      <c r="S1757" s="35">
        <f>IFERROR(VLOOKUP($G1757,[1]нормы!$A$21:$BC$151,31,0),"")</f>
        <v>0</v>
      </c>
      <c r="T1757" s="32">
        <f>IFERROR(VLOOKUP($G1757,[1]нормы!$A$21:$BC$151,25,0),"")</f>
        <v>0</v>
      </c>
      <c r="U1757" s="233" t="str">
        <f>IFERROR(W1757/(((100*Y1757/Y1760)*I1759)/100),"")</f>
        <v/>
      </c>
      <c r="V1757" s="234" t="str">
        <f>IFERROR(VLOOKUP($G1757,нормы!$A$14:$BC$57,38,0),"")</f>
        <v/>
      </c>
      <c r="W1757" s="136"/>
      <c r="X1757" s="237"/>
      <c r="Y1757" s="152" t="str">
        <f>IFERROR(VLOOKUP($G1757,нормы!$A$14:$BC$57,42,0)*W1757,"")</f>
        <v/>
      </c>
      <c r="Z1757" s="163">
        <f>IFERROR(VLOOKUP($G1757,нормы!$A$14:$BC$57,14,0)*W1757/1000,0)</f>
        <v>0</v>
      </c>
      <c r="AA1757" s="30"/>
      <c r="AB1757" s="35"/>
      <c r="AC1757" s="35"/>
      <c r="AD1757" s="35"/>
      <c r="AE1757" s="31"/>
      <c r="AF1757" s="160"/>
      <c r="AG1757" s="391"/>
      <c r="AH1757" s="394"/>
      <c r="AI1757" s="397"/>
      <c r="AJ1757" s="408"/>
      <c r="AK1757" s="360"/>
      <c r="AL1757" s="360"/>
      <c r="AM1757" s="360"/>
      <c r="AN1757" s="289">
        <f>IFERROR(Y1757*AJ1754/Y1760,)</f>
        <v>0</v>
      </c>
      <c r="AO1757" s="197" t="str">
        <f>IFERROR(VLOOKUP($G1757,нормы!$A$14:$BC$57,53,0)*$W1757,"")</f>
        <v/>
      </c>
      <c r="AP1757" s="290">
        <f>IFERROR(Y1757*AI1754/Y1760,)</f>
        <v>0</v>
      </c>
      <c r="AQ1757" s="197" t="str">
        <f>IFERROR(VLOOKUP($G1757,нормы!$A$14:$BC$57,54,0)*$W1757,"")</f>
        <v/>
      </c>
      <c r="AR1757" s="290">
        <f>IFERROR(AS1757/SUM(AS1754:AS1759)*AL1754,0)</f>
        <v>0</v>
      </c>
      <c r="AS1757" s="197" t="str">
        <f>IFERROR(VLOOKUP($G1757,нормы!$A$14:$BC$57,55,0)*W1757,"")</f>
        <v/>
      </c>
      <c r="AT1757" s="290">
        <f>IFERROR(AU1757/SUM(AU1754:AU1759)*AM1754,0)</f>
        <v>0</v>
      </c>
      <c r="AU1757" s="197" t="str">
        <f>IFERROR(VLOOKUP($G1757,нормы!$A$14:$BI$57,56,0)*W1757,"")</f>
        <v/>
      </c>
      <c r="AV1757" s="290">
        <f>IFERROR(AW1757/SUM(AW1754:AW1759)*AK1754,0)</f>
        <v>0</v>
      </c>
      <c r="AW1757" s="202" t="str">
        <f>IFERROR(VLOOKUP($G1757,нормы!$A$14:$BI$57,57,0)*W1757,"")</f>
        <v/>
      </c>
      <c r="AX1757" s="30"/>
      <c r="AY1757" s="203" t="str">
        <f>IFERROR(VLOOKUP($G1757,нормы!$A$14:$BI$57,58,0)*W1757,"")</f>
        <v/>
      </c>
      <c r="AZ1757" s="205"/>
      <c r="BA1757" s="200" t="str">
        <f>IFERROR(VLOOKUP($G1757,нормы!$A$14:$BI$57,61,0)*$W1757,"")</f>
        <v/>
      </c>
      <c r="BB1757" s="30"/>
      <c r="BC1757" s="203" t="str">
        <f>IFERROR(VLOOKUP($G1757,нормы!$A$14:$BI$57,60,0)*W1757,"")</f>
        <v/>
      </c>
      <c r="BD1757" s="200" t="str">
        <f>IFERROR(VLOOKUP($G1757,нормы!$A$14:$BG$57,44,0),"")</f>
        <v/>
      </c>
      <c r="BE1757" s="199" t="str">
        <f>IFERROR(W1757/VLOOKUP($G1757,нормы!$A$14:$BI$57,45,0),"")</f>
        <v/>
      </c>
    </row>
    <row r="1758" spans="1:57" s="1" customFormat="1" ht="20.25" customHeight="1" x14ac:dyDescent="0.4">
      <c r="A1758" s="37" t="str">
        <f t="shared" si="686"/>
        <v>29Д</v>
      </c>
      <c r="B1758" s="12">
        <f t="shared" si="686"/>
        <v>29</v>
      </c>
      <c r="C1758" s="97">
        <f t="shared" si="686"/>
        <v>0</v>
      </c>
      <c r="D1758" s="97">
        <f t="shared" si="686"/>
        <v>2</v>
      </c>
      <c r="E1758" s="54"/>
      <c r="F1758" s="151" t="str">
        <f>IFERROR(VLOOKUP($G1758,нормы!$A$14:$BC$57,2,0),"")</f>
        <v/>
      </c>
      <c r="G1758" s="38"/>
      <c r="H1758" s="54">
        <f t="shared" si="693"/>
        <v>0</v>
      </c>
      <c r="I1758" s="89" t="s">
        <v>73</v>
      </c>
      <c r="J1758" s="333"/>
      <c r="K1758" s="30">
        <f>IFERROR(VLOOKUP($G1758,[1]нормы!$A$21:$BC$151,15,0),"")</f>
        <v>0</v>
      </c>
      <c r="L1758" s="31">
        <f>IFERROR(VLOOKUP($G1758,[1]нормы!$A$21:$BC$151,17,0),"")</f>
        <v>0</v>
      </c>
      <c r="M1758" s="306">
        <f>IFERROR(VLOOKUP($G1758,[1]нормы!$A$21:$BC$151,27,0),"")</f>
        <v>0</v>
      </c>
      <c r="N1758" s="307" t="str">
        <f>IFERROR(Y1758/Y1760*(1.1*J1754*I1763),"")</f>
        <v/>
      </c>
      <c r="O1758" s="300">
        <f>IFERROR(VLOOKUP($G1758,[1]нормы!$A$21:$BC$151,21,0),"")</f>
        <v>0</v>
      </c>
      <c r="P1758" s="35">
        <f>IFERROR(VLOOKUP($G1758,[1]нормы!$A$21:$BC$151,19,0),"")</f>
        <v>0</v>
      </c>
      <c r="Q1758" s="35">
        <f>IFERROR(VLOOKUP($G1758,[1]нормы!$A$21:$BC$151,23,0),"")</f>
        <v>0</v>
      </c>
      <c r="R1758" s="231">
        <f>IFERROR(VLOOKUP($G1758,[1]нормы!$A$21:$BC$151,29,0),"")</f>
        <v>0</v>
      </c>
      <c r="S1758" s="35">
        <f>IFERROR(VLOOKUP($G1758,[1]нормы!$A$21:$BC$151,31,0),"")</f>
        <v>0</v>
      </c>
      <c r="T1758" s="32">
        <f>IFERROR(VLOOKUP($G1758,[1]нормы!$A$21:$BC$151,25,0),"")</f>
        <v>0</v>
      </c>
      <c r="U1758" s="233" t="str">
        <f>IFERROR(W1758/(((100*Y1758/Y1760)*I1759)/100),"")</f>
        <v/>
      </c>
      <c r="V1758" s="234" t="str">
        <f>IFERROR(VLOOKUP($G1758,нормы!$A$14:$BC$57,38,0),"")</f>
        <v/>
      </c>
      <c r="W1758" s="136"/>
      <c r="X1758" s="237"/>
      <c r="Y1758" s="152" t="str">
        <f>IFERROR(VLOOKUP($G1758,нормы!$A$14:$BC$57,42,0)*W1758,"")</f>
        <v/>
      </c>
      <c r="Z1758" s="163">
        <f>IFERROR(VLOOKUP($G1758,нормы!$A$14:$BC$57,14,0)*W1758/1000,0)</f>
        <v>0</v>
      </c>
      <c r="AA1758" s="30"/>
      <c r="AB1758" s="35"/>
      <c r="AC1758" s="35"/>
      <c r="AD1758" s="35"/>
      <c r="AE1758" s="31"/>
      <c r="AF1758" s="160"/>
      <c r="AG1758" s="391"/>
      <c r="AH1758" s="394"/>
      <c r="AI1758" s="397"/>
      <c r="AJ1758" s="408"/>
      <c r="AK1758" s="360"/>
      <c r="AL1758" s="360"/>
      <c r="AM1758" s="360"/>
      <c r="AN1758" s="289">
        <f>IFERROR(Y1758*AJ1754/Y1760,)</f>
        <v>0</v>
      </c>
      <c r="AO1758" s="197" t="str">
        <f>IFERROR(VLOOKUP($G1758,нормы!$A$14:$BC$57,53,0)*$W1758,"")</f>
        <v/>
      </c>
      <c r="AP1758" s="290">
        <f>IFERROR(Y1758*AI1754/Y1760,)</f>
        <v>0</v>
      </c>
      <c r="AQ1758" s="197" t="str">
        <f>IFERROR(VLOOKUP($G1758,нормы!$A$14:$BC$57,54,0)*$W1758,"")</f>
        <v/>
      </c>
      <c r="AR1758" s="290">
        <f>IFERROR(AS1758/SUM(AS1754:AS1759)*AL1754,0)</f>
        <v>0</v>
      </c>
      <c r="AS1758" s="197" t="str">
        <f>IFERROR(VLOOKUP($G1758,нормы!$A$14:$BC$57,55,0)*W1758,"")</f>
        <v/>
      </c>
      <c r="AT1758" s="290">
        <f>IFERROR(AU1758/SUM(AU1754:AU1759)*AM1754,0)</f>
        <v>0</v>
      </c>
      <c r="AU1758" s="197" t="str">
        <f>IFERROR(VLOOKUP($G1758,нормы!$A$14:$BI$57,56,0)*W1758,"")</f>
        <v/>
      </c>
      <c r="AV1758" s="290">
        <f>IFERROR(AW1758/SUM(AW1754:AW1759)*AK1754,0)</f>
        <v>0</v>
      </c>
      <c r="AW1758" s="202" t="str">
        <f>IFERROR(VLOOKUP($G1758,нормы!$A$14:$BI$57,57,0)*W1758,"")</f>
        <v/>
      </c>
      <c r="AX1758" s="30"/>
      <c r="AY1758" s="203" t="str">
        <f>IFERROR(VLOOKUP($G1758,нормы!$A$14:$BI$57,58,0)*W1758,"")</f>
        <v/>
      </c>
      <c r="AZ1758" s="205"/>
      <c r="BA1758" s="200" t="str">
        <f>IFERROR(VLOOKUP($G1758,нормы!$A$14:$BI$57,61,0)*$W1758,"")</f>
        <v/>
      </c>
      <c r="BB1758" s="30"/>
      <c r="BC1758" s="203" t="str">
        <f>IFERROR(VLOOKUP($G1758,нормы!$A$14:$BI$57,60,0)*W1758,"")</f>
        <v/>
      </c>
      <c r="BD1758" s="200" t="str">
        <f>IFERROR(VLOOKUP($G1758,нормы!$A$14:$BG$57,44,0),"")</f>
        <v/>
      </c>
      <c r="BE1758" s="199" t="str">
        <f>IFERROR(W1758/VLOOKUP($G1758,нормы!$A$14:$BI$57,45,0),"")</f>
        <v/>
      </c>
    </row>
    <row r="1759" spans="1:57" s="1" customFormat="1" ht="21" customHeight="1" thickBot="1" x14ac:dyDescent="0.45">
      <c r="A1759" s="37" t="str">
        <f t="shared" si="686"/>
        <v>29Д</v>
      </c>
      <c r="B1759" s="12">
        <f t="shared" si="686"/>
        <v>29</v>
      </c>
      <c r="C1759" s="97">
        <f t="shared" si="686"/>
        <v>0</v>
      </c>
      <c r="D1759" s="97">
        <f t="shared" si="686"/>
        <v>2</v>
      </c>
      <c r="E1759" s="54"/>
      <c r="F1759" s="151" t="str">
        <f>IFERROR(VLOOKUP($G1759,нормы!$A$14:$BC$57,2,0),"")</f>
        <v/>
      </c>
      <c r="G1759" s="93"/>
      <c r="H1759" s="63">
        <f t="shared" si="693"/>
        <v>0</v>
      </c>
      <c r="I1759" s="153">
        <f>I1755+I1757</f>
        <v>0</v>
      </c>
      <c r="J1759" s="334"/>
      <c r="K1759" s="30">
        <f>IFERROR(VLOOKUP($G1759,[1]нормы!$A$21:$BC$151,15,0),"")</f>
        <v>0</v>
      </c>
      <c r="L1759" s="31">
        <f>IFERROR(VLOOKUP($G1759,[1]нормы!$A$21:$BC$151,17,0),"")</f>
        <v>0</v>
      </c>
      <c r="M1759" s="308">
        <f>IFERROR(VLOOKUP($G1759,[1]нормы!$A$21:$BC$151,27,0),"")</f>
        <v>0</v>
      </c>
      <c r="N1759" s="309" t="str">
        <f>IFERROR(Y1759/Y1760*(1.1*J1754*I1764),"")</f>
        <v/>
      </c>
      <c r="O1759" s="300">
        <f>IFERROR(VLOOKUP($G1759,[1]нормы!$A$21:$BC$151,21,0),"")</f>
        <v>0</v>
      </c>
      <c r="P1759" s="35">
        <f>IFERROR(VLOOKUP($G1759,[1]нормы!$A$21:$BC$151,19,0),"")</f>
        <v>0</v>
      </c>
      <c r="Q1759" s="35">
        <f>IFERROR(VLOOKUP($G1759,[1]нормы!$A$21:$BC$151,23,0),"")</f>
        <v>0</v>
      </c>
      <c r="R1759" s="231">
        <f>IFERROR(VLOOKUP($G1759,[1]нормы!$A$21:$BC$151,29,0),"")</f>
        <v>0</v>
      </c>
      <c r="S1759" s="35">
        <f>IFERROR(VLOOKUP($G1759,[1]нормы!$A$21:$BC$151,31,0),"")</f>
        <v>0</v>
      </c>
      <c r="T1759" s="32">
        <f>IFERROR(VLOOKUP($G1759,[1]нормы!$A$21:$BC$151,25,0),"")</f>
        <v>0</v>
      </c>
      <c r="U1759" s="235" t="str">
        <f>IFERROR(W1759/(((100*Y1759/Y1760)*I1759)/100),"")</f>
        <v/>
      </c>
      <c r="V1759" s="234" t="str">
        <f>IFERROR(VLOOKUP($G1759,нормы!$A$14:$BC$57,38,0),"")</f>
        <v/>
      </c>
      <c r="W1759" s="154"/>
      <c r="X1759" s="238"/>
      <c r="Y1759" s="152" t="str">
        <f>IFERROR(VLOOKUP($G1759,нормы!$A$14:$BC$57,42,0)*W1759,"")</f>
        <v/>
      </c>
      <c r="Z1759" s="163">
        <f>IFERROR(VLOOKUP($G1759,нормы!$A$14:$BC$57,14,0)*W1759/1000,0)</f>
        <v>0</v>
      </c>
      <c r="AA1759" s="56"/>
      <c r="AB1759" s="58"/>
      <c r="AC1759" s="58"/>
      <c r="AD1759" s="58"/>
      <c r="AE1759" s="57"/>
      <c r="AF1759" s="161"/>
      <c r="AG1759" s="392"/>
      <c r="AH1759" s="395"/>
      <c r="AI1759" s="398"/>
      <c r="AJ1759" s="409"/>
      <c r="AK1759" s="361"/>
      <c r="AL1759" s="361"/>
      <c r="AM1759" s="361"/>
      <c r="AN1759" s="291">
        <f>IFERROR(Y1759*AJ1754/Y1760,)</f>
        <v>0</v>
      </c>
      <c r="AO1759" s="197" t="str">
        <f>IFERROR(VLOOKUP($G1759,нормы!$A$14:$BC$57,53,0)*$W1759,"")</f>
        <v/>
      </c>
      <c r="AP1759" s="292">
        <f>IFERROR(Y1759*AI1754/Y1760,)</f>
        <v>0</v>
      </c>
      <c r="AQ1759" s="197" t="str">
        <f>IFERROR(VLOOKUP($G1759,нормы!$A$14:$BC$57,54,0)*$W1759,"")</f>
        <v/>
      </c>
      <c r="AR1759" s="290">
        <f>IFERROR(AS1759/SUM(AS1754:AS1759)*AL1754,0)</f>
        <v>0</v>
      </c>
      <c r="AS1759" s="197" t="str">
        <f>IFERROR(VLOOKUP($G1759,нормы!$A$14:$BC$57,55,0)*W1759,"")</f>
        <v/>
      </c>
      <c r="AT1759" s="292">
        <f>IFERROR(AU1759/SUM(AU1754:AU1759)*AM1754,0)</f>
        <v>0</v>
      </c>
      <c r="AU1759" s="197" t="str">
        <f>IFERROR(VLOOKUP($G1759,нормы!$A$14:$BI$57,56,0)*W1759,"")</f>
        <v/>
      </c>
      <c r="AV1759" s="292">
        <f>IFERROR(AW1759/SUM(AW1754:AW1759)*AK1754,0)</f>
        <v>0</v>
      </c>
      <c r="AW1759" s="202" t="str">
        <f>IFERROR(VLOOKUP($G1759,нормы!$A$14:$BI$57,57,0)*W1759,"")</f>
        <v/>
      </c>
      <c r="AX1759" s="56"/>
      <c r="AY1759" s="203" t="str">
        <f>IFERROR(VLOOKUP($G1759,нормы!$A$14:$BI$57,58,0)*W1759,"")</f>
        <v/>
      </c>
      <c r="AZ1759" s="206"/>
      <c r="BA1759" s="200" t="str">
        <f>IFERROR(VLOOKUP($G1759,нормы!$A$14:$BI$57,61,0)*$W1759,"")</f>
        <v/>
      </c>
      <c r="BB1759" s="56"/>
      <c r="BC1759" s="203" t="str">
        <f>IFERROR(VLOOKUP($G1759,нормы!$A$14:$BI$57,60,0)*W1759,"")</f>
        <v/>
      </c>
      <c r="BD1759" s="200" t="str">
        <f>IFERROR(VLOOKUP($G1759,нормы!$A$14:$BG$57,44,0),"")</f>
        <v/>
      </c>
      <c r="BE1759" s="199" t="str">
        <f>IFERROR(W1759/VLOOKUP($G1759,нормы!$A$14:$BI$57,45,0),"")</f>
        <v/>
      </c>
    </row>
    <row r="1760" spans="1:57" s="1" customFormat="1" ht="29.4" customHeight="1" thickBot="1" x14ac:dyDescent="0.45">
      <c r="A1760" s="37" t="str">
        <f t="shared" si="686"/>
        <v>29Д</v>
      </c>
      <c r="B1760" s="59"/>
      <c r="C1760" s="51"/>
      <c r="D1760" s="51"/>
      <c r="E1760" s="51"/>
      <c r="F1760" s="51"/>
      <c r="G1760" s="51"/>
      <c r="H1760" s="51"/>
      <c r="I1760" s="60"/>
      <c r="J1760" s="60"/>
      <c r="K1760" s="319" t="s">
        <v>213</v>
      </c>
      <c r="L1760" s="316"/>
      <c r="M1760" s="303" t="s">
        <v>213</v>
      </c>
      <c r="N1760" s="317">
        <f>SUM(N1754:N1759)</f>
        <v>0</v>
      </c>
      <c r="O1760" s="304" t="s">
        <v>217</v>
      </c>
      <c r="P1760" s="318">
        <f>N1760*8.937/1000</f>
        <v>0</v>
      </c>
      <c r="Q1760" s="305" t="s">
        <v>215</v>
      </c>
      <c r="R1760" s="61"/>
      <c r="S1760" s="61"/>
      <c r="T1760" s="61"/>
      <c r="U1760" s="109"/>
      <c r="V1760" s="109"/>
      <c r="W1760" s="94"/>
      <c r="X1760" s="155"/>
      <c r="Y1760" s="96">
        <f>SUM(Y1754:Y1759)</f>
        <v>0</v>
      </c>
      <c r="Z1760" s="164">
        <f>SUM(Z1754:Z1759)</f>
        <v>0</v>
      </c>
      <c r="AA1760" s="207">
        <f>(AA1746+AA1747+AA1748+AA1749+AA1750+AA1751+AA1752+AA1754+AA1755+AA1756+AA1757+AA1758+AA1759)-AG1747</f>
        <v>1</v>
      </c>
      <c r="AB1760" s="208">
        <f>(AB1746+AB1747+AB1748+AB1749+AB1750+AB1751+AB1752+AB1754+AB1755+AB1756+AB1757+AB1758+AB1759)-AH1747</f>
        <v>2</v>
      </c>
      <c r="AC1760" s="208">
        <f>(AC1746+AC1747+AC1748+AC1749+AC1750+AC1751+AC1752+AC1754+AC1755+AC1756+AC1757+AC1758+AC1759)-AG1754</f>
        <v>3</v>
      </c>
      <c r="AD1760" s="208">
        <f>(AD1746+AD1747+AD1748+AD1749+AD1750+AD1751+AD1752+AD1754+AD1755+AD1756+AD1757+AD1758+AD1759)-AH1754</f>
        <v>4</v>
      </c>
      <c r="AE1760" s="208">
        <f>(AE1746+AE1747+AE1748+AE1749+AE1750+AE1751+AE1752+AE1754+AE1755+AE1756+AE1757+AE1758+AE1759)-AI1747</f>
        <v>5</v>
      </c>
      <c r="AF1760" s="209">
        <f>(AF1746+AF1747+AF1748+AF1749+AF1750+AF1751+AF1752+AF1754+AF1755+AF1756+AF1757+AF1758+AF1759)-AI1754</f>
        <v>6</v>
      </c>
      <c r="AG1760" s="62"/>
      <c r="AH1760" s="62"/>
      <c r="AI1760" s="62"/>
      <c r="AJ1760" s="62"/>
      <c r="AK1760" s="62"/>
      <c r="AL1760" s="62"/>
      <c r="AM1760" s="62"/>
      <c r="AN1760" s="91">
        <f>SUM(AN1754:AN1759)</f>
        <v>0</v>
      </c>
      <c r="AO1760" s="91">
        <f>SUM(AO1754:AO1759)</f>
        <v>0</v>
      </c>
      <c r="AP1760" s="91"/>
      <c r="AQ1760" s="91"/>
      <c r="AR1760" s="91">
        <f>SUM(AR1754:AR1759)</f>
        <v>0</v>
      </c>
      <c r="AS1760" s="91">
        <f t="shared" ref="AS1760:AW1760" si="694">SUM(AS1754:AS1759)</f>
        <v>0</v>
      </c>
      <c r="AT1760" s="91">
        <f t="shared" si="694"/>
        <v>0</v>
      </c>
      <c r="AU1760" s="91">
        <f t="shared" si="694"/>
        <v>0</v>
      </c>
      <c r="AV1760" s="91">
        <f t="shared" si="694"/>
        <v>0</v>
      </c>
      <c r="AW1760" s="91">
        <f t="shared" si="694"/>
        <v>0</v>
      </c>
      <c r="AX1760" s="91">
        <f>SUM(AX1754:AX1759)</f>
        <v>0</v>
      </c>
      <c r="AY1760" s="91">
        <f>SUM(AY1754:AY1759)</f>
        <v>0</v>
      </c>
      <c r="AZ1760" s="91">
        <f>SUM(AZ1754:AZ1759)</f>
        <v>0</v>
      </c>
      <c r="BA1760" s="91"/>
      <c r="BB1760" s="91"/>
      <c r="BC1760" s="91"/>
      <c r="BD1760" s="91" t="str">
        <f>IFERROR(VLOOKUP($G1760,нормы!$A$14:$BG$15,27,0),"")</f>
        <v/>
      </c>
      <c r="BE1760" s="53" t="str">
        <f>IFERROR(W1760/VLOOKUP($G1760,нормы!$A$14:$BI$15,28,0),"")</f>
        <v/>
      </c>
    </row>
    <row r="1761" spans="1:57" s="1" customFormat="1" ht="29.4" customHeight="1" thickBot="1" x14ac:dyDescent="0.5">
      <c r="A1761" s="37" t="str">
        <f t="shared" si="686"/>
        <v>29Д</v>
      </c>
      <c r="B1761" s="166"/>
      <c r="C1761" s="167"/>
      <c r="D1761" s="167"/>
      <c r="E1761" s="167"/>
      <c r="F1761" s="165"/>
      <c r="G1761" s="167"/>
      <c r="H1761" s="167"/>
      <c r="I1761" s="168"/>
      <c r="J1761" s="168"/>
      <c r="K1761" s="168"/>
      <c r="L1761" s="168"/>
      <c r="M1761" s="168"/>
      <c r="N1761" s="168"/>
      <c r="O1761" s="167"/>
      <c r="P1761" s="169"/>
      <c r="Q1761" s="169"/>
      <c r="R1761" s="169"/>
      <c r="S1761" s="169"/>
      <c r="T1761" s="169"/>
      <c r="U1761" s="170"/>
      <c r="V1761" s="170"/>
      <c r="W1761" s="171"/>
      <c r="X1761" s="171"/>
      <c r="Y1761" s="172"/>
      <c r="Z1761" s="172"/>
      <c r="AA1761" s="201" t="s">
        <v>144</v>
      </c>
      <c r="AB1761" s="167"/>
      <c r="AC1761" s="167"/>
      <c r="AD1761" s="167"/>
      <c r="AE1761" s="167"/>
      <c r="AF1761" s="167"/>
      <c r="AG1761" s="167"/>
      <c r="AH1761" s="167"/>
      <c r="AI1761" s="167"/>
      <c r="AJ1761" s="167"/>
      <c r="AK1761" s="167"/>
      <c r="AL1761" s="167"/>
      <c r="AM1761" s="64"/>
      <c r="AN1761" s="167"/>
      <c r="AO1761" s="167"/>
      <c r="AP1761" s="167"/>
      <c r="AQ1761" s="167"/>
      <c r="AR1761" s="64"/>
      <c r="AS1761" s="64"/>
      <c r="AT1761" s="65"/>
      <c r="AU1761" s="64"/>
      <c r="AV1761" s="49"/>
      <c r="AW1761" s="49"/>
      <c r="AX1761" s="167"/>
      <c r="AY1761" s="167"/>
      <c r="AZ1761" s="167"/>
      <c r="BA1761" s="167"/>
      <c r="BB1761" s="167"/>
      <c r="BC1761" s="167"/>
      <c r="BD1761" s="66"/>
      <c r="BE1761" s="66"/>
    </row>
    <row r="1762" spans="1:57" s="1" customFormat="1" ht="23.25" customHeight="1" x14ac:dyDescent="0.4">
      <c r="A1762" s="37" t="str">
        <f t="shared" si="686"/>
        <v>29Д</v>
      </c>
      <c r="B1762" s="183"/>
      <c r="C1762" s="100"/>
      <c r="D1762" s="185"/>
      <c r="E1762" s="186" t="s">
        <v>57</v>
      </c>
      <c r="F1762" s="66" t="s">
        <v>87</v>
      </c>
      <c r="G1762" s="66"/>
      <c r="H1762" s="108" t="s">
        <v>131</v>
      </c>
      <c r="I1762" s="101"/>
      <c r="J1762" s="101"/>
      <c r="K1762" s="101"/>
      <c r="L1762" s="101"/>
      <c r="M1762" s="101"/>
      <c r="N1762" s="101"/>
      <c r="O1762" s="67"/>
      <c r="P1762" s="102"/>
      <c r="Q1762" s="102"/>
      <c r="R1762" s="102"/>
      <c r="S1762" s="102"/>
      <c r="T1762" s="102"/>
      <c r="U1762" s="67"/>
      <c r="V1762" s="67"/>
      <c r="W1762" s="103"/>
      <c r="X1762" s="187"/>
      <c r="Y1762" s="68" t="s">
        <v>74</v>
      </c>
      <c r="Z1762" s="69"/>
      <c r="AA1762" s="90"/>
      <c r="AB1762" s="100"/>
      <c r="AC1762" s="100"/>
      <c r="AD1762" s="186" t="s">
        <v>57</v>
      </c>
      <c r="AE1762" s="66"/>
      <c r="AF1762" s="66"/>
      <c r="AG1762" s="66"/>
      <c r="AH1762" s="66"/>
      <c r="AI1762" s="66"/>
      <c r="AJ1762" s="66"/>
      <c r="AK1762" s="66"/>
      <c r="AL1762" s="66"/>
      <c r="AM1762" s="66"/>
      <c r="AN1762" s="66"/>
      <c r="AO1762" s="66"/>
      <c r="AP1762" s="66"/>
      <c r="AQ1762" s="66"/>
      <c r="AR1762" s="66"/>
      <c r="AS1762" s="66"/>
      <c r="AT1762" s="190"/>
      <c r="AU1762" s="66"/>
      <c r="AV1762" s="165"/>
      <c r="AW1762" s="293"/>
      <c r="AX1762" s="66"/>
      <c r="AY1762" s="66"/>
      <c r="AZ1762" s="66"/>
      <c r="BA1762" s="66"/>
      <c r="BB1762" s="66"/>
      <c r="BC1762" s="66"/>
      <c r="BD1762" s="68" t="s">
        <v>74</v>
      </c>
      <c r="BE1762" s="69"/>
    </row>
    <row r="1763" spans="1:57" s="1" customFormat="1" ht="23.25" customHeight="1" thickBot="1" x14ac:dyDescent="0.45">
      <c r="A1763" s="37" t="str">
        <f t="shared" si="686"/>
        <v>29Д</v>
      </c>
      <c r="B1763" s="183"/>
      <c r="C1763" s="41"/>
      <c r="D1763" s="184"/>
      <c r="E1763" s="50"/>
      <c r="F1763" s="70"/>
      <c r="G1763" s="70"/>
      <c r="H1763" s="70"/>
      <c r="I1763" s="104"/>
      <c r="J1763" s="104"/>
      <c r="K1763" s="104"/>
      <c r="L1763" s="104"/>
      <c r="M1763" s="104"/>
      <c r="N1763" s="104"/>
      <c r="O1763" s="71"/>
      <c r="P1763" s="105"/>
      <c r="Q1763" s="105"/>
      <c r="R1763" s="105"/>
      <c r="S1763" s="105"/>
      <c r="T1763" s="105"/>
      <c r="U1763" s="71"/>
      <c r="V1763" s="71"/>
      <c r="W1763" s="106"/>
      <c r="X1763" s="188"/>
      <c r="Y1763" s="72"/>
      <c r="Z1763" s="73"/>
      <c r="AA1763" s="90"/>
      <c r="AB1763" s="41"/>
      <c r="AC1763" s="41"/>
      <c r="AD1763" s="50"/>
      <c r="AE1763" s="47"/>
      <c r="AF1763" s="47"/>
      <c r="AG1763" s="47"/>
      <c r="AH1763" s="47"/>
      <c r="AI1763" s="47"/>
      <c r="AJ1763" s="47"/>
      <c r="AK1763" s="47"/>
      <c r="AL1763" s="47"/>
      <c r="AM1763" s="70"/>
      <c r="AN1763" s="47"/>
      <c r="AO1763" s="70"/>
      <c r="AP1763" s="70"/>
      <c r="AQ1763" s="70"/>
      <c r="AR1763" s="70"/>
      <c r="AS1763" s="70"/>
      <c r="AT1763" s="191"/>
      <c r="AU1763" s="70"/>
      <c r="AV1763" s="192"/>
      <c r="AW1763" s="294"/>
      <c r="AX1763" s="70"/>
      <c r="AY1763" s="70"/>
      <c r="AZ1763" s="70"/>
      <c r="BA1763" s="70"/>
      <c r="BB1763" s="70"/>
      <c r="BC1763" s="70"/>
      <c r="BD1763" s="72"/>
      <c r="BE1763" s="73"/>
    </row>
    <row r="1764" spans="1:57" s="1" customFormat="1" ht="23.25" customHeight="1" x14ac:dyDescent="0.4">
      <c r="A1764" s="37" t="str">
        <f t="shared" si="686"/>
        <v>29Д</v>
      </c>
      <c r="B1764" s="183"/>
      <c r="C1764" s="41"/>
      <c r="D1764" s="184"/>
      <c r="E1764" s="281">
        <f>B1759</f>
        <v>29</v>
      </c>
      <c r="F1764" s="337"/>
      <c r="G1764" s="338"/>
      <c r="H1764" s="338"/>
      <c r="I1764" s="338"/>
      <c r="J1764" s="338"/>
      <c r="K1764" s="338"/>
      <c r="L1764" s="338"/>
      <c r="M1764" s="338"/>
      <c r="N1764" s="338"/>
      <c r="O1764" s="338"/>
      <c r="P1764" s="338"/>
      <c r="Q1764" s="338"/>
      <c r="R1764" s="338"/>
      <c r="S1764" s="338"/>
      <c r="T1764" s="338"/>
      <c r="U1764" s="338"/>
      <c r="V1764" s="338"/>
      <c r="W1764" s="338"/>
      <c r="X1764" s="98">
        <v>1</v>
      </c>
      <c r="Y1764" s="74">
        <v>1</v>
      </c>
      <c r="Z1764" s="75">
        <f t="shared" ref="Z1764:Z1775" si="695">Y1764-X1764</f>
        <v>0</v>
      </c>
      <c r="AA1764" s="189"/>
      <c r="AB1764" s="41"/>
      <c r="AC1764" s="184"/>
      <c r="AD1764" s="210">
        <f>E1764</f>
        <v>29</v>
      </c>
      <c r="AE1764" s="387"/>
      <c r="AF1764" s="388"/>
      <c r="AG1764" s="388"/>
      <c r="AH1764" s="388"/>
      <c r="AI1764" s="388"/>
      <c r="AJ1764" s="388"/>
      <c r="AK1764" s="388"/>
      <c r="AL1764" s="388"/>
      <c r="AM1764" s="388"/>
      <c r="AN1764" s="388"/>
      <c r="AO1764" s="388"/>
      <c r="AP1764" s="388"/>
      <c r="AQ1764" s="388"/>
      <c r="AR1764" s="388"/>
      <c r="AS1764" s="388"/>
      <c r="AT1764" s="388"/>
      <c r="AU1764" s="388"/>
      <c r="AV1764" s="388"/>
      <c r="AW1764" s="388"/>
      <c r="AX1764" s="388"/>
      <c r="AY1764" s="388"/>
      <c r="AZ1764" s="388"/>
      <c r="BA1764" s="388"/>
      <c r="BB1764" s="389"/>
      <c r="BC1764" s="98">
        <v>1</v>
      </c>
      <c r="BD1764" s="74">
        <v>1</v>
      </c>
      <c r="BE1764" s="75">
        <f t="shared" ref="BE1764:BE1775" si="696">BD1764-BC1764</f>
        <v>0</v>
      </c>
    </row>
    <row r="1765" spans="1:57" s="1" customFormat="1" ht="25.5" customHeight="1" x14ac:dyDescent="0.4">
      <c r="A1765" s="37" t="str">
        <f t="shared" si="686"/>
        <v>29Д</v>
      </c>
      <c r="B1765" s="183"/>
      <c r="C1765" s="41"/>
      <c r="D1765" s="184"/>
      <c r="E1765" s="282">
        <f>E1764</f>
        <v>29</v>
      </c>
      <c r="F1765" s="335"/>
      <c r="G1765" s="336"/>
      <c r="H1765" s="336"/>
      <c r="I1765" s="336"/>
      <c r="J1765" s="336"/>
      <c r="K1765" s="336"/>
      <c r="L1765" s="336"/>
      <c r="M1765" s="336"/>
      <c r="N1765" s="336"/>
      <c r="O1765" s="336"/>
      <c r="P1765" s="336"/>
      <c r="Q1765" s="336"/>
      <c r="R1765" s="336"/>
      <c r="S1765" s="336"/>
      <c r="T1765" s="336"/>
      <c r="U1765" s="336"/>
      <c r="V1765" s="336"/>
      <c r="W1765" s="336"/>
      <c r="X1765" s="98">
        <v>1</v>
      </c>
      <c r="Y1765" s="74">
        <v>1</v>
      </c>
      <c r="Z1765" s="75">
        <f t="shared" si="695"/>
        <v>0</v>
      </c>
      <c r="AA1765" s="107">
        <f>AA1764</f>
        <v>0</v>
      </c>
      <c r="AB1765" s="41"/>
      <c r="AC1765" s="184"/>
      <c r="AD1765" s="212">
        <f>AD1764</f>
        <v>29</v>
      </c>
      <c r="AE1765" s="387"/>
      <c r="AF1765" s="388"/>
      <c r="AG1765" s="388"/>
      <c r="AH1765" s="388"/>
      <c r="AI1765" s="388"/>
      <c r="AJ1765" s="388"/>
      <c r="AK1765" s="388"/>
      <c r="AL1765" s="388"/>
      <c r="AM1765" s="388"/>
      <c r="AN1765" s="388"/>
      <c r="AO1765" s="388"/>
      <c r="AP1765" s="388"/>
      <c r="AQ1765" s="388"/>
      <c r="AR1765" s="388"/>
      <c r="AS1765" s="388"/>
      <c r="AT1765" s="388"/>
      <c r="AU1765" s="388"/>
      <c r="AV1765" s="388"/>
      <c r="AW1765" s="388"/>
      <c r="AX1765" s="388"/>
      <c r="AY1765" s="388"/>
      <c r="AZ1765" s="388"/>
      <c r="BA1765" s="388"/>
      <c r="BB1765" s="389"/>
      <c r="BC1765" s="98">
        <v>1</v>
      </c>
      <c r="BD1765" s="74">
        <v>1</v>
      </c>
      <c r="BE1765" s="75">
        <f t="shared" si="696"/>
        <v>0</v>
      </c>
    </row>
    <row r="1766" spans="1:57" s="1" customFormat="1" ht="18" customHeight="1" x14ac:dyDescent="0.4">
      <c r="A1766" s="37" t="str">
        <f t="shared" si="686"/>
        <v>29Д</v>
      </c>
      <c r="B1766" s="183"/>
      <c r="C1766" s="41"/>
      <c r="D1766" s="184"/>
      <c r="E1766" s="282">
        <f t="shared" ref="E1766:E1775" si="697">E1765</f>
        <v>29</v>
      </c>
      <c r="F1766" s="335"/>
      <c r="G1766" s="336"/>
      <c r="H1766" s="336"/>
      <c r="I1766" s="336"/>
      <c r="J1766" s="336"/>
      <c r="K1766" s="336"/>
      <c r="L1766" s="336"/>
      <c r="M1766" s="336"/>
      <c r="N1766" s="336"/>
      <c r="O1766" s="336"/>
      <c r="P1766" s="336"/>
      <c r="Q1766" s="336"/>
      <c r="R1766" s="336"/>
      <c r="S1766" s="336"/>
      <c r="T1766" s="336"/>
      <c r="U1766" s="336"/>
      <c r="V1766" s="336"/>
      <c r="W1766" s="336"/>
      <c r="X1766" s="98">
        <v>1</v>
      </c>
      <c r="Y1766" s="74">
        <v>1</v>
      </c>
      <c r="Z1766" s="75">
        <f t="shared" si="695"/>
        <v>0</v>
      </c>
      <c r="AA1766" s="107">
        <f>AA1765</f>
        <v>0</v>
      </c>
      <c r="AB1766" s="41"/>
      <c r="AC1766" s="184"/>
      <c r="AD1766" s="212">
        <f t="shared" ref="AD1766:AD1775" si="698">AD1765</f>
        <v>29</v>
      </c>
      <c r="AE1766" s="387"/>
      <c r="AF1766" s="388"/>
      <c r="AG1766" s="388"/>
      <c r="AH1766" s="388"/>
      <c r="AI1766" s="388"/>
      <c r="AJ1766" s="388"/>
      <c r="AK1766" s="388"/>
      <c r="AL1766" s="388"/>
      <c r="AM1766" s="388"/>
      <c r="AN1766" s="388"/>
      <c r="AO1766" s="388"/>
      <c r="AP1766" s="388"/>
      <c r="AQ1766" s="388"/>
      <c r="AR1766" s="388"/>
      <c r="AS1766" s="388"/>
      <c r="AT1766" s="388"/>
      <c r="AU1766" s="388"/>
      <c r="AV1766" s="388"/>
      <c r="AW1766" s="388"/>
      <c r="AX1766" s="388"/>
      <c r="AY1766" s="388"/>
      <c r="AZ1766" s="388"/>
      <c r="BA1766" s="388"/>
      <c r="BB1766" s="389"/>
      <c r="BC1766" s="98">
        <v>1</v>
      </c>
      <c r="BD1766" s="74">
        <v>1</v>
      </c>
      <c r="BE1766" s="75">
        <f t="shared" si="696"/>
        <v>0</v>
      </c>
    </row>
    <row r="1767" spans="1:57" s="1" customFormat="1" ht="18" customHeight="1" x14ac:dyDescent="0.4">
      <c r="A1767" s="37" t="str">
        <f t="shared" si="686"/>
        <v>29Д</v>
      </c>
      <c r="B1767" s="183"/>
      <c r="C1767" s="41"/>
      <c r="D1767" s="184"/>
      <c r="E1767" s="282">
        <f t="shared" si="697"/>
        <v>29</v>
      </c>
      <c r="F1767" s="335"/>
      <c r="G1767" s="336"/>
      <c r="H1767" s="336"/>
      <c r="I1767" s="336"/>
      <c r="J1767" s="336"/>
      <c r="K1767" s="336"/>
      <c r="L1767" s="336"/>
      <c r="M1767" s="336"/>
      <c r="N1767" s="336"/>
      <c r="O1767" s="336"/>
      <c r="P1767" s="336"/>
      <c r="Q1767" s="336"/>
      <c r="R1767" s="336"/>
      <c r="S1767" s="336"/>
      <c r="T1767" s="336"/>
      <c r="U1767" s="336"/>
      <c r="V1767" s="336"/>
      <c r="W1767" s="336"/>
      <c r="X1767" s="98">
        <v>1</v>
      </c>
      <c r="Y1767" s="74">
        <v>1</v>
      </c>
      <c r="Z1767" s="75">
        <f t="shared" si="695"/>
        <v>0</v>
      </c>
      <c r="AA1767" s="107">
        <f t="shared" ref="AA1767:AA1775" si="699">AA1766</f>
        <v>0</v>
      </c>
      <c r="AB1767" s="41"/>
      <c r="AC1767" s="184"/>
      <c r="AD1767" s="212">
        <f t="shared" si="698"/>
        <v>29</v>
      </c>
      <c r="AE1767" s="387"/>
      <c r="AF1767" s="388"/>
      <c r="AG1767" s="388"/>
      <c r="AH1767" s="388"/>
      <c r="AI1767" s="388"/>
      <c r="AJ1767" s="388"/>
      <c r="AK1767" s="388"/>
      <c r="AL1767" s="388"/>
      <c r="AM1767" s="388"/>
      <c r="AN1767" s="388"/>
      <c r="AO1767" s="388"/>
      <c r="AP1767" s="388"/>
      <c r="AQ1767" s="388"/>
      <c r="AR1767" s="388"/>
      <c r="AS1767" s="388"/>
      <c r="AT1767" s="388"/>
      <c r="AU1767" s="388"/>
      <c r="AV1767" s="388"/>
      <c r="AW1767" s="388"/>
      <c r="AX1767" s="388"/>
      <c r="AY1767" s="388"/>
      <c r="AZ1767" s="388"/>
      <c r="BA1767" s="388"/>
      <c r="BB1767" s="389"/>
      <c r="BC1767" s="98">
        <v>1</v>
      </c>
      <c r="BD1767" s="74">
        <v>1</v>
      </c>
      <c r="BE1767" s="75">
        <f t="shared" si="696"/>
        <v>0</v>
      </c>
    </row>
    <row r="1768" spans="1:57" s="1" customFormat="1" ht="18" customHeight="1" x14ac:dyDescent="0.4">
      <c r="A1768" s="37" t="str">
        <f t="shared" si="686"/>
        <v>29Д</v>
      </c>
      <c r="B1768" s="183"/>
      <c r="C1768" s="41"/>
      <c r="D1768" s="184"/>
      <c r="E1768" s="282">
        <f t="shared" si="697"/>
        <v>29</v>
      </c>
      <c r="F1768" s="335"/>
      <c r="G1768" s="336"/>
      <c r="H1768" s="336"/>
      <c r="I1768" s="336"/>
      <c r="J1768" s="336"/>
      <c r="K1768" s="336"/>
      <c r="L1768" s="336"/>
      <c r="M1768" s="336"/>
      <c r="N1768" s="336"/>
      <c r="O1768" s="336"/>
      <c r="P1768" s="336"/>
      <c r="Q1768" s="336"/>
      <c r="R1768" s="336"/>
      <c r="S1768" s="336"/>
      <c r="T1768" s="336"/>
      <c r="U1768" s="336"/>
      <c r="V1768" s="336"/>
      <c r="W1768" s="336"/>
      <c r="X1768" s="98">
        <v>1</v>
      </c>
      <c r="Y1768" s="74">
        <v>1</v>
      </c>
      <c r="Z1768" s="75">
        <f t="shared" si="695"/>
        <v>0</v>
      </c>
      <c r="AA1768" s="107">
        <f t="shared" si="699"/>
        <v>0</v>
      </c>
      <c r="AB1768" s="41"/>
      <c r="AC1768" s="184"/>
      <c r="AD1768" s="212">
        <f t="shared" si="698"/>
        <v>29</v>
      </c>
      <c r="AE1768" s="387"/>
      <c r="AF1768" s="388"/>
      <c r="AG1768" s="388"/>
      <c r="AH1768" s="388"/>
      <c r="AI1768" s="388"/>
      <c r="AJ1768" s="388"/>
      <c r="AK1768" s="388"/>
      <c r="AL1768" s="388"/>
      <c r="AM1768" s="388"/>
      <c r="AN1768" s="388"/>
      <c r="AO1768" s="388"/>
      <c r="AP1768" s="388"/>
      <c r="AQ1768" s="388"/>
      <c r="AR1768" s="388"/>
      <c r="AS1768" s="388"/>
      <c r="AT1768" s="388"/>
      <c r="AU1768" s="388"/>
      <c r="AV1768" s="388"/>
      <c r="AW1768" s="388"/>
      <c r="AX1768" s="388"/>
      <c r="AY1768" s="388"/>
      <c r="AZ1768" s="388"/>
      <c r="BA1768" s="388"/>
      <c r="BB1768" s="389"/>
      <c r="BC1768" s="98">
        <v>1</v>
      </c>
      <c r="BD1768" s="74">
        <v>1</v>
      </c>
      <c r="BE1768" s="75">
        <f t="shared" si="696"/>
        <v>0</v>
      </c>
    </row>
    <row r="1769" spans="1:57" s="1" customFormat="1" ht="18" customHeight="1" x14ac:dyDescent="0.4">
      <c r="A1769" s="37" t="str">
        <f t="shared" si="686"/>
        <v>29Д</v>
      </c>
      <c r="B1769" s="183"/>
      <c r="C1769" s="41"/>
      <c r="D1769" s="184"/>
      <c r="E1769" s="282">
        <f t="shared" si="697"/>
        <v>29</v>
      </c>
      <c r="F1769" s="335"/>
      <c r="G1769" s="336"/>
      <c r="H1769" s="336"/>
      <c r="I1769" s="336"/>
      <c r="J1769" s="336"/>
      <c r="K1769" s="336"/>
      <c r="L1769" s="336"/>
      <c r="M1769" s="336"/>
      <c r="N1769" s="336"/>
      <c r="O1769" s="336"/>
      <c r="P1769" s="336"/>
      <c r="Q1769" s="336"/>
      <c r="R1769" s="336"/>
      <c r="S1769" s="336"/>
      <c r="T1769" s="336"/>
      <c r="U1769" s="336"/>
      <c r="V1769" s="336"/>
      <c r="W1769" s="336"/>
      <c r="X1769" s="98">
        <v>1</v>
      </c>
      <c r="Y1769" s="74">
        <v>1</v>
      </c>
      <c r="Z1769" s="75">
        <f t="shared" si="695"/>
        <v>0</v>
      </c>
      <c r="AA1769" s="107">
        <f t="shared" si="699"/>
        <v>0</v>
      </c>
      <c r="AB1769" s="41"/>
      <c r="AC1769" s="184"/>
      <c r="AD1769" s="212">
        <f t="shared" si="698"/>
        <v>29</v>
      </c>
      <c r="AE1769" s="387"/>
      <c r="AF1769" s="388"/>
      <c r="AG1769" s="388"/>
      <c r="AH1769" s="388"/>
      <c r="AI1769" s="388"/>
      <c r="AJ1769" s="388"/>
      <c r="AK1769" s="388"/>
      <c r="AL1769" s="388"/>
      <c r="AM1769" s="388"/>
      <c r="AN1769" s="388"/>
      <c r="AO1769" s="388"/>
      <c r="AP1769" s="388"/>
      <c r="AQ1769" s="388"/>
      <c r="AR1769" s="388"/>
      <c r="AS1769" s="388"/>
      <c r="AT1769" s="388"/>
      <c r="AU1769" s="388"/>
      <c r="AV1769" s="388"/>
      <c r="AW1769" s="388"/>
      <c r="AX1769" s="388"/>
      <c r="AY1769" s="388"/>
      <c r="AZ1769" s="388"/>
      <c r="BA1769" s="388"/>
      <c r="BB1769" s="389"/>
      <c r="BC1769" s="98">
        <v>1</v>
      </c>
      <c r="BD1769" s="74">
        <v>1</v>
      </c>
      <c r="BE1769" s="75">
        <f t="shared" si="696"/>
        <v>0</v>
      </c>
    </row>
    <row r="1770" spans="1:57" s="1" customFormat="1" ht="18" customHeight="1" x14ac:dyDescent="0.4">
      <c r="A1770" s="37" t="str">
        <f t="shared" si="686"/>
        <v>29Д</v>
      </c>
      <c r="B1770" s="183"/>
      <c r="C1770" s="41"/>
      <c r="D1770" s="184"/>
      <c r="E1770" s="282">
        <f t="shared" si="697"/>
        <v>29</v>
      </c>
      <c r="F1770" s="335"/>
      <c r="G1770" s="336"/>
      <c r="H1770" s="336"/>
      <c r="I1770" s="336"/>
      <c r="J1770" s="336"/>
      <c r="K1770" s="336"/>
      <c r="L1770" s="336"/>
      <c r="M1770" s="336"/>
      <c r="N1770" s="336"/>
      <c r="O1770" s="336"/>
      <c r="P1770" s="336"/>
      <c r="Q1770" s="336"/>
      <c r="R1770" s="336"/>
      <c r="S1770" s="336"/>
      <c r="T1770" s="336"/>
      <c r="U1770" s="336"/>
      <c r="V1770" s="336"/>
      <c r="W1770" s="336"/>
      <c r="X1770" s="98">
        <v>1</v>
      </c>
      <c r="Y1770" s="74">
        <v>1</v>
      </c>
      <c r="Z1770" s="75">
        <f t="shared" si="695"/>
        <v>0</v>
      </c>
      <c r="AA1770" s="107">
        <f t="shared" si="699"/>
        <v>0</v>
      </c>
      <c r="AB1770" s="41"/>
      <c r="AC1770" s="184"/>
      <c r="AD1770" s="212">
        <f t="shared" si="698"/>
        <v>29</v>
      </c>
      <c r="AE1770" s="387"/>
      <c r="AF1770" s="388"/>
      <c r="AG1770" s="388"/>
      <c r="AH1770" s="388"/>
      <c r="AI1770" s="388"/>
      <c r="AJ1770" s="388"/>
      <c r="AK1770" s="388"/>
      <c r="AL1770" s="388"/>
      <c r="AM1770" s="388"/>
      <c r="AN1770" s="388"/>
      <c r="AO1770" s="388"/>
      <c r="AP1770" s="388"/>
      <c r="AQ1770" s="388"/>
      <c r="AR1770" s="388"/>
      <c r="AS1770" s="388"/>
      <c r="AT1770" s="388"/>
      <c r="AU1770" s="388"/>
      <c r="AV1770" s="388"/>
      <c r="AW1770" s="388"/>
      <c r="AX1770" s="388"/>
      <c r="AY1770" s="388"/>
      <c r="AZ1770" s="388"/>
      <c r="BA1770" s="388"/>
      <c r="BB1770" s="389"/>
      <c r="BC1770" s="98">
        <v>1</v>
      </c>
      <c r="BD1770" s="74">
        <v>1</v>
      </c>
      <c r="BE1770" s="75">
        <f t="shared" si="696"/>
        <v>0</v>
      </c>
    </row>
    <row r="1771" spans="1:57" s="1" customFormat="1" ht="18" customHeight="1" x14ac:dyDescent="0.4">
      <c r="A1771" s="37" t="str">
        <f t="shared" si="686"/>
        <v>29Д</v>
      </c>
      <c r="B1771" s="183"/>
      <c r="C1771" s="41"/>
      <c r="D1771" s="184"/>
      <c r="E1771" s="282">
        <f t="shared" si="697"/>
        <v>29</v>
      </c>
      <c r="F1771" s="335"/>
      <c r="G1771" s="336"/>
      <c r="H1771" s="336"/>
      <c r="I1771" s="336"/>
      <c r="J1771" s="336"/>
      <c r="K1771" s="336"/>
      <c r="L1771" s="336"/>
      <c r="M1771" s="336"/>
      <c r="N1771" s="336"/>
      <c r="O1771" s="336"/>
      <c r="P1771" s="336"/>
      <c r="Q1771" s="336"/>
      <c r="R1771" s="336"/>
      <c r="S1771" s="336"/>
      <c r="T1771" s="336"/>
      <c r="U1771" s="336"/>
      <c r="V1771" s="336"/>
      <c r="W1771" s="336"/>
      <c r="X1771" s="98">
        <v>1</v>
      </c>
      <c r="Y1771" s="74">
        <v>1</v>
      </c>
      <c r="Z1771" s="75">
        <f t="shared" si="695"/>
        <v>0</v>
      </c>
      <c r="AA1771" s="107">
        <f t="shared" si="699"/>
        <v>0</v>
      </c>
      <c r="AB1771" s="41"/>
      <c r="AC1771" s="184"/>
      <c r="AD1771" s="212">
        <f t="shared" si="698"/>
        <v>29</v>
      </c>
      <c r="AE1771" s="387"/>
      <c r="AF1771" s="388"/>
      <c r="AG1771" s="388"/>
      <c r="AH1771" s="388"/>
      <c r="AI1771" s="388"/>
      <c r="AJ1771" s="388"/>
      <c r="AK1771" s="388"/>
      <c r="AL1771" s="388"/>
      <c r="AM1771" s="388"/>
      <c r="AN1771" s="388"/>
      <c r="AO1771" s="388"/>
      <c r="AP1771" s="388"/>
      <c r="AQ1771" s="388"/>
      <c r="AR1771" s="388"/>
      <c r="AS1771" s="388"/>
      <c r="AT1771" s="388"/>
      <c r="AU1771" s="388"/>
      <c r="AV1771" s="388"/>
      <c r="AW1771" s="388"/>
      <c r="AX1771" s="388"/>
      <c r="AY1771" s="388"/>
      <c r="AZ1771" s="388"/>
      <c r="BA1771" s="388"/>
      <c r="BB1771" s="389"/>
      <c r="BC1771" s="98">
        <v>1</v>
      </c>
      <c r="BD1771" s="74">
        <v>1</v>
      </c>
      <c r="BE1771" s="75">
        <f t="shared" si="696"/>
        <v>0</v>
      </c>
    </row>
    <row r="1772" spans="1:57" s="1" customFormat="1" ht="18" customHeight="1" x14ac:dyDescent="0.4">
      <c r="A1772" s="37" t="str">
        <f t="shared" si="686"/>
        <v>29Д</v>
      </c>
      <c r="B1772" s="183"/>
      <c r="C1772" s="41"/>
      <c r="D1772" s="184"/>
      <c r="E1772" s="282">
        <f t="shared" si="697"/>
        <v>29</v>
      </c>
      <c r="F1772" s="335"/>
      <c r="G1772" s="336"/>
      <c r="H1772" s="336"/>
      <c r="I1772" s="336"/>
      <c r="J1772" s="336"/>
      <c r="K1772" s="336"/>
      <c r="L1772" s="336"/>
      <c r="M1772" s="336"/>
      <c r="N1772" s="336"/>
      <c r="O1772" s="336"/>
      <c r="P1772" s="336"/>
      <c r="Q1772" s="336"/>
      <c r="R1772" s="336"/>
      <c r="S1772" s="336"/>
      <c r="T1772" s="336"/>
      <c r="U1772" s="336"/>
      <c r="V1772" s="336"/>
      <c r="W1772" s="336"/>
      <c r="X1772" s="98">
        <v>1</v>
      </c>
      <c r="Y1772" s="74">
        <v>1</v>
      </c>
      <c r="Z1772" s="75">
        <f t="shared" si="695"/>
        <v>0</v>
      </c>
      <c r="AA1772" s="107">
        <f t="shared" si="699"/>
        <v>0</v>
      </c>
      <c r="AB1772" s="41"/>
      <c r="AC1772" s="184"/>
      <c r="AD1772" s="212">
        <f t="shared" si="698"/>
        <v>29</v>
      </c>
      <c r="AE1772" s="387"/>
      <c r="AF1772" s="388"/>
      <c r="AG1772" s="388"/>
      <c r="AH1772" s="388"/>
      <c r="AI1772" s="388"/>
      <c r="AJ1772" s="388"/>
      <c r="AK1772" s="388"/>
      <c r="AL1772" s="388"/>
      <c r="AM1772" s="388"/>
      <c r="AN1772" s="388"/>
      <c r="AO1772" s="388"/>
      <c r="AP1772" s="388"/>
      <c r="AQ1772" s="388"/>
      <c r="AR1772" s="388"/>
      <c r="AS1772" s="388"/>
      <c r="AT1772" s="388"/>
      <c r="AU1772" s="388"/>
      <c r="AV1772" s="388"/>
      <c r="AW1772" s="388"/>
      <c r="AX1772" s="388"/>
      <c r="AY1772" s="388"/>
      <c r="AZ1772" s="388"/>
      <c r="BA1772" s="388"/>
      <c r="BB1772" s="389"/>
      <c r="BC1772" s="98">
        <v>1</v>
      </c>
      <c r="BD1772" s="74">
        <v>1</v>
      </c>
      <c r="BE1772" s="75">
        <f t="shared" si="696"/>
        <v>0</v>
      </c>
    </row>
    <row r="1773" spans="1:57" s="1" customFormat="1" ht="18" customHeight="1" x14ac:dyDescent="0.4">
      <c r="A1773" s="37" t="str">
        <f t="shared" si="686"/>
        <v>29Д</v>
      </c>
      <c r="B1773" s="183"/>
      <c r="C1773" s="41"/>
      <c r="D1773" s="184"/>
      <c r="E1773" s="282">
        <f t="shared" si="697"/>
        <v>29</v>
      </c>
      <c r="F1773" s="335"/>
      <c r="G1773" s="336"/>
      <c r="H1773" s="336"/>
      <c r="I1773" s="336"/>
      <c r="J1773" s="336"/>
      <c r="K1773" s="336"/>
      <c r="L1773" s="336"/>
      <c r="M1773" s="336"/>
      <c r="N1773" s="336"/>
      <c r="O1773" s="336"/>
      <c r="P1773" s="336"/>
      <c r="Q1773" s="336"/>
      <c r="R1773" s="336"/>
      <c r="S1773" s="336"/>
      <c r="T1773" s="336"/>
      <c r="U1773" s="336"/>
      <c r="V1773" s="336"/>
      <c r="W1773" s="336"/>
      <c r="X1773" s="98">
        <v>1</v>
      </c>
      <c r="Y1773" s="74">
        <v>1</v>
      </c>
      <c r="Z1773" s="75">
        <f t="shared" si="695"/>
        <v>0</v>
      </c>
      <c r="AA1773" s="107">
        <f t="shared" si="699"/>
        <v>0</v>
      </c>
      <c r="AB1773" s="41"/>
      <c r="AC1773" s="184"/>
      <c r="AD1773" s="212">
        <f t="shared" si="698"/>
        <v>29</v>
      </c>
      <c r="AE1773" s="387"/>
      <c r="AF1773" s="388"/>
      <c r="AG1773" s="388"/>
      <c r="AH1773" s="388"/>
      <c r="AI1773" s="388"/>
      <c r="AJ1773" s="388"/>
      <c r="AK1773" s="388"/>
      <c r="AL1773" s="388"/>
      <c r="AM1773" s="388"/>
      <c r="AN1773" s="388"/>
      <c r="AO1773" s="388"/>
      <c r="AP1773" s="388"/>
      <c r="AQ1773" s="388"/>
      <c r="AR1773" s="388"/>
      <c r="AS1773" s="388"/>
      <c r="AT1773" s="388"/>
      <c r="AU1773" s="388"/>
      <c r="AV1773" s="388"/>
      <c r="AW1773" s="388"/>
      <c r="AX1773" s="388"/>
      <c r="AY1773" s="388"/>
      <c r="AZ1773" s="388"/>
      <c r="BA1773" s="388"/>
      <c r="BB1773" s="389"/>
      <c r="BC1773" s="98">
        <v>1</v>
      </c>
      <c r="BD1773" s="74">
        <v>1</v>
      </c>
      <c r="BE1773" s="75">
        <f t="shared" si="696"/>
        <v>0</v>
      </c>
    </row>
    <row r="1774" spans="1:57" s="1" customFormat="1" ht="18" customHeight="1" x14ac:dyDescent="0.4">
      <c r="A1774" s="37" t="str">
        <f t="shared" si="686"/>
        <v>29Д</v>
      </c>
      <c r="B1774" s="183"/>
      <c r="C1774" s="41"/>
      <c r="D1774" s="184"/>
      <c r="E1774" s="282">
        <f t="shared" si="697"/>
        <v>29</v>
      </c>
      <c r="F1774" s="335"/>
      <c r="G1774" s="336"/>
      <c r="H1774" s="336"/>
      <c r="I1774" s="336"/>
      <c r="J1774" s="336"/>
      <c r="K1774" s="336"/>
      <c r="L1774" s="336"/>
      <c r="M1774" s="336"/>
      <c r="N1774" s="336"/>
      <c r="O1774" s="336"/>
      <c r="P1774" s="336"/>
      <c r="Q1774" s="336"/>
      <c r="R1774" s="336"/>
      <c r="S1774" s="336"/>
      <c r="T1774" s="336"/>
      <c r="U1774" s="336"/>
      <c r="V1774" s="336"/>
      <c r="W1774" s="336"/>
      <c r="X1774" s="98">
        <v>1</v>
      </c>
      <c r="Y1774" s="74">
        <v>1</v>
      </c>
      <c r="Z1774" s="75">
        <f t="shared" si="695"/>
        <v>0</v>
      </c>
      <c r="AA1774" s="107">
        <f t="shared" si="699"/>
        <v>0</v>
      </c>
      <c r="AB1774" s="41"/>
      <c r="AC1774" s="184"/>
      <c r="AD1774" s="212">
        <f t="shared" si="698"/>
        <v>29</v>
      </c>
      <c r="AE1774" s="387"/>
      <c r="AF1774" s="388"/>
      <c r="AG1774" s="388"/>
      <c r="AH1774" s="388"/>
      <c r="AI1774" s="388"/>
      <c r="AJ1774" s="388"/>
      <c r="AK1774" s="388"/>
      <c r="AL1774" s="388"/>
      <c r="AM1774" s="388"/>
      <c r="AN1774" s="388"/>
      <c r="AO1774" s="388"/>
      <c r="AP1774" s="388"/>
      <c r="AQ1774" s="388"/>
      <c r="AR1774" s="388"/>
      <c r="AS1774" s="388"/>
      <c r="AT1774" s="388"/>
      <c r="AU1774" s="388"/>
      <c r="AV1774" s="388"/>
      <c r="AW1774" s="388"/>
      <c r="AX1774" s="388"/>
      <c r="AY1774" s="388"/>
      <c r="AZ1774" s="388"/>
      <c r="BA1774" s="388"/>
      <c r="BB1774" s="389"/>
      <c r="BC1774" s="98">
        <v>1</v>
      </c>
      <c r="BD1774" s="74">
        <v>1</v>
      </c>
      <c r="BE1774" s="75">
        <f t="shared" si="696"/>
        <v>0</v>
      </c>
    </row>
    <row r="1775" spans="1:57" s="1" customFormat="1" ht="18" customHeight="1" thickBot="1" x14ac:dyDescent="0.45">
      <c r="A1775" s="37" t="str">
        <f t="shared" si="686"/>
        <v>29Д</v>
      </c>
      <c r="B1775" s="183"/>
      <c r="C1775" s="41"/>
      <c r="D1775" s="184"/>
      <c r="E1775" s="283">
        <f t="shared" si="697"/>
        <v>29</v>
      </c>
      <c r="F1775" s="339"/>
      <c r="G1775" s="340"/>
      <c r="H1775" s="340"/>
      <c r="I1775" s="340"/>
      <c r="J1775" s="340"/>
      <c r="K1775" s="340"/>
      <c r="L1775" s="340"/>
      <c r="M1775" s="340"/>
      <c r="N1775" s="340"/>
      <c r="O1775" s="340"/>
      <c r="P1775" s="340"/>
      <c r="Q1775" s="340"/>
      <c r="R1775" s="340"/>
      <c r="S1775" s="340"/>
      <c r="T1775" s="340"/>
      <c r="U1775" s="340"/>
      <c r="V1775" s="340"/>
      <c r="W1775" s="340"/>
      <c r="X1775" s="99">
        <v>1</v>
      </c>
      <c r="Y1775" s="76">
        <v>1</v>
      </c>
      <c r="Z1775" s="77">
        <f t="shared" si="695"/>
        <v>0</v>
      </c>
      <c r="AA1775" s="107">
        <f t="shared" si="699"/>
        <v>0</v>
      </c>
      <c r="AB1775" s="41"/>
      <c r="AC1775" s="184"/>
      <c r="AD1775" s="211">
        <f t="shared" si="698"/>
        <v>29</v>
      </c>
      <c r="AE1775" s="410"/>
      <c r="AF1775" s="411"/>
      <c r="AG1775" s="411"/>
      <c r="AH1775" s="411"/>
      <c r="AI1775" s="411"/>
      <c r="AJ1775" s="411"/>
      <c r="AK1775" s="411"/>
      <c r="AL1775" s="411"/>
      <c r="AM1775" s="411"/>
      <c r="AN1775" s="411"/>
      <c r="AO1775" s="411"/>
      <c r="AP1775" s="411"/>
      <c r="AQ1775" s="411"/>
      <c r="AR1775" s="411"/>
      <c r="AS1775" s="411"/>
      <c r="AT1775" s="411"/>
      <c r="AU1775" s="411"/>
      <c r="AV1775" s="411"/>
      <c r="AW1775" s="411"/>
      <c r="AX1775" s="411"/>
      <c r="AY1775" s="411"/>
      <c r="AZ1775" s="411"/>
      <c r="BA1775" s="411"/>
      <c r="BB1775" s="412"/>
      <c r="BC1775" s="99">
        <v>1</v>
      </c>
      <c r="BD1775" s="76">
        <v>1</v>
      </c>
      <c r="BE1775" s="75">
        <f t="shared" si="696"/>
        <v>0</v>
      </c>
    </row>
    <row r="1776" spans="1:57" s="1" customFormat="1" ht="23.25" customHeight="1" thickBot="1" x14ac:dyDescent="0.45">
      <c r="A1776" s="37" t="str">
        <f t="shared" si="686"/>
        <v>29Д</v>
      </c>
      <c r="B1776" s="193"/>
      <c r="C1776" s="47"/>
      <c r="D1776" s="47"/>
      <c r="E1776" s="47"/>
      <c r="F1776" s="78"/>
      <c r="G1776" s="78"/>
      <c r="H1776" s="78"/>
      <c r="I1776" s="80"/>
      <c r="J1776" s="80"/>
      <c r="K1776" s="80"/>
      <c r="L1776" s="80"/>
      <c r="M1776" s="80"/>
      <c r="N1776" s="80"/>
      <c r="O1776" s="78"/>
      <c r="P1776" s="81"/>
      <c r="Q1776" s="81"/>
      <c r="R1776" s="81"/>
      <c r="S1776" s="81"/>
      <c r="T1776" s="81"/>
      <c r="U1776" s="82"/>
      <c r="V1776" s="82"/>
      <c r="W1776" s="86"/>
      <c r="X1776" s="194"/>
      <c r="Y1776" s="83"/>
      <c r="Z1776" s="83"/>
      <c r="AA1776" s="78"/>
      <c r="AB1776" s="47"/>
      <c r="AC1776" s="47"/>
      <c r="AD1776" s="47"/>
      <c r="AE1776" s="47"/>
      <c r="AF1776" s="47"/>
      <c r="AG1776" s="47"/>
      <c r="AH1776" s="47"/>
      <c r="AI1776" s="47"/>
      <c r="AJ1776" s="47"/>
      <c r="AK1776" s="47"/>
      <c r="AL1776" s="47"/>
      <c r="AM1776" s="84"/>
      <c r="AN1776" s="47"/>
      <c r="AO1776" s="78"/>
      <c r="AP1776" s="78"/>
      <c r="AQ1776" s="78"/>
      <c r="AR1776" s="84"/>
      <c r="AS1776" s="78"/>
      <c r="AT1776" s="85"/>
      <c r="AU1776" s="78"/>
      <c r="AV1776" s="83"/>
      <c r="AW1776" s="83"/>
      <c r="AX1776" s="78"/>
      <c r="AY1776" s="78"/>
      <c r="AZ1776" s="78"/>
      <c r="BA1776" s="78"/>
      <c r="BB1776" s="78"/>
      <c r="BC1776" s="78"/>
      <c r="BD1776" s="79"/>
      <c r="BE1776" s="79"/>
    </row>
    <row r="1777" spans="1:57" s="1" customFormat="1" ht="21.6" customHeight="1" thickBot="1" x14ac:dyDescent="0.45">
      <c r="A1777" s="37" t="s">
        <v>203</v>
      </c>
      <c r="B1777" s="59"/>
      <c r="C1777" s="51"/>
      <c r="D1777" s="51"/>
      <c r="E1777" s="51"/>
      <c r="F1777" s="158" t="s">
        <v>220</v>
      </c>
      <c r="G1777" s="51"/>
      <c r="H1777" s="51"/>
      <c r="I1777" s="156"/>
      <c r="J1777" s="156"/>
      <c r="K1777" s="156"/>
      <c r="L1777" s="156"/>
      <c r="M1777" s="156"/>
      <c r="N1777" s="156"/>
      <c r="O1777" s="91"/>
      <c r="P1777" s="52"/>
      <c r="Q1777" s="52"/>
      <c r="R1777" s="52"/>
      <c r="S1777" s="52"/>
      <c r="T1777" s="52"/>
      <c r="U1777" s="157"/>
      <c r="V1777" s="157"/>
      <c r="W1777" s="94"/>
      <c r="X1777" s="94"/>
      <c r="Y1777" s="51"/>
      <c r="Z1777" s="51"/>
      <c r="AA1777" s="157">
        <f>AA1760</f>
        <v>1</v>
      </c>
      <c r="AB1777" s="157">
        <f t="shared" ref="AB1777:AF1777" si="700">AB1760</f>
        <v>2</v>
      </c>
      <c r="AC1777" s="157">
        <f t="shared" si="700"/>
        <v>3</v>
      </c>
      <c r="AD1777" s="157">
        <f t="shared" si="700"/>
        <v>4</v>
      </c>
      <c r="AE1777" s="157">
        <f t="shared" si="700"/>
        <v>5</v>
      </c>
      <c r="AF1777" s="157">
        <f t="shared" si="700"/>
        <v>6</v>
      </c>
      <c r="AG1777" s="162" t="s">
        <v>123</v>
      </c>
      <c r="AH1777" s="162" t="s">
        <v>124</v>
      </c>
      <c r="AI1777" s="162" t="s">
        <v>125</v>
      </c>
      <c r="AJ1777" s="91" t="s">
        <v>126</v>
      </c>
      <c r="AK1777" s="198" t="s">
        <v>136</v>
      </c>
      <c r="AL1777" s="198" t="s">
        <v>137</v>
      </c>
      <c r="AM1777" s="198" t="s">
        <v>138</v>
      </c>
      <c r="AN1777" s="91"/>
      <c r="AO1777" s="91"/>
      <c r="AP1777" s="91"/>
      <c r="AQ1777" s="91"/>
      <c r="AR1777" s="91"/>
      <c r="AS1777" s="91"/>
      <c r="AT1777" s="91"/>
      <c r="AU1777" s="91"/>
      <c r="AV1777" s="91"/>
      <c r="AW1777" s="91"/>
      <c r="AX1777" s="91"/>
      <c r="AY1777" s="91"/>
      <c r="AZ1777" s="91"/>
      <c r="BA1777" s="91"/>
      <c r="BB1777" s="91"/>
      <c r="BC1777" s="91"/>
      <c r="BD1777" s="91"/>
      <c r="BE1777" s="91"/>
    </row>
    <row r="1778" spans="1:57" s="1" customFormat="1" ht="21.6" customHeight="1" x14ac:dyDescent="0.4">
      <c r="A1778" s="37" t="str">
        <f>A1777</f>
        <v>29Н</v>
      </c>
      <c r="B1778" s="12">
        <f>B1759</f>
        <v>29</v>
      </c>
      <c r="C1778" s="97"/>
      <c r="D1778" s="97">
        <v>1</v>
      </c>
      <c r="E1778" s="29"/>
      <c r="F1778" s="151" t="str">
        <f>IFERROR(VLOOKUP($G1778,нормы!$A$14:$BC$57,2,0),"")</f>
        <v/>
      </c>
      <c r="G1778" s="93"/>
      <c r="H1778" s="54">
        <f>IF(C1778=1,"Кульков С.А.", IF(C1778=2,"Чудаков А.А.",IF(C1778=3,"Королев В.Н.",IF(C1778=4,"Николашин М.П.",IF(C1778=5," Кульков С.А.",IF(C1778=6,"А.А. Чудаков",IF(C1778=7,"В.Н. Королев",IF(C1778=8,"М.П. Николашин",0))))))))</f>
        <v>0</v>
      </c>
      <c r="I1778" s="88" t="s">
        <v>84</v>
      </c>
      <c r="J1778" s="332"/>
      <c r="K1778" s="30">
        <f>IFERROR(VLOOKUP($G1778,[1]нормы!$A$21:$BC$151,15,0),"")</f>
        <v>0</v>
      </c>
      <c r="L1778" s="31">
        <f>IFERROR(VLOOKUP($G1778,[1]нормы!$A$21:$BC$151,17,0),"")</f>
        <v>0</v>
      </c>
      <c r="M1778" s="310">
        <f>IFERROR(VLOOKUP($G1778,[1]нормы!$A$21:$BC$151,27,0),"")</f>
        <v>0</v>
      </c>
      <c r="N1778" s="311" t="str">
        <f>IFERROR(Y1778/Y1784*(1.1*J1778*I1783),"")</f>
        <v/>
      </c>
      <c r="O1778" s="300">
        <f>IFERROR(VLOOKUP($G1778,[1]нормы!$A$21:$BC$151,21,0),"")</f>
        <v>0</v>
      </c>
      <c r="P1778" s="35">
        <f>IFERROR(VLOOKUP($G1778,[1]нормы!$A$21:$BC$151,19,0),"")</f>
        <v>0</v>
      </c>
      <c r="Q1778" s="35">
        <f>IFERROR(VLOOKUP($G1778,[1]нормы!$A$21:$BC$151,23,0),"")</f>
        <v>0</v>
      </c>
      <c r="R1778" s="231">
        <f>IFERROR(VLOOKUP($G1778,[1]нормы!$A$21:$BC$151,29,0),"")</f>
        <v>0</v>
      </c>
      <c r="S1778" s="35">
        <f>IFERROR(VLOOKUP($G1778,[1]нормы!$A$21:$BC$151,31,0),"")</f>
        <v>0</v>
      </c>
      <c r="T1778" s="32">
        <f>IFERROR(VLOOKUP($G1778,[1]нормы!$A$21:$BC$151,25,0),"")</f>
        <v>0</v>
      </c>
      <c r="U1778" s="232" t="str">
        <f>IFERROR(W1778/(((100*Y1778/Y1784)*I1783)/100),"")</f>
        <v/>
      </c>
      <c r="V1778" s="234" t="str">
        <f>IFERROR(VLOOKUP($G1778,нормы!$A$14:$BC$57,38,0),"")</f>
        <v/>
      </c>
      <c r="W1778" s="136"/>
      <c r="X1778" s="236"/>
      <c r="Y1778" s="152" t="str">
        <f>IFERROR(VLOOKUP($G1778,нормы!$A$14:$BC$57,42,0)*W1778,"")</f>
        <v/>
      </c>
      <c r="Z1778" s="163">
        <f>IFERROR(VLOOKUP($G1778,нормы!$A$14:$BC$57,14,0)*W1778/1000,0)</f>
        <v>0</v>
      </c>
      <c r="AA1778" s="33"/>
      <c r="AB1778" s="36"/>
      <c r="AC1778" s="36"/>
      <c r="AD1778" s="36"/>
      <c r="AE1778" s="34"/>
      <c r="AF1778" s="159"/>
      <c r="AG1778" s="390"/>
      <c r="AH1778" s="393"/>
      <c r="AI1778" s="396"/>
      <c r="AJ1778" s="407">
        <f>AG1778+AH1778</f>
        <v>0</v>
      </c>
      <c r="AK1778" s="359"/>
      <c r="AL1778" s="359"/>
      <c r="AM1778" s="359"/>
      <c r="AN1778" s="287">
        <f>IFERROR(Y1778*AJ1778/Y1784,)</f>
        <v>0</v>
      </c>
      <c r="AO1778" s="197" t="str">
        <f>IFERROR(VLOOKUP($G1778,нормы!$A$14:$BC$57,53,0)*$W1778,"")</f>
        <v/>
      </c>
      <c r="AP1778" s="288">
        <f>IFERROR(Y1778*AI1778/Y1784,)</f>
        <v>0</v>
      </c>
      <c r="AQ1778" s="197" t="str">
        <f>IFERROR(VLOOKUP($G1778,нормы!$A$14:$BC$57,54,0)*$W1778,"")</f>
        <v/>
      </c>
      <c r="AR1778" s="288">
        <f>IFERROR(AS1778/SUM(AS1778:AS1783)*AL1778,0)</f>
        <v>0</v>
      </c>
      <c r="AS1778" s="197" t="str">
        <f>IFERROR(VLOOKUP($G1778,нормы!$A$14:$BC$57,55,0)*W1778,"")</f>
        <v/>
      </c>
      <c r="AT1778" s="288">
        <f>IFERROR(AU1778/SUM(AU1778:AU1783)*AM1778,0)</f>
        <v>0</v>
      </c>
      <c r="AU1778" s="197" t="str">
        <f>IFERROR(VLOOKUP($G1778,нормы!$A$14:$BI$57,56,0)*W1778,"")</f>
        <v/>
      </c>
      <c r="AV1778" s="288">
        <f>IFERROR(AW1778/SUM(AW1778:AW1783)*AK1778,0)</f>
        <v>0</v>
      </c>
      <c r="AW1778" s="202" t="str">
        <f>IFERROR(VLOOKUP($G1778,нормы!$A$14:$BI$57,57,0)*W1778,"")</f>
        <v/>
      </c>
      <c r="AX1778" s="33"/>
      <c r="AY1778" s="203" t="str">
        <f>IFERROR(VLOOKUP($G1778,нормы!$A$14:$BI$57,58,0)*W1778,"")</f>
        <v/>
      </c>
      <c r="AZ1778" s="204"/>
      <c r="BA1778" s="200" t="str">
        <f>IFERROR(VLOOKUP($G1778,нормы!$A$14:$BI$57,61,0)*$W1778,"")</f>
        <v/>
      </c>
      <c r="BB1778" s="33"/>
      <c r="BC1778" s="203" t="str">
        <f>IFERROR(VLOOKUP($G1778,нормы!$A$14:$BI$57,60,0)*W1778,"")</f>
        <v/>
      </c>
      <c r="BD1778" s="200" t="str">
        <f>IFERROR(VLOOKUP($G1778,нормы!$A$14:$BG$57,44,0),"")</f>
        <v/>
      </c>
      <c r="BE1778" s="199" t="str">
        <f>IFERROR(W1778/VLOOKUP($G1778,нормы!$A$14:$BI$57,45,0),"")</f>
        <v/>
      </c>
    </row>
    <row r="1779" spans="1:57" s="1" customFormat="1" ht="21.6" customHeight="1" x14ac:dyDescent="0.4">
      <c r="A1779" s="37" t="str">
        <f t="shared" ref="A1779:D1807" si="701">A1778</f>
        <v>29Н</v>
      </c>
      <c r="B1779" s="12">
        <f>B1778</f>
        <v>29</v>
      </c>
      <c r="C1779" s="97">
        <f t="shared" ref="C1779:D1779" si="702">C1778</f>
        <v>0</v>
      </c>
      <c r="D1779" s="97">
        <f t="shared" si="702"/>
        <v>1</v>
      </c>
      <c r="E1779" s="54"/>
      <c r="F1779" s="151" t="str">
        <f>IFERROR(VLOOKUP($G1779,нормы!$A$14:$BC$57,2,0),"")</f>
        <v/>
      </c>
      <c r="G1779" s="93"/>
      <c r="H1779" s="54">
        <f t="shared" ref="H1779:H1783" si="703">IF(C1779=1,"Кульков С.А.", IF(C1779=2,"Чудаков А.А.",IF(C1779=3,"Королев В.Н.",IF(C1779=4,"Николашин М.П.",IF(C1779=5," Кульков С.А.",IF(C1779=6,"А.А. Чудаков",IF(C1779=7,"В.Н. Королев",IF(C1779=8,"М.П. Николашин",0))))))))</f>
        <v>0</v>
      </c>
      <c r="I1779" s="55"/>
      <c r="J1779" s="333"/>
      <c r="K1779" s="30">
        <f>IFERROR(VLOOKUP($G1779,[1]нормы!$A$21:$BC$151,15,0),"")</f>
        <v>0</v>
      </c>
      <c r="L1779" s="31">
        <f>IFERROR(VLOOKUP($G1779,[1]нормы!$A$21:$BC$151,17,0),"")</f>
        <v>0</v>
      </c>
      <c r="M1779" s="306">
        <f>IFERROR(VLOOKUP($G1779,[1]нормы!$A$21:$BC$151,27,0),"")</f>
        <v>0</v>
      </c>
      <c r="N1779" s="307" t="str">
        <f>IFERROR(Y1779/Y1784*(1.1*J1778*I1783),"")</f>
        <v/>
      </c>
      <c r="O1779" s="300">
        <f>IFERROR(VLOOKUP($G1779,[1]нормы!$A$21:$BC$151,21,0),"")</f>
        <v>0</v>
      </c>
      <c r="P1779" s="35">
        <f>IFERROR(VLOOKUP($G1779,[1]нормы!$A$21:$BC$151,19,0),"")</f>
        <v>0</v>
      </c>
      <c r="Q1779" s="35">
        <f>IFERROR(VLOOKUP($G1779,[1]нормы!$A$21:$BC$151,23,0),"")</f>
        <v>0</v>
      </c>
      <c r="R1779" s="231">
        <f>IFERROR(VLOOKUP($G1779,[1]нормы!$A$21:$BC$151,29,0),"")</f>
        <v>0</v>
      </c>
      <c r="S1779" s="35">
        <f>IFERROR(VLOOKUP($G1779,[1]нормы!$A$21:$BC$151,31,0),"")</f>
        <v>0</v>
      </c>
      <c r="T1779" s="32">
        <f>IFERROR(VLOOKUP($G1779,[1]нормы!$A$21:$BC$151,25,0),"")</f>
        <v>0</v>
      </c>
      <c r="U1779" s="233" t="str">
        <f>IFERROR(W1779/(((100*Y1779/Y1784)*I1783)/100),"")</f>
        <v/>
      </c>
      <c r="V1779" s="234" t="str">
        <f>IFERROR(VLOOKUP($G1779,нормы!$A$14:$BC$57,38,0),"")</f>
        <v/>
      </c>
      <c r="W1779" s="136"/>
      <c r="X1779" s="237"/>
      <c r="Y1779" s="152" t="str">
        <f>IFERROR(VLOOKUP($G1779,нормы!$A$14:$BC$57,42,0)*W1779,"")</f>
        <v/>
      </c>
      <c r="Z1779" s="163">
        <f>IFERROR(VLOOKUP($G1779,нормы!$A$14:$BC$57,14,0)*W1779/1000,0)</f>
        <v>0</v>
      </c>
      <c r="AA1779" s="142"/>
      <c r="AB1779" s="35"/>
      <c r="AC1779" s="35"/>
      <c r="AD1779" s="35"/>
      <c r="AE1779" s="31"/>
      <c r="AF1779" s="160"/>
      <c r="AG1779" s="391"/>
      <c r="AH1779" s="394"/>
      <c r="AI1779" s="397"/>
      <c r="AJ1779" s="408"/>
      <c r="AK1779" s="360"/>
      <c r="AL1779" s="360"/>
      <c r="AM1779" s="360"/>
      <c r="AN1779" s="289">
        <f>IFERROR(Y1779*AJ1778/Y1784,)</f>
        <v>0</v>
      </c>
      <c r="AO1779" s="197" t="str">
        <f>IFERROR(VLOOKUP($G1779,нормы!$A$14:$BC$57,53,0)*$W1779,"")</f>
        <v/>
      </c>
      <c r="AP1779" s="290">
        <f>IFERROR(Y1779*AI1778/Y1784,)</f>
        <v>0</v>
      </c>
      <c r="AQ1779" s="197" t="str">
        <f>IFERROR(VLOOKUP($G1779,нормы!$A$14:$BC$57,54,0)*$W1779,"")</f>
        <v/>
      </c>
      <c r="AR1779" s="290">
        <f>IFERROR(AS1779/SUM(AS1778:AS1783)*AL1778,0)</f>
        <v>0</v>
      </c>
      <c r="AS1779" s="197" t="str">
        <f>IFERROR(VLOOKUP($G1779,нормы!$A$14:$BC$57,55,0)*W1779,"")</f>
        <v/>
      </c>
      <c r="AT1779" s="290">
        <f>IFERROR(AU1779/SUM(AU1778:AU1783)*AM1778,0)</f>
        <v>0</v>
      </c>
      <c r="AU1779" s="197" t="str">
        <f>IFERROR(VLOOKUP($G1779,нормы!$A$14:$BI$57,56,0)*W1779,"")</f>
        <v/>
      </c>
      <c r="AV1779" s="290">
        <f>IFERROR(AW1779/SUM(AW1778:AW1783)*AK1778,0)</f>
        <v>0</v>
      </c>
      <c r="AW1779" s="202" t="str">
        <f>IFERROR(VLOOKUP($G1779,нормы!$A$14:$BI$57,57,0)*W1779,"")</f>
        <v/>
      </c>
      <c r="AX1779" s="30"/>
      <c r="AY1779" s="203" t="str">
        <f>IFERROR(VLOOKUP($G1779,нормы!$A$14:$BI$57,58,0)*W1779,"")</f>
        <v/>
      </c>
      <c r="AZ1779" s="205"/>
      <c r="BA1779" s="200" t="str">
        <f>IFERROR(VLOOKUP($G1779,нормы!$A$14:$BI$57,61,0)*$W1779,"")</f>
        <v/>
      </c>
      <c r="BB1779" s="30"/>
      <c r="BC1779" s="203" t="str">
        <f>IFERROR(VLOOKUP($G1779,нормы!$A$14:$BI$57,60,0)*W1779,"")</f>
        <v/>
      </c>
      <c r="BD1779" s="200" t="str">
        <f>IFERROR(VLOOKUP($G1779,нормы!$A$14:$BG$57,44,0),"")</f>
        <v/>
      </c>
      <c r="BE1779" s="199" t="str">
        <f>IFERROR(W1779/VLOOKUP($G1779,нормы!$A$14:$BI$57,45,0),"")</f>
        <v/>
      </c>
    </row>
    <row r="1780" spans="1:57" s="1" customFormat="1" ht="20.25" customHeight="1" x14ac:dyDescent="0.4">
      <c r="A1780" s="37" t="str">
        <f t="shared" si="701"/>
        <v>29Н</v>
      </c>
      <c r="B1780" s="12">
        <f t="shared" si="701"/>
        <v>29</v>
      </c>
      <c r="C1780" s="97">
        <f t="shared" si="701"/>
        <v>0</v>
      </c>
      <c r="D1780" s="97">
        <f t="shared" si="701"/>
        <v>1</v>
      </c>
      <c r="E1780" s="54"/>
      <c r="F1780" s="151" t="str">
        <f>IFERROR(VLOOKUP($G1780,нормы!$A$14:$BC$57,2,0),"")</f>
        <v/>
      </c>
      <c r="G1780" s="38"/>
      <c r="H1780" s="54">
        <f t="shared" si="703"/>
        <v>0</v>
      </c>
      <c r="I1780" s="89" t="s">
        <v>85</v>
      </c>
      <c r="J1780" s="333"/>
      <c r="K1780" s="30">
        <f>IFERROR(VLOOKUP($G1780,[1]нормы!$A$21:$BC$151,15,0),"")</f>
        <v>0</v>
      </c>
      <c r="L1780" s="31">
        <f>IFERROR(VLOOKUP($G1780,[1]нормы!$A$21:$BC$151,17,0),"")</f>
        <v>0</v>
      </c>
      <c r="M1780" s="306">
        <f>IFERROR(VLOOKUP($G1780,[1]нормы!$A$21:$BC$151,27,0),"")</f>
        <v>0</v>
      </c>
      <c r="N1780" s="307" t="str">
        <f>IFERROR(Y1780/Y1784*(1.1*J1778*I1783),"")</f>
        <v/>
      </c>
      <c r="O1780" s="300">
        <f>IFERROR(VLOOKUP($G1780,[1]нормы!$A$21:$BC$151,21,0),"")</f>
        <v>0</v>
      </c>
      <c r="P1780" s="35">
        <f>IFERROR(VLOOKUP($G1780,[1]нормы!$A$21:$BC$151,19,0),"")</f>
        <v>0</v>
      </c>
      <c r="Q1780" s="35">
        <f>IFERROR(VLOOKUP($G1780,[1]нормы!$A$21:$BC$151,23,0),"")</f>
        <v>0</v>
      </c>
      <c r="R1780" s="231">
        <f>IFERROR(VLOOKUP($G1780,[1]нормы!$A$21:$BC$151,29,0),"")</f>
        <v>0</v>
      </c>
      <c r="S1780" s="35">
        <f>IFERROR(VLOOKUP($G1780,[1]нормы!$A$21:$BC$151,31,0),"")</f>
        <v>0</v>
      </c>
      <c r="T1780" s="32">
        <f>IFERROR(VLOOKUP($G1780,[1]нормы!$A$21:$BC$151,25,0),"")</f>
        <v>0</v>
      </c>
      <c r="U1780" s="233" t="str">
        <f>IFERROR(W1780/(((100*Y1780/Y1784)*I1783)/100),"")</f>
        <v/>
      </c>
      <c r="V1780" s="234" t="str">
        <f>IFERROR(VLOOKUP($G1780,нормы!$A$14:$BC$57,38,0),"")</f>
        <v/>
      </c>
      <c r="W1780" s="136"/>
      <c r="X1780" s="237"/>
      <c r="Y1780" s="152" t="str">
        <f>IFERROR(VLOOKUP($G1780,нормы!$A$14:$BC$57,42,0)*W1780,"")</f>
        <v/>
      </c>
      <c r="Z1780" s="163">
        <f>IFERROR(VLOOKUP($G1780,нормы!$A$14:$BC$57,14,0)*W1780/1000,0)</f>
        <v>0</v>
      </c>
      <c r="AA1780" s="30"/>
      <c r="AB1780" s="35"/>
      <c r="AC1780" s="35"/>
      <c r="AD1780" s="35"/>
      <c r="AE1780" s="31"/>
      <c r="AF1780" s="160"/>
      <c r="AG1780" s="391"/>
      <c r="AH1780" s="394"/>
      <c r="AI1780" s="397"/>
      <c r="AJ1780" s="408"/>
      <c r="AK1780" s="360"/>
      <c r="AL1780" s="360"/>
      <c r="AM1780" s="360"/>
      <c r="AN1780" s="289">
        <f>IFERROR(Y1780*AJ1778/Y1784,)</f>
        <v>0</v>
      </c>
      <c r="AO1780" s="197" t="str">
        <f>IFERROR(VLOOKUP($G1780,нормы!$A$14:$BC$57,53,0)*$W1780,"")</f>
        <v/>
      </c>
      <c r="AP1780" s="290">
        <f>IFERROR(Y1780*AI1778/Y1784,)</f>
        <v>0</v>
      </c>
      <c r="AQ1780" s="197" t="str">
        <f>IFERROR(VLOOKUP($G1780,нормы!$A$14:$BC$57,54,0)*$W1780,"")</f>
        <v/>
      </c>
      <c r="AR1780" s="290">
        <f>IFERROR(AS1780/SUM(AS1778:AS1783)*AL1778,0)</f>
        <v>0</v>
      </c>
      <c r="AS1780" s="197" t="str">
        <f>IFERROR(VLOOKUP($G1780,нормы!$A$14:$BC$57,55,0)*W1780,"")</f>
        <v/>
      </c>
      <c r="AT1780" s="290">
        <f>IFERROR(AU1780/SUM(AU1778:AU1783)*AM1778,0)</f>
        <v>0</v>
      </c>
      <c r="AU1780" s="197" t="str">
        <f>IFERROR(VLOOKUP($G1780,нормы!$A$14:$BI$57,56,0)*W1780,"")</f>
        <v/>
      </c>
      <c r="AV1780" s="290">
        <f>IFERROR(AW1780/SUM(AW1778:AW1783)*AK1778,0)</f>
        <v>0</v>
      </c>
      <c r="AW1780" s="202" t="str">
        <f>IFERROR(VLOOKUP($G1780,нормы!$A$14:$BI$57,57,0)*W1780,"")</f>
        <v/>
      </c>
      <c r="AX1780" s="30"/>
      <c r="AY1780" s="203" t="str">
        <f>IFERROR(VLOOKUP($G1780,нормы!$A$14:$BI$57,58,0)*W1780,"")</f>
        <v/>
      </c>
      <c r="AZ1780" s="205"/>
      <c r="BA1780" s="200" t="str">
        <f>IFERROR(VLOOKUP($G1780,нормы!$A$14:$BI$57,61,0)*$W1780,"")</f>
        <v/>
      </c>
      <c r="BB1780" s="30"/>
      <c r="BC1780" s="203" t="str">
        <f>IFERROR(VLOOKUP($G1780,нормы!$A$14:$BI$57,60,0)*W1780,"")</f>
        <v/>
      </c>
      <c r="BD1780" s="200" t="str">
        <f>IFERROR(VLOOKUP($G1780,нормы!$A$14:$BG$57,44,0),"")</f>
        <v/>
      </c>
      <c r="BE1780" s="199" t="str">
        <f>IFERROR(W1780/VLOOKUP($G1780,нормы!$A$14:$BI$57,45,0),"")</f>
        <v/>
      </c>
    </row>
    <row r="1781" spans="1:57" s="1" customFormat="1" ht="20.25" customHeight="1" x14ac:dyDescent="0.4">
      <c r="A1781" s="37" t="str">
        <f t="shared" si="701"/>
        <v>29Н</v>
      </c>
      <c r="B1781" s="12">
        <f t="shared" si="701"/>
        <v>29</v>
      </c>
      <c r="C1781" s="97">
        <f t="shared" si="701"/>
        <v>0</v>
      </c>
      <c r="D1781" s="97">
        <f t="shared" si="701"/>
        <v>1</v>
      </c>
      <c r="E1781" s="54"/>
      <c r="F1781" s="151" t="str">
        <f>IFERROR(VLOOKUP($G1781,нормы!$A$14:$BC$57,2,0),"")</f>
        <v/>
      </c>
      <c r="G1781" s="93"/>
      <c r="H1781" s="54">
        <f t="shared" si="703"/>
        <v>0</v>
      </c>
      <c r="I1781" s="55"/>
      <c r="J1781" s="333"/>
      <c r="K1781" s="30">
        <f>IFERROR(VLOOKUP($G1781,[1]нормы!$A$21:$BC$151,15,0),"")</f>
        <v>0</v>
      </c>
      <c r="L1781" s="31">
        <f>IFERROR(VLOOKUP($G1781,[1]нормы!$A$21:$BC$151,17,0),"")</f>
        <v>0</v>
      </c>
      <c r="M1781" s="306">
        <f>IFERROR(VLOOKUP($G1781,[1]нормы!$A$21:$BC$151,27,0),"")</f>
        <v>0</v>
      </c>
      <c r="N1781" s="307" t="str">
        <f>IFERROR(Y1781/Y1784*(1.1*J1778*I1786),"")</f>
        <v/>
      </c>
      <c r="O1781" s="300">
        <f>IFERROR(VLOOKUP($G1781,[1]нормы!$A$21:$BC$151,21,0),"")</f>
        <v>0</v>
      </c>
      <c r="P1781" s="35">
        <f>IFERROR(VLOOKUP($G1781,[1]нормы!$A$21:$BC$151,19,0),"")</f>
        <v>0</v>
      </c>
      <c r="Q1781" s="35">
        <f>IFERROR(VLOOKUP($G1781,[1]нормы!$A$21:$BC$151,23,0),"")</f>
        <v>0</v>
      </c>
      <c r="R1781" s="231">
        <f>IFERROR(VLOOKUP($G1781,[1]нормы!$A$21:$BC$151,29,0),"")</f>
        <v>0</v>
      </c>
      <c r="S1781" s="35">
        <f>IFERROR(VLOOKUP($G1781,[1]нормы!$A$21:$BC$151,31,0),"")</f>
        <v>0</v>
      </c>
      <c r="T1781" s="32">
        <f>IFERROR(VLOOKUP($G1781,[1]нормы!$A$21:$BC$151,25,0),"")</f>
        <v>0</v>
      </c>
      <c r="U1781" s="233" t="str">
        <f>IFERROR(W1781/(((100*Y1781/Y1784)*I1783)/100),"")</f>
        <v/>
      </c>
      <c r="V1781" s="234" t="str">
        <f>IFERROR(VLOOKUP($G1781,нормы!$A$14:$BC$57,38,0),"")</f>
        <v/>
      </c>
      <c r="W1781" s="136"/>
      <c r="X1781" s="237"/>
      <c r="Y1781" s="152" t="str">
        <f>IFERROR(VLOOKUP($G1781,нормы!$A$14:$BC$57,42,0)*W1781,"")</f>
        <v/>
      </c>
      <c r="Z1781" s="163">
        <f>IFERROR(VLOOKUP($G1781,нормы!$A$14:$BC$57,14,0)*W1781/1000,0)</f>
        <v>0</v>
      </c>
      <c r="AA1781" s="30"/>
      <c r="AB1781" s="35"/>
      <c r="AC1781" s="35"/>
      <c r="AD1781" s="35"/>
      <c r="AE1781" s="31"/>
      <c r="AF1781" s="160"/>
      <c r="AG1781" s="391"/>
      <c r="AH1781" s="394"/>
      <c r="AI1781" s="397"/>
      <c r="AJ1781" s="408"/>
      <c r="AK1781" s="360"/>
      <c r="AL1781" s="360"/>
      <c r="AM1781" s="360"/>
      <c r="AN1781" s="289">
        <f>IFERROR(Y1781*AJ1778/Y1784,)</f>
        <v>0</v>
      </c>
      <c r="AO1781" s="197" t="str">
        <f>IFERROR(VLOOKUP($G1781,нормы!$A$14:$BC$57,53,0)*$W1781,"")</f>
        <v/>
      </c>
      <c r="AP1781" s="290">
        <f>IFERROR(Y1781*AI1778/Y1784,)</f>
        <v>0</v>
      </c>
      <c r="AQ1781" s="197" t="str">
        <f>IFERROR(VLOOKUP($G1781,нормы!$A$14:$BC$57,54,0)*$W1781,"")</f>
        <v/>
      </c>
      <c r="AR1781" s="290">
        <f>IFERROR(AS1781/SUM(AS1778:AS1783)*AL1778,0)</f>
        <v>0</v>
      </c>
      <c r="AS1781" s="197" t="str">
        <f>IFERROR(VLOOKUP($G1781,нормы!$A$14:$BC$57,55,0)*W1781,"")</f>
        <v/>
      </c>
      <c r="AT1781" s="290">
        <f>IFERROR(AU1781/SUM(AU1778:AU1783)*AM1778,0)</f>
        <v>0</v>
      </c>
      <c r="AU1781" s="197" t="str">
        <f>IFERROR(VLOOKUP($G1781,нормы!$A$14:$BI$57,56,0)*W1781,"")</f>
        <v/>
      </c>
      <c r="AV1781" s="290">
        <f>IFERROR(AW1781/SUM(AW1778:AW1783)*AK1778,0)</f>
        <v>0</v>
      </c>
      <c r="AW1781" s="202" t="str">
        <f>IFERROR(VLOOKUP($G1781,нормы!$A$14:$BI$57,57,0)*W1781,"")</f>
        <v/>
      </c>
      <c r="AX1781" s="30"/>
      <c r="AY1781" s="203" t="str">
        <f>IFERROR(VLOOKUP($G1781,нормы!$A$14:$BI$57,58,0)*W1781,"")</f>
        <v/>
      </c>
      <c r="AZ1781" s="205"/>
      <c r="BA1781" s="200" t="str">
        <f>IFERROR(VLOOKUP($G1781,нормы!$A$14:$BI$57,61,0)*$W1781,"")</f>
        <v/>
      </c>
      <c r="BB1781" s="30"/>
      <c r="BC1781" s="203" t="str">
        <f>IFERROR(VLOOKUP($G1781,нормы!$A$14:$BI$57,60,0)*W1781,"")</f>
        <v/>
      </c>
      <c r="BD1781" s="200" t="str">
        <f>IFERROR(VLOOKUP($G1781,нормы!$A$14:$BG$57,44,0),"")</f>
        <v/>
      </c>
      <c r="BE1781" s="199" t="str">
        <f>IFERROR(W1781/VLOOKUP($G1781,нормы!$A$14:$BI$57,45,0),"")</f>
        <v/>
      </c>
    </row>
    <row r="1782" spans="1:57" s="1" customFormat="1" ht="20.25" customHeight="1" x14ac:dyDescent="0.4">
      <c r="A1782" s="37" t="str">
        <f t="shared" si="701"/>
        <v>29Н</v>
      </c>
      <c r="B1782" s="12">
        <f t="shared" si="701"/>
        <v>29</v>
      </c>
      <c r="C1782" s="97">
        <f t="shared" si="701"/>
        <v>0</v>
      </c>
      <c r="D1782" s="97">
        <f t="shared" si="701"/>
        <v>1</v>
      </c>
      <c r="E1782" s="54"/>
      <c r="F1782" s="151" t="str">
        <f>IFERROR(VLOOKUP($G1782,нормы!$A$14:$BC$57,2,0),"")</f>
        <v/>
      </c>
      <c r="G1782" s="38"/>
      <c r="H1782" s="54">
        <f t="shared" si="703"/>
        <v>0</v>
      </c>
      <c r="I1782" s="89" t="s">
        <v>73</v>
      </c>
      <c r="J1782" s="333"/>
      <c r="K1782" s="30">
        <f>IFERROR(VLOOKUP($G1782,[1]нормы!$A$21:$BC$151,15,0),"")</f>
        <v>0</v>
      </c>
      <c r="L1782" s="31">
        <f>IFERROR(VLOOKUP($G1782,[1]нормы!$A$21:$BC$151,17,0),"")</f>
        <v>0</v>
      </c>
      <c r="M1782" s="306">
        <f>IFERROR(VLOOKUP($G1782,[1]нормы!$A$21:$BC$151,27,0),"")</f>
        <v>0</v>
      </c>
      <c r="N1782" s="307" t="str">
        <f>IFERROR(Y1782/Y1784*(1.1*J1778*I1787),"")</f>
        <v/>
      </c>
      <c r="O1782" s="300">
        <f>IFERROR(VLOOKUP($G1782,[1]нормы!$A$21:$BC$151,21,0),"")</f>
        <v>0</v>
      </c>
      <c r="P1782" s="35">
        <f>IFERROR(VLOOKUP($G1782,[1]нормы!$A$21:$BC$151,19,0),"")</f>
        <v>0</v>
      </c>
      <c r="Q1782" s="35">
        <f>IFERROR(VLOOKUP($G1782,[1]нормы!$A$21:$BC$151,23,0),"")</f>
        <v>0</v>
      </c>
      <c r="R1782" s="231">
        <f>IFERROR(VLOOKUP($G1782,[1]нормы!$A$21:$BC$151,29,0),"")</f>
        <v>0</v>
      </c>
      <c r="S1782" s="35">
        <f>IFERROR(VLOOKUP($G1782,[1]нормы!$A$21:$BC$151,31,0),"")</f>
        <v>0</v>
      </c>
      <c r="T1782" s="32">
        <f>IFERROR(VLOOKUP($G1782,[1]нормы!$A$21:$BC$151,25,0),"")</f>
        <v>0</v>
      </c>
      <c r="U1782" s="233" t="str">
        <f>IFERROR(W1782/(((100*Y1782/Y1784)*I1783)/100),"")</f>
        <v/>
      </c>
      <c r="V1782" s="234" t="str">
        <f>IFERROR(VLOOKUP($G1782,нормы!$A$14:$BC$57,38,0),"")</f>
        <v/>
      </c>
      <c r="W1782" s="136"/>
      <c r="X1782" s="237"/>
      <c r="Y1782" s="152" t="str">
        <f>IFERROR(VLOOKUP($G1782,нормы!$A$14:$BC$57,42,0)*W1782,"")</f>
        <v/>
      </c>
      <c r="Z1782" s="163">
        <f>IFERROR(VLOOKUP($G1782,нормы!$A$14:$BC$57,14,0)*W1782/1000,0)</f>
        <v>0</v>
      </c>
      <c r="AA1782" s="30"/>
      <c r="AB1782" s="35"/>
      <c r="AC1782" s="35"/>
      <c r="AD1782" s="35"/>
      <c r="AE1782" s="31"/>
      <c r="AF1782" s="160"/>
      <c r="AG1782" s="391"/>
      <c r="AH1782" s="394"/>
      <c r="AI1782" s="397"/>
      <c r="AJ1782" s="408"/>
      <c r="AK1782" s="360"/>
      <c r="AL1782" s="360"/>
      <c r="AM1782" s="360"/>
      <c r="AN1782" s="289">
        <f>IFERROR(Y1782*AJ1778/Y1784,)</f>
        <v>0</v>
      </c>
      <c r="AO1782" s="197" t="str">
        <f>IFERROR(VLOOKUP($G1782,нормы!$A$14:$BC$57,53,0)*$W1782,"")</f>
        <v/>
      </c>
      <c r="AP1782" s="290">
        <f>IFERROR(Y1782*AI1778/Y1784,)</f>
        <v>0</v>
      </c>
      <c r="AQ1782" s="197" t="str">
        <f>IFERROR(VLOOKUP($G1782,нормы!$A$14:$BC$57,54,0)*$W1782,"")</f>
        <v/>
      </c>
      <c r="AR1782" s="290">
        <f>IFERROR(AS1782/SUM(AS1778:AS1783)*AL1778,0)</f>
        <v>0</v>
      </c>
      <c r="AS1782" s="197" t="str">
        <f>IFERROR(VLOOKUP($G1782,нормы!$A$14:$BC$57,55,0)*W1782,"")</f>
        <v/>
      </c>
      <c r="AT1782" s="290">
        <f>IFERROR(AU1782/SUM(AU1778:AU1783)*AM1778,0)</f>
        <v>0</v>
      </c>
      <c r="AU1782" s="197" t="str">
        <f>IFERROR(VLOOKUP($G1782,нормы!$A$14:$BI$57,56,0)*W1782,"")</f>
        <v/>
      </c>
      <c r="AV1782" s="290">
        <f>IFERROR(AW1782/SUM(AW1778:AW1783)*AK1778,0)</f>
        <v>0</v>
      </c>
      <c r="AW1782" s="202" t="str">
        <f>IFERROR(VLOOKUP($G1782,нормы!$A$14:$BI$57,57,0)*W1782,"")</f>
        <v/>
      </c>
      <c r="AX1782" s="30"/>
      <c r="AY1782" s="203" t="str">
        <f>IFERROR(VLOOKUP($G1782,нормы!$A$14:$BI$57,58,0)*W1782,"")</f>
        <v/>
      </c>
      <c r="AZ1782" s="205"/>
      <c r="BA1782" s="200" t="str">
        <f>IFERROR(VLOOKUP($G1782,нормы!$A$14:$BI$57,61,0)*$W1782,"")</f>
        <v/>
      </c>
      <c r="BB1782" s="30"/>
      <c r="BC1782" s="203" t="str">
        <f>IFERROR(VLOOKUP($G1782,нормы!$A$14:$BI$57,60,0)*W1782,"")</f>
        <v/>
      </c>
      <c r="BD1782" s="200" t="str">
        <f>IFERROR(VLOOKUP($G1782,нормы!$A$14:$BG$57,44,0),"")</f>
        <v/>
      </c>
      <c r="BE1782" s="199" t="str">
        <f>IFERROR(W1782/VLOOKUP($G1782,нормы!$A$14:$BI$57,45,0),"")</f>
        <v/>
      </c>
    </row>
    <row r="1783" spans="1:57" s="1" customFormat="1" ht="21" customHeight="1" thickBot="1" x14ac:dyDescent="0.45">
      <c r="A1783" s="37" t="str">
        <f t="shared" si="701"/>
        <v>29Н</v>
      </c>
      <c r="B1783" s="12">
        <f t="shared" si="701"/>
        <v>29</v>
      </c>
      <c r="C1783" s="97">
        <f t="shared" si="701"/>
        <v>0</v>
      </c>
      <c r="D1783" s="97">
        <f t="shared" si="701"/>
        <v>1</v>
      </c>
      <c r="E1783" s="54"/>
      <c r="F1783" s="151" t="str">
        <f>IFERROR(VLOOKUP($G1783,нормы!$A$14:$BC$57,2,0),"")</f>
        <v/>
      </c>
      <c r="G1783" s="93"/>
      <c r="H1783" s="63">
        <f t="shared" si="703"/>
        <v>0</v>
      </c>
      <c r="I1783" s="153">
        <f>I1779+I1781</f>
        <v>0</v>
      </c>
      <c r="J1783" s="334"/>
      <c r="K1783" s="30">
        <f>IFERROR(VLOOKUP($G1783,[1]нормы!$A$21:$BC$151,15,0),"")</f>
        <v>0</v>
      </c>
      <c r="L1783" s="31">
        <f>IFERROR(VLOOKUP($G1783,[1]нормы!$A$21:$BC$151,17,0),"")</f>
        <v>0</v>
      </c>
      <c r="M1783" s="308">
        <f>IFERROR(VLOOKUP($G1783,[1]нормы!$A$21:$BC$151,27,0),"")</f>
        <v>0</v>
      </c>
      <c r="N1783" s="309" t="str">
        <f>IFERROR(Y1783/Y1784*(1.1*J1778*I1788),"")</f>
        <v/>
      </c>
      <c r="O1783" s="300">
        <f>IFERROR(VLOOKUP($G1783,[1]нормы!$A$21:$BC$151,21,0),"")</f>
        <v>0</v>
      </c>
      <c r="P1783" s="35">
        <f>IFERROR(VLOOKUP($G1783,[1]нормы!$A$21:$BC$151,19,0),"")</f>
        <v>0</v>
      </c>
      <c r="Q1783" s="35">
        <f>IFERROR(VLOOKUP($G1783,[1]нормы!$A$21:$BC$151,23,0),"")</f>
        <v>0</v>
      </c>
      <c r="R1783" s="231">
        <f>IFERROR(VLOOKUP($G1783,[1]нормы!$A$21:$BC$151,29,0),"")</f>
        <v>0</v>
      </c>
      <c r="S1783" s="35">
        <f>IFERROR(VLOOKUP($G1783,[1]нормы!$A$21:$BC$151,31,0),"")</f>
        <v>0</v>
      </c>
      <c r="T1783" s="32">
        <f>IFERROR(VLOOKUP($G1783,[1]нормы!$A$21:$BC$151,25,0),"")</f>
        <v>0</v>
      </c>
      <c r="U1783" s="235" t="str">
        <f>IFERROR(W1783/(((100*Y1783/Y1784)*I1783)/100),"")</f>
        <v/>
      </c>
      <c r="V1783" s="234" t="str">
        <f>IFERROR(VLOOKUP($G1783,нормы!$A$14:$BC$57,38,0),"")</f>
        <v/>
      </c>
      <c r="W1783" s="154"/>
      <c r="X1783" s="238"/>
      <c r="Y1783" s="152" t="str">
        <f>IFERROR(VLOOKUP($G1783,нормы!$A$14:$BC$57,42,0)*W1783,"")</f>
        <v/>
      </c>
      <c r="Z1783" s="163">
        <f>IFERROR(VLOOKUP($G1783,нормы!$A$14:$BC$57,14,0)*W1783/1000,0)</f>
        <v>0</v>
      </c>
      <c r="AA1783" s="56"/>
      <c r="AB1783" s="58"/>
      <c r="AC1783" s="58"/>
      <c r="AD1783" s="58"/>
      <c r="AE1783" s="57"/>
      <c r="AF1783" s="161"/>
      <c r="AG1783" s="392"/>
      <c r="AH1783" s="395"/>
      <c r="AI1783" s="398"/>
      <c r="AJ1783" s="409"/>
      <c r="AK1783" s="361"/>
      <c r="AL1783" s="361"/>
      <c r="AM1783" s="361"/>
      <c r="AN1783" s="291">
        <f>IFERROR(Y1783*AJ1778/Y1784,)</f>
        <v>0</v>
      </c>
      <c r="AO1783" s="197" t="str">
        <f>IFERROR(VLOOKUP($G1783,нормы!$A$14:$BC$57,53,0)*$W1783,"")</f>
        <v/>
      </c>
      <c r="AP1783" s="292">
        <f>IFERROR(Y1783*AI1778/Y1784,)</f>
        <v>0</v>
      </c>
      <c r="AQ1783" s="197" t="str">
        <f>IFERROR(VLOOKUP($G1783,нормы!$A$14:$BC$57,54,0)*$W1783,"")</f>
        <v/>
      </c>
      <c r="AR1783" s="290">
        <f>IFERROR(AS1783/SUM(AS1778:AS1783)*AL1778,0)</f>
        <v>0</v>
      </c>
      <c r="AS1783" s="197" t="str">
        <f>IFERROR(VLOOKUP($G1783,нормы!$A$14:$BC$57,55,0)*W1783,"")</f>
        <v/>
      </c>
      <c r="AT1783" s="292">
        <f>IFERROR(AU1783/SUM(AU1778:AU1783)*AM1778,0)</f>
        <v>0</v>
      </c>
      <c r="AU1783" s="197" t="str">
        <f>IFERROR(VLOOKUP($G1783,нормы!$A$14:$BI$57,56,0)*W1783,"")</f>
        <v/>
      </c>
      <c r="AV1783" s="292">
        <f>IFERROR(AW1783/SUM(AW1778:AW1783)*AK1778,0)</f>
        <v>0</v>
      </c>
      <c r="AW1783" s="202" t="str">
        <f>IFERROR(VLOOKUP($G1783,нормы!$A$14:$BI$57,57,0)*W1783,"")</f>
        <v/>
      </c>
      <c r="AX1783" s="56"/>
      <c r="AY1783" s="203" t="str">
        <f>IFERROR(VLOOKUP($G1783,нормы!$A$14:$BI$57,58,0)*W1783,"")</f>
        <v/>
      </c>
      <c r="AZ1783" s="206"/>
      <c r="BA1783" s="200" t="str">
        <f>IFERROR(VLOOKUP($G1783,нормы!$A$14:$BI$57,61,0)*$W1783,"")</f>
        <v/>
      </c>
      <c r="BB1783" s="56"/>
      <c r="BC1783" s="203" t="str">
        <f>IFERROR(VLOOKUP($G1783,нормы!$A$14:$BI$57,60,0)*W1783,"")</f>
        <v/>
      </c>
      <c r="BD1783" s="200" t="str">
        <f>IFERROR(VLOOKUP($G1783,нормы!$A$14:$BG$57,44,0),"")</f>
        <v/>
      </c>
      <c r="BE1783" s="199" t="str">
        <f>IFERROR(W1783/VLOOKUP($G1783,нормы!$A$14:$BI$57,45,0),"")</f>
        <v/>
      </c>
    </row>
    <row r="1784" spans="1:57" s="1" customFormat="1" ht="29.4" customHeight="1" thickBot="1" x14ac:dyDescent="0.45">
      <c r="A1784" s="37" t="str">
        <f t="shared" si="701"/>
        <v>29Н</v>
      </c>
      <c r="B1784" s="59"/>
      <c r="C1784" s="51"/>
      <c r="D1784" s="51"/>
      <c r="E1784" s="51"/>
      <c r="F1784" s="295" t="s">
        <v>149</v>
      </c>
      <c r="G1784" s="51"/>
      <c r="H1784" s="51"/>
      <c r="I1784" s="60"/>
      <c r="J1784" s="60"/>
      <c r="K1784" s="319" t="s">
        <v>213</v>
      </c>
      <c r="L1784" s="316"/>
      <c r="M1784" s="303" t="s">
        <v>213</v>
      </c>
      <c r="N1784" s="317">
        <f>SUM(N1778:N1783)</f>
        <v>0</v>
      </c>
      <c r="O1784" s="304" t="s">
        <v>216</v>
      </c>
      <c r="P1784" s="318">
        <f>N1784*8.937/1000</f>
        <v>0</v>
      </c>
      <c r="Q1784" s="305" t="s">
        <v>215</v>
      </c>
      <c r="R1784" s="61"/>
      <c r="S1784" s="61"/>
      <c r="T1784" s="61"/>
      <c r="U1784" s="109"/>
      <c r="V1784" s="109"/>
      <c r="W1784" s="94"/>
      <c r="X1784" s="155"/>
      <c r="Y1784" s="96">
        <f>SUM(Y1778:Y1783)</f>
        <v>0</v>
      </c>
      <c r="Z1784" s="164">
        <f>SUM(Z1778:Z1783)</f>
        <v>0</v>
      </c>
      <c r="AA1784" s="62"/>
      <c r="AB1784" s="62"/>
      <c r="AC1784" s="62"/>
      <c r="AD1784" s="62"/>
      <c r="AE1784" s="62"/>
      <c r="AF1784" s="62"/>
      <c r="AG1784" s="162" t="s">
        <v>140</v>
      </c>
      <c r="AH1784" s="162" t="s">
        <v>141</v>
      </c>
      <c r="AI1784" s="162" t="s">
        <v>142</v>
      </c>
      <c r="AJ1784" s="91" t="s">
        <v>126</v>
      </c>
      <c r="AK1784" s="198" t="s">
        <v>136</v>
      </c>
      <c r="AL1784" s="198" t="s">
        <v>137</v>
      </c>
      <c r="AM1784" s="198" t="s">
        <v>138</v>
      </c>
      <c r="AN1784" s="91"/>
      <c r="AO1784" s="91"/>
      <c r="AP1784" s="91"/>
      <c r="AQ1784" s="91"/>
      <c r="AR1784" s="91"/>
      <c r="AS1784" s="91"/>
      <c r="AT1784" s="91"/>
      <c r="AU1784" s="91"/>
      <c r="AV1784" s="91"/>
      <c r="AW1784" s="91"/>
      <c r="AX1784" s="91"/>
      <c r="AY1784" s="91"/>
      <c r="AZ1784" s="91"/>
      <c r="BA1784" s="91"/>
      <c r="BB1784" s="91"/>
      <c r="BC1784" s="91"/>
      <c r="BD1784" s="91"/>
      <c r="BE1784" s="53" t="str">
        <f>IFERROR(W1784/VLOOKUP($G1784,нормы!$A$14:$BI$15,28,0),"")</f>
        <v/>
      </c>
    </row>
    <row r="1785" spans="1:57" s="1" customFormat="1" ht="21.6" customHeight="1" x14ac:dyDescent="0.4">
      <c r="A1785" s="37" t="str">
        <f t="shared" si="701"/>
        <v>29Н</v>
      </c>
      <c r="B1785" s="12">
        <f>B1783</f>
        <v>29</v>
      </c>
      <c r="C1785" s="97"/>
      <c r="D1785" s="97">
        <v>2</v>
      </c>
      <c r="E1785" s="29"/>
      <c r="F1785" s="151" t="str">
        <f>IFERROR(VLOOKUP($G1785,нормы!$A$14:$BC$57,2,0),"")</f>
        <v/>
      </c>
      <c r="G1785" s="93"/>
      <c r="H1785" s="54">
        <f>IF(C1785=1,"Кульков С.А.", IF(C1785=2,"Чудаков А.А.",IF(C1785=3,"Королев В.Н.",IF(C1785=4,"Николашин М.П.",IF(C1785=5," Кульков С.А.",IF(C1785=6,"А.А. Чудаков",IF(C1785=7,"В.Н. Королев",IF(C1785=8,"М.П. Николашин",0))))))))</f>
        <v>0</v>
      </c>
      <c r="I1785" s="88" t="s">
        <v>211</v>
      </c>
      <c r="J1785" s="332"/>
      <c r="K1785" s="30">
        <f>IFERROR(VLOOKUP($G1785,[1]нормы!$A$21:$BC$151,15,0),"")</f>
        <v>0</v>
      </c>
      <c r="L1785" s="31">
        <f>IFERROR(VLOOKUP($G1785,[1]нормы!$A$21:$BC$151,17,0),"")</f>
        <v>0</v>
      </c>
      <c r="M1785" s="310">
        <f>IFERROR(VLOOKUP($G1785,[1]нормы!$A$21:$BC$151,27,0),"")</f>
        <v>0</v>
      </c>
      <c r="N1785" s="311" t="str">
        <f>IFERROR(Y1785/Y1791*(1.1*J1785*I1790),"")</f>
        <v/>
      </c>
      <c r="O1785" s="300">
        <f>IFERROR(VLOOKUP($G1785,[1]нормы!$A$21:$BC$151,21,0),"")</f>
        <v>0</v>
      </c>
      <c r="P1785" s="35">
        <f>IFERROR(VLOOKUP($G1785,[1]нормы!$A$21:$BC$151,19,0),"")</f>
        <v>0</v>
      </c>
      <c r="Q1785" s="35">
        <f>IFERROR(VLOOKUP($G1785,[1]нормы!$A$21:$BC$151,23,0),"")</f>
        <v>0</v>
      </c>
      <c r="R1785" s="231">
        <f>IFERROR(VLOOKUP($G1785,[1]нормы!$A$21:$BC$151,29,0),"")</f>
        <v>0</v>
      </c>
      <c r="S1785" s="35">
        <f>IFERROR(VLOOKUP($G1785,[1]нормы!$A$21:$BC$151,31,0),"")</f>
        <v>0</v>
      </c>
      <c r="T1785" s="32">
        <f>IFERROR(VLOOKUP($G1785,[1]нормы!$A$21:$BC$151,25,0),"")</f>
        <v>0</v>
      </c>
      <c r="U1785" s="232" t="str">
        <f>IFERROR(W1785/(((100*Y1785/Y1791)*I1790)/100),"")</f>
        <v/>
      </c>
      <c r="V1785" s="234" t="str">
        <f>IFERROR(VLOOKUP($G1785,нормы!$A$14:$BC$57,38,0),"")</f>
        <v/>
      </c>
      <c r="W1785" s="136"/>
      <c r="X1785" s="236"/>
      <c r="Y1785" s="152" t="str">
        <f>IFERROR(VLOOKUP($G1785,нормы!$A$14:$BC$57,42,0)*W1785,"")</f>
        <v/>
      </c>
      <c r="Z1785" s="163">
        <f>IFERROR(VLOOKUP($G1785,нормы!$A$14:$BC$57,14,0)*W1785/1000,0)</f>
        <v>0</v>
      </c>
      <c r="AA1785" s="33"/>
      <c r="AB1785" s="36"/>
      <c r="AC1785" s="36"/>
      <c r="AD1785" s="36"/>
      <c r="AE1785" s="34"/>
      <c r="AF1785" s="159"/>
      <c r="AG1785" s="390"/>
      <c r="AH1785" s="393"/>
      <c r="AI1785" s="396"/>
      <c r="AJ1785" s="407">
        <f>AG1785+AH1785</f>
        <v>0</v>
      </c>
      <c r="AK1785" s="359"/>
      <c r="AL1785" s="359"/>
      <c r="AM1785" s="359"/>
      <c r="AN1785" s="287">
        <f>IFERROR(Y1785*AJ1785/Y1791,)</f>
        <v>0</v>
      </c>
      <c r="AO1785" s="197" t="str">
        <f>IFERROR(VLOOKUP($G1785,нормы!$A$14:$BC$57,53,0)*$W1785,"")</f>
        <v/>
      </c>
      <c r="AP1785" s="288">
        <f>IFERROR(Y1785*AI1785/Y1791,)</f>
        <v>0</v>
      </c>
      <c r="AQ1785" s="197" t="str">
        <f>IFERROR(VLOOKUP($G1785,нормы!$A$14:$BC$57,54,0)*$W1785,"")</f>
        <v/>
      </c>
      <c r="AR1785" s="288">
        <f>IFERROR(AS1785/SUM(AS1785:AS1790)*AL1785,0)</f>
        <v>0</v>
      </c>
      <c r="AS1785" s="197" t="str">
        <f>IFERROR(VLOOKUP($G1785,нормы!$A$14:$BC$57,55,0)*W1785,"")</f>
        <v/>
      </c>
      <c r="AT1785" s="288">
        <f>IFERROR(AU1785/SUM(AU1785:AU1790)*AM1785,0)</f>
        <v>0</v>
      </c>
      <c r="AU1785" s="197" t="str">
        <f>IFERROR(VLOOKUP($G1785,нормы!$A$14:$BI$57,56,0)*W1785,"")</f>
        <v/>
      </c>
      <c r="AV1785" s="288">
        <f>IFERROR(AW1785/SUM(AW1785:AW1790)*AK1785,0)</f>
        <v>0</v>
      </c>
      <c r="AW1785" s="202" t="str">
        <f>IFERROR(VLOOKUP($G1785,нормы!$A$14:$BI$57,57,0)*W1785,"")</f>
        <v/>
      </c>
      <c r="AX1785" s="33"/>
      <c r="AY1785" s="203" t="str">
        <f>IFERROR(VLOOKUP($G1785,нормы!$A$14:$BI$57,58,0)*W1785,"")</f>
        <v/>
      </c>
      <c r="AZ1785" s="204"/>
      <c r="BA1785" s="200" t="str">
        <f>IFERROR(VLOOKUP($G1785,нормы!$A$14:$BI$57,61,0)*$W1785,"")</f>
        <v/>
      </c>
      <c r="BB1785" s="33"/>
      <c r="BC1785" s="203" t="str">
        <f>IFERROR(VLOOKUP($G1785,нормы!$A$14:$BI$57,60,0)*W1785,"")</f>
        <v/>
      </c>
      <c r="BD1785" s="200" t="str">
        <f>IFERROR(VLOOKUP($G1785,нормы!$A$14:$BG$57,44,0),"")</f>
        <v/>
      </c>
      <c r="BE1785" s="199" t="str">
        <f>IFERROR(W1785/VLOOKUP($G1785,нормы!$A$14:$BI$57,45,0),"")</f>
        <v/>
      </c>
    </row>
    <row r="1786" spans="1:57" s="1" customFormat="1" ht="21.6" customHeight="1" x14ac:dyDescent="0.4">
      <c r="A1786" s="37" t="str">
        <f t="shared" si="701"/>
        <v>29Н</v>
      </c>
      <c r="B1786" s="12">
        <f>B1785</f>
        <v>29</v>
      </c>
      <c r="C1786" s="97">
        <f t="shared" ref="C1786:D1786" si="704">C1785</f>
        <v>0</v>
      </c>
      <c r="D1786" s="97">
        <f t="shared" si="704"/>
        <v>2</v>
      </c>
      <c r="E1786" s="54"/>
      <c r="F1786" s="151" t="str">
        <f>IFERROR(VLOOKUP($G1786,нормы!$A$14:$BC$57,2,0),"")</f>
        <v/>
      </c>
      <c r="G1786" s="93"/>
      <c r="H1786" s="54">
        <f t="shared" ref="H1786:H1790" si="705">IF(C1786=1,"Кульков С.А.", IF(C1786=2,"Чудаков А.А.",IF(C1786=3,"Королев В.Н.",IF(C1786=4,"Николашин М.П.",IF(C1786=5," Кульков С.А.",IF(C1786=6,"А.А. Чудаков",IF(C1786=7,"В.Н. Королев",IF(C1786=8,"М.П. Николашин",0))))))))</f>
        <v>0</v>
      </c>
      <c r="I1786" s="55"/>
      <c r="J1786" s="333"/>
      <c r="K1786" s="30">
        <f>IFERROR(VLOOKUP($G1786,[1]нормы!$A$21:$BC$151,15,0),"")</f>
        <v>0</v>
      </c>
      <c r="L1786" s="31">
        <f>IFERROR(VLOOKUP($G1786,[1]нормы!$A$21:$BC$151,17,0),"")</f>
        <v>0</v>
      </c>
      <c r="M1786" s="306">
        <f>IFERROR(VLOOKUP($G1786,[1]нормы!$A$21:$BC$151,27,0),"")</f>
        <v>0</v>
      </c>
      <c r="N1786" s="307" t="str">
        <f>IFERROR(Y1786/Y1791*(1.1*J1785*I1790),"")</f>
        <v/>
      </c>
      <c r="O1786" s="300">
        <f>IFERROR(VLOOKUP($G1786,[1]нормы!$A$21:$BC$151,21,0),"")</f>
        <v>0</v>
      </c>
      <c r="P1786" s="35">
        <f>IFERROR(VLOOKUP($G1786,[1]нормы!$A$21:$BC$151,19,0),"")</f>
        <v>0</v>
      </c>
      <c r="Q1786" s="35">
        <f>IFERROR(VLOOKUP($G1786,[1]нормы!$A$21:$BC$151,23,0),"")</f>
        <v>0</v>
      </c>
      <c r="R1786" s="231">
        <f>IFERROR(VLOOKUP($G1786,[1]нормы!$A$21:$BC$151,29,0),"")</f>
        <v>0</v>
      </c>
      <c r="S1786" s="35">
        <f>IFERROR(VLOOKUP($G1786,[1]нормы!$A$21:$BC$151,31,0),"")</f>
        <v>0</v>
      </c>
      <c r="T1786" s="32">
        <f>IFERROR(VLOOKUP($G1786,[1]нормы!$A$21:$BC$151,25,0),"")</f>
        <v>0</v>
      </c>
      <c r="U1786" s="233" t="str">
        <f>IFERROR(W1786/(((100*Y1786/Y1791)*I1790)/100),"")</f>
        <v/>
      </c>
      <c r="V1786" s="234" t="str">
        <f>IFERROR(VLOOKUP($G1786,нормы!$A$14:$BC$57,38,0),"")</f>
        <v/>
      </c>
      <c r="W1786" s="136"/>
      <c r="X1786" s="237"/>
      <c r="Y1786" s="152" t="str">
        <f>IFERROR(VLOOKUP($G1786,нормы!$A$14:$BC$57,42,0)*W1786,"")</f>
        <v/>
      </c>
      <c r="Z1786" s="163">
        <f>IFERROR(VLOOKUP($G1786,нормы!$A$14:$BC$57,14,0)*W1786/1000,0)</f>
        <v>0</v>
      </c>
      <c r="AA1786" s="142"/>
      <c r="AB1786" s="35"/>
      <c r="AC1786" s="35"/>
      <c r="AD1786" s="35"/>
      <c r="AE1786" s="31"/>
      <c r="AF1786" s="160"/>
      <c r="AG1786" s="391"/>
      <c r="AH1786" s="394"/>
      <c r="AI1786" s="397"/>
      <c r="AJ1786" s="408"/>
      <c r="AK1786" s="360"/>
      <c r="AL1786" s="360"/>
      <c r="AM1786" s="360"/>
      <c r="AN1786" s="289">
        <f>IFERROR(Y1786*AJ1785/Y1791,)</f>
        <v>0</v>
      </c>
      <c r="AO1786" s="197" t="str">
        <f>IFERROR(VLOOKUP($G1786,нормы!$A$14:$BC$57,53,0)*$W1786,"")</f>
        <v/>
      </c>
      <c r="AP1786" s="290">
        <f>IFERROR(Y1786*AI1785/Y1791,)</f>
        <v>0</v>
      </c>
      <c r="AQ1786" s="197" t="str">
        <f>IFERROR(VLOOKUP($G1786,нормы!$A$14:$BC$57,54,0)*$W1786,"")</f>
        <v/>
      </c>
      <c r="AR1786" s="290">
        <f>IFERROR(AS1786/SUM(AS1785:AS1790)*AL1785,0)</f>
        <v>0</v>
      </c>
      <c r="AS1786" s="197" t="str">
        <f>IFERROR(VLOOKUP($G1786,нормы!$A$14:$BC$57,55,0)*W1786,"")</f>
        <v/>
      </c>
      <c r="AT1786" s="290">
        <f>IFERROR(AU1786/SUM(AU1785:AU1790)*AM1785,0)</f>
        <v>0</v>
      </c>
      <c r="AU1786" s="197" t="str">
        <f>IFERROR(VLOOKUP($G1786,нормы!$A$14:$BI$57,56,0)*W1786,"")</f>
        <v/>
      </c>
      <c r="AV1786" s="290">
        <f>IFERROR(AW1786/SUM(AW1785:AW1790)*AK1785,0)</f>
        <v>0</v>
      </c>
      <c r="AW1786" s="202" t="str">
        <f>IFERROR(VLOOKUP($G1786,нормы!$A$14:$BI$57,57,0)*W1786,"")</f>
        <v/>
      </c>
      <c r="AX1786" s="30"/>
      <c r="AY1786" s="203" t="str">
        <f>IFERROR(VLOOKUP($G1786,нормы!$A$14:$BI$57,58,0)*W1786,"")</f>
        <v/>
      </c>
      <c r="AZ1786" s="205"/>
      <c r="BA1786" s="200" t="str">
        <f>IFERROR(VLOOKUP($G1786,нормы!$A$14:$BI$57,61,0)*$W1786,"")</f>
        <v/>
      </c>
      <c r="BB1786" s="30"/>
      <c r="BC1786" s="203" t="str">
        <f>IFERROR(VLOOKUP($G1786,нормы!$A$14:$BI$57,60,0)*W1786,"")</f>
        <v/>
      </c>
      <c r="BD1786" s="200" t="str">
        <f>IFERROR(VLOOKUP($G1786,нормы!$A$14:$BG$57,44,0),"")</f>
        <v/>
      </c>
      <c r="BE1786" s="199" t="str">
        <f>IFERROR(W1786/VLOOKUP($G1786,нормы!$A$14:$BI$57,45,0),"")</f>
        <v/>
      </c>
    </row>
    <row r="1787" spans="1:57" s="1" customFormat="1" ht="20.25" customHeight="1" x14ac:dyDescent="0.4">
      <c r="A1787" s="37" t="str">
        <f t="shared" si="701"/>
        <v>29Н</v>
      </c>
      <c r="B1787" s="12">
        <f t="shared" si="701"/>
        <v>29</v>
      </c>
      <c r="C1787" s="97">
        <f t="shared" si="701"/>
        <v>0</v>
      </c>
      <c r="D1787" s="97">
        <f t="shared" si="701"/>
        <v>2</v>
      </c>
      <c r="E1787" s="54"/>
      <c r="F1787" s="151" t="str">
        <f>IFERROR(VLOOKUP($G1787,нормы!$A$14:$BC$57,2,0),"")</f>
        <v/>
      </c>
      <c r="G1787" s="38"/>
      <c r="H1787" s="54">
        <f t="shared" si="705"/>
        <v>0</v>
      </c>
      <c r="I1787" s="89" t="s">
        <v>212</v>
      </c>
      <c r="J1787" s="333"/>
      <c r="K1787" s="30">
        <f>IFERROR(VLOOKUP($G1787,[1]нормы!$A$21:$BC$151,15,0),"")</f>
        <v>0</v>
      </c>
      <c r="L1787" s="31">
        <f>IFERROR(VLOOKUP($G1787,[1]нормы!$A$21:$BC$151,17,0),"")</f>
        <v>0</v>
      </c>
      <c r="M1787" s="306">
        <f>IFERROR(VLOOKUP($G1787,[1]нормы!$A$21:$BC$151,27,0),"")</f>
        <v>0</v>
      </c>
      <c r="N1787" s="307" t="str">
        <f>IFERROR(Y1787/Y1791*(1.1*J1785*I1790),"")</f>
        <v/>
      </c>
      <c r="O1787" s="300">
        <f>IFERROR(VLOOKUP($G1787,[1]нормы!$A$21:$BC$151,21,0),"")</f>
        <v>0</v>
      </c>
      <c r="P1787" s="35">
        <f>IFERROR(VLOOKUP($G1787,[1]нормы!$A$21:$BC$151,19,0),"")</f>
        <v>0</v>
      </c>
      <c r="Q1787" s="35">
        <f>IFERROR(VLOOKUP($G1787,[1]нормы!$A$21:$BC$151,23,0),"")</f>
        <v>0</v>
      </c>
      <c r="R1787" s="231">
        <f>IFERROR(VLOOKUP($G1787,[1]нормы!$A$21:$BC$151,29,0),"")</f>
        <v>0</v>
      </c>
      <c r="S1787" s="35">
        <f>IFERROR(VLOOKUP($G1787,[1]нормы!$A$21:$BC$151,31,0),"")</f>
        <v>0</v>
      </c>
      <c r="T1787" s="32">
        <f>IFERROR(VLOOKUP($G1787,[1]нормы!$A$21:$BC$151,25,0),"")</f>
        <v>0</v>
      </c>
      <c r="U1787" s="233" t="str">
        <f>IFERROR(W1787/(((100*Y1787/Y1791)*I1790)/100),"")</f>
        <v/>
      </c>
      <c r="V1787" s="234" t="str">
        <f>IFERROR(VLOOKUP($G1787,нормы!$A$14:$BC$57,38,0),"")</f>
        <v/>
      </c>
      <c r="W1787" s="136"/>
      <c r="X1787" s="237"/>
      <c r="Y1787" s="152" t="str">
        <f>IFERROR(VLOOKUP($G1787,нормы!$A$14:$BC$57,42,0)*W1787,"")</f>
        <v/>
      </c>
      <c r="Z1787" s="163">
        <f>IFERROR(VLOOKUP($G1787,нормы!$A$14:$BC$57,14,0)*W1787/1000,0)</f>
        <v>0</v>
      </c>
      <c r="AA1787" s="30"/>
      <c r="AB1787" s="35"/>
      <c r="AC1787" s="35"/>
      <c r="AD1787" s="35"/>
      <c r="AE1787" s="31"/>
      <c r="AF1787" s="160"/>
      <c r="AG1787" s="391"/>
      <c r="AH1787" s="394"/>
      <c r="AI1787" s="397"/>
      <c r="AJ1787" s="408"/>
      <c r="AK1787" s="360"/>
      <c r="AL1787" s="360"/>
      <c r="AM1787" s="360"/>
      <c r="AN1787" s="289">
        <f>IFERROR(Y1787*AJ1785/Y1791,)</f>
        <v>0</v>
      </c>
      <c r="AO1787" s="197" t="str">
        <f>IFERROR(VLOOKUP($G1787,нормы!$A$14:$BC$57,53,0)*$W1787,"")</f>
        <v/>
      </c>
      <c r="AP1787" s="290">
        <f>IFERROR(Y1787*AI1785/Y1791,)</f>
        <v>0</v>
      </c>
      <c r="AQ1787" s="197" t="str">
        <f>IFERROR(VLOOKUP($G1787,нормы!$A$14:$BC$57,54,0)*$W1787,"")</f>
        <v/>
      </c>
      <c r="AR1787" s="290">
        <f>IFERROR(AS1787/SUM(AS1785:AS1790)*AL1785,0)</f>
        <v>0</v>
      </c>
      <c r="AS1787" s="197" t="str">
        <f>IFERROR(VLOOKUP($G1787,нормы!$A$14:$BC$57,55,0)*W1787,"")</f>
        <v/>
      </c>
      <c r="AT1787" s="290">
        <f>IFERROR(AU1787/SUM(AU1785:AU1790)*AM1785,0)</f>
        <v>0</v>
      </c>
      <c r="AU1787" s="197" t="str">
        <f>IFERROR(VLOOKUP($G1787,нормы!$A$14:$BI$57,56,0)*W1787,"")</f>
        <v/>
      </c>
      <c r="AV1787" s="290">
        <f>IFERROR(AW1787/SUM(AW1785:AW1790)*AK1785,0)</f>
        <v>0</v>
      </c>
      <c r="AW1787" s="202" t="str">
        <f>IFERROR(VLOOKUP($G1787,нормы!$A$14:$BI$57,57,0)*W1787,"")</f>
        <v/>
      </c>
      <c r="AX1787" s="30"/>
      <c r="AY1787" s="203" t="str">
        <f>IFERROR(VLOOKUP($G1787,нормы!$A$14:$BI$57,58,0)*W1787,"")</f>
        <v/>
      </c>
      <c r="AZ1787" s="205"/>
      <c r="BA1787" s="200" t="str">
        <f>IFERROR(VLOOKUP($G1787,нормы!$A$14:$BI$57,61,0)*$W1787,"")</f>
        <v/>
      </c>
      <c r="BB1787" s="30"/>
      <c r="BC1787" s="203" t="str">
        <f>IFERROR(VLOOKUP($G1787,нормы!$A$14:$BI$57,60,0)*W1787,"")</f>
        <v/>
      </c>
      <c r="BD1787" s="200" t="str">
        <f>IFERROR(VLOOKUP($G1787,нормы!$A$14:$BG$57,44,0),"")</f>
        <v/>
      </c>
      <c r="BE1787" s="199" t="str">
        <f>IFERROR(W1787/VLOOKUP($G1787,нормы!$A$14:$BI$57,45,0),"")</f>
        <v/>
      </c>
    </row>
    <row r="1788" spans="1:57" s="1" customFormat="1" ht="20.25" customHeight="1" x14ac:dyDescent="0.4">
      <c r="A1788" s="37" t="str">
        <f t="shared" si="701"/>
        <v>29Н</v>
      </c>
      <c r="B1788" s="12">
        <f t="shared" si="701"/>
        <v>29</v>
      </c>
      <c r="C1788" s="97">
        <f t="shared" si="701"/>
        <v>0</v>
      </c>
      <c r="D1788" s="97">
        <f t="shared" si="701"/>
        <v>2</v>
      </c>
      <c r="E1788" s="54"/>
      <c r="F1788" s="151" t="str">
        <f>IFERROR(VLOOKUP($G1788,нормы!$A$14:$BC$57,2,0),"")</f>
        <v/>
      </c>
      <c r="G1788" s="93"/>
      <c r="H1788" s="54">
        <f t="shared" si="705"/>
        <v>0</v>
      </c>
      <c r="I1788" s="55"/>
      <c r="J1788" s="333"/>
      <c r="K1788" s="30">
        <f>IFERROR(VLOOKUP($G1788,[1]нормы!$A$21:$BC$151,15,0),"")</f>
        <v>0</v>
      </c>
      <c r="L1788" s="31">
        <f>IFERROR(VLOOKUP($G1788,[1]нормы!$A$21:$BC$151,17,0),"")</f>
        <v>0</v>
      </c>
      <c r="M1788" s="306">
        <f>IFERROR(VLOOKUP($G1788,[1]нормы!$A$21:$BC$151,27,0),"")</f>
        <v>0</v>
      </c>
      <c r="N1788" s="307" t="str">
        <f>IFERROR(Y1788/Y1791*(1.1*J1785*I1793),"")</f>
        <v/>
      </c>
      <c r="O1788" s="300">
        <f>IFERROR(VLOOKUP($G1788,[1]нормы!$A$21:$BC$151,21,0),"")</f>
        <v>0</v>
      </c>
      <c r="P1788" s="35">
        <f>IFERROR(VLOOKUP($G1788,[1]нормы!$A$21:$BC$151,19,0),"")</f>
        <v>0</v>
      </c>
      <c r="Q1788" s="35">
        <f>IFERROR(VLOOKUP($G1788,[1]нормы!$A$21:$BC$151,23,0),"")</f>
        <v>0</v>
      </c>
      <c r="R1788" s="231">
        <f>IFERROR(VLOOKUP($G1788,[1]нормы!$A$21:$BC$151,29,0),"")</f>
        <v>0</v>
      </c>
      <c r="S1788" s="35">
        <f>IFERROR(VLOOKUP($G1788,[1]нормы!$A$21:$BC$151,31,0),"")</f>
        <v>0</v>
      </c>
      <c r="T1788" s="32">
        <f>IFERROR(VLOOKUP($G1788,[1]нормы!$A$21:$BC$151,25,0),"")</f>
        <v>0</v>
      </c>
      <c r="U1788" s="233" t="str">
        <f>IFERROR(W1788/(((100*Y1788/Y1791)*I1790)/100),"")</f>
        <v/>
      </c>
      <c r="V1788" s="234" t="str">
        <f>IFERROR(VLOOKUP($G1788,нормы!$A$14:$BC$57,38,0),"")</f>
        <v/>
      </c>
      <c r="W1788" s="136"/>
      <c r="X1788" s="237"/>
      <c r="Y1788" s="152" t="str">
        <f>IFERROR(VLOOKUP($G1788,нормы!$A$14:$BC$57,42,0)*W1788,"")</f>
        <v/>
      </c>
      <c r="Z1788" s="163">
        <f>IFERROR(VLOOKUP($G1788,нормы!$A$14:$BC$57,14,0)*W1788/1000,0)</f>
        <v>0</v>
      </c>
      <c r="AA1788" s="30"/>
      <c r="AB1788" s="35"/>
      <c r="AC1788" s="35"/>
      <c r="AD1788" s="35"/>
      <c r="AE1788" s="31"/>
      <c r="AF1788" s="160"/>
      <c r="AG1788" s="391"/>
      <c r="AH1788" s="394"/>
      <c r="AI1788" s="397"/>
      <c r="AJ1788" s="408"/>
      <c r="AK1788" s="360"/>
      <c r="AL1788" s="360"/>
      <c r="AM1788" s="360"/>
      <c r="AN1788" s="289">
        <f>IFERROR(Y1788*AJ1785/Y1791,)</f>
        <v>0</v>
      </c>
      <c r="AO1788" s="197" t="str">
        <f>IFERROR(VLOOKUP($G1788,нормы!$A$14:$BC$57,53,0)*$W1788,"")</f>
        <v/>
      </c>
      <c r="AP1788" s="290">
        <f>IFERROR(Y1788*AI1785/Y1791,)</f>
        <v>0</v>
      </c>
      <c r="AQ1788" s="197" t="str">
        <f>IFERROR(VLOOKUP($G1788,нормы!$A$14:$BC$57,54,0)*$W1788,"")</f>
        <v/>
      </c>
      <c r="AR1788" s="290">
        <f>IFERROR(AS1788/SUM(AS1785:AS1790)*AL1785,0)</f>
        <v>0</v>
      </c>
      <c r="AS1788" s="197" t="str">
        <f>IFERROR(VLOOKUP($G1788,нормы!$A$14:$BC$57,55,0)*W1788,"")</f>
        <v/>
      </c>
      <c r="AT1788" s="290">
        <f>IFERROR(AU1788/SUM(AU1785:AU1790)*AM1785,0)</f>
        <v>0</v>
      </c>
      <c r="AU1788" s="197" t="str">
        <f>IFERROR(VLOOKUP($G1788,нормы!$A$14:$BI$57,56,0)*W1788,"")</f>
        <v/>
      </c>
      <c r="AV1788" s="290">
        <f>IFERROR(AW1788/SUM(AW1785:AW1790)*AK1785,0)</f>
        <v>0</v>
      </c>
      <c r="AW1788" s="202" t="str">
        <f>IFERROR(VLOOKUP($G1788,нормы!$A$14:$BI$57,57,0)*W1788,"")</f>
        <v/>
      </c>
      <c r="AX1788" s="30"/>
      <c r="AY1788" s="203" t="str">
        <f>IFERROR(VLOOKUP($G1788,нормы!$A$14:$BI$57,58,0)*W1788,"")</f>
        <v/>
      </c>
      <c r="AZ1788" s="205"/>
      <c r="BA1788" s="200" t="str">
        <f>IFERROR(VLOOKUP($G1788,нормы!$A$14:$BI$57,61,0)*$W1788,"")</f>
        <v/>
      </c>
      <c r="BB1788" s="30"/>
      <c r="BC1788" s="203" t="str">
        <f>IFERROR(VLOOKUP($G1788,нормы!$A$14:$BI$57,60,0)*W1788,"")</f>
        <v/>
      </c>
      <c r="BD1788" s="200" t="str">
        <f>IFERROR(VLOOKUP($G1788,нормы!$A$14:$BG$57,44,0),"")</f>
        <v/>
      </c>
      <c r="BE1788" s="199" t="str">
        <f>IFERROR(W1788/VLOOKUP($G1788,нормы!$A$14:$BI$57,45,0),"")</f>
        <v/>
      </c>
    </row>
    <row r="1789" spans="1:57" s="1" customFormat="1" ht="20.25" customHeight="1" x14ac:dyDescent="0.4">
      <c r="A1789" s="37" t="str">
        <f t="shared" si="701"/>
        <v>29Н</v>
      </c>
      <c r="B1789" s="12">
        <f t="shared" si="701"/>
        <v>29</v>
      </c>
      <c r="C1789" s="97">
        <f t="shared" si="701"/>
        <v>0</v>
      </c>
      <c r="D1789" s="97">
        <f t="shared" si="701"/>
        <v>2</v>
      </c>
      <c r="E1789" s="54"/>
      <c r="F1789" s="151" t="str">
        <f>IFERROR(VLOOKUP($G1789,нормы!$A$14:$BC$57,2,0),"")</f>
        <v/>
      </c>
      <c r="G1789" s="38"/>
      <c r="H1789" s="54">
        <f t="shared" si="705"/>
        <v>0</v>
      </c>
      <c r="I1789" s="89" t="s">
        <v>73</v>
      </c>
      <c r="J1789" s="333"/>
      <c r="K1789" s="30">
        <f>IFERROR(VLOOKUP($G1789,[1]нормы!$A$21:$BC$151,15,0),"")</f>
        <v>0</v>
      </c>
      <c r="L1789" s="31">
        <f>IFERROR(VLOOKUP($G1789,[1]нормы!$A$21:$BC$151,17,0),"")</f>
        <v>0</v>
      </c>
      <c r="M1789" s="306">
        <f>IFERROR(VLOOKUP($G1789,[1]нормы!$A$21:$BC$151,27,0),"")</f>
        <v>0</v>
      </c>
      <c r="N1789" s="307" t="str">
        <f>IFERROR(Y1789/Y1791*(1.1*J1785*I1794),"")</f>
        <v/>
      </c>
      <c r="O1789" s="300">
        <f>IFERROR(VLOOKUP($G1789,[1]нормы!$A$21:$BC$151,21,0),"")</f>
        <v>0</v>
      </c>
      <c r="P1789" s="35">
        <f>IFERROR(VLOOKUP($G1789,[1]нормы!$A$21:$BC$151,19,0),"")</f>
        <v>0</v>
      </c>
      <c r="Q1789" s="35">
        <f>IFERROR(VLOOKUP($G1789,[1]нормы!$A$21:$BC$151,23,0),"")</f>
        <v>0</v>
      </c>
      <c r="R1789" s="231">
        <f>IFERROR(VLOOKUP($G1789,[1]нормы!$A$21:$BC$151,29,0),"")</f>
        <v>0</v>
      </c>
      <c r="S1789" s="35">
        <f>IFERROR(VLOOKUP($G1789,[1]нормы!$A$21:$BC$151,31,0),"")</f>
        <v>0</v>
      </c>
      <c r="T1789" s="32">
        <f>IFERROR(VLOOKUP($G1789,[1]нормы!$A$21:$BC$151,25,0),"")</f>
        <v>0</v>
      </c>
      <c r="U1789" s="233" t="str">
        <f>IFERROR(W1789/(((100*Y1789/Y1791)*I1790)/100),"")</f>
        <v/>
      </c>
      <c r="V1789" s="234" t="str">
        <f>IFERROR(VLOOKUP($G1789,нормы!$A$14:$BC$57,38,0),"")</f>
        <v/>
      </c>
      <c r="W1789" s="136"/>
      <c r="X1789" s="237"/>
      <c r="Y1789" s="152" t="str">
        <f>IFERROR(VLOOKUP($G1789,нормы!$A$14:$BC$57,42,0)*W1789,"")</f>
        <v/>
      </c>
      <c r="Z1789" s="163">
        <f>IFERROR(VLOOKUP($G1789,нормы!$A$14:$BC$57,14,0)*W1789/1000,0)</f>
        <v>0</v>
      </c>
      <c r="AA1789" s="30"/>
      <c r="AB1789" s="35"/>
      <c r="AC1789" s="35"/>
      <c r="AD1789" s="35"/>
      <c r="AE1789" s="31"/>
      <c r="AF1789" s="160"/>
      <c r="AG1789" s="391"/>
      <c r="AH1789" s="394"/>
      <c r="AI1789" s="397"/>
      <c r="AJ1789" s="408"/>
      <c r="AK1789" s="360"/>
      <c r="AL1789" s="360"/>
      <c r="AM1789" s="360"/>
      <c r="AN1789" s="289">
        <f>IFERROR(Y1789*AJ1785/Y1791,)</f>
        <v>0</v>
      </c>
      <c r="AO1789" s="197" t="str">
        <f>IFERROR(VLOOKUP($G1789,нормы!$A$14:$BC$57,53,0)*$W1789,"")</f>
        <v/>
      </c>
      <c r="AP1789" s="290">
        <f>IFERROR(Y1789*AI1785/Y1791,)</f>
        <v>0</v>
      </c>
      <c r="AQ1789" s="197" t="str">
        <f>IFERROR(VLOOKUP($G1789,нормы!$A$14:$BC$57,54,0)*$W1789,"")</f>
        <v/>
      </c>
      <c r="AR1789" s="290">
        <f>IFERROR(AS1789/SUM(AS1785:AS1790)*AL1785,0)</f>
        <v>0</v>
      </c>
      <c r="AS1789" s="197" t="str">
        <f>IFERROR(VLOOKUP($G1789,нормы!$A$14:$BC$57,55,0)*W1789,"")</f>
        <v/>
      </c>
      <c r="AT1789" s="290">
        <f>IFERROR(AU1789/SUM(AU1785:AU1790)*AM1785,0)</f>
        <v>0</v>
      </c>
      <c r="AU1789" s="197" t="str">
        <f>IFERROR(VLOOKUP($G1789,нормы!$A$14:$BI$57,56,0)*W1789,"")</f>
        <v/>
      </c>
      <c r="AV1789" s="290">
        <f>IFERROR(AW1789/SUM(AW1785:AW1790)*AK1785,0)</f>
        <v>0</v>
      </c>
      <c r="AW1789" s="202" t="str">
        <f>IFERROR(VLOOKUP($G1789,нормы!$A$14:$BI$57,57,0)*W1789,"")</f>
        <v/>
      </c>
      <c r="AX1789" s="30"/>
      <c r="AY1789" s="203" t="str">
        <f>IFERROR(VLOOKUP($G1789,нормы!$A$14:$BI$57,58,0)*W1789,"")</f>
        <v/>
      </c>
      <c r="AZ1789" s="205"/>
      <c r="BA1789" s="200" t="str">
        <f>IFERROR(VLOOKUP($G1789,нормы!$A$14:$BI$57,61,0)*$W1789,"")</f>
        <v/>
      </c>
      <c r="BB1789" s="30"/>
      <c r="BC1789" s="203" t="str">
        <f>IFERROR(VLOOKUP($G1789,нормы!$A$14:$BI$57,60,0)*W1789,"")</f>
        <v/>
      </c>
      <c r="BD1789" s="200" t="str">
        <f>IFERROR(VLOOKUP($G1789,нормы!$A$14:$BG$57,44,0),"")</f>
        <v/>
      </c>
      <c r="BE1789" s="199" t="str">
        <f>IFERROR(W1789/VLOOKUP($G1789,нормы!$A$14:$BI$57,45,0),"")</f>
        <v/>
      </c>
    </row>
    <row r="1790" spans="1:57" s="1" customFormat="1" ht="21" customHeight="1" thickBot="1" x14ac:dyDescent="0.45">
      <c r="A1790" s="37" t="str">
        <f t="shared" si="701"/>
        <v>29Н</v>
      </c>
      <c r="B1790" s="12">
        <f t="shared" si="701"/>
        <v>29</v>
      </c>
      <c r="C1790" s="97">
        <f t="shared" si="701"/>
        <v>0</v>
      </c>
      <c r="D1790" s="97">
        <f t="shared" si="701"/>
        <v>2</v>
      </c>
      <c r="E1790" s="54"/>
      <c r="F1790" s="151" t="str">
        <f>IFERROR(VLOOKUP($G1790,нормы!$A$14:$BC$57,2,0),"")</f>
        <v/>
      </c>
      <c r="G1790" s="93"/>
      <c r="H1790" s="63">
        <f t="shared" si="705"/>
        <v>0</v>
      </c>
      <c r="I1790" s="153">
        <f>I1786+I1788</f>
        <v>0</v>
      </c>
      <c r="J1790" s="334"/>
      <c r="K1790" s="30">
        <f>IFERROR(VLOOKUP($G1790,[1]нормы!$A$21:$BC$151,15,0),"")</f>
        <v>0</v>
      </c>
      <c r="L1790" s="31">
        <f>IFERROR(VLOOKUP($G1790,[1]нормы!$A$21:$BC$151,17,0),"")</f>
        <v>0</v>
      </c>
      <c r="M1790" s="308">
        <f>IFERROR(VLOOKUP($G1790,[1]нормы!$A$21:$BC$151,27,0),"")</f>
        <v>0</v>
      </c>
      <c r="N1790" s="309" t="str">
        <f>IFERROR(Y1790/Y1791*(1.1*J1785*I1795),"")</f>
        <v/>
      </c>
      <c r="O1790" s="300">
        <f>IFERROR(VLOOKUP($G1790,[1]нормы!$A$21:$BC$151,21,0),"")</f>
        <v>0</v>
      </c>
      <c r="P1790" s="35">
        <f>IFERROR(VLOOKUP($G1790,[1]нормы!$A$21:$BC$151,19,0),"")</f>
        <v>0</v>
      </c>
      <c r="Q1790" s="35">
        <f>IFERROR(VLOOKUP($G1790,[1]нормы!$A$21:$BC$151,23,0),"")</f>
        <v>0</v>
      </c>
      <c r="R1790" s="231">
        <f>IFERROR(VLOOKUP($G1790,[1]нормы!$A$21:$BC$151,29,0),"")</f>
        <v>0</v>
      </c>
      <c r="S1790" s="35">
        <f>IFERROR(VLOOKUP($G1790,[1]нормы!$A$21:$BC$151,31,0),"")</f>
        <v>0</v>
      </c>
      <c r="T1790" s="32">
        <f>IFERROR(VLOOKUP($G1790,[1]нормы!$A$21:$BC$151,25,0),"")</f>
        <v>0</v>
      </c>
      <c r="U1790" s="235" t="str">
        <f>IFERROR(W1790/(((100*Y1790/Y1791)*I1790)/100),"")</f>
        <v/>
      </c>
      <c r="V1790" s="234" t="str">
        <f>IFERROR(VLOOKUP($G1790,нормы!$A$14:$BC$57,38,0),"")</f>
        <v/>
      </c>
      <c r="W1790" s="154"/>
      <c r="X1790" s="238"/>
      <c r="Y1790" s="152" t="str">
        <f>IFERROR(VLOOKUP($G1790,нормы!$A$14:$BC$57,42,0)*W1790,"")</f>
        <v/>
      </c>
      <c r="Z1790" s="163">
        <f>IFERROR(VLOOKUP($G1790,нормы!$A$14:$BC$57,14,0)*W1790/1000,0)</f>
        <v>0</v>
      </c>
      <c r="AA1790" s="56"/>
      <c r="AB1790" s="58"/>
      <c r="AC1790" s="58"/>
      <c r="AD1790" s="58"/>
      <c r="AE1790" s="57"/>
      <c r="AF1790" s="161"/>
      <c r="AG1790" s="392"/>
      <c r="AH1790" s="395"/>
      <c r="AI1790" s="398"/>
      <c r="AJ1790" s="409"/>
      <c r="AK1790" s="361"/>
      <c r="AL1790" s="361"/>
      <c r="AM1790" s="361"/>
      <c r="AN1790" s="291">
        <f>IFERROR(Y1790*AJ1785/Y1791,)</f>
        <v>0</v>
      </c>
      <c r="AO1790" s="197" t="str">
        <f>IFERROR(VLOOKUP($G1790,нормы!$A$14:$BC$57,53,0)*$W1790,"")</f>
        <v/>
      </c>
      <c r="AP1790" s="292">
        <f>IFERROR(Y1790*AI1785/Y1791,)</f>
        <v>0</v>
      </c>
      <c r="AQ1790" s="197" t="str">
        <f>IFERROR(VLOOKUP($G1790,нормы!$A$14:$BC$57,54,0)*$W1790,"")</f>
        <v/>
      </c>
      <c r="AR1790" s="290">
        <f>IFERROR(AS1790/SUM(AS1785:AS1790)*AL1785,0)</f>
        <v>0</v>
      </c>
      <c r="AS1790" s="197" t="str">
        <f>IFERROR(VLOOKUP($G1790,нормы!$A$14:$BC$57,55,0)*W1790,"")</f>
        <v/>
      </c>
      <c r="AT1790" s="292">
        <f>IFERROR(AU1790/SUM(AU1785:AU1790)*AM1785,0)</f>
        <v>0</v>
      </c>
      <c r="AU1790" s="197" t="str">
        <f>IFERROR(VLOOKUP($G1790,нормы!$A$14:$BI$57,56,0)*W1790,"")</f>
        <v/>
      </c>
      <c r="AV1790" s="292">
        <f>IFERROR(AW1790/SUM(AW1785:AW1790)*AK1785,0)</f>
        <v>0</v>
      </c>
      <c r="AW1790" s="202" t="str">
        <f>IFERROR(VLOOKUP($G1790,нормы!$A$14:$BI$57,57,0)*W1790,"")</f>
        <v/>
      </c>
      <c r="AX1790" s="56"/>
      <c r="AY1790" s="203" t="str">
        <f>IFERROR(VLOOKUP($G1790,нормы!$A$14:$BI$57,58,0)*W1790,"")</f>
        <v/>
      </c>
      <c r="AZ1790" s="206"/>
      <c r="BA1790" s="200" t="str">
        <f>IFERROR(VLOOKUP($G1790,нормы!$A$14:$BI$57,61,0)*$W1790,"")</f>
        <v/>
      </c>
      <c r="BB1790" s="56"/>
      <c r="BC1790" s="203" t="str">
        <f>IFERROR(VLOOKUP($G1790,нормы!$A$14:$BI$57,60,0)*W1790,"")</f>
        <v/>
      </c>
      <c r="BD1790" s="200" t="str">
        <f>IFERROR(VLOOKUP($G1790,нормы!$A$14:$BG$57,44,0),"")</f>
        <v/>
      </c>
      <c r="BE1790" s="199" t="str">
        <f>IFERROR(W1790/VLOOKUP($G1790,нормы!$A$14:$BI$57,45,0),"")</f>
        <v/>
      </c>
    </row>
    <row r="1791" spans="1:57" s="1" customFormat="1" ht="29.4" customHeight="1" thickBot="1" x14ac:dyDescent="0.45">
      <c r="A1791" s="37" t="str">
        <f t="shared" si="701"/>
        <v>29Н</v>
      </c>
      <c r="B1791" s="59"/>
      <c r="C1791" s="51"/>
      <c r="D1791" s="51"/>
      <c r="E1791" s="51"/>
      <c r="F1791" s="51"/>
      <c r="G1791" s="51"/>
      <c r="H1791" s="51"/>
      <c r="I1791" s="60"/>
      <c r="J1791" s="60"/>
      <c r="K1791" s="319" t="s">
        <v>213</v>
      </c>
      <c r="L1791" s="316"/>
      <c r="M1791" s="303" t="s">
        <v>213</v>
      </c>
      <c r="N1791" s="317">
        <f>SUM(N1785:N1790)</f>
        <v>0</v>
      </c>
      <c r="O1791" s="304" t="s">
        <v>217</v>
      </c>
      <c r="P1791" s="318">
        <f>N1791*8.937/1000</f>
        <v>0</v>
      </c>
      <c r="Q1791" s="305" t="s">
        <v>215</v>
      </c>
      <c r="R1791" s="61"/>
      <c r="S1791" s="61"/>
      <c r="T1791" s="61"/>
      <c r="U1791" s="109"/>
      <c r="V1791" s="109"/>
      <c r="W1791" s="94"/>
      <c r="X1791" s="155"/>
      <c r="Y1791" s="96">
        <f>SUM(Y1785:Y1790)</f>
        <v>0</v>
      </c>
      <c r="Z1791" s="164">
        <f>SUM(Z1785:Z1790)</f>
        <v>0</v>
      </c>
      <c r="AA1791" s="207">
        <f>(AA1777+AA1778+AA1779+AA1780+AA1781+AA1782+AA1783+AA1785+AA1786+AA1787+AA1788+AA1789+AA1790)-AG1778</f>
        <v>1</v>
      </c>
      <c r="AB1791" s="208">
        <f>(AB1777+AB1778+AB1779+AB1780+AB1781+AB1782+AB1783+AB1785+AB1786+AB1787+AB1788+AB1789+AB1790)-AH1778</f>
        <v>2</v>
      </c>
      <c r="AC1791" s="208">
        <f>(AC1777+AC1778+AC1779+AC1780+AC1781+AC1782+AC1783+AC1785+AC1786+AC1787+AC1788+AC1789+AC1790)-AG1785</f>
        <v>3</v>
      </c>
      <c r="AD1791" s="208">
        <f>(AD1777+AD1778+AD1779+AD1780+AD1781+AD1782+AD1783+AD1785+AD1786+AD1787+AD1788+AD1789+AD1790)-AH1785</f>
        <v>4</v>
      </c>
      <c r="AE1791" s="208">
        <f>(AE1777+AE1778+AE1779+AE1780+AE1781+AE1782+AE1783+AE1785+AE1786+AE1787+AE1788+AE1789+AE1790)-AI1778</f>
        <v>5</v>
      </c>
      <c r="AF1791" s="209">
        <f>(AF1777+AF1778+AF1779+AF1780+AF1781+AF1782+AF1783+AF1785+AF1786+AF1787+AF1788+AF1789+AF1790)-AI1785</f>
        <v>6</v>
      </c>
      <c r="AG1791" s="62"/>
      <c r="AH1791" s="62"/>
      <c r="AI1791" s="62"/>
      <c r="AJ1791" s="62"/>
      <c r="AK1791" s="62"/>
      <c r="AL1791" s="62"/>
      <c r="AM1791" s="62"/>
      <c r="AN1791" s="91">
        <f>SUM(AN1785:AN1790)</f>
        <v>0</v>
      </c>
      <c r="AO1791" s="91">
        <f>SUM(AO1785:AO1790)</f>
        <v>0</v>
      </c>
      <c r="AP1791" s="91"/>
      <c r="AQ1791" s="91"/>
      <c r="AR1791" s="91">
        <f>SUM(AR1785:AR1790)</f>
        <v>0</v>
      </c>
      <c r="AS1791" s="91">
        <f t="shared" ref="AS1791:AW1791" si="706">SUM(AS1785:AS1790)</f>
        <v>0</v>
      </c>
      <c r="AT1791" s="91">
        <f t="shared" si="706"/>
        <v>0</v>
      </c>
      <c r="AU1791" s="91">
        <f t="shared" si="706"/>
        <v>0</v>
      </c>
      <c r="AV1791" s="91">
        <f t="shared" si="706"/>
        <v>0</v>
      </c>
      <c r="AW1791" s="91">
        <f t="shared" si="706"/>
        <v>0</v>
      </c>
      <c r="AX1791" s="91">
        <f>SUM(AX1785:AX1790)</f>
        <v>0</v>
      </c>
      <c r="AY1791" s="91">
        <f>SUM(AY1785:AY1790)</f>
        <v>0</v>
      </c>
      <c r="AZ1791" s="91">
        <f>SUM(AZ1785:AZ1790)</f>
        <v>0</v>
      </c>
      <c r="BA1791" s="91"/>
      <c r="BB1791" s="91"/>
      <c r="BC1791" s="91"/>
      <c r="BD1791" s="91" t="str">
        <f>IFERROR(VLOOKUP($G1791,нормы!$A$14:$BG$15,27,0),"")</f>
        <v/>
      </c>
      <c r="BE1791" s="53" t="str">
        <f>IFERROR(W1791/VLOOKUP($G1791,нормы!$A$14:$BI$15,28,0),"")</f>
        <v/>
      </c>
    </row>
    <row r="1792" spans="1:57" s="1" customFormat="1" ht="29.4" customHeight="1" thickBot="1" x14ac:dyDescent="0.5">
      <c r="A1792" s="37" t="str">
        <f t="shared" si="701"/>
        <v>29Н</v>
      </c>
      <c r="B1792" s="166"/>
      <c r="C1792" s="167"/>
      <c r="D1792" s="167"/>
      <c r="E1792" s="167"/>
      <c r="F1792" s="165"/>
      <c r="G1792" s="167"/>
      <c r="H1792" s="167"/>
      <c r="I1792" s="168"/>
      <c r="J1792" s="168"/>
      <c r="K1792" s="168"/>
      <c r="L1792" s="168"/>
      <c r="M1792" s="168"/>
      <c r="N1792" s="168"/>
      <c r="O1792" s="167"/>
      <c r="P1792" s="169"/>
      <c r="Q1792" s="169"/>
      <c r="R1792" s="169"/>
      <c r="S1792" s="169"/>
      <c r="T1792" s="169"/>
      <c r="U1792" s="170"/>
      <c r="V1792" s="170"/>
      <c r="W1792" s="171"/>
      <c r="X1792" s="171"/>
      <c r="Y1792" s="172"/>
      <c r="Z1792" s="172"/>
      <c r="AA1792" s="201" t="s">
        <v>144</v>
      </c>
      <c r="AB1792" s="167"/>
      <c r="AC1792" s="167"/>
      <c r="AD1792" s="167"/>
      <c r="AE1792" s="167"/>
      <c r="AF1792" s="167"/>
      <c r="AG1792" s="167"/>
      <c r="AH1792" s="167"/>
      <c r="AI1792" s="167"/>
      <c r="AJ1792" s="167"/>
      <c r="AK1792" s="167"/>
      <c r="AL1792" s="167"/>
      <c r="AM1792" s="64"/>
      <c r="AN1792" s="167"/>
      <c r="AO1792" s="167"/>
      <c r="AP1792" s="167"/>
      <c r="AQ1792" s="167"/>
      <c r="AR1792" s="64"/>
      <c r="AS1792" s="64"/>
      <c r="AT1792" s="65"/>
      <c r="AU1792" s="64"/>
      <c r="AV1792" s="49"/>
      <c r="AW1792" s="49"/>
      <c r="AX1792" s="167"/>
      <c r="AY1792" s="167"/>
      <c r="AZ1792" s="167"/>
      <c r="BA1792" s="167"/>
      <c r="BB1792" s="167"/>
      <c r="BC1792" s="167"/>
      <c r="BD1792" s="66"/>
      <c r="BE1792" s="66"/>
    </row>
    <row r="1793" spans="1:57" s="1" customFormat="1" ht="23.25" customHeight="1" x14ac:dyDescent="0.4">
      <c r="A1793" s="37" t="str">
        <f t="shared" si="701"/>
        <v>29Н</v>
      </c>
      <c r="B1793" s="183"/>
      <c r="C1793" s="100"/>
      <c r="D1793" s="185"/>
      <c r="E1793" s="186" t="s">
        <v>57</v>
      </c>
      <c r="F1793" s="66" t="s">
        <v>87</v>
      </c>
      <c r="G1793" s="66"/>
      <c r="H1793" s="108" t="s">
        <v>131</v>
      </c>
      <c r="I1793" s="101"/>
      <c r="J1793" s="101"/>
      <c r="K1793" s="101"/>
      <c r="L1793" s="101"/>
      <c r="M1793" s="101"/>
      <c r="N1793" s="101"/>
      <c r="O1793" s="67"/>
      <c r="P1793" s="102"/>
      <c r="Q1793" s="102"/>
      <c r="R1793" s="102"/>
      <c r="S1793" s="102"/>
      <c r="T1793" s="102"/>
      <c r="U1793" s="67"/>
      <c r="V1793" s="67"/>
      <c r="W1793" s="103"/>
      <c r="X1793" s="187"/>
      <c r="Y1793" s="68" t="s">
        <v>74</v>
      </c>
      <c r="Z1793" s="69"/>
      <c r="AA1793" s="90"/>
      <c r="AB1793" s="100"/>
      <c r="AC1793" s="100"/>
      <c r="AD1793" s="186" t="s">
        <v>57</v>
      </c>
      <c r="AE1793" s="66"/>
      <c r="AF1793" s="66"/>
      <c r="AG1793" s="66"/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190"/>
      <c r="AU1793" s="66"/>
      <c r="AV1793" s="165"/>
      <c r="AW1793" s="293"/>
      <c r="AX1793" s="66"/>
      <c r="AY1793" s="66"/>
      <c r="AZ1793" s="66"/>
      <c r="BA1793" s="66"/>
      <c r="BB1793" s="66"/>
      <c r="BC1793" s="66"/>
      <c r="BD1793" s="68" t="s">
        <v>74</v>
      </c>
      <c r="BE1793" s="69"/>
    </row>
    <row r="1794" spans="1:57" s="1" customFormat="1" ht="23.25" customHeight="1" thickBot="1" x14ac:dyDescent="0.45">
      <c r="A1794" s="37" t="str">
        <f t="shared" si="701"/>
        <v>29Н</v>
      </c>
      <c r="B1794" s="183"/>
      <c r="C1794" s="41"/>
      <c r="D1794" s="184"/>
      <c r="E1794" s="50"/>
      <c r="F1794" s="70"/>
      <c r="G1794" s="70"/>
      <c r="H1794" s="70"/>
      <c r="I1794" s="104"/>
      <c r="J1794" s="104"/>
      <c r="K1794" s="104"/>
      <c r="L1794" s="104"/>
      <c r="M1794" s="104"/>
      <c r="N1794" s="104"/>
      <c r="O1794" s="71"/>
      <c r="P1794" s="105"/>
      <c r="Q1794" s="105"/>
      <c r="R1794" s="105"/>
      <c r="S1794" s="105"/>
      <c r="T1794" s="105"/>
      <c r="U1794" s="71"/>
      <c r="V1794" s="71"/>
      <c r="W1794" s="106"/>
      <c r="X1794" s="188"/>
      <c r="Y1794" s="72"/>
      <c r="Z1794" s="73"/>
      <c r="AA1794" s="90"/>
      <c r="AB1794" s="41"/>
      <c r="AC1794" s="41"/>
      <c r="AD1794" s="50"/>
      <c r="AE1794" s="47"/>
      <c r="AF1794" s="47"/>
      <c r="AG1794" s="47"/>
      <c r="AH1794" s="47"/>
      <c r="AI1794" s="47"/>
      <c r="AJ1794" s="47"/>
      <c r="AK1794" s="47"/>
      <c r="AL1794" s="47"/>
      <c r="AM1794" s="70"/>
      <c r="AN1794" s="47"/>
      <c r="AO1794" s="70"/>
      <c r="AP1794" s="70"/>
      <c r="AQ1794" s="70"/>
      <c r="AR1794" s="70"/>
      <c r="AS1794" s="70"/>
      <c r="AT1794" s="191"/>
      <c r="AU1794" s="70"/>
      <c r="AV1794" s="192"/>
      <c r="AW1794" s="294"/>
      <c r="AX1794" s="70"/>
      <c r="AY1794" s="70"/>
      <c r="AZ1794" s="70"/>
      <c r="BA1794" s="70"/>
      <c r="BB1794" s="70"/>
      <c r="BC1794" s="70"/>
      <c r="BD1794" s="72"/>
      <c r="BE1794" s="73"/>
    </row>
    <row r="1795" spans="1:57" s="1" customFormat="1" ht="21.75" customHeight="1" x14ac:dyDescent="0.4">
      <c r="A1795" s="37" t="str">
        <f t="shared" si="701"/>
        <v>29Н</v>
      </c>
      <c r="B1795" s="183"/>
      <c r="C1795" s="41"/>
      <c r="D1795" s="184"/>
      <c r="E1795" s="281">
        <f>B1790</f>
        <v>29</v>
      </c>
      <c r="F1795" s="337"/>
      <c r="G1795" s="338"/>
      <c r="H1795" s="338"/>
      <c r="I1795" s="338"/>
      <c r="J1795" s="338"/>
      <c r="K1795" s="338"/>
      <c r="L1795" s="338"/>
      <c r="M1795" s="338"/>
      <c r="N1795" s="338"/>
      <c r="O1795" s="338"/>
      <c r="P1795" s="338"/>
      <c r="Q1795" s="338"/>
      <c r="R1795" s="338"/>
      <c r="S1795" s="338"/>
      <c r="T1795" s="338"/>
      <c r="U1795" s="338"/>
      <c r="V1795" s="338"/>
      <c r="W1795" s="338"/>
      <c r="X1795" s="98">
        <v>1</v>
      </c>
      <c r="Y1795" s="74">
        <v>1</v>
      </c>
      <c r="Z1795" s="75">
        <f t="shared" ref="Z1795:Z1806" si="707">Y1795-X1795</f>
        <v>0</v>
      </c>
      <c r="AA1795" s="189"/>
      <c r="AB1795" s="41"/>
      <c r="AC1795" s="184"/>
      <c r="AD1795" s="210">
        <f>E1795</f>
        <v>29</v>
      </c>
      <c r="AE1795" s="387"/>
      <c r="AF1795" s="388"/>
      <c r="AG1795" s="388"/>
      <c r="AH1795" s="388"/>
      <c r="AI1795" s="388"/>
      <c r="AJ1795" s="388"/>
      <c r="AK1795" s="388"/>
      <c r="AL1795" s="388"/>
      <c r="AM1795" s="388"/>
      <c r="AN1795" s="388"/>
      <c r="AO1795" s="388"/>
      <c r="AP1795" s="388"/>
      <c r="AQ1795" s="388"/>
      <c r="AR1795" s="388"/>
      <c r="AS1795" s="388"/>
      <c r="AT1795" s="388"/>
      <c r="AU1795" s="388"/>
      <c r="AV1795" s="388"/>
      <c r="AW1795" s="388"/>
      <c r="AX1795" s="388"/>
      <c r="AY1795" s="388"/>
      <c r="AZ1795" s="388"/>
      <c r="BA1795" s="388"/>
      <c r="BB1795" s="389"/>
      <c r="BC1795" s="98">
        <v>1</v>
      </c>
      <c r="BD1795" s="74">
        <v>1</v>
      </c>
      <c r="BE1795" s="75">
        <f t="shared" ref="BE1795:BE1806" si="708">BD1795-BC1795</f>
        <v>0</v>
      </c>
    </row>
    <row r="1796" spans="1:57" s="1" customFormat="1" ht="21.9" customHeight="1" x14ac:dyDescent="0.4">
      <c r="A1796" s="37" t="str">
        <f t="shared" si="701"/>
        <v>29Н</v>
      </c>
      <c r="B1796" s="183"/>
      <c r="C1796" s="41"/>
      <c r="D1796" s="184"/>
      <c r="E1796" s="282">
        <f>E1795</f>
        <v>29</v>
      </c>
      <c r="F1796" s="335"/>
      <c r="G1796" s="336"/>
      <c r="H1796" s="336"/>
      <c r="I1796" s="336"/>
      <c r="J1796" s="336"/>
      <c r="K1796" s="336"/>
      <c r="L1796" s="336"/>
      <c r="M1796" s="336"/>
      <c r="N1796" s="336"/>
      <c r="O1796" s="336"/>
      <c r="P1796" s="336"/>
      <c r="Q1796" s="336"/>
      <c r="R1796" s="336"/>
      <c r="S1796" s="336"/>
      <c r="T1796" s="336"/>
      <c r="U1796" s="336"/>
      <c r="V1796" s="336"/>
      <c r="W1796" s="336"/>
      <c r="X1796" s="98">
        <v>1</v>
      </c>
      <c r="Y1796" s="74">
        <v>1</v>
      </c>
      <c r="Z1796" s="75">
        <f t="shared" si="707"/>
        <v>0</v>
      </c>
      <c r="AA1796" s="107">
        <f>AA1795</f>
        <v>0</v>
      </c>
      <c r="AB1796" s="41"/>
      <c r="AC1796" s="184"/>
      <c r="AD1796" s="212">
        <f>AD1795</f>
        <v>29</v>
      </c>
      <c r="AE1796" s="387"/>
      <c r="AF1796" s="388"/>
      <c r="AG1796" s="388"/>
      <c r="AH1796" s="388"/>
      <c r="AI1796" s="388"/>
      <c r="AJ1796" s="388"/>
      <c r="AK1796" s="388"/>
      <c r="AL1796" s="388"/>
      <c r="AM1796" s="388"/>
      <c r="AN1796" s="388"/>
      <c r="AO1796" s="388"/>
      <c r="AP1796" s="388"/>
      <c r="AQ1796" s="388"/>
      <c r="AR1796" s="388"/>
      <c r="AS1796" s="388"/>
      <c r="AT1796" s="388"/>
      <c r="AU1796" s="388"/>
      <c r="AV1796" s="388"/>
      <c r="AW1796" s="388"/>
      <c r="AX1796" s="388"/>
      <c r="AY1796" s="388"/>
      <c r="AZ1796" s="388"/>
      <c r="BA1796" s="388"/>
      <c r="BB1796" s="389"/>
      <c r="BC1796" s="98">
        <v>1</v>
      </c>
      <c r="BD1796" s="74">
        <v>1</v>
      </c>
      <c r="BE1796" s="75">
        <f t="shared" si="708"/>
        <v>0</v>
      </c>
    </row>
    <row r="1797" spans="1:57" s="1" customFormat="1" ht="21.9" customHeight="1" x14ac:dyDescent="0.4">
      <c r="A1797" s="37" t="str">
        <f t="shared" si="701"/>
        <v>29Н</v>
      </c>
      <c r="B1797" s="183"/>
      <c r="C1797" s="41"/>
      <c r="D1797" s="184"/>
      <c r="E1797" s="282">
        <f t="shared" ref="E1797:E1806" si="709">E1796</f>
        <v>29</v>
      </c>
      <c r="F1797" s="335"/>
      <c r="G1797" s="336"/>
      <c r="H1797" s="336"/>
      <c r="I1797" s="336"/>
      <c r="J1797" s="336"/>
      <c r="K1797" s="336"/>
      <c r="L1797" s="336"/>
      <c r="M1797" s="336"/>
      <c r="N1797" s="336"/>
      <c r="O1797" s="336"/>
      <c r="P1797" s="336"/>
      <c r="Q1797" s="336"/>
      <c r="R1797" s="336"/>
      <c r="S1797" s="336"/>
      <c r="T1797" s="336"/>
      <c r="U1797" s="336"/>
      <c r="V1797" s="336"/>
      <c r="W1797" s="336"/>
      <c r="X1797" s="98">
        <v>1</v>
      </c>
      <c r="Y1797" s="74">
        <v>1</v>
      </c>
      <c r="Z1797" s="75">
        <f t="shared" si="707"/>
        <v>0</v>
      </c>
      <c r="AA1797" s="107">
        <f>AA1796</f>
        <v>0</v>
      </c>
      <c r="AB1797" s="41"/>
      <c r="AC1797" s="184"/>
      <c r="AD1797" s="212">
        <f t="shared" ref="AD1797:AD1806" si="710">AD1796</f>
        <v>29</v>
      </c>
      <c r="AE1797" s="387"/>
      <c r="AF1797" s="388"/>
      <c r="AG1797" s="388"/>
      <c r="AH1797" s="388"/>
      <c r="AI1797" s="388"/>
      <c r="AJ1797" s="388"/>
      <c r="AK1797" s="388"/>
      <c r="AL1797" s="388"/>
      <c r="AM1797" s="388"/>
      <c r="AN1797" s="388"/>
      <c r="AO1797" s="388"/>
      <c r="AP1797" s="388"/>
      <c r="AQ1797" s="388"/>
      <c r="AR1797" s="388"/>
      <c r="AS1797" s="388"/>
      <c r="AT1797" s="388"/>
      <c r="AU1797" s="388"/>
      <c r="AV1797" s="388"/>
      <c r="AW1797" s="388"/>
      <c r="AX1797" s="388"/>
      <c r="AY1797" s="388"/>
      <c r="AZ1797" s="388"/>
      <c r="BA1797" s="388"/>
      <c r="BB1797" s="389"/>
      <c r="BC1797" s="98">
        <v>1</v>
      </c>
      <c r="BD1797" s="74">
        <v>1</v>
      </c>
      <c r="BE1797" s="75">
        <f t="shared" si="708"/>
        <v>0</v>
      </c>
    </row>
    <row r="1798" spans="1:57" s="1" customFormat="1" ht="18" customHeight="1" x14ac:dyDescent="0.4">
      <c r="A1798" s="37" t="str">
        <f t="shared" si="701"/>
        <v>29Н</v>
      </c>
      <c r="B1798" s="183"/>
      <c r="C1798" s="41"/>
      <c r="D1798" s="184"/>
      <c r="E1798" s="282">
        <f t="shared" si="709"/>
        <v>29</v>
      </c>
      <c r="F1798" s="335"/>
      <c r="G1798" s="336"/>
      <c r="H1798" s="336"/>
      <c r="I1798" s="336"/>
      <c r="J1798" s="336"/>
      <c r="K1798" s="336"/>
      <c r="L1798" s="336"/>
      <c r="M1798" s="336"/>
      <c r="N1798" s="336"/>
      <c r="O1798" s="336"/>
      <c r="P1798" s="336"/>
      <c r="Q1798" s="336"/>
      <c r="R1798" s="336"/>
      <c r="S1798" s="336"/>
      <c r="T1798" s="336"/>
      <c r="U1798" s="336"/>
      <c r="V1798" s="336"/>
      <c r="W1798" s="336"/>
      <c r="X1798" s="98">
        <v>1</v>
      </c>
      <c r="Y1798" s="74">
        <v>1</v>
      </c>
      <c r="Z1798" s="75">
        <f t="shared" si="707"/>
        <v>0</v>
      </c>
      <c r="AA1798" s="107">
        <f t="shared" ref="AA1798:AA1806" si="711">AA1797</f>
        <v>0</v>
      </c>
      <c r="AB1798" s="41"/>
      <c r="AC1798" s="184"/>
      <c r="AD1798" s="212">
        <f t="shared" si="710"/>
        <v>29</v>
      </c>
      <c r="AE1798" s="387"/>
      <c r="AF1798" s="388"/>
      <c r="AG1798" s="388"/>
      <c r="AH1798" s="388"/>
      <c r="AI1798" s="388"/>
      <c r="AJ1798" s="388"/>
      <c r="AK1798" s="388"/>
      <c r="AL1798" s="388"/>
      <c r="AM1798" s="388"/>
      <c r="AN1798" s="388"/>
      <c r="AO1798" s="388"/>
      <c r="AP1798" s="388"/>
      <c r="AQ1798" s="388"/>
      <c r="AR1798" s="388"/>
      <c r="AS1798" s="388"/>
      <c r="AT1798" s="388"/>
      <c r="AU1798" s="388"/>
      <c r="AV1798" s="388"/>
      <c r="AW1798" s="388"/>
      <c r="AX1798" s="388"/>
      <c r="AY1798" s="388"/>
      <c r="AZ1798" s="388"/>
      <c r="BA1798" s="388"/>
      <c r="BB1798" s="389"/>
      <c r="BC1798" s="98">
        <v>1</v>
      </c>
      <c r="BD1798" s="74">
        <v>1</v>
      </c>
      <c r="BE1798" s="75">
        <f t="shared" si="708"/>
        <v>0</v>
      </c>
    </row>
    <row r="1799" spans="1:57" s="1" customFormat="1" ht="18" customHeight="1" x14ac:dyDescent="0.4">
      <c r="A1799" s="37" t="str">
        <f t="shared" si="701"/>
        <v>29Н</v>
      </c>
      <c r="B1799" s="183"/>
      <c r="C1799" s="41"/>
      <c r="D1799" s="184"/>
      <c r="E1799" s="282">
        <f t="shared" si="709"/>
        <v>29</v>
      </c>
      <c r="F1799" s="335"/>
      <c r="G1799" s="336"/>
      <c r="H1799" s="336"/>
      <c r="I1799" s="336"/>
      <c r="J1799" s="336"/>
      <c r="K1799" s="336"/>
      <c r="L1799" s="336"/>
      <c r="M1799" s="336"/>
      <c r="N1799" s="336"/>
      <c r="O1799" s="336"/>
      <c r="P1799" s="336"/>
      <c r="Q1799" s="336"/>
      <c r="R1799" s="336"/>
      <c r="S1799" s="336"/>
      <c r="T1799" s="336"/>
      <c r="U1799" s="336"/>
      <c r="V1799" s="336"/>
      <c r="W1799" s="336"/>
      <c r="X1799" s="98">
        <v>1</v>
      </c>
      <c r="Y1799" s="74">
        <v>1</v>
      </c>
      <c r="Z1799" s="75">
        <f t="shared" si="707"/>
        <v>0</v>
      </c>
      <c r="AA1799" s="107">
        <f t="shared" si="711"/>
        <v>0</v>
      </c>
      <c r="AB1799" s="41"/>
      <c r="AC1799" s="184"/>
      <c r="AD1799" s="212">
        <f t="shared" si="710"/>
        <v>29</v>
      </c>
      <c r="AE1799" s="387"/>
      <c r="AF1799" s="388"/>
      <c r="AG1799" s="388"/>
      <c r="AH1799" s="388"/>
      <c r="AI1799" s="388"/>
      <c r="AJ1799" s="388"/>
      <c r="AK1799" s="388"/>
      <c r="AL1799" s="388"/>
      <c r="AM1799" s="388"/>
      <c r="AN1799" s="388"/>
      <c r="AO1799" s="388"/>
      <c r="AP1799" s="388"/>
      <c r="AQ1799" s="388"/>
      <c r="AR1799" s="388"/>
      <c r="AS1799" s="388"/>
      <c r="AT1799" s="388"/>
      <c r="AU1799" s="388"/>
      <c r="AV1799" s="388"/>
      <c r="AW1799" s="388"/>
      <c r="AX1799" s="388"/>
      <c r="AY1799" s="388"/>
      <c r="AZ1799" s="388"/>
      <c r="BA1799" s="388"/>
      <c r="BB1799" s="389"/>
      <c r="BC1799" s="98">
        <v>1</v>
      </c>
      <c r="BD1799" s="74">
        <v>1</v>
      </c>
      <c r="BE1799" s="75">
        <f t="shared" si="708"/>
        <v>0</v>
      </c>
    </row>
    <row r="1800" spans="1:57" s="1" customFormat="1" ht="18" customHeight="1" x14ac:dyDescent="0.4">
      <c r="A1800" s="37" t="str">
        <f t="shared" si="701"/>
        <v>29Н</v>
      </c>
      <c r="B1800" s="183"/>
      <c r="C1800" s="41"/>
      <c r="D1800" s="184"/>
      <c r="E1800" s="282">
        <f t="shared" si="709"/>
        <v>29</v>
      </c>
      <c r="F1800" s="335"/>
      <c r="G1800" s="336"/>
      <c r="H1800" s="336"/>
      <c r="I1800" s="336"/>
      <c r="J1800" s="336"/>
      <c r="K1800" s="336"/>
      <c r="L1800" s="336"/>
      <c r="M1800" s="336"/>
      <c r="N1800" s="336"/>
      <c r="O1800" s="336"/>
      <c r="P1800" s="336"/>
      <c r="Q1800" s="336"/>
      <c r="R1800" s="336"/>
      <c r="S1800" s="336"/>
      <c r="T1800" s="336"/>
      <c r="U1800" s="336"/>
      <c r="V1800" s="336"/>
      <c r="W1800" s="336"/>
      <c r="X1800" s="98">
        <v>1</v>
      </c>
      <c r="Y1800" s="74">
        <v>1</v>
      </c>
      <c r="Z1800" s="75">
        <f t="shared" si="707"/>
        <v>0</v>
      </c>
      <c r="AA1800" s="107">
        <f t="shared" si="711"/>
        <v>0</v>
      </c>
      <c r="AB1800" s="41"/>
      <c r="AC1800" s="184"/>
      <c r="AD1800" s="212">
        <f t="shared" si="710"/>
        <v>29</v>
      </c>
      <c r="AE1800" s="387"/>
      <c r="AF1800" s="388"/>
      <c r="AG1800" s="388"/>
      <c r="AH1800" s="388"/>
      <c r="AI1800" s="388"/>
      <c r="AJ1800" s="388"/>
      <c r="AK1800" s="388"/>
      <c r="AL1800" s="388"/>
      <c r="AM1800" s="388"/>
      <c r="AN1800" s="388"/>
      <c r="AO1800" s="388"/>
      <c r="AP1800" s="388"/>
      <c r="AQ1800" s="388"/>
      <c r="AR1800" s="388"/>
      <c r="AS1800" s="388"/>
      <c r="AT1800" s="388"/>
      <c r="AU1800" s="388"/>
      <c r="AV1800" s="388"/>
      <c r="AW1800" s="388"/>
      <c r="AX1800" s="388"/>
      <c r="AY1800" s="388"/>
      <c r="AZ1800" s="388"/>
      <c r="BA1800" s="388"/>
      <c r="BB1800" s="389"/>
      <c r="BC1800" s="98">
        <v>1</v>
      </c>
      <c r="BD1800" s="74">
        <v>1</v>
      </c>
      <c r="BE1800" s="75">
        <f t="shared" si="708"/>
        <v>0</v>
      </c>
    </row>
    <row r="1801" spans="1:57" s="1" customFormat="1" ht="18" customHeight="1" x14ac:dyDescent="0.4">
      <c r="A1801" s="37" t="str">
        <f t="shared" si="701"/>
        <v>29Н</v>
      </c>
      <c r="B1801" s="183"/>
      <c r="C1801" s="41"/>
      <c r="D1801" s="184"/>
      <c r="E1801" s="282">
        <f t="shared" si="709"/>
        <v>29</v>
      </c>
      <c r="F1801" s="335"/>
      <c r="G1801" s="336"/>
      <c r="H1801" s="336"/>
      <c r="I1801" s="336"/>
      <c r="J1801" s="336"/>
      <c r="K1801" s="336"/>
      <c r="L1801" s="336"/>
      <c r="M1801" s="336"/>
      <c r="N1801" s="336"/>
      <c r="O1801" s="336"/>
      <c r="P1801" s="336"/>
      <c r="Q1801" s="336"/>
      <c r="R1801" s="336"/>
      <c r="S1801" s="336"/>
      <c r="T1801" s="336"/>
      <c r="U1801" s="336"/>
      <c r="V1801" s="336"/>
      <c r="W1801" s="336"/>
      <c r="X1801" s="98">
        <v>1</v>
      </c>
      <c r="Y1801" s="74">
        <v>1</v>
      </c>
      <c r="Z1801" s="75">
        <f t="shared" si="707"/>
        <v>0</v>
      </c>
      <c r="AA1801" s="107">
        <f t="shared" si="711"/>
        <v>0</v>
      </c>
      <c r="AB1801" s="41"/>
      <c r="AC1801" s="184"/>
      <c r="AD1801" s="212">
        <f t="shared" si="710"/>
        <v>29</v>
      </c>
      <c r="AE1801" s="387"/>
      <c r="AF1801" s="388"/>
      <c r="AG1801" s="388"/>
      <c r="AH1801" s="388"/>
      <c r="AI1801" s="388"/>
      <c r="AJ1801" s="388"/>
      <c r="AK1801" s="388"/>
      <c r="AL1801" s="388"/>
      <c r="AM1801" s="388"/>
      <c r="AN1801" s="388"/>
      <c r="AO1801" s="388"/>
      <c r="AP1801" s="388"/>
      <c r="AQ1801" s="388"/>
      <c r="AR1801" s="388"/>
      <c r="AS1801" s="388"/>
      <c r="AT1801" s="388"/>
      <c r="AU1801" s="388"/>
      <c r="AV1801" s="388"/>
      <c r="AW1801" s="388"/>
      <c r="AX1801" s="388"/>
      <c r="AY1801" s="388"/>
      <c r="AZ1801" s="388"/>
      <c r="BA1801" s="388"/>
      <c r="BB1801" s="389"/>
      <c r="BC1801" s="98">
        <v>1</v>
      </c>
      <c r="BD1801" s="74">
        <v>1</v>
      </c>
      <c r="BE1801" s="75">
        <f t="shared" si="708"/>
        <v>0</v>
      </c>
    </row>
    <row r="1802" spans="1:57" s="1" customFormat="1" ht="18" customHeight="1" x14ac:dyDescent="0.4">
      <c r="A1802" s="37" t="str">
        <f t="shared" si="701"/>
        <v>29Н</v>
      </c>
      <c r="B1802" s="183"/>
      <c r="C1802" s="41"/>
      <c r="D1802" s="184"/>
      <c r="E1802" s="282">
        <f t="shared" si="709"/>
        <v>29</v>
      </c>
      <c r="F1802" s="335"/>
      <c r="G1802" s="336"/>
      <c r="H1802" s="336"/>
      <c r="I1802" s="336"/>
      <c r="J1802" s="336"/>
      <c r="K1802" s="336"/>
      <c r="L1802" s="336"/>
      <c r="M1802" s="336"/>
      <c r="N1802" s="336"/>
      <c r="O1802" s="336"/>
      <c r="P1802" s="336"/>
      <c r="Q1802" s="336"/>
      <c r="R1802" s="336"/>
      <c r="S1802" s="336"/>
      <c r="T1802" s="336"/>
      <c r="U1802" s="336"/>
      <c r="V1802" s="336"/>
      <c r="W1802" s="336"/>
      <c r="X1802" s="98">
        <v>1</v>
      </c>
      <c r="Y1802" s="74">
        <v>1</v>
      </c>
      <c r="Z1802" s="75">
        <f t="shared" si="707"/>
        <v>0</v>
      </c>
      <c r="AA1802" s="107">
        <f t="shared" si="711"/>
        <v>0</v>
      </c>
      <c r="AB1802" s="41"/>
      <c r="AC1802" s="184"/>
      <c r="AD1802" s="212">
        <f t="shared" si="710"/>
        <v>29</v>
      </c>
      <c r="AE1802" s="387"/>
      <c r="AF1802" s="388"/>
      <c r="AG1802" s="388"/>
      <c r="AH1802" s="388"/>
      <c r="AI1802" s="388"/>
      <c r="AJ1802" s="388"/>
      <c r="AK1802" s="388"/>
      <c r="AL1802" s="388"/>
      <c r="AM1802" s="388"/>
      <c r="AN1802" s="388"/>
      <c r="AO1802" s="388"/>
      <c r="AP1802" s="388"/>
      <c r="AQ1802" s="388"/>
      <c r="AR1802" s="388"/>
      <c r="AS1802" s="388"/>
      <c r="AT1802" s="388"/>
      <c r="AU1802" s="388"/>
      <c r="AV1802" s="388"/>
      <c r="AW1802" s="388"/>
      <c r="AX1802" s="388"/>
      <c r="AY1802" s="388"/>
      <c r="AZ1802" s="388"/>
      <c r="BA1802" s="388"/>
      <c r="BB1802" s="389"/>
      <c r="BC1802" s="98">
        <v>1</v>
      </c>
      <c r="BD1802" s="74">
        <v>1</v>
      </c>
      <c r="BE1802" s="75">
        <f t="shared" si="708"/>
        <v>0</v>
      </c>
    </row>
    <row r="1803" spans="1:57" s="1" customFormat="1" ht="18" customHeight="1" x14ac:dyDescent="0.4">
      <c r="A1803" s="37" t="str">
        <f t="shared" si="701"/>
        <v>29Н</v>
      </c>
      <c r="B1803" s="183"/>
      <c r="C1803" s="41"/>
      <c r="D1803" s="184"/>
      <c r="E1803" s="282">
        <f t="shared" si="709"/>
        <v>29</v>
      </c>
      <c r="F1803" s="335"/>
      <c r="G1803" s="336"/>
      <c r="H1803" s="336"/>
      <c r="I1803" s="336"/>
      <c r="J1803" s="336"/>
      <c r="K1803" s="336"/>
      <c r="L1803" s="336"/>
      <c r="M1803" s="336"/>
      <c r="N1803" s="336"/>
      <c r="O1803" s="336"/>
      <c r="P1803" s="336"/>
      <c r="Q1803" s="336"/>
      <c r="R1803" s="336"/>
      <c r="S1803" s="336"/>
      <c r="T1803" s="336"/>
      <c r="U1803" s="336"/>
      <c r="V1803" s="336"/>
      <c r="W1803" s="336"/>
      <c r="X1803" s="98">
        <v>1</v>
      </c>
      <c r="Y1803" s="74">
        <v>1</v>
      </c>
      <c r="Z1803" s="75">
        <f t="shared" si="707"/>
        <v>0</v>
      </c>
      <c r="AA1803" s="107">
        <f t="shared" si="711"/>
        <v>0</v>
      </c>
      <c r="AB1803" s="41"/>
      <c r="AC1803" s="184"/>
      <c r="AD1803" s="212">
        <f t="shared" si="710"/>
        <v>29</v>
      </c>
      <c r="AE1803" s="387"/>
      <c r="AF1803" s="388"/>
      <c r="AG1803" s="388"/>
      <c r="AH1803" s="388"/>
      <c r="AI1803" s="388"/>
      <c r="AJ1803" s="388"/>
      <c r="AK1803" s="388"/>
      <c r="AL1803" s="388"/>
      <c r="AM1803" s="388"/>
      <c r="AN1803" s="388"/>
      <c r="AO1803" s="388"/>
      <c r="AP1803" s="388"/>
      <c r="AQ1803" s="388"/>
      <c r="AR1803" s="388"/>
      <c r="AS1803" s="388"/>
      <c r="AT1803" s="388"/>
      <c r="AU1803" s="388"/>
      <c r="AV1803" s="388"/>
      <c r="AW1803" s="388"/>
      <c r="AX1803" s="388"/>
      <c r="AY1803" s="388"/>
      <c r="AZ1803" s="388"/>
      <c r="BA1803" s="388"/>
      <c r="BB1803" s="389"/>
      <c r="BC1803" s="98">
        <v>1</v>
      </c>
      <c r="BD1803" s="74">
        <v>1</v>
      </c>
      <c r="BE1803" s="75">
        <f t="shared" si="708"/>
        <v>0</v>
      </c>
    </row>
    <row r="1804" spans="1:57" s="1" customFormat="1" ht="18" customHeight="1" x14ac:dyDescent="0.4">
      <c r="A1804" s="37" t="str">
        <f t="shared" si="701"/>
        <v>29Н</v>
      </c>
      <c r="B1804" s="183"/>
      <c r="C1804" s="41"/>
      <c r="D1804" s="184"/>
      <c r="E1804" s="282">
        <f t="shared" si="709"/>
        <v>29</v>
      </c>
      <c r="F1804" s="335"/>
      <c r="G1804" s="336"/>
      <c r="H1804" s="336"/>
      <c r="I1804" s="336"/>
      <c r="J1804" s="336"/>
      <c r="K1804" s="336"/>
      <c r="L1804" s="336"/>
      <c r="M1804" s="336"/>
      <c r="N1804" s="336"/>
      <c r="O1804" s="336"/>
      <c r="P1804" s="336"/>
      <c r="Q1804" s="336"/>
      <c r="R1804" s="336"/>
      <c r="S1804" s="336"/>
      <c r="T1804" s="336"/>
      <c r="U1804" s="336"/>
      <c r="V1804" s="336"/>
      <c r="W1804" s="336"/>
      <c r="X1804" s="98">
        <v>1</v>
      </c>
      <c r="Y1804" s="74">
        <v>1</v>
      </c>
      <c r="Z1804" s="75">
        <f t="shared" si="707"/>
        <v>0</v>
      </c>
      <c r="AA1804" s="107">
        <f t="shared" si="711"/>
        <v>0</v>
      </c>
      <c r="AB1804" s="41"/>
      <c r="AC1804" s="184"/>
      <c r="AD1804" s="212">
        <f t="shared" si="710"/>
        <v>29</v>
      </c>
      <c r="AE1804" s="387"/>
      <c r="AF1804" s="388"/>
      <c r="AG1804" s="388"/>
      <c r="AH1804" s="388"/>
      <c r="AI1804" s="388"/>
      <c r="AJ1804" s="388"/>
      <c r="AK1804" s="388"/>
      <c r="AL1804" s="388"/>
      <c r="AM1804" s="388"/>
      <c r="AN1804" s="388"/>
      <c r="AO1804" s="388"/>
      <c r="AP1804" s="388"/>
      <c r="AQ1804" s="388"/>
      <c r="AR1804" s="388"/>
      <c r="AS1804" s="388"/>
      <c r="AT1804" s="388"/>
      <c r="AU1804" s="388"/>
      <c r="AV1804" s="388"/>
      <c r="AW1804" s="388"/>
      <c r="AX1804" s="388"/>
      <c r="AY1804" s="388"/>
      <c r="AZ1804" s="388"/>
      <c r="BA1804" s="388"/>
      <c r="BB1804" s="389"/>
      <c r="BC1804" s="98">
        <v>1</v>
      </c>
      <c r="BD1804" s="74">
        <v>1</v>
      </c>
      <c r="BE1804" s="75">
        <f t="shared" si="708"/>
        <v>0</v>
      </c>
    </row>
    <row r="1805" spans="1:57" s="1" customFormat="1" ht="18" customHeight="1" x14ac:dyDescent="0.4">
      <c r="A1805" s="37" t="str">
        <f t="shared" si="701"/>
        <v>29Н</v>
      </c>
      <c r="B1805" s="183"/>
      <c r="C1805" s="41"/>
      <c r="D1805" s="184"/>
      <c r="E1805" s="282">
        <f t="shared" si="709"/>
        <v>29</v>
      </c>
      <c r="F1805" s="335"/>
      <c r="G1805" s="336"/>
      <c r="H1805" s="336"/>
      <c r="I1805" s="336"/>
      <c r="J1805" s="336"/>
      <c r="K1805" s="336"/>
      <c r="L1805" s="336"/>
      <c r="M1805" s="336"/>
      <c r="N1805" s="336"/>
      <c r="O1805" s="336"/>
      <c r="P1805" s="336"/>
      <c r="Q1805" s="336"/>
      <c r="R1805" s="336"/>
      <c r="S1805" s="336"/>
      <c r="T1805" s="336"/>
      <c r="U1805" s="336"/>
      <c r="V1805" s="336"/>
      <c r="W1805" s="336"/>
      <c r="X1805" s="98">
        <v>1</v>
      </c>
      <c r="Y1805" s="74">
        <v>1</v>
      </c>
      <c r="Z1805" s="75">
        <f t="shared" si="707"/>
        <v>0</v>
      </c>
      <c r="AA1805" s="107">
        <f t="shared" si="711"/>
        <v>0</v>
      </c>
      <c r="AB1805" s="41"/>
      <c r="AC1805" s="184"/>
      <c r="AD1805" s="212">
        <f t="shared" si="710"/>
        <v>29</v>
      </c>
      <c r="AE1805" s="387"/>
      <c r="AF1805" s="388"/>
      <c r="AG1805" s="388"/>
      <c r="AH1805" s="388"/>
      <c r="AI1805" s="388"/>
      <c r="AJ1805" s="388"/>
      <c r="AK1805" s="388"/>
      <c r="AL1805" s="388"/>
      <c r="AM1805" s="388"/>
      <c r="AN1805" s="388"/>
      <c r="AO1805" s="388"/>
      <c r="AP1805" s="388"/>
      <c r="AQ1805" s="388"/>
      <c r="AR1805" s="388"/>
      <c r="AS1805" s="388"/>
      <c r="AT1805" s="388"/>
      <c r="AU1805" s="388"/>
      <c r="AV1805" s="388"/>
      <c r="AW1805" s="388"/>
      <c r="AX1805" s="388"/>
      <c r="AY1805" s="388"/>
      <c r="AZ1805" s="388"/>
      <c r="BA1805" s="388"/>
      <c r="BB1805" s="389"/>
      <c r="BC1805" s="98">
        <v>1</v>
      </c>
      <c r="BD1805" s="74">
        <v>1</v>
      </c>
      <c r="BE1805" s="75">
        <f t="shared" si="708"/>
        <v>0</v>
      </c>
    </row>
    <row r="1806" spans="1:57" s="1" customFormat="1" ht="18" customHeight="1" thickBot="1" x14ac:dyDescent="0.45">
      <c r="A1806" s="37" t="str">
        <f t="shared" si="701"/>
        <v>29Н</v>
      </c>
      <c r="B1806" s="183"/>
      <c r="C1806" s="41"/>
      <c r="D1806" s="184"/>
      <c r="E1806" s="283">
        <f t="shared" si="709"/>
        <v>29</v>
      </c>
      <c r="F1806" s="339"/>
      <c r="G1806" s="340"/>
      <c r="H1806" s="340"/>
      <c r="I1806" s="340"/>
      <c r="J1806" s="340"/>
      <c r="K1806" s="340"/>
      <c r="L1806" s="340"/>
      <c r="M1806" s="340"/>
      <c r="N1806" s="340"/>
      <c r="O1806" s="340"/>
      <c r="P1806" s="340"/>
      <c r="Q1806" s="340"/>
      <c r="R1806" s="340"/>
      <c r="S1806" s="340"/>
      <c r="T1806" s="340"/>
      <c r="U1806" s="340"/>
      <c r="V1806" s="340"/>
      <c r="W1806" s="340"/>
      <c r="X1806" s="99">
        <v>1</v>
      </c>
      <c r="Y1806" s="76">
        <v>1</v>
      </c>
      <c r="Z1806" s="77">
        <f t="shared" si="707"/>
        <v>0</v>
      </c>
      <c r="AA1806" s="107">
        <f t="shared" si="711"/>
        <v>0</v>
      </c>
      <c r="AB1806" s="41"/>
      <c r="AC1806" s="184"/>
      <c r="AD1806" s="211">
        <f t="shared" si="710"/>
        <v>29</v>
      </c>
      <c r="AE1806" s="410"/>
      <c r="AF1806" s="411"/>
      <c r="AG1806" s="411"/>
      <c r="AH1806" s="411"/>
      <c r="AI1806" s="411"/>
      <c r="AJ1806" s="411"/>
      <c r="AK1806" s="411"/>
      <c r="AL1806" s="411"/>
      <c r="AM1806" s="411"/>
      <c r="AN1806" s="411"/>
      <c r="AO1806" s="411"/>
      <c r="AP1806" s="411"/>
      <c r="AQ1806" s="411"/>
      <c r="AR1806" s="411"/>
      <c r="AS1806" s="411"/>
      <c r="AT1806" s="411"/>
      <c r="AU1806" s="411"/>
      <c r="AV1806" s="411"/>
      <c r="AW1806" s="411"/>
      <c r="AX1806" s="411"/>
      <c r="AY1806" s="411"/>
      <c r="AZ1806" s="411"/>
      <c r="BA1806" s="411"/>
      <c r="BB1806" s="412"/>
      <c r="BC1806" s="99">
        <v>1</v>
      </c>
      <c r="BD1806" s="76">
        <v>1</v>
      </c>
      <c r="BE1806" s="75">
        <f t="shared" si="708"/>
        <v>0</v>
      </c>
    </row>
    <row r="1807" spans="1:57" s="1" customFormat="1" ht="23.25" customHeight="1" thickBot="1" x14ac:dyDescent="0.45">
      <c r="A1807" s="37" t="str">
        <f t="shared" si="701"/>
        <v>29Н</v>
      </c>
      <c r="B1807" s="193"/>
      <c r="C1807" s="47"/>
      <c r="D1807" s="47"/>
      <c r="E1807" s="47"/>
      <c r="F1807" s="78"/>
      <c r="G1807" s="78"/>
      <c r="H1807" s="78"/>
      <c r="I1807" s="80"/>
      <c r="J1807" s="80"/>
      <c r="K1807" s="80"/>
      <c r="L1807" s="80"/>
      <c r="M1807" s="80"/>
      <c r="N1807" s="80"/>
      <c r="O1807" s="78"/>
      <c r="P1807" s="81"/>
      <c r="Q1807" s="81"/>
      <c r="R1807" s="81"/>
      <c r="S1807" s="81"/>
      <c r="T1807" s="81"/>
      <c r="U1807" s="82"/>
      <c r="V1807" s="82"/>
      <c r="W1807" s="86"/>
      <c r="X1807" s="194"/>
      <c r="Y1807" s="83"/>
      <c r="Z1807" s="83"/>
      <c r="AA1807" s="78"/>
      <c r="AB1807" s="47"/>
      <c r="AC1807" s="47"/>
      <c r="AD1807" s="47"/>
      <c r="AE1807" s="47"/>
      <c r="AF1807" s="47"/>
      <c r="AG1807" s="47"/>
      <c r="AH1807" s="47"/>
      <c r="AI1807" s="47"/>
      <c r="AJ1807" s="47"/>
      <c r="AK1807" s="47"/>
      <c r="AL1807" s="47"/>
      <c r="AM1807" s="84"/>
      <c r="AN1807" s="47"/>
      <c r="AO1807" s="78"/>
      <c r="AP1807" s="78"/>
      <c r="AQ1807" s="78"/>
      <c r="AR1807" s="84"/>
      <c r="AS1807" s="78"/>
      <c r="AT1807" s="85"/>
      <c r="AU1807" s="78"/>
      <c r="AV1807" s="83"/>
      <c r="AW1807" s="83"/>
      <c r="AX1807" s="78"/>
      <c r="AY1807" s="78"/>
      <c r="AZ1807" s="78"/>
      <c r="BA1807" s="78"/>
      <c r="BB1807" s="78"/>
      <c r="BC1807" s="78"/>
      <c r="BD1807" s="79"/>
      <c r="BE1807" s="79"/>
    </row>
    <row r="1808" spans="1:57" s="1" customFormat="1" ht="21.6" customHeight="1" thickBot="1" x14ac:dyDescent="0.45">
      <c r="A1808" s="37" t="s">
        <v>204</v>
      </c>
      <c r="B1808" s="59"/>
      <c r="C1808" s="51"/>
      <c r="D1808" s="51"/>
      <c r="E1808" s="51"/>
      <c r="F1808" s="158" t="s">
        <v>147</v>
      </c>
      <c r="G1808" s="51"/>
      <c r="H1808" s="51"/>
      <c r="I1808" s="156"/>
      <c r="J1808" s="156"/>
      <c r="K1808" s="156"/>
      <c r="L1808" s="156"/>
      <c r="M1808" s="156"/>
      <c r="N1808" s="156"/>
      <c r="O1808" s="91"/>
      <c r="P1808" s="52"/>
      <c r="Q1808" s="52"/>
      <c r="R1808" s="52"/>
      <c r="S1808" s="52"/>
      <c r="T1808" s="52"/>
      <c r="U1808" s="157"/>
      <c r="V1808" s="157"/>
      <c r="W1808" s="94"/>
      <c r="X1808" s="94"/>
      <c r="Y1808" s="51"/>
      <c r="Z1808" s="51"/>
      <c r="AA1808" s="157">
        <f>AA1791</f>
        <v>1</v>
      </c>
      <c r="AB1808" s="157">
        <f t="shared" ref="AB1808:AF1808" si="712">AB1791</f>
        <v>2</v>
      </c>
      <c r="AC1808" s="157">
        <f t="shared" si="712"/>
        <v>3</v>
      </c>
      <c r="AD1808" s="157">
        <f t="shared" si="712"/>
        <v>4</v>
      </c>
      <c r="AE1808" s="157">
        <f t="shared" si="712"/>
        <v>5</v>
      </c>
      <c r="AF1808" s="157">
        <f t="shared" si="712"/>
        <v>6</v>
      </c>
      <c r="AG1808" s="162" t="s">
        <v>123</v>
      </c>
      <c r="AH1808" s="162" t="s">
        <v>124</v>
      </c>
      <c r="AI1808" s="162" t="s">
        <v>125</v>
      </c>
      <c r="AJ1808" s="91" t="s">
        <v>126</v>
      </c>
      <c r="AK1808" s="198" t="s">
        <v>136</v>
      </c>
      <c r="AL1808" s="198" t="s">
        <v>137</v>
      </c>
      <c r="AM1808" s="198" t="s">
        <v>138</v>
      </c>
      <c r="AN1808" s="91"/>
      <c r="AO1808" s="91"/>
      <c r="AP1808" s="91"/>
      <c r="AQ1808" s="91"/>
      <c r="AR1808" s="91"/>
      <c r="AS1808" s="91"/>
      <c r="AT1808" s="91"/>
      <c r="AU1808" s="91"/>
      <c r="AV1808" s="91"/>
      <c r="AW1808" s="91"/>
      <c r="AX1808" s="91"/>
      <c r="AY1808" s="91"/>
      <c r="AZ1808" s="91"/>
      <c r="BA1808" s="91"/>
      <c r="BB1808" s="91"/>
      <c r="BC1808" s="91"/>
      <c r="BD1808" s="91"/>
      <c r="BE1808" s="91"/>
    </row>
    <row r="1809" spans="1:57" s="1" customFormat="1" ht="21.6" customHeight="1" x14ac:dyDescent="0.4">
      <c r="A1809" s="37" t="str">
        <f>A1808</f>
        <v>30Д</v>
      </c>
      <c r="B1809" s="12">
        <f>B1790+1</f>
        <v>30</v>
      </c>
      <c r="C1809" s="97"/>
      <c r="D1809" s="97">
        <v>1</v>
      </c>
      <c r="E1809" s="29"/>
      <c r="F1809" s="151" t="str">
        <f>IFERROR(VLOOKUP($G1809,нормы!$A$14:$BC$57,2,0),"")</f>
        <v/>
      </c>
      <c r="G1809" s="93"/>
      <c r="H1809" s="54">
        <f>IF(C1809=1,"Кульков С.А.", IF(C1809=2,"Чудаков А.А.",IF(C1809=3,"Королев В.Н.",IF(C1809=4,"Николашин М.П.",IF(C1809=5," Кульков С.А.",IF(C1809=6,"А.А. Чудаков",IF(C1809=7,"В.Н. Королев",IF(C1809=8,"М.П. Николашин",0))))))))</f>
        <v>0</v>
      </c>
      <c r="I1809" s="88" t="s">
        <v>84</v>
      </c>
      <c r="J1809" s="332"/>
      <c r="K1809" s="30">
        <f>IFERROR(VLOOKUP($G1809,[1]нормы!$A$21:$BC$151,15,0),"")</f>
        <v>0</v>
      </c>
      <c r="L1809" s="31">
        <f>IFERROR(VLOOKUP($G1809,[1]нормы!$A$21:$BC$151,17,0),"")</f>
        <v>0</v>
      </c>
      <c r="M1809" s="310">
        <f>IFERROR(VLOOKUP($G1809,[1]нормы!$A$21:$BC$151,27,0),"")</f>
        <v>0</v>
      </c>
      <c r="N1809" s="311" t="str">
        <f>IFERROR(Y1809/Y1815*(1.1*J1809*I1814),"")</f>
        <v/>
      </c>
      <c r="O1809" s="300">
        <f>IFERROR(VLOOKUP($G1809,[1]нормы!$A$21:$BC$151,21,0),"")</f>
        <v>0</v>
      </c>
      <c r="P1809" s="35">
        <f>IFERROR(VLOOKUP($G1809,[1]нормы!$A$21:$BC$151,19,0),"")</f>
        <v>0</v>
      </c>
      <c r="Q1809" s="35">
        <f>IFERROR(VLOOKUP($G1809,[1]нормы!$A$21:$BC$151,23,0),"")</f>
        <v>0</v>
      </c>
      <c r="R1809" s="231">
        <f>IFERROR(VLOOKUP($G1809,[1]нормы!$A$21:$BC$151,29,0),"")</f>
        <v>0</v>
      </c>
      <c r="S1809" s="35">
        <f>IFERROR(VLOOKUP($G1809,[1]нормы!$A$21:$BC$151,31,0),"")</f>
        <v>0</v>
      </c>
      <c r="T1809" s="32">
        <f>IFERROR(VLOOKUP($G1809,[1]нормы!$A$21:$BC$151,25,0),"")</f>
        <v>0</v>
      </c>
      <c r="U1809" s="232" t="str">
        <f>IFERROR(W1809/(((100*Y1809/Y1815)*I1814)/100),"")</f>
        <v/>
      </c>
      <c r="V1809" s="234" t="str">
        <f>IFERROR(VLOOKUP($G1809,нормы!$A$14:$BC$57,38,0),"")</f>
        <v/>
      </c>
      <c r="W1809" s="136"/>
      <c r="X1809" s="236"/>
      <c r="Y1809" s="152" t="str">
        <f>IFERROR(VLOOKUP($G1809,нормы!$A$14:$BC$57,42,0)*W1809,"")</f>
        <v/>
      </c>
      <c r="Z1809" s="163">
        <f>IFERROR(VLOOKUP($G1809,нормы!$A$14:$BC$57,14,0)*W1809/1000,0)</f>
        <v>0</v>
      </c>
      <c r="AA1809" s="33"/>
      <c r="AB1809" s="36"/>
      <c r="AC1809" s="36"/>
      <c r="AD1809" s="36"/>
      <c r="AE1809" s="34"/>
      <c r="AF1809" s="159"/>
      <c r="AG1809" s="390"/>
      <c r="AH1809" s="393"/>
      <c r="AI1809" s="396"/>
      <c r="AJ1809" s="407">
        <f>AG1809+AH1809</f>
        <v>0</v>
      </c>
      <c r="AK1809" s="359"/>
      <c r="AL1809" s="359"/>
      <c r="AM1809" s="359"/>
      <c r="AN1809" s="287">
        <f>IFERROR(Y1809*AJ1809/Y1815,)</f>
        <v>0</v>
      </c>
      <c r="AO1809" s="197" t="str">
        <f>IFERROR(VLOOKUP($G1809,нормы!$A$14:$BC$57,53,0)*$W1809,"")</f>
        <v/>
      </c>
      <c r="AP1809" s="288">
        <f>IFERROR(Y1809*AI1809/Y1815,)</f>
        <v>0</v>
      </c>
      <c r="AQ1809" s="197" t="str">
        <f>IFERROR(VLOOKUP($G1809,нормы!$A$14:$BC$57,54,0)*$W1809,"")</f>
        <v/>
      </c>
      <c r="AR1809" s="288">
        <f>IFERROR(AS1809/SUM(AS1809:AS1814)*AL1809,0)</f>
        <v>0</v>
      </c>
      <c r="AS1809" s="197" t="str">
        <f>IFERROR(VLOOKUP($G1809,нормы!$A$14:$BC$57,55,0)*W1809,"")</f>
        <v/>
      </c>
      <c r="AT1809" s="288">
        <f>IFERROR(AU1809/SUM(AU1809:AU1814)*AM1809,0)</f>
        <v>0</v>
      </c>
      <c r="AU1809" s="197" t="str">
        <f>IFERROR(VLOOKUP($G1809,нормы!$A$14:$BI$57,56,0)*W1809,"")</f>
        <v/>
      </c>
      <c r="AV1809" s="288">
        <f>IFERROR(AW1809/SUM(AW1809:AW1814)*AK1809,0)</f>
        <v>0</v>
      </c>
      <c r="AW1809" s="202" t="str">
        <f>IFERROR(VLOOKUP($G1809,нормы!$A$14:$BI$57,57,0)*W1809,"")</f>
        <v/>
      </c>
      <c r="AX1809" s="33"/>
      <c r="AY1809" s="203" t="str">
        <f>IFERROR(VLOOKUP($G1809,нормы!$A$14:$BI$57,58,0)*W1809,"")</f>
        <v/>
      </c>
      <c r="AZ1809" s="204"/>
      <c r="BA1809" s="200" t="str">
        <f>IFERROR(VLOOKUP($G1809,нормы!$A$14:$BI$57,61,0)*$W1809,"")</f>
        <v/>
      </c>
      <c r="BB1809" s="33"/>
      <c r="BC1809" s="203" t="str">
        <f>IFERROR(VLOOKUP($G1809,нормы!$A$14:$BI$57,60,0)*W1809,"")</f>
        <v/>
      </c>
      <c r="BD1809" s="200" t="str">
        <f>IFERROR(VLOOKUP($G1809,нормы!$A$14:$BG$57,44,0),"")</f>
        <v/>
      </c>
      <c r="BE1809" s="199" t="str">
        <f>IFERROR(W1809/VLOOKUP($G1809,нормы!$A$14:$BI$57,45,0),"")</f>
        <v/>
      </c>
    </row>
    <row r="1810" spans="1:57" s="1" customFormat="1" ht="21.6" customHeight="1" x14ac:dyDescent="0.4">
      <c r="A1810" s="37" t="str">
        <f t="shared" ref="A1810:D1838" si="713">A1809</f>
        <v>30Д</v>
      </c>
      <c r="B1810" s="12">
        <f>B1809</f>
        <v>30</v>
      </c>
      <c r="C1810" s="97">
        <f t="shared" ref="C1810:D1810" si="714">C1809</f>
        <v>0</v>
      </c>
      <c r="D1810" s="97">
        <f t="shared" si="714"/>
        <v>1</v>
      </c>
      <c r="E1810" s="54"/>
      <c r="F1810" s="151" t="str">
        <f>IFERROR(VLOOKUP($G1810,нормы!$A$14:$BC$57,2,0),"")</f>
        <v/>
      </c>
      <c r="G1810" s="93"/>
      <c r="H1810" s="54">
        <f t="shared" ref="H1810:H1814" si="715">IF(C1810=1,"Кульков С.А.", IF(C1810=2,"Чудаков А.А.",IF(C1810=3,"Королев В.Н.",IF(C1810=4,"Николашин М.П.",IF(C1810=5," Кульков С.А.",IF(C1810=6,"А.А. Чудаков",IF(C1810=7,"В.Н. Королев",IF(C1810=8,"М.П. Николашин",0))))))))</f>
        <v>0</v>
      </c>
      <c r="I1810" s="55"/>
      <c r="J1810" s="333"/>
      <c r="K1810" s="30">
        <f>IFERROR(VLOOKUP($G1810,[1]нормы!$A$21:$BC$151,15,0),"")</f>
        <v>0</v>
      </c>
      <c r="L1810" s="31">
        <f>IFERROR(VLOOKUP($G1810,[1]нормы!$A$21:$BC$151,17,0),"")</f>
        <v>0</v>
      </c>
      <c r="M1810" s="306">
        <f>IFERROR(VLOOKUP($G1810,[1]нормы!$A$21:$BC$151,27,0),"")</f>
        <v>0</v>
      </c>
      <c r="N1810" s="307" t="str">
        <f>IFERROR(Y1810/Y1815*(1.1*J1809*I1814),"")</f>
        <v/>
      </c>
      <c r="O1810" s="300">
        <f>IFERROR(VLOOKUP($G1810,[1]нормы!$A$21:$BC$151,21,0),"")</f>
        <v>0</v>
      </c>
      <c r="P1810" s="35">
        <f>IFERROR(VLOOKUP($G1810,[1]нормы!$A$21:$BC$151,19,0),"")</f>
        <v>0</v>
      </c>
      <c r="Q1810" s="35">
        <f>IFERROR(VLOOKUP($G1810,[1]нормы!$A$21:$BC$151,23,0),"")</f>
        <v>0</v>
      </c>
      <c r="R1810" s="231">
        <f>IFERROR(VLOOKUP($G1810,[1]нормы!$A$21:$BC$151,29,0),"")</f>
        <v>0</v>
      </c>
      <c r="S1810" s="35">
        <f>IFERROR(VLOOKUP($G1810,[1]нормы!$A$21:$BC$151,31,0),"")</f>
        <v>0</v>
      </c>
      <c r="T1810" s="32">
        <f>IFERROR(VLOOKUP($G1810,[1]нормы!$A$21:$BC$151,25,0),"")</f>
        <v>0</v>
      </c>
      <c r="U1810" s="233" t="str">
        <f>IFERROR(W1810/(((100*Y1810/Y1815)*I1814)/100),"")</f>
        <v/>
      </c>
      <c r="V1810" s="234" t="str">
        <f>IFERROR(VLOOKUP($G1810,нормы!$A$14:$BC$57,38,0),"")</f>
        <v/>
      </c>
      <c r="W1810" s="136"/>
      <c r="X1810" s="237"/>
      <c r="Y1810" s="152" t="str">
        <f>IFERROR(VLOOKUP($G1810,нормы!$A$14:$BC$57,42,0)*W1810,"")</f>
        <v/>
      </c>
      <c r="Z1810" s="163">
        <f>IFERROR(VLOOKUP($G1810,нормы!$A$14:$BC$57,14,0)*W1810/1000,0)</f>
        <v>0</v>
      </c>
      <c r="AA1810" s="142"/>
      <c r="AB1810" s="35"/>
      <c r="AC1810" s="35"/>
      <c r="AD1810" s="35"/>
      <c r="AE1810" s="31"/>
      <c r="AF1810" s="160"/>
      <c r="AG1810" s="391"/>
      <c r="AH1810" s="394"/>
      <c r="AI1810" s="397"/>
      <c r="AJ1810" s="408"/>
      <c r="AK1810" s="360"/>
      <c r="AL1810" s="360"/>
      <c r="AM1810" s="360"/>
      <c r="AN1810" s="289">
        <f>IFERROR(Y1810*AJ1809/Y1815,)</f>
        <v>0</v>
      </c>
      <c r="AO1810" s="197" t="str">
        <f>IFERROR(VLOOKUP($G1810,нормы!$A$14:$BC$57,53,0)*$W1810,"")</f>
        <v/>
      </c>
      <c r="AP1810" s="290">
        <f>IFERROR(Y1810*AI1809/Y1815,)</f>
        <v>0</v>
      </c>
      <c r="AQ1810" s="197" t="str">
        <f>IFERROR(VLOOKUP($G1810,нормы!$A$14:$BC$57,54,0)*$W1810,"")</f>
        <v/>
      </c>
      <c r="AR1810" s="290">
        <f>IFERROR(AS1810/SUM(AS1809:AS1814)*AL1809,0)</f>
        <v>0</v>
      </c>
      <c r="AS1810" s="197" t="str">
        <f>IFERROR(VLOOKUP($G1810,нормы!$A$14:$BC$57,55,0)*W1810,"")</f>
        <v/>
      </c>
      <c r="AT1810" s="290">
        <f>IFERROR(AU1810/SUM(AU1809:AU1814)*AM1809,0)</f>
        <v>0</v>
      </c>
      <c r="AU1810" s="197" t="str">
        <f>IFERROR(VLOOKUP($G1810,нормы!$A$14:$BI$57,56,0)*W1810,"")</f>
        <v/>
      </c>
      <c r="AV1810" s="290">
        <f>IFERROR(AW1810/SUM(AW1809:AW1814)*AK1809,0)</f>
        <v>0</v>
      </c>
      <c r="AW1810" s="202" t="str">
        <f>IFERROR(VLOOKUP($G1810,нормы!$A$14:$BI$57,57,0)*W1810,"")</f>
        <v/>
      </c>
      <c r="AX1810" s="30"/>
      <c r="AY1810" s="203" t="str">
        <f>IFERROR(VLOOKUP($G1810,нормы!$A$14:$BI$57,58,0)*W1810,"")</f>
        <v/>
      </c>
      <c r="AZ1810" s="205"/>
      <c r="BA1810" s="200" t="str">
        <f>IFERROR(VLOOKUP($G1810,нормы!$A$14:$BI$57,61,0)*$W1810,"")</f>
        <v/>
      </c>
      <c r="BB1810" s="30"/>
      <c r="BC1810" s="203" t="str">
        <f>IFERROR(VLOOKUP($G1810,нормы!$A$14:$BI$57,60,0)*W1810,"")</f>
        <v/>
      </c>
      <c r="BD1810" s="200" t="str">
        <f>IFERROR(VLOOKUP($G1810,нормы!$A$14:$BG$57,44,0),"")</f>
        <v/>
      </c>
      <c r="BE1810" s="199" t="str">
        <f>IFERROR(W1810/VLOOKUP($G1810,нормы!$A$14:$BI$57,45,0),"")</f>
        <v/>
      </c>
    </row>
    <row r="1811" spans="1:57" s="1" customFormat="1" ht="20.25" customHeight="1" x14ac:dyDescent="0.4">
      <c r="A1811" s="37" t="str">
        <f t="shared" si="713"/>
        <v>30Д</v>
      </c>
      <c r="B1811" s="12">
        <f t="shared" si="713"/>
        <v>30</v>
      </c>
      <c r="C1811" s="97">
        <f t="shared" si="713"/>
        <v>0</v>
      </c>
      <c r="D1811" s="97">
        <f t="shared" si="713"/>
        <v>1</v>
      </c>
      <c r="E1811" s="54"/>
      <c r="F1811" s="151" t="str">
        <f>IFERROR(VLOOKUP($G1811,нормы!$A$14:$BC$57,2,0),"")</f>
        <v/>
      </c>
      <c r="G1811" s="38"/>
      <c r="H1811" s="54">
        <f t="shared" si="715"/>
        <v>0</v>
      </c>
      <c r="I1811" s="89" t="s">
        <v>85</v>
      </c>
      <c r="J1811" s="333"/>
      <c r="K1811" s="30">
        <f>IFERROR(VLOOKUP($G1811,[1]нормы!$A$21:$BC$151,15,0),"")</f>
        <v>0</v>
      </c>
      <c r="L1811" s="31">
        <f>IFERROR(VLOOKUP($G1811,[1]нормы!$A$21:$BC$151,17,0),"")</f>
        <v>0</v>
      </c>
      <c r="M1811" s="306">
        <f>IFERROR(VLOOKUP($G1811,[1]нормы!$A$21:$BC$151,27,0),"")</f>
        <v>0</v>
      </c>
      <c r="N1811" s="307" t="str">
        <f>IFERROR(Y1811/Y1815*(1.1*J1809*I1814),"")</f>
        <v/>
      </c>
      <c r="O1811" s="300">
        <f>IFERROR(VLOOKUP($G1811,[1]нормы!$A$21:$BC$151,21,0),"")</f>
        <v>0</v>
      </c>
      <c r="P1811" s="35">
        <f>IFERROR(VLOOKUP($G1811,[1]нормы!$A$21:$BC$151,19,0),"")</f>
        <v>0</v>
      </c>
      <c r="Q1811" s="35">
        <f>IFERROR(VLOOKUP($G1811,[1]нормы!$A$21:$BC$151,23,0),"")</f>
        <v>0</v>
      </c>
      <c r="R1811" s="231">
        <f>IFERROR(VLOOKUP($G1811,[1]нормы!$A$21:$BC$151,29,0),"")</f>
        <v>0</v>
      </c>
      <c r="S1811" s="35">
        <f>IFERROR(VLOOKUP($G1811,[1]нормы!$A$21:$BC$151,31,0),"")</f>
        <v>0</v>
      </c>
      <c r="T1811" s="32">
        <f>IFERROR(VLOOKUP($G1811,[1]нормы!$A$21:$BC$151,25,0),"")</f>
        <v>0</v>
      </c>
      <c r="U1811" s="233" t="str">
        <f>IFERROR(W1811/(((100*Y1811/Y1815)*I1814)/100),"")</f>
        <v/>
      </c>
      <c r="V1811" s="234" t="str">
        <f>IFERROR(VLOOKUP($G1811,нормы!$A$14:$BC$57,38,0),"")</f>
        <v/>
      </c>
      <c r="W1811" s="136"/>
      <c r="X1811" s="237"/>
      <c r="Y1811" s="152" t="str">
        <f>IFERROR(VLOOKUP($G1811,нормы!$A$14:$BC$57,42,0)*W1811,"")</f>
        <v/>
      </c>
      <c r="Z1811" s="163">
        <f>IFERROR(VLOOKUP($G1811,нормы!$A$14:$BC$57,14,0)*W1811/1000,0)</f>
        <v>0</v>
      </c>
      <c r="AA1811" s="30"/>
      <c r="AB1811" s="35"/>
      <c r="AC1811" s="35"/>
      <c r="AD1811" s="35"/>
      <c r="AE1811" s="31"/>
      <c r="AF1811" s="160"/>
      <c r="AG1811" s="391"/>
      <c r="AH1811" s="394"/>
      <c r="AI1811" s="397"/>
      <c r="AJ1811" s="408"/>
      <c r="AK1811" s="360"/>
      <c r="AL1811" s="360"/>
      <c r="AM1811" s="360"/>
      <c r="AN1811" s="289">
        <f>IFERROR(Y1811*AJ1809/Y1815,)</f>
        <v>0</v>
      </c>
      <c r="AO1811" s="197" t="str">
        <f>IFERROR(VLOOKUP($G1811,нормы!$A$14:$BC$57,53,0)*$W1811,"")</f>
        <v/>
      </c>
      <c r="AP1811" s="290">
        <f>IFERROR(Y1811*AI1809/Y1815,)</f>
        <v>0</v>
      </c>
      <c r="AQ1811" s="197" t="str">
        <f>IFERROR(VLOOKUP($G1811,нормы!$A$14:$BC$57,54,0)*$W1811,"")</f>
        <v/>
      </c>
      <c r="AR1811" s="290">
        <f>IFERROR(AS1811/SUM(AS1809:AS1814)*AL1809,0)</f>
        <v>0</v>
      </c>
      <c r="AS1811" s="197" t="str">
        <f>IFERROR(VLOOKUP($G1811,нормы!$A$14:$BC$57,55,0)*W1811,"")</f>
        <v/>
      </c>
      <c r="AT1811" s="290">
        <f>IFERROR(AU1811/SUM(AU1809:AU1814)*AM1809,0)</f>
        <v>0</v>
      </c>
      <c r="AU1811" s="197" t="str">
        <f>IFERROR(VLOOKUP($G1811,нормы!$A$14:$BI$57,56,0)*W1811,"")</f>
        <v/>
      </c>
      <c r="AV1811" s="290">
        <f>IFERROR(AW1811/SUM(AW1809:AW1814)*AK1809,0)</f>
        <v>0</v>
      </c>
      <c r="AW1811" s="202" t="str">
        <f>IFERROR(VLOOKUP($G1811,нормы!$A$14:$BI$57,57,0)*W1811,"")</f>
        <v/>
      </c>
      <c r="AX1811" s="30"/>
      <c r="AY1811" s="203" t="str">
        <f>IFERROR(VLOOKUP($G1811,нормы!$A$14:$BI$57,58,0)*W1811,"")</f>
        <v/>
      </c>
      <c r="AZ1811" s="205"/>
      <c r="BA1811" s="200" t="str">
        <f>IFERROR(VLOOKUP($G1811,нормы!$A$14:$BI$57,61,0)*$W1811,"")</f>
        <v/>
      </c>
      <c r="BB1811" s="30"/>
      <c r="BC1811" s="203" t="str">
        <f>IFERROR(VLOOKUP($G1811,нормы!$A$14:$BI$57,60,0)*W1811,"")</f>
        <v/>
      </c>
      <c r="BD1811" s="200" t="str">
        <f>IFERROR(VLOOKUP($G1811,нормы!$A$14:$BG$57,44,0),"")</f>
        <v/>
      </c>
      <c r="BE1811" s="199" t="str">
        <f>IFERROR(W1811/VLOOKUP($G1811,нормы!$A$14:$BI$57,45,0),"")</f>
        <v/>
      </c>
    </row>
    <row r="1812" spans="1:57" s="1" customFormat="1" ht="20.25" customHeight="1" x14ac:dyDescent="0.4">
      <c r="A1812" s="37" t="str">
        <f t="shared" si="713"/>
        <v>30Д</v>
      </c>
      <c r="B1812" s="12">
        <f t="shared" si="713"/>
        <v>30</v>
      </c>
      <c r="C1812" s="97">
        <f t="shared" si="713"/>
        <v>0</v>
      </c>
      <c r="D1812" s="97">
        <f t="shared" si="713"/>
        <v>1</v>
      </c>
      <c r="E1812" s="54"/>
      <c r="F1812" s="151" t="str">
        <f>IFERROR(VLOOKUP($G1812,нормы!$A$14:$BC$57,2,0),"")</f>
        <v/>
      </c>
      <c r="G1812" s="93"/>
      <c r="H1812" s="54">
        <f t="shared" si="715"/>
        <v>0</v>
      </c>
      <c r="I1812" s="55"/>
      <c r="J1812" s="333"/>
      <c r="K1812" s="30">
        <f>IFERROR(VLOOKUP($G1812,[1]нормы!$A$21:$BC$151,15,0),"")</f>
        <v>0</v>
      </c>
      <c r="L1812" s="31">
        <f>IFERROR(VLOOKUP($G1812,[1]нормы!$A$21:$BC$151,17,0),"")</f>
        <v>0</v>
      </c>
      <c r="M1812" s="306">
        <f>IFERROR(VLOOKUP($G1812,[1]нормы!$A$21:$BC$151,27,0),"")</f>
        <v>0</v>
      </c>
      <c r="N1812" s="307" t="str">
        <f>IFERROR(Y1812/Y1815*(1.1*J1809*I1817),"")</f>
        <v/>
      </c>
      <c r="O1812" s="300">
        <f>IFERROR(VLOOKUP($G1812,[1]нормы!$A$21:$BC$151,21,0),"")</f>
        <v>0</v>
      </c>
      <c r="P1812" s="35">
        <f>IFERROR(VLOOKUP($G1812,[1]нормы!$A$21:$BC$151,19,0),"")</f>
        <v>0</v>
      </c>
      <c r="Q1812" s="35">
        <f>IFERROR(VLOOKUP($G1812,[1]нормы!$A$21:$BC$151,23,0),"")</f>
        <v>0</v>
      </c>
      <c r="R1812" s="231">
        <f>IFERROR(VLOOKUP($G1812,[1]нормы!$A$21:$BC$151,29,0),"")</f>
        <v>0</v>
      </c>
      <c r="S1812" s="35">
        <f>IFERROR(VLOOKUP($G1812,[1]нормы!$A$21:$BC$151,31,0),"")</f>
        <v>0</v>
      </c>
      <c r="T1812" s="32">
        <f>IFERROR(VLOOKUP($G1812,[1]нормы!$A$21:$BC$151,25,0),"")</f>
        <v>0</v>
      </c>
      <c r="U1812" s="233" t="str">
        <f>IFERROR(W1812/(((100*Y1812/Y1815)*I1814)/100),"")</f>
        <v/>
      </c>
      <c r="V1812" s="234" t="str">
        <f>IFERROR(VLOOKUP($G1812,нормы!$A$14:$BC$57,38,0),"")</f>
        <v/>
      </c>
      <c r="W1812" s="136"/>
      <c r="X1812" s="237"/>
      <c r="Y1812" s="152" t="str">
        <f>IFERROR(VLOOKUP($G1812,нормы!$A$14:$BC$57,42,0)*W1812,"")</f>
        <v/>
      </c>
      <c r="Z1812" s="163">
        <f>IFERROR(VLOOKUP($G1812,нормы!$A$14:$BC$57,14,0)*W1812/1000,0)</f>
        <v>0</v>
      </c>
      <c r="AA1812" s="30"/>
      <c r="AB1812" s="35"/>
      <c r="AC1812" s="35"/>
      <c r="AD1812" s="35"/>
      <c r="AE1812" s="31"/>
      <c r="AF1812" s="160"/>
      <c r="AG1812" s="391"/>
      <c r="AH1812" s="394"/>
      <c r="AI1812" s="397"/>
      <c r="AJ1812" s="408"/>
      <c r="AK1812" s="360"/>
      <c r="AL1812" s="360"/>
      <c r="AM1812" s="360"/>
      <c r="AN1812" s="289">
        <f>IFERROR(Y1812*AJ1809/Y1815,)</f>
        <v>0</v>
      </c>
      <c r="AO1812" s="197" t="str">
        <f>IFERROR(VLOOKUP($G1812,нормы!$A$14:$BC$57,53,0)*$W1812,"")</f>
        <v/>
      </c>
      <c r="AP1812" s="290">
        <f>IFERROR(Y1812*AI1809/Y1815,)</f>
        <v>0</v>
      </c>
      <c r="AQ1812" s="197" t="str">
        <f>IFERROR(VLOOKUP($G1812,нормы!$A$14:$BC$57,54,0)*$W1812,"")</f>
        <v/>
      </c>
      <c r="AR1812" s="290">
        <f>IFERROR(AS1812/SUM(AS1809:AS1814)*AL1809,0)</f>
        <v>0</v>
      </c>
      <c r="AS1812" s="197" t="str">
        <f>IFERROR(VLOOKUP($G1812,нормы!$A$14:$BC$57,55,0)*W1812,"")</f>
        <v/>
      </c>
      <c r="AT1812" s="290">
        <f>IFERROR(AU1812/SUM(AU1809:AU1814)*AM1809,0)</f>
        <v>0</v>
      </c>
      <c r="AU1812" s="197" t="str">
        <f>IFERROR(VLOOKUP($G1812,нормы!$A$14:$BI$57,56,0)*W1812,"")</f>
        <v/>
      </c>
      <c r="AV1812" s="290">
        <f>IFERROR(AW1812/SUM(AW1809:AW1814)*AK1809,0)</f>
        <v>0</v>
      </c>
      <c r="AW1812" s="202" t="str">
        <f>IFERROR(VLOOKUP($G1812,нормы!$A$14:$BI$57,57,0)*W1812,"")</f>
        <v/>
      </c>
      <c r="AX1812" s="30"/>
      <c r="AY1812" s="203" t="str">
        <f>IFERROR(VLOOKUP($G1812,нормы!$A$14:$BI$57,58,0)*W1812,"")</f>
        <v/>
      </c>
      <c r="AZ1812" s="205"/>
      <c r="BA1812" s="200" t="str">
        <f>IFERROR(VLOOKUP($G1812,нормы!$A$14:$BI$57,61,0)*$W1812,"")</f>
        <v/>
      </c>
      <c r="BB1812" s="30"/>
      <c r="BC1812" s="203" t="str">
        <f>IFERROR(VLOOKUP($G1812,нормы!$A$14:$BI$57,60,0)*W1812,"")</f>
        <v/>
      </c>
      <c r="BD1812" s="200" t="str">
        <f>IFERROR(VLOOKUP($G1812,нормы!$A$14:$BG$57,44,0),"")</f>
        <v/>
      </c>
      <c r="BE1812" s="199" t="str">
        <f>IFERROR(W1812/VLOOKUP($G1812,нормы!$A$14:$BI$57,45,0),"")</f>
        <v/>
      </c>
    </row>
    <row r="1813" spans="1:57" s="1" customFormat="1" ht="20.25" customHeight="1" x14ac:dyDescent="0.4">
      <c r="A1813" s="37" t="str">
        <f t="shared" si="713"/>
        <v>30Д</v>
      </c>
      <c r="B1813" s="12">
        <f t="shared" si="713"/>
        <v>30</v>
      </c>
      <c r="C1813" s="97">
        <f t="shared" si="713"/>
        <v>0</v>
      </c>
      <c r="D1813" s="97">
        <f t="shared" si="713"/>
        <v>1</v>
      </c>
      <c r="E1813" s="54"/>
      <c r="F1813" s="151" t="str">
        <f>IFERROR(VLOOKUP($G1813,нормы!$A$14:$BC$57,2,0),"")</f>
        <v/>
      </c>
      <c r="G1813" s="38"/>
      <c r="H1813" s="54">
        <f t="shared" si="715"/>
        <v>0</v>
      </c>
      <c r="I1813" s="89" t="s">
        <v>73</v>
      </c>
      <c r="J1813" s="333"/>
      <c r="K1813" s="30">
        <f>IFERROR(VLOOKUP($G1813,[1]нормы!$A$21:$BC$151,15,0),"")</f>
        <v>0</v>
      </c>
      <c r="L1813" s="31">
        <f>IFERROR(VLOOKUP($G1813,[1]нормы!$A$21:$BC$151,17,0),"")</f>
        <v>0</v>
      </c>
      <c r="M1813" s="306">
        <f>IFERROR(VLOOKUP($G1813,[1]нормы!$A$21:$BC$151,27,0),"")</f>
        <v>0</v>
      </c>
      <c r="N1813" s="307" t="str">
        <f>IFERROR(Y1813/Y1815*(1.1*J1809*I1818),"")</f>
        <v/>
      </c>
      <c r="O1813" s="300">
        <f>IFERROR(VLOOKUP($G1813,[1]нормы!$A$21:$BC$151,21,0),"")</f>
        <v>0</v>
      </c>
      <c r="P1813" s="35">
        <f>IFERROR(VLOOKUP($G1813,[1]нормы!$A$21:$BC$151,19,0),"")</f>
        <v>0</v>
      </c>
      <c r="Q1813" s="35">
        <f>IFERROR(VLOOKUP($G1813,[1]нормы!$A$21:$BC$151,23,0),"")</f>
        <v>0</v>
      </c>
      <c r="R1813" s="231">
        <f>IFERROR(VLOOKUP($G1813,[1]нормы!$A$21:$BC$151,29,0),"")</f>
        <v>0</v>
      </c>
      <c r="S1813" s="35">
        <f>IFERROR(VLOOKUP($G1813,[1]нормы!$A$21:$BC$151,31,0),"")</f>
        <v>0</v>
      </c>
      <c r="T1813" s="32">
        <f>IFERROR(VLOOKUP($G1813,[1]нормы!$A$21:$BC$151,25,0),"")</f>
        <v>0</v>
      </c>
      <c r="U1813" s="233" t="str">
        <f>IFERROR(W1813/(((100*Y1813/Y1815)*I1814)/100),"")</f>
        <v/>
      </c>
      <c r="V1813" s="234" t="str">
        <f>IFERROR(VLOOKUP($G1813,нормы!$A$14:$BC$57,38,0),"")</f>
        <v/>
      </c>
      <c r="W1813" s="136"/>
      <c r="X1813" s="237"/>
      <c r="Y1813" s="152" t="str">
        <f>IFERROR(VLOOKUP($G1813,нормы!$A$14:$BC$57,42,0)*W1813,"")</f>
        <v/>
      </c>
      <c r="Z1813" s="163">
        <f>IFERROR(VLOOKUP($G1813,нормы!$A$14:$BC$57,14,0)*W1813/1000,0)</f>
        <v>0</v>
      </c>
      <c r="AA1813" s="30"/>
      <c r="AB1813" s="35"/>
      <c r="AC1813" s="35"/>
      <c r="AD1813" s="35"/>
      <c r="AE1813" s="31"/>
      <c r="AF1813" s="160"/>
      <c r="AG1813" s="391"/>
      <c r="AH1813" s="394"/>
      <c r="AI1813" s="397"/>
      <c r="AJ1813" s="408"/>
      <c r="AK1813" s="360"/>
      <c r="AL1813" s="360"/>
      <c r="AM1813" s="360"/>
      <c r="AN1813" s="289">
        <f>IFERROR(Y1813*AJ1809/Y1815,)</f>
        <v>0</v>
      </c>
      <c r="AO1813" s="197" t="str">
        <f>IFERROR(VLOOKUP($G1813,нормы!$A$14:$BC$57,53,0)*$W1813,"")</f>
        <v/>
      </c>
      <c r="AP1813" s="290">
        <f>IFERROR(Y1813*AI1809/Y1815,)</f>
        <v>0</v>
      </c>
      <c r="AQ1813" s="197" t="str">
        <f>IFERROR(VLOOKUP($G1813,нормы!$A$14:$BC$57,54,0)*$W1813,"")</f>
        <v/>
      </c>
      <c r="AR1813" s="290">
        <f>IFERROR(AS1813/SUM(AS1809:AS1814)*AL1809,0)</f>
        <v>0</v>
      </c>
      <c r="AS1813" s="197" t="str">
        <f>IFERROR(VLOOKUP($G1813,нормы!$A$14:$BC$57,55,0)*W1813,"")</f>
        <v/>
      </c>
      <c r="AT1813" s="290">
        <f>IFERROR(AU1813/SUM(AU1809:AU1814)*AM1809,0)</f>
        <v>0</v>
      </c>
      <c r="AU1813" s="197" t="str">
        <f>IFERROR(VLOOKUP($G1813,нормы!$A$14:$BI$57,56,0)*W1813,"")</f>
        <v/>
      </c>
      <c r="AV1813" s="290">
        <f>IFERROR(AW1813/SUM(AW1809:AW1814)*AK1809,0)</f>
        <v>0</v>
      </c>
      <c r="AW1813" s="202" t="str">
        <f>IFERROR(VLOOKUP($G1813,нормы!$A$14:$BI$57,57,0)*W1813,"")</f>
        <v/>
      </c>
      <c r="AX1813" s="30"/>
      <c r="AY1813" s="203" t="str">
        <f>IFERROR(VLOOKUP($G1813,нормы!$A$14:$BI$57,58,0)*W1813,"")</f>
        <v/>
      </c>
      <c r="AZ1813" s="205"/>
      <c r="BA1813" s="200" t="str">
        <f>IFERROR(VLOOKUP($G1813,нормы!$A$14:$BI$57,61,0)*$W1813,"")</f>
        <v/>
      </c>
      <c r="BB1813" s="30"/>
      <c r="BC1813" s="203" t="str">
        <f>IFERROR(VLOOKUP($G1813,нормы!$A$14:$BI$57,60,0)*W1813,"")</f>
        <v/>
      </c>
      <c r="BD1813" s="200" t="str">
        <f>IFERROR(VLOOKUP($G1813,нормы!$A$14:$BG$57,44,0),"")</f>
        <v/>
      </c>
      <c r="BE1813" s="199" t="str">
        <f>IFERROR(W1813/VLOOKUP($G1813,нормы!$A$14:$BI$57,45,0),"")</f>
        <v/>
      </c>
    </row>
    <row r="1814" spans="1:57" s="1" customFormat="1" ht="21" customHeight="1" thickBot="1" x14ac:dyDescent="0.45">
      <c r="A1814" s="37" t="str">
        <f t="shared" si="713"/>
        <v>30Д</v>
      </c>
      <c r="B1814" s="12">
        <f t="shared" si="713"/>
        <v>30</v>
      </c>
      <c r="C1814" s="97">
        <f t="shared" si="713"/>
        <v>0</v>
      </c>
      <c r="D1814" s="97">
        <f t="shared" si="713"/>
        <v>1</v>
      </c>
      <c r="E1814" s="54"/>
      <c r="F1814" s="151" t="str">
        <f>IFERROR(VLOOKUP($G1814,нормы!$A$14:$BC$57,2,0),"")</f>
        <v/>
      </c>
      <c r="G1814" s="93"/>
      <c r="H1814" s="63">
        <f t="shared" si="715"/>
        <v>0</v>
      </c>
      <c r="I1814" s="153">
        <f>I1810+I1812</f>
        <v>0</v>
      </c>
      <c r="J1814" s="334"/>
      <c r="K1814" s="30">
        <f>IFERROR(VLOOKUP($G1814,[1]нормы!$A$21:$BC$151,15,0),"")</f>
        <v>0</v>
      </c>
      <c r="L1814" s="31">
        <f>IFERROR(VLOOKUP($G1814,[1]нормы!$A$21:$BC$151,17,0),"")</f>
        <v>0</v>
      </c>
      <c r="M1814" s="308">
        <f>IFERROR(VLOOKUP($G1814,[1]нормы!$A$21:$BC$151,27,0),"")</f>
        <v>0</v>
      </c>
      <c r="N1814" s="309" t="str">
        <f>IFERROR(Y1814/Y1815*(1.1*J1809*I1819),"")</f>
        <v/>
      </c>
      <c r="O1814" s="300">
        <f>IFERROR(VLOOKUP($G1814,[1]нормы!$A$21:$BC$151,21,0),"")</f>
        <v>0</v>
      </c>
      <c r="P1814" s="35">
        <f>IFERROR(VLOOKUP($G1814,[1]нормы!$A$21:$BC$151,19,0),"")</f>
        <v>0</v>
      </c>
      <c r="Q1814" s="35">
        <f>IFERROR(VLOOKUP($G1814,[1]нормы!$A$21:$BC$151,23,0),"")</f>
        <v>0</v>
      </c>
      <c r="R1814" s="231">
        <f>IFERROR(VLOOKUP($G1814,[1]нормы!$A$21:$BC$151,29,0),"")</f>
        <v>0</v>
      </c>
      <c r="S1814" s="35">
        <f>IFERROR(VLOOKUP($G1814,[1]нормы!$A$21:$BC$151,31,0),"")</f>
        <v>0</v>
      </c>
      <c r="T1814" s="32">
        <f>IFERROR(VLOOKUP($G1814,[1]нормы!$A$21:$BC$151,25,0),"")</f>
        <v>0</v>
      </c>
      <c r="U1814" s="235" t="str">
        <f>IFERROR(W1814/(((100*Y1814/Y1815)*I1814)/100),"")</f>
        <v/>
      </c>
      <c r="V1814" s="234" t="str">
        <f>IFERROR(VLOOKUP($G1814,нормы!$A$14:$BC$57,38,0),"")</f>
        <v/>
      </c>
      <c r="W1814" s="154"/>
      <c r="X1814" s="238"/>
      <c r="Y1814" s="152" t="str">
        <f>IFERROR(VLOOKUP($G1814,нормы!$A$14:$BC$57,42,0)*W1814,"")</f>
        <v/>
      </c>
      <c r="Z1814" s="163">
        <f>IFERROR(VLOOKUP($G1814,нормы!$A$14:$BC$57,14,0)*W1814/1000,0)</f>
        <v>0</v>
      </c>
      <c r="AA1814" s="56"/>
      <c r="AB1814" s="58"/>
      <c r="AC1814" s="58"/>
      <c r="AD1814" s="58"/>
      <c r="AE1814" s="57"/>
      <c r="AF1814" s="161"/>
      <c r="AG1814" s="392"/>
      <c r="AH1814" s="395"/>
      <c r="AI1814" s="398"/>
      <c r="AJ1814" s="409"/>
      <c r="AK1814" s="361"/>
      <c r="AL1814" s="361"/>
      <c r="AM1814" s="361"/>
      <c r="AN1814" s="291">
        <f>IFERROR(Y1814*AJ1809/Y1815,)</f>
        <v>0</v>
      </c>
      <c r="AO1814" s="197" t="str">
        <f>IFERROR(VLOOKUP($G1814,нормы!$A$14:$BC$57,53,0)*$W1814,"")</f>
        <v/>
      </c>
      <c r="AP1814" s="292">
        <f>IFERROR(Y1814*AI1809/Y1815,)</f>
        <v>0</v>
      </c>
      <c r="AQ1814" s="197" t="str">
        <f>IFERROR(VLOOKUP($G1814,нормы!$A$14:$BC$57,54,0)*$W1814,"")</f>
        <v/>
      </c>
      <c r="AR1814" s="290">
        <f>IFERROR(AS1814/SUM(AS1809:AS1814)*AL1809,0)</f>
        <v>0</v>
      </c>
      <c r="AS1814" s="197" t="str">
        <f>IFERROR(VLOOKUP($G1814,нормы!$A$14:$BC$57,55,0)*W1814,"")</f>
        <v/>
      </c>
      <c r="AT1814" s="292">
        <f>IFERROR(AU1814/SUM(AU1809:AU1814)*AM1809,0)</f>
        <v>0</v>
      </c>
      <c r="AU1814" s="197" t="str">
        <f>IFERROR(VLOOKUP($G1814,нормы!$A$14:$BI$57,56,0)*W1814,"")</f>
        <v/>
      </c>
      <c r="AV1814" s="292">
        <f>IFERROR(AW1814/SUM(AW1809:AW1814)*AK1809,0)</f>
        <v>0</v>
      </c>
      <c r="AW1814" s="202" t="str">
        <f>IFERROR(VLOOKUP($G1814,нормы!$A$14:$BI$57,57,0)*W1814,"")</f>
        <v/>
      </c>
      <c r="AX1814" s="56"/>
      <c r="AY1814" s="203" t="str">
        <f>IFERROR(VLOOKUP($G1814,нормы!$A$14:$BI$57,58,0)*W1814,"")</f>
        <v/>
      </c>
      <c r="AZ1814" s="206"/>
      <c r="BA1814" s="200" t="str">
        <f>IFERROR(VLOOKUP($G1814,нормы!$A$14:$BI$57,61,0)*$W1814,"")</f>
        <v/>
      </c>
      <c r="BB1814" s="56"/>
      <c r="BC1814" s="203" t="str">
        <f>IFERROR(VLOOKUP($G1814,нормы!$A$14:$BI$57,60,0)*W1814,"")</f>
        <v/>
      </c>
      <c r="BD1814" s="200" t="str">
        <f>IFERROR(VLOOKUP($G1814,нормы!$A$14:$BG$57,44,0),"")</f>
        <v/>
      </c>
      <c r="BE1814" s="199" t="str">
        <f>IFERROR(W1814/VLOOKUP($G1814,нормы!$A$14:$BI$57,45,0),"")</f>
        <v/>
      </c>
    </row>
    <row r="1815" spans="1:57" s="1" customFormat="1" ht="29.4" customHeight="1" thickBot="1" x14ac:dyDescent="0.45">
      <c r="A1815" s="37" t="str">
        <f t="shared" si="713"/>
        <v>30Д</v>
      </c>
      <c r="B1815" s="59"/>
      <c r="C1815" s="51"/>
      <c r="D1815" s="51"/>
      <c r="E1815" s="51"/>
      <c r="F1815" s="295" t="s">
        <v>148</v>
      </c>
      <c r="G1815" s="51"/>
      <c r="H1815" s="51"/>
      <c r="I1815" s="60"/>
      <c r="J1815" s="60"/>
      <c r="K1815" s="319" t="s">
        <v>213</v>
      </c>
      <c r="L1815" s="316"/>
      <c r="M1815" s="303" t="s">
        <v>213</v>
      </c>
      <c r="N1815" s="317">
        <f>SUM(N1809:N1814)</f>
        <v>0</v>
      </c>
      <c r="O1815" s="304" t="s">
        <v>216</v>
      </c>
      <c r="P1815" s="318">
        <f>N1815*8.937/1000</f>
        <v>0</v>
      </c>
      <c r="Q1815" s="305" t="s">
        <v>215</v>
      </c>
      <c r="R1815" s="61"/>
      <c r="S1815" s="61"/>
      <c r="T1815" s="61"/>
      <c r="U1815" s="109"/>
      <c r="V1815" s="109"/>
      <c r="W1815" s="94"/>
      <c r="X1815" s="155"/>
      <c r="Y1815" s="96">
        <f>SUM(Y1809:Y1814)</f>
        <v>0</v>
      </c>
      <c r="Z1815" s="164">
        <f>SUM(Z1809:Z1814)</f>
        <v>0</v>
      </c>
      <c r="AA1815" s="62"/>
      <c r="AB1815" s="62"/>
      <c r="AC1815" s="62"/>
      <c r="AD1815" s="62"/>
      <c r="AE1815" s="62"/>
      <c r="AF1815" s="62"/>
      <c r="AG1815" s="162" t="s">
        <v>140</v>
      </c>
      <c r="AH1815" s="162" t="s">
        <v>141</v>
      </c>
      <c r="AI1815" s="162" t="s">
        <v>142</v>
      </c>
      <c r="AJ1815" s="91" t="s">
        <v>126</v>
      </c>
      <c r="AK1815" s="198" t="s">
        <v>136</v>
      </c>
      <c r="AL1815" s="198" t="s">
        <v>137</v>
      </c>
      <c r="AM1815" s="198" t="s">
        <v>138</v>
      </c>
      <c r="AN1815" s="91"/>
      <c r="AO1815" s="91"/>
      <c r="AP1815" s="91"/>
      <c r="AQ1815" s="91"/>
      <c r="AR1815" s="91"/>
      <c r="AS1815" s="91"/>
      <c r="AT1815" s="91"/>
      <c r="AU1815" s="91"/>
      <c r="AV1815" s="91"/>
      <c r="AW1815" s="91"/>
      <c r="AX1815" s="91"/>
      <c r="AY1815" s="91"/>
      <c r="AZ1815" s="91"/>
      <c r="BA1815" s="91"/>
      <c r="BB1815" s="91"/>
      <c r="BC1815" s="91"/>
      <c r="BD1815" s="91"/>
      <c r="BE1815" s="53" t="str">
        <f>IFERROR(W1815/VLOOKUP($G1815,нормы!$A$14:$BI$15,28,0),"")</f>
        <v/>
      </c>
    </row>
    <row r="1816" spans="1:57" s="1" customFormat="1" ht="21.6" customHeight="1" x14ac:dyDescent="0.4">
      <c r="A1816" s="37" t="str">
        <f t="shared" si="713"/>
        <v>30Д</v>
      </c>
      <c r="B1816" s="12">
        <f>B1814</f>
        <v>30</v>
      </c>
      <c r="C1816" s="97"/>
      <c r="D1816" s="97">
        <v>2</v>
      </c>
      <c r="E1816" s="29"/>
      <c r="F1816" s="151" t="str">
        <f>IFERROR(VLOOKUP($G1816,нормы!$A$14:$BC$57,2,0),"")</f>
        <v/>
      </c>
      <c r="G1816" s="93"/>
      <c r="H1816" s="54">
        <f>IF(C1816=1,"Кульков С.А.", IF(C1816=2,"Чудаков А.А.",IF(C1816=3,"Королев В.Н.",IF(C1816=4,"Николашин М.П.",IF(C1816=5," Кульков С.А.",IF(C1816=6,"А.А. Чудаков",IF(C1816=7,"В.Н. Королев",IF(C1816=8,"М.П. Николашин",0))))))))</f>
        <v>0</v>
      </c>
      <c r="I1816" s="88" t="s">
        <v>211</v>
      </c>
      <c r="J1816" s="332"/>
      <c r="K1816" s="30">
        <f>IFERROR(VLOOKUP($G1816,[1]нормы!$A$21:$BC$151,15,0),"")</f>
        <v>0</v>
      </c>
      <c r="L1816" s="31">
        <f>IFERROR(VLOOKUP($G1816,[1]нормы!$A$21:$BC$151,17,0),"")</f>
        <v>0</v>
      </c>
      <c r="M1816" s="310">
        <f>IFERROR(VLOOKUP($G1816,[1]нормы!$A$21:$BC$151,27,0),"")</f>
        <v>0</v>
      </c>
      <c r="N1816" s="311" t="str">
        <f>IFERROR(Y1816/Y1822*(1.1*J1816*I1821),"")</f>
        <v/>
      </c>
      <c r="O1816" s="300">
        <f>IFERROR(VLOOKUP($G1816,[1]нормы!$A$21:$BC$151,21,0),"")</f>
        <v>0</v>
      </c>
      <c r="P1816" s="35">
        <f>IFERROR(VLOOKUP($G1816,[1]нормы!$A$21:$BC$151,19,0),"")</f>
        <v>0</v>
      </c>
      <c r="Q1816" s="35">
        <f>IFERROR(VLOOKUP($G1816,[1]нормы!$A$21:$BC$151,23,0),"")</f>
        <v>0</v>
      </c>
      <c r="R1816" s="231">
        <f>IFERROR(VLOOKUP($G1816,[1]нормы!$A$21:$BC$151,29,0),"")</f>
        <v>0</v>
      </c>
      <c r="S1816" s="35">
        <f>IFERROR(VLOOKUP($G1816,[1]нормы!$A$21:$BC$151,31,0),"")</f>
        <v>0</v>
      </c>
      <c r="T1816" s="32">
        <f>IFERROR(VLOOKUP($G1816,[1]нормы!$A$21:$BC$151,25,0),"")</f>
        <v>0</v>
      </c>
      <c r="U1816" s="232" t="str">
        <f>IFERROR(W1816/(((100*Y1816/Y1822)*I1821)/100),"")</f>
        <v/>
      </c>
      <c r="V1816" s="234" t="str">
        <f>IFERROR(VLOOKUP($G1816,нормы!$A$14:$BC$57,38,0),"")</f>
        <v/>
      </c>
      <c r="W1816" s="136"/>
      <c r="X1816" s="236"/>
      <c r="Y1816" s="152" t="str">
        <f>IFERROR(VLOOKUP($G1816,нормы!$A$14:$BC$57,42,0)*W1816,"")</f>
        <v/>
      </c>
      <c r="Z1816" s="163">
        <f>IFERROR(VLOOKUP($G1816,нормы!$A$14:$BC$57,14,0)*W1816/1000,0)</f>
        <v>0</v>
      </c>
      <c r="AA1816" s="33"/>
      <c r="AB1816" s="36"/>
      <c r="AC1816" s="36"/>
      <c r="AD1816" s="36"/>
      <c r="AE1816" s="34"/>
      <c r="AF1816" s="159"/>
      <c r="AG1816" s="390"/>
      <c r="AH1816" s="393"/>
      <c r="AI1816" s="396"/>
      <c r="AJ1816" s="407">
        <f>AG1816+AH1816</f>
        <v>0</v>
      </c>
      <c r="AK1816" s="359"/>
      <c r="AL1816" s="359"/>
      <c r="AM1816" s="359"/>
      <c r="AN1816" s="287">
        <f>IFERROR(Y1816*AJ1816/Y1822,)</f>
        <v>0</v>
      </c>
      <c r="AO1816" s="197" t="str">
        <f>IFERROR(VLOOKUP($G1816,нормы!$A$14:$BC$57,53,0)*$W1816,"")</f>
        <v/>
      </c>
      <c r="AP1816" s="288">
        <f>IFERROR(Y1816*AI1816/Y1822,)</f>
        <v>0</v>
      </c>
      <c r="AQ1816" s="197" t="str">
        <f>IFERROR(VLOOKUP($G1816,нормы!$A$14:$BC$57,54,0)*$W1816,"")</f>
        <v/>
      </c>
      <c r="AR1816" s="288">
        <f>IFERROR(AS1816/SUM(AS1816:AS1821)*AL1816,0)</f>
        <v>0</v>
      </c>
      <c r="AS1816" s="197" t="str">
        <f>IFERROR(VLOOKUP($G1816,нормы!$A$14:$BC$57,55,0)*W1816,"")</f>
        <v/>
      </c>
      <c r="AT1816" s="288">
        <f>IFERROR(AU1816/SUM(AU1816:AU1821)*AM1816,0)</f>
        <v>0</v>
      </c>
      <c r="AU1816" s="197" t="str">
        <f>IFERROR(VLOOKUP($G1816,нормы!$A$14:$BI$57,56,0)*W1816,"")</f>
        <v/>
      </c>
      <c r="AV1816" s="288">
        <f>IFERROR(AW1816/SUM(AW1816:AW1821)*AK1816,0)</f>
        <v>0</v>
      </c>
      <c r="AW1816" s="202" t="str">
        <f>IFERROR(VLOOKUP($G1816,нормы!$A$14:$BI$57,57,0)*W1816,"")</f>
        <v/>
      </c>
      <c r="AX1816" s="33"/>
      <c r="AY1816" s="203" t="str">
        <f>IFERROR(VLOOKUP($G1816,нормы!$A$14:$BI$57,58,0)*W1816,"")</f>
        <v/>
      </c>
      <c r="AZ1816" s="204"/>
      <c r="BA1816" s="200" t="str">
        <f>IFERROR(VLOOKUP($G1816,нормы!$A$14:$BI$57,61,0)*$W1816,"")</f>
        <v/>
      </c>
      <c r="BB1816" s="33"/>
      <c r="BC1816" s="203" t="str">
        <f>IFERROR(VLOOKUP($G1816,нормы!$A$14:$BI$57,60,0)*W1816,"")</f>
        <v/>
      </c>
      <c r="BD1816" s="200" t="str">
        <f>IFERROR(VLOOKUP($G1816,нормы!$A$14:$BG$57,44,0),"")</f>
        <v/>
      </c>
      <c r="BE1816" s="199" t="str">
        <f>IFERROR(W1816/VLOOKUP($G1816,нормы!$A$14:$BI$57,45,0),"")</f>
        <v/>
      </c>
    </row>
    <row r="1817" spans="1:57" s="1" customFormat="1" ht="21.6" customHeight="1" x14ac:dyDescent="0.4">
      <c r="A1817" s="37" t="str">
        <f t="shared" si="713"/>
        <v>30Д</v>
      </c>
      <c r="B1817" s="12">
        <f>B1816</f>
        <v>30</v>
      </c>
      <c r="C1817" s="97">
        <f t="shared" ref="C1817:D1817" si="716">C1816</f>
        <v>0</v>
      </c>
      <c r="D1817" s="97">
        <f t="shared" si="716"/>
        <v>2</v>
      </c>
      <c r="E1817" s="54"/>
      <c r="F1817" s="151" t="str">
        <f>IFERROR(VLOOKUP($G1817,нормы!$A$14:$BC$57,2,0),"")</f>
        <v/>
      </c>
      <c r="G1817" s="93"/>
      <c r="H1817" s="54">
        <f t="shared" ref="H1817:H1821" si="717">IF(C1817=1,"Кульков С.А.", IF(C1817=2,"Чудаков А.А.",IF(C1817=3,"Королев В.Н.",IF(C1817=4,"Николашин М.П.",IF(C1817=5," Кульков С.А.",IF(C1817=6,"А.А. Чудаков",IF(C1817=7,"В.Н. Королев",IF(C1817=8,"М.П. Николашин",0))))))))</f>
        <v>0</v>
      </c>
      <c r="I1817" s="55"/>
      <c r="J1817" s="333"/>
      <c r="K1817" s="30">
        <f>IFERROR(VLOOKUP($G1817,[1]нормы!$A$21:$BC$151,15,0),"")</f>
        <v>0</v>
      </c>
      <c r="L1817" s="31">
        <f>IFERROR(VLOOKUP($G1817,[1]нормы!$A$21:$BC$151,17,0),"")</f>
        <v>0</v>
      </c>
      <c r="M1817" s="306">
        <f>IFERROR(VLOOKUP($G1817,[1]нормы!$A$21:$BC$151,27,0),"")</f>
        <v>0</v>
      </c>
      <c r="N1817" s="307" t="str">
        <f>IFERROR(Y1817/Y1822*(1.1*J1816*I1821),"")</f>
        <v/>
      </c>
      <c r="O1817" s="300">
        <f>IFERROR(VLOOKUP($G1817,[1]нормы!$A$21:$BC$151,21,0),"")</f>
        <v>0</v>
      </c>
      <c r="P1817" s="35">
        <f>IFERROR(VLOOKUP($G1817,[1]нормы!$A$21:$BC$151,19,0),"")</f>
        <v>0</v>
      </c>
      <c r="Q1817" s="35">
        <f>IFERROR(VLOOKUP($G1817,[1]нормы!$A$21:$BC$151,23,0),"")</f>
        <v>0</v>
      </c>
      <c r="R1817" s="231">
        <f>IFERROR(VLOOKUP($G1817,[1]нормы!$A$21:$BC$151,29,0),"")</f>
        <v>0</v>
      </c>
      <c r="S1817" s="35">
        <f>IFERROR(VLOOKUP($G1817,[1]нормы!$A$21:$BC$151,31,0),"")</f>
        <v>0</v>
      </c>
      <c r="T1817" s="32">
        <f>IFERROR(VLOOKUP($G1817,[1]нормы!$A$21:$BC$151,25,0),"")</f>
        <v>0</v>
      </c>
      <c r="U1817" s="233" t="str">
        <f>IFERROR(W1817/(((100*Y1817/Y1822)*I1821)/100),"")</f>
        <v/>
      </c>
      <c r="V1817" s="234" t="str">
        <f>IFERROR(VLOOKUP($G1817,нормы!$A$14:$BC$57,38,0),"")</f>
        <v/>
      </c>
      <c r="W1817" s="136"/>
      <c r="X1817" s="237"/>
      <c r="Y1817" s="152" t="str">
        <f>IFERROR(VLOOKUP($G1817,нормы!$A$14:$BC$57,42,0)*W1817,"")</f>
        <v/>
      </c>
      <c r="Z1817" s="163">
        <f>IFERROR(VLOOKUP($G1817,нормы!$A$14:$BC$57,14,0)*W1817/1000,0)</f>
        <v>0</v>
      </c>
      <c r="AA1817" s="142"/>
      <c r="AB1817" s="35"/>
      <c r="AC1817" s="35"/>
      <c r="AD1817" s="35"/>
      <c r="AE1817" s="31"/>
      <c r="AF1817" s="160"/>
      <c r="AG1817" s="391"/>
      <c r="AH1817" s="394"/>
      <c r="AI1817" s="397"/>
      <c r="AJ1817" s="408"/>
      <c r="AK1817" s="360"/>
      <c r="AL1817" s="360"/>
      <c r="AM1817" s="360"/>
      <c r="AN1817" s="289">
        <f>IFERROR(Y1817*AJ1816/Y1822,)</f>
        <v>0</v>
      </c>
      <c r="AO1817" s="197" t="str">
        <f>IFERROR(VLOOKUP($G1817,нормы!$A$14:$BC$57,53,0)*$W1817,"")</f>
        <v/>
      </c>
      <c r="AP1817" s="290">
        <f>IFERROR(Y1817*AI1816/Y1822,)</f>
        <v>0</v>
      </c>
      <c r="AQ1817" s="197" t="str">
        <f>IFERROR(VLOOKUP($G1817,нормы!$A$14:$BC$57,54,0)*$W1817,"")</f>
        <v/>
      </c>
      <c r="AR1817" s="290">
        <f>IFERROR(AS1817/SUM(AS1816:AS1821)*AL1816,0)</f>
        <v>0</v>
      </c>
      <c r="AS1817" s="197" t="str">
        <f>IFERROR(VLOOKUP($G1817,нормы!$A$14:$BC$57,55,0)*W1817,"")</f>
        <v/>
      </c>
      <c r="AT1817" s="290">
        <f>IFERROR(AU1817/SUM(AU1816:AU1821)*AM1816,0)</f>
        <v>0</v>
      </c>
      <c r="AU1817" s="197" t="str">
        <f>IFERROR(VLOOKUP($G1817,нормы!$A$14:$BI$57,56,0)*W1817,"")</f>
        <v/>
      </c>
      <c r="AV1817" s="290">
        <f>IFERROR(AW1817/SUM(AW1816:AW1821)*AK1816,0)</f>
        <v>0</v>
      </c>
      <c r="AW1817" s="202" t="str">
        <f>IFERROR(VLOOKUP($G1817,нормы!$A$14:$BI$57,57,0)*W1817,"")</f>
        <v/>
      </c>
      <c r="AX1817" s="30"/>
      <c r="AY1817" s="203" t="str">
        <f>IFERROR(VLOOKUP($G1817,нормы!$A$14:$BI$57,58,0)*W1817,"")</f>
        <v/>
      </c>
      <c r="AZ1817" s="205"/>
      <c r="BA1817" s="200" t="str">
        <f>IFERROR(VLOOKUP($G1817,нормы!$A$14:$BI$57,61,0)*$W1817,"")</f>
        <v/>
      </c>
      <c r="BB1817" s="30"/>
      <c r="BC1817" s="203" t="str">
        <f>IFERROR(VLOOKUP($G1817,нормы!$A$14:$BI$57,60,0)*W1817,"")</f>
        <v/>
      </c>
      <c r="BD1817" s="200" t="str">
        <f>IFERROR(VLOOKUP($G1817,нормы!$A$14:$BG$57,44,0),"")</f>
        <v/>
      </c>
      <c r="BE1817" s="199" t="str">
        <f>IFERROR(W1817/VLOOKUP($G1817,нормы!$A$14:$BI$57,45,0),"")</f>
        <v/>
      </c>
    </row>
    <row r="1818" spans="1:57" s="1" customFormat="1" ht="20.25" customHeight="1" x14ac:dyDescent="0.4">
      <c r="A1818" s="37" t="str">
        <f t="shared" si="713"/>
        <v>30Д</v>
      </c>
      <c r="B1818" s="12">
        <f t="shared" si="713"/>
        <v>30</v>
      </c>
      <c r="C1818" s="97">
        <f t="shared" si="713"/>
        <v>0</v>
      </c>
      <c r="D1818" s="97">
        <f t="shared" si="713"/>
        <v>2</v>
      </c>
      <c r="E1818" s="54"/>
      <c r="F1818" s="151" t="str">
        <f>IFERROR(VLOOKUP($G1818,нормы!$A$14:$BC$57,2,0),"")</f>
        <v/>
      </c>
      <c r="G1818" s="38"/>
      <c r="H1818" s="54">
        <f t="shared" si="717"/>
        <v>0</v>
      </c>
      <c r="I1818" s="89" t="s">
        <v>212</v>
      </c>
      <c r="J1818" s="333"/>
      <c r="K1818" s="30">
        <f>IFERROR(VLOOKUP($G1818,[1]нормы!$A$21:$BC$151,15,0),"")</f>
        <v>0</v>
      </c>
      <c r="L1818" s="31">
        <f>IFERROR(VLOOKUP($G1818,[1]нормы!$A$21:$BC$151,17,0),"")</f>
        <v>0</v>
      </c>
      <c r="M1818" s="306">
        <f>IFERROR(VLOOKUP($G1818,[1]нормы!$A$21:$BC$151,27,0),"")</f>
        <v>0</v>
      </c>
      <c r="N1818" s="307" t="str">
        <f>IFERROR(Y1818/Y1822*(1.1*J1816*I1821),"")</f>
        <v/>
      </c>
      <c r="O1818" s="300">
        <f>IFERROR(VLOOKUP($G1818,[1]нормы!$A$21:$BC$151,21,0),"")</f>
        <v>0</v>
      </c>
      <c r="P1818" s="35">
        <f>IFERROR(VLOOKUP($G1818,[1]нормы!$A$21:$BC$151,19,0),"")</f>
        <v>0</v>
      </c>
      <c r="Q1818" s="35">
        <f>IFERROR(VLOOKUP($G1818,[1]нормы!$A$21:$BC$151,23,0),"")</f>
        <v>0</v>
      </c>
      <c r="R1818" s="231">
        <f>IFERROR(VLOOKUP($G1818,[1]нормы!$A$21:$BC$151,29,0),"")</f>
        <v>0</v>
      </c>
      <c r="S1818" s="35">
        <f>IFERROR(VLOOKUP($G1818,[1]нормы!$A$21:$BC$151,31,0),"")</f>
        <v>0</v>
      </c>
      <c r="T1818" s="32">
        <f>IFERROR(VLOOKUP($G1818,[1]нормы!$A$21:$BC$151,25,0),"")</f>
        <v>0</v>
      </c>
      <c r="U1818" s="233" t="str">
        <f>IFERROR(W1818/(((100*Y1818/Y1822)*I1821)/100),"")</f>
        <v/>
      </c>
      <c r="V1818" s="234" t="str">
        <f>IFERROR(VLOOKUP($G1818,нормы!$A$14:$BC$57,38,0),"")</f>
        <v/>
      </c>
      <c r="W1818" s="136"/>
      <c r="X1818" s="237"/>
      <c r="Y1818" s="152" t="str">
        <f>IFERROR(VLOOKUP($G1818,нормы!$A$14:$BC$57,42,0)*W1818,"")</f>
        <v/>
      </c>
      <c r="Z1818" s="163">
        <f>IFERROR(VLOOKUP($G1818,нормы!$A$14:$BC$57,14,0)*W1818/1000,0)</f>
        <v>0</v>
      </c>
      <c r="AA1818" s="30"/>
      <c r="AB1818" s="35"/>
      <c r="AC1818" s="35"/>
      <c r="AD1818" s="35"/>
      <c r="AE1818" s="31"/>
      <c r="AF1818" s="160"/>
      <c r="AG1818" s="391"/>
      <c r="AH1818" s="394"/>
      <c r="AI1818" s="397"/>
      <c r="AJ1818" s="408"/>
      <c r="AK1818" s="360"/>
      <c r="AL1818" s="360"/>
      <c r="AM1818" s="360"/>
      <c r="AN1818" s="289">
        <f>IFERROR(Y1818*AJ1816/Y1822,)</f>
        <v>0</v>
      </c>
      <c r="AO1818" s="197" t="str">
        <f>IFERROR(VLOOKUP($G1818,нормы!$A$14:$BC$57,53,0)*$W1818,"")</f>
        <v/>
      </c>
      <c r="AP1818" s="290">
        <f>IFERROR(Y1818*AI1816/Y1822,)</f>
        <v>0</v>
      </c>
      <c r="AQ1818" s="197" t="str">
        <f>IFERROR(VLOOKUP($G1818,нормы!$A$14:$BC$57,54,0)*$W1818,"")</f>
        <v/>
      </c>
      <c r="AR1818" s="290">
        <f>IFERROR(AS1818/SUM(AS1816:AS1821)*AL1816,0)</f>
        <v>0</v>
      </c>
      <c r="AS1818" s="197" t="str">
        <f>IFERROR(VLOOKUP($G1818,нормы!$A$14:$BC$57,55,0)*W1818,"")</f>
        <v/>
      </c>
      <c r="AT1818" s="290">
        <f>IFERROR(AU1818/SUM(AU1816:AU1821)*AM1816,0)</f>
        <v>0</v>
      </c>
      <c r="AU1818" s="197" t="str">
        <f>IFERROR(VLOOKUP($G1818,нормы!$A$14:$BI$57,56,0)*W1818,"")</f>
        <v/>
      </c>
      <c r="AV1818" s="290">
        <f>IFERROR(AW1818/SUM(AW1816:AW1821)*AK1816,0)</f>
        <v>0</v>
      </c>
      <c r="AW1818" s="202" t="str">
        <f>IFERROR(VLOOKUP($G1818,нормы!$A$14:$BI$57,57,0)*W1818,"")</f>
        <v/>
      </c>
      <c r="AX1818" s="30"/>
      <c r="AY1818" s="203" t="str">
        <f>IFERROR(VLOOKUP($G1818,нормы!$A$14:$BI$57,58,0)*W1818,"")</f>
        <v/>
      </c>
      <c r="AZ1818" s="205"/>
      <c r="BA1818" s="200" t="str">
        <f>IFERROR(VLOOKUP($G1818,нормы!$A$14:$BI$57,61,0)*$W1818,"")</f>
        <v/>
      </c>
      <c r="BB1818" s="30"/>
      <c r="BC1818" s="203" t="str">
        <f>IFERROR(VLOOKUP($G1818,нормы!$A$14:$BI$57,60,0)*W1818,"")</f>
        <v/>
      </c>
      <c r="BD1818" s="200" t="str">
        <f>IFERROR(VLOOKUP($G1818,нормы!$A$14:$BG$57,44,0),"")</f>
        <v/>
      </c>
      <c r="BE1818" s="199" t="str">
        <f>IFERROR(W1818/VLOOKUP($G1818,нормы!$A$14:$BI$57,45,0),"")</f>
        <v/>
      </c>
    </row>
    <row r="1819" spans="1:57" s="1" customFormat="1" ht="20.25" customHeight="1" x14ac:dyDescent="0.4">
      <c r="A1819" s="37" t="str">
        <f t="shared" si="713"/>
        <v>30Д</v>
      </c>
      <c r="B1819" s="12">
        <f t="shared" si="713"/>
        <v>30</v>
      </c>
      <c r="C1819" s="97">
        <f t="shared" si="713"/>
        <v>0</v>
      </c>
      <c r="D1819" s="97">
        <f t="shared" si="713"/>
        <v>2</v>
      </c>
      <c r="E1819" s="54"/>
      <c r="F1819" s="151" t="str">
        <f>IFERROR(VLOOKUP($G1819,нормы!$A$14:$BC$57,2,0),"")</f>
        <v/>
      </c>
      <c r="G1819" s="93"/>
      <c r="H1819" s="54">
        <f t="shared" si="717"/>
        <v>0</v>
      </c>
      <c r="I1819" s="55"/>
      <c r="J1819" s="333"/>
      <c r="K1819" s="30">
        <f>IFERROR(VLOOKUP($G1819,[1]нормы!$A$21:$BC$151,15,0),"")</f>
        <v>0</v>
      </c>
      <c r="L1819" s="31">
        <f>IFERROR(VLOOKUP($G1819,[1]нормы!$A$21:$BC$151,17,0),"")</f>
        <v>0</v>
      </c>
      <c r="M1819" s="306">
        <f>IFERROR(VLOOKUP($G1819,[1]нормы!$A$21:$BC$151,27,0),"")</f>
        <v>0</v>
      </c>
      <c r="N1819" s="307" t="str">
        <f>IFERROR(Y1819/Y1822*(1.1*J1816*I1824),"")</f>
        <v/>
      </c>
      <c r="O1819" s="300">
        <f>IFERROR(VLOOKUP($G1819,[1]нормы!$A$21:$BC$151,21,0),"")</f>
        <v>0</v>
      </c>
      <c r="P1819" s="35">
        <f>IFERROR(VLOOKUP($G1819,[1]нормы!$A$21:$BC$151,19,0),"")</f>
        <v>0</v>
      </c>
      <c r="Q1819" s="35">
        <f>IFERROR(VLOOKUP($G1819,[1]нормы!$A$21:$BC$151,23,0),"")</f>
        <v>0</v>
      </c>
      <c r="R1819" s="231">
        <f>IFERROR(VLOOKUP($G1819,[1]нормы!$A$21:$BC$151,29,0),"")</f>
        <v>0</v>
      </c>
      <c r="S1819" s="35">
        <f>IFERROR(VLOOKUP($G1819,[1]нормы!$A$21:$BC$151,31,0),"")</f>
        <v>0</v>
      </c>
      <c r="T1819" s="32">
        <f>IFERROR(VLOOKUP($G1819,[1]нормы!$A$21:$BC$151,25,0),"")</f>
        <v>0</v>
      </c>
      <c r="U1819" s="233" t="str">
        <f>IFERROR(W1819/(((100*Y1819/Y1822)*I1821)/100),"")</f>
        <v/>
      </c>
      <c r="V1819" s="234" t="str">
        <f>IFERROR(VLOOKUP($G1819,нормы!$A$14:$BC$57,38,0),"")</f>
        <v/>
      </c>
      <c r="W1819" s="136"/>
      <c r="X1819" s="237"/>
      <c r="Y1819" s="152" t="str">
        <f>IFERROR(VLOOKUP($G1819,нормы!$A$14:$BC$57,42,0)*W1819,"")</f>
        <v/>
      </c>
      <c r="Z1819" s="163">
        <f>IFERROR(VLOOKUP($G1819,нормы!$A$14:$BC$57,14,0)*W1819/1000,0)</f>
        <v>0</v>
      </c>
      <c r="AA1819" s="30"/>
      <c r="AB1819" s="35"/>
      <c r="AC1819" s="35"/>
      <c r="AD1819" s="35"/>
      <c r="AE1819" s="31"/>
      <c r="AF1819" s="160"/>
      <c r="AG1819" s="391"/>
      <c r="AH1819" s="394"/>
      <c r="AI1819" s="397"/>
      <c r="AJ1819" s="408"/>
      <c r="AK1819" s="360"/>
      <c r="AL1819" s="360"/>
      <c r="AM1819" s="360"/>
      <c r="AN1819" s="289">
        <f>IFERROR(Y1819*AJ1816/Y1822,)</f>
        <v>0</v>
      </c>
      <c r="AO1819" s="197" t="str">
        <f>IFERROR(VLOOKUP($G1819,нормы!$A$14:$BC$57,53,0)*$W1819,"")</f>
        <v/>
      </c>
      <c r="AP1819" s="290">
        <f>IFERROR(Y1819*AI1816/Y1822,)</f>
        <v>0</v>
      </c>
      <c r="AQ1819" s="197" t="str">
        <f>IFERROR(VLOOKUP($G1819,нормы!$A$14:$BC$57,54,0)*$W1819,"")</f>
        <v/>
      </c>
      <c r="AR1819" s="290">
        <f>IFERROR(AS1819/SUM(AS1816:AS1821)*AL1816,0)</f>
        <v>0</v>
      </c>
      <c r="AS1819" s="197" t="str">
        <f>IFERROR(VLOOKUP($G1819,нормы!$A$14:$BC$57,55,0)*W1819,"")</f>
        <v/>
      </c>
      <c r="AT1819" s="290">
        <f>IFERROR(AU1819/SUM(AU1816:AU1821)*AM1816,0)</f>
        <v>0</v>
      </c>
      <c r="AU1819" s="197" t="str">
        <f>IFERROR(VLOOKUP($G1819,нормы!$A$14:$BI$57,56,0)*W1819,"")</f>
        <v/>
      </c>
      <c r="AV1819" s="290">
        <f>IFERROR(AW1819/SUM(AW1816:AW1821)*AK1816,0)</f>
        <v>0</v>
      </c>
      <c r="AW1819" s="202" t="str">
        <f>IFERROR(VLOOKUP($G1819,нормы!$A$14:$BI$57,57,0)*W1819,"")</f>
        <v/>
      </c>
      <c r="AX1819" s="30"/>
      <c r="AY1819" s="203" t="str">
        <f>IFERROR(VLOOKUP($G1819,нормы!$A$14:$BI$57,58,0)*W1819,"")</f>
        <v/>
      </c>
      <c r="AZ1819" s="205"/>
      <c r="BA1819" s="200" t="str">
        <f>IFERROR(VLOOKUP($G1819,нормы!$A$14:$BI$57,61,0)*$W1819,"")</f>
        <v/>
      </c>
      <c r="BB1819" s="30"/>
      <c r="BC1819" s="203" t="str">
        <f>IFERROR(VLOOKUP($G1819,нормы!$A$14:$BI$57,60,0)*W1819,"")</f>
        <v/>
      </c>
      <c r="BD1819" s="200" t="str">
        <f>IFERROR(VLOOKUP($G1819,нормы!$A$14:$BG$57,44,0),"")</f>
        <v/>
      </c>
      <c r="BE1819" s="199" t="str">
        <f>IFERROR(W1819/VLOOKUP($G1819,нормы!$A$14:$BI$57,45,0),"")</f>
        <v/>
      </c>
    </row>
    <row r="1820" spans="1:57" s="1" customFormat="1" ht="20.25" customHeight="1" x14ac:dyDescent="0.4">
      <c r="A1820" s="37" t="str">
        <f t="shared" si="713"/>
        <v>30Д</v>
      </c>
      <c r="B1820" s="12">
        <f t="shared" si="713"/>
        <v>30</v>
      </c>
      <c r="C1820" s="97">
        <f t="shared" si="713"/>
        <v>0</v>
      </c>
      <c r="D1820" s="97">
        <f t="shared" si="713"/>
        <v>2</v>
      </c>
      <c r="E1820" s="54"/>
      <c r="F1820" s="151" t="str">
        <f>IFERROR(VLOOKUP($G1820,нормы!$A$14:$BC$57,2,0),"")</f>
        <v/>
      </c>
      <c r="G1820" s="38"/>
      <c r="H1820" s="54">
        <f t="shared" si="717"/>
        <v>0</v>
      </c>
      <c r="I1820" s="89" t="s">
        <v>73</v>
      </c>
      <c r="J1820" s="333"/>
      <c r="K1820" s="30">
        <f>IFERROR(VLOOKUP($G1820,[1]нормы!$A$21:$BC$151,15,0),"")</f>
        <v>0</v>
      </c>
      <c r="L1820" s="31">
        <f>IFERROR(VLOOKUP($G1820,[1]нормы!$A$21:$BC$151,17,0),"")</f>
        <v>0</v>
      </c>
      <c r="M1820" s="306">
        <f>IFERROR(VLOOKUP($G1820,[1]нормы!$A$21:$BC$151,27,0),"")</f>
        <v>0</v>
      </c>
      <c r="N1820" s="307" t="str">
        <f>IFERROR(Y1820/Y1822*(1.1*J1816*I1825),"")</f>
        <v/>
      </c>
      <c r="O1820" s="300">
        <f>IFERROR(VLOOKUP($G1820,[1]нормы!$A$21:$BC$151,21,0),"")</f>
        <v>0</v>
      </c>
      <c r="P1820" s="35">
        <f>IFERROR(VLOOKUP($G1820,[1]нормы!$A$21:$BC$151,19,0),"")</f>
        <v>0</v>
      </c>
      <c r="Q1820" s="35">
        <f>IFERROR(VLOOKUP($G1820,[1]нормы!$A$21:$BC$151,23,0),"")</f>
        <v>0</v>
      </c>
      <c r="R1820" s="231">
        <f>IFERROR(VLOOKUP($G1820,[1]нормы!$A$21:$BC$151,29,0),"")</f>
        <v>0</v>
      </c>
      <c r="S1820" s="35">
        <f>IFERROR(VLOOKUP($G1820,[1]нормы!$A$21:$BC$151,31,0),"")</f>
        <v>0</v>
      </c>
      <c r="T1820" s="32">
        <f>IFERROR(VLOOKUP($G1820,[1]нормы!$A$21:$BC$151,25,0),"")</f>
        <v>0</v>
      </c>
      <c r="U1820" s="233" t="str">
        <f>IFERROR(W1820/(((100*Y1820/Y1822)*I1821)/100),"")</f>
        <v/>
      </c>
      <c r="V1820" s="234" t="str">
        <f>IFERROR(VLOOKUP($G1820,нормы!$A$14:$BC$57,38,0),"")</f>
        <v/>
      </c>
      <c r="W1820" s="136"/>
      <c r="X1820" s="237"/>
      <c r="Y1820" s="152" t="str">
        <f>IFERROR(VLOOKUP($G1820,нормы!$A$14:$BC$57,42,0)*W1820,"")</f>
        <v/>
      </c>
      <c r="Z1820" s="163">
        <f>IFERROR(VLOOKUP($G1820,нормы!$A$14:$BC$57,14,0)*W1820/1000,0)</f>
        <v>0</v>
      </c>
      <c r="AA1820" s="30"/>
      <c r="AB1820" s="35"/>
      <c r="AC1820" s="35"/>
      <c r="AD1820" s="35"/>
      <c r="AE1820" s="31"/>
      <c r="AF1820" s="160"/>
      <c r="AG1820" s="391"/>
      <c r="AH1820" s="394"/>
      <c r="AI1820" s="397"/>
      <c r="AJ1820" s="408"/>
      <c r="AK1820" s="360"/>
      <c r="AL1820" s="360"/>
      <c r="AM1820" s="360"/>
      <c r="AN1820" s="289">
        <f>IFERROR(Y1820*AJ1816/Y1822,)</f>
        <v>0</v>
      </c>
      <c r="AO1820" s="197" t="str">
        <f>IFERROR(VLOOKUP($G1820,нормы!$A$14:$BC$57,53,0)*$W1820,"")</f>
        <v/>
      </c>
      <c r="AP1820" s="290">
        <f>IFERROR(Y1820*AI1816/Y1822,)</f>
        <v>0</v>
      </c>
      <c r="AQ1820" s="197" t="str">
        <f>IFERROR(VLOOKUP($G1820,нормы!$A$14:$BC$57,54,0)*$W1820,"")</f>
        <v/>
      </c>
      <c r="AR1820" s="290">
        <f>IFERROR(AS1820/SUM(AS1816:AS1821)*AL1816,0)</f>
        <v>0</v>
      </c>
      <c r="AS1820" s="197" t="str">
        <f>IFERROR(VLOOKUP($G1820,нормы!$A$14:$BC$57,55,0)*W1820,"")</f>
        <v/>
      </c>
      <c r="AT1820" s="290">
        <f>IFERROR(AU1820/SUM(AU1816:AU1821)*AM1816,0)</f>
        <v>0</v>
      </c>
      <c r="AU1820" s="197" t="str">
        <f>IFERROR(VLOOKUP($G1820,нормы!$A$14:$BI$57,56,0)*W1820,"")</f>
        <v/>
      </c>
      <c r="AV1820" s="290">
        <f>IFERROR(AW1820/SUM(AW1816:AW1821)*AK1816,0)</f>
        <v>0</v>
      </c>
      <c r="AW1820" s="202" t="str">
        <f>IFERROR(VLOOKUP($G1820,нормы!$A$14:$BI$57,57,0)*W1820,"")</f>
        <v/>
      </c>
      <c r="AX1820" s="30"/>
      <c r="AY1820" s="203" t="str">
        <f>IFERROR(VLOOKUP($G1820,нормы!$A$14:$BI$57,58,0)*W1820,"")</f>
        <v/>
      </c>
      <c r="AZ1820" s="205"/>
      <c r="BA1820" s="200" t="str">
        <f>IFERROR(VLOOKUP($G1820,нормы!$A$14:$BI$57,61,0)*$W1820,"")</f>
        <v/>
      </c>
      <c r="BB1820" s="30"/>
      <c r="BC1820" s="203" t="str">
        <f>IFERROR(VLOOKUP($G1820,нормы!$A$14:$BI$57,60,0)*W1820,"")</f>
        <v/>
      </c>
      <c r="BD1820" s="200" t="str">
        <f>IFERROR(VLOOKUP($G1820,нормы!$A$14:$BG$57,44,0),"")</f>
        <v/>
      </c>
      <c r="BE1820" s="199" t="str">
        <f>IFERROR(W1820/VLOOKUP($G1820,нормы!$A$14:$BI$57,45,0),"")</f>
        <v/>
      </c>
    </row>
    <row r="1821" spans="1:57" s="1" customFormat="1" ht="21" customHeight="1" thickBot="1" x14ac:dyDescent="0.45">
      <c r="A1821" s="37" t="str">
        <f t="shared" si="713"/>
        <v>30Д</v>
      </c>
      <c r="B1821" s="12">
        <f t="shared" si="713"/>
        <v>30</v>
      </c>
      <c r="C1821" s="97">
        <f t="shared" si="713"/>
        <v>0</v>
      </c>
      <c r="D1821" s="97">
        <f t="shared" si="713"/>
        <v>2</v>
      </c>
      <c r="E1821" s="54"/>
      <c r="F1821" s="151" t="str">
        <f>IFERROR(VLOOKUP($G1821,нормы!$A$14:$BC$57,2,0),"")</f>
        <v/>
      </c>
      <c r="G1821" s="93"/>
      <c r="H1821" s="63">
        <f t="shared" si="717"/>
        <v>0</v>
      </c>
      <c r="I1821" s="153">
        <f>I1817+I1819</f>
        <v>0</v>
      </c>
      <c r="J1821" s="334"/>
      <c r="K1821" s="30">
        <f>IFERROR(VLOOKUP($G1821,[1]нормы!$A$21:$BC$151,15,0),"")</f>
        <v>0</v>
      </c>
      <c r="L1821" s="31">
        <f>IFERROR(VLOOKUP($G1821,[1]нормы!$A$21:$BC$151,17,0),"")</f>
        <v>0</v>
      </c>
      <c r="M1821" s="308">
        <f>IFERROR(VLOOKUP($G1821,[1]нормы!$A$21:$BC$151,27,0),"")</f>
        <v>0</v>
      </c>
      <c r="N1821" s="309" t="str">
        <f>IFERROR(Y1821/Y1822*(1.1*J1816*I1826),"")</f>
        <v/>
      </c>
      <c r="O1821" s="300">
        <f>IFERROR(VLOOKUP($G1821,[1]нормы!$A$21:$BC$151,21,0),"")</f>
        <v>0</v>
      </c>
      <c r="P1821" s="35">
        <f>IFERROR(VLOOKUP($G1821,[1]нормы!$A$21:$BC$151,19,0),"")</f>
        <v>0</v>
      </c>
      <c r="Q1821" s="35">
        <f>IFERROR(VLOOKUP($G1821,[1]нормы!$A$21:$BC$151,23,0),"")</f>
        <v>0</v>
      </c>
      <c r="R1821" s="231">
        <f>IFERROR(VLOOKUP($G1821,[1]нормы!$A$21:$BC$151,29,0),"")</f>
        <v>0</v>
      </c>
      <c r="S1821" s="35">
        <f>IFERROR(VLOOKUP($G1821,[1]нормы!$A$21:$BC$151,31,0),"")</f>
        <v>0</v>
      </c>
      <c r="T1821" s="32">
        <f>IFERROR(VLOOKUP($G1821,[1]нормы!$A$21:$BC$151,25,0),"")</f>
        <v>0</v>
      </c>
      <c r="U1821" s="235" t="str">
        <f>IFERROR(W1821/(((100*Y1821/Y1822)*I1821)/100),"")</f>
        <v/>
      </c>
      <c r="V1821" s="234" t="str">
        <f>IFERROR(VLOOKUP($G1821,нормы!$A$14:$BC$57,38,0),"")</f>
        <v/>
      </c>
      <c r="W1821" s="154"/>
      <c r="X1821" s="238"/>
      <c r="Y1821" s="152" t="str">
        <f>IFERROR(VLOOKUP($G1821,нормы!$A$14:$BC$57,42,0)*W1821,"")</f>
        <v/>
      </c>
      <c r="Z1821" s="163">
        <f>IFERROR(VLOOKUP($G1821,нормы!$A$14:$BC$57,14,0)*W1821/1000,0)</f>
        <v>0</v>
      </c>
      <c r="AA1821" s="56"/>
      <c r="AB1821" s="58"/>
      <c r="AC1821" s="58"/>
      <c r="AD1821" s="58"/>
      <c r="AE1821" s="57"/>
      <c r="AF1821" s="161"/>
      <c r="AG1821" s="392"/>
      <c r="AH1821" s="395"/>
      <c r="AI1821" s="398"/>
      <c r="AJ1821" s="409"/>
      <c r="AK1821" s="361"/>
      <c r="AL1821" s="361"/>
      <c r="AM1821" s="361"/>
      <c r="AN1821" s="291">
        <f>IFERROR(Y1821*AJ1816/Y1822,)</f>
        <v>0</v>
      </c>
      <c r="AO1821" s="197" t="str">
        <f>IFERROR(VLOOKUP($G1821,нормы!$A$14:$BC$57,53,0)*$W1821,"")</f>
        <v/>
      </c>
      <c r="AP1821" s="292">
        <f>IFERROR(Y1821*AI1816/Y1822,)</f>
        <v>0</v>
      </c>
      <c r="AQ1821" s="197" t="str">
        <f>IFERROR(VLOOKUP($G1821,нормы!$A$14:$BC$57,54,0)*$W1821,"")</f>
        <v/>
      </c>
      <c r="AR1821" s="290">
        <f>IFERROR(AS1821/SUM(AS1816:AS1821)*AL1816,0)</f>
        <v>0</v>
      </c>
      <c r="AS1821" s="197" t="str">
        <f>IFERROR(VLOOKUP($G1821,нормы!$A$14:$BC$57,55,0)*W1821,"")</f>
        <v/>
      </c>
      <c r="AT1821" s="292">
        <f>IFERROR(AU1821/SUM(AU1816:AU1821)*AM1816,0)</f>
        <v>0</v>
      </c>
      <c r="AU1821" s="197" t="str">
        <f>IFERROR(VLOOKUP($G1821,нормы!$A$14:$BI$57,56,0)*W1821,"")</f>
        <v/>
      </c>
      <c r="AV1821" s="292">
        <f>IFERROR(AW1821/SUM(AW1816:AW1821)*AK1816,0)</f>
        <v>0</v>
      </c>
      <c r="AW1821" s="202" t="str">
        <f>IFERROR(VLOOKUP($G1821,нормы!$A$14:$BI$57,57,0)*W1821,"")</f>
        <v/>
      </c>
      <c r="AX1821" s="56"/>
      <c r="AY1821" s="203" t="str">
        <f>IFERROR(VLOOKUP($G1821,нормы!$A$14:$BI$57,58,0)*W1821,"")</f>
        <v/>
      </c>
      <c r="AZ1821" s="206"/>
      <c r="BA1821" s="200" t="str">
        <f>IFERROR(VLOOKUP($G1821,нормы!$A$14:$BI$57,61,0)*$W1821,"")</f>
        <v/>
      </c>
      <c r="BB1821" s="56"/>
      <c r="BC1821" s="203" t="str">
        <f>IFERROR(VLOOKUP($G1821,нормы!$A$14:$BI$57,60,0)*W1821,"")</f>
        <v/>
      </c>
      <c r="BD1821" s="200" t="str">
        <f>IFERROR(VLOOKUP($G1821,нормы!$A$14:$BG$57,44,0),"")</f>
        <v/>
      </c>
      <c r="BE1821" s="199" t="str">
        <f>IFERROR(W1821/VLOOKUP($G1821,нормы!$A$14:$BI$57,45,0),"")</f>
        <v/>
      </c>
    </row>
    <row r="1822" spans="1:57" s="1" customFormat="1" ht="29.4" customHeight="1" thickBot="1" x14ac:dyDescent="0.45">
      <c r="A1822" s="37" t="str">
        <f t="shared" si="713"/>
        <v>30Д</v>
      </c>
      <c r="B1822" s="59"/>
      <c r="C1822" s="51"/>
      <c r="D1822" s="51"/>
      <c r="E1822" s="51"/>
      <c r="F1822" s="51"/>
      <c r="G1822" s="51"/>
      <c r="H1822" s="51"/>
      <c r="I1822" s="60"/>
      <c r="J1822" s="60"/>
      <c r="K1822" s="319" t="s">
        <v>213</v>
      </c>
      <c r="L1822" s="316"/>
      <c r="M1822" s="303" t="s">
        <v>213</v>
      </c>
      <c r="N1822" s="317">
        <f>SUM(N1816:N1821)</f>
        <v>0</v>
      </c>
      <c r="O1822" s="304" t="s">
        <v>217</v>
      </c>
      <c r="P1822" s="318">
        <f>N1822*8.937/1000</f>
        <v>0</v>
      </c>
      <c r="Q1822" s="305" t="s">
        <v>215</v>
      </c>
      <c r="R1822" s="61"/>
      <c r="S1822" s="61"/>
      <c r="T1822" s="61"/>
      <c r="U1822" s="109"/>
      <c r="V1822" s="109"/>
      <c r="W1822" s="94"/>
      <c r="X1822" s="155"/>
      <c r="Y1822" s="96">
        <f>SUM(Y1816:Y1821)</f>
        <v>0</v>
      </c>
      <c r="Z1822" s="164">
        <f>SUM(Z1816:Z1821)</f>
        <v>0</v>
      </c>
      <c r="AA1822" s="207">
        <f>(AA1808+AA1809+AA1810+AA1811+AA1812+AA1813+AA1814+AA1816+AA1817+AA1818+AA1819+AA1820+AA1821)-AG1809</f>
        <v>1</v>
      </c>
      <c r="AB1822" s="208">
        <f>(AB1808+AB1809+AB1810+AB1811+AB1812+AB1813+AB1814+AB1816+AB1817+AB1818+AB1819+AB1820+AB1821)-AH1809</f>
        <v>2</v>
      </c>
      <c r="AC1822" s="208">
        <f>(AC1808+AC1809+AC1810+AC1811+AC1812+AC1813+AC1814+AC1816+AC1817+AC1818+AC1819+AC1820+AC1821)-AG1816</f>
        <v>3</v>
      </c>
      <c r="AD1822" s="208">
        <f>(AD1808+AD1809+AD1810+AD1811+AD1812+AD1813+AD1814+AD1816+AD1817+AD1818+AD1819+AD1820+AD1821)-AH1816</f>
        <v>4</v>
      </c>
      <c r="AE1822" s="208">
        <f>(AE1808+AE1809+AE1810+AE1811+AE1812+AE1813+AE1814+AE1816+AE1817+AE1818+AE1819+AE1820+AE1821)-AI1809</f>
        <v>5</v>
      </c>
      <c r="AF1822" s="209">
        <f>(AF1808+AF1809+AF1810+AF1811+AF1812+AF1813+AF1814+AF1816+AF1817+AF1818+AF1819+AF1820+AF1821)-AI1816</f>
        <v>6</v>
      </c>
      <c r="AG1822" s="62"/>
      <c r="AH1822" s="62"/>
      <c r="AI1822" s="62"/>
      <c r="AJ1822" s="62"/>
      <c r="AK1822" s="62"/>
      <c r="AL1822" s="62"/>
      <c r="AM1822" s="62"/>
      <c r="AN1822" s="91">
        <f>SUM(AN1816:AN1821)</f>
        <v>0</v>
      </c>
      <c r="AO1822" s="91">
        <f>SUM(AO1816:AO1821)</f>
        <v>0</v>
      </c>
      <c r="AP1822" s="91"/>
      <c r="AQ1822" s="91"/>
      <c r="AR1822" s="91">
        <f>SUM(AR1816:AR1821)</f>
        <v>0</v>
      </c>
      <c r="AS1822" s="91">
        <f t="shared" ref="AS1822:AW1822" si="718">SUM(AS1816:AS1821)</f>
        <v>0</v>
      </c>
      <c r="AT1822" s="91">
        <f t="shared" si="718"/>
        <v>0</v>
      </c>
      <c r="AU1822" s="91">
        <f t="shared" si="718"/>
        <v>0</v>
      </c>
      <c r="AV1822" s="91">
        <f t="shared" si="718"/>
        <v>0</v>
      </c>
      <c r="AW1822" s="91">
        <f t="shared" si="718"/>
        <v>0</v>
      </c>
      <c r="AX1822" s="91">
        <f>SUM(AX1816:AX1821)</f>
        <v>0</v>
      </c>
      <c r="AY1822" s="91">
        <f>SUM(AY1816:AY1821)</f>
        <v>0</v>
      </c>
      <c r="AZ1822" s="91">
        <f>SUM(AZ1816:AZ1821)</f>
        <v>0</v>
      </c>
      <c r="BA1822" s="91"/>
      <c r="BB1822" s="91"/>
      <c r="BC1822" s="91"/>
      <c r="BD1822" s="91" t="str">
        <f>IFERROR(VLOOKUP($G1822,нормы!$A$14:$BG$15,27,0),"")</f>
        <v/>
      </c>
      <c r="BE1822" s="53" t="str">
        <f>IFERROR(W1822/VLOOKUP($G1822,нормы!$A$14:$BI$15,28,0),"")</f>
        <v/>
      </c>
    </row>
    <row r="1823" spans="1:57" s="1" customFormat="1" ht="29.4" customHeight="1" thickBot="1" x14ac:dyDescent="0.5">
      <c r="A1823" s="37" t="str">
        <f t="shared" si="713"/>
        <v>30Д</v>
      </c>
      <c r="B1823" s="166"/>
      <c r="C1823" s="167"/>
      <c r="D1823" s="167"/>
      <c r="E1823" s="167"/>
      <c r="F1823" s="165"/>
      <c r="G1823" s="167"/>
      <c r="H1823" s="167"/>
      <c r="I1823" s="168"/>
      <c r="J1823" s="168"/>
      <c r="K1823" s="168"/>
      <c r="L1823" s="168"/>
      <c r="M1823" s="168"/>
      <c r="N1823" s="168"/>
      <c r="O1823" s="167"/>
      <c r="P1823" s="169"/>
      <c r="Q1823" s="169"/>
      <c r="R1823" s="169"/>
      <c r="S1823" s="169"/>
      <c r="T1823" s="169"/>
      <c r="U1823" s="170"/>
      <c r="V1823" s="170"/>
      <c r="W1823" s="171"/>
      <c r="X1823" s="171"/>
      <c r="Y1823" s="172"/>
      <c r="Z1823" s="172"/>
      <c r="AA1823" s="201" t="s">
        <v>144</v>
      </c>
      <c r="AB1823" s="167"/>
      <c r="AC1823" s="167"/>
      <c r="AD1823" s="167"/>
      <c r="AE1823" s="167"/>
      <c r="AF1823" s="167"/>
      <c r="AG1823" s="167"/>
      <c r="AH1823" s="167"/>
      <c r="AI1823" s="167"/>
      <c r="AJ1823" s="167"/>
      <c r="AK1823" s="167"/>
      <c r="AL1823" s="167"/>
      <c r="AM1823" s="64"/>
      <c r="AN1823" s="167"/>
      <c r="AO1823" s="167"/>
      <c r="AP1823" s="167"/>
      <c r="AQ1823" s="167"/>
      <c r="AR1823" s="64"/>
      <c r="AS1823" s="64"/>
      <c r="AT1823" s="65"/>
      <c r="AU1823" s="64"/>
      <c r="AV1823" s="49"/>
      <c r="AW1823" s="49"/>
      <c r="AX1823" s="167"/>
      <c r="AY1823" s="167"/>
      <c r="AZ1823" s="167"/>
      <c r="BA1823" s="167"/>
      <c r="BB1823" s="167"/>
      <c r="BC1823" s="167"/>
      <c r="BD1823" s="66"/>
      <c r="BE1823" s="66"/>
    </row>
    <row r="1824" spans="1:57" s="1" customFormat="1" ht="23.25" customHeight="1" x14ac:dyDescent="0.4">
      <c r="A1824" s="37" t="str">
        <f t="shared" si="713"/>
        <v>30Д</v>
      </c>
      <c r="B1824" s="183"/>
      <c r="C1824" s="100"/>
      <c r="D1824" s="185"/>
      <c r="E1824" s="186" t="s">
        <v>57</v>
      </c>
      <c r="F1824" s="66" t="s">
        <v>87</v>
      </c>
      <c r="G1824" s="66"/>
      <c r="H1824" s="108" t="s">
        <v>131</v>
      </c>
      <c r="I1824" s="101"/>
      <c r="J1824" s="101"/>
      <c r="K1824" s="101"/>
      <c r="L1824" s="101"/>
      <c r="M1824" s="101"/>
      <c r="N1824" s="101"/>
      <c r="O1824" s="67"/>
      <c r="P1824" s="102"/>
      <c r="Q1824" s="102"/>
      <c r="R1824" s="102"/>
      <c r="S1824" s="102"/>
      <c r="T1824" s="102"/>
      <c r="U1824" s="67"/>
      <c r="V1824" s="67"/>
      <c r="W1824" s="103"/>
      <c r="X1824" s="187"/>
      <c r="Y1824" s="68" t="s">
        <v>74</v>
      </c>
      <c r="Z1824" s="69"/>
      <c r="AA1824" s="90"/>
      <c r="AB1824" s="100"/>
      <c r="AC1824" s="100"/>
      <c r="AD1824" s="186" t="s">
        <v>57</v>
      </c>
      <c r="AE1824" s="66"/>
      <c r="AF1824" s="66"/>
      <c r="AG1824" s="66"/>
      <c r="AH1824" s="66"/>
      <c r="AI1824" s="66"/>
      <c r="AJ1824" s="66"/>
      <c r="AK1824" s="66"/>
      <c r="AL1824" s="66"/>
      <c r="AM1824" s="66"/>
      <c r="AN1824" s="66"/>
      <c r="AO1824" s="66"/>
      <c r="AP1824" s="66"/>
      <c r="AQ1824" s="66"/>
      <c r="AR1824" s="66"/>
      <c r="AS1824" s="66"/>
      <c r="AT1824" s="190"/>
      <c r="AU1824" s="66"/>
      <c r="AV1824" s="165"/>
      <c r="AW1824" s="293"/>
      <c r="AX1824" s="66"/>
      <c r="AY1824" s="66"/>
      <c r="AZ1824" s="66"/>
      <c r="BA1824" s="66"/>
      <c r="BB1824" s="66"/>
      <c r="BC1824" s="66"/>
      <c r="BD1824" s="68" t="s">
        <v>74</v>
      </c>
      <c r="BE1824" s="69"/>
    </row>
    <row r="1825" spans="1:57" s="1" customFormat="1" ht="23.25" customHeight="1" thickBot="1" x14ac:dyDescent="0.45">
      <c r="A1825" s="37" t="str">
        <f t="shared" si="713"/>
        <v>30Д</v>
      </c>
      <c r="B1825" s="183"/>
      <c r="C1825" s="41"/>
      <c r="D1825" s="184"/>
      <c r="E1825" s="50"/>
      <c r="F1825" s="70"/>
      <c r="G1825" s="70"/>
      <c r="H1825" s="70"/>
      <c r="I1825" s="104"/>
      <c r="J1825" s="104"/>
      <c r="K1825" s="104"/>
      <c r="L1825" s="104"/>
      <c r="M1825" s="104"/>
      <c r="N1825" s="104"/>
      <c r="O1825" s="71"/>
      <c r="P1825" s="105"/>
      <c r="Q1825" s="105"/>
      <c r="R1825" s="105"/>
      <c r="S1825" s="105"/>
      <c r="T1825" s="105"/>
      <c r="U1825" s="71"/>
      <c r="V1825" s="71"/>
      <c r="W1825" s="106"/>
      <c r="X1825" s="188"/>
      <c r="Y1825" s="72"/>
      <c r="Z1825" s="73"/>
      <c r="AA1825" s="90"/>
      <c r="AB1825" s="41"/>
      <c r="AC1825" s="41"/>
      <c r="AD1825" s="50"/>
      <c r="AE1825" s="47"/>
      <c r="AF1825" s="47"/>
      <c r="AG1825" s="47"/>
      <c r="AH1825" s="47"/>
      <c r="AI1825" s="47"/>
      <c r="AJ1825" s="47"/>
      <c r="AK1825" s="47"/>
      <c r="AL1825" s="47"/>
      <c r="AM1825" s="70"/>
      <c r="AN1825" s="47"/>
      <c r="AO1825" s="70"/>
      <c r="AP1825" s="70"/>
      <c r="AQ1825" s="70"/>
      <c r="AR1825" s="70"/>
      <c r="AS1825" s="70"/>
      <c r="AT1825" s="191"/>
      <c r="AU1825" s="70"/>
      <c r="AV1825" s="192"/>
      <c r="AW1825" s="294"/>
      <c r="AX1825" s="70"/>
      <c r="AY1825" s="70"/>
      <c r="AZ1825" s="70"/>
      <c r="BA1825" s="70"/>
      <c r="BB1825" s="70"/>
      <c r="BC1825" s="70"/>
      <c r="BD1825" s="72"/>
      <c r="BE1825" s="73"/>
    </row>
    <row r="1826" spans="1:57" s="1" customFormat="1" ht="46.5" customHeight="1" x14ac:dyDescent="0.4">
      <c r="A1826" s="37" t="str">
        <f t="shared" si="713"/>
        <v>30Д</v>
      </c>
      <c r="B1826" s="183"/>
      <c r="C1826" s="41"/>
      <c r="D1826" s="184"/>
      <c r="E1826" s="281">
        <f>B1821</f>
        <v>30</v>
      </c>
      <c r="F1826" s="337"/>
      <c r="G1826" s="338"/>
      <c r="H1826" s="338"/>
      <c r="I1826" s="338"/>
      <c r="J1826" s="338"/>
      <c r="K1826" s="338"/>
      <c r="L1826" s="338"/>
      <c r="M1826" s="338"/>
      <c r="N1826" s="338"/>
      <c r="O1826" s="338"/>
      <c r="P1826" s="338"/>
      <c r="Q1826" s="338"/>
      <c r="R1826" s="338"/>
      <c r="S1826" s="338"/>
      <c r="T1826" s="338"/>
      <c r="U1826" s="338"/>
      <c r="V1826" s="338"/>
      <c r="W1826" s="338"/>
      <c r="X1826" s="98">
        <v>1</v>
      </c>
      <c r="Y1826" s="74">
        <v>1</v>
      </c>
      <c r="Z1826" s="75">
        <f t="shared" ref="Z1826:Z1837" si="719">Y1826-X1826</f>
        <v>0</v>
      </c>
      <c r="AA1826" s="189"/>
      <c r="AB1826" s="41"/>
      <c r="AC1826" s="184"/>
      <c r="AD1826" s="210">
        <f>E1826</f>
        <v>30</v>
      </c>
      <c r="AE1826" s="387"/>
      <c r="AF1826" s="388"/>
      <c r="AG1826" s="388"/>
      <c r="AH1826" s="388"/>
      <c r="AI1826" s="388"/>
      <c r="AJ1826" s="388"/>
      <c r="AK1826" s="388"/>
      <c r="AL1826" s="388"/>
      <c r="AM1826" s="388"/>
      <c r="AN1826" s="388"/>
      <c r="AO1826" s="388"/>
      <c r="AP1826" s="388"/>
      <c r="AQ1826" s="388"/>
      <c r="AR1826" s="388"/>
      <c r="AS1826" s="388"/>
      <c r="AT1826" s="388"/>
      <c r="AU1826" s="388"/>
      <c r="AV1826" s="388"/>
      <c r="AW1826" s="388"/>
      <c r="AX1826" s="388"/>
      <c r="AY1826" s="388"/>
      <c r="AZ1826" s="388"/>
      <c r="BA1826" s="388"/>
      <c r="BB1826" s="389"/>
      <c r="BC1826" s="98">
        <v>1</v>
      </c>
      <c r="BD1826" s="74">
        <v>1</v>
      </c>
      <c r="BE1826" s="75">
        <f t="shared" ref="BE1826:BE1837" si="720">BD1826-BC1826</f>
        <v>0</v>
      </c>
    </row>
    <row r="1827" spans="1:57" s="1" customFormat="1" ht="21.9" customHeight="1" x14ac:dyDescent="0.4">
      <c r="A1827" s="37" t="str">
        <f t="shared" si="713"/>
        <v>30Д</v>
      </c>
      <c r="B1827" s="183"/>
      <c r="C1827" s="41"/>
      <c r="D1827" s="184"/>
      <c r="E1827" s="282">
        <f>E1826</f>
        <v>30</v>
      </c>
      <c r="F1827" s="335"/>
      <c r="G1827" s="336"/>
      <c r="H1827" s="336"/>
      <c r="I1827" s="336"/>
      <c r="J1827" s="336"/>
      <c r="K1827" s="336"/>
      <c r="L1827" s="336"/>
      <c r="M1827" s="336"/>
      <c r="N1827" s="336"/>
      <c r="O1827" s="336"/>
      <c r="P1827" s="336"/>
      <c r="Q1827" s="336"/>
      <c r="R1827" s="336"/>
      <c r="S1827" s="336"/>
      <c r="T1827" s="336"/>
      <c r="U1827" s="336"/>
      <c r="V1827" s="336"/>
      <c r="W1827" s="336"/>
      <c r="X1827" s="98">
        <v>1</v>
      </c>
      <c r="Y1827" s="74">
        <v>1</v>
      </c>
      <c r="Z1827" s="75">
        <f t="shared" si="719"/>
        <v>0</v>
      </c>
      <c r="AA1827" s="107">
        <f>AA1826</f>
        <v>0</v>
      </c>
      <c r="AB1827" s="41"/>
      <c r="AC1827" s="184"/>
      <c r="AD1827" s="212">
        <f>AD1826</f>
        <v>30</v>
      </c>
      <c r="AE1827" s="387"/>
      <c r="AF1827" s="388"/>
      <c r="AG1827" s="388"/>
      <c r="AH1827" s="388"/>
      <c r="AI1827" s="388"/>
      <c r="AJ1827" s="388"/>
      <c r="AK1827" s="388"/>
      <c r="AL1827" s="388"/>
      <c r="AM1827" s="388"/>
      <c r="AN1827" s="388"/>
      <c r="AO1827" s="388"/>
      <c r="AP1827" s="388"/>
      <c r="AQ1827" s="388"/>
      <c r="AR1827" s="388"/>
      <c r="AS1827" s="388"/>
      <c r="AT1827" s="388"/>
      <c r="AU1827" s="388"/>
      <c r="AV1827" s="388"/>
      <c r="AW1827" s="388"/>
      <c r="AX1827" s="388"/>
      <c r="AY1827" s="388"/>
      <c r="AZ1827" s="388"/>
      <c r="BA1827" s="388"/>
      <c r="BB1827" s="389"/>
      <c r="BC1827" s="98">
        <v>1</v>
      </c>
      <c r="BD1827" s="74">
        <v>1</v>
      </c>
      <c r="BE1827" s="75">
        <f t="shared" si="720"/>
        <v>0</v>
      </c>
    </row>
    <row r="1828" spans="1:57" s="1" customFormat="1" ht="21.9" customHeight="1" x14ac:dyDescent="0.4">
      <c r="A1828" s="37" t="str">
        <f t="shared" si="713"/>
        <v>30Д</v>
      </c>
      <c r="B1828" s="183"/>
      <c r="C1828" s="41"/>
      <c r="D1828" s="184"/>
      <c r="E1828" s="282">
        <f t="shared" ref="E1828:E1837" si="721">E1827</f>
        <v>30</v>
      </c>
      <c r="F1828" s="335"/>
      <c r="G1828" s="336"/>
      <c r="H1828" s="336"/>
      <c r="I1828" s="336"/>
      <c r="J1828" s="336"/>
      <c r="K1828" s="336"/>
      <c r="L1828" s="336"/>
      <c r="M1828" s="336"/>
      <c r="N1828" s="336"/>
      <c r="O1828" s="336"/>
      <c r="P1828" s="336"/>
      <c r="Q1828" s="336"/>
      <c r="R1828" s="336"/>
      <c r="S1828" s="336"/>
      <c r="T1828" s="336"/>
      <c r="U1828" s="336"/>
      <c r="V1828" s="336"/>
      <c r="W1828" s="336"/>
      <c r="X1828" s="98">
        <v>1</v>
      </c>
      <c r="Y1828" s="74">
        <v>1</v>
      </c>
      <c r="Z1828" s="75">
        <f t="shared" si="719"/>
        <v>0</v>
      </c>
      <c r="AA1828" s="107">
        <f>AA1827</f>
        <v>0</v>
      </c>
      <c r="AB1828" s="41"/>
      <c r="AC1828" s="184"/>
      <c r="AD1828" s="212">
        <f t="shared" ref="AD1828:AD1837" si="722">AD1827</f>
        <v>30</v>
      </c>
      <c r="AE1828" s="387"/>
      <c r="AF1828" s="388"/>
      <c r="AG1828" s="388"/>
      <c r="AH1828" s="388"/>
      <c r="AI1828" s="388"/>
      <c r="AJ1828" s="388"/>
      <c r="AK1828" s="388"/>
      <c r="AL1828" s="388"/>
      <c r="AM1828" s="388"/>
      <c r="AN1828" s="388"/>
      <c r="AO1828" s="388"/>
      <c r="AP1828" s="388"/>
      <c r="AQ1828" s="388"/>
      <c r="AR1828" s="388"/>
      <c r="AS1828" s="388"/>
      <c r="AT1828" s="388"/>
      <c r="AU1828" s="388"/>
      <c r="AV1828" s="388"/>
      <c r="AW1828" s="388"/>
      <c r="AX1828" s="388"/>
      <c r="AY1828" s="388"/>
      <c r="AZ1828" s="388"/>
      <c r="BA1828" s="388"/>
      <c r="BB1828" s="389"/>
      <c r="BC1828" s="98">
        <v>1</v>
      </c>
      <c r="BD1828" s="74">
        <v>1</v>
      </c>
      <c r="BE1828" s="75">
        <f t="shared" si="720"/>
        <v>0</v>
      </c>
    </row>
    <row r="1829" spans="1:57" s="1" customFormat="1" ht="18" customHeight="1" x14ac:dyDescent="0.4">
      <c r="A1829" s="37" t="str">
        <f t="shared" si="713"/>
        <v>30Д</v>
      </c>
      <c r="B1829" s="183"/>
      <c r="C1829" s="41"/>
      <c r="D1829" s="184"/>
      <c r="E1829" s="282">
        <f t="shared" si="721"/>
        <v>30</v>
      </c>
      <c r="F1829" s="335"/>
      <c r="G1829" s="336"/>
      <c r="H1829" s="336"/>
      <c r="I1829" s="336"/>
      <c r="J1829" s="336"/>
      <c r="K1829" s="336"/>
      <c r="L1829" s="336"/>
      <c r="M1829" s="336"/>
      <c r="N1829" s="336"/>
      <c r="O1829" s="336"/>
      <c r="P1829" s="336"/>
      <c r="Q1829" s="336"/>
      <c r="R1829" s="336"/>
      <c r="S1829" s="336"/>
      <c r="T1829" s="336"/>
      <c r="U1829" s="336"/>
      <c r="V1829" s="336"/>
      <c r="W1829" s="336"/>
      <c r="X1829" s="98">
        <v>1</v>
      </c>
      <c r="Y1829" s="74">
        <v>1</v>
      </c>
      <c r="Z1829" s="75">
        <f t="shared" si="719"/>
        <v>0</v>
      </c>
      <c r="AA1829" s="107">
        <f t="shared" ref="AA1829:AA1837" si="723">AA1828</f>
        <v>0</v>
      </c>
      <c r="AB1829" s="41"/>
      <c r="AC1829" s="184"/>
      <c r="AD1829" s="212">
        <f t="shared" si="722"/>
        <v>30</v>
      </c>
      <c r="AE1829" s="387"/>
      <c r="AF1829" s="388"/>
      <c r="AG1829" s="388"/>
      <c r="AH1829" s="388"/>
      <c r="AI1829" s="388"/>
      <c r="AJ1829" s="388"/>
      <c r="AK1829" s="388"/>
      <c r="AL1829" s="388"/>
      <c r="AM1829" s="388"/>
      <c r="AN1829" s="388"/>
      <c r="AO1829" s="388"/>
      <c r="AP1829" s="388"/>
      <c r="AQ1829" s="388"/>
      <c r="AR1829" s="388"/>
      <c r="AS1829" s="388"/>
      <c r="AT1829" s="388"/>
      <c r="AU1829" s="388"/>
      <c r="AV1829" s="388"/>
      <c r="AW1829" s="388"/>
      <c r="AX1829" s="388"/>
      <c r="AY1829" s="388"/>
      <c r="AZ1829" s="388"/>
      <c r="BA1829" s="388"/>
      <c r="BB1829" s="389"/>
      <c r="BC1829" s="98">
        <v>1</v>
      </c>
      <c r="BD1829" s="74">
        <v>1</v>
      </c>
      <c r="BE1829" s="75">
        <f t="shared" si="720"/>
        <v>0</v>
      </c>
    </row>
    <row r="1830" spans="1:57" s="1" customFormat="1" ht="18" customHeight="1" x14ac:dyDescent="0.4">
      <c r="A1830" s="37" t="str">
        <f t="shared" si="713"/>
        <v>30Д</v>
      </c>
      <c r="B1830" s="183"/>
      <c r="C1830" s="41"/>
      <c r="D1830" s="184"/>
      <c r="E1830" s="282">
        <f t="shared" si="721"/>
        <v>30</v>
      </c>
      <c r="F1830" s="335"/>
      <c r="G1830" s="336"/>
      <c r="H1830" s="336"/>
      <c r="I1830" s="336"/>
      <c r="J1830" s="336"/>
      <c r="K1830" s="336"/>
      <c r="L1830" s="336"/>
      <c r="M1830" s="336"/>
      <c r="N1830" s="336"/>
      <c r="O1830" s="336"/>
      <c r="P1830" s="336"/>
      <c r="Q1830" s="336"/>
      <c r="R1830" s="336"/>
      <c r="S1830" s="336"/>
      <c r="T1830" s="336"/>
      <c r="U1830" s="336"/>
      <c r="V1830" s="336"/>
      <c r="W1830" s="336"/>
      <c r="X1830" s="98">
        <v>1</v>
      </c>
      <c r="Y1830" s="74">
        <v>1</v>
      </c>
      <c r="Z1830" s="75">
        <f t="shared" si="719"/>
        <v>0</v>
      </c>
      <c r="AA1830" s="107">
        <f t="shared" si="723"/>
        <v>0</v>
      </c>
      <c r="AB1830" s="41"/>
      <c r="AC1830" s="184"/>
      <c r="AD1830" s="212">
        <f t="shared" si="722"/>
        <v>30</v>
      </c>
      <c r="AE1830" s="387"/>
      <c r="AF1830" s="388"/>
      <c r="AG1830" s="388"/>
      <c r="AH1830" s="388"/>
      <c r="AI1830" s="388"/>
      <c r="AJ1830" s="388"/>
      <c r="AK1830" s="388"/>
      <c r="AL1830" s="388"/>
      <c r="AM1830" s="388"/>
      <c r="AN1830" s="388"/>
      <c r="AO1830" s="388"/>
      <c r="AP1830" s="388"/>
      <c r="AQ1830" s="388"/>
      <c r="AR1830" s="388"/>
      <c r="AS1830" s="388"/>
      <c r="AT1830" s="388"/>
      <c r="AU1830" s="388"/>
      <c r="AV1830" s="388"/>
      <c r="AW1830" s="388"/>
      <c r="AX1830" s="388"/>
      <c r="AY1830" s="388"/>
      <c r="AZ1830" s="388"/>
      <c r="BA1830" s="388"/>
      <c r="BB1830" s="389"/>
      <c r="BC1830" s="98">
        <v>1</v>
      </c>
      <c r="BD1830" s="74">
        <v>1</v>
      </c>
      <c r="BE1830" s="75">
        <f t="shared" si="720"/>
        <v>0</v>
      </c>
    </row>
    <row r="1831" spans="1:57" s="1" customFormat="1" ht="18" customHeight="1" x14ac:dyDescent="0.4">
      <c r="A1831" s="37" t="str">
        <f t="shared" si="713"/>
        <v>30Д</v>
      </c>
      <c r="B1831" s="183"/>
      <c r="C1831" s="41"/>
      <c r="D1831" s="184"/>
      <c r="E1831" s="282">
        <f t="shared" si="721"/>
        <v>30</v>
      </c>
      <c r="F1831" s="335"/>
      <c r="G1831" s="336"/>
      <c r="H1831" s="336"/>
      <c r="I1831" s="336"/>
      <c r="J1831" s="336"/>
      <c r="K1831" s="336"/>
      <c r="L1831" s="336"/>
      <c r="M1831" s="336"/>
      <c r="N1831" s="336"/>
      <c r="O1831" s="336"/>
      <c r="P1831" s="336"/>
      <c r="Q1831" s="336"/>
      <c r="R1831" s="336"/>
      <c r="S1831" s="336"/>
      <c r="T1831" s="336"/>
      <c r="U1831" s="336"/>
      <c r="V1831" s="336"/>
      <c r="W1831" s="336"/>
      <c r="X1831" s="98">
        <v>1</v>
      </c>
      <c r="Y1831" s="74">
        <v>1</v>
      </c>
      <c r="Z1831" s="75">
        <f t="shared" si="719"/>
        <v>0</v>
      </c>
      <c r="AA1831" s="107">
        <f t="shared" si="723"/>
        <v>0</v>
      </c>
      <c r="AB1831" s="41"/>
      <c r="AC1831" s="184"/>
      <c r="AD1831" s="212">
        <f t="shared" si="722"/>
        <v>30</v>
      </c>
      <c r="AE1831" s="387"/>
      <c r="AF1831" s="388"/>
      <c r="AG1831" s="388"/>
      <c r="AH1831" s="388"/>
      <c r="AI1831" s="388"/>
      <c r="AJ1831" s="388"/>
      <c r="AK1831" s="388"/>
      <c r="AL1831" s="388"/>
      <c r="AM1831" s="388"/>
      <c r="AN1831" s="388"/>
      <c r="AO1831" s="388"/>
      <c r="AP1831" s="388"/>
      <c r="AQ1831" s="388"/>
      <c r="AR1831" s="388"/>
      <c r="AS1831" s="388"/>
      <c r="AT1831" s="388"/>
      <c r="AU1831" s="388"/>
      <c r="AV1831" s="388"/>
      <c r="AW1831" s="388"/>
      <c r="AX1831" s="388"/>
      <c r="AY1831" s="388"/>
      <c r="AZ1831" s="388"/>
      <c r="BA1831" s="388"/>
      <c r="BB1831" s="389"/>
      <c r="BC1831" s="98">
        <v>1</v>
      </c>
      <c r="BD1831" s="74">
        <v>1</v>
      </c>
      <c r="BE1831" s="75">
        <f t="shared" si="720"/>
        <v>0</v>
      </c>
    </row>
    <row r="1832" spans="1:57" s="1" customFormat="1" ht="18" customHeight="1" x14ac:dyDescent="0.4">
      <c r="A1832" s="37" t="str">
        <f t="shared" si="713"/>
        <v>30Д</v>
      </c>
      <c r="B1832" s="183"/>
      <c r="C1832" s="41"/>
      <c r="D1832" s="184"/>
      <c r="E1832" s="282">
        <f t="shared" si="721"/>
        <v>30</v>
      </c>
      <c r="F1832" s="335"/>
      <c r="G1832" s="336"/>
      <c r="H1832" s="336"/>
      <c r="I1832" s="336"/>
      <c r="J1832" s="336"/>
      <c r="K1832" s="336"/>
      <c r="L1832" s="336"/>
      <c r="M1832" s="336"/>
      <c r="N1832" s="336"/>
      <c r="O1832" s="336"/>
      <c r="P1832" s="336"/>
      <c r="Q1832" s="336"/>
      <c r="R1832" s="336"/>
      <c r="S1832" s="336"/>
      <c r="T1832" s="336"/>
      <c r="U1832" s="336"/>
      <c r="V1832" s="336"/>
      <c r="W1832" s="336"/>
      <c r="X1832" s="98">
        <v>1</v>
      </c>
      <c r="Y1832" s="74">
        <v>1</v>
      </c>
      <c r="Z1832" s="75">
        <f t="shared" si="719"/>
        <v>0</v>
      </c>
      <c r="AA1832" s="107">
        <f t="shared" si="723"/>
        <v>0</v>
      </c>
      <c r="AB1832" s="41"/>
      <c r="AC1832" s="184"/>
      <c r="AD1832" s="212">
        <f t="shared" si="722"/>
        <v>30</v>
      </c>
      <c r="AE1832" s="387"/>
      <c r="AF1832" s="388"/>
      <c r="AG1832" s="388"/>
      <c r="AH1832" s="388"/>
      <c r="AI1832" s="388"/>
      <c r="AJ1832" s="388"/>
      <c r="AK1832" s="388"/>
      <c r="AL1832" s="388"/>
      <c r="AM1832" s="388"/>
      <c r="AN1832" s="388"/>
      <c r="AO1832" s="388"/>
      <c r="AP1832" s="388"/>
      <c r="AQ1832" s="388"/>
      <c r="AR1832" s="388"/>
      <c r="AS1832" s="388"/>
      <c r="AT1832" s="388"/>
      <c r="AU1832" s="388"/>
      <c r="AV1832" s="388"/>
      <c r="AW1832" s="388"/>
      <c r="AX1832" s="388"/>
      <c r="AY1832" s="388"/>
      <c r="AZ1832" s="388"/>
      <c r="BA1832" s="388"/>
      <c r="BB1832" s="389"/>
      <c r="BC1832" s="98">
        <v>1</v>
      </c>
      <c r="BD1832" s="74">
        <v>1</v>
      </c>
      <c r="BE1832" s="75">
        <f t="shared" si="720"/>
        <v>0</v>
      </c>
    </row>
    <row r="1833" spans="1:57" s="1" customFormat="1" ht="18" customHeight="1" x14ac:dyDescent="0.4">
      <c r="A1833" s="37" t="str">
        <f t="shared" si="713"/>
        <v>30Д</v>
      </c>
      <c r="B1833" s="183"/>
      <c r="C1833" s="41"/>
      <c r="D1833" s="184"/>
      <c r="E1833" s="282">
        <f t="shared" si="721"/>
        <v>30</v>
      </c>
      <c r="F1833" s="335"/>
      <c r="G1833" s="336"/>
      <c r="H1833" s="336"/>
      <c r="I1833" s="336"/>
      <c r="J1833" s="336"/>
      <c r="K1833" s="336"/>
      <c r="L1833" s="336"/>
      <c r="M1833" s="336"/>
      <c r="N1833" s="336"/>
      <c r="O1833" s="336"/>
      <c r="P1833" s="336"/>
      <c r="Q1833" s="336"/>
      <c r="R1833" s="336"/>
      <c r="S1833" s="336"/>
      <c r="T1833" s="336"/>
      <c r="U1833" s="336"/>
      <c r="V1833" s="336"/>
      <c r="W1833" s="336"/>
      <c r="X1833" s="98">
        <v>1</v>
      </c>
      <c r="Y1833" s="74">
        <v>1</v>
      </c>
      <c r="Z1833" s="75">
        <f t="shared" si="719"/>
        <v>0</v>
      </c>
      <c r="AA1833" s="107">
        <f t="shared" si="723"/>
        <v>0</v>
      </c>
      <c r="AB1833" s="41"/>
      <c r="AC1833" s="184"/>
      <c r="AD1833" s="212">
        <f t="shared" si="722"/>
        <v>30</v>
      </c>
      <c r="AE1833" s="387"/>
      <c r="AF1833" s="388"/>
      <c r="AG1833" s="388"/>
      <c r="AH1833" s="388"/>
      <c r="AI1833" s="388"/>
      <c r="AJ1833" s="388"/>
      <c r="AK1833" s="388"/>
      <c r="AL1833" s="388"/>
      <c r="AM1833" s="388"/>
      <c r="AN1833" s="388"/>
      <c r="AO1833" s="388"/>
      <c r="AP1833" s="388"/>
      <c r="AQ1833" s="388"/>
      <c r="AR1833" s="388"/>
      <c r="AS1833" s="388"/>
      <c r="AT1833" s="388"/>
      <c r="AU1833" s="388"/>
      <c r="AV1833" s="388"/>
      <c r="AW1833" s="388"/>
      <c r="AX1833" s="388"/>
      <c r="AY1833" s="388"/>
      <c r="AZ1833" s="388"/>
      <c r="BA1833" s="388"/>
      <c r="BB1833" s="389"/>
      <c r="BC1833" s="98">
        <v>1</v>
      </c>
      <c r="BD1833" s="74">
        <v>1</v>
      </c>
      <c r="BE1833" s="75">
        <f t="shared" si="720"/>
        <v>0</v>
      </c>
    </row>
    <row r="1834" spans="1:57" s="1" customFormat="1" ht="18" customHeight="1" x14ac:dyDescent="0.4">
      <c r="A1834" s="37" t="str">
        <f t="shared" si="713"/>
        <v>30Д</v>
      </c>
      <c r="B1834" s="183"/>
      <c r="C1834" s="41"/>
      <c r="D1834" s="184"/>
      <c r="E1834" s="282">
        <f t="shared" si="721"/>
        <v>30</v>
      </c>
      <c r="F1834" s="335"/>
      <c r="G1834" s="336"/>
      <c r="H1834" s="336"/>
      <c r="I1834" s="336"/>
      <c r="J1834" s="336"/>
      <c r="K1834" s="336"/>
      <c r="L1834" s="336"/>
      <c r="M1834" s="336"/>
      <c r="N1834" s="336"/>
      <c r="O1834" s="336"/>
      <c r="P1834" s="336"/>
      <c r="Q1834" s="336"/>
      <c r="R1834" s="336"/>
      <c r="S1834" s="336"/>
      <c r="T1834" s="336"/>
      <c r="U1834" s="336"/>
      <c r="V1834" s="336"/>
      <c r="W1834" s="336"/>
      <c r="X1834" s="98">
        <v>1</v>
      </c>
      <c r="Y1834" s="74">
        <v>1</v>
      </c>
      <c r="Z1834" s="75">
        <f t="shared" si="719"/>
        <v>0</v>
      </c>
      <c r="AA1834" s="107">
        <f t="shared" si="723"/>
        <v>0</v>
      </c>
      <c r="AB1834" s="41"/>
      <c r="AC1834" s="184"/>
      <c r="AD1834" s="212">
        <f t="shared" si="722"/>
        <v>30</v>
      </c>
      <c r="AE1834" s="387"/>
      <c r="AF1834" s="388"/>
      <c r="AG1834" s="388"/>
      <c r="AH1834" s="388"/>
      <c r="AI1834" s="388"/>
      <c r="AJ1834" s="388"/>
      <c r="AK1834" s="388"/>
      <c r="AL1834" s="388"/>
      <c r="AM1834" s="388"/>
      <c r="AN1834" s="388"/>
      <c r="AO1834" s="388"/>
      <c r="AP1834" s="388"/>
      <c r="AQ1834" s="388"/>
      <c r="AR1834" s="388"/>
      <c r="AS1834" s="388"/>
      <c r="AT1834" s="388"/>
      <c r="AU1834" s="388"/>
      <c r="AV1834" s="388"/>
      <c r="AW1834" s="388"/>
      <c r="AX1834" s="388"/>
      <c r="AY1834" s="388"/>
      <c r="AZ1834" s="388"/>
      <c r="BA1834" s="388"/>
      <c r="BB1834" s="389"/>
      <c r="BC1834" s="98">
        <v>1</v>
      </c>
      <c r="BD1834" s="74">
        <v>1</v>
      </c>
      <c r="BE1834" s="75">
        <f t="shared" si="720"/>
        <v>0</v>
      </c>
    </row>
    <row r="1835" spans="1:57" s="1" customFormat="1" ht="18" customHeight="1" x14ac:dyDescent="0.4">
      <c r="A1835" s="37" t="str">
        <f t="shared" si="713"/>
        <v>30Д</v>
      </c>
      <c r="B1835" s="183"/>
      <c r="C1835" s="41"/>
      <c r="D1835" s="184"/>
      <c r="E1835" s="282">
        <f t="shared" si="721"/>
        <v>30</v>
      </c>
      <c r="F1835" s="335"/>
      <c r="G1835" s="336"/>
      <c r="H1835" s="336"/>
      <c r="I1835" s="336"/>
      <c r="J1835" s="336"/>
      <c r="K1835" s="336"/>
      <c r="L1835" s="336"/>
      <c r="M1835" s="336"/>
      <c r="N1835" s="336"/>
      <c r="O1835" s="336"/>
      <c r="P1835" s="336"/>
      <c r="Q1835" s="336"/>
      <c r="R1835" s="336"/>
      <c r="S1835" s="336"/>
      <c r="T1835" s="336"/>
      <c r="U1835" s="336"/>
      <c r="V1835" s="336"/>
      <c r="W1835" s="336"/>
      <c r="X1835" s="98">
        <v>1</v>
      </c>
      <c r="Y1835" s="74">
        <v>1</v>
      </c>
      <c r="Z1835" s="75">
        <f t="shared" si="719"/>
        <v>0</v>
      </c>
      <c r="AA1835" s="107">
        <f t="shared" si="723"/>
        <v>0</v>
      </c>
      <c r="AB1835" s="41"/>
      <c r="AC1835" s="184"/>
      <c r="AD1835" s="212">
        <f t="shared" si="722"/>
        <v>30</v>
      </c>
      <c r="AE1835" s="387"/>
      <c r="AF1835" s="388"/>
      <c r="AG1835" s="388"/>
      <c r="AH1835" s="388"/>
      <c r="AI1835" s="388"/>
      <c r="AJ1835" s="388"/>
      <c r="AK1835" s="388"/>
      <c r="AL1835" s="388"/>
      <c r="AM1835" s="388"/>
      <c r="AN1835" s="388"/>
      <c r="AO1835" s="388"/>
      <c r="AP1835" s="388"/>
      <c r="AQ1835" s="388"/>
      <c r="AR1835" s="388"/>
      <c r="AS1835" s="388"/>
      <c r="AT1835" s="388"/>
      <c r="AU1835" s="388"/>
      <c r="AV1835" s="388"/>
      <c r="AW1835" s="388"/>
      <c r="AX1835" s="388"/>
      <c r="AY1835" s="388"/>
      <c r="AZ1835" s="388"/>
      <c r="BA1835" s="388"/>
      <c r="BB1835" s="389"/>
      <c r="BC1835" s="98">
        <v>1</v>
      </c>
      <c r="BD1835" s="74">
        <v>1</v>
      </c>
      <c r="BE1835" s="75">
        <f t="shared" si="720"/>
        <v>0</v>
      </c>
    </row>
    <row r="1836" spans="1:57" s="1" customFormat="1" ht="18" customHeight="1" x14ac:dyDescent="0.4">
      <c r="A1836" s="37" t="str">
        <f t="shared" si="713"/>
        <v>30Д</v>
      </c>
      <c r="B1836" s="183"/>
      <c r="C1836" s="41"/>
      <c r="D1836" s="184"/>
      <c r="E1836" s="282">
        <f t="shared" si="721"/>
        <v>30</v>
      </c>
      <c r="F1836" s="335"/>
      <c r="G1836" s="336"/>
      <c r="H1836" s="336"/>
      <c r="I1836" s="336"/>
      <c r="J1836" s="336"/>
      <c r="K1836" s="336"/>
      <c r="L1836" s="336"/>
      <c r="M1836" s="336"/>
      <c r="N1836" s="336"/>
      <c r="O1836" s="336"/>
      <c r="P1836" s="336"/>
      <c r="Q1836" s="336"/>
      <c r="R1836" s="336"/>
      <c r="S1836" s="336"/>
      <c r="T1836" s="336"/>
      <c r="U1836" s="336"/>
      <c r="V1836" s="336"/>
      <c r="W1836" s="336"/>
      <c r="X1836" s="98">
        <v>1</v>
      </c>
      <c r="Y1836" s="74">
        <v>1</v>
      </c>
      <c r="Z1836" s="75">
        <f t="shared" si="719"/>
        <v>0</v>
      </c>
      <c r="AA1836" s="107">
        <f t="shared" si="723"/>
        <v>0</v>
      </c>
      <c r="AB1836" s="41"/>
      <c r="AC1836" s="184"/>
      <c r="AD1836" s="212">
        <f t="shared" si="722"/>
        <v>30</v>
      </c>
      <c r="AE1836" s="387"/>
      <c r="AF1836" s="388"/>
      <c r="AG1836" s="388"/>
      <c r="AH1836" s="388"/>
      <c r="AI1836" s="388"/>
      <c r="AJ1836" s="388"/>
      <c r="AK1836" s="388"/>
      <c r="AL1836" s="388"/>
      <c r="AM1836" s="388"/>
      <c r="AN1836" s="388"/>
      <c r="AO1836" s="388"/>
      <c r="AP1836" s="388"/>
      <c r="AQ1836" s="388"/>
      <c r="AR1836" s="388"/>
      <c r="AS1836" s="388"/>
      <c r="AT1836" s="388"/>
      <c r="AU1836" s="388"/>
      <c r="AV1836" s="388"/>
      <c r="AW1836" s="388"/>
      <c r="AX1836" s="388"/>
      <c r="AY1836" s="388"/>
      <c r="AZ1836" s="388"/>
      <c r="BA1836" s="388"/>
      <c r="BB1836" s="389"/>
      <c r="BC1836" s="98">
        <v>1</v>
      </c>
      <c r="BD1836" s="74">
        <v>1</v>
      </c>
      <c r="BE1836" s="75">
        <f t="shared" si="720"/>
        <v>0</v>
      </c>
    </row>
    <row r="1837" spans="1:57" s="1" customFormat="1" ht="18" customHeight="1" thickBot="1" x14ac:dyDescent="0.45">
      <c r="A1837" s="37" t="str">
        <f t="shared" si="713"/>
        <v>30Д</v>
      </c>
      <c r="B1837" s="183"/>
      <c r="C1837" s="41"/>
      <c r="D1837" s="184"/>
      <c r="E1837" s="283">
        <f t="shared" si="721"/>
        <v>30</v>
      </c>
      <c r="F1837" s="339"/>
      <c r="G1837" s="340"/>
      <c r="H1837" s="340"/>
      <c r="I1837" s="340"/>
      <c r="J1837" s="340"/>
      <c r="K1837" s="340"/>
      <c r="L1837" s="340"/>
      <c r="M1837" s="340"/>
      <c r="N1837" s="340"/>
      <c r="O1837" s="340"/>
      <c r="P1837" s="340"/>
      <c r="Q1837" s="340"/>
      <c r="R1837" s="340"/>
      <c r="S1837" s="340"/>
      <c r="T1837" s="340"/>
      <c r="U1837" s="340"/>
      <c r="V1837" s="340"/>
      <c r="W1837" s="340"/>
      <c r="X1837" s="99">
        <v>1</v>
      </c>
      <c r="Y1837" s="76">
        <v>1</v>
      </c>
      <c r="Z1837" s="77">
        <f t="shared" si="719"/>
        <v>0</v>
      </c>
      <c r="AA1837" s="107">
        <f t="shared" si="723"/>
        <v>0</v>
      </c>
      <c r="AB1837" s="41"/>
      <c r="AC1837" s="184"/>
      <c r="AD1837" s="211">
        <f t="shared" si="722"/>
        <v>30</v>
      </c>
      <c r="AE1837" s="410"/>
      <c r="AF1837" s="411"/>
      <c r="AG1837" s="411"/>
      <c r="AH1837" s="411"/>
      <c r="AI1837" s="411"/>
      <c r="AJ1837" s="411"/>
      <c r="AK1837" s="411"/>
      <c r="AL1837" s="411"/>
      <c r="AM1837" s="411"/>
      <c r="AN1837" s="411"/>
      <c r="AO1837" s="411"/>
      <c r="AP1837" s="411"/>
      <c r="AQ1837" s="411"/>
      <c r="AR1837" s="411"/>
      <c r="AS1837" s="411"/>
      <c r="AT1837" s="411"/>
      <c r="AU1837" s="411"/>
      <c r="AV1837" s="411"/>
      <c r="AW1837" s="411"/>
      <c r="AX1837" s="411"/>
      <c r="AY1837" s="411"/>
      <c r="AZ1837" s="411"/>
      <c r="BA1837" s="411"/>
      <c r="BB1837" s="412"/>
      <c r="BC1837" s="99">
        <v>1</v>
      </c>
      <c r="BD1837" s="76">
        <v>1</v>
      </c>
      <c r="BE1837" s="75">
        <f t="shared" si="720"/>
        <v>0</v>
      </c>
    </row>
    <row r="1838" spans="1:57" s="1" customFormat="1" ht="23.25" customHeight="1" thickBot="1" x14ac:dyDescent="0.45">
      <c r="A1838" s="37" t="str">
        <f t="shared" si="713"/>
        <v>30Д</v>
      </c>
      <c r="B1838" s="193"/>
      <c r="C1838" s="47"/>
      <c r="D1838" s="47"/>
      <c r="E1838" s="47"/>
      <c r="F1838" s="78"/>
      <c r="G1838" s="78"/>
      <c r="H1838" s="78"/>
      <c r="I1838" s="80"/>
      <c r="J1838" s="80"/>
      <c r="K1838" s="80"/>
      <c r="L1838" s="80"/>
      <c r="M1838" s="80"/>
      <c r="N1838" s="80"/>
      <c r="O1838" s="78"/>
      <c r="P1838" s="81"/>
      <c r="Q1838" s="81"/>
      <c r="R1838" s="81"/>
      <c r="S1838" s="81"/>
      <c r="T1838" s="81"/>
      <c r="U1838" s="82"/>
      <c r="V1838" s="82"/>
      <c r="W1838" s="86"/>
      <c r="X1838" s="194"/>
      <c r="Y1838" s="83"/>
      <c r="Z1838" s="83"/>
      <c r="AA1838" s="78"/>
      <c r="AB1838" s="47"/>
      <c r="AC1838" s="47"/>
      <c r="AD1838" s="47"/>
      <c r="AE1838" s="47"/>
      <c r="AF1838" s="47"/>
      <c r="AG1838" s="47"/>
      <c r="AH1838" s="47"/>
      <c r="AI1838" s="47"/>
      <c r="AJ1838" s="47"/>
      <c r="AK1838" s="47"/>
      <c r="AL1838" s="47"/>
      <c r="AM1838" s="84"/>
      <c r="AN1838" s="47"/>
      <c r="AO1838" s="78"/>
      <c r="AP1838" s="78"/>
      <c r="AQ1838" s="78"/>
      <c r="AR1838" s="84"/>
      <c r="AS1838" s="78"/>
      <c r="AT1838" s="85"/>
      <c r="AU1838" s="78"/>
      <c r="AV1838" s="83"/>
      <c r="AW1838" s="83"/>
      <c r="AX1838" s="78"/>
      <c r="AY1838" s="78"/>
      <c r="AZ1838" s="78"/>
      <c r="BA1838" s="78"/>
      <c r="BB1838" s="78"/>
      <c r="BC1838" s="78"/>
      <c r="BD1838" s="79"/>
      <c r="BE1838" s="79"/>
    </row>
    <row r="1839" spans="1:57" s="1" customFormat="1" ht="21.6" customHeight="1" thickBot="1" x14ac:dyDescent="0.45">
      <c r="A1839" s="37" t="s">
        <v>205</v>
      </c>
      <c r="B1839" s="59"/>
      <c r="C1839" s="51"/>
      <c r="D1839" s="51"/>
      <c r="E1839" s="51"/>
      <c r="F1839" s="158" t="s">
        <v>220</v>
      </c>
      <c r="G1839" s="51"/>
      <c r="H1839" s="51"/>
      <c r="I1839" s="156"/>
      <c r="J1839" s="156"/>
      <c r="K1839" s="156"/>
      <c r="L1839" s="156"/>
      <c r="M1839" s="156"/>
      <c r="N1839" s="156"/>
      <c r="O1839" s="91"/>
      <c r="P1839" s="52"/>
      <c r="Q1839" s="52"/>
      <c r="R1839" s="52"/>
      <c r="S1839" s="52"/>
      <c r="T1839" s="52"/>
      <c r="U1839" s="157"/>
      <c r="V1839" s="157"/>
      <c r="W1839" s="94"/>
      <c r="X1839" s="94"/>
      <c r="Y1839" s="51"/>
      <c r="Z1839" s="51"/>
      <c r="AA1839" s="157">
        <f>AA1822</f>
        <v>1</v>
      </c>
      <c r="AB1839" s="157">
        <f t="shared" ref="AB1839:AF1839" si="724">AB1822</f>
        <v>2</v>
      </c>
      <c r="AC1839" s="157">
        <f t="shared" si="724"/>
        <v>3</v>
      </c>
      <c r="AD1839" s="157">
        <f t="shared" si="724"/>
        <v>4</v>
      </c>
      <c r="AE1839" s="157">
        <f t="shared" si="724"/>
        <v>5</v>
      </c>
      <c r="AF1839" s="157">
        <f t="shared" si="724"/>
        <v>6</v>
      </c>
      <c r="AG1839" s="162" t="s">
        <v>123</v>
      </c>
      <c r="AH1839" s="162" t="s">
        <v>124</v>
      </c>
      <c r="AI1839" s="162" t="s">
        <v>125</v>
      </c>
      <c r="AJ1839" s="91" t="s">
        <v>126</v>
      </c>
      <c r="AK1839" s="198" t="s">
        <v>136</v>
      </c>
      <c r="AL1839" s="198" t="s">
        <v>137</v>
      </c>
      <c r="AM1839" s="198" t="s">
        <v>138</v>
      </c>
      <c r="AN1839" s="91"/>
      <c r="AO1839" s="91"/>
      <c r="AP1839" s="91"/>
      <c r="AQ1839" s="91"/>
      <c r="AR1839" s="91"/>
      <c r="AS1839" s="91"/>
      <c r="AT1839" s="91"/>
      <c r="AU1839" s="91"/>
      <c r="AV1839" s="91"/>
      <c r="AW1839" s="91"/>
      <c r="AX1839" s="91"/>
      <c r="AY1839" s="91"/>
      <c r="AZ1839" s="91"/>
      <c r="BA1839" s="91"/>
      <c r="BB1839" s="91"/>
      <c r="BC1839" s="91"/>
      <c r="BD1839" s="91"/>
      <c r="BE1839" s="91"/>
    </row>
    <row r="1840" spans="1:57" s="1" customFormat="1" ht="21.6" customHeight="1" x14ac:dyDescent="0.4">
      <c r="A1840" s="37" t="str">
        <f>A1839</f>
        <v>30Н</v>
      </c>
      <c r="B1840" s="12">
        <f>B1821</f>
        <v>30</v>
      </c>
      <c r="C1840" s="97"/>
      <c r="D1840" s="97">
        <v>1</v>
      </c>
      <c r="E1840" s="29"/>
      <c r="F1840" s="151" t="str">
        <f>IFERROR(VLOOKUP($G1840,нормы!$A$14:$BC$57,2,0),"")</f>
        <v/>
      </c>
      <c r="G1840" s="93"/>
      <c r="H1840" s="54">
        <f>IF(C1840=1,"Кульков С.А.", IF(C1840=2,"Чудаков А.А.",IF(C1840=3,"Королев В.Н.",IF(C1840=4,"Николашин М.П.",IF(C1840=5," Кульков С.А.",IF(C1840=6,"А.А. Чудаков",IF(C1840=7,"В.Н. Королев",IF(C1840=8,"М.П. Николашин",0))))))))</f>
        <v>0</v>
      </c>
      <c r="I1840" s="88" t="s">
        <v>84</v>
      </c>
      <c r="J1840" s="332"/>
      <c r="K1840" s="30">
        <f>IFERROR(VLOOKUP($G1840,[1]нормы!$A$21:$BC$151,15,0),"")</f>
        <v>0</v>
      </c>
      <c r="L1840" s="31">
        <f>IFERROR(VLOOKUP($G1840,[1]нормы!$A$21:$BC$151,17,0),"")</f>
        <v>0</v>
      </c>
      <c r="M1840" s="310">
        <f>IFERROR(VLOOKUP($G1840,[1]нормы!$A$21:$BC$151,27,0),"")</f>
        <v>0</v>
      </c>
      <c r="N1840" s="311" t="str">
        <f>IFERROR(Y1840/Y1846*(1.1*J1840*I1845),"")</f>
        <v/>
      </c>
      <c r="O1840" s="300">
        <f>IFERROR(VLOOKUP($G1840,[1]нормы!$A$21:$BC$151,21,0),"")</f>
        <v>0</v>
      </c>
      <c r="P1840" s="35">
        <f>IFERROR(VLOOKUP($G1840,[1]нормы!$A$21:$BC$151,19,0),"")</f>
        <v>0</v>
      </c>
      <c r="Q1840" s="35">
        <f>IFERROR(VLOOKUP($G1840,[1]нормы!$A$21:$BC$151,23,0),"")</f>
        <v>0</v>
      </c>
      <c r="R1840" s="231">
        <f>IFERROR(VLOOKUP($G1840,[1]нормы!$A$21:$BC$151,29,0),"")</f>
        <v>0</v>
      </c>
      <c r="S1840" s="35">
        <f>IFERROR(VLOOKUP($G1840,[1]нормы!$A$21:$BC$151,31,0),"")</f>
        <v>0</v>
      </c>
      <c r="T1840" s="32">
        <f>IFERROR(VLOOKUP($G1840,[1]нормы!$A$21:$BC$151,25,0),"")</f>
        <v>0</v>
      </c>
      <c r="U1840" s="232" t="str">
        <f>IFERROR(W1840/(((100*Y1840/Y1846)*I1845)/100),"")</f>
        <v/>
      </c>
      <c r="V1840" s="234" t="str">
        <f>IFERROR(VLOOKUP($G1840,нормы!$A$14:$BC$57,38,0),"")</f>
        <v/>
      </c>
      <c r="W1840" s="136"/>
      <c r="X1840" s="236"/>
      <c r="Y1840" s="152" t="str">
        <f>IFERROR(VLOOKUP($G1840,нормы!$A$14:$BC$57,42,0)*W1840,"")</f>
        <v/>
      </c>
      <c r="Z1840" s="163">
        <f>IFERROR(VLOOKUP($G1840,нормы!$A$14:$BC$57,14,0)*W1840/1000,0)</f>
        <v>0</v>
      </c>
      <c r="AA1840" s="33"/>
      <c r="AB1840" s="36"/>
      <c r="AC1840" s="36"/>
      <c r="AD1840" s="36"/>
      <c r="AE1840" s="34"/>
      <c r="AF1840" s="159"/>
      <c r="AG1840" s="390"/>
      <c r="AH1840" s="393"/>
      <c r="AI1840" s="396"/>
      <c r="AJ1840" s="407">
        <f>AG1840+AH1840</f>
        <v>0</v>
      </c>
      <c r="AK1840" s="359"/>
      <c r="AL1840" s="359"/>
      <c r="AM1840" s="359"/>
      <c r="AN1840" s="287">
        <f>IFERROR(Y1840*AJ1840/Y1846,)</f>
        <v>0</v>
      </c>
      <c r="AO1840" s="197" t="str">
        <f>IFERROR(VLOOKUP($G1840,нормы!$A$14:$BC$57,53,0)*$W1840,"")</f>
        <v/>
      </c>
      <c r="AP1840" s="288">
        <f>IFERROR(Y1840*AI1840/Y1846,)</f>
        <v>0</v>
      </c>
      <c r="AQ1840" s="197" t="str">
        <f>IFERROR(VLOOKUP($G1840,нормы!$A$14:$BC$57,54,0)*$W1840,"")</f>
        <v/>
      </c>
      <c r="AR1840" s="288">
        <f>IFERROR(AS1840/SUM(AS1840:AS1845)*AL1840,0)</f>
        <v>0</v>
      </c>
      <c r="AS1840" s="197" t="str">
        <f>IFERROR(VLOOKUP($G1840,нормы!$A$14:$BC$57,55,0)*W1840,"")</f>
        <v/>
      </c>
      <c r="AT1840" s="288">
        <f>IFERROR(AU1840/SUM(AU1840:AU1845)*AM1840,0)</f>
        <v>0</v>
      </c>
      <c r="AU1840" s="197" t="str">
        <f>IFERROR(VLOOKUP($G1840,нормы!$A$14:$BI$57,56,0)*W1840,"")</f>
        <v/>
      </c>
      <c r="AV1840" s="288">
        <f>IFERROR(AW1840/SUM(AW1840:AW1845)*AK1840,0)</f>
        <v>0</v>
      </c>
      <c r="AW1840" s="202" t="str">
        <f>IFERROR(VLOOKUP($G1840,нормы!$A$14:$BI$57,57,0)*W1840,"")</f>
        <v/>
      </c>
      <c r="AX1840" s="33"/>
      <c r="AY1840" s="203" t="str">
        <f>IFERROR(VLOOKUP($G1840,нормы!$A$14:$BI$57,58,0)*W1840,"")</f>
        <v/>
      </c>
      <c r="AZ1840" s="204"/>
      <c r="BA1840" s="200" t="str">
        <f>IFERROR(VLOOKUP($G1840,нормы!$A$14:$BI$57,61,0)*$W1840,"")</f>
        <v/>
      </c>
      <c r="BB1840" s="33"/>
      <c r="BC1840" s="203" t="str">
        <f>IFERROR(VLOOKUP($G1840,нормы!$A$14:$BI$57,60,0)*W1840,"")</f>
        <v/>
      </c>
      <c r="BD1840" s="200" t="str">
        <f>IFERROR(VLOOKUP($G1840,нормы!$A$14:$BG$57,44,0),"")</f>
        <v/>
      </c>
      <c r="BE1840" s="199" t="str">
        <f>IFERROR(W1840/VLOOKUP($G1840,нормы!$A$14:$BI$57,45,0),"")</f>
        <v/>
      </c>
    </row>
    <row r="1841" spans="1:57" s="1" customFormat="1" ht="21.6" customHeight="1" x14ac:dyDescent="0.4">
      <c r="A1841" s="37" t="str">
        <f t="shared" ref="A1841:D1869" si="725">A1840</f>
        <v>30Н</v>
      </c>
      <c r="B1841" s="12">
        <f>B1840</f>
        <v>30</v>
      </c>
      <c r="C1841" s="97">
        <f t="shared" ref="C1841:D1841" si="726">C1840</f>
        <v>0</v>
      </c>
      <c r="D1841" s="97">
        <f t="shared" si="726"/>
        <v>1</v>
      </c>
      <c r="E1841" s="54"/>
      <c r="F1841" s="151" t="str">
        <f>IFERROR(VLOOKUP($G1841,нормы!$A$14:$BC$57,2,0),"")</f>
        <v/>
      </c>
      <c r="G1841" s="93"/>
      <c r="H1841" s="54">
        <f t="shared" ref="H1841:H1845" si="727">IF(C1841=1,"Кульков С.А.", IF(C1841=2,"Чудаков А.А.",IF(C1841=3,"Королев В.Н.",IF(C1841=4,"Николашин М.П.",IF(C1841=5," Кульков С.А.",IF(C1841=6,"А.А. Чудаков",IF(C1841=7,"В.Н. Королев",IF(C1841=8,"М.П. Николашин",0))))))))</f>
        <v>0</v>
      </c>
      <c r="I1841" s="55"/>
      <c r="J1841" s="333"/>
      <c r="K1841" s="30">
        <f>IFERROR(VLOOKUP($G1841,[1]нормы!$A$21:$BC$151,15,0),"")</f>
        <v>0</v>
      </c>
      <c r="L1841" s="31">
        <f>IFERROR(VLOOKUP($G1841,[1]нормы!$A$21:$BC$151,17,0),"")</f>
        <v>0</v>
      </c>
      <c r="M1841" s="306">
        <f>IFERROR(VLOOKUP($G1841,[1]нормы!$A$21:$BC$151,27,0),"")</f>
        <v>0</v>
      </c>
      <c r="N1841" s="307" t="str">
        <f>IFERROR(Y1841/Y1846*(1.1*J1840*I1845),"")</f>
        <v/>
      </c>
      <c r="O1841" s="300">
        <f>IFERROR(VLOOKUP($G1841,[1]нормы!$A$21:$BC$151,21,0),"")</f>
        <v>0</v>
      </c>
      <c r="P1841" s="35">
        <f>IFERROR(VLOOKUP($G1841,[1]нормы!$A$21:$BC$151,19,0),"")</f>
        <v>0</v>
      </c>
      <c r="Q1841" s="35">
        <f>IFERROR(VLOOKUP($G1841,[1]нормы!$A$21:$BC$151,23,0),"")</f>
        <v>0</v>
      </c>
      <c r="R1841" s="231">
        <f>IFERROR(VLOOKUP($G1841,[1]нормы!$A$21:$BC$151,29,0),"")</f>
        <v>0</v>
      </c>
      <c r="S1841" s="35">
        <f>IFERROR(VLOOKUP($G1841,[1]нормы!$A$21:$BC$151,31,0),"")</f>
        <v>0</v>
      </c>
      <c r="T1841" s="32">
        <f>IFERROR(VLOOKUP($G1841,[1]нормы!$A$21:$BC$151,25,0),"")</f>
        <v>0</v>
      </c>
      <c r="U1841" s="233" t="str">
        <f>IFERROR(W1841/(((100*Y1841/Y1846)*I1845)/100),"")</f>
        <v/>
      </c>
      <c r="V1841" s="234" t="str">
        <f>IFERROR(VLOOKUP($G1841,нормы!$A$14:$BC$57,38,0),"")</f>
        <v/>
      </c>
      <c r="W1841" s="136"/>
      <c r="X1841" s="237"/>
      <c r="Y1841" s="152" t="str">
        <f>IFERROR(VLOOKUP($G1841,нормы!$A$14:$BC$57,42,0)*W1841,"")</f>
        <v/>
      </c>
      <c r="Z1841" s="163">
        <f>IFERROR(VLOOKUP($G1841,нормы!$A$14:$BC$57,14,0)*W1841/1000,0)</f>
        <v>0</v>
      </c>
      <c r="AA1841" s="142"/>
      <c r="AB1841" s="35"/>
      <c r="AC1841" s="35"/>
      <c r="AD1841" s="35"/>
      <c r="AE1841" s="31"/>
      <c r="AF1841" s="160"/>
      <c r="AG1841" s="391"/>
      <c r="AH1841" s="394"/>
      <c r="AI1841" s="397"/>
      <c r="AJ1841" s="408"/>
      <c r="AK1841" s="360"/>
      <c r="AL1841" s="360"/>
      <c r="AM1841" s="360"/>
      <c r="AN1841" s="289">
        <f>IFERROR(Y1841*AJ1840/Y1846,)</f>
        <v>0</v>
      </c>
      <c r="AO1841" s="197" t="str">
        <f>IFERROR(VLOOKUP($G1841,нормы!$A$14:$BC$57,53,0)*$W1841,"")</f>
        <v/>
      </c>
      <c r="AP1841" s="290">
        <f>IFERROR(Y1841*AI1840/Y1846,)</f>
        <v>0</v>
      </c>
      <c r="AQ1841" s="197" t="str">
        <f>IFERROR(VLOOKUP($G1841,нормы!$A$14:$BC$57,54,0)*$W1841,"")</f>
        <v/>
      </c>
      <c r="AR1841" s="290">
        <f>IFERROR(AS1841/SUM(AS1840:AS1845)*AL1840,0)</f>
        <v>0</v>
      </c>
      <c r="AS1841" s="197" t="str">
        <f>IFERROR(VLOOKUP($G1841,нормы!$A$14:$BC$57,55,0)*W1841,"")</f>
        <v/>
      </c>
      <c r="AT1841" s="290">
        <f>IFERROR(AU1841/SUM(AU1840:AU1845)*AM1840,0)</f>
        <v>0</v>
      </c>
      <c r="AU1841" s="197" t="str">
        <f>IFERROR(VLOOKUP($G1841,нормы!$A$14:$BI$57,56,0)*W1841,"")</f>
        <v/>
      </c>
      <c r="AV1841" s="290">
        <f>IFERROR(AW1841/SUM(AW1840:AW1845)*AK1840,0)</f>
        <v>0</v>
      </c>
      <c r="AW1841" s="202" t="str">
        <f>IFERROR(VLOOKUP($G1841,нормы!$A$14:$BI$57,57,0)*W1841,"")</f>
        <v/>
      </c>
      <c r="AX1841" s="30"/>
      <c r="AY1841" s="203" t="str">
        <f>IFERROR(VLOOKUP($G1841,нормы!$A$14:$BI$57,58,0)*W1841,"")</f>
        <v/>
      </c>
      <c r="AZ1841" s="205"/>
      <c r="BA1841" s="200" t="str">
        <f>IFERROR(VLOOKUP($G1841,нормы!$A$14:$BI$57,61,0)*$W1841,"")</f>
        <v/>
      </c>
      <c r="BB1841" s="30"/>
      <c r="BC1841" s="203" t="str">
        <f>IFERROR(VLOOKUP($G1841,нормы!$A$14:$BI$57,60,0)*W1841,"")</f>
        <v/>
      </c>
      <c r="BD1841" s="200" t="str">
        <f>IFERROR(VLOOKUP($G1841,нормы!$A$14:$BG$57,44,0),"")</f>
        <v/>
      </c>
      <c r="BE1841" s="199" t="str">
        <f>IFERROR(W1841/VLOOKUP($G1841,нормы!$A$14:$BI$57,45,0),"")</f>
        <v/>
      </c>
    </row>
    <row r="1842" spans="1:57" s="1" customFormat="1" ht="20.25" customHeight="1" x14ac:dyDescent="0.4">
      <c r="A1842" s="37" t="str">
        <f t="shared" si="725"/>
        <v>30Н</v>
      </c>
      <c r="B1842" s="12">
        <f t="shared" si="725"/>
        <v>30</v>
      </c>
      <c r="C1842" s="97">
        <f t="shared" si="725"/>
        <v>0</v>
      </c>
      <c r="D1842" s="97">
        <f t="shared" si="725"/>
        <v>1</v>
      </c>
      <c r="E1842" s="54"/>
      <c r="F1842" s="151" t="str">
        <f>IFERROR(VLOOKUP($G1842,нормы!$A$14:$BC$57,2,0),"")</f>
        <v/>
      </c>
      <c r="G1842" s="38"/>
      <c r="H1842" s="54">
        <f t="shared" si="727"/>
        <v>0</v>
      </c>
      <c r="I1842" s="89" t="s">
        <v>85</v>
      </c>
      <c r="J1842" s="333"/>
      <c r="K1842" s="30">
        <f>IFERROR(VLOOKUP($G1842,[1]нормы!$A$21:$BC$151,15,0),"")</f>
        <v>0</v>
      </c>
      <c r="L1842" s="31">
        <f>IFERROR(VLOOKUP($G1842,[1]нормы!$A$21:$BC$151,17,0),"")</f>
        <v>0</v>
      </c>
      <c r="M1842" s="306">
        <f>IFERROR(VLOOKUP($G1842,[1]нормы!$A$21:$BC$151,27,0),"")</f>
        <v>0</v>
      </c>
      <c r="N1842" s="307" t="str">
        <f>IFERROR(Y1842/Y1846*(1.1*J1840*I1845),"")</f>
        <v/>
      </c>
      <c r="O1842" s="300">
        <f>IFERROR(VLOOKUP($G1842,[1]нормы!$A$21:$BC$151,21,0),"")</f>
        <v>0</v>
      </c>
      <c r="P1842" s="35">
        <f>IFERROR(VLOOKUP($G1842,[1]нормы!$A$21:$BC$151,19,0),"")</f>
        <v>0</v>
      </c>
      <c r="Q1842" s="35">
        <f>IFERROR(VLOOKUP($G1842,[1]нормы!$A$21:$BC$151,23,0),"")</f>
        <v>0</v>
      </c>
      <c r="R1842" s="231">
        <f>IFERROR(VLOOKUP($G1842,[1]нормы!$A$21:$BC$151,29,0),"")</f>
        <v>0</v>
      </c>
      <c r="S1842" s="35">
        <f>IFERROR(VLOOKUP($G1842,[1]нормы!$A$21:$BC$151,31,0),"")</f>
        <v>0</v>
      </c>
      <c r="T1842" s="32">
        <f>IFERROR(VLOOKUP($G1842,[1]нормы!$A$21:$BC$151,25,0),"")</f>
        <v>0</v>
      </c>
      <c r="U1842" s="233" t="str">
        <f>IFERROR(W1842/(((100*Y1842/Y1846)*I1845)/100),"")</f>
        <v/>
      </c>
      <c r="V1842" s="234" t="str">
        <f>IFERROR(VLOOKUP($G1842,нормы!$A$14:$BC$57,38,0),"")</f>
        <v/>
      </c>
      <c r="W1842" s="136"/>
      <c r="X1842" s="237"/>
      <c r="Y1842" s="152" t="str">
        <f>IFERROR(VLOOKUP($G1842,нормы!$A$14:$BC$57,42,0)*W1842,"")</f>
        <v/>
      </c>
      <c r="Z1842" s="163">
        <f>IFERROR(VLOOKUP($G1842,нормы!$A$14:$BC$57,14,0)*W1842/1000,0)</f>
        <v>0</v>
      </c>
      <c r="AA1842" s="30"/>
      <c r="AB1842" s="35"/>
      <c r="AC1842" s="35"/>
      <c r="AD1842" s="35"/>
      <c r="AE1842" s="31"/>
      <c r="AF1842" s="160"/>
      <c r="AG1842" s="391"/>
      <c r="AH1842" s="394"/>
      <c r="AI1842" s="397"/>
      <c r="AJ1842" s="408"/>
      <c r="AK1842" s="360"/>
      <c r="AL1842" s="360"/>
      <c r="AM1842" s="360"/>
      <c r="AN1842" s="289">
        <f>IFERROR(Y1842*AJ1840/Y1846,)</f>
        <v>0</v>
      </c>
      <c r="AO1842" s="197" t="str">
        <f>IFERROR(VLOOKUP($G1842,нормы!$A$14:$BC$57,53,0)*$W1842,"")</f>
        <v/>
      </c>
      <c r="AP1842" s="290">
        <f>IFERROR(Y1842*AI1840/Y1846,)</f>
        <v>0</v>
      </c>
      <c r="AQ1842" s="197" t="str">
        <f>IFERROR(VLOOKUP($G1842,нормы!$A$14:$BC$57,54,0)*$W1842,"")</f>
        <v/>
      </c>
      <c r="AR1842" s="290">
        <f>IFERROR(AS1842/SUM(AS1840:AS1845)*AL1840,0)</f>
        <v>0</v>
      </c>
      <c r="AS1842" s="197" t="str">
        <f>IFERROR(VLOOKUP($G1842,нормы!$A$14:$BC$57,55,0)*W1842,"")</f>
        <v/>
      </c>
      <c r="AT1842" s="290">
        <f>IFERROR(AU1842/SUM(AU1840:AU1845)*AM1840,0)</f>
        <v>0</v>
      </c>
      <c r="AU1842" s="197" t="str">
        <f>IFERROR(VLOOKUP($G1842,нормы!$A$14:$BI$57,56,0)*W1842,"")</f>
        <v/>
      </c>
      <c r="AV1842" s="290">
        <f>IFERROR(AW1842/SUM(AW1840:AW1845)*AK1840,0)</f>
        <v>0</v>
      </c>
      <c r="AW1842" s="202" t="str">
        <f>IFERROR(VLOOKUP($G1842,нормы!$A$14:$BI$57,57,0)*W1842,"")</f>
        <v/>
      </c>
      <c r="AX1842" s="30"/>
      <c r="AY1842" s="203" t="str">
        <f>IFERROR(VLOOKUP($G1842,нормы!$A$14:$BI$57,58,0)*W1842,"")</f>
        <v/>
      </c>
      <c r="AZ1842" s="205"/>
      <c r="BA1842" s="200" t="str">
        <f>IFERROR(VLOOKUP($G1842,нормы!$A$14:$BI$57,61,0)*$W1842,"")</f>
        <v/>
      </c>
      <c r="BB1842" s="30"/>
      <c r="BC1842" s="203" t="str">
        <f>IFERROR(VLOOKUP($G1842,нормы!$A$14:$BI$57,60,0)*W1842,"")</f>
        <v/>
      </c>
      <c r="BD1842" s="200" t="str">
        <f>IFERROR(VLOOKUP($G1842,нормы!$A$14:$BG$57,44,0),"")</f>
        <v/>
      </c>
      <c r="BE1842" s="199" t="str">
        <f>IFERROR(W1842/VLOOKUP($G1842,нормы!$A$14:$BI$57,45,0),"")</f>
        <v/>
      </c>
    </row>
    <row r="1843" spans="1:57" s="1" customFormat="1" ht="20.25" customHeight="1" x14ac:dyDescent="0.4">
      <c r="A1843" s="37" t="str">
        <f t="shared" si="725"/>
        <v>30Н</v>
      </c>
      <c r="B1843" s="12">
        <f t="shared" si="725"/>
        <v>30</v>
      </c>
      <c r="C1843" s="97">
        <f t="shared" si="725"/>
        <v>0</v>
      </c>
      <c r="D1843" s="97">
        <f t="shared" si="725"/>
        <v>1</v>
      </c>
      <c r="E1843" s="54"/>
      <c r="F1843" s="151" t="str">
        <f>IFERROR(VLOOKUP($G1843,нормы!$A$14:$BC$57,2,0),"")</f>
        <v/>
      </c>
      <c r="G1843" s="93"/>
      <c r="H1843" s="54">
        <f t="shared" si="727"/>
        <v>0</v>
      </c>
      <c r="I1843" s="55"/>
      <c r="J1843" s="333"/>
      <c r="K1843" s="30">
        <f>IFERROR(VLOOKUP($G1843,[1]нормы!$A$21:$BC$151,15,0),"")</f>
        <v>0</v>
      </c>
      <c r="L1843" s="31">
        <f>IFERROR(VLOOKUP($G1843,[1]нормы!$A$21:$BC$151,17,0),"")</f>
        <v>0</v>
      </c>
      <c r="M1843" s="306">
        <f>IFERROR(VLOOKUP($G1843,[1]нормы!$A$21:$BC$151,27,0),"")</f>
        <v>0</v>
      </c>
      <c r="N1843" s="307" t="str">
        <f>IFERROR(Y1843/Y1846*(1.1*J1840*I1848),"")</f>
        <v/>
      </c>
      <c r="O1843" s="300">
        <f>IFERROR(VLOOKUP($G1843,[1]нормы!$A$21:$BC$151,21,0),"")</f>
        <v>0</v>
      </c>
      <c r="P1843" s="35">
        <f>IFERROR(VLOOKUP($G1843,[1]нормы!$A$21:$BC$151,19,0),"")</f>
        <v>0</v>
      </c>
      <c r="Q1843" s="35">
        <f>IFERROR(VLOOKUP($G1843,[1]нормы!$A$21:$BC$151,23,0),"")</f>
        <v>0</v>
      </c>
      <c r="R1843" s="231">
        <f>IFERROR(VLOOKUP($G1843,[1]нормы!$A$21:$BC$151,29,0),"")</f>
        <v>0</v>
      </c>
      <c r="S1843" s="35">
        <f>IFERROR(VLOOKUP($G1843,[1]нормы!$A$21:$BC$151,31,0),"")</f>
        <v>0</v>
      </c>
      <c r="T1843" s="32">
        <f>IFERROR(VLOOKUP($G1843,[1]нормы!$A$21:$BC$151,25,0),"")</f>
        <v>0</v>
      </c>
      <c r="U1843" s="233" t="str">
        <f>IFERROR(W1843/(((100*Y1843/Y1846)*I1845)/100),"")</f>
        <v/>
      </c>
      <c r="V1843" s="234" t="str">
        <f>IFERROR(VLOOKUP($G1843,нормы!$A$14:$BC$57,38,0),"")</f>
        <v/>
      </c>
      <c r="W1843" s="136"/>
      <c r="X1843" s="237"/>
      <c r="Y1843" s="152" t="str">
        <f>IFERROR(VLOOKUP($G1843,нормы!$A$14:$BC$57,42,0)*W1843,"")</f>
        <v/>
      </c>
      <c r="Z1843" s="163">
        <f>IFERROR(VLOOKUP($G1843,нормы!$A$14:$BC$57,14,0)*W1843/1000,0)</f>
        <v>0</v>
      </c>
      <c r="AA1843" s="30"/>
      <c r="AB1843" s="35"/>
      <c r="AC1843" s="35"/>
      <c r="AD1843" s="35"/>
      <c r="AE1843" s="31"/>
      <c r="AF1843" s="160"/>
      <c r="AG1843" s="391"/>
      <c r="AH1843" s="394"/>
      <c r="AI1843" s="397"/>
      <c r="AJ1843" s="408"/>
      <c r="AK1843" s="360"/>
      <c r="AL1843" s="360"/>
      <c r="AM1843" s="360"/>
      <c r="AN1843" s="289">
        <f>IFERROR(Y1843*AJ1840/Y1846,)</f>
        <v>0</v>
      </c>
      <c r="AO1843" s="197" t="str">
        <f>IFERROR(VLOOKUP($G1843,нормы!$A$14:$BC$57,53,0)*$W1843,"")</f>
        <v/>
      </c>
      <c r="AP1843" s="290">
        <f>IFERROR(Y1843*AI1840/Y1846,)</f>
        <v>0</v>
      </c>
      <c r="AQ1843" s="197" t="str">
        <f>IFERROR(VLOOKUP($G1843,нормы!$A$14:$BC$57,54,0)*$W1843,"")</f>
        <v/>
      </c>
      <c r="AR1843" s="290">
        <f>IFERROR(AS1843/SUM(AS1840:AS1845)*AL1840,0)</f>
        <v>0</v>
      </c>
      <c r="AS1843" s="197" t="str">
        <f>IFERROR(VLOOKUP($G1843,нормы!$A$14:$BC$57,55,0)*W1843,"")</f>
        <v/>
      </c>
      <c r="AT1843" s="290">
        <f>IFERROR(AU1843/SUM(AU1840:AU1845)*AM1840,0)</f>
        <v>0</v>
      </c>
      <c r="AU1843" s="197" t="str">
        <f>IFERROR(VLOOKUP($G1843,нормы!$A$14:$BI$57,56,0)*W1843,"")</f>
        <v/>
      </c>
      <c r="AV1843" s="290">
        <f>IFERROR(AW1843/SUM(AW1840:AW1845)*AK1840,0)</f>
        <v>0</v>
      </c>
      <c r="AW1843" s="202" t="str">
        <f>IFERROR(VLOOKUP($G1843,нормы!$A$14:$BI$57,57,0)*W1843,"")</f>
        <v/>
      </c>
      <c r="AX1843" s="30"/>
      <c r="AY1843" s="203" t="str">
        <f>IFERROR(VLOOKUP($G1843,нормы!$A$14:$BI$57,58,0)*W1843,"")</f>
        <v/>
      </c>
      <c r="AZ1843" s="205"/>
      <c r="BA1843" s="200" t="str">
        <f>IFERROR(VLOOKUP($G1843,нормы!$A$14:$BI$57,61,0)*$W1843,"")</f>
        <v/>
      </c>
      <c r="BB1843" s="30"/>
      <c r="BC1843" s="203" t="str">
        <f>IFERROR(VLOOKUP($G1843,нормы!$A$14:$BI$57,60,0)*W1843,"")</f>
        <v/>
      </c>
      <c r="BD1843" s="200" t="str">
        <f>IFERROR(VLOOKUP($G1843,нормы!$A$14:$BG$57,44,0),"")</f>
        <v/>
      </c>
      <c r="BE1843" s="199" t="str">
        <f>IFERROR(W1843/VLOOKUP($G1843,нормы!$A$14:$BI$57,45,0),"")</f>
        <v/>
      </c>
    </row>
    <row r="1844" spans="1:57" s="1" customFormat="1" ht="20.25" customHeight="1" x14ac:dyDescent="0.4">
      <c r="A1844" s="37" t="str">
        <f t="shared" si="725"/>
        <v>30Н</v>
      </c>
      <c r="B1844" s="12">
        <f t="shared" si="725"/>
        <v>30</v>
      </c>
      <c r="C1844" s="97">
        <f t="shared" si="725"/>
        <v>0</v>
      </c>
      <c r="D1844" s="97">
        <f t="shared" si="725"/>
        <v>1</v>
      </c>
      <c r="E1844" s="54"/>
      <c r="F1844" s="151" t="str">
        <f>IFERROR(VLOOKUP($G1844,нормы!$A$14:$BC$57,2,0),"")</f>
        <v/>
      </c>
      <c r="G1844" s="38"/>
      <c r="H1844" s="54">
        <f t="shared" si="727"/>
        <v>0</v>
      </c>
      <c r="I1844" s="89" t="s">
        <v>73</v>
      </c>
      <c r="J1844" s="333"/>
      <c r="K1844" s="30">
        <f>IFERROR(VLOOKUP($G1844,[1]нормы!$A$21:$BC$151,15,0),"")</f>
        <v>0</v>
      </c>
      <c r="L1844" s="31">
        <f>IFERROR(VLOOKUP($G1844,[1]нормы!$A$21:$BC$151,17,0),"")</f>
        <v>0</v>
      </c>
      <c r="M1844" s="306">
        <f>IFERROR(VLOOKUP($G1844,[1]нормы!$A$21:$BC$151,27,0),"")</f>
        <v>0</v>
      </c>
      <c r="N1844" s="307" t="str">
        <f>IFERROR(Y1844/Y1846*(1.1*J1840*I1849),"")</f>
        <v/>
      </c>
      <c r="O1844" s="300">
        <f>IFERROR(VLOOKUP($G1844,[1]нормы!$A$21:$BC$151,21,0),"")</f>
        <v>0</v>
      </c>
      <c r="P1844" s="35">
        <f>IFERROR(VLOOKUP($G1844,[1]нормы!$A$21:$BC$151,19,0),"")</f>
        <v>0</v>
      </c>
      <c r="Q1844" s="35">
        <f>IFERROR(VLOOKUP($G1844,[1]нормы!$A$21:$BC$151,23,0),"")</f>
        <v>0</v>
      </c>
      <c r="R1844" s="231">
        <f>IFERROR(VLOOKUP($G1844,[1]нормы!$A$21:$BC$151,29,0),"")</f>
        <v>0</v>
      </c>
      <c r="S1844" s="35">
        <f>IFERROR(VLOOKUP($G1844,[1]нормы!$A$21:$BC$151,31,0),"")</f>
        <v>0</v>
      </c>
      <c r="T1844" s="32">
        <f>IFERROR(VLOOKUP($G1844,[1]нормы!$A$21:$BC$151,25,0),"")</f>
        <v>0</v>
      </c>
      <c r="U1844" s="233" t="str">
        <f>IFERROR(W1844/(((100*Y1844/Y1846)*I1845)/100),"")</f>
        <v/>
      </c>
      <c r="V1844" s="234" t="str">
        <f>IFERROR(VLOOKUP($G1844,нормы!$A$14:$BC$57,38,0),"")</f>
        <v/>
      </c>
      <c r="W1844" s="136"/>
      <c r="X1844" s="237"/>
      <c r="Y1844" s="152" t="str">
        <f>IFERROR(VLOOKUP($G1844,нормы!$A$14:$BC$57,42,0)*W1844,"")</f>
        <v/>
      </c>
      <c r="Z1844" s="163">
        <f>IFERROR(VLOOKUP($G1844,нормы!$A$14:$BC$57,14,0)*W1844/1000,0)</f>
        <v>0</v>
      </c>
      <c r="AA1844" s="30"/>
      <c r="AB1844" s="35"/>
      <c r="AC1844" s="35"/>
      <c r="AD1844" s="35"/>
      <c r="AE1844" s="31"/>
      <c r="AF1844" s="160"/>
      <c r="AG1844" s="391"/>
      <c r="AH1844" s="394"/>
      <c r="AI1844" s="397"/>
      <c r="AJ1844" s="408"/>
      <c r="AK1844" s="360"/>
      <c r="AL1844" s="360"/>
      <c r="AM1844" s="360"/>
      <c r="AN1844" s="289">
        <f>IFERROR(Y1844*AJ1840/Y1846,)</f>
        <v>0</v>
      </c>
      <c r="AO1844" s="197" t="str">
        <f>IFERROR(VLOOKUP($G1844,нормы!$A$14:$BC$57,53,0)*$W1844,"")</f>
        <v/>
      </c>
      <c r="AP1844" s="290">
        <f>IFERROR(Y1844*AI1840/Y1846,)</f>
        <v>0</v>
      </c>
      <c r="AQ1844" s="197" t="str">
        <f>IFERROR(VLOOKUP($G1844,нормы!$A$14:$BC$57,54,0)*$W1844,"")</f>
        <v/>
      </c>
      <c r="AR1844" s="290">
        <f>IFERROR(AS1844/SUM(AS1840:AS1845)*AL1840,0)</f>
        <v>0</v>
      </c>
      <c r="AS1844" s="197" t="str">
        <f>IFERROR(VLOOKUP($G1844,нормы!$A$14:$BC$57,55,0)*W1844,"")</f>
        <v/>
      </c>
      <c r="AT1844" s="290">
        <f>IFERROR(AU1844/SUM(AU1840:AU1845)*AM1840,0)</f>
        <v>0</v>
      </c>
      <c r="AU1844" s="197" t="str">
        <f>IFERROR(VLOOKUP($G1844,нормы!$A$14:$BI$57,56,0)*W1844,"")</f>
        <v/>
      </c>
      <c r="AV1844" s="290">
        <f>IFERROR(AW1844/SUM(AW1840:AW1845)*AK1840,0)</f>
        <v>0</v>
      </c>
      <c r="AW1844" s="202" t="str">
        <f>IFERROR(VLOOKUP($G1844,нормы!$A$14:$BI$57,57,0)*W1844,"")</f>
        <v/>
      </c>
      <c r="AX1844" s="30"/>
      <c r="AY1844" s="203" t="str">
        <f>IFERROR(VLOOKUP($G1844,нормы!$A$14:$BI$57,58,0)*W1844,"")</f>
        <v/>
      </c>
      <c r="AZ1844" s="205"/>
      <c r="BA1844" s="200" t="str">
        <f>IFERROR(VLOOKUP($G1844,нормы!$A$14:$BI$57,61,0)*$W1844,"")</f>
        <v/>
      </c>
      <c r="BB1844" s="30"/>
      <c r="BC1844" s="203" t="str">
        <f>IFERROR(VLOOKUP($G1844,нормы!$A$14:$BI$57,60,0)*W1844,"")</f>
        <v/>
      </c>
      <c r="BD1844" s="200" t="str">
        <f>IFERROR(VLOOKUP($G1844,нормы!$A$14:$BG$57,44,0),"")</f>
        <v/>
      </c>
      <c r="BE1844" s="199" t="str">
        <f>IFERROR(W1844/VLOOKUP($G1844,нормы!$A$14:$BI$57,45,0),"")</f>
        <v/>
      </c>
    </row>
    <row r="1845" spans="1:57" s="1" customFormat="1" ht="21" customHeight="1" thickBot="1" x14ac:dyDescent="0.45">
      <c r="A1845" s="37" t="str">
        <f t="shared" si="725"/>
        <v>30Н</v>
      </c>
      <c r="B1845" s="12">
        <f t="shared" si="725"/>
        <v>30</v>
      </c>
      <c r="C1845" s="97">
        <f t="shared" si="725"/>
        <v>0</v>
      </c>
      <c r="D1845" s="97">
        <f t="shared" si="725"/>
        <v>1</v>
      </c>
      <c r="E1845" s="54"/>
      <c r="F1845" s="151" t="str">
        <f>IFERROR(VLOOKUP($G1845,нормы!$A$14:$BC$57,2,0),"")</f>
        <v/>
      </c>
      <c r="G1845" s="93"/>
      <c r="H1845" s="63">
        <f t="shared" si="727"/>
        <v>0</v>
      </c>
      <c r="I1845" s="153">
        <f>I1841+I1843</f>
        <v>0</v>
      </c>
      <c r="J1845" s="334"/>
      <c r="K1845" s="30">
        <f>IFERROR(VLOOKUP($G1845,[1]нормы!$A$21:$BC$151,15,0),"")</f>
        <v>0</v>
      </c>
      <c r="L1845" s="31">
        <f>IFERROR(VLOOKUP($G1845,[1]нормы!$A$21:$BC$151,17,0),"")</f>
        <v>0</v>
      </c>
      <c r="M1845" s="308">
        <f>IFERROR(VLOOKUP($G1845,[1]нормы!$A$21:$BC$151,27,0),"")</f>
        <v>0</v>
      </c>
      <c r="N1845" s="309" t="str">
        <f>IFERROR(Y1845/Y1846*(1.1*J1840*I1850),"")</f>
        <v/>
      </c>
      <c r="O1845" s="300">
        <f>IFERROR(VLOOKUP($G1845,[1]нормы!$A$21:$BC$151,21,0),"")</f>
        <v>0</v>
      </c>
      <c r="P1845" s="35">
        <f>IFERROR(VLOOKUP($G1845,[1]нормы!$A$21:$BC$151,19,0),"")</f>
        <v>0</v>
      </c>
      <c r="Q1845" s="35">
        <f>IFERROR(VLOOKUP($G1845,[1]нормы!$A$21:$BC$151,23,0),"")</f>
        <v>0</v>
      </c>
      <c r="R1845" s="231">
        <f>IFERROR(VLOOKUP($G1845,[1]нормы!$A$21:$BC$151,29,0),"")</f>
        <v>0</v>
      </c>
      <c r="S1845" s="35">
        <f>IFERROR(VLOOKUP($G1845,[1]нормы!$A$21:$BC$151,31,0),"")</f>
        <v>0</v>
      </c>
      <c r="T1845" s="32">
        <f>IFERROR(VLOOKUP($G1845,[1]нормы!$A$21:$BC$151,25,0),"")</f>
        <v>0</v>
      </c>
      <c r="U1845" s="235" t="str">
        <f>IFERROR(W1845/(((100*Y1845/Y1846)*I1845)/100),"")</f>
        <v/>
      </c>
      <c r="V1845" s="234" t="str">
        <f>IFERROR(VLOOKUP($G1845,нормы!$A$14:$BC$57,38,0),"")</f>
        <v/>
      </c>
      <c r="W1845" s="154"/>
      <c r="X1845" s="238"/>
      <c r="Y1845" s="152" t="str">
        <f>IFERROR(VLOOKUP($G1845,нормы!$A$14:$BC$57,42,0)*W1845,"")</f>
        <v/>
      </c>
      <c r="Z1845" s="163">
        <f>IFERROR(VLOOKUP($G1845,нормы!$A$14:$BC$57,14,0)*W1845/1000,0)</f>
        <v>0</v>
      </c>
      <c r="AA1845" s="56"/>
      <c r="AB1845" s="58"/>
      <c r="AC1845" s="58"/>
      <c r="AD1845" s="58"/>
      <c r="AE1845" s="57"/>
      <c r="AF1845" s="161"/>
      <c r="AG1845" s="392"/>
      <c r="AH1845" s="395"/>
      <c r="AI1845" s="398"/>
      <c r="AJ1845" s="409"/>
      <c r="AK1845" s="361"/>
      <c r="AL1845" s="361"/>
      <c r="AM1845" s="361"/>
      <c r="AN1845" s="291">
        <f>IFERROR(Y1845*AJ1840/Y1846,)</f>
        <v>0</v>
      </c>
      <c r="AO1845" s="197" t="str">
        <f>IFERROR(VLOOKUP($G1845,нормы!$A$14:$BC$57,53,0)*$W1845,"")</f>
        <v/>
      </c>
      <c r="AP1845" s="292">
        <f>IFERROR(Y1845*AI1840/Y1846,)</f>
        <v>0</v>
      </c>
      <c r="AQ1845" s="197" t="str">
        <f>IFERROR(VLOOKUP($G1845,нормы!$A$14:$BC$57,54,0)*$W1845,"")</f>
        <v/>
      </c>
      <c r="AR1845" s="290">
        <f>IFERROR(AS1845/SUM(AS1840:AS1845)*AL1840,0)</f>
        <v>0</v>
      </c>
      <c r="AS1845" s="197" t="str">
        <f>IFERROR(VLOOKUP($G1845,нормы!$A$14:$BC$57,55,0)*W1845,"")</f>
        <v/>
      </c>
      <c r="AT1845" s="292">
        <f>IFERROR(AU1845/SUM(AU1840:AU1845)*AM1840,0)</f>
        <v>0</v>
      </c>
      <c r="AU1845" s="197" t="str">
        <f>IFERROR(VLOOKUP($G1845,нормы!$A$14:$BI$57,56,0)*W1845,"")</f>
        <v/>
      </c>
      <c r="AV1845" s="292">
        <f>IFERROR(AW1845/SUM(AW1840:AW1845)*AK1840,0)</f>
        <v>0</v>
      </c>
      <c r="AW1845" s="202" t="str">
        <f>IFERROR(VLOOKUP($G1845,нормы!$A$14:$BI$57,57,0)*W1845,"")</f>
        <v/>
      </c>
      <c r="AX1845" s="56"/>
      <c r="AY1845" s="203" t="str">
        <f>IFERROR(VLOOKUP($G1845,нормы!$A$14:$BI$57,58,0)*W1845,"")</f>
        <v/>
      </c>
      <c r="AZ1845" s="206"/>
      <c r="BA1845" s="200" t="str">
        <f>IFERROR(VLOOKUP($G1845,нормы!$A$14:$BI$57,61,0)*$W1845,"")</f>
        <v/>
      </c>
      <c r="BB1845" s="56"/>
      <c r="BC1845" s="203" t="str">
        <f>IFERROR(VLOOKUP($G1845,нормы!$A$14:$BI$57,60,0)*W1845,"")</f>
        <v/>
      </c>
      <c r="BD1845" s="200" t="str">
        <f>IFERROR(VLOOKUP($G1845,нормы!$A$14:$BG$57,44,0),"")</f>
        <v/>
      </c>
      <c r="BE1845" s="199" t="str">
        <f>IFERROR(W1845/VLOOKUP($G1845,нормы!$A$14:$BI$57,45,0),"")</f>
        <v/>
      </c>
    </row>
    <row r="1846" spans="1:57" s="1" customFormat="1" ht="29.4" customHeight="1" thickBot="1" x14ac:dyDescent="0.45">
      <c r="A1846" s="37" t="str">
        <f t="shared" si="725"/>
        <v>30Н</v>
      </c>
      <c r="B1846" s="59"/>
      <c r="C1846" s="51"/>
      <c r="D1846" s="51"/>
      <c r="E1846" s="51"/>
      <c r="F1846" s="295" t="s">
        <v>149</v>
      </c>
      <c r="G1846" s="51"/>
      <c r="H1846" s="51"/>
      <c r="I1846" s="60"/>
      <c r="J1846" s="60"/>
      <c r="K1846" s="319" t="s">
        <v>213</v>
      </c>
      <c r="L1846" s="316"/>
      <c r="M1846" s="303" t="s">
        <v>213</v>
      </c>
      <c r="N1846" s="317">
        <f>SUM(N1840:N1845)</f>
        <v>0</v>
      </c>
      <c r="O1846" s="304" t="s">
        <v>216</v>
      </c>
      <c r="P1846" s="318">
        <f>N1846*8.937/1000</f>
        <v>0</v>
      </c>
      <c r="Q1846" s="305" t="s">
        <v>215</v>
      </c>
      <c r="R1846" s="61"/>
      <c r="S1846" s="61"/>
      <c r="T1846" s="61"/>
      <c r="U1846" s="109"/>
      <c r="V1846" s="109"/>
      <c r="W1846" s="94"/>
      <c r="X1846" s="155"/>
      <c r="Y1846" s="96">
        <f>SUM(Y1840:Y1845)</f>
        <v>0</v>
      </c>
      <c r="Z1846" s="164">
        <f>SUM(Z1840:Z1845)</f>
        <v>0</v>
      </c>
      <c r="AA1846" s="62"/>
      <c r="AB1846" s="62"/>
      <c r="AC1846" s="62"/>
      <c r="AD1846" s="62"/>
      <c r="AE1846" s="62"/>
      <c r="AF1846" s="62"/>
      <c r="AG1846" s="162" t="s">
        <v>140</v>
      </c>
      <c r="AH1846" s="162" t="s">
        <v>141</v>
      </c>
      <c r="AI1846" s="162" t="s">
        <v>142</v>
      </c>
      <c r="AJ1846" s="91" t="s">
        <v>126</v>
      </c>
      <c r="AK1846" s="198" t="s">
        <v>136</v>
      </c>
      <c r="AL1846" s="198" t="s">
        <v>137</v>
      </c>
      <c r="AM1846" s="198" t="s">
        <v>138</v>
      </c>
      <c r="AN1846" s="91"/>
      <c r="AO1846" s="91"/>
      <c r="AP1846" s="91"/>
      <c r="AQ1846" s="91"/>
      <c r="AR1846" s="91"/>
      <c r="AS1846" s="91"/>
      <c r="AT1846" s="91"/>
      <c r="AU1846" s="91"/>
      <c r="AV1846" s="91"/>
      <c r="AW1846" s="91"/>
      <c r="AX1846" s="91"/>
      <c r="AY1846" s="91"/>
      <c r="AZ1846" s="91"/>
      <c r="BA1846" s="91"/>
      <c r="BB1846" s="91"/>
      <c r="BC1846" s="91"/>
      <c r="BD1846" s="91"/>
      <c r="BE1846" s="53" t="str">
        <f>IFERROR(W1846/VLOOKUP($G1846,нормы!$A$14:$BI$15,28,0),"")</f>
        <v/>
      </c>
    </row>
    <row r="1847" spans="1:57" s="1" customFormat="1" ht="21.6" customHeight="1" x14ac:dyDescent="0.4">
      <c r="A1847" s="37" t="str">
        <f t="shared" si="725"/>
        <v>30Н</v>
      </c>
      <c r="B1847" s="12">
        <f>B1845</f>
        <v>30</v>
      </c>
      <c r="C1847" s="97"/>
      <c r="D1847" s="97">
        <v>2</v>
      </c>
      <c r="E1847" s="29"/>
      <c r="F1847" s="151" t="str">
        <f>IFERROR(VLOOKUP($G1847,нормы!$A$14:$BC$57,2,0),"")</f>
        <v/>
      </c>
      <c r="G1847" s="93"/>
      <c r="H1847" s="54">
        <f>IF(C1847=1,"Кульков С.А.", IF(C1847=2,"Чудаков А.А.",IF(C1847=3,"Королев В.Н.",IF(C1847=4,"Николашин М.П.",IF(C1847=5," Кульков С.А.",IF(C1847=6,"А.А. Чудаков",IF(C1847=7,"В.Н. Королев",IF(C1847=8,"М.П. Николашин",0))))))))</f>
        <v>0</v>
      </c>
      <c r="I1847" s="88" t="s">
        <v>211</v>
      </c>
      <c r="J1847" s="332"/>
      <c r="K1847" s="30">
        <f>IFERROR(VLOOKUP($G1847,[1]нормы!$A$21:$BC$151,15,0),"")</f>
        <v>0</v>
      </c>
      <c r="L1847" s="31">
        <f>IFERROR(VLOOKUP($G1847,[1]нормы!$A$21:$BC$151,17,0),"")</f>
        <v>0</v>
      </c>
      <c r="M1847" s="310">
        <f>IFERROR(VLOOKUP($G1847,[1]нормы!$A$21:$BC$151,27,0),"")</f>
        <v>0</v>
      </c>
      <c r="N1847" s="311" t="str">
        <f>IFERROR(Y1847/Y1853*(1.1*J1847*I1852),"")</f>
        <v/>
      </c>
      <c r="O1847" s="300">
        <f>IFERROR(VLOOKUP($G1847,[1]нормы!$A$21:$BC$151,21,0),"")</f>
        <v>0</v>
      </c>
      <c r="P1847" s="35">
        <f>IFERROR(VLOOKUP($G1847,[1]нормы!$A$21:$BC$151,19,0),"")</f>
        <v>0</v>
      </c>
      <c r="Q1847" s="35">
        <f>IFERROR(VLOOKUP($G1847,[1]нормы!$A$21:$BC$151,23,0),"")</f>
        <v>0</v>
      </c>
      <c r="R1847" s="231">
        <f>IFERROR(VLOOKUP($G1847,[1]нормы!$A$21:$BC$151,29,0),"")</f>
        <v>0</v>
      </c>
      <c r="S1847" s="35">
        <f>IFERROR(VLOOKUP($G1847,[1]нормы!$A$21:$BC$151,31,0),"")</f>
        <v>0</v>
      </c>
      <c r="T1847" s="32">
        <f>IFERROR(VLOOKUP($G1847,[1]нормы!$A$21:$BC$151,25,0),"")</f>
        <v>0</v>
      </c>
      <c r="U1847" s="232" t="str">
        <f>IFERROR(W1847/(((100*Y1847/Y1853)*I1852)/100),"")</f>
        <v/>
      </c>
      <c r="V1847" s="234" t="str">
        <f>IFERROR(VLOOKUP($G1847,нормы!$A$14:$BC$57,38,0),"")</f>
        <v/>
      </c>
      <c r="W1847" s="136"/>
      <c r="X1847" s="236"/>
      <c r="Y1847" s="152" t="str">
        <f>IFERROR(VLOOKUP($G1847,нормы!$A$14:$BC$57,42,0)*W1847,"")</f>
        <v/>
      </c>
      <c r="Z1847" s="163">
        <f>IFERROR(VLOOKUP($G1847,нормы!$A$14:$BC$57,14,0)*W1847/1000,0)</f>
        <v>0</v>
      </c>
      <c r="AA1847" s="33"/>
      <c r="AB1847" s="36"/>
      <c r="AC1847" s="36"/>
      <c r="AD1847" s="36"/>
      <c r="AE1847" s="34"/>
      <c r="AF1847" s="159"/>
      <c r="AG1847" s="390"/>
      <c r="AH1847" s="393"/>
      <c r="AI1847" s="396"/>
      <c r="AJ1847" s="407">
        <f>AG1847+AH1847</f>
        <v>0</v>
      </c>
      <c r="AK1847" s="359"/>
      <c r="AL1847" s="359"/>
      <c r="AM1847" s="359"/>
      <c r="AN1847" s="287">
        <f>IFERROR(Y1847*AJ1847/Y1853,)</f>
        <v>0</v>
      </c>
      <c r="AO1847" s="197" t="str">
        <f>IFERROR(VLOOKUP($G1847,нормы!$A$14:$BC$57,53,0)*$W1847,"")</f>
        <v/>
      </c>
      <c r="AP1847" s="288">
        <f>IFERROR(Y1847*AI1847/Y1853,)</f>
        <v>0</v>
      </c>
      <c r="AQ1847" s="197" t="str">
        <f>IFERROR(VLOOKUP($G1847,нормы!$A$14:$BC$57,54,0)*$W1847,"")</f>
        <v/>
      </c>
      <c r="AR1847" s="288">
        <f>IFERROR(AS1847/SUM(AS1847:AS1852)*AL1847,0)</f>
        <v>0</v>
      </c>
      <c r="AS1847" s="197" t="str">
        <f>IFERROR(VLOOKUP($G1847,нормы!$A$14:$BC$57,55,0)*W1847,"")</f>
        <v/>
      </c>
      <c r="AT1847" s="288">
        <f>IFERROR(AU1847/SUM(AU1847:AU1852)*AM1847,0)</f>
        <v>0</v>
      </c>
      <c r="AU1847" s="197" t="str">
        <f>IFERROR(VLOOKUP($G1847,нормы!$A$14:$BI$57,56,0)*W1847,"")</f>
        <v/>
      </c>
      <c r="AV1847" s="288">
        <f>IFERROR(AW1847/SUM(AW1847:AW1852)*AK1847,0)</f>
        <v>0</v>
      </c>
      <c r="AW1847" s="202" t="str">
        <f>IFERROR(VLOOKUP($G1847,нормы!$A$14:$BI$57,57,0)*W1847,"")</f>
        <v/>
      </c>
      <c r="AX1847" s="33"/>
      <c r="AY1847" s="203" t="str">
        <f>IFERROR(VLOOKUP($G1847,нормы!$A$14:$BI$57,58,0)*W1847,"")</f>
        <v/>
      </c>
      <c r="AZ1847" s="204"/>
      <c r="BA1847" s="200" t="str">
        <f>IFERROR(VLOOKUP($G1847,нормы!$A$14:$BI$57,61,0)*$W1847,"")</f>
        <v/>
      </c>
      <c r="BB1847" s="33"/>
      <c r="BC1847" s="203" t="str">
        <f>IFERROR(VLOOKUP($G1847,нормы!$A$14:$BI$57,60,0)*W1847,"")</f>
        <v/>
      </c>
      <c r="BD1847" s="200" t="str">
        <f>IFERROR(VLOOKUP($G1847,нормы!$A$14:$BG$57,44,0),"")</f>
        <v/>
      </c>
      <c r="BE1847" s="199" t="str">
        <f>IFERROR(W1847/VLOOKUP($G1847,нормы!$A$14:$BI$57,45,0),"")</f>
        <v/>
      </c>
    </row>
    <row r="1848" spans="1:57" s="1" customFormat="1" ht="21.6" customHeight="1" x14ac:dyDescent="0.4">
      <c r="A1848" s="37" t="str">
        <f t="shared" si="725"/>
        <v>30Н</v>
      </c>
      <c r="B1848" s="12">
        <f>B1847</f>
        <v>30</v>
      </c>
      <c r="C1848" s="97">
        <f t="shared" ref="C1848:D1848" si="728">C1847</f>
        <v>0</v>
      </c>
      <c r="D1848" s="97">
        <f t="shared" si="728"/>
        <v>2</v>
      </c>
      <c r="E1848" s="54"/>
      <c r="F1848" s="151" t="str">
        <f>IFERROR(VLOOKUP($G1848,нормы!$A$14:$BC$57,2,0),"")</f>
        <v/>
      </c>
      <c r="G1848" s="93"/>
      <c r="H1848" s="54">
        <f t="shared" ref="H1848:H1852" si="729">IF(C1848=1,"Кульков С.А.", IF(C1848=2,"Чудаков А.А.",IF(C1848=3,"Королев В.Н.",IF(C1848=4,"Николашин М.П.",IF(C1848=5," Кульков С.А.",IF(C1848=6,"А.А. Чудаков",IF(C1848=7,"В.Н. Королев",IF(C1848=8,"М.П. Николашин",0))))))))</f>
        <v>0</v>
      </c>
      <c r="I1848" s="55"/>
      <c r="J1848" s="333"/>
      <c r="K1848" s="30">
        <f>IFERROR(VLOOKUP($G1848,[1]нормы!$A$21:$BC$151,15,0),"")</f>
        <v>0</v>
      </c>
      <c r="L1848" s="31">
        <f>IFERROR(VLOOKUP($G1848,[1]нормы!$A$21:$BC$151,17,0),"")</f>
        <v>0</v>
      </c>
      <c r="M1848" s="306">
        <f>IFERROR(VLOOKUP($G1848,[1]нормы!$A$21:$BC$151,27,0),"")</f>
        <v>0</v>
      </c>
      <c r="N1848" s="307" t="str">
        <f>IFERROR(Y1848/Y1853*(1.1*J1847*I1852),"")</f>
        <v/>
      </c>
      <c r="O1848" s="300">
        <f>IFERROR(VLOOKUP($G1848,[1]нормы!$A$21:$BC$151,21,0),"")</f>
        <v>0</v>
      </c>
      <c r="P1848" s="35">
        <f>IFERROR(VLOOKUP($G1848,[1]нормы!$A$21:$BC$151,19,0),"")</f>
        <v>0</v>
      </c>
      <c r="Q1848" s="35">
        <f>IFERROR(VLOOKUP($G1848,[1]нормы!$A$21:$BC$151,23,0),"")</f>
        <v>0</v>
      </c>
      <c r="R1848" s="231">
        <f>IFERROR(VLOOKUP($G1848,[1]нормы!$A$21:$BC$151,29,0),"")</f>
        <v>0</v>
      </c>
      <c r="S1848" s="35">
        <f>IFERROR(VLOOKUP($G1848,[1]нормы!$A$21:$BC$151,31,0),"")</f>
        <v>0</v>
      </c>
      <c r="T1848" s="32">
        <f>IFERROR(VLOOKUP($G1848,[1]нормы!$A$21:$BC$151,25,0),"")</f>
        <v>0</v>
      </c>
      <c r="U1848" s="233" t="str">
        <f>IFERROR(W1848/(((100*Y1848/Y1853)*I1852)/100),"")</f>
        <v/>
      </c>
      <c r="V1848" s="234" t="str">
        <f>IFERROR(VLOOKUP($G1848,нормы!$A$14:$BC$57,38,0),"")</f>
        <v/>
      </c>
      <c r="W1848" s="136"/>
      <c r="X1848" s="237"/>
      <c r="Y1848" s="152" t="str">
        <f>IFERROR(VLOOKUP($G1848,нормы!$A$14:$BC$57,42,0)*W1848,"")</f>
        <v/>
      </c>
      <c r="Z1848" s="163">
        <f>IFERROR(VLOOKUP($G1848,нормы!$A$14:$BC$57,14,0)*W1848/1000,0)</f>
        <v>0</v>
      </c>
      <c r="AA1848" s="142"/>
      <c r="AB1848" s="35"/>
      <c r="AC1848" s="35"/>
      <c r="AD1848" s="35"/>
      <c r="AE1848" s="31"/>
      <c r="AF1848" s="160"/>
      <c r="AG1848" s="391"/>
      <c r="AH1848" s="394"/>
      <c r="AI1848" s="397"/>
      <c r="AJ1848" s="408"/>
      <c r="AK1848" s="360"/>
      <c r="AL1848" s="360"/>
      <c r="AM1848" s="360"/>
      <c r="AN1848" s="289">
        <f>IFERROR(Y1848*AJ1847/Y1853,)</f>
        <v>0</v>
      </c>
      <c r="AO1848" s="197" t="str">
        <f>IFERROR(VLOOKUP($G1848,нормы!$A$14:$BC$57,53,0)*$W1848,"")</f>
        <v/>
      </c>
      <c r="AP1848" s="290">
        <f>IFERROR(Y1848*AI1847/Y1853,)</f>
        <v>0</v>
      </c>
      <c r="AQ1848" s="197" t="str">
        <f>IFERROR(VLOOKUP($G1848,нормы!$A$14:$BC$57,54,0)*$W1848,"")</f>
        <v/>
      </c>
      <c r="AR1848" s="290">
        <f>IFERROR(AS1848/SUM(AS1847:AS1852)*AL1847,0)</f>
        <v>0</v>
      </c>
      <c r="AS1848" s="197" t="str">
        <f>IFERROR(VLOOKUP($G1848,нормы!$A$14:$BC$57,55,0)*W1848,"")</f>
        <v/>
      </c>
      <c r="AT1848" s="290">
        <f>IFERROR(AU1848/SUM(AU1847:AU1852)*AM1847,0)</f>
        <v>0</v>
      </c>
      <c r="AU1848" s="197" t="str">
        <f>IFERROR(VLOOKUP($G1848,нормы!$A$14:$BI$57,56,0)*W1848,"")</f>
        <v/>
      </c>
      <c r="AV1848" s="290">
        <f>IFERROR(AW1848/SUM(AW1847:AW1852)*AK1847,0)</f>
        <v>0</v>
      </c>
      <c r="AW1848" s="202" t="str">
        <f>IFERROR(VLOOKUP($G1848,нормы!$A$14:$BI$57,57,0)*W1848,"")</f>
        <v/>
      </c>
      <c r="AX1848" s="30"/>
      <c r="AY1848" s="203" t="str">
        <f>IFERROR(VLOOKUP($G1848,нормы!$A$14:$BI$57,58,0)*W1848,"")</f>
        <v/>
      </c>
      <c r="AZ1848" s="205"/>
      <c r="BA1848" s="200" t="str">
        <f>IFERROR(VLOOKUP($G1848,нормы!$A$14:$BI$57,61,0)*$W1848,"")</f>
        <v/>
      </c>
      <c r="BB1848" s="30"/>
      <c r="BC1848" s="203" t="str">
        <f>IFERROR(VLOOKUP($G1848,нормы!$A$14:$BI$57,60,0)*W1848,"")</f>
        <v/>
      </c>
      <c r="BD1848" s="200" t="str">
        <f>IFERROR(VLOOKUP($G1848,нормы!$A$14:$BG$57,44,0),"")</f>
        <v/>
      </c>
      <c r="BE1848" s="199" t="str">
        <f>IFERROR(W1848/VLOOKUP($G1848,нормы!$A$14:$BI$57,45,0),"")</f>
        <v/>
      </c>
    </row>
    <row r="1849" spans="1:57" s="1" customFormat="1" ht="20.25" customHeight="1" x14ac:dyDescent="0.4">
      <c r="A1849" s="37" t="str">
        <f t="shared" si="725"/>
        <v>30Н</v>
      </c>
      <c r="B1849" s="12">
        <f t="shared" si="725"/>
        <v>30</v>
      </c>
      <c r="C1849" s="97">
        <f t="shared" si="725"/>
        <v>0</v>
      </c>
      <c r="D1849" s="97">
        <f t="shared" si="725"/>
        <v>2</v>
      </c>
      <c r="E1849" s="54"/>
      <c r="F1849" s="151" t="str">
        <f>IFERROR(VLOOKUP($G1849,нормы!$A$14:$BC$57,2,0),"")</f>
        <v/>
      </c>
      <c r="G1849" s="38"/>
      <c r="H1849" s="54">
        <f t="shared" si="729"/>
        <v>0</v>
      </c>
      <c r="I1849" s="89" t="s">
        <v>212</v>
      </c>
      <c r="J1849" s="333"/>
      <c r="K1849" s="30">
        <f>IFERROR(VLOOKUP($G1849,[1]нормы!$A$21:$BC$151,15,0),"")</f>
        <v>0</v>
      </c>
      <c r="L1849" s="31">
        <f>IFERROR(VLOOKUP($G1849,[1]нормы!$A$21:$BC$151,17,0),"")</f>
        <v>0</v>
      </c>
      <c r="M1849" s="306">
        <f>IFERROR(VLOOKUP($G1849,[1]нормы!$A$21:$BC$151,27,0),"")</f>
        <v>0</v>
      </c>
      <c r="N1849" s="307" t="str">
        <f>IFERROR(Y1849/Y1853*(1.1*J1847*I1852),"")</f>
        <v/>
      </c>
      <c r="O1849" s="300">
        <f>IFERROR(VLOOKUP($G1849,[1]нормы!$A$21:$BC$151,21,0),"")</f>
        <v>0</v>
      </c>
      <c r="P1849" s="35">
        <f>IFERROR(VLOOKUP($G1849,[1]нормы!$A$21:$BC$151,19,0),"")</f>
        <v>0</v>
      </c>
      <c r="Q1849" s="35">
        <f>IFERROR(VLOOKUP($G1849,[1]нормы!$A$21:$BC$151,23,0),"")</f>
        <v>0</v>
      </c>
      <c r="R1849" s="231">
        <f>IFERROR(VLOOKUP($G1849,[1]нормы!$A$21:$BC$151,29,0),"")</f>
        <v>0</v>
      </c>
      <c r="S1849" s="35">
        <f>IFERROR(VLOOKUP($G1849,[1]нормы!$A$21:$BC$151,31,0),"")</f>
        <v>0</v>
      </c>
      <c r="T1849" s="32">
        <f>IFERROR(VLOOKUP($G1849,[1]нормы!$A$21:$BC$151,25,0),"")</f>
        <v>0</v>
      </c>
      <c r="U1849" s="233" t="str">
        <f>IFERROR(W1849/(((100*Y1849/Y1853)*I1852)/100),"")</f>
        <v/>
      </c>
      <c r="V1849" s="234" t="str">
        <f>IFERROR(VLOOKUP($G1849,нормы!$A$14:$BC$57,38,0),"")</f>
        <v/>
      </c>
      <c r="W1849" s="136"/>
      <c r="X1849" s="237"/>
      <c r="Y1849" s="152" t="str">
        <f>IFERROR(VLOOKUP($G1849,нормы!$A$14:$BC$57,42,0)*W1849,"")</f>
        <v/>
      </c>
      <c r="Z1849" s="163">
        <f>IFERROR(VLOOKUP($G1849,нормы!$A$14:$BC$57,14,0)*W1849/1000,0)</f>
        <v>0</v>
      </c>
      <c r="AA1849" s="30"/>
      <c r="AB1849" s="35"/>
      <c r="AC1849" s="35"/>
      <c r="AD1849" s="35"/>
      <c r="AE1849" s="31"/>
      <c r="AF1849" s="160"/>
      <c r="AG1849" s="391"/>
      <c r="AH1849" s="394"/>
      <c r="AI1849" s="397"/>
      <c r="AJ1849" s="408"/>
      <c r="AK1849" s="360"/>
      <c r="AL1849" s="360"/>
      <c r="AM1849" s="360"/>
      <c r="AN1849" s="289">
        <f>IFERROR(Y1849*AJ1847/Y1853,)</f>
        <v>0</v>
      </c>
      <c r="AO1849" s="197" t="str">
        <f>IFERROR(VLOOKUP($G1849,нормы!$A$14:$BC$57,53,0)*$W1849,"")</f>
        <v/>
      </c>
      <c r="AP1849" s="290">
        <f>IFERROR(Y1849*AI1847/Y1853,)</f>
        <v>0</v>
      </c>
      <c r="AQ1849" s="197" t="str">
        <f>IFERROR(VLOOKUP($G1849,нормы!$A$14:$BC$57,54,0)*$W1849,"")</f>
        <v/>
      </c>
      <c r="AR1849" s="290">
        <f>IFERROR(AS1849/SUM(AS1847:AS1852)*AL1847,0)</f>
        <v>0</v>
      </c>
      <c r="AS1849" s="197" t="str">
        <f>IFERROR(VLOOKUP($G1849,нормы!$A$14:$BC$57,55,0)*W1849,"")</f>
        <v/>
      </c>
      <c r="AT1849" s="290">
        <f>IFERROR(AU1849/SUM(AU1847:AU1852)*AM1847,0)</f>
        <v>0</v>
      </c>
      <c r="AU1849" s="197" t="str">
        <f>IFERROR(VLOOKUP($G1849,нормы!$A$14:$BI$57,56,0)*W1849,"")</f>
        <v/>
      </c>
      <c r="AV1849" s="290">
        <f>IFERROR(AW1849/SUM(AW1847:AW1852)*AK1847,0)</f>
        <v>0</v>
      </c>
      <c r="AW1849" s="202" t="str">
        <f>IFERROR(VLOOKUP($G1849,нормы!$A$14:$BI$57,57,0)*W1849,"")</f>
        <v/>
      </c>
      <c r="AX1849" s="30"/>
      <c r="AY1849" s="203" t="str">
        <f>IFERROR(VLOOKUP($G1849,нормы!$A$14:$BI$57,58,0)*W1849,"")</f>
        <v/>
      </c>
      <c r="AZ1849" s="205"/>
      <c r="BA1849" s="200" t="str">
        <f>IFERROR(VLOOKUP($G1849,нормы!$A$14:$BI$57,61,0)*$W1849,"")</f>
        <v/>
      </c>
      <c r="BB1849" s="30"/>
      <c r="BC1849" s="203" t="str">
        <f>IFERROR(VLOOKUP($G1849,нормы!$A$14:$BI$57,60,0)*W1849,"")</f>
        <v/>
      </c>
      <c r="BD1849" s="200" t="str">
        <f>IFERROR(VLOOKUP($G1849,нормы!$A$14:$BG$57,44,0),"")</f>
        <v/>
      </c>
      <c r="BE1849" s="199" t="str">
        <f>IFERROR(W1849/VLOOKUP($G1849,нормы!$A$14:$BI$57,45,0),"")</f>
        <v/>
      </c>
    </row>
    <row r="1850" spans="1:57" s="1" customFormat="1" ht="20.25" customHeight="1" x14ac:dyDescent="0.4">
      <c r="A1850" s="37" t="str">
        <f t="shared" si="725"/>
        <v>30Н</v>
      </c>
      <c r="B1850" s="12">
        <f t="shared" si="725"/>
        <v>30</v>
      </c>
      <c r="C1850" s="97">
        <f t="shared" si="725"/>
        <v>0</v>
      </c>
      <c r="D1850" s="97">
        <f t="shared" si="725"/>
        <v>2</v>
      </c>
      <c r="E1850" s="54"/>
      <c r="F1850" s="151" t="str">
        <f>IFERROR(VLOOKUP($G1850,нормы!$A$14:$BC$57,2,0),"")</f>
        <v/>
      </c>
      <c r="G1850" s="93"/>
      <c r="H1850" s="54">
        <f t="shared" si="729"/>
        <v>0</v>
      </c>
      <c r="I1850" s="55"/>
      <c r="J1850" s="333"/>
      <c r="K1850" s="30">
        <f>IFERROR(VLOOKUP($G1850,[1]нормы!$A$21:$BC$151,15,0),"")</f>
        <v>0</v>
      </c>
      <c r="L1850" s="31">
        <f>IFERROR(VLOOKUP($G1850,[1]нормы!$A$21:$BC$151,17,0),"")</f>
        <v>0</v>
      </c>
      <c r="M1850" s="306">
        <f>IFERROR(VLOOKUP($G1850,[1]нормы!$A$21:$BC$151,27,0),"")</f>
        <v>0</v>
      </c>
      <c r="N1850" s="307" t="str">
        <f>IFERROR(Y1850/Y1853*(1.1*J1847*I1855),"")</f>
        <v/>
      </c>
      <c r="O1850" s="300">
        <f>IFERROR(VLOOKUP($G1850,[1]нормы!$A$21:$BC$151,21,0),"")</f>
        <v>0</v>
      </c>
      <c r="P1850" s="35">
        <f>IFERROR(VLOOKUP($G1850,[1]нормы!$A$21:$BC$151,19,0),"")</f>
        <v>0</v>
      </c>
      <c r="Q1850" s="35">
        <f>IFERROR(VLOOKUP($G1850,[1]нормы!$A$21:$BC$151,23,0),"")</f>
        <v>0</v>
      </c>
      <c r="R1850" s="231">
        <f>IFERROR(VLOOKUP($G1850,[1]нормы!$A$21:$BC$151,29,0),"")</f>
        <v>0</v>
      </c>
      <c r="S1850" s="35">
        <f>IFERROR(VLOOKUP($G1850,[1]нормы!$A$21:$BC$151,31,0),"")</f>
        <v>0</v>
      </c>
      <c r="T1850" s="32">
        <f>IFERROR(VLOOKUP($G1850,[1]нормы!$A$21:$BC$151,25,0),"")</f>
        <v>0</v>
      </c>
      <c r="U1850" s="233" t="str">
        <f>IFERROR(W1850/(((100*Y1850/Y1853)*I1852)/100),"")</f>
        <v/>
      </c>
      <c r="V1850" s="234" t="str">
        <f>IFERROR(VLOOKUP($G1850,нормы!$A$14:$BC$57,38,0),"")</f>
        <v/>
      </c>
      <c r="W1850" s="136"/>
      <c r="X1850" s="237"/>
      <c r="Y1850" s="152" t="str">
        <f>IFERROR(VLOOKUP($G1850,нормы!$A$14:$BC$57,42,0)*W1850,"")</f>
        <v/>
      </c>
      <c r="Z1850" s="163">
        <f>IFERROR(VLOOKUP($G1850,нормы!$A$14:$BC$57,14,0)*W1850/1000,0)</f>
        <v>0</v>
      </c>
      <c r="AA1850" s="30"/>
      <c r="AB1850" s="35"/>
      <c r="AC1850" s="35"/>
      <c r="AD1850" s="35"/>
      <c r="AE1850" s="31"/>
      <c r="AF1850" s="160"/>
      <c r="AG1850" s="391"/>
      <c r="AH1850" s="394"/>
      <c r="AI1850" s="397"/>
      <c r="AJ1850" s="408"/>
      <c r="AK1850" s="360"/>
      <c r="AL1850" s="360"/>
      <c r="AM1850" s="360"/>
      <c r="AN1850" s="289">
        <f>IFERROR(Y1850*AJ1847/Y1853,)</f>
        <v>0</v>
      </c>
      <c r="AO1850" s="197" t="str">
        <f>IFERROR(VLOOKUP($G1850,нормы!$A$14:$BC$57,53,0)*$W1850,"")</f>
        <v/>
      </c>
      <c r="AP1850" s="290">
        <f>IFERROR(Y1850*AI1847/Y1853,)</f>
        <v>0</v>
      </c>
      <c r="AQ1850" s="197" t="str">
        <f>IFERROR(VLOOKUP($G1850,нормы!$A$14:$BC$57,54,0)*$W1850,"")</f>
        <v/>
      </c>
      <c r="AR1850" s="290">
        <f>IFERROR(AS1850/SUM(AS1847:AS1852)*AL1847,0)</f>
        <v>0</v>
      </c>
      <c r="AS1850" s="197" t="str">
        <f>IFERROR(VLOOKUP($G1850,нормы!$A$14:$BC$57,55,0)*W1850,"")</f>
        <v/>
      </c>
      <c r="AT1850" s="290">
        <f>IFERROR(AU1850/SUM(AU1847:AU1852)*AM1847,0)</f>
        <v>0</v>
      </c>
      <c r="AU1850" s="197" t="str">
        <f>IFERROR(VLOOKUP($G1850,нормы!$A$14:$BI$57,56,0)*W1850,"")</f>
        <v/>
      </c>
      <c r="AV1850" s="290">
        <f>IFERROR(AW1850/SUM(AW1847:AW1852)*AK1847,0)</f>
        <v>0</v>
      </c>
      <c r="AW1850" s="202" t="str">
        <f>IFERROR(VLOOKUP($G1850,нормы!$A$14:$BI$57,57,0)*W1850,"")</f>
        <v/>
      </c>
      <c r="AX1850" s="30"/>
      <c r="AY1850" s="203" t="str">
        <f>IFERROR(VLOOKUP($G1850,нормы!$A$14:$BI$57,58,0)*W1850,"")</f>
        <v/>
      </c>
      <c r="AZ1850" s="205"/>
      <c r="BA1850" s="200" t="str">
        <f>IFERROR(VLOOKUP($G1850,нормы!$A$14:$BI$57,61,0)*$W1850,"")</f>
        <v/>
      </c>
      <c r="BB1850" s="30"/>
      <c r="BC1850" s="203" t="str">
        <f>IFERROR(VLOOKUP($G1850,нормы!$A$14:$BI$57,60,0)*W1850,"")</f>
        <v/>
      </c>
      <c r="BD1850" s="200" t="str">
        <f>IFERROR(VLOOKUP($G1850,нормы!$A$14:$BG$57,44,0),"")</f>
        <v/>
      </c>
      <c r="BE1850" s="199" t="str">
        <f>IFERROR(W1850/VLOOKUP($G1850,нормы!$A$14:$BI$57,45,0),"")</f>
        <v/>
      </c>
    </row>
    <row r="1851" spans="1:57" s="1" customFormat="1" ht="20.25" customHeight="1" x14ac:dyDescent="0.4">
      <c r="A1851" s="37" t="str">
        <f t="shared" si="725"/>
        <v>30Н</v>
      </c>
      <c r="B1851" s="12">
        <f t="shared" si="725"/>
        <v>30</v>
      </c>
      <c r="C1851" s="97">
        <f t="shared" si="725"/>
        <v>0</v>
      </c>
      <c r="D1851" s="97">
        <f t="shared" si="725"/>
        <v>2</v>
      </c>
      <c r="E1851" s="54"/>
      <c r="F1851" s="151" t="str">
        <f>IFERROR(VLOOKUP($G1851,нормы!$A$14:$BC$57,2,0),"")</f>
        <v/>
      </c>
      <c r="G1851" s="38"/>
      <c r="H1851" s="54">
        <f t="shared" si="729"/>
        <v>0</v>
      </c>
      <c r="I1851" s="89" t="s">
        <v>73</v>
      </c>
      <c r="J1851" s="333"/>
      <c r="K1851" s="30">
        <f>IFERROR(VLOOKUP($G1851,[1]нормы!$A$21:$BC$151,15,0),"")</f>
        <v>0</v>
      </c>
      <c r="L1851" s="31">
        <f>IFERROR(VLOOKUP($G1851,[1]нормы!$A$21:$BC$151,17,0),"")</f>
        <v>0</v>
      </c>
      <c r="M1851" s="306">
        <f>IFERROR(VLOOKUP($G1851,[1]нормы!$A$21:$BC$151,27,0),"")</f>
        <v>0</v>
      </c>
      <c r="N1851" s="307" t="str">
        <f>IFERROR(Y1851/Y1853*(1.1*J1847*I1856),"")</f>
        <v/>
      </c>
      <c r="O1851" s="300">
        <f>IFERROR(VLOOKUP($G1851,[1]нормы!$A$21:$BC$151,21,0),"")</f>
        <v>0</v>
      </c>
      <c r="P1851" s="35">
        <f>IFERROR(VLOOKUP($G1851,[1]нормы!$A$21:$BC$151,19,0),"")</f>
        <v>0</v>
      </c>
      <c r="Q1851" s="35">
        <f>IFERROR(VLOOKUP($G1851,[1]нормы!$A$21:$BC$151,23,0),"")</f>
        <v>0</v>
      </c>
      <c r="R1851" s="231">
        <f>IFERROR(VLOOKUP($G1851,[1]нормы!$A$21:$BC$151,29,0),"")</f>
        <v>0</v>
      </c>
      <c r="S1851" s="35">
        <f>IFERROR(VLOOKUP($G1851,[1]нормы!$A$21:$BC$151,31,0),"")</f>
        <v>0</v>
      </c>
      <c r="T1851" s="32">
        <f>IFERROR(VLOOKUP($G1851,[1]нормы!$A$21:$BC$151,25,0),"")</f>
        <v>0</v>
      </c>
      <c r="U1851" s="233" t="str">
        <f>IFERROR(W1851/(((100*Y1851/Y1853)*I1852)/100),"")</f>
        <v/>
      </c>
      <c r="V1851" s="234" t="str">
        <f>IFERROR(VLOOKUP($G1851,нормы!$A$14:$BC$57,38,0),"")</f>
        <v/>
      </c>
      <c r="W1851" s="136"/>
      <c r="X1851" s="237"/>
      <c r="Y1851" s="152" t="str">
        <f>IFERROR(VLOOKUP($G1851,нормы!$A$14:$BC$57,42,0)*W1851,"")</f>
        <v/>
      </c>
      <c r="Z1851" s="163">
        <f>IFERROR(VLOOKUP($G1851,нормы!$A$14:$BC$57,14,0)*W1851/1000,0)</f>
        <v>0</v>
      </c>
      <c r="AA1851" s="30"/>
      <c r="AB1851" s="35"/>
      <c r="AC1851" s="35"/>
      <c r="AD1851" s="35"/>
      <c r="AE1851" s="31"/>
      <c r="AF1851" s="160"/>
      <c r="AG1851" s="391"/>
      <c r="AH1851" s="394"/>
      <c r="AI1851" s="397"/>
      <c r="AJ1851" s="408"/>
      <c r="AK1851" s="360"/>
      <c r="AL1851" s="360"/>
      <c r="AM1851" s="360"/>
      <c r="AN1851" s="289">
        <f>IFERROR(Y1851*AJ1847/Y1853,)</f>
        <v>0</v>
      </c>
      <c r="AO1851" s="197" t="str">
        <f>IFERROR(VLOOKUP($G1851,нормы!$A$14:$BC$57,53,0)*$W1851,"")</f>
        <v/>
      </c>
      <c r="AP1851" s="290">
        <f>IFERROR(Y1851*AI1847/Y1853,)</f>
        <v>0</v>
      </c>
      <c r="AQ1851" s="197" t="str">
        <f>IFERROR(VLOOKUP($G1851,нормы!$A$14:$BC$57,54,0)*$W1851,"")</f>
        <v/>
      </c>
      <c r="AR1851" s="290">
        <f>IFERROR(AS1851/SUM(AS1847:AS1852)*AL1847,0)</f>
        <v>0</v>
      </c>
      <c r="AS1851" s="197" t="str">
        <f>IFERROR(VLOOKUP($G1851,нормы!$A$14:$BC$57,55,0)*W1851,"")</f>
        <v/>
      </c>
      <c r="AT1851" s="290">
        <f>IFERROR(AU1851/SUM(AU1847:AU1852)*AM1847,0)</f>
        <v>0</v>
      </c>
      <c r="AU1851" s="197" t="str">
        <f>IFERROR(VLOOKUP($G1851,нормы!$A$14:$BI$57,56,0)*W1851,"")</f>
        <v/>
      </c>
      <c r="AV1851" s="290">
        <f>IFERROR(AW1851/SUM(AW1847:AW1852)*AK1847,0)</f>
        <v>0</v>
      </c>
      <c r="AW1851" s="202" t="str">
        <f>IFERROR(VLOOKUP($G1851,нормы!$A$14:$BI$57,57,0)*W1851,"")</f>
        <v/>
      </c>
      <c r="AX1851" s="30"/>
      <c r="AY1851" s="203" t="str">
        <f>IFERROR(VLOOKUP($G1851,нормы!$A$14:$BI$57,58,0)*W1851,"")</f>
        <v/>
      </c>
      <c r="AZ1851" s="205"/>
      <c r="BA1851" s="200" t="str">
        <f>IFERROR(VLOOKUP($G1851,нормы!$A$14:$BI$57,61,0)*$W1851,"")</f>
        <v/>
      </c>
      <c r="BB1851" s="30"/>
      <c r="BC1851" s="203" t="str">
        <f>IFERROR(VLOOKUP($G1851,нормы!$A$14:$BI$57,60,0)*W1851,"")</f>
        <v/>
      </c>
      <c r="BD1851" s="200" t="str">
        <f>IFERROR(VLOOKUP($G1851,нормы!$A$14:$BG$57,44,0),"")</f>
        <v/>
      </c>
      <c r="BE1851" s="199" t="str">
        <f>IFERROR(W1851/VLOOKUP($G1851,нормы!$A$14:$BI$57,45,0),"")</f>
        <v/>
      </c>
    </row>
    <row r="1852" spans="1:57" s="1" customFormat="1" ht="21" customHeight="1" thickBot="1" x14ac:dyDescent="0.45">
      <c r="A1852" s="37" t="str">
        <f t="shared" si="725"/>
        <v>30Н</v>
      </c>
      <c r="B1852" s="12">
        <f t="shared" si="725"/>
        <v>30</v>
      </c>
      <c r="C1852" s="97">
        <f t="shared" si="725"/>
        <v>0</v>
      </c>
      <c r="D1852" s="97">
        <f t="shared" si="725"/>
        <v>2</v>
      </c>
      <c r="E1852" s="54"/>
      <c r="F1852" s="151" t="str">
        <f>IFERROR(VLOOKUP($G1852,нормы!$A$14:$BC$57,2,0),"")</f>
        <v/>
      </c>
      <c r="G1852" s="93"/>
      <c r="H1852" s="63">
        <f t="shared" si="729"/>
        <v>0</v>
      </c>
      <c r="I1852" s="153">
        <f>I1848+I1850</f>
        <v>0</v>
      </c>
      <c r="J1852" s="334"/>
      <c r="K1852" s="30">
        <f>IFERROR(VLOOKUP($G1852,[1]нормы!$A$21:$BC$151,15,0),"")</f>
        <v>0</v>
      </c>
      <c r="L1852" s="31">
        <f>IFERROR(VLOOKUP($G1852,[1]нормы!$A$21:$BC$151,17,0),"")</f>
        <v>0</v>
      </c>
      <c r="M1852" s="308">
        <f>IFERROR(VLOOKUP($G1852,[1]нормы!$A$21:$BC$151,27,0),"")</f>
        <v>0</v>
      </c>
      <c r="N1852" s="309" t="str">
        <f>IFERROR(Y1852/Y1853*(1.1*J1847*I1857),"")</f>
        <v/>
      </c>
      <c r="O1852" s="300">
        <f>IFERROR(VLOOKUP($G1852,[1]нормы!$A$21:$BC$151,21,0),"")</f>
        <v>0</v>
      </c>
      <c r="P1852" s="35">
        <f>IFERROR(VLOOKUP($G1852,[1]нормы!$A$21:$BC$151,19,0),"")</f>
        <v>0</v>
      </c>
      <c r="Q1852" s="35">
        <f>IFERROR(VLOOKUP($G1852,[1]нормы!$A$21:$BC$151,23,0),"")</f>
        <v>0</v>
      </c>
      <c r="R1852" s="231">
        <f>IFERROR(VLOOKUP($G1852,[1]нормы!$A$21:$BC$151,29,0),"")</f>
        <v>0</v>
      </c>
      <c r="S1852" s="35">
        <f>IFERROR(VLOOKUP($G1852,[1]нормы!$A$21:$BC$151,31,0),"")</f>
        <v>0</v>
      </c>
      <c r="T1852" s="32">
        <f>IFERROR(VLOOKUP($G1852,[1]нормы!$A$21:$BC$151,25,0),"")</f>
        <v>0</v>
      </c>
      <c r="U1852" s="235" t="str">
        <f>IFERROR(W1852/(((100*Y1852/Y1853)*I1852)/100),"")</f>
        <v/>
      </c>
      <c r="V1852" s="234" t="str">
        <f>IFERROR(VLOOKUP($G1852,нормы!$A$14:$BC$57,38,0),"")</f>
        <v/>
      </c>
      <c r="W1852" s="154"/>
      <c r="X1852" s="238"/>
      <c r="Y1852" s="152" t="str">
        <f>IFERROR(VLOOKUP($G1852,нормы!$A$14:$BC$57,42,0)*W1852,"")</f>
        <v/>
      </c>
      <c r="Z1852" s="163">
        <f>IFERROR(VLOOKUP($G1852,нормы!$A$14:$BC$57,14,0)*W1852/1000,0)</f>
        <v>0</v>
      </c>
      <c r="AA1852" s="56"/>
      <c r="AB1852" s="58"/>
      <c r="AC1852" s="58"/>
      <c r="AD1852" s="58"/>
      <c r="AE1852" s="57"/>
      <c r="AF1852" s="161"/>
      <c r="AG1852" s="392"/>
      <c r="AH1852" s="395"/>
      <c r="AI1852" s="398"/>
      <c r="AJ1852" s="409"/>
      <c r="AK1852" s="361"/>
      <c r="AL1852" s="361"/>
      <c r="AM1852" s="361"/>
      <c r="AN1852" s="291">
        <f>IFERROR(Y1852*AJ1847/Y1853,)</f>
        <v>0</v>
      </c>
      <c r="AO1852" s="197" t="str">
        <f>IFERROR(VLOOKUP($G1852,нормы!$A$14:$BC$57,53,0)*$W1852,"")</f>
        <v/>
      </c>
      <c r="AP1852" s="292">
        <f>IFERROR(Y1852*AI1847/Y1853,)</f>
        <v>0</v>
      </c>
      <c r="AQ1852" s="197" t="str">
        <f>IFERROR(VLOOKUP($G1852,нормы!$A$14:$BC$57,54,0)*$W1852,"")</f>
        <v/>
      </c>
      <c r="AR1852" s="290">
        <f>IFERROR(AS1852/SUM(AS1847:AS1852)*AL1847,0)</f>
        <v>0</v>
      </c>
      <c r="AS1852" s="197" t="str">
        <f>IFERROR(VLOOKUP($G1852,нормы!$A$14:$BC$57,55,0)*W1852,"")</f>
        <v/>
      </c>
      <c r="AT1852" s="292">
        <f>IFERROR(AU1852/SUM(AU1847:AU1852)*AM1847,0)</f>
        <v>0</v>
      </c>
      <c r="AU1852" s="197" t="str">
        <f>IFERROR(VLOOKUP($G1852,нормы!$A$14:$BI$57,56,0)*W1852,"")</f>
        <v/>
      </c>
      <c r="AV1852" s="292">
        <f>IFERROR(AW1852/SUM(AW1847:AW1852)*AK1847,0)</f>
        <v>0</v>
      </c>
      <c r="AW1852" s="202" t="str">
        <f>IFERROR(VLOOKUP($G1852,нормы!$A$14:$BI$57,57,0)*W1852,"")</f>
        <v/>
      </c>
      <c r="AX1852" s="56"/>
      <c r="AY1852" s="203" t="str">
        <f>IFERROR(VLOOKUP($G1852,нормы!$A$14:$BI$57,58,0)*W1852,"")</f>
        <v/>
      </c>
      <c r="AZ1852" s="206"/>
      <c r="BA1852" s="200" t="str">
        <f>IFERROR(VLOOKUP($G1852,нормы!$A$14:$BI$57,61,0)*$W1852,"")</f>
        <v/>
      </c>
      <c r="BB1852" s="56"/>
      <c r="BC1852" s="203" t="str">
        <f>IFERROR(VLOOKUP($G1852,нормы!$A$14:$BI$57,60,0)*W1852,"")</f>
        <v/>
      </c>
      <c r="BD1852" s="200" t="str">
        <f>IFERROR(VLOOKUP($G1852,нормы!$A$14:$BG$57,44,0),"")</f>
        <v/>
      </c>
      <c r="BE1852" s="199" t="str">
        <f>IFERROR(W1852/VLOOKUP($G1852,нормы!$A$14:$BI$57,45,0),"")</f>
        <v/>
      </c>
    </row>
    <row r="1853" spans="1:57" s="1" customFormat="1" ht="29.4" customHeight="1" thickBot="1" x14ac:dyDescent="0.45">
      <c r="A1853" s="37" t="str">
        <f t="shared" si="725"/>
        <v>30Н</v>
      </c>
      <c r="B1853" s="59"/>
      <c r="C1853" s="51"/>
      <c r="D1853" s="51"/>
      <c r="E1853" s="51"/>
      <c r="F1853" s="51"/>
      <c r="G1853" s="51"/>
      <c r="H1853" s="51"/>
      <c r="I1853" s="60"/>
      <c r="J1853" s="60"/>
      <c r="K1853" s="319" t="s">
        <v>213</v>
      </c>
      <c r="L1853" s="316"/>
      <c r="M1853" s="303" t="s">
        <v>213</v>
      </c>
      <c r="N1853" s="317">
        <f>SUM(N1847:N1852)</f>
        <v>0</v>
      </c>
      <c r="O1853" s="304" t="s">
        <v>217</v>
      </c>
      <c r="P1853" s="318">
        <f>N1853*8.937/1000</f>
        <v>0</v>
      </c>
      <c r="Q1853" s="305" t="s">
        <v>215</v>
      </c>
      <c r="R1853" s="61"/>
      <c r="S1853" s="61"/>
      <c r="T1853" s="61"/>
      <c r="U1853" s="109"/>
      <c r="V1853" s="109"/>
      <c r="W1853" s="94"/>
      <c r="X1853" s="155"/>
      <c r="Y1853" s="96">
        <f>SUM(Y1847:Y1852)</f>
        <v>0</v>
      </c>
      <c r="Z1853" s="164">
        <f>SUM(Z1847:Z1852)</f>
        <v>0</v>
      </c>
      <c r="AA1853" s="207">
        <f>(AA1839+AA1840+AA1841+AA1842+AA1843+AA1844+AA1845+AA1847+AA1848+AA1849+AA1850+AA1851+AA1852)-AG1840</f>
        <v>1</v>
      </c>
      <c r="AB1853" s="208">
        <f>(AB1839+AB1840+AB1841+AB1842+AB1843+AB1844+AB1845+AB1847+AB1848+AB1849+AB1850+AB1851+AB1852)-AH1840</f>
        <v>2</v>
      </c>
      <c r="AC1853" s="208">
        <f>(AC1839+AC1840+AC1841+AC1842+AC1843+AC1844+AC1845+AC1847+AC1848+AC1849+AC1850+AC1851+AC1852)-AG1847</f>
        <v>3</v>
      </c>
      <c r="AD1853" s="208">
        <f>(AD1839+AD1840+AD1841+AD1842+AD1843+AD1844+AD1845+AD1847+AD1848+AD1849+AD1850+AD1851+AD1852)-AH1847</f>
        <v>4</v>
      </c>
      <c r="AE1853" s="208">
        <f>(AE1839+AE1840+AE1841+AE1842+AE1843+AE1844+AE1845+AE1847+AE1848+AE1849+AE1850+AE1851+AE1852)-AI1840</f>
        <v>5</v>
      </c>
      <c r="AF1853" s="209">
        <f>(AF1839+AF1840+AF1841+AF1842+AF1843+AF1844+AF1845+AF1847+AF1848+AF1849+AF1850+AF1851+AF1852)-AI1847</f>
        <v>6</v>
      </c>
      <c r="AG1853" s="62"/>
      <c r="AH1853" s="62"/>
      <c r="AI1853" s="62"/>
      <c r="AJ1853" s="62"/>
      <c r="AK1853" s="62"/>
      <c r="AL1853" s="62"/>
      <c r="AM1853" s="62"/>
      <c r="AN1853" s="91">
        <f>SUM(AN1847:AN1852)</f>
        <v>0</v>
      </c>
      <c r="AO1853" s="91">
        <f>SUM(AO1847:AO1852)</f>
        <v>0</v>
      </c>
      <c r="AP1853" s="91"/>
      <c r="AQ1853" s="91"/>
      <c r="AR1853" s="91">
        <f>SUM(AR1847:AR1852)</f>
        <v>0</v>
      </c>
      <c r="AS1853" s="91">
        <f t="shared" ref="AS1853:AW1853" si="730">SUM(AS1847:AS1852)</f>
        <v>0</v>
      </c>
      <c r="AT1853" s="91">
        <f t="shared" si="730"/>
        <v>0</v>
      </c>
      <c r="AU1853" s="91">
        <f t="shared" si="730"/>
        <v>0</v>
      </c>
      <c r="AV1853" s="91">
        <f t="shared" si="730"/>
        <v>0</v>
      </c>
      <c r="AW1853" s="91">
        <f t="shared" si="730"/>
        <v>0</v>
      </c>
      <c r="AX1853" s="91">
        <f>SUM(AX1847:AX1852)</f>
        <v>0</v>
      </c>
      <c r="AY1853" s="91">
        <f>SUM(AY1847:AY1852)</f>
        <v>0</v>
      </c>
      <c r="AZ1853" s="91">
        <f>SUM(AZ1847:AZ1852)</f>
        <v>0</v>
      </c>
      <c r="BA1853" s="91"/>
      <c r="BB1853" s="91"/>
      <c r="BC1853" s="91"/>
      <c r="BD1853" s="91" t="str">
        <f>IFERROR(VLOOKUP($G1853,нормы!$A$14:$BG$15,27,0),"")</f>
        <v/>
      </c>
      <c r="BE1853" s="53" t="str">
        <f>IFERROR(W1853/VLOOKUP($G1853,нормы!$A$14:$BI$15,28,0),"")</f>
        <v/>
      </c>
    </row>
    <row r="1854" spans="1:57" s="1" customFormat="1" ht="29.4" customHeight="1" thickBot="1" x14ac:dyDescent="0.5">
      <c r="A1854" s="37" t="str">
        <f t="shared" si="725"/>
        <v>30Н</v>
      </c>
      <c r="B1854" s="166"/>
      <c r="C1854" s="167"/>
      <c r="D1854" s="167"/>
      <c r="E1854" s="167"/>
      <c r="F1854" s="165"/>
      <c r="G1854" s="167"/>
      <c r="H1854" s="167"/>
      <c r="I1854" s="168"/>
      <c r="J1854" s="168"/>
      <c r="K1854" s="168"/>
      <c r="L1854" s="168"/>
      <c r="M1854" s="168"/>
      <c r="N1854" s="168"/>
      <c r="O1854" s="167"/>
      <c r="P1854" s="169"/>
      <c r="Q1854" s="169"/>
      <c r="R1854" s="169"/>
      <c r="S1854" s="169"/>
      <c r="T1854" s="169"/>
      <c r="U1854" s="170"/>
      <c r="V1854" s="170"/>
      <c r="W1854" s="171"/>
      <c r="X1854" s="171"/>
      <c r="Y1854" s="172"/>
      <c r="Z1854" s="172"/>
      <c r="AA1854" s="201" t="s">
        <v>144</v>
      </c>
      <c r="AB1854" s="167"/>
      <c r="AC1854" s="167"/>
      <c r="AD1854" s="167"/>
      <c r="AE1854" s="167"/>
      <c r="AF1854" s="167"/>
      <c r="AG1854" s="167"/>
      <c r="AH1854" s="167"/>
      <c r="AI1854" s="167"/>
      <c r="AJ1854" s="167"/>
      <c r="AK1854" s="167"/>
      <c r="AL1854" s="167"/>
      <c r="AM1854" s="64"/>
      <c r="AN1854" s="167"/>
      <c r="AO1854" s="167"/>
      <c r="AP1854" s="167"/>
      <c r="AQ1854" s="167"/>
      <c r="AR1854" s="64"/>
      <c r="AS1854" s="64"/>
      <c r="AT1854" s="65"/>
      <c r="AU1854" s="64"/>
      <c r="AV1854" s="49"/>
      <c r="AW1854" s="49"/>
      <c r="AX1854" s="167"/>
      <c r="AY1854" s="167"/>
      <c r="AZ1854" s="167"/>
      <c r="BA1854" s="167"/>
      <c r="BB1854" s="167"/>
      <c r="BC1854" s="167"/>
      <c r="BD1854" s="66"/>
      <c r="BE1854" s="66"/>
    </row>
    <row r="1855" spans="1:57" s="1" customFormat="1" ht="23.25" customHeight="1" x14ac:dyDescent="0.4">
      <c r="A1855" s="37" t="str">
        <f t="shared" si="725"/>
        <v>30Н</v>
      </c>
      <c r="B1855" s="183"/>
      <c r="C1855" s="100"/>
      <c r="D1855" s="185"/>
      <c r="E1855" s="186" t="s">
        <v>57</v>
      </c>
      <c r="F1855" s="66" t="s">
        <v>87</v>
      </c>
      <c r="G1855" s="66"/>
      <c r="H1855" s="108" t="s">
        <v>131</v>
      </c>
      <c r="I1855" s="101"/>
      <c r="J1855" s="101"/>
      <c r="K1855" s="101"/>
      <c r="L1855" s="101"/>
      <c r="M1855" s="101"/>
      <c r="N1855" s="101"/>
      <c r="O1855" s="67"/>
      <c r="P1855" s="102"/>
      <c r="Q1855" s="102"/>
      <c r="R1855" s="102"/>
      <c r="S1855" s="102"/>
      <c r="T1855" s="102"/>
      <c r="U1855" s="67"/>
      <c r="V1855" s="67"/>
      <c r="W1855" s="103"/>
      <c r="X1855" s="187"/>
      <c r="Y1855" s="68" t="s">
        <v>74</v>
      </c>
      <c r="Z1855" s="69"/>
      <c r="AA1855" s="90"/>
      <c r="AB1855" s="100"/>
      <c r="AC1855" s="100"/>
      <c r="AD1855" s="186" t="s">
        <v>57</v>
      </c>
      <c r="AE1855" s="66"/>
      <c r="AF1855" s="66"/>
      <c r="AG1855" s="66"/>
      <c r="AH1855" s="66"/>
      <c r="AI1855" s="66"/>
      <c r="AJ1855" s="66"/>
      <c r="AK1855" s="66"/>
      <c r="AL1855" s="66"/>
      <c r="AM1855" s="66"/>
      <c r="AN1855" s="66"/>
      <c r="AO1855" s="66"/>
      <c r="AP1855" s="66"/>
      <c r="AQ1855" s="66"/>
      <c r="AR1855" s="66"/>
      <c r="AS1855" s="66"/>
      <c r="AT1855" s="190"/>
      <c r="AU1855" s="66"/>
      <c r="AV1855" s="165"/>
      <c r="AW1855" s="293"/>
      <c r="AX1855" s="66"/>
      <c r="AY1855" s="66"/>
      <c r="AZ1855" s="66"/>
      <c r="BA1855" s="66"/>
      <c r="BB1855" s="66"/>
      <c r="BC1855" s="66"/>
      <c r="BD1855" s="68" t="s">
        <v>74</v>
      </c>
      <c r="BE1855" s="69"/>
    </row>
    <row r="1856" spans="1:57" s="1" customFormat="1" ht="23.25" customHeight="1" thickBot="1" x14ac:dyDescent="0.45">
      <c r="A1856" s="37" t="str">
        <f t="shared" si="725"/>
        <v>30Н</v>
      </c>
      <c r="B1856" s="183"/>
      <c r="C1856" s="41"/>
      <c r="D1856" s="184"/>
      <c r="E1856" s="50"/>
      <c r="F1856" s="70"/>
      <c r="G1856" s="70"/>
      <c r="H1856" s="70"/>
      <c r="I1856" s="104"/>
      <c r="J1856" s="104"/>
      <c r="K1856" s="104"/>
      <c r="L1856" s="104"/>
      <c r="M1856" s="104"/>
      <c r="N1856" s="104"/>
      <c r="O1856" s="71"/>
      <c r="P1856" s="105"/>
      <c r="Q1856" s="105"/>
      <c r="R1856" s="105"/>
      <c r="S1856" s="105"/>
      <c r="T1856" s="105"/>
      <c r="U1856" s="71"/>
      <c r="V1856" s="71"/>
      <c r="W1856" s="106"/>
      <c r="X1856" s="188"/>
      <c r="Y1856" s="72"/>
      <c r="Z1856" s="73"/>
      <c r="AA1856" s="90"/>
      <c r="AB1856" s="41"/>
      <c r="AC1856" s="41"/>
      <c r="AD1856" s="50"/>
      <c r="AE1856" s="47"/>
      <c r="AF1856" s="47"/>
      <c r="AG1856" s="47"/>
      <c r="AH1856" s="47"/>
      <c r="AI1856" s="47"/>
      <c r="AJ1856" s="47"/>
      <c r="AK1856" s="47"/>
      <c r="AL1856" s="47"/>
      <c r="AM1856" s="70"/>
      <c r="AN1856" s="47"/>
      <c r="AO1856" s="70"/>
      <c r="AP1856" s="70"/>
      <c r="AQ1856" s="70"/>
      <c r="AR1856" s="70"/>
      <c r="AS1856" s="70"/>
      <c r="AT1856" s="191"/>
      <c r="AU1856" s="70"/>
      <c r="AV1856" s="192"/>
      <c r="AW1856" s="294"/>
      <c r="AX1856" s="70"/>
      <c r="AY1856" s="70"/>
      <c r="AZ1856" s="70"/>
      <c r="BA1856" s="70"/>
      <c r="BB1856" s="70"/>
      <c r="BC1856" s="70"/>
      <c r="BD1856" s="72"/>
      <c r="BE1856" s="73"/>
    </row>
    <row r="1857" spans="1:57" s="1" customFormat="1" ht="27.75" customHeight="1" x14ac:dyDescent="0.4">
      <c r="A1857" s="37" t="str">
        <f t="shared" si="725"/>
        <v>30Н</v>
      </c>
      <c r="B1857" s="183"/>
      <c r="C1857" s="41"/>
      <c r="D1857" s="184"/>
      <c r="E1857" s="281">
        <f>B1852</f>
        <v>30</v>
      </c>
      <c r="F1857" s="337"/>
      <c r="G1857" s="338"/>
      <c r="H1857" s="338"/>
      <c r="I1857" s="338"/>
      <c r="J1857" s="338"/>
      <c r="K1857" s="338"/>
      <c r="L1857" s="338"/>
      <c r="M1857" s="338"/>
      <c r="N1857" s="338"/>
      <c r="O1857" s="338"/>
      <c r="P1857" s="338"/>
      <c r="Q1857" s="338"/>
      <c r="R1857" s="338"/>
      <c r="S1857" s="338"/>
      <c r="T1857" s="338"/>
      <c r="U1857" s="338"/>
      <c r="V1857" s="338"/>
      <c r="W1857" s="338"/>
      <c r="X1857" s="98">
        <v>1</v>
      </c>
      <c r="Y1857" s="74">
        <v>1</v>
      </c>
      <c r="Z1857" s="75">
        <f t="shared" ref="Z1857:Z1868" si="731">Y1857-X1857</f>
        <v>0</v>
      </c>
      <c r="AA1857" s="189"/>
      <c r="AB1857" s="41"/>
      <c r="AC1857" s="184"/>
      <c r="AD1857" s="210">
        <f>E1857</f>
        <v>30</v>
      </c>
      <c r="AE1857" s="387"/>
      <c r="AF1857" s="388"/>
      <c r="AG1857" s="388"/>
      <c r="AH1857" s="388"/>
      <c r="AI1857" s="388"/>
      <c r="AJ1857" s="388"/>
      <c r="AK1857" s="388"/>
      <c r="AL1857" s="388"/>
      <c r="AM1857" s="388"/>
      <c r="AN1857" s="388"/>
      <c r="AO1857" s="388"/>
      <c r="AP1857" s="388"/>
      <c r="AQ1857" s="388"/>
      <c r="AR1857" s="388"/>
      <c r="AS1857" s="388"/>
      <c r="AT1857" s="388"/>
      <c r="AU1857" s="388"/>
      <c r="AV1857" s="388"/>
      <c r="AW1857" s="388"/>
      <c r="AX1857" s="388"/>
      <c r="AY1857" s="388"/>
      <c r="AZ1857" s="388"/>
      <c r="BA1857" s="388"/>
      <c r="BB1857" s="389"/>
      <c r="BC1857" s="98">
        <v>1</v>
      </c>
      <c r="BD1857" s="74">
        <v>1</v>
      </c>
      <c r="BE1857" s="75">
        <f t="shared" ref="BE1857:BE1868" si="732">BD1857-BC1857</f>
        <v>0</v>
      </c>
    </row>
    <row r="1858" spans="1:57" s="1" customFormat="1" ht="18" customHeight="1" x14ac:dyDescent="0.4">
      <c r="A1858" s="37" t="str">
        <f t="shared" si="725"/>
        <v>30Н</v>
      </c>
      <c r="B1858" s="183"/>
      <c r="C1858" s="41"/>
      <c r="D1858" s="184"/>
      <c r="E1858" s="282">
        <f>E1857</f>
        <v>30</v>
      </c>
      <c r="F1858" s="335"/>
      <c r="G1858" s="336"/>
      <c r="H1858" s="336"/>
      <c r="I1858" s="336"/>
      <c r="J1858" s="336"/>
      <c r="K1858" s="336"/>
      <c r="L1858" s="336"/>
      <c r="M1858" s="336"/>
      <c r="N1858" s="336"/>
      <c r="O1858" s="336"/>
      <c r="P1858" s="336"/>
      <c r="Q1858" s="336"/>
      <c r="R1858" s="336"/>
      <c r="S1858" s="336"/>
      <c r="T1858" s="336"/>
      <c r="U1858" s="336"/>
      <c r="V1858" s="336"/>
      <c r="W1858" s="336"/>
      <c r="X1858" s="98">
        <v>1</v>
      </c>
      <c r="Y1858" s="74">
        <v>1</v>
      </c>
      <c r="Z1858" s="75">
        <f t="shared" si="731"/>
        <v>0</v>
      </c>
      <c r="AA1858" s="107">
        <f>AA1857</f>
        <v>0</v>
      </c>
      <c r="AB1858" s="41"/>
      <c r="AC1858" s="184"/>
      <c r="AD1858" s="212">
        <f>AD1857</f>
        <v>30</v>
      </c>
      <c r="AE1858" s="387"/>
      <c r="AF1858" s="388"/>
      <c r="AG1858" s="388"/>
      <c r="AH1858" s="388"/>
      <c r="AI1858" s="388"/>
      <c r="AJ1858" s="388"/>
      <c r="AK1858" s="388"/>
      <c r="AL1858" s="388"/>
      <c r="AM1858" s="388"/>
      <c r="AN1858" s="388"/>
      <c r="AO1858" s="388"/>
      <c r="AP1858" s="388"/>
      <c r="AQ1858" s="388"/>
      <c r="AR1858" s="388"/>
      <c r="AS1858" s="388"/>
      <c r="AT1858" s="388"/>
      <c r="AU1858" s="388"/>
      <c r="AV1858" s="388"/>
      <c r="AW1858" s="388"/>
      <c r="AX1858" s="388"/>
      <c r="AY1858" s="388"/>
      <c r="AZ1858" s="388"/>
      <c r="BA1858" s="388"/>
      <c r="BB1858" s="389"/>
      <c r="BC1858" s="98">
        <v>1</v>
      </c>
      <c r="BD1858" s="74">
        <v>1</v>
      </c>
      <c r="BE1858" s="75">
        <f t="shared" si="732"/>
        <v>0</v>
      </c>
    </row>
    <row r="1859" spans="1:57" s="1" customFormat="1" ht="18" customHeight="1" x14ac:dyDescent="0.4">
      <c r="A1859" s="37" t="str">
        <f t="shared" si="725"/>
        <v>30Н</v>
      </c>
      <c r="B1859" s="183"/>
      <c r="C1859" s="41"/>
      <c r="D1859" s="184"/>
      <c r="E1859" s="282">
        <f t="shared" ref="E1859:E1868" si="733">E1858</f>
        <v>30</v>
      </c>
      <c r="F1859" s="335"/>
      <c r="G1859" s="336"/>
      <c r="H1859" s="336"/>
      <c r="I1859" s="336"/>
      <c r="J1859" s="336"/>
      <c r="K1859" s="336"/>
      <c r="L1859" s="336"/>
      <c r="M1859" s="336"/>
      <c r="N1859" s="336"/>
      <c r="O1859" s="336"/>
      <c r="P1859" s="336"/>
      <c r="Q1859" s="336"/>
      <c r="R1859" s="336"/>
      <c r="S1859" s="336"/>
      <c r="T1859" s="336"/>
      <c r="U1859" s="336"/>
      <c r="V1859" s="336"/>
      <c r="W1859" s="336"/>
      <c r="X1859" s="98">
        <v>1</v>
      </c>
      <c r="Y1859" s="74">
        <v>1</v>
      </c>
      <c r="Z1859" s="75">
        <f t="shared" si="731"/>
        <v>0</v>
      </c>
      <c r="AA1859" s="107">
        <f>AA1858</f>
        <v>0</v>
      </c>
      <c r="AB1859" s="41"/>
      <c r="AC1859" s="184"/>
      <c r="AD1859" s="212">
        <f t="shared" ref="AD1859:AD1868" si="734">AD1858</f>
        <v>30</v>
      </c>
      <c r="AE1859" s="387"/>
      <c r="AF1859" s="388"/>
      <c r="AG1859" s="388"/>
      <c r="AH1859" s="388"/>
      <c r="AI1859" s="388"/>
      <c r="AJ1859" s="388"/>
      <c r="AK1859" s="388"/>
      <c r="AL1859" s="388"/>
      <c r="AM1859" s="388"/>
      <c r="AN1859" s="388"/>
      <c r="AO1859" s="388"/>
      <c r="AP1859" s="388"/>
      <c r="AQ1859" s="388"/>
      <c r="AR1859" s="388"/>
      <c r="AS1859" s="388"/>
      <c r="AT1859" s="388"/>
      <c r="AU1859" s="388"/>
      <c r="AV1859" s="388"/>
      <c r="AW1859" s="388"/>
      <c r="AX1859" s="388"/>
      <c r="AY1859" s="388"/>
      <c r="AZ1859" s="388"/>
      <c r="BA1859" s="388"/>
      <c r="BB1859" s="389"/>
      <c r="BC1859" s="98">
        <v>1</v>
      </c>
      <c r="BD1859" s="74">
        <v>1</v>
      </c>
      <c r="BE1859" s="75">
        <f t="shared" si="732"/>
        <v>0</v>
      </c>
    </row>
    <row r="1860" spans="1:57" s="1" customFormat="1" ht="18" customHeight="1" x14ac:dyDescent="0.4">
      <c r="A1860" s="37" t="str">
        <f t="shared" si="725"/>
        <v>30Н</v>
      </c>
      <c r="B1860" s="183"/>
      <c r="C1860" s="41"/>
      <c r="D1860" s="184"/>
      <c r="E1860" s="282">
        <f t="shared" si="733"/>
        <v>30</v>
      </c>
      <c r="F1860" s="335"/>
      <c r="G1860" s="336"/>
      <c r="H1860" s="336"/>
      <c r="I1860" s="336"/>
      <c r="J1860" s="336"/>
      <c r="K1860" s="336"/>
      <c r="L1860" s="336"/>
      <c r="M1860" s="336"/>
      <c r="N1860" s="336"/>
      <c r="O1860" s="336"/>
      <c r="P1860" s="336"/>
      <c r="Q1860" s="336"/>
      <c r="R1860" s="336"/>
      <c r="S1860" s="336"/>
      <c r="T1860" s="336"/>
      <c r="U1860" s="336"/>
      <c r="V1860" s="336"/>
      <c r="W1860" s="336"/>
      <c r="X1860" s="98">
        <v>1</v>
      </c>
      <c r="Y1860" s="74">
        <v>1</v>
      </c>
      <c r="Z1860" s="75">
        <f t="shared" si="731"/>
        <v>0</v>
      </c>
      <c r="AA1860" s="107">
        <f t="shared" ref="AA1860:AA1868" si="735">AA1859</f>
        <v>0</v>
      </c>
      <c r="AB1860" s="41"/>
      <c r="AC1860" s="184"/>
      <c r="AD1860" s="212">
        <f t="shared" si="734"/>
        <v>30</v>
      </c>
      <c r="AE1860" s="387"/>
      <c r="AF1860" s="388"/>
      <c r="AG1860" s="388"/>
      <c r="AH1860" s="388"/>
      <c r="AI1860" s="388"/>
      <c r="AJ1860" s="388"/>
      <c r="AK1860" s="388"/>
      <c r="AL1860" s="388"/>
      <c r="AM1860" s="388"/>
      <c r="AN1860" s="388"/>
      <c r="AO1860" s="388"/>
      <c r="AP1860" s="388"/>
      <c r="AQ1860" s="388"/>
      <c r="AR1860" s="388"/>
      <c r="AS1860" s="388"/>
      <c r="AT1860" s="388"/>
      <c r="AU1860" s="388"/>
      <c r="AV1860" s="388"/>
      <c r="AW1860" s="388"/>
      <c r="AX1860" s="388"/>
      <c r="AY1860" s="388"/>
      <c r="AZ1860" s="388"/>
      <c r="BA1860" s="388"/>
      <c r="BB1860" s="389"/>
      <c r="BC1860" s="98">
        <v>1</v>
      </c>
      <c r="BD1860" s="74">
        <v>1</v>
      </c>
      <c r="BE1860" s="75">
        <f t="shared" si="732"/>
        <v>0</v>
      </c>
    </row>
    <row r="1861" spans="1:57" s="1" customFormat="1" ht="18" customHeight="1" x14ac:dyDescent="0.4">
      <c r="A1861" s="37" t="str">
        <f t="shared" si="725"/>
        <v>30Н</v>
      </c>
      <c r="B1861" s="183"/>
      <c r="C1861" s="41"/>
      <c r="D1861" s="184"/>
      <c r="E1861" s="282">
        <f t="shared" si="733"/>
        <v>30</v>
      </c>
      <c r="F1861" s="335"/>
      <c r="G1861" s="336"/>
      <c r="H1861" s="336"/>
      <c r="I1861" s="336"/>
      <c r="J1861" s="336"/>
      <c r="K1861" s="336"/>
      <c r="L1861" s="336"/>
      <c r="M1861" s="336"/>
      <c r="N1861" s="336"/>
      <c r="O1861" s="336"/>
      <c r="P1861" s="336"/>
      <c r="Q1861" s="336"/>
      <c r="R1861" s="336"/>
      <c r="S1861" s="336"/>
      <c r="T1861" s="336"/>
      <c r="U1861" s="336"/>
      <c r="V1861" s="336"/>
      <c r="W1861" s="336"/>
      <c r="X1861" s="98">
        <v>1</v>
      </c>
      <c r="Y1861" s="74">
        <v>1</v>
      </c>
      <c r="Z1861" s="75">
        <f t="shared" si="731"/>
        <v>0</v>
      </c>
      <c r="AA1861" s="107">
        <f t="shared" si="735"/>
        <v>0</v>
      </c>
      <c r="AB1861" s="41"/>
      <c r="AC1861" s="184"/>
      <c r="AD1861" s="212">
        <f t="shared" si="734"/>
        <v>30</v>
      </c>
      <c r="AE1861" s="387"/>
      <c r="AF1861" s="388"/>
      <c r="AG1861" s="388"/>
      <c r="AH1861" s="388"/>
      <c r="AI1861" s="388"/>
      <c r="AJ1861" s="388"/>
      <c r="AK1861" s="388"/>
      <c r="AL1861" s="388"/>
      <c r="AM1861" s="388"/>
      <c r="AN1861" s="388"/>
      <c r="AO1861" s="388"/>
      <c r="AP1861" s="388"/>
      <c r="AQ1861" s="388"/>
      <c r="AR1861" s="388"/>
      <c r="AS1861" s="388"/>
      <c r="AT1861" s="388"/>
      <c r="AU1861" s="388"/>
      <c r="AV1861" s="388"/>
      <c r="AW1861" s="388"/>
      <c r="AX1861" s="388"/>
      <c r="AY1861" s="388"/>
      <c r="AZ1861" s="388"/>
      <c r="BA1861" s="388"/>
      <c r="BB1861" s="389"/>
      <c r="BC1861" s="98">
        <v>1</v>
      </c>
      <c r="BD1861" s="74">
        <v>1</v>
      </c>
      <c r="BE1861" s="75">
        <f t="shared" si="732"/>
        <v>0</v>
      </c>
    </row>
    <row r="1862" spans="1:57" s="1" customFormat="1" ht="18" customHeight="1" x14ac:dyDescent="0.4">
      <c r="A1862" s="37" t="str">
        <f t="shared" si="725"/>
        <v>30Н</v>
      </c>
      <c r="B1862" s="183"/>
      <c r="C1862" s="41"/>
      <c r="D1862" s="184"/>
      <c r="E1862" s="282">
        <f t="shared" si="733"/>
        <v>30</v>
      </c>
      <c r="F1862" s="335"/>
      <c r="G1862" s="336"/>
      <c r="H1862" s="336"/>
      <c r="I1862" s="336"/>
      <c r="J1862" s="336"/>
      <c r="K1862" s="336"/>
      <c r="L1862" s="336"/>
      <c r="M1862" s="336"/>
      <c r="N1862" s="336"/>
      <c r="O1862" s="336"/>
      <c r="P1862" s="336"/>
      <c r="Q1862" s="336"/>
      <c r="R1862" s="336"/>
      <c r="S1862" s="336"/>
      <c r="T1862" s="336"/>
      <c r="U1862" s="336"/>
      <c r="V1862" s="336"/>
      <c r="W1862" s="336"/>
      <c r="X1862" s="98">
        <v>1</v>
      </c>
      <c r="Y1862" s="74">
        <v>1</v>
      </c>
      <c r="Z1862" s="75">
        <f t="shared" si="731"/>
        <v>0</v>
      </c>
      <c r="AA1862" s="107">
        <f t="shared" si="735"/>
        <v>0</v>
      </c>
      <c r="AB1862" s="41"/>
      <c r="AC1862" s="184"/>
      <c r="AD1862" s="212">
        <f t="shared" si="734"/>
        <v>30</v>
      </c>
      <c r="AE1862" s="387"/>
      <c r="AF1862" s="388"/>
      <c r="AG1862" s="388"/>
      <c r="AH1862" s="388"/>
      <c r="AI1862" s="388"/>
      <c r="AJ1862" s="388"/>
      <c r="AK1862" s="388"/>
      <c r="AL1862" s="388"/>
      <c r="AM1862" s="388"/>
      <c r="AN1862" s="388"/>
      <c r="AO1862" s="388"/>
      <c r="AP1862" s="388"/>
      <c r="AQ1862" s="388"/>
      <c r="AR1862" s="388"/>
      <c r="AS1862" s="388"/>
      <c r="AT1862" s="388"/>
      <c r="AU1862" s="388"/>
      <c r="AV1862" s="388"/>
      <c r="AW1862" s="388"/>
      <c r="AX1862" s="388"/>
      <c r="AY1862" s="388"/>
      <c r="AZ1862" s="388"/>
      <c r="BA1862" s="388"/>
      <c r="BB1862" s="389"/>
      <c r="BC1862" s="98">
        <v>1</v>
      </c>
      <c r="BD1862" s="74">
        <v>1</v>
      </c>
      <c r="BE1862" s="75">
        <f t="shared" si="732"/>
        <v>0</v>
      </c>
    </row>
    <row r="1863" spans="1:57" s="1" customFormat="1" ht="18" customHeight="1" x14ac:dyDescent="0.4">
      <c r="A1863" s="37" t="str">
        <f t="shared" si="725"/>
        <v>30Н</v>
      </c>
      <c r="B1863" s="183"/>
      <c r="C1863" s="41"/>
      <c r="D1863" s="184"/>
      <c r="E1863" s="282">
        <f t="shared" si="733"/>
        <v>30</v>
      </c>
      <c r="F1863" s="335"/>
      <c r="G1863" s="336"/>
      <c r="H1863" s="336"/>
      <c r="I1863" s="336"/>
      <c r="J1863" s="336"/>
      <c r="K1863" s="336"/>
      <c r="L1863" s="336"/>
      <c r="M1863" s="336"/>
      <c r="N1863" s="336"/>
      <c r="O1863" s="336"/>
      <c r="P1863" s="336"/>
      <c r="Q1863" s="336"/>
      <c r="R1863" s="336"/>
      <c r="S1863" s="336"/>
      <c r="T1863" s="336"/>
      <c r="U1863" s="336"/>
      <c r="V1863" s="336"/>
      <c r="W1863" s="336"/>
      <c r="X1863" s="98">
        <v>1</v>
      </c>
      <c r="Y1863" s="74">
        <v>1</v>
      </c>
      <c r="Z1863" s="75">
        <f t="shared" si="731"/>
        <v>0</v>
      </c>
      <c r="AA1863" s="107">
        <f t="shared" si="735"/>
        <v>0</v>
      </c>
      <c r="AB1863" s="41"/>
      <c r="AC1863" s="184"/>
      <c r="AD1863" s="212">
        <f t="shared" si="734"/>
        <v>30</v>
      </c>
      <c r="AE1863" s="387"/>
      <c r="AF1863" s="388"/>
      <c r="AG1863" s="388"/>
      <c r="AH1863" s="388"/>
      <c r="AI1863" s="388"/>
      <c r="AJ1863" s="388"/>
      <c r="AK1863" s="388"/>
      <c r="AL1863" s="388"/>
      <c r="AM1863" s="388"/>
      <c r="AN1863" s="388"/>
      <c r="AO1863" s="388"/>
      <c r="AP1863" s="388"/>
      <c r="AQ1863" s="388"/>
      <c r="AR1863" s="388"/>
      <c r="AS1863" s="388"/>
      <c r="AT1863" s="388"/>
      <c r="AU1863" s="388"/>
      <c r="AV1863" s="388"/>
      <c r="AW1863" s="388"/>
      <c r="AX1863" s="388"/>
      <c r="AY1863" s="388"/>
      <c r="AZ1863" s="388"/>
      <c r="BA1863" s="388"/>
      <c r="BB1863" s="389"/>
      <c r="BC1863" s="98">
        <v>1</v>
      </c>
      <c r="BD1863" s="74">
        <v>1</v>
      </c>
      <c r="BE1863" s="75">
        <f t="shared" si="732"/>
        <v>0</v>
      </c>
    </row>
    <row r="1864" spans="1:57" s="1" customFormat="1" ht="18" customHeight="1" x14ac:dyDescent="0.4">
      <c r="A1864" s="37" t="str">
        <f t="shared" si="725"/>
        <v>30Н</v>
      </c>
      <c r="B1864" s="183"/>
      <c r="C1864" s="41"/>
      <c r="D1864" s="184"/>
      <c r="E1864" s="282">
        <f t="shared" si="733"/>
        <v>30</v>
      </c>
      <c r="F1864" s="335"/>
      <c r="G1864" s="336"/>
      <c r="H1864" s="336"/>
      <c r="I1864" s="336"/>
      <c r="J1864" s="336"/>
      <c r="K1864" s="336"/>
      <c r="L1864" s="336"/>
      <c r="M1864" s="336"/>
      <c r="N1864" s="336"/>
      <c r="O1864" s="336"/>
      <c r="P1864" s="336"/>
      <c r="Q1864" s="336"/>
      <c r="R1864" s="336"/>
      <c r="S1864" s="336"/>
      <c r="T1864" s="336"/>
      <c r="U1864" s="336"/>
      <c r="V1864" s="336"/>
      <c r="W1864" s="336"/>
      <c r="X1864" s="98">
        <v>1</v>
      </c>
      <c r="Y1864" s="74">
        <v>1</v>
      </c>
      <c r="Z1864" s="75">
        <f t="shared" si="731"/>
        <v>0</v>
      </c>
      <c r="AA1864" s="107">
        <f t="shared" si="735"/>
        <v>0</v>
      </c>
      <c r="AB1864" s="41"/>
      <c r="AC1864" s="184"/>
      <c r="AD1864" s="212">
        <f t="shared" si="734"/>
        <v>30</v>
      </c>
      <c r="AE1864" s="387"/>
      <c r="AF1864" s="388"/>
      <c r="AG1864" s="388"/>
      <c r="AH1864" s="388"/>
      <c r="AI1864" s="388"/>
      <c r="AJ1864" s="388"/>
      <c r="AK1864" s="388"/>
      <c r="AL1864" s="388"/>
      <c r="AM1864" s="388"/>
      <c r="AN1864" s="388"/>
      <c r="AO1864" s="388"/>
      <c r="AP1864" s="388"/>
      <c r="AQ1864" s="388"/>
      <c r="AR1864" s="388"/>
      <c r="AS1864" s="388"/>
      <c r="AT1864" s="388"/>
      <c r="AU1864" s="388"/>
      <c r="AV1864" s="388"/>
      <c r="AW1864" s="388"/>
      <c r="AX1864" s="388"/>
      <c r="AY1864" s="388"/>
      <c r="AZ1864" s="388"/>
      <c r="BA1864" s="388"/>
      <c r="BB1864" s="389"/>
      <c r="BC1864" s="98">
        <v>1</v>
      </c>
      <c r="BD1864" s="74">
        <v>1</v>
      </c>
      <c r="BE1864" s="75">
        <f t="shared" si="732"/>
        <v>0</v>
      </c>
    </row>
    <row r="1865" spans="1:57" s="1" customFormat="1" ht="18" customHeight="1" x14ac:dyDescent="0.4">
      <c r="A1865" s="37" t="str">
        <f t="shared" si="725"/>
        <v>30Н</v>
      </c>
      <c r="B1865" s="183"/>
      <c r="C1865" s="41"/>
      <c r="D1865" s="184"/>
      <c r="E1865" s="282">
        <f t="shared" si="733"/>
        <v>30</v>
      </c>
      <c r="F1865" s="335"/>
      <c r="G1865" s="336"/>
      <c r="H1865" s="336"/>
      <c r="I1865" s="336"/>
      <c r="J1865" s="336"/>
      <c r="K1865" s="336"/>
      <c r="L1865" s="336"/>
      <c r="M1865" s="336"/>
      <c r="N1865" s="336"/>
      <c r="O1865" s="336"/>
      <c r="P1865" s="336"/>
      <c r="Q1865" s="336"/>
      <c r="R1865" s="336"/>
      <c r="S1865" s="336"/>
      <c r="T1865" s="336"/>
      <c r="U1865" s="336"/>
      <c r="V1865" s="336"/>
      <c r="W1865" s="336"/>
      <c r="X1865" s="98">
        <v>1</v>
      </c>
      <c r="Y1865" s="74">
        <v>1</v>
      </c>
      <c r="Z1865" s="75">
        <f t="shared" si="731"/>
        <v>0</v>
      </c>
      <c r="AA1865" s="107">
        <f t="shared" si="735"/>
        <v>0</v>
      </c>
      <c r="AB1865" s="41"/>
      <c r="AC1865" s="184"/>
      <c r="AD1865" s="212">
        <f t="shared" si="734"/>
        <v>30</v>
      </c>
      <c r="AE1865" s="387"/>
      <c r="AF1865" s="388"/>
      <c r="AG1865" s="388"/>
      <c r="AH1865" s="388"/>
      <c r="AI1865" s="388"/>
      <c r="AJ1865" s="388"/>
      <c r="AK1865" s="388"/>
      <c r="AL1865" s="388"/>
      <c r="AM1865" s="388"/>
      <c r="AN1865" s="388"/>
      <c r="AO1865" s="388"/>
      <c r="AP1865" s="388"/>
      <c r="AQ1865" s="388"/>
      <c r="AR1865" s="388"/>
      <c r="AS1865" s="388"/>
      <c r="AT1865" s="388"/>
      <c r="AU1865" s="388"/>
      <c r="AV1865" s="388"/>
      <c r="AW1865" s="388"/>
      <c r="AX1865" s="388"/>
      <c r="AY1865" s="388"/>
      <c r="AZ1865" s="388"/>
      <c r="BA1865" s="388"/>
      <c r="BB1865" s="389"/>
      <c r="BC1865" s="98">
        <v>1</v>
      </c>
      <c r="BD1865" s="74">
        <v>1</v>
      </c>
      <c r="BE1865" s="75">
        <f t="shared" si="732"/>
        <v>0</v>
      </c>
    </row>
    <row r="1866" spans="1:57" s="1" customFormat="1" ht="18" customHeight="1" x14ac:dyDescent="0.4">
      <c r="A1866" s="37" t="str">
        <f t="shared" si="725"/>
        <v>30Н</v>
      </c>
      <c r="B1866" s="183"/>
      <c r="C1866" s="41"/>
      <c r="D1866" s="184"/>
      <c r="E1866" s="282">
        <f t="shared" si="733"/>
        <v>30</v>
      </c>
      <c r="F1866" s="335"/>
      <c r="G1866" s="336"/>
      <c r="H1866" s="336"/>
      <c r="I1866" s="336"/>
      <c r="J1866" s="336"/>
      <c r="K1866" s="336"/>
      <c r="L1866" s="336"/>
      <c r="M1866" s="336"/>
      <c r="N1866" s="336"/>
      <c r="O1866" s="336"/>
      <c r="P1866" s="336"/>
      <c r="Q1866" s="336"/>
      <c r="R1866" s="336"/>
      <c r="S1866" s="336"/>
      <c r="T1866" s="336"/>
      <c r="U1866" s="336"/>
      <c r="V1866" s="336"/>
      <c r="W1866" s="336"/>
      <c r="X1866" s="98">
        <v>1</v>
      </c>
      <c r="Y1866" s="74">
        <v>1</v>
      </c>
      <c r="Z1866" s="75">
        <f t="shared" si="731"/>
        <v>0</v>
      </c>
      <c r="AA1866" s="107">
        <f t="shared" si="735"/>
        <v>0</v>
      </c>
      <c r="AB1866" s="41"/>
      <c r="AC1866" s="184"/>
      <c r="AD1866" s="212">
        <f t="shared" si="734"/>
        <v>30</v>
      </c>
      <c r="AE1866" s="387"/>
      <c r="AF1866" s="388"/>
      <c r="AG1866" s="388"/>
      <c r="AH1866" s="388"/>
      <c r="AI1866" s="388"/>
      <c r="AJ1866" s="388"/>
      <c r="AK1866" s="388"/>
      <c r="AL1866" s="388"/>
      <c r="AM1866" s="388"/>
      <c r="AN1866" s="388"/>
      <c r="AO1866" s="388"/>
      <c r="AP1866" s="388"/>
      <c r="AQ1866" s="388"/>
      <c r="AR1866" s="388"/>
      <c r="AS1866" s="388"/>
      <c r="AT1866" s="388"/>
      <c r="AU1866" s="388"/>
      <c r="AV1866" s="388"/>
      <c r="AW1866" s="388"/>
      <c r="AX1866" s="388"/>
      <c r="AY1866" s="388"/>
      <c r="AZ1866" s="388"/>
      <c r="BA1866" s="388"/>
      <c r="BB1866" s="389"/>
      <c r="BC1866" s="98">
        <v>1</v>
      </c>
      <c r="BD1866" s="74">
        <v>1</v>
      </c>
      <c r="BE1866" s="75">
        <f t="shared" si="732"/>
        <v>0</v>
      </c>
    </row>
    <row r="1867" spans="1:57" s="1" customFormat="1" ht="18" customHeight="1" x14ac:dyDescent="0.4">
      <c r="A1867" s="37" t="str">
        <f t="shared" si="725"/>
        <v>30Н</v>
      </c>
      <c r="B1867" s="183"/>
      <c r="C1867" s="41"/>
      <c r="D1867" s="184"/>
      <c r="E1867" s="282">
        <f t="shared" si="733"/>
        <v>30</v>
      </c>
      <c r="F1867" s="335"/>
      <c r="G1867" s="336"/>
      <c r="H1867" s="336"/>
      <c r="I1867" s="336"/>
      <c r="J1867" s="336"/>
      <c r="K1867" s="336"/>
      <c r="L1867" s="336"/>
      <c r="M1867" s="336"/>
      <c r="N1867" s="336"/>
      <c r="O1867" s="336"/>
      <c r="P1867" s="336"/>
      <c r="Q1867" s="336"/>
      <c r="R1867" s="336"/>
      <c r="S1867" s="336"/>
      <c r="T1867" s="336"/>
      <c r="U1867" s="336"/>
      <c r="V1867" s="336"/>
      <c r="W1867" s="336"/>
      <c r="X1867" s="98">
        <v>1</v>
      </c>
      <c r="Y1867" s="74">
        <v>1</v>
      </c>
      <c r="Z1867" s="75">
        <f t="shared" si="731"/>
        <v>0</v>
      </c>
      <c r="AA1867" s="107">
        <f t="shared" si="735"/>
        <v>0</v>
      </c>
      <c r="AB1867" s="41"/>
      <c r="AC1867" s="184"/>
      <c r="AD1867" s="212">
        <f t="shared" si="734"/>
        <v>30</v>
      </c>
      <c r="AE1867" s="387"/>
      <c r="AF1867" s="388"/>
      <c r="AG1867" s="388"/>
      <c r="AH1867" s="388"/>
      <c r="AI1867" s="388"/>
      <c r="AJ1867" s="388"/>
      <c r="AK1867" s="388"/>
      <c r="AL1867" s="388"/>
      <c r="AM1867" s="388"/>
      <c r="AN1867" s="388"/>
      <c r="AO1867" s="388"/>
      <c r="AP1867" s="388"/>
      <c r="AQ1867" s="388"/>
      <c r="AR1867" s="388"/>
      <c r="AS1867" s="388"/>
      <c r="AT1867" s="388"/>
      <c r="AU1867" s="388"/>
      <c r="AV1867" s="388"/>
      <c r="AW1867" s="388"/>
      <c r="AX1867" s="388"/>
      <c r="AY1867" s="388"/>
      <c r="AZ1867" s="388"/>
      <c r="BA1867" s="388"/>
      <c r="BB1867" s="389"/>
      <c r="BC1867" s="98">
        <v>1</v>
      </c>
      <c r="BD1867" s="74">
        <v>1</v>
      </c>
      <c r="BE1867" s="75">
        <f t="shared" si="732"/>
        <v>0</v>
      </c>
    </row>
    <row r="1868" spans="1:57" s="1" customFormat="1" ht="18" customHeight="1" thickBot="1" x14ac:dyDescent="0.45">
      <c r="A1868" s="37" t="str">
        <f t="shared" si="725"/>
        <v>30Н</v>
      </c>
      <c r="B1868" s="183"/>
      <c r="C1868" s="41"/>
      <c r="D1868" s="184"/>
      <c r="E1868" s="283">
        <f t="shared" si="733"/>
        <v>30</v>
      </c>
      <c r="F1868" s="339"/>
      <c r="G1868" s="340"/>
      <c r="H1868" s="340"/>
      <c r="I1868" s="340"/>
      <c r="J1868" s="340"/>
      <c r="K1868" s="340"/>
      <c r="L1868" s="340"/>
      <c r="M1868" s="340"/>
      <c r="N1868" s="340"/>
      <c r="O1868" s="340"/>
      <c r="P1868" s="340"/>
      <c r="Q1868" s="340"/>
      <c r="R1868" s="340"/>
      <c r="S1868" s="340"/>
      <c r="T1868" s="340"/>
      <c r="U1868" s="340"/>
      <c r="V1868" s="340"/>
      <c r="W1868" s="340"/>
      <c r="X1868" s="99">
        <v>1</v>
      </c>
      <c r="Y1868" s="76">
        <v>1</v>
      </c>
      <c r="Z1868" s="77">
        <f t="shared" si="731"/>
        <v>0</v>
      </c>
      <c r="AA1868" s="107">
        <f t="shared" si="735"/>
        <v>0</v>
      </c>
      <c r="AB1868" s="41"/>
      <c r="AC1868" s="184"/>
      <c r="AD1868" s="211">
        <f t="shared" si="734"/>
        <v>30</v>
      </c>
      <c r="AE1868" s="410"/>
      <c r="AF1868" s="411"/>
      <c r="AG1868" s="411"/>
      <c r="AH1868" s="411"/>
      <c r="AI1868" s="411"/>
      <c r="AJ1868" s="411"/>
      <c r="AK1868" s="411"/>
      <c r="AL1868" s="411"/>
      <c r="AM1868" s="411"/>
      <c r="AN1868" s="411"/>
      <c r="AO1868" s="411"/>
      <c r="AP1868" s="411"/>
      <c r="AQ1868" s="411"/>
      <c r="AR1868" s="411"/>
      <c r="AS1868" s="411"/>
      <c r="AT1868" s="411"/>
      <c r="AU1868" s="411"/>
      <c r="AV1868" s="411"/>
      <c r="AW1868" s="411"/>
      <c r="AX1868" s="411"/>
      <c r="AY1868" s="411"/>
      <c r="AZ1868" s="411"/>
      <c r="BA1868" s="411"/>
      <c r="BB1868" s="412"/>
      <c r="BC1868" s="99">
        <v>1</v>
      </c>
      <c r="BD1868" s="76">
        <v>1</v>
      </c>
      <c r="BE1868" s="75">
        <f t="shared" si="732"/>
        <v>0</v>
      </c>
    </row>
    <row r="1869" spans="1:57" s="1" customFormat="1" ht="23.25" customHeight="1" thickBot="1" x14ac:dyDescent="0.45">
      <c r="A1869" s="37" t="str">
        <f t="shared" si="725"/>
        <v>30Н</v>
      </c>
      <c r="B1869" s="193"/>
      <c r="C1869" s="47"/>
      <c r="D1869" s="47"/>
      <c r="E1869" s="47"/>
      <c r="F1869" s="78"/>
      <c r="G1869" s="78"/>
      <c r="H1869" s="78"/>
      <c r="I1869" s="80"/>
      <c r="J1869" s="80"/>
      <c r="K1869" s="80"/>
      <c r="L1869" s="80"/>
      <c r="M1869" s="80"/>
      <c r="N1869" s="80"/>
      <c r="O1869" s="78"/>
      <c r="P1869" s="81"/>
      <c r="Q1869" s="81"/>
      <c r="R1869" s="81"/>
      <c r="S1869" s="81"/>
      <c r="T1869" s="81"/>
      <c r="U1869" s="82"/>
      <c r="V1869" s="82"/>
      <c r="W1869" s="86"/>
      <c r="X1869" s="194"/>
      <c r="Y1869" s="83"/>
      <c r="Z1869" s="83"/>
      <c r="AA1869" s="78"/>
      <c r="AB1869" s="47"/>
      <c r="AC1869" s="47"/>
      <c r="AD1869" s="47"/>
      <c r="AE1869" s="47"/>
      <c r="AF1869" s="47"/>
      <c r="AG1869" s="47"/>
      <c r="AH1869" s="47"/>
      <c r="AI1869" s="47"/>
      <c r="AJ1869" s="47"/>
      <c r="AK1869" s="47"/>
      <c r="AL1869" s="47"/>
      <c r="AM1869" s="84"/>
      <c r="AN1869" s="47"/>
      <c r="AO1869" s="78"/>
      <c r="AP1869" s="78"/>
      <c r="AQ1869" s="78"/>
      <c r="AR1869" s="84"/>
      <c r="AS1869" s="78"/>
      <c r="AT1869" s="85"/>
      <c r="AU1869" s="78"/>
      <c r="AV1869" s="83"/>
      <c r="AW1869" s="83"/>
      <c r="AX1869" s="78"/>
      <c r="AY1869" s="78"/>
      <c r="AZ1869" s="78"/>
      <c r="BA1869" s="78"/>
      <c r="BB1869" s="78"/>
      <c r="BC1869" s="78"/>
      <c r="BD1869" s="79"/>
      <c r="BE1869" s="79"/>
    </row>
  </sheetData>
  <autoFilter ref="A9:BC1869" xr:uid="{00000000-0009-0000-0000-000000000000}"/>
  <mergeCells count="2440">
    <mergeCell ref="J631:J636"/>
    <mergeCell ref="F840:W840"/>
    <mergeCell ref="F90:W90"/>
    <mergeCell ref="F33:W33"/>
    <mergeCell ref="F34:W34"/>
    <mergeCell ref="F35:W35"/>
    <mergeCell ref="F36:W36"/>
    <mergeCell ref="F39:W39"/>
    <mergeCell ref="J638:J643"/>
    <mergeCell ref="J662:J667"/>
    <mergeCell ref="J669:J674"/>
    <mergeCell ref="J693:J698"/>
    <mergeCell ref="J700:J705"/>
    <mergeCell ref="J724:J729"/>
    <mergeCell ref="J731:J736"/>
    <mergeCell ref="J755:J760"/>
    <mergeCell ref="J762:J767"/>
    <mergeCell ref="J786:J791"/>
    <mergeCell ref="J793:J798"/>
    <mergeCell ref="J383:J388"/>
    <mergeCell ref="J390:J395"/>
    <mergeCell ref="J414:J419"/>
    <mergeCell ref="J421:J426"/>
    <mergeCell ref="J445:J450"/>
    <mergeCell ref="J452:J457"/>
    <mergeCell ref="J476:J481"/>
    <mergeCell ref="J483:J488"/>
    <mergeCell ref="J507:J512"/>
    <mergeCell ref="J514:J519"/>
    <mergeCell ref="J538:J543"/>
    <mergeCell ref="J545:J550"/>
    <mergeCell ref="J569:J574"/>
    <mergeCell ref="J576:J581"/>
    <mergeCell ref="J600:J605"/>
    <mergeCell ref="AG1809:AG1814"/>
    <mergeCell ref="AH1809:AH1814"/>
    <mergeCell ref="AI1809:AI1814"/>
    <mergeCell ref="AJ1809:AJ1814"/>
    <mergeCell ref="AK1809:AK1814"/>
    <mergeCell ref="AL1809:AL1814"/>
    <mergeCell ref="AM1809:AM1814"/>
    <mergeCell ref="AE1744:BB1744"/>
    <mergeCell ref="AG1747:AG1752"/>
    <mergeCell ref="AH1747:AH1752"/>
    <mergeCell ref="AI1747:AI1752"/>
    <mergeCell ref="AJ1747:AJ1752"/>
    <mergeCell ref="AK1747:AK1752"/>
    <mergeCell ref="AL1747:AL1752"/>
    <mergeCell ref="AM1747:AM1752"/>
    <mergeCell ref="F1429:W1429"/>
    <mergeCell ref="AE1429:BB1429"/>
    <mergeCell ref="F1430:W1430"/>
    <mergeCell ref="F1428:W1428"/>
    <mergeCell ref="AE1428:BB1428"/>
    <mergeCell ref="AE1651:BB1651"/>
    <mergeCell ref="AI1661:AI1666"/>
    <mergeCell ref="AJ1661:AJ1666"/>
    <mergeCell ref="AK1661:AK1666"/>
    <mergeCell ref="AG1661:AG1666"/>
    <mergeCell ref="AE1241:BB1241"/>
    <mergeCell ref="F1242:W1242"/>
    <mergeCell ref="AE1242:BB1242"/>
    <mergeCell ref="F1237:W1237"/>
    <mergeCell ref="AE1237:BB1237"/>
    <mergeCell ref="AB1:AC2"/>
    <mergeCell ref="J824:J829"/>
    <mergeCell ref="J5:J8"/>
    <mergeCell ref="F379:W379"/>
    <mergeCell ref="AE379:BB379"/>
    <mergeCell ref="F380:W380"/>
    <mergeCell ref="AE380:BB380"/>
    <mergeCell ref="AF1:AG1"/>
    <mergeCell ref="AH1:AI1"/>
    <mergeCell ref="AJ1:AK1"/>
    <mergeCell ref="AL1:AM1"/>
    <mergeCell ref="AD1:AE3"/>
    <mergeCell ref="AE1427:BB1427"/>
    <mergeCell ref="J11:J16"/>
    <mergeCell ref="J18:J23"/>
    <mergeCell ref="J42:J47"/>
    <mergeCell ref="J49:J54"/>
    <mergeCell ref="J73:J78"/>
    <mergeCell ref="J80:J85"/>
    <mergeCell ref="J104:J109"/>
    <mergeCell ref="J111:J116"/>
    <mergeCell ref="J135:J140"/>
    <mergeCell ref="J142:J147"/>
    <mergeCell ref="J166:J171"/>
    <mergeCell ref="J173:J178"/>
    <mergeCell ref="F1244:W1244"/>
    <mergeCell ref="AE1244:BB1244"/>
    <mergeCell ref="F1245:W1245"/>
    <mergeCell ref="AE1245:BB1245"/>
    <mergeCell ref="F1240:W1240"/>
    <mergeCell ref="AE1240:BB1240"/>
    <mergeCell ref="F1241:W1241"/>
    <mergeCell ref="AE1430:BB1430"/>
    <mergeCell ref="F1425:W1425"/>
    <mergeCell ref="AE1425:BB1425"/>
    <mergeCell ref="F1426:W1426"/>
    <mergeCell ref="AE1426:BB1426"/>
    <mergeCell ref="F1427:W1427"/>
    <mergeCell ref="AE1424:BB1424"/>
    <mergeCell ref="AG1406:AG1411"/>
    <mergeCell ref="AH1406:AH1411"/>
    <mergeCell ref="AI1406:AI1411"/>
    <mergeCell ref="AJ1406:AJ1411"/>
    <mergeCell ref="AK1406:AK1411"/>
    <mergeCell ref="AL1406:AL1411"/>
    <mergeCell ref="AM1406:AM1411"/>
    <mergeCell ref="AG1413:AG1418"/>
    <mergeCell ref="AH1413:AH1418"/>
    <mergeCell ref="AI1413:AI1418"/>
    <mergeCell ref="AJ1413:AJ1418"/>
    <mergeCell ref="AK1413:AK1418"/>
    <mergeCell ref="F865:W865"/>
    <mergeCell ref="AE865:BB865"/>
    <mergeCell ref="AL1041:AL1046"/>
    <mergeCell ref="AM1041:AM1046"/>
    <mergeCell ref="F1061:W1061"/>
    <mergeCell ref="AE1061:BB1061"/>
    <mergeCell ref="F1062:W1062"/>
    <mergeCell ref="AE1062:BB1062"/>
    <mergeCell ref="AL979:AL984"/>
    <mergeCell ref="AM979:AM984"/>
    <mergeCell ref="F999:W999"/>
    <mergeCell ref="AE999:BB999"/>
    <mergeCell ref="F1000:W1000"/>
    <mergeCell ref="AE1000:BB1000"/>
    <mergeCell ref="AL917:AL922"/>
    <mergeCell ref="AM917:AM922"/>
    <mergeCell ref="F937:W937"/>
    <mergeCell ref="AE937:BB937"/>
    <mergeCell ref="F938:W938"/>
    <mergeCell ref="AE938:BB938"/>
    <mergeCell ref="F1054:W1054"/>
    <mergeCell ref="AE1054:BB1054"/>
    <mergeCell ref="F1055:W1055"/>
    <mergeCell ref="AE1055:BB1055"/>
    <mergeCell ref="F1056:W1056"/>
    <mergeCell ref="AE1056:BB1056"/>
    <mergeCell ref="F1051:W1051"/>
    <mergeCell ref="AE1051:BB1051"/>
    <mergeCell ref="F1029:W1029"/>
    <mergeCell ref="AE1029:BB1029"/>
    <mergeCell ref="AE1023:BB1023"/>
    <mergeCell ref="F1024:W1024"/>
    <mergeCell ref="F1243:W1243"/>
    <mergeCell ref="AE1243:BB1243"/>
    <mergeCell ref="F1052:W1052"/>
    <mergeCell ref="AE1052:BB1052"/>
    <mergeCell ref="F1053:W1053"/>
    <mergeCell ref="AE1053:BB1053"/>
    <mergeCell ref="AJ390:AJ395"/>
    <mergeCell ref="AK390:AK395"/>
    <mergeCell ref="AL390:AL395"/>
    <mergeCell ref="AM390:AM395"/>
    <mergeCell ref="AL476:AL481"/>
    <mergeCell ref="AM476:AM481"/>
    <mergeCell ref="AG483:AG488"/>
    <mergeCell ref="AH483:AH488"/>
    <mergeCell ref="AI483:AI488"/>
    <mergeCell ref="AJ483:AJ488"/>
    <mergeCell ref="AK483:AK488"/>
    <mergeCell ref="AL483:AL488"/>
    <mergeCell ref="AM483:AM488"/>
    <mergeCell ref="AL445:AL450"/>
    <mergeCell ref="AM445:AM450"/>
    <mergeCell ref="AG452:AG457"/>
    <mergeCell ref="AH452:AH457"/>
    <mergeCell ref="AI452:AI457"/>
    <mergeCell ref="AJ452:AJ457"/>
    <mergeCell ref="AK452:AK457"/>
    <mergeCell ref="AL452:AL457"/>
    <mergeCell ref="AM452:AM457"/>
    <mergeCell ref="AH1041:AH1046"/>
    <mergeCell ref="AI1041:AI1046"/>
    <mergeCell ref="AJ1041:AJ1046"/>
    <mergeCell ref="AK1041:AK1046"/>
    <mergeCell ref="F1864:W1864"/>
    <mergeCell ref="AE1864:BB1864"/>
    <mergeCell ref="F1865:W1865"/>
    <mergeCell ref="AE1865:BB1865"/>
    <mergeCell ref="F1866:W1866"/>
    <mergeCell ref="F1867:W1867"/>
    <mergeCell ref="F1868:W1868"/>
    <mergeCell ref="AE1866:BB1866"/>
    <mergeCell ref="AE1867:BB1867"/>
    <mergeCell ref="F1861:W1861"/>
    <mergeCell ref="AE1861:BB1861"/>
    <mergeCell ref="F1862:W1862"/>
    <mergeCell ref="AE1862:BB1862"/>
    <mergeCell ref="F1863:W1863"/>
    <mergeCell ref="AE1863:BB1863"/>
    <mergeCell ref="F1858:W1858"/>
    <mergeCell ref="AE1858:BB1858"/>
    <mergeCell ref="F1859:W1859"/>
    <mergeCell ref="AE1859:BB1859"/>
    <mergeCell ref="F1860:W1860"/>
    <mergeCell ref="AE1860:BB1860"/>
    <mergeCell ref="AE1868:BB1868"/>
    <mergeCell ref="F1857:W1857"/>
    <mergeCell ref="AE1857:BB1857"/>
    <mergeCell ref="AG1847:AG1852"/>
    <mergeCell ref="AH1847:AH1852"/>
    <mergeCell ref="AI1847:AI1852"/>
    <mergeCell ref="AJ1847:AJ1852"/>
    <mergeCell ref="AK1847:AK1852"/>
    <mergeCell ref="AL1847:AL1852"/>
    <mergeCell ref="AM1847:AM1852"/>
    <mergeCell ref="F1833:W1833"/>
    <mergeCell ref="AE1833:BB1833"/>
    <mergeCell ref="F1834:W1834"/>
    <mergeCell ref="AE1834:BB1834"/>
    <mergeCell ref="F1835:W1835"/>
    <mergeCell ref="AE1835:BB1835"/>
    <mergeCell ref="F1836:W1836"/>
    <mergeCell ref="AE1836:BB1836"/>
    <mergeCell ref="F1837:W1837"/>
    <mergeCell ref="AJ1840:AJ1845"/>
    <mergeCell ref="AK1840:AK1845"/>
    <mergeCell ref="AL1840:AL1845"/>
    <mergeCell ref="AM1840:AM1845"/>
    <mergeCell ref="AE1837:BB1837"/>
    <mergeCell ref="AG1840:AG1845"/>
    <mergeCell ref="AH1840:AH1845"/>
    <mergeCell ref="AI1840:AI1845"/>
    <mergeCell ref="AE1830:BB1830"/>
    <mergeCell ref="F1831:W1831"/>
    <mergeCell ref="AE1831:BB1831"/>
    <mergeCell ref="F1832:W1832"/>
    <mergeCell ref="AE1832:BB1832"/>
    <mergeCell ref="F1827:W1827"/>
    <mergeCell ref="AE1827:BB1827"/>
    <mergeCell ref="F1828:W1828"/>
    <mergeCell ref="AE1828:BB1828"/>
    <mergeCell ref="F1829:W1829"/>
    <mergeCell ref="AE1829:BB1829"/>
    <mergeCell ref="F1826:W1826"/>
    <mergeCell ref="AE1826:BB1826"/>
    <mergeCell ref="AG1816:AG1821"/>
    <mergeCell ref="AH1816:AH1821"/>
    <mergeCell ref="AI1816:AI1821"/>
    <mergeCell ref="AJ1816:AJ1821"/>
    <mergeCell ref="AK1816:AK1821"/>
    <mergeCell ref="AL1816:AL1821"/>
    <mergeCell ref="AM1816:AM1821"/>
    <mergeCell ref="AE1802:BB1802"/>
    <mergeCell ref="F1803:W1803"/>
    <mergeCell ref="AE1803:BB1803"/>
    <mergeCell ref="F1804:W1804"/>
    <mergeCell ref="AE1804:BB1804"/>
    <mergeCell ref="F1805:W1805"/>
    <mergeCell ref="F1806:W1806"/>
    <mergeCell ref="AE1805:BB1805"/>
    <mergeCell ref="F1799:W1799"/>
    <mergeCell ref="AE1799:BB1799"/>
    <mergeCell ref="F1800:W1800"/>
    <mergeCell ref="AE1800:BB1800"/>
    <mergeCell ref="F1801:W1801"/>
    <mergeCell ref="AE1801:BB1801"/>
    <mergeCell ref="F1796:W1796"/>
    <mergeCell ref="AE1796:BB1796"/>
    <mergeCell ref="F1797:W1797"/>
    <mergeCell ref="AE1797:BB1797"/>
    <mergeCell ref="F1798:W1798"/>
    <mergeCell ref="AE1798:BB1798"/>
    <mergeCell ref="AE1806:BB1806"/>
    <mergeCell ref="AE1795:BB1795"/>
    <mergeCell ref="AG1785:AG1790"/>
    <mergeCell ref="AH1785:AH1790"/>
    <mergeCell ref="AI1785:AI1790"/>
    <mergeCell ref="AJ1785:AJ1790"/>
    <mergeCell ref="AK1785:AK1790"/>
    <mergeCell ref="AL1785:AL1790"/>
    <mergeCell ref="AM1785:AM1790"/>
    <mergeCell ref="F1771:W1771"/>
    <mergeCell ref="AE1771:BB1771"/>
    <mergeCell ref="F1772:W1772"/>
    <mergeCell ref="AE1772:BB1772"/>
    <mergeCell ref="F1773:W1773"/>
    <mergeCell ref="AE1773:BB1773"/>
    <mergeCell ref="F1774:W1774"/>
    <mergeCell ref="AE1774:BB1774"/>
    <mergeCell ref="F1775:W1775"/>
    <mergeCell ref="AE1775:BB1775"/>
    <mergeCell ref="AG1778:AG1783"/>
    <mergeCell ref="AH1778:AH1783"/>
    <mergeCell ref="AI1778:AI1783"/>
    <mergeCell ref="AJ1778:AJ1783"/>
    <mergeCell ref="AK1778:AK1783"/>
    <mergeCell ref="AL1778:AL1783"/>
    <mergeCell ref="AM1778:AM1783"/>
    <mergeCell ref="J1778:J1783"/>
    <mergeCell ref="J1785:J1790"/>
    <mergeCell ref="AE1768:BB1768"/>
    <mergeCell ref="F1769:W1769"/>
    <mergeCell ref="AE1769:BB1769"/>
    <mergeCell ref="F1770:W1770"/>
    <mergeCell ref="AE1770:BB1770"/>
    <mergeCell ref="F1765:W1765"/>
    <mergeCell ref="AE1765:BB1765"/>
    <mergeCell ref="F1766:W1766"/>
    <mergeCell ref="AE1766:BB1766"/>
    <mergeCell ref="F1767:W1767"/>
    <mergeCell ref="AE1767:BB1767"/>
    <mergeCell ref="F1764:W1764"/>
    <mergeCell ref="AE1764:BB1764"/>
    <mergeCell ref="AG1754:AG1759"/>
    <mergeCell ref="AH1754:AH1759"/>
    <mergeCell ref="AI1754:AI1759"/>
    <mergeCell ref="AJ1754:AJ1759"/>
    <mergeCell ref="AK1754:AK1759"/>
    <mergeCell ref="AL1754:AL1759"/>
    <mergeCell ref="AM1754:AM1759"/>
    <mergeCell ref="J1754:J1759"/>
    <mergeCell ref="AE1740:BB1740"/>
    <mergeCell ref="F1741:W1741"/>
    <mergeCell ref="AE1741:BB1741"/>
    <mergeCell ref="F1742:W1742"/>
    <mergeCell ref="AE1742:BB1742"/>
    <mergeCell ref="F1743:W1743"/>
    <mergeCell ref="F1744:W1744"/>
    <mergeCell ref="AE1743:BB1743"/>
    <mergeCell ref="F1737:W1737"/>
    <mergeCell ref="AE1737:BB1737"/>
    <mergeCell ref="F1738:W1738"/>
    <mergeCell ref="AE1738:BB1738"/>
    <mergeCell ref="F1739:W1739"/>
    <mergeCell ref="AE1739:BB1739"/>
    <mergeCell ref="F1734:W1734"/>
    <mergeCell ref="AE1734:BB1734"/>
    <mergeCell ref="F1735:W1735"/>
    <mergeCell ref="AE1735:BB1735"/>
    <mergeCell ref="F1736:W1736"/>
    <mergeCell ref="AE1736:BB1736"/>
    <mergeCell ref="AE1733:BB1733"/>
    <mergeCell ref="AG1723:AG1728"/>
    <mergeCell ref="AH1723:AH1728"/>
    <mergeCell ref="AI1723:AI1728"/>
    <mergeCell ref="AJ1723:AJ1728"/>
    <mergeCell ref="AK1723:AK1728"/>
    <mergeCell ref="AL1723:AL1728"/>
    <mergeCell ref="AM1723:AM1728"/>
    <mergeCell ref="F1709:W1709"/>
    <mergeCell ref="AE1709:BB1709"/>
    <mergeCell ref="F1710:W1710"/>
    <mergeCell ref="AE1710:BB1710"/>
    <mergeCell ref="F1711:W1711"/>
    <mergeCell ref="AE1711:BB1711"/>
    <mergeCell ref="F1712:W1712"/>
    <mergeCell ref="AE1712:BB1712"/>
    <mergeCell ref="F1713:W1713"/>
    <mergeCell ref="AE1713:BB1713"/>
    <mergeCell ref="AG1716:AG1721"/>
    <mergeCell ref="AH1716:AH1721"/>
    <mergeCell ref="AI1716:AI1721"/>
    <mergeCell ref="AJ1716:AJ1721"/>
    <mergeCell ref="AK1716:AK1721"/>
    <mergeCell ref="AL1716:AL1721"/>
    <mergeCell ref="AM1716:AM1721"/>
    <mergeCell ref="AE1673:BB1673"/>
    <mergeCell ref="F1673:W1673"/>
    <mergeCell ref="F1706:W1706"/>
    <mergeCell ref="AE1706:BB1706"/>
    <mergeCell ref="F1707:W1707"/>
    <mergeCell ref="AE1707:BB1707"/>
    <mergeCell ref="F1708:W1708"/>
    <mergeCell ref="AE1708:BB1708"/>
    <mergeCell ref="F1703:W1703"/>
    <mergeCell ref="AE1703:BB1703"/>
    <mergeCell ref="F1704:W1704"/>
    <mergeCell ref="AE1704:BB1704"/>
    <mergeCell ref="F1705:W1705"/>
    <mergeCell ref="AE1705:BB1705"/>
    <mergeCell ref="F1702:W1702"/>
    <mergeCell ref="AE1702:BB1702"/>
    <mergeCell ref="AG1692:AG1697"/>
    <mergeCell ref="AH1692:AH1697"/>
    <mergeCell ref="AI1692:AI1697"/>
    <mergeCell ref="AJ1692:AJ1697"/>
    <mergeCell ref="AK1692:AK1697"/>
    <mergeCell ref="AL1692:AL1697"/>
    <mergeCell ref="AM1692:AM1697"/>
    <mergeCell ref="F1680:W1680"/>
    <mergeCell ref="AE1680:BB1680"/>
    <mergeCell ref="F1681:W1681"/>
    <mergeCell ref="AE1681:BB1681"/>
    <mergeCell ref="AL1661:AL1666"/>
    <mergeCell ref="AM1661:AM1666"/>
    <mergeCell ref="AH1661:AH1666"/>
    <mergeCell ref="AE1649:BB1649"/>
    <mergeCell ref="F1650:W1650"/>
    <mergeCell ref="AE1650:BB1650"/>
    <mergeCell ref="F1651:W1651"/>
    <mergeCell ref="F1682:W1682"/>
    <mergeCell ref="AE1682:BB1682"/>
    <mergeCell ref="AL1685:AL1690"/>
    <mergeCell ref="AM1685:AM1690"/>
    <mergeCell ref="F1676:W1676"/>
    <mergeCell ref="AE1676:BB1676"/>
    <mergeCell ref="F1677:W1677"/>
    <mergeCell ref="AE1677:BB1677"/>
    <mergeCell ref="F1678:W1678"/>
    <mergeCell ref="AE1678:BB1678"/>
    <mergeCell ref="F1674:W1674"/>
    <mergeCell ref="AE1674:BB1674"/>
    <mergeCell ref="F1675:W1675"/>
    <mergeCell ref="AE1675:BB1675"/>
    <mergeCell ref="F1671:W1671"/>
    <mergeCell ref="AE1671:BB1671"/>
    <mergeCell ref="F1672:W1672"/>
    <mergeCell ref="AE1672:BB1672"/>
    <mergeCell ref="F1679:W1679"/>
    <mergeCell ref="AE1679:BB1679"/>
    <mergeCell ref="AI1685:AI1690"/>
    <mergeCell ref="AJ1685:AJ1690"/>
    <mergeCell ref="AK1685:AK1690"/>
    <mergeCell ref="AG1685:AG1690"/>
    <mergeCell ref="AH1685:AH1690"/>
    <mergeCell ref="AE1642:BB1642"/>
    <mergeCell ref="F1643:W1643"/>
    <mergeCell ref="AE1643:BB1643"/>
    <mergeCell ref="F1644:W1644"/>
    <mergeCell ref="AE1644:BB1644"/>
    <mergeCell ref="F1640:W1640"/>
    <mergeCell ref="AE1640:BB1640"/>
    <mergeCell ref="F1641:W1641"/>
    <mergeCell ref="AE1641:BB1641"/>
    <mergeCell ref="AG1630:AG1635"/>
    <mergeCell ref="AH1630:AH1635"/>
    <mergeCell ref="AI1630:AI1635"/>
    <mergeCell ref="AJ1630:AJ1635"/>
    <mergeCell ref="AK1630:AK1635"/>
    <mergeCell ref="AL1630:AL1635"/>
    <mergeCell ref="AM1630:AM1635"/>
    <mergeCell ref="AG1654:AG1659"/>
    <mergeCell ref="AH1654:AH1659"/>
    <mergeCell ref="AI1654:AI1659"/>
    <mergeCell ref="AJ1654:AJ1659"/>
    <mergeCell ref="AK1654:AK1659"/>
    <mergeCell ref="AL1654:AL1659"/>
    <mergeCell ref="AM1654:AM1659"/>
    <mergeCell ref="F1645:W1645"/>
    <mergeCell ref="AE1645:BB1645"/>
    <mergeCell ref="F1646:W1646"/>
    <mergeCell ref="AE1646:BB1646"/>
    <mergeCell ref="F1647:W1647"/>
    <mergeCell ref="AE1647:BB1647"/>
    <mergeCell ref="F1648:W1648"/>
    <mergeCell ref="AE1648:BB1648"/>
    <mergeCell ref="F1649:W1649"/>
    <mergeCell ref="AG1623:AG1628"/>
    <mergeCell ref="AH1623:AH1628"/>
    <mergeCell ref="AI1623:AI1628"/>
    <mergeCell ref="AJ1623:AJ1628"/>
    <mergeCell ref="AK1623:AK1628"/>
    <mergeCell ref="F1617:W1617"/>
    <mergeCell ref="AE1617:BB1617"/>
    <mergeCell ref="F1620:W1620"/>
    <mergeCell ref="AE1620:BB1620"/>
    <mergeCell ref="AL1623:AL1628"/>
    <mergeCell ref="AM1623:AM1628"/>
    <mergeCell ref="F1614:W1614"/>
    <mergeCell ref="AE1614:BB1614"/>
    <mergeCell ref="F1615:W1615"/>
    <mergeCell ref="AE1615:BB1615"/>
    <mergeCell ref="F1616:W1616"/>
    <mergeCell ref="AE1616:BB1616"/>
    <mergeCell ref="J1623:J1628"/>
    <mergeCell ref="F1618:W1618"/>
    <mergeCell ref="AE1618:BB1618"/>
    <mergeCell ref="F1619:W1619"/>
    <mergeCell ref="AE1619:BB1619"/>
    <mergeCell ref="F1611:W1611"/>
    <mergeCell ref="AE1611:BB1611"/>
    <mergeCell ref="F1612:W1612"/>
    <mergeCell ref="AE1612:BB1612"/>
    <mergeCell ref="F1613:W1613"/>
    <mergeCell ref="AE1613:BB1613"/>
    <mergeCell ref="F1609:W1609"/>
    <mergeCell ref="AE1609:BB1609"/>
    <mergeCell ref="F1610:W1610"/>
    <mergeCell ref="AE1610:BB1610"/>
    <mergeCell ref="AG1592:AG1597"/>
    <mergeCell ref="AH1592:AH1597"/>
    <mergeCell ref="AI1592:AI1597"/>
    <mergeCell ref="AJ1592:AJ1597"/>
    <mergeCell ref="AK1592:AK1597"/>
    <mergeCell ref="AL1592:AL1597"/>
    <mergeCell ref="AM1592:AM1597"/>
    <mergeCell ref="AG1599:AG1604"/>
    <mergeCell ref="AH1599:AH1604"/>
    <mergeCell ref="AI1599:AI1604"/>
    <mergeCell ref="AJ1599:AJ1604"/>
    <mergeCell ref="AK1599:AK1604"/>
    <mergeCell ref="J1592:J1597"/>
    <mergeCell ref="J1599:J1604"/>
    <mergeCell ref="AL1599:AL1604"/>
    <mergeCell ref="AM1599:AM1604"/>
    <mergeCell ref="F1586:W1586"/>
    <mergeCell ref="AE1586:BB1586"/>
    <mergeCell ref="F1587:W1587"/>
    <mergeCell ref="AE1587:BB1587"/>
    <mergeCell ref="F1588:W1588"/>
    <mergeCell ref="AE1588:BB1588"/>
    <mergeCell ref="F1589:W1589"/>
    <mergeCell ref="AE1589:BB1589"/>
    <mergeCell ref="F1583:W1583"/>
    <mergeCell ref="AE1583:BB1583"/>
    <mergeCell ref="F1584:W1584"/>
    <mergeCell ref="AE1584:BB1584"/>
    <mergeCell ref="F1585:W1585"/>
    <mergeCell ref="AE1585:BB1585"/>
    <mergeCell ref="F1580:W1580"/>
    <mergeCell ref="AE1580:BB1580"/>
    <mergeCell ref="F1581:W1581"/>
    <mergeCell ref="AE1581:BB1581"/>
    <mergeCell ref="F1582:W1582"/>
    <mergeCell ref="AE1582:BB1582"/>
    <mergeCell ref="F1578:W1578"/>
    <mergeCell ref="AE1578:BB1578"/>
    <mergeCell ref="F1579:W1579"/>
    <mergeCell ref="AE1579:BB1579"/>
    <mergeCell ref="AG1568:AG1573"/>
    <mergeCell ref="AH1568:AH1573"/>
    <mergeCell ref="AI1568:AI1573"/>
    <mergeCell ref="AJ1568:AJ1573"/>
    <mergeCell ref="AK1568:AK1573"/>
    <mergeCell ref="AL1568:AL1573"/>
    <mergeCell ref="AM1568:AM1573"/>
    <mergeCell ref="AG1561:AG1566"/>
    <mergeCell ref="AH1561:AH1566"/>
    <mergeCell ref="AI1561:AI1566"/>
    <mergeCell ref="AJ1561:AJ1566"/>
    <mergeCell ref="AK1561:AK1566"/>
    <mergeCell ref="F1555:W1555"/>
    <mergeCell ref="AE1555:BB1555"/>
    <mergeCell ref="F1558:W1558"/>
    <mergeCell ref="AE1558:BB1558"/>
    <mergeCell ref="AL1561:AL1566"/>
    <mergeCell ref="AM1561:AM1566"/>
    <mergeCell ref="J1561:J1566"/>
    <mergeCell ref="J1568:J1573"/>
    <mergeCell ref="F1556:W1556"/>
    <mergeCell ref="AE1556:BB1556"/>
    <mergeCell ref="F1557:W1557"/>
    <mergeCell ref="AE1557:BB1557"/>
    <mergeCell ref="F1552:W1552"/>
    <mergeCell ref="AE1552:BB1552"/>
    <mergeCell ref="F1553:W1553"/>
    <mergeCell ref="AE1553:BB1553"/>
    <mergeCell ref="F1554:W1554"/>
    <mergeCell ref="AE1554:BB1554"/>
    <mergeCell ref="F1549:W1549"/>
    <mergeCell ref="AE1549:BB1549"/>
    <mergeCell ref="F1550:W1550"/>
    <mergeCell ref="AE1550:BB1550"/>
    <mergeCell ref="F1551:W1551"/>
    <mergeCell ref="AE1551:BB1551"/>
    <mergeCell ref="F1547:W1547"/>
    <mergeCell ref="AE1547:BB1547"/>
    <mergeCell ref="F1548:W1548"/>
    <mergeCell ref="AE1548:BB1548"/>
    <mergeCell ref="AG1530:AG1535"/>
    <mergeCell ref="AH1530:AH1535"/>
    <mergeCell ref="AI1530:AI1535"/>
    <mergeCell ref="AJ1530:AJ1535"/>
    <mergeCell ref="AK1530:AK1535"/>
    <mergeCell ref="AL1530:AL1535"/>
    <mergeCell ref="AM1530:AM1535"/>
    <mergeCell ref="AG1537:AG1542"/>
    <mergeCell ref="AH1537:AH1542"/>
    <mergeCell ref="AI1537:AI1542"/>
    <mergeCell ref="AJ1537:AJ1542"/>
    <mergeCell ref="AK1537:AK1542"/>
    <mergeCell ref="J1530:J1535"/>
    <mergeCell ref="J1537:J1542"/>
    <mergeCell ref="AL1537:AL1542"/>
    <mergeCell ref="AM1537:AM1542"/>
    <mergeCell ref="F1524:W1524"/>
    <mergeCell ref="AE1524:BB1524"/>
    <mergeCell ref="F1525:W1525"/>
    <mergeCell ref="AE1525:BB1525"/>
    <mergeCell ref="F1526:W1526"/>
    <mergeCell ref="AE1526:BB1526"/>
    <mergeCell ref="F1527:W1527"/>
    <mergeCell ref="AE1527:BB1527"/>
    <mergeCell ref="F1521:W1521"/>
    <mergeCell ref="AE1521:BB1521"/>
    <mergeCell ref="F1522:W1522"/>
    <mergeCell ref="AE1522:BB1522"/>
    <mergeCell ref="F1523:W1523"/>
    <mergeCell ref="AE1523:BB1523"/>
    <mergeCell ref="F1518:W1518"/>
    <mergeCell ref="AE1518:BB1518"/>
    <mergeCell ref="F1519:W1519"/>
    <mergeCell ref="AE1519:BB1519"/>
    <mergeCell ref="F1520:W1520"/>
    <mergeCell ref="AE1520:BB1520"/>
    <mergeCell ref="F1516:W1516"/>
    <mergeCell ref="AE1516:BB1516"/>
    <mergeCell ref="F1517:W1517"/>
    <mergeCell ref="AE1517:BB1517"/>
    <mergeCell ref="AG1506:AG1511"/>
    <mergeCell ref="AH1506:AH1511"/>
    <mergeCell ref="AI1506:AI1511"/>
    <mergeCell ref="AJ1506:AJ1511"/>
    <mergeCell ref="AK1506:AK1511"/>
    <mergeCell ref="AL1506:AL1511"/>
    <mergeCell ref="AM1506:AM1511"/>
    <mergeCell ref="AG1499:AG1504"/>
    <mergeCell ref="AH1499:AH1504"/>
    <mergeCell ref="AI1499:AI1504"/>
    <mergeCell ref="AJ1499:AJ1504"/>
    <mergeCell ref="AK1499:AK1504"/>
    <mergeCell ref="F1493:W1493"/>
    <mergeCell ref="AE1493:BB1493"/>
    <mergeCell ref="F1496:W1496"/>
    <mergeCell ref="AE1496:BB1496"/>
    <mergeCell ref="AL1499:AL1504"/>
    <mergeCell ref="AM1499:AM1504"/>
    <mergeCell ref="F1495:W1495"/>
    <mergeCell ref="AE1495:BB1495"/>
    <mergeCell ref="J1506:J1511"/>
    <mergeCell ref="J1499:J1504"/>
    <mergeCell ref="F1494:W1494"/>
    <mergeCell ref="AE1494:BB1494"/>
    <mergeCell ref="AE1490:BB1490"/>
    <mergeCell ref="F1491:W1491"/>
    <mergeCell ref="AE1491:BB1491"/>
    <mergeCell ref="F1492:W1492"/>
    <mergeCell ref="AE1492:BB1492"/>
    <mergeCell ref="F1487:W1487"/>
    <mergeCell ref="AE1487:BB1487"/>
    <mergeCell ref="F1488:W1488"/>
    <mergeCell ref="AE1488:BB1488"/>
    <mergeCell ref="F1489:W1489"/>
    <mergeCell ref="AE1489:BB1489"/>
    <mergeCell ref="F1485:W1485"/>
    <mergeCell ref="AE1485:BB1485"/>
    <mergeCell ref="F1486:W1486"/>
    <mergeCell ref="AE1486:BB1486"/>
    <mergeCell ref="AG1468:AG1473"/>
    <mergeCell ref="AH1468:AH1473"/>
    <mergeCell ref="AI1468:AI1473"/>
    <mergeCell ref="AJ1468:AJ1473"/>
    <mergeCell ref="AK1468:AK1473"/>
    <mergeCell ref="AL1468:AL1473"/>
    <mergeCell ref="AM1468:AM1473"/>
    <mergeCell ref="AG1475:AG1480"/>
    <mergeCell ref="AH1475:AH1480"/>
    <mergeCell ref="AI1475:AI1480"/>
    <mergeCell ref="AJ1475:AJ1480"/>
    <mergeCell ref="AK1475:AK1480"/>
    <mergeCell ref="J1468:J1473"/>
    <mergeCell ref="J1475:J1480"/>
    <mergeCell ref="F1490:W1490"/>
    <mergeCell ref="AL1475:AL1480"/>
    <mergeCell ref="AM1475:AM1480"/>
    <mergeCell ref="AE1462:BB1462"/>
    <mergeCell ref="F1463:W1463"/>
    <mergeCell ref="AE1463:BB1463"/>
    <mergeCell ref="F1464:W1464"/>
    <mergeCell ref="AE1464:BB1464"/>
    <mergeCell ref="F1465:W1465"/>
    <mergeCell ref="AE1465:BB1465"/>
    <mergeCell ref="F1459:W1459"/>
    <mergeCell ref="AE1459:BB1459"/>
    <mergeCell ref="F1460:W1460"/>
    <mergeCell ref="AE1460:BB1460"/>
    <mergeCell ref="F1461:W1461"/>
    <mergeCell ref="AE1461:BB1461"/>
    <mergeCell ref="F1456:W1456"/>
    <mergeCell ref="AE1456:BB1456"/>
    <mergeCell ref="F1457:W1457"/>
    <mergeCell ref="AE1457:BB1457"/>
    <mergeCell ref="F1458:W1458"/>
    <mergeCell ref="AE1458:BB1458"/>
    <mergeCell ref="F1462:W1462"/>
    <mergeCell ref="AE1454:BB1454"/>
    <mergeCell ref="F1455:W1455"/>
    <mergeCell ref="AE1455:BB1455"/>
    <mergeCell ref="AG1444:AG1449"/>
    <mergeCell ref="AH1444:AH1449"/>
    <mergeCell ref="AI1444:AI1449"/>
    <mergeCell ref="AJ1444:AJ1449"/>
    <mergeCell ref="AK1444:AK1449"/>
    <mergeCell ref="AL1444:AL1449"/>
    <mergeCell ref="AM1444:AM1449"/>
    <mergeCell ref="AG1437:AG1442"/>
    <mergeCell ref="AH1437:AH1442"/>
    <mergeCell ref="AI1437:AI1442"/>
    <mergeCell ref="AJ1437:AJ1442"/>
    <mergeCell ref="AK1437:AK1442"/>
    <mergeCell ref="F1431:W1431"/>
    <mergeCell ref="AE1431:BB1431"/>
    <mergeCell ref="F1434:W1434"/>
    <mergeCell ref="AE1434:BB1434"/>
    <mergeCell ref="AL1437:AL1442"/>
    <mergeCell ref="AM1437:AM1442"/>
    <mergeCell ref="F1433:W1433"/>
    <mergeCell ref="AE1433:BB1433"/>
    <mergeCell ref="J1437:J1442"/>
    <mergeCell ref="J1444:J1449"/>
    <mergeCell ref="F1454:W1454"/>
    <mergeCell ref="F1432:W1432"/>
    <mergeCell ref="AE1432:BB1432"/>
    <mergeCell ref="F1400:W1400"/>
    <mergeCell ref="AE1400:BB1400"/>
    <mergeCell ref="F1401:W1401"/>
    <mergeCell ref="AE1401:BB1401"/>
    <mergeCell ref="F1402:W1402"/>
    <mergeCell ref="AE1402:BB1402"/>
    <mergeCell ref="F1403:W1403"/>
    <mergeCell ref="AE1403:BB1403"/>
    <mergeCell ref="J1406:J1411"/>
    <mergeCell ref="J1413:J1418"/>
    <mergeCell ref="F1424:W1424"/>
    <mergeCell ref="F1423:W1423"/>
    <mergeCell ref="AE1423:BB1423"/>
    <mergeCell ref="AE1397:BB1397"/>
    <mergeCell ref="F1398:W1398"/>
    <mergeCell ref="AE1398:BB1398"/>
    <mergeCell ref="F1399:W1399"/>
    <mergeCell ref="AE1399:BB1399"/>
    <mergeCell ref="F1397:W1397"/>
    <mergeCell ref="AL1413:AL1418"/>
    <mergeCell ref="AM1413:AM1418"/>
    <mergeCell ref="F1394:W1394"/>
    <mergeCell ref="AE1394:BB1394"/>
    <mergeCell ref="F1395:W1395"/>
    <mergeCell ref="AE1395:BB1395"/>
    <mergeCell ref="F1396:W1396"/>
    <mergeCell ref="AE1396:BB1396"/>
    <mergeCell ref="F1392:W1392"/>
    <mergeCell ref="AE1392:BB1392"/>
    <mergeCell ref="F1393:W1393"/>
    <mergeCell ref="AE1393:BB1393"/>
    <mergeCell ref="AG1382:AG1387"/>
    <mergeCell ref="AH1382:AH1387"/>
    <mergeCell ref="AI1382:AI1387"/>
    <mergeCell ref="AJ1382:AJ1387"/>
    <mergeCell ref="AK1382:AK1387"/>
    <mergeCell ref="AL1382:AL1387"/>
    <mergeCell ref="AM1382:AM1387"/>
    <mergeCell ref="J1382:J1387"/>
    <mergeCell ref="AG1375:AG1380"/>
    <mergeCell ref="AH1375:AH1380"/>
    <mergeCell ref="AI1375:AI1380"/>
    <mergeCell ref="AJ1375:AJ1380"/>
    <mergeCell ref="AK1375:AK1380"/>
    <mergeCell ref="F1369:W1369"/>
    <mergeCell ref="AE1369:BB1369"/>
    <mergeCell ref="F1372:W1372"/>
    <mergeCell ref="AE1372:BB1372"/>
    <mergeCell ref="AL1375:AL1380"/>
    <mergeCell ref="AM1375:AM1380"/>
    <mergeCell ref="F1366:W1366"/>
    <mergeCell ref="AE1366:BB1366"/>
    <mergeCell ref="F1367:W1367"/>
    <mergeCell ref="AE1367:BB1367"/>
    <mergeCell ref="F1368:W1368"/>
    <mergeCell ref="AE1368:BB1368"/>
    <mergeCell ref="J1375:J1380"/>
    <mergeCell ref="F1370:W1370"/>
    <mergeCell ref="AE1370:BB1370"/>
    <mergeCell ref="F1371:W1371"/>
    <mergeCell ref="AE1371:BB1371"/>
    <mergeCell ref="F1363:W1363"/>
    <mergeCell ref="AE1363:BB1363"/>
    <mergeCell ref="F1364:W1364"/>
    <mergeCell ref="AE1364:BB1364"/>
    <mergeCell ref="F1365:W1365"/>
    <mergeCell ref="AE1365:BB1365"/>
    <mergeCell ref="F1361:W1361"/>
    <mergeCell ref="AE1361:BB1361"/>
    <mergeCell ref="F1362:W1362"/>
    <mergeCell ref="AE1362:BB1362"/>
    <mergeCell ref="AG1344:AG1349"/>
    <mergeCell ref="AH1344:AH1349"/>
    <mergeCell ref="AI1344:AI1349"/>
    <mergeCell ref="AJ1344:AJ1349"/>
    <mergeCell ref="AK1344:AK1349"/>
    <mergeCell ref="AL1344:AL1349"/>
    <mergeCell ref="AM1344:AM1349"/>
    <mergeCell ref="AG1351:AG1356"/>
    <mergeCell ref="AH1351:AH1356"/>
    <mergeCell ref="AI1351:AI1356"/>
    <mergeCell ref="AJ1351:AJ1356"/>
    <mergeCell ref="AK1351:AK1356"/>
    <mergeCell ref="J1344:J1349"/>
    <mergeCell ref="J1351:J1356"/>
    <mergeCell ref="AL1351:AL1356"/>
    <mergeCell ref="AM1351:AM1356"/>
    <mergeCell ref="F1338:W1338"/>
    <mergeCell ref="AE1338:BB1338"/>
    <mergeCell ref="F1339:W1339"/>
    <mergeCell ref="AE1339:BB1339"/>
    <mergeCell ref="F1340:W1340"/>
    <mergeCell ref="AE1340:BB1340"/>
    <mergeCell ref="F1341:W1341"/>
    <mergeCell ref="AE1341:BB1341"/>
    <mergeCell ref="F1335:W1335"/>
    <mergeCell ref="AE1335:BB1335"/>
    <mergeCell ref="F1336:W1336"/>
    <mergeCell ref="AE1336:BB1336"/>
    <mergeCell ref="F1337:W1337"/>
    <mergeCell ref="AE1337:BB1337"/>
    <mergeCell ref="F1332:W1332"/>
    <mergeCell ref="AE1332:BB1332"/>
    <mergeCell ref="F1333:W1333"/>
    <mergeCell ref="AE1333:BB1333"/>
    <mergeCell ref="F1334:W1334"/>
    <mergeCell ref="AE1334:BB1334"/>
    <mergeCell ref="F1330:W1330"/>
    <mergeCell ref="AE1330:BB1330"/>
    <mergeCell ref="F1331:W1331"/>
    <mergeCell ref="AE1331:BB1331"/>
    <mergeCell ref="AG1320:AG1325"/>
    <mergeCell ref="AH1320:AH1325"/>
    <mergeCell ref="AI1320:AI1325"/>
    <mergeCell ref="AJ1320:AJ1325"/>
    <mergeCell ref="AK1320:AK1325"/>
    <mergeCell ref="AL1320:AL1325"/>
    <mergeCell ref="AM1320:AM1325"/>
    <mergeCell ref="AG1313:AG1318"/>
    <mergeCell ref="AH1313:AH1318"/>
    <mergeCell ref="AI1313:AI1318"/>
    <mergeCell ref="AJ1313:AJ1318"/>
    <mergeCell ref="AK1313:AK1318"/>
    <mergeCell ref="F1307:W1307"/>
    <mergeCell ref="AE1307:BB1307"/>
    <mergeCell ref="F1310:W1310"/>
    <mergeCell ref="AE1310:BB1310"/>
    <mergeCell ref="AL1313:AL1318"/>
    <mergeCell ref="AM1313:AM1318"/>
    <mergeCell ref="F1309:W1309"/>
    <mergeCell ref="AE1309:BB1309"/>
    <mergeCell ref="J1313:J1318"/>
    <mergeCell ref="J1320:J1325"/>
    <mergeCell ref="F1308:W1308"/>
    <mergeCell ref="AE1308:BB1308"/>
    <mergeCell ref="F1304:W1304"/>
    <mergeCell ref="AE1304:BB1304"/>
    <mergeCell ref="F1305:W1305"/>
    <mergeCell ref="AE1305:BB1305"/>
    <mergeCell ref="F1306:W1306"/>
    <mergeCell ref="AE1306:BB1306"/>
    <mergeCell ref="F1301:W1301"/>
    <mergeCell ref="AE1301:BB1301"/>
    <mergeCell ref="F1302:W1302"/>
    <mergeCell ref="AE1302:BB1302"/>
    <mergeCell ref="F1303:W1303"/>
    <mergeCell ref="AE1303:BB1303"/>
    <mergeCell ref="F1299:W1299"/>
    <mergeCell ref="AE1299:BB1299"/>
    <mergeCell ref="F1300:W1300"/>
    <mergeCell ref="AE1300:BB1300"/>
    <mergeCell ref="AG1282:AG1287"/>
    <mergeCell ref="AH1282:AH1287"/>
    <mergeCell ref="AI1282:AI1287"/>
    <mergeCell ref="AJ1282:AJ1287"/>
    <mergeCell ref="AK1282:AK1287"/>
    <mergeCell ref="AL1282:AL1287"/>
    <mergeCell ref="AM1282:AM1287"/>
    <mergeCell ref="AG1289:AG1294"/>
    <mergeCell ref="AH1289:AH1294"/>
    <mergeCell ref="AI1289:AI1294"/>
    <mergeCell ref="AJ1289:AJ1294"/>
    <mergeCell ref="AK1289:AK1294"/>
    <mergeCell ref="J1282:J1287"/>
    <mergeCell ref="J1289:J1294"/>
    <mergeCell ref="AL1289:AL1294"/>
    <mergeCell ref="AM1289:AM1294"/>
    <mergeCell ref="F1276:W1276"/>
    <mergeCell ref="AE1276:BB1276"/>
    <mergeCell ref="F1277:W1277"/>
    <mergeCell ref="AE1277:BB1277"/>
    <mergeCell ref="F1278:W1278"/>
    <mergeCell ref="AE1278:BB1278"/>
    <mergeCell ref="F1279:W1279"/>
    <mergeCell ref="AE1279:BB1279"/>
    <mergeCell ref="F1273:W1273"/>
    <mergeCell ref="AE1273:BB1273"/>
    <mergeCell ref="F1274:W1274"/>
    <mergeCell ref="AE1274:BB1274"/>
    <mergeCell ref="F1275:W1275"/>
    <mergeCell ref="AE1275:BB1275"/>
    <mergeCell ref="F1270:W1270"/>
    <mergeCell ref="AE1270:BB1270"/>
    <mergeCell ref="F1271:W1271"/>
    <mergeCell ref="AE1271:BB1271"/>
    <mergeCell ref="F1272:W1272"/>
    <mergeCell ref="AE1272:BB1272"/>
    <mergeCell ref="F1268:W1268"/>
    <mergeCell ref="AE1268:BB1268"/>
    <mergeCell ref="F1269:W1269"/>
    <mergeCell ref="AE1269:BB1269"/>
    <mergeCell ref="AG1258:AG1263"/>
    <mergeCell ref="AH1258:AH1263"/>
    <mergeCell ref="AI1258:AI1263"/>
    <mergeCell ref="AJ1258:AJ1263"/>
    <mergeCell ref="AK1258:AK1263"/>
    <mergeCell ref="AL1258:AL1263"/>
    <mergeCell ref="AM1258:AM1263"/>
    <mergeCell ref="AG1251:AG1256"/>
    <mergeCell ref="AH1251:AH1256"/>
    <mergeCell ref="AI1251:AI1256"/>
    <mergeCell ref="AJ1251:AJ1256"/>
    <mergeCell ref="AK1251:AK1256"/>
    <mergeCell ref="F1246:W1246"/>
    <mergeCell ref="AE1246:BB1246"/>
    <mergeCell ref="AL1251:AL1256"/>
    <mergeCell ref="AM1251:AM1256"/>
    <mergeCell ref="F1247:W1247"/>
    <mergeCell ref="AE1247:BB1247"/>
    <mergeCell ref="F1248:W1248"/>
    <mergeCell ref="AE1248:BB1248"/>
    <mergeCell ref="J1251:J1256"/>
    <mergeCell ref="J1258:J1263"/>
    <mergeCell ref="F1238:W1238"/>
    <mergeCell ref="AE1238:BB1238"/>
    <mergeCell ref="F1239:W1239"/>
    <mergeCell ref="AE1239:BB1239"/>
    <mergeCell ref="AG1220:AG1225"/>
    <mergeCell ref="AH1220:AH1225"/>
    <mergeCell ref="AI1220:AI1225"/>
    <mergeCell ref="AJ1220:AJ1225"/>
    <mergeCell ref="AK1220:AK1225"/>
    <mergeCell ref="AL1220:AL1225"/>
    <mergeCell ref="AM1220:AM1225"/>
    <mergeCell ref="AG1227:AG1232"/>
    <mergeCell ref="AH1227:AH1232"/>
    <mergeCell ref="AI1227:AI1232"/>
    <mergeCell ref="AJ1227:AJ1232"/>
    <mergeCell ref="AK1227:AK1232"/>
    <mergeCell ref="F1215:W1215"/>
    <mergeCell ref="AE1215:BB1215"/>
    <mergeCell ref="F1216:W1216"/>
    <mergeCell ref="AE1216:BB1216"/>
    <mergeCell ref="F1217:W1217"/>
    <mergeCell ref="AE1217:BB1217"/>
    <mergeCell ref="AL1227:AL1232"/>
    <mergeCell ref="AM1227:AM1232"/>
    <mergeCell ref="J1220:J1225"/>
    <mergeCell ref="J1227:J1232"/>
    <mergeCell ref="AE1212:BB1212"/>
    <mergeCell ref="F1213:W1213"/>
    <mergeCell ref="AE1213:BB1213"/>
    <mergeCell ref="F1214:W1214"/>
    <mergeCell ref="AE1214:BB1214"/>
    <mergeCell ref="F1209:W1209"/>
    <mergeCell ref="AE1209:BB1209"/>
    <mergeCell ref="F1210:W1210"/>
    <mergeCell ref="AE1210:BB1210"/>
    <mergeCell ref="F1211:W1211"/>
    <mergeCell ref="AE1211:BB1211"/>
    <mergeCell ref="F1206:W1206"/>
    <mergeCell ref="AE1206:BB1206"/>
    <mergeCell ref="F1207:W1207"/>
    <mergeCell ref="AE1207:BB1207"/>
    <mergeCell ref="F1208:W1208"/>
    <mergeCell ref="AE1208:BB1208"/>
    <mergeCell ref="F1212:W1212"/>
    <mergeCell ref="AG1196:AG1201"/>
    <mergeCell ref="AH1196:AH1201"/>
    <mergeCell ref="AI1196:AI1201"/>
    <mergeCell ref="AJ1196:AJ1201"/>
    <mergeCell ref="AK1196:AK1201"/>
    <mergeCell ref="AL1196:AL1201"/>
    <mergeCell ref="AM1196:AM1201"/>
    <mergeCell ref="AG1189:AG1194"/>
    <mergeCell ref="AH1189:AH1194"/>
    <mergeCell ref="AI1189:AI1194"/>
    <mergeCell ref="AJ1189:AJ1194"/>
    <mergeCell ref="AK1189:AK1194"/>
    <mergeCell ref="F1184:W1184"/>
    <mergeCell ref="AE1184:BB1184"/>
    <mergeCell ref="AL1189:AL1194"/>
    <mergeCell ref="AM1189:AM1194"/>
    <mergeCell ref="F1181:W1181"/>
    <mergeCell ref="AE1181:BB1181"/>
    <mergeCell ref="F1182:W1182"/>
    <mergeCell ref="AE1182:BB1182"/>
    <mergeCell ref="F1183:W1183"/>
    <mergeCell ref="AE1183:BB1183"/>
    <mergeCell ref="F1185:W1185"/>
    <mergeCell ref="AE1185:BB1185"/>
    <mergeCell ref="F1186:W1186"/>
    <mergeCell ref="AE1186:BB1186"/>
    <mergeCell ref="J1196:J1201"/>
    <mergeCell ref="AE1178:BB1178"/>
    <mergeCell ref="F1179:W1179"/>
    <mergeCell ref="AE1179:BB1179"/>
    <mergeCell ref="F1180:W1180"/>
    <mergeCell ref="AE1180:BB1180"/>
    <mergeCell ref="F1175:W1175"/>
    <mergeCell ref="AE1175:BB1175"/>
    <mergeCell ref="F1176:W1176"/>
    <mergeCell ref="AE1176:BB1176"/>
    <mergeCell ref="F1177:W1177"/>
    <mergeCell ref="AE1177:BB1177"/>
    <mergeCell ref="AG1158:AG1163"/>
    <mergeCell ref="AH1158:AH1163"/>
    <mergeCell ref="AI1158:AI1163"/>
    <mergeCell ref="AJ1158:AJ1163"/>
    <mergeCell ref="AK1158:AK1163"/>
    <mergeCell ref="AL1158:AL1163"/>
    <mergeCell ref="AM1158:AM1163"/>
    <mergeCell ref="AG1165:AG1170"/>
    <mergeCell ref="AH1165:AH1170"/>
    <mergeCell ref="AI1165:AI1170"/>
    <mergeCell ref="AJ1165:AJ1170"/>
    <mergeCell ref="AK1165:AK1170"/>
    <mergeCell ref="AL1165:AL1170"/>
    <mergeCell ref="AM1165:AM1170"/>
    <mergeCell ref="AE1153:BB1153"/>
    <mergeCell ref="F1154:W1154"/>
    <mergeCell ref="AE1154:BB1154"/>
    <mergeCell ref="F1155:W1155"/>
    <mergeCell ref="AE1155:BB1155"/>
    <mergeCell ref="F1150:W1150"/>
    <mergeCell ref="AE1150:BB1150"/>
    <mergeCell ref="F1151:W1151"/>
    <mergeCell ref="AE1151:BB1151"/>
    <mergeCell ref="F1152:W1152"/>
    <mergeCell ref="AE1152:BB1152"/>
    <mergeCell ref="F1147:W1147"/>
    <mergeCell ref="AE1147:BB1147"/>
    <mergeCell ref="F1148:W1148"/>
    <mergeCell ref="AE1148:BB1148"/>
    <mergeCell ref="F1149:W1149"/>
    <mergeCell ref="AE1149:BB1149"/>
    <mergeCell ref="AE1144:BB1144"/>
    <mergeCell ref="F1145:W1145"/>
    <mergeCell ref="AE1145:BB1145"/>
    <mergeCell ref="F1146:W1146"/>
    <mergeCell ref="AE1146:BB1146"/>
    <mergeCell ref="AG1134:AG1139"/>
    <mergeCell ref="AH1134:AH1139"/>
    <mergeCell ref="AI1134:AI1139"/>
    <mergeCell ref="AJ1134:AJ1139"/>
    <mergeCell ref="AK1134:AK1139"/>
    <mergeCell ref="AL1134:AL1139"/>
    <mergeCell ref="AM1134:AM1139"/>
    <mergeCell ref="AG1127:AG1132"/>
    <mergeCell ref="AH1127:AH1132"/>
    <mergeCell ref="AI1127:AI1132"/>
    <mergeCell ref="AJ1127:AJ1132"/>
    <mergeCell ref="AK1127:AK1132"/>
    <mergeCell ref="AE1122:BB1122"/>
    <mergeCell ref="AL1127:AL1132"/>
    <mergeCell ref="AM1127:AM1132"/>
    <mergeCell ref="F1119:W1119"/>
    <mergeCell ref="AE1119:BB1119"/>
    <mergeCell ref="F1120:W1120"/>
    <mergeCell ref="AE1120:BB1120"/>
    <mergeCell ref="F1121:W1121"/>
    <mergeCell ref="AE1121:BB1121"/>
    <mergeCell ref="F1116:W1116"/>
    <mergeCell ref="AE1116:BB1116"/>
    <mergeCell ref="F1117:W1117"/>
    <mergeCell ref="AE1117:BB1117"/>
    <mergeCell ref="F1118:W1118"/>
    <mergeCell ref="AE1118:BB1118"/>
    <mergeCell ref="F1113:W1113"/>
    <mergeCell ref="AE1113:BB1113"/>
    <mergeCell ref="F1114:W1114"/>
    <mergeCell ref="AE1114:BB1114"/>
    <mergeCell ref="F1115:W1115"/>
    <mergeCell ref="AE1115:BB1115"/>
    <mergeCell ref="F1123:W1123"/>
    <mergeCell ref="AE1123:BB1123"/>
    <mergeCell ref="F1124:W1124"/>
    <mergeCell ref="AE1124:BB1124"/>
    <mergeCell ref="AG1096:AG1101"/>
    <mergeCell ref="AH1096:AH1101"/>
    <mergeCell ref="AI1096:AI1101"/>
    <mergeCell ref="AJ1096:AJ1101"/>
    <mergeCell ref="AK1096:AK1101"/>
    <mergeCell ref="AL1096:AL1101"/>
    <mergeCell ref="AM1096:AM1101"/>
    <mergeCell ref="AG1103:AG1108"/>
    <mergeCell ref="AH1103:AH1108"/>
    <mergeCell ref="AI1103:AI1108"/>
    <mergeCell ref="AJ1103:AJ1108"/>
    <mergeCell ref="AK1103:AK1108"/>
    <mergeCell ref="F1091:W1091"/>
    <mergeCell ref="AE1091:BB1091"/>
    <mergeCell ref="F1092:W1092"/>
    <mergeCell ref="AE1092:BB1092"/>
    <mergeCell ref="F1093:W1093"/>
    <mergeCell ref="AE1093:BB1093"/>
    <mergeCell ref="AL1103:AL1108"/>
    <mergeCell ref="AM1103:AM1108"/>
    <mergeCell ref="J1096:J1101"/>
    <mergeCell ref="J1103:J1108"/>
    <mergeCell ref="AE1026:BB1026"/>
    <mergeCell ref="AE1088:BB1088"/>
    <mergeCell ref="F1089:W1089"/>
    <mergeCell ref="AE1089:BB1089"/>
    <mergeCell ref="F1090:W1090"/>
    <mergeCell ref="AE1090:BB1090"/>
    <mergeCell ref="F1085:W1085"/>
    <mergeCell ref="AE1085:BB1085"/>
    <mergeCell ref="F1086:W1086"/>
    <mergeCell ref="AE1086:BB1086"/>
    <mergeCell ref="F1087:W1087"/>
    <mergeCell ref="AE1087:BB1087"/>
    <mergeCell ref="F1082:W1082"/>
    <mergeCell ref="AE1082:BB1082"/>
    <mergeCell ref="F1083:W1083"/>
    <mergeCell ref="AE1083:BB1083"/>
    <mergeCell ref="F1084:W1084"/>
    <mergeCell ref="AE1084:BB1084"/>
    <mergeCell ref="AI1034:AI1039"/>
    <mergeCell ref="AJ1034:AJ1039"/>
    <mergeCell ref="AK1034:AK1039"/>
    <mergeCell ref="AL1034:AL1039"/>
    <mergeCell ref="AM1034:AM1039"/>
    <mergeCell ref="AG1072:AG1077"/>
    <mergeCell ref="AH1072:AH1077"/>
    <mergeCell ref="AI1072:AI1077"/>
    <mergeCell ref="AJ1072:AJ1077"/>
    <mergeCell ref="AK1072:AK1077"/>
    <mergeCell ref="AL1072:AL1077"/>
    <mergeCell ref="AM1072:AM1077"/>
    <mergeCell ref="AG1065:AG1070"/>
    <mergeCell ref="AH1065:AH1070"/>
    <mergeCell ref="AI1065:AI1070"/>
    <mergeCell ref="AJ1065:AJ1070"/>
    <mergeCell ref="AK1065:AK1070"/>
    <mergeCell ref="AH1034:AH1039"/>
    <mergeCell ref="AE1060:BB1060"/>
    <mergeCell ref="AL1065:AL1070"/>
    <mergeCell ref="AM1065:AM1070"/>
    <mergeCell ref="AE1057:BB1057"/>
    <mergeCell ref="AE1058:BB1058"/>
    <mergeCell ref="AE1059:BB1059"/>
    <mergeCell ref="AG1041:AG1046"/>
    <mergeCell ref="AG1034:AG1039"/>
    <mergeCell ref="AE1027:BB1027"/>
    <mergeCell ref="F1028:W1028"/>
    <mergeCell ref="AE1028:BB1028"/>
    <mergeCell ref="J1034:J1039"/>
    <mergeCell ref="J1041:J1046"/>
    <mergeCell ref="J1065:J1070"/>
    <mergeCell ref="AE1030:BB1030"/>
    <mergeCell ref="AE1031:BB1031"/>
    <mergeCell ref="AE1024:BB1024"/>
    <mergeCell ref="F1025:W1025"/>
    <mergeCell ref="F998:W998"/>
    <mergeCell ref="AE998:BB998"/>
    <mergeCell ref="AL1003:AL1008"/>
    <mergeCell ref="AM1003:AM1008"/>
    <mergeCell ref="F1020:W1020"/>
    <mergeCell ref="AE1020:BB1020"/>
    <mergeCell ref="F1021:W1021"/>
    <mergeCell ref="AE1021:BB1021"/>
    <mergeCell ref="F1022:W1022"/>
    <mergeCell ref="AE1022:BB1022"/>
    <mergeCell ref="AG1010:AG1015"/>
    <mergeCell ref="AH1010:AH1015"/>
    <mergeCell ref="AI1010:AI1015"/>
    <mergeCell ref="AJ1010:AJ1015"/>
    <mergeCell ref="AK1010:AK1015"/>
    <mergeCell ref="AL1010:AL1015"/>
    <mergeCell ref="AM1010:AM1015"/>
    <mergeCell ref="AG1003:AG1008"/>
    <mergeCell ref="AH1003:AH1008"/>
    <mergeCell ref="AI1003:AI1008"/>
    <mergeCell ref="J1003:J1008"/>
    <mergeCell ref="AJ1003:AJ1008"/>
    <mergeCell ref="J1010:J1015"/>
    <mergeCell ref="AK1003:AK1008"/>
    <mergeCell ref="AE1025:BB1025"/>
    <mergeCell ref="AE995:BB995"/>
    <mergeCell ref="F996:W996"/>
    <mergeCell ref="AE996:BB996"/>
    <mergeCell ref="F997:W997"/>
    <mergeCell ref="AE997:BB997"/>
    <mergeCell ref="F992:W992"/>
    <mergeCell ref="AE992:BB992"/>
    <mergeCell ref="F993:W993"/>
    <mergeCell ref="AE993:BB993"/>
    <mergeCell ref="F994:W994"/>
    <mergeCell ref="AE994:BB994"/>
    <mergeCell ref="F989:W989"/>
    <mergeCell ref="AE989:BB989"/>
    <mergeCell ref="F990:W990"/>
    <mergeCell ref="AE990:BB990"/>
    <mergeCell ref="F991:W991"/>
    <mergeCell ref="AE991:BB991"/>
    <mergeCell ref="AG972:AG977"/>
    <mergeCell ref="AH972:AH977"/>
    <mergeCell ref="AI972:AI977"/>
    <mergeCell ref="AJ972:AJ977"/>
    <mergeCell ref="AK972:AK977"/>
    <mergeCell ref="AL972:AL977"/>
    <mergeCell ref="AM972:AM977"/>
    <mergeCell ref="AG979:AG984"/>
    <mergeCell ref="AH979:AH984"/>
    <mergeCell ref="AI979:AI984"/>
    <mergeCell ref="AJ979:AJ984"/>
    <mergeCell ref="AK979:AK984"/>
    <mergeCell ref="F967:W967"/>
    <mergeCell ref="AE967:BB967"/>
    <mergeCell ref="F968:W968"/>
    <mergeCell ref="AE968:BB968"/>
    <mergeCell ref="F969:W969"/>
    <mergeCell ref="AE969:BB969"/>
    <mergeCell ref="J972:J977"/>
    <mergeCell ref="J979:J984"/>
    <mergeCell ref="AE964:BB964"/>
    <mergeCell ref="F965:W965"/>
    <mergeCell ref="AE965:BB965"/>
    <mergeCell ref="F966:W966"/>
    <mergeCell ref="AE966:BB966"/>
    <mergeCell ref="F961:W961"/>
    <mergeCell ref="AE961:BB961"/>
    <mergeCell ref="F962:W962"/>
    <mergeCell ref="AE962:BB962"/>
    <mergeCell ref="F963:W963"/>
    <mergeCell ref="AE963:BB963"/>
    <mergeCell ref="F958:W958"/>
    <mergeCell ref="AE958:BB958"/>
    <mergeCell ref="F959:W959"/>
    <mergeCell ref="AE959:BB959"/>
    <mergeCell ref="F960:W960"/>
    <mergeCell ref="AE960:BB960"/>
    <mergeCell ref="AG948:AG953"/>
    <mergeCell ref="AH948:AH953"/>
    <mergeCell ref="AI948:AI953"/>
    <mergeCell ref="AJ948:AJ953"/>
    <mergeCell ref="AK948:AK953"/>
    <mergeCell ref="AL948:AL953"/>
    <mergeCell ref="AM948:AM953"/>
    <mergeCell ref="AG941:AG946"/>
    <mergeCell ref="AH941:AH946"/>
    <mergeCell ref="AI941:AI946"/>
    <mergeCell ref="AJ941:AJ946"/>
    <mergeCell ref="AK941:AK946"/>
    <mergeCell ref="F936:W936"/>
    <mergeCell ref="AE936:BB936"/>
    <mergeCell ref="AL941:AL946"/>
    <mergeCell ref="AM941:AM946"/>
    <mergeCell ref="F933:W933"/>
    <mergeCell ref="AE933:BB933"/>
    <mergeCell ref="F934:W934"/>
    <mergeCell ref="AE934:BB934"/>
    <mergeCell ref="F935:W935"/>
    <mergeCell ref="AE935:BB935"/>
    <mergeCell ref="J941:J946"/>
    <mergeCell ref="J948:J953"/>
    <mergeCell ref="F930:W930"/>
    <mergeCell ref="AE930:BB930"/>
    <mergeCell ref="F931:W931"/>
    <mergeCell ref="AE931:BB931"/>
    <mergeCell ref="F932:W932"/>
    <mergeCell ref="AE932:BB932"/>
    <mergeCell ref="F927:W927"/>
    <mergeCell ref="AE927:BB927"/>
    <mergeCell ref="F928:W928"/>
    <mergeCell ref="AE928:BB928"/>
    <mergeCell ref="F929:W929"/>
    <mergeCell ref="AE929:BB929"/>
    <mergeCell ref="AG910:AG915"/>
    <mergeCell ref="AH910:AH915"/>
    <mergeCell ref="AI910:AI915"/>
    <mergeCell ref="AJ910:AJ915"/>
    <mergeCell ref="AK910:AK915"/>
    <mergeCell ref="AL910:AL915"/>
    <mergeCell ref="AM910:AM915"/>
    <mergeCell ref="AG917:AG922"/>
    <mergeCell ref="AH917:AH922"/>
    <mergeCell ref="AI917:AI922"/>
    <mergeCell ref="AJ917:AJ922"/>
    <mergeCell ref="AK917:AK922"/>
    <mergeCell ref="J910:J915"/>
    <mergeCell ref="J917:J922"/>
    <mergeCell ref="F905:W905"/>
    <mergeCell ref="AE905:BB905"/>
    <mergeCell ref="F906:W906"/>
    <mergeCell ref="AE906:BB906"/>
    <mergeCell ref="F907:W907"/>
    <mergeCell ref="AE907:BB907"/>
    <mergeCell ref="F902:W902"/>
    <mergeCell ref="AE902:BB902"/>
    <mergeCell ref="F903:W903"/>
    <mergeCell ref="AE903:BB903"/>
    <mergeCell ref="F904:W904"/>
    <mergeCell ref="AE904:BB904"/>
    <mergeCell ref="F899:W899"/>
    <mergeCell ref="AE899:BB899"/>
    <mergeCell ref="F900:W900"/>
    <mergeCell ref="AE900:BB900"/>
    <mergeCell ref="F901:W901"/>
    <mergeCell ref="AE901:BB901"/>
    <mergeCell ref="F896:W896"/>
    <mergeCell ref="AE896:BB896"/>
    <mergeCell ref="F897:W897"/>
    <mergeCell ref="AE897:BB897"/>
    <mergeCell ref="F898:W898"/>
    <mergeCell ref="AE898:BB898"/>
    <mergeCell ref="AG886:AG891"/>
    <mergeCell ref="AH886:AH891"/>
    <mergeCell ref="AI886:AI891"/>
    <mergeCell ref="AJ886:AJ891"/>
    <mergeCell ref="AK886:AK891"/>
    <mergeCell ref="AL886:AL891"/>
    <mergeCell ref="AM886:AM891"/>
    <mergeCell ref="AG879:AG884"/>
    <mergeCell ref="AH879:AH884"/>
    <mergeCell ref="AI879:AI884"/>
    <mergeCell ref="AJ879:AJ884"/>
    <mergeCell ref="AK879:AK884"/>
    <mergeCell ref="J886:J891"/>
    <mergeCell ref="F874:W874"/>
    <mergeCell ref="AE874:BB874"/>
    <mergeCell ref="AL879:AL884"/>
    <mergeCell ref="AM879:AM884"/>
    <mergeCell ref="F871:W871"/>
    <mergeCell ref="AE871:BB871"/>
    <mergeCell ref="F872:W872"/>
    <mergeCell ref="AE872:BB872"/>
    <mergeCell ref="F873:W873"/>
    <mergeCell ref="AE873:BB873"/>
    <mergeCell ref="F875:W875"/>
    <mergeCell ref="AE875:BB875"/>
    <mergeCell ref="F876:W876"/>
    <mergeCell ref="AE876:BB876"/>
    <mergeCell ref="F866:W866"/>
    <mergeCell ref="AE866:BB866"/>
    <mergeCell ref="F867:W867"/>
    <mergeCell ref="AE867:BB867"/>
    <mergeCell ref="F868:W868"/>
    <mergeCell ref="AE868:BB868"/>
    <mergeCell ref="F869:W869"/>
    <mergeCell ref="AE869:BB869"/>
    <mergeCell ref="F870:W870"/>
    <mergeCell ref="AE870:BB870"/>
    <mergeCell ref="J879:J884"/>
    <mergeCell ref="AG848:AG853"/>
    <mergeCell ref="AH848:AH853"/>
    <mergeCell ref="AI848:AI853"/>
    <mergeCell ref="AJ848:AJ853"/>
    <mergeCell ref="AK848:AK853"/>
    <mergeCell ref="AL848:AL853"/>
    <mergeCell ref="AM848:AM853"/>
    <mergeCell ref="AG855:AG860"/>
    <mergeCell ref="AH855:AH860"/>
    <mergeCell ref="AI855:AI860"/>
    <mergeCell ref="AJ855:AJ860"/>
    <mergeCell ref="AK855:AK860"/>
    <mergeCell ref="F843:W843"/>
    <mergeCell ref="AE843:BB843"/>
    <mergeCell ref="F844:W844"/>
    <mergeCell ref="AE844:BB844"/>
    <mergeCell ref="F845:W845"/>
    <mergeCell ref="AE845:BB845"/>
    <mergeCell ref="AL855:AL860"/>
    <mergeCell ref="AM855:AM860"/>
    <mergeCell ref="J848:J853"/>
    <mergeCell ref="J855:J860"/>
    <mergeCell ref="AE840:BB840"/>
    <mergeCell ref="F841:W841"/>
    <mergeCell ref="AE841:BB841"/>
    <mergeCell ref="F842:W842"/>
    <mergeCell ref="AE842:BB842"/>
    <mergeCell ref="F837:W837"/>
    <mergeCell ref="AE837:BB837"/>
    <mergeCell ref="F838:W838"/>
    <mergeCell ref="AE838:BB838"/>
    <mergeCell ref="F839:W839"/>
    <mergeCell ref="AE839:BB839"/>
    <mergeCell ref="F834:W834"/>
    <mergeCell ref="AE834:BB834"/>
    <mergeCell ref="F835:W835"/>
    <mergeCell ref="AE835:BB835"/>
    <mergeCell ref="F836:W836"/>
    <mergeCell ref="AE836:BB836"/>
    <mergeCell ref="AG824:AG829"/>
    <mergeCell ref="AH824:AH829"/>
    <mergeCell ref="AI824:AI829"/>
    <mergeCell ref="AJ824:AJ829"/>
    <mergeCell ref="AK824:AK829"/>
    <mergeCell ref="AL824:AL829"/>
    <mergeCell ref="AM824:AM829"/>
    <mergeCell ref="AG817:AG822"/>
    <mergeCell ref="AH817:AH822"/>
    <mergeCell ref="AI817:AI822"/>
    <mergeCell ref="AJ817:AJ822"/>
    <mergeCell ref="AK817:AK822"/>
    <mergeCell ref="F813:W813"/>
    <mergeCell ref="AE813:BB813"/>
    <mergeCell ref="F814:W814"/>
    <mergeCell ref="AE814:BB814"/>
    <mergeCell ref="AL817:AL822"/>
    <mergeCell ref="AM817:AM822"/>
    <mergeCell ref="J817:J822"/>
    <mergeCell ref="F810:W810"/>
    <mergeCell ref="AE810:BB810"/>
    <mergeCell ref="F811:W811"/>
    <mergeCell ref="AE811:BB811"/>
    <mergeCell ref="F812:W812"/>
    <mergeCell ref="AE812:BB812"/>
    <mergeCell ref="F807:W807"/>
    <mergeCell ref="AE807:BB807"/>
    <mergeCell ref="F808:W808"/>
    <mergeCell ref="AE808:BB808"/>
    <mergeCell ref="F809:W809"/>
    <mergeCell ref="AE809:BB809"/>
    <mergeCell ref="F804:W804"/>
    <mergeCell ref="AE804:BB804"/>
    <mergeCell ref="F805:W805"/>
    <mergeCell ref="AE805:BB805"/>
    <mergeCell ref="F806:W806"/>
    <mergeCell ref="AE806:BB806"/>
    <mergeCell ref="F803:W803"/>
    <mergeCell ref="AE803:BB803"/>
    <mergeCell ref="F782:W782"/>
    <mergeCell ref="AE782:BB782"/>
    <mergeCell ref="F783:W783"/>
    <mergeCell ref="AE783:BB783"/>
    <mergeCell ref="AG786:AG791"/>
    <mergeCell ref="AH786:AH791"/>
    <mergeCell ref="AI786:AI791"/>
    <mergeCell ref="AJ786:AJ791"/>
    <mergeCell ref="AK786:AK791"/>
    <mergeCell ref="F779:W779"/>
    <mergeCell ref="AE779:BB779"/>
    <mergeCell ref="F780:W780"/>
    <mergeCell ref="AE780:BB780"/>
    <mergeCell ref="F781:W781"/>
    <mergeCell ref="AE781:BB781"/>
    <mergeCell ref="AL786:AL791"/>
    <mergeCell ref="AM786:AM791"/>
    <mergeCell ref="AG793:AG798"/>
    <mergeCell ref="AH793:AH798"/>
    <mergeCell ref="AI793:AI798"/>
    <mergeCell ref="AJ793:AJ798"/>
    <mergeCell ref="AK793:AK798"/>
    <mergeCell ref="AL793:AL798"/>
    <mergeCell ref="AM793:AM798"/>
    <mergeCell ref="F776:W776"/>
    <mergeCell ref="AE776:BB776"/>
    <mergeCell ref="F777:W777"/>
    <mergeCell ref="AE777:BB777"/>
    <mergeCell ref="F778:W778"/>
    <mergeCell ref="AE778:BB778"/>
    <mergeCell ref="F773:W773"/>
    <mergeCell ref="AE773:BB773"/>
    <mergeCell ref="F774:W774"/>
    <mergeCell ref="AE774:BB774"/>
    <mergeCell ref="F775:W775"/>
    <mergeCell ref="AE775:BB775"/>
    <mergeCell ref="F772:W772"/>
    <mergeCell ref="AE772:BB772"/>
    <mergeCell ref="F751:W751"/>
    <mergeCell ref="AE751:BB751"/>
    <mergeCell ref="F752:W752"/>
    <mergeCell ref="AE752:BB752"/>
    <mergeCell ref="AG755:AG760"/>
    <mergeCell ref="AH755:AH760"/>
    <mergeCell ref="AI755:AI760"/>
    <mergeCell ref="AJ755:AJ760"/>
    <mergeCell ref="AK755:AK760"/>
    <mergeCell ref="AL755:AL760"/>
    <mergeCell ref="AM755:AM760"/>
    <mergeCell ref="AG762:AG767"/>
    <mergeCell ref="AH762:AH767"/>
    <mergeCell ref="AI762:AI767"/>
    <mergeCell ref="AJ762:AJ767"/>
    <mergeCell ref="AK762:AK767"/>
    <mergeCell ref="AL762:AL767"/>
    <mergeCell ref="AM762:AM767"/>
    <mergeCell ref="F748:W748"/>
    <mergeCell ref="AE748:BB748"/>
    <mergeCell ref="F749:W749"/>
    <mergeCell ref="AE749:BB749"/>
    <mergeCell ref="F750:W750"/>
    <mergeCell ref="AE750:BB750"/>
    <mergeCell ref="F745:W745"/>
    <mergeCell ref="AE745:BB745"/>
    <mergeCell ref="F746:W746"/>
    <mergeCell ref="AE746:BB746"/>
    <mergeCell ref="F747:W747"/>
    <mergeCell ref="AE747:BB747"/>
    <mergeCell ref="F742:W742"/>
    <mergeCell ref="AE742:BB742"/>
    <mergeCell ref="F743:W743"/>
    <mergeCell ref="AE743:BB743"/>
    <mergeCell ref="F744:W744"/>
    <mergeCell ref="AE744:BB744"/>
    <mergeCell ref="F741:W741"/>
    <mergeCell ref="AE741:BB741"/>
    <mergeCell ref="F720:W720"/>
    <mergeCell ref="AE720:BB720"/>
    <mergeCell ref="F721:W721"/>
    <mergeCell ref="AE721:BB721"/>
    <mergeCell ref="AG724:AG729"/>
    <mergeCell ref="AH724:AH729"/>
    <mergeCell ref="AI724:AI729"/>
    <mergeCell ref="AJ724:AJ729"/>
    <mergeCell ref="AK724:AK729"/>
    <mergeCell ref="F717:W717"/>
    <mergeCell ref="AE717:BB717"/>
    <mergeCell ref="F718:W718"/>
    <mergeCell ref="AE718:BB718"/>
    <mergeCell ref="F719:W719"/>
    <mergeCell ref="AE719:BB719"/>
    <mergeCell ref="AL724:AL729"/>
    <mergeCell ref="AM724:AM729"/>
    <mergeCell ref="AG731:AG736"/>
    <mergeCell ref="AH731:AH736"/>
    <mergeCell ref="AI731:AI736"/>
    <mergeCell ref="AJ731:AJ736"/>
    <mergeCell ref="AK731:AK736"/>
    <mergeCell ref="AL731:AL736"/>
    <mergeCell ref="AM731:AM736"/>
    <mergeCell ref="F714:W714"/>
    <mergeCell ref="AE714:BB714"/>
    <mergeCell ref="F715:W715"/>
    <mergeCell ref="AE715:BB715"/>
    <mergeCell ref="F716:W716"/>
    <mergeCell ref="AE716:BB716"/>
    <mergeCell ref="F711:W711"/>
    <mergeCell ref="AE711:BB711"/>
    <mergeCell ref="F712:W712"/>
    <mergeCell ref="AE712:BB712"/>
    <mergeCell ref="F713:W713"/>
    <mergeCell ref="AE713:BB713"/>
    <mergeCell ref="F710:W710"/>
    <mergeCell ref="AE710:BB710"/>
    <mergeCell ref="F689:W689"/>
    <mergeCell ref="AE689:BB689"/>
    <mergeCell ref="F690:W690"/>
    <mergeCell ref="AE690:BB690"/>
    <mergeCell ref="AG693:AG698"/>
    <mergeCell ref="AH693:AH698"/>
    <mergeCell ref="AI693:AI698"/>
    <mergeCell ref="AJ693:AJ698"/>
    <mergeCell ref="AK693:AK698"/>
    <mergeCell ref="AL693:AL698"/>
    <mergeCell ref="AM693:AM698"/>
    <mergeCell ref="AG700:AG705"/>
    <mergeCell ref="AH700:AH705"/>
    <mergeCell ref="AI700:AI705"/>
    <mergeCell ref="AJ700:AJ705"/>
    <mergeCell ref="AK700:AK705"/>
    <mergeCell ref="AL700:AL705"/>
    <mergeCell ref="AM700:AM705"/>
    <mergeCell ref="F686:W686"/>
    <mergeCell ref="AE686:BB686"/>
    <mergeCell ref="F687:W687"/>
    <mergeCell ref="AE687:BB687"/>
    <mergeCell ref="F688:W688"/>
    <mergeCell ref="AE688:BB688"/>
    <mergeCell ref="F683:W683"/>
    <mergeCell ref="AE683:BB683"/>
    <mergeCell ref="F684:W684"/>
    <mergeCell ref="AE684:BB684"/>
    <mergeCell ref="F685:W685"/>
    <mergeCell ref="AE685:BB685"/>
    <mergeCell ref="F680:W680"/>
    <mergeCell ref="AE680:BB680"/>
    <mergeCell ref="F681:W681"/>
    <mergeCell ref="AE681:BB681"/>
    <mergeCell ref="F682:W682"/>
    <mergeCell ref="AE682:BB682"/>
    <mergeCell ref="F679:W679"/>
    <mergeCell ref="AE679:BB679"/>
    <mergeCell ref="F658:W658"/>
    <mergeCell ref="AE658:BB658"/>
    <mergeCell ref="F659:W659"/>
    <mergeCell ref="AE659:BB659"/>
    <mergeCell ref="AG662:AG667"/>
    <mergeCell ref="AH662:AH667"/>
    <mergeCell ref="AI662:AI667"/>
    <mergeCell ref="AJ662:AJ667"/>
    <mergeCell ref="AK662:AK667"/>
    <mergeCell ref="F655:W655"/>
    <mergeCell ref="AE655:BB655"/>
    <mergeCell ref="F656:W656"/>
    <mergeCell ref="AE656:BB656"/>
    <mergeCell ref="F657:W657"/>
    <mergeCell ref="AE657:BB657"/>
    <mergeCell ref="AL662:AL667"/>
    <mergeCell ref="AM662:AM667"/>
    <mergeCell ref="AG669:AG674"/>
    <mergeCell ref="AH669:AH674"/>
    <mergeCell ref="AI669:AI674"/>
    <mergeCell ref="AJ669:AJ674"/>
    <mergeCell ref="AK669:AK674"/>
    <mergeCell ref="AL669:AL674"/>
    <mergeCell ref="AM669:AM674"/>
    <mergeCell ref="F652:W652"/>
    <mergeCell ref="AE652:BB652"/>
    <mergeCell ref="F653:W653"/>
    <mergeCell ref="AE653:BB653"/>
    <mergeCell ref="F654:W654"/>
    <mergeCell ref="AE654:BB654"/>
    <mergeCell ref="F649:W649"/>
    <mergeCell ref="AE649:BB649"/>
    <mergeCell ref="F650:W650"/>
    <mergeCell ref="AE650:BB650"/>
    <mergeCell ref="F651:W651"/>
    <mergeCell ref="AE651:BB651"/>
    <mergeCell ref="F648:W648"/>
    <mergeCell ref="AE648:BB648"/>
    <mergeCell ref="F627:W627"/>
    <mergeCell ref="AE627:BB627"/>
    <mergeCell ref="F628:W628"/>
    <mergeCell ref="AE628:BB628"/>
    <mergeCell ref="AG631:AG636"/>
    <mergeCell ref="AH631:AH636"/>
    <mergeCell ref="AI631:AI636"/>
    <mergeCell ref="AJ631:AJ636"/>
    <mergeCell ref="AK631:AK636"/>
    <mergeCell ref="AL631:AL636"/>
    <mergeCell ref="AM631:AM636"/>
    <mergeCell ref="AG638:AG643"/>
    <mergeCell ref="AH638:AH643"/>
    <mergeCell ref="AI638:AI643"/>
    <mergeCell ref="AJ638:AJ643"/>
    <mergeCell ref="AK638:AK643"/>
    <mergeCell ref="AL638:AL643"/>
    <mergeCell ref="AM638:AM643"/>
    <mergeCell ref="F624:W624"/>
    <mergeCell ref="AE624:BB624"/>
    <mergeCell ref="F625:W625"/>
    <mergeCell ref="AE625:BB625"/>
    <mergeCell ref="F626:W626"/>
    <mergeCell ref="AE626:BB626"/>
    <mergeCell ref="F621:W621"/>
    <mergeCell ref="AE621:BB621"/>
    <mergeCell ref="F622:W622"/>
    <mergeCell ref="AE622:BB622"/>
    <mergeCell ref="F623:W623"/>
    <mergeCell ref="AE623:BB623"/>
    <mergeCell ref="F618:W618"/>
    <mergeCell ref="AE618:BB618"/>
    <mergeCell ref="F619:W619"/>
    <mergeCell ref="AE619:BB619"/>
    <mergeCell ref="F620:W620"/>
    <mergeCell ref="AE620:BB620"/>
    <mergeCell ref="F617:W617"/>
    <mergeCell ref="AE617:BB617"/>
    <mergeCell ref="F596:W596"/>
    <mergeCell ref="AE596:BB596"/>
    <mergeCell ref="F597:W597"/>
    <mergeCell ref="AE597:BB597"/>
    <mergeCell ref="AG600:AG605"/>
    <mergeCell ref="AH600:AH605"/>
    <mergeCell ref="AI600:AI605"/>
    <mergeCell ref="AJ600:AJ605"/>
    <mergeCell ref="AK600:AK605"/>
    <mergeCell ref="F593:W593"/>
    <mergeCell ref="AE593:BB593"/>
    <mergeCell ref="F594:W594"/>
    <mergeCell ref="AE594:BB594"/>
    <mergeCell ref="F595:W595"/>
    <mergeCell ref="AE595:BB595"/>
    <mergeCell ref="AL600:AL605"/>
    <mergeCell ref="AM600:AM605"/>
    <mergeCell ref="AG607:AG612"/>
    <mergeCell ref="AH607:AH612"/>
    <mergeCell ref="AI607:AI612"/>
    <mergeCell ref="AJ607:AJ612"/>
    <mergeCell ref="AK607:AK612"/>
    <mergeCell ref="AL607:AL612"/>
    <mergeCell ref="AM607:AM612"/>
    <mergeCell ref="J607:J612"/>
    <mergeCell ref="F590:W590"/>
    <mergeCell ref="AE590:BB590"/>
    <mergeCell ref="F591:W591"/>
    <mergeCell ref="AE591:BB591"/>
    <mergeCell ref="F592:W592"/>
    <mergeCell ref="AE592:BB592"/>
    <mergeCell ref="F587:W587"/>
    <mergeCell ref="AE587:BB587"/>
    <mergeCell ref="F588:W588"/>
    <mergeCell ref="AE588:BB588"/>
    <mergeCell ref="F589:W589"/>
    <mergeCell ref="AE589:BB589"/>
    <mergeCell ref="F586:W586"/>
    <mergeCell ref="AE586:BB586"/>
    <mergeCell ref="F565:W565"/>
    <mergeCell ref="AE565:BB565"/>
    <mergeCell ref="F566:W566"/>
    <mergeCell ref="AE566:BB566"/>
    <mergeCell ref="AG569:AG574"/>
    <mergeCell ref="AH569:AH574"/>
    <mergeCell ref="AI569:AI574"/>
    <mergeCell ref="AJ569:AJ574"/>
    <mergeCell ref="AK569:AK574"/>
    <mergeCell ref="AL569:AL574"/>
    <mergeCell ref="AM569:AM574"/>
    <mergeCell ref="AG576:AG581"/>
    <mergeCell ref="AH576:AH581"/>
    <mergeCell ref="AI576:AI581"/>
    <mergeCell ref="AJ576:AJ581"/>
    <mergeCell ref="AK576:AK581"/>
    <mergeCell ref="AL576:AL581"/>
    <mergeCell ref="AM576:AM581"/>
    <mergeCell ref="F562:W562"/>
    <mergeCell ref="AE562:BB562"/>
    <mergeCell ref="F563:W563"/>
    <mergeCell ref="AE563:BB563"/>
    <mergeCell ref="F564:W564"/>
    <mergeCell ref="AE564:BB564"/>
    <mergeCell ref="F559:W559"/>
    <mergeCell ref="AE559:BB559"/>
    <mergeCell ref="F560:W560"/>
    <mergeCell ref="AE560:BB560"/>
    <mergeCell ref="F561:W561"/>
    <mergeCell ref="AE561:BB561"/>
    <mergeCell ref="F556:W556"/>
    <mergeCell ref="AE556:BB556"/>
    <mergeCell ref="F557:W557"/>
    <mergeCell ref="AE557:BB557"/>
    <mergeCell ref="F558:W558"/>
    <mergeCell ref="AE558:BB558"/>
    <mergeCell ref="F555:W555"/>
    <mergeCell ref="AE555:BB555"/>
    <mergeCell ref="F534:W534"/>
    <mergeCell ref="AE534:BB534"/>
    <mergeCell ref="F535:W535"/>
    <mergeCell ref="AE535:BB535"/>
    <mergeCell ref="AG538:AG543"/>
    <mergeCell ref="AH538:AH543"/>
    <mergeCell ref="AI538:AI543"/>
    <mergeCell ref="AJ538:AJ543"/>
    <mergeCell ref="AK538:AK543"/>
    <mergeCell ref="F531:W531"/>
    <mergeCell ref="AE531:BB531"/>
    <mergeCell ref="F532:W532"/>
    <mergeCell ref="AE532:BB532"/>
    <mergeCell ref="F533:W533"/>
    <mergeCell ref="AE533:BB533"/>
    <mergeCell ref="AL538:AL543"/>
    <mergeCell ref="AM538:AM543"/>
    <mergeCell ref="AG545:AG550"/>
    <mergeCell ref="AH545:AH550"/>
    <mergeCell ref="AI545:AI550"/>
    <mergeCell ref="AJ545:AJ550"/>
    <mergeCell ref="AK545:AK550"/>
    <mergeCell ref="AL545:AL550"/>
    <mergeCell ref="AM545:AM550"/>
    <mergeCell ref="F528:W528"/>
    <mergeCell ref="AE528:BB528"/>
    <mergeCell ref="F529:W529"/>
    <mergeCell ref="AE529:BB529"/>
    <mergeCell ref="F530:W530"/>
    <mergeCell ref="AE530:BB530"/>
    <mergeCell ref="F525:W525"/>
    <mergeCell ref="AE525:BB525"/>
    <mergeCell ref="F526:W526"/>
    <mergeCell ref="AE526:BB526"/>
    <mergeCell ref="F527:W527"/>
    <mergeCell ref="AE527:BB527"/>
    <mergeCell ref="F524:W524"/>
    <mergeCell ref="AE524:BB524"/>
    <mergeCell ref="F503:W503"/>
    <mergeCell ref="AE503:BB503"/>
    <mergeCell ref="F504:W504"/>
    <mergeCell ref="AE504:BB504"/>
    <mergeCell ref="AG507:AG512"/>
    <mergeCell ref="AH507:AH512"/>
    <mergeCell ref="AI507:AI512"/>
    <mergeCell ref="AJ507:AJ512"/>
    <mergeCell ref="AK507:AK512"/>
    <mergeCell ref="AL507:AL512"/>
    <mergeCell ref="AM507:AM512"/>
    <mergeCell ref="AG514:AG519"/>
    <mergeCell ref="AH514:AH519"/>
    <mergeCell ref="AI514:AI519"/>
    <mergeCell ref="AJ514:AJ519"/>
    <mergeCell ref="AK514:AK519"/>
    <mergeCell ref="AL514:AL519"/>
    <mergeCell ref="AM514:AM519"/>
    <mergeCell ref="F500:W500"/>
    <mergeCell ref="AE500:BB500"/>
    <mergeCell ref="F501:W501"/>
    <mergeCell ref="AE501:BB501"/>
    <mergeCell ref="F502:W502"/>
    <mergeCell ref="AE502:BB502"/>
    <mergeCell ref="F497:W497"/>
    <mergeCell ref="AE497:BB497"/>
    <mergeCell ref="F498:W498"/>
    <mergeCell ref="AE498:BB498"/>
    <mergeCell ref="F499:W499"/>
    <mergeCell ref="AE499:BB499"/>
    <mergeCell ref="F494:W494"/>
    <mergeCell ref="AE494:BB494"/>
    <mergeCell ref="F495:W495"/>
    <mergeCell ref="AE495:BB495"/>
    <mergeCell ref="F496:W496"/>
    <mergeCell ref="AE496:BB496"/>
    <mergeCell ref="F493:W493"/>
    <mergeCell ref="AE493:BB493"/>
    <mergeCell ref="F472:W472"/>
    <mergeCell ref="AE472:BB472"/>
    <mergeCell ref="F473:W473"/>
    <mergeCell ref="AE473:BB473"/>
    <mergeCell ref="AG476:AG481"/>
    <mergeCell ref="AH476:AH481"/>
    <mergeCell ref="AI476:AI481"/>
    <mergeCell ref="AJ476:AJ481"/>
    <mergeCell ref="AK476:AK481"/>
    <mergeCell ref="F469:W469"/>
    <mergeCell ref="AE469:BB469"/>
    <mergeCell ref="F470:W470"/>
    <mergeCell ref="AE470:BB470"/>
    <mergeCell ref="F471:W471"/>
    <mergeCell ref="AE471:BB471"/>
    <mergeCell ref="F466:W466"/>
    <mergeCell ref="AE466:BB466"/>
    <mergeCell ref="F467:W467"/>
    <mergeCell ref="AE467:BB467"/>
    <mergeCell ref="F468:W468"/>
    <mergeCell ref="AE468:BB468"/>
    <mergeCell ref="F463:W463"/>
    <mergeCell ref="AE463:BB463"/>
    <mergeCell ref="F464:W464"/>
    <mergeCell ref="AE464:BB464"/>
    <mergeCell ref="F465:W465"/>
    <mergeCell ref="AE465:BB465"/>
    <mergeCell ref="F462:W462"/>
    <mergeCell ref="AE462:BB462"/>
    <mergeCell ref="F441:W441"/>
    <mergeCell ref="AE441:BB441"/>
    <mergeCell ref="F442:W442"/>
    <mergeCell ref="AE442:BB442"/>
    <mergeCell ref="AG445:AG450"/>
    <mergeCell ref="AH445:AH450"/>
    <mergeCell ref="AI445:AI450"/>
    <mergeCell ref="AJ445:AJ450"/>
    <mergeCell ref="AK445:AK450"/>
    <mergeCell ref="F438:W438"/>
    <mergeCell ref="AE438:BB438"/>
    <mergeCell ref="F439:W439"/>
    <mergeCell ref="AE439:BB439"/>
    <mergeCell ref="F440:W440"/>
    <mergeCell ref="AE440:BB440"/>
    <mergeCell ref="F435:W435"/>
    <mergeCell ref="AE435:BB435"/>
    <mergeCell ref="F436:W436"/>
    <mergeCell ref="AE436:BB436"/>
    <mergeCell ref="F437:W437"/>
    <mergeCell ref="AE437:BB437"/>
    <mergeCell ref="F432:W432"/>
    <mergeCell ref="AE432:BB432"/>
    <mergeCell ref="F433:W433"/>
    <mergeCell ref="AE433:BB433"/>
    <mergeCell ref="F434:W434"/>
    <mergeCell ref="AE434:BB434"/>
    <mergeCell ref="F431:W431"/>
    <mergeCell ref="AE431:BB431"/>
    <mergeCell ref="F410:W410"/>
    <mergeCell ref="AE410:BB410"/>
    <mergeCell ref="F411:W411"/>
    <mergeCell ref="AE411:BB411"/>
    <mergeCell ref="AG414:AG419"/>
    <mergeCell ref="AH414:AH419"/>
    <mergeCell ref="AI414:AI419"/>
    <mergeCell ref="AJ414:AJ419"/>
    <mergeCell ref="AK414:AK419"/>
    <mergeCell ref="F407:W407"/>
    <mergeCell ref="AE407:BB407"/>
    <mergeCell ref="F408:W408"/>
    <mergeCell ref="AE408:BB408"/>
    <mergeCell ref="F409:W409"/>
    <mergeCell ref="AE409:BB409"/>
    <mergeCell ref="AL414:AL419"/>
    <mergeCell ref="AM414:AM419"/>
    <mergeCell ref="AG421:AG426"/>
    <mergeCell ref="AH421:AH426"/>
    <mergeCell ref="AI421:AI426"/>
    <mergeCell ref="AJ421:AJ426"/>
    <mergeCell ref="AK421:AK426"/>
    <mergeCell ref="AL421:AL426"/>
    <mergeCell ref="AM421:AM426"/>
    <mergeCell ref="F404:W404"/>
    <mergeCell ref="AE404:BB404"/>
    <mergeCell ref="F405:W405"/>
    <mergeCell ref="AE405:BB405"/>
    <mergeCell ref="F406:W406"/>
    <mergeCell ref="AE406:BB406"/>
    <mergeCell ref="F401:W401"/>
    <mergeCell ref="AE401:BB401"/>
    <mergeCell ref="F402:W402"/>
    <mergeCell ref="AE402:BB402"/>
    <mergeCell ref="F403:W403"/>
    <mergeCell ref="AE403:BB403"/>
    <mergeCell ref="F400:W400"/>
    <mergeCell ref="AE400:BB400"/>
    <mergeCell ref="F378:W378"/>
    <mergeCell ref="AE378:BB378"/>
    <mergeCell ref="F375:W375"/>
    <mergeCell ref="AE375:BB375"/>
    <mergeCell ref="F376:W376"/>
    <mergeCell ref="AE376:BB376"/>
    <mergeCell ref="F377:W377"/>
    <mergeCell ref="AE377:BB377"/>
    <mergeCell ref="AG383:AG388"/>
    <mergeCell ref="AH383:AH388"/>
    <mergeCell ref="AI383:AI388"/>
    <mergeCell ref="AJ383:AJ388"/>
    <mergeCell ref="AK383:AK388"/>
    <mergeCell ref="AL383:AL388"/>
    <mergeCell ref="AM383:AM388"/>
    <mergeCell ref="AG390:AG395"/>
    <mergeCell ref="AH390:AH395"/>
    <mergeCell ref="AI390:AI395"/>
    <mergeCell ref="F372:W372"/>
    <mergeCell ref="AE372:BB372"/>
    <mergeCell ref="F373:W373"/>
    <mergeCell ref="AE373:BB373"/>
    <mergeCell ref="F374:W374"/>
    <mergeCell ref="AE374:BB374"/>
    <mergeCell ref="F371:W371"/>
    <mergeCell ref="AE371:BB371"/>
    <mergeCell ref="AL359:AL364"/>
    <mergeCell ref="AM359:AM364"/>
    <mergeCell ref="F369:W369"/>
    <mergeCell ref="AE369:BB369"/>
    <mergeCell ref="F370:W370"/>
    <mergeCell ref="AE370:BB370"/>
    <mergeCell ref="AG359:AG364"/>
    <mergeCell ref="AH359:AH364"/>
    <mergeCell ref="AI359:AI364"/>
    <mergeCell ref="AJ359:AJ364"/>
    <mergeCell ref="AK359:AK364"/>
    <mergeCell ref="J359:J364"/>
    <mergeCell ref="F349:W349"/>
    <mergeCell ref="AE349:BB349"/>
    <mergeCell ref="AG352:AG357"/>
    <mergeCell ref="AH352:AH357"/>
    <mergeCell ref="AI352:AI357"/>
    <mergeCell ref="AJ352:AJ357"/>
    <mergeCell ref="AK352:AK357"/>
    <mergeCell ref="AL352:AL357"/>
    <mergeCell ref="AM352:AM357"/>
    <mergeCell ref="F346:W346"/>
    <mergeCell ref="AE346:BB346"/>
    <mergeCell ref="F347:W347"/>
    <mergeCell ref="AE347:BB347"/>
    <mergeCell ref="F348:W348"/>
    <mergeCell ref="AE348:BB348"/>
    <mergeCell ref="F343:W343"/>
    <mergeCell ref="AE343:BB343"/>
    <mergeCell ref="F344:W344"/>
    <mergeCell ref="AE344:BB344"/>
    <mergeCell ref="F345:W345"/>
    <mergeCell ref="AE345:BB345"/>
    <mergeCell ref="J352:J357"/>
    <mergeCell ref="F340:W340"/>
    <mergeCell ref="AE340:BB340"/>
    <mergeCell ref="F341:W341"/>
    <mergeCell ref="AE341:BB341"/>
    <mergeCell ref="F342:W342"/>
    <mergeCell ref="AE342:BB342"/>
    <mergeCell ref="AL328:AL333"/>
    <mergeCell ref="AM328:AM333"/>
    <mergeCell ref="F338:W338"/>
    <mergeCell ref="AE338:BB338"/>
    <mergeCell ref="F339:W339"/>
    <mergeCell ref="AE339:BB339"/>
    <mergeCell ref="AG328:AG333"/>
    <mergeCell ref="AH328:AH333"/>
    <mergeCell ref="AI328:AI333"/>
    <mergeCell ref="AJ328:AJ333"/>
    <mergeCell ref="AK328:AK333"/>
    <mergeCell ref="J328:J333"/>
    <mergeCell ref="F318:W318"/>
    <mergeCell ref="AE318:BB318"/>
    <mergeCell ref="AG321:AG326"/>
    <mergeCell ref="AH321:AH326"/>
    <mergeCell ref="AI321:AI326"/>
    <mergeCell ref="AJ321:AJ326"/>
    <mergeCell ref="AK321:AK326"/>
    <mergeCell ref="AL321:AL326"/>
    <mergeCell ref="AM321:AM326"/>
    <mergeCell ref="F315:W315"/>
    <mergeCell ref="AE315:BB315"/>
    <mergeCell ref="F316:W316"/>
    <mergeCell ref="AE316:BB316"/>
    <mergeCell ref="F317:W317"/>
    <mergeCell ref="AE317:BB317"/>
    <mergeCell ref="F312:W312"/>
    <mergeCell ref="AE312:BB312"/>
    <mergeCell ref="F313:W313"/>
    <mergeCell ref="AE313:BB313"/>
    <mergeCell ref="F314:W314"/>
    <mergeCell ref="AE314:BB314"/>
    <mergeCell ref="J321:J326"/>
    <mergeCell ref="F309:W309"/>
    <mergeCell ref="AE309:BB309"/>
    <mergeCell ref="F310:W310"/>
    <mergeCell ref="AE310:BB310"/>
    <mergeCell ref="F311:W311"/>
    <mergeCell ref="AE311:BB311"/>
    <mergeCell ref="AL297:AL302"/>
    <mergeCell ref="AM297:AM302"/>
    <mergeCell ref="F307:W307"/>
    <mergeCell ref="AE307:BB307"/>
    <mergeCell ref="F308:W308"/>
    <mergeCell ref="AE308:BB308"/>
    <mergeCell ref="AG297:AG302"/>
    <mergeCell ref="AH297:AH302"/>
    <mergeCell ref="AI297:AI302"/>
    <mergeCell ref="AJ297:AJ302"/>
    <mergeCell ref="AK297:AK302"/>
    <mergeCell ref="J297:J302"/>
    <mergeCell ref="F287:W287"/>
    <mergeCell ref="AE287:BB287"/>
    <mergeCell ref="AG290:AG295"/>
    <mergeCell ref="AH290:AH295"/>
    <mergeCell ref="AI290:AI295"/>
    <mergeCell ref="AJ290:AJ295"/>
    <mergeCell ref="AK290:AK295"/>
    <mergeCell ref="AL290:AL295"/>
    <mergeCell ref="AM290:AM295"/>
    <mergeCell ref="F284:W284"/>
    <mergeCell ref="AE284:BB284"/>
    <mergeCell ref="F285:W285"/>
    <mergeCell ref="AE285:BB285"/>
    <mergeCell ref="F286:W286"/>
    <mergeCell ref="AE286:BB286"/>
    <mergeCell ref="F281:W281"/>
    <mergeCell ref="AE281:BB281"/>
    <mergeCell ref="F282:W282"/>
    <mergeCell ref="AE282:BB282"/>
    <mergeCell ref="F283:W283"/>
    <mergeCell ref="AE283:BB283"/>
    <mergeCell ref="J290:J295"/>
    <mergeCell ref="F278:W278"/>
    <mergeCell ref="AE278:BB278"/>
    <mergeCell ref="F279:W279"/>
    <mergeCell ref="AE279:BB279"/>
    <mergeCell ref="F280:W280"/>
    <mergeCell ref="AE280:BB280"/>
    <mergeCell ref="AL266:AL271"/>
    <mergeCell ref="AM266:AM271"/>
    <mergeCell ref="F276:W276"/>
    <mergeCell ref="AE276:BB276"/>
    <mergeCell ref="F277:W277"/>
    <mergeCell ref="AE277:BB277"/>
    <mergeCell ref="AG266:AG271"/>
    <mergeCell ref="AH266:AH271"/>
    <mergeCell ref="AI266:AI271"/>
    <mergeCell ref="AJ266:AJ271"/>
    <mergeCell ref="AK266:AK271"/>
    <mergeCell ref="J266:J271"/>
    <mergeCell ref="AE256:BB256"/>
    <mergeCell ref="AG259:AG264"/>
    <mergeCell ref="AH259:AH264"/>
    <mergeCell ref="AI259:AI264"/>
    <mergeCell ref="AJ259:AJ264"/>
    <mergeCell ref="AK259:AK264"/>
    <mergeCell ref="AL259:AL264"/>
    <mergeCell ref="AM259:AM264"/>
    <mergeCell ref="F253:W253"/>
    <mergeCell ref="AE253:BB253"/>
    <mergeCell ref="F254:W254"/>
    <mergeCell ref="AE254:BB254"/>
    <mergeCell ref="F255:W255"/>
    <mergeCell ref="AE255:BB255"/>
    <mergeCell ref="F250:W250"/>
    <mergeCell ref="AE250:BB250"/>
    <mergeCell ref="F251:W251"/>
    <mergeCell ref="AE251:BB251"/>
    <mergeCell ref="F252:W252"/>
    <mergeCell ref="AE252:BB252"/>
    <mergeCell ref="J259:J264"/>
    <mergeCell ref="F256:W256"/>
    <mergeCell ref="AE247:BB247"/>
    <mergeCell ref="F248:W248"/>
    <mergeCell ref="AE248:BB248"/>
    <mergeCell ref="F249:W249"/>
    <mergeCell ref="AE249:BB249"/>
    <mergeCell ref="AL235:AL240"/>
    <mergeCell ref="AM235:AM240"/>
    <mergeCell ref="F245:W245"/>
    <mergeCell ref="AE245:BB245"/>
    <mergeCell ref="F246:W246"/>
    <mergeCell ref="AE246:BB246"/>
    <mergeCell ref="AG235:AG240"/>
    <mergeCell ref="AH235:AH240"/>
    <mergeCell ref="AI235:AI240"/>
    <mergeCell ref="AJ235:AJ240"/>
    <mergeCell ref="AK235:AK240"/>
    <mergeCell ref="F225:W225"/>
    <mergeCell ref="AE225:BB225"/>
    <mergeCell ref="AG228:AG233"/>
    <mergeCell ref="AH228:AH233"/>
    <mergeCell ref="AI228:AI233"/>
    <mergeCell ref="AJ228:AJ233"/>
    <mergeCell ref="AK228:AK233"/>
    <mergeCell ref="AL228:AL233"/>
    <mergeCell ref="AM228:AM233"/>
    <mergeCell ref="J228:J233"/>
    <mergeCell ref="J235:J240"/>
    <mergeCell ref="F247:W247"/>
    <mergeCell ref="AE222:BB222"/>
    <mergeCell ref="F223:W223"/>
    <mergeCell ref="AE223:BB223"/>
    <mergeCell ref="F224:W224"/>
    <mergeCell ref="AE224:BB224"/>
    <mergeCell ref="F219:W219"/>
    <mergeCell ref="AE219:BB219"/>
    <mergeCell ref="F220:W220"/>
    <mergeCell ref="AE220:BB220"/>
    <mergeCell ref="F221:W221"/>
    <mergeCell ref="AE221:BB221"/>
    <mergeCell ref="F216:W216"/>
    <mergeCell ref="AE216:BB216"/>
    <mergeCell ref="F217:W217"/>
    <mergeCell ref="AE217:BB217"/>
    <mergeCell ref="F218:W218"/>
    <mergeCell ref="AE218:BB218"/>
    <mergeCell ref="F222:W222"/>
    <mergeCell ref="AL204:AL209"/>
    <mergeCell ref="AM204:AM209"/>
    <mergeCell ref="F214:W214"/>
    <mergeCell ref="AE214:BB214"/>
    <mergeCell ref="F215:W215"/>
    <mergeCell ref="AE215:BB215"/>
    <mergeCell ref="AG204:AG209"/>
    <mergeCell ref="AH204:AH209"/>
    <mergeCell ref="AI204:AI209"/>
    <mergeCell ref="AJ204:AJ209"/>
    <mergeCell ref="AK204:AK209"/>
    <mergeCell ref="F194:W194"/>
    <mergeCell ref="AE194:BB194"/>
    <mergeCell ref="AG197:AG202"/>
    <mergeCell ref="AH197:AH202"/>
    <mergeCell ref="AI197:AI202"/>
    <mergeCell ref="AJ197:AJ202"/>
    <mergeCell ref="AK197:AK202"/>
    <mergeCell ref="AL197:AL202"/>
    <mergeCell ref="AM197:AM202"/>
    <mergeCell ref="J197:J202"/>
    <mergeCell ref="J204:J209"/>
    <mergeCell ref="AE191:BB191"/>
    <mergeCell ref="F192:W192"/>
    <mergeCell ref="AE192:BB192"/>
    <mergeCell ref="F193:W193"/>
    <mergeCell ref="AE193:BB193"/>
    <mergeCell ref="F188:W188"/>
    <mergeCell ref="AE188:BB188"/>
    <mergeCell ref="F189:W189"/>
    <mergeCell ref="AE189:BB189"/>
    <mergeCell ref="F190:W190"/>
    <mergeCell ref="AE190:BB190"/>
    <mergeCell ref="F185:W185"/>
    <mergeCell ref="AE185:BB185"/>
    <mergeCell ref="F186:W186"/>
    <mergeCell ref="AE186:BB186"/>
    <mergeCell ref="F187:W187"/>
    <mergeCell ref="AE187:BB187"/>
    <mergeCell ref="F191:W191"/>
    <mergeCell ref="AL173:AL178"/>
    <mergeCell ref="AM173:AM178"/>
    <mergeCell ref="F183:W183"/>
    <mergeCell ref="AE183:BB183"/>
    <mergeCell ref="F184:W184"/>
    <mergeCell ref="AE184:BB184"/>
    <mergeCell ref="AG173:AG178"/>
    <mergeCell ref="AH173:AH178"/>
    <mergeCell ref="AI173:AI178"/>
    <mergeCell ref="AJ173:AJ178"/>
    <mergeCell ref="AK173:AK178"/>
    <mergeCell ref="F163:W163"/>
    <mergeCell ref="AE163:BB163"/>
    <mergeCell ref="AG166:AG171"/>
    <mergeCell ref="AH166:AH171"/>
    <mergeCell ref="AI166:AI171"/>
    <mergeCell ref="AJ166:AJ171"/>
    <mergeCell ref="AK166:AK171"/>
    <mergeCell ref="AL166:AL171"/>
    <mergeCell ref="AM166:AM171"/>
    <mergeCell ref="AE160:BB160"/>
    <mergeCell ref="F161:W161"/>
    <mergeCell ref="AE161:BB161"/>
    <mergeCell ref="F162:W162"/>
    <mergeCell ref="AE162:BB162"/>
    <mergeCell ref="F157:W157"/>
    <mergeCell ref="AE157:BB157"/>
    <mergeCell ref="F158:W158"/>
    <mergeCell ref="AE158:BB158"/>
    <mergeCell ref="F159:W159"/>
    <mergeCell ref="AE159:BB159"/>
    <mergeCell ref="F154:W154"/>
    <mergeCell ref="AE154:BB154"/>
    <mergeCell ref="F155:W155"/>
    <mergeCell ref="AE155:BB155"/>
    <mergeCell ref="F156:W156"/>
    <mergeCell ref="AE156:BB156"/>
    <mergeCell ref="F160:W160"/>
    <mergeCell ref="AL142:AL147"/>
    <mergeCell ref="AM142:AM147"/>
    <mergeCell ref="F152:W152"/>
    <mergeCell ref="AE152:BB152"/>
    <mergeCell ref="F153:W153"/>
    <mergeCell ref="AE153:BB153"/>
    <mergeCell ref="AG142:AG147"/>
    <mergeCell ref="AH142:AH147"/>
    <mergeCell ref="AI142:AI147"/>
    <mergeCell ref="AJ142:AJ147"/>
    <mergeCell ref="AK142:AK147"/>
    <mergeCell ref="F100:W100"/>
    <mergeCell ref="AE100:BB100"/>
    <mergeCell ref="F101:W101"/>
    <mergeCell ref="AE101:BB101"/>
    <mergeCell ref="AG104:AG109"/>
    <mergeCell ref="AH104:AH109"/>
    <mergeCell ref="AI104:AI109"/>
    <mergeCell ref="AJ104:AJ109"/>
    <mergeCell ref="AK104:AK109"/>
    <mergeCell ref="F132:W132"/>
    <mergeCell ref="AE132:BB132"/>
    <mergeCell ref="AG135:AG140"/>
    <mergeCell ref="AH135:AH140"/>
    <mergeCell ref="AI135:AI140"/>
    <mergeCell ref="AJ135:AJ140"/>
    <mergeCell ref="AK135:AK140"/>
    <mergeCell ref="AL135:AL140"/>
    <mergeCell ref="AM135:AM140"/>
    <mergeCell ref="AL104:AL109"/>
    <mergeCell ref="AM104:AM109"/>
    <mergeCell ref="AG111:AG116"/>
    <mergeCell ref="AH111:AH116"/>
    <mergeCell ref="AI111:AI116"/>
    <mergeCell ref="AJ111:AJ116"/>
    <mergeCell ref="AK111:AK116"/>
    <mergeCell ref="AL111:AL116"/>
    <mergeCell ref="AM111:AM116"/>
    <mergeCell ref="F131:W131"/>
    <mergeCell ref="AE131:BB131"/>
    <mergeCell ref="F130:W130"/>
    <mergeCell ref="AE130:BB130"/>
    <mergeCell ref="F128:W128"/>
    <mergeCell ref="AE128:BB128"/>
    <mergeCell ref="F129:W129"/>
    <mergeCell ref="AE129:BB129"/>
    <mergeCell ref="F125:W125"/>
    <mergeCell ref="AE125:BB125"/>
    <mergeCell ref="F126:W126"/>
    <mergeCell ref="AE126:BB126"/>
    <mergeCell ref="F127:W127"/>
    <mergeCell ref="AE127:BB127"/>
    <mergeCell ref="F122:W122"/>
    <mergeCell ref="AE122:BB122"/>
    <mergeCell ref="F123:W123"/>
    <mergeCell ref="AE123:BB123"/>
    <mergeCell ref="F124:W124"/>
    <mergeCell ref="AE124:BB124"/>
    <mergeCell ref="F121:W121"/>
    <mergeCell ref="AE121:BB121"/>
    <mergeCell ref="AE97:BB97"/>
    <mergeCell ref="F98:W98"/>
    <mergeCell ref="AE98:BB98"/>
    <mergeCell ref="F99:W99"/>
    <mergeCell ref="AE99:BB99"/>
    <mergeCell ref="F94:W94"/>
    <mergeCell ref="AE94:BB94"/>
    <mergeCell ref="F95:W95"/>
    <mergeCell ref="AE95:BB95"/>
    <mergeCell ref="F96:W96"/>
    <mergeCell ref="AE96:BB96"/>
    <mergeCell ref="F91:W91"/>
    <mergeCell ref="AE91:BB91"/>
    <mergeCell ref="F92:W92"/>
    <mergeCell ref="AE92:BB92"/>
    <mergeCell ref="F93:W93"/>
    <mergeCell ref="AE93:BB93"/>
    <mergeCell ref="F97:W97"/>
    <mergeCell ref="AE90:BB90"/>
    <mergeCell ref="AE69:BB69"/>
    <mergeCell ref="AE70:BB70"/>
    <mergeCell ref="AE64:BB64"/>
    <mergeCell ref="AE65:BB65"/>
    <mergeCell ref="AE66:BB66"/>
    <mergeCell ref="AE67:BB67"/>
    <mergeCell ref="AE68:BB68"/>
    <mergeCell ref="AE59:BB59"/>
    <mergeCell ref="AE60:BB60"/>
    <mergeCell ref="AE61:BB61"/>
    <mergeCell ref="AE62:BB62"/>
    <mergeCell ref="AE63:BB63"/>
    <mergeCell ref="F60:W60"/>
    <mergeCell ref="F61:W61"/>
    <mergeCell ref="F62:W62"/>
    <mergeCell ref="AG73:AG78"/>
    <mergeCell ref="AH73:AH78"/>
    <mergeCell ref="AI73:AI78"/>
    <mergeCell ref="AJ73:AJ78"/>
    <mergeCell ref="AK73:AK78"/>
    <mergeCell ref="AL73:AL78"/>
    <mergeCell ref="AM73:AM78"/>
    <mergeCell ref="AG80:AG85"/>
    <mergeCell ref="AH80:AH85"/>
    <mergeCell ref="AI80:AI85"/>
    <mergeCell ref="AJ80:AJ85"/>
    <mergeCell ref="AK80:AK85"/>
    <mergeCell ref="AL80:AL85"/>
    <mergeCell ref="AM80:AM85"/>
    <mergeCell ref="F63:W63"/>
    <mergeCell ref="F64:W64"/>
    <mergeCell ref="AP6:AQ6"/>
    <mergeCell ref="AX6:AY6"/>
    <mergeCell ref="AZ6:BA6"/>
    <mergeCell ref="BE6:BE8"/>
    <mergeCell ref="AT6:AU7"/>
    <mergeCell ref="AJ11:AJ16"/>
    <mergeCell ref="AJ18:AJ23"/>
    <mergeCell ref="AG11:AG16"/>
    <mergeCell ref="AH11:AH16"/>
    <mergeCell ref="AI11:AI16"/>
    <mergeCell ref="AL42:AL47"/>
    <mergeCell ref="AM42:AM47"/>
    <mergeCell ref="AG49:AG54"/>
    <mergeCell ref="AH49:AH54"/>
    <mergeCell ref="AI49:AI54"/>
    <mergeCell ref="AJ49:AJ54"/>
    <mergeCell ref="AK49:AK54"/>
    <mergeCell ref="AL49:AL54"/>
    <mergeCell ref="AM49:AM54"/>
    <mergeCell ref="AG42:AG47"/>
    <mergeCell ref="AH42:AH47"/>
    <mergeCell ref="AI42:AI47"/>
    <mergeCell ref="AJ42:AJ47"/>
    <mergeCell ref="AK42:AK47"/>
    <mergeCell ref="AE39:BB39"/>
    <mergeCell ref="AE34:BB34"/>
    <mergeCell ref="AE35:BB35"/>
    <mergeCell ref="AE36:BB36"/>
    <mergeCell ref="AE37:BB37"/>
    <mergeCell ref="AE38:BB38"/>
    <mergeCell ref="AE28:BB28"/>
    <mergeCell ref="AK6:AM6"/>
    <mergeCell ref="B5:B8"/>
    <mergeCell ref="C5:C8"/>
    <mergeCell ref="D5:D8"/>
    <mergeCell ref="E5:E8"/>
    <mergeCell ref="G5:G8"/>
    <mergeCell ref="D1:E1"/>
    <mergeCell ref="I1:O1"/>
    <mergeCell ref="I2:O2"/>
    <mergeCell ref="D2:E2"/>
    <mergeCell ref="H5:H8"/>
    <mergeCell ref="I5:I8"/>
    <mergeCell ref="K5:T7"/>
    <mergeCell ref="AE29:BB29"/>
    <mergeCell ref="AE30:BB30"/>
    <mergeCell ref="AE32:BB32"/>
    <mergeCell ref="AE31:BB31"/>
    <mergeCell ref="AE33:BB33"/>
    <mergeCell ref="BB6:BC6"/>
    <mergeCell ref="AG18:AG23"/>
    <mergeCell ref="AH18:AH23"/>
    <mergeCell ref="AI18:AI23"/>
    <mergeCell ref="AA5:AF5"/>
    <mergeCell ref="AG5:BE5"/>
    <mergeCell ref="AM11:AM16"/>
    <mergeCell ref="AM18:AM23"/>
    <mergeCell ref="AR6:AS6"/>
    <mergeCell ref="AN6:AO6"/>
    <mergeCell ref="AV6:AW7"/>
    <mergeCell ref="BD6:BD8"/>
    <mergeCell ref="X5:X8"/>
    <mergeCell ref="F28:W28"/>
    <mergeCell ref="F29:W29"/>
    <mergeCell ref="AG6:AJ6"/>
    <mergeCell ref="W5:W8"/>
    <mergeCell ref="Y5:Y8"/>
    <mergeCell ref="Z5:Z8"/>
    <mergeCell ref="U5:U8"/>
    <mergeCell ref="V5:V8"/>
    <mergeCell ref="F59:W59"/>
    <mergeCell ref="F70:W70"/>
    <mergeCell ref="AK8:AM8"/>
    <mergeCell ref="AK11:AK16"/>
    <mergeCell ref="AL11:AL16"/>
    <mergeCell ref="AK18:AK23"/>
    <mergeCell ref="AL18:AL23"/>
    <mergeCell ref="F65:W65"/>
    <mergeCell ref="F66:W66"/>
    <mergeCell ref="F67:W67"/>
    <mergeCell ref="F68:W68"/>
    <mergeCell ref="F69:W69"/>
    <mergeCell ref="F37:W37"/>
    <mergeCell ref="F38:W38"/>
    <mergeCell ref="F30:W30"/>
    <mergeCell ref="F31:W31"/>
    <mergeCell ref="F32:W32"/>
    <mergeCell ref="J1072:J1077"/>
    <mergeCell ref="F964:W964"/>
    <mergeCell ref="F995:W995"/>
    <mergeCell ref="F1030:W1030"/>
    <mergeCell ref="F1060:W1060"/>
    <mergeCell ref="F1057:W1057"/>
    <mergeCell ref="F1058:W1058"/>
    <mergeCell ref="F1059:W1059"/>
    <mergeCell ref="J1127:J1132"/>
    <mergeCell ref="J1134:J1139"/>
    <mergeCell ref="J1158:J1163"/>
    <mergeCell ref="J1165:J1170"/>
    <mergeCell ref="J1189:J1194"/>
    <mergeCell ref="F1122:W1122"/>
    <mergeCell ref="F1144:W1144"/>
    <mergeCell ref="F1153:W1153"/>
    <mergeCell ref="F1178:W1178"/>
    <mergeCell ref="F1031:W1031"/>
    <mergeCell ref="F1088:W1088"/>
    <mergeCell ref="F1026:W1026"/>
    <mergeCell ref="F1027:W1027"/>
    <mergeCell ref="F1023:W1023"/>
    <mergeCell ref="J1809:J1814"/>
    <mergeCell ref="J1816:J1821"/>
    <mergeCell ref="J1840:J1845"/>
    <mergeCell ref="J1847:J1852"/>
    <mergeCell ref="J1630:J1635"/>
    <mergeCell ref="J1654:J1659"/>
    <mergeCell ref="J1661:J1666"/>
    <mergeCell ref="J1685:J1690"/>
    <mergeCell ref="J1692:J1697"/>
    <mergeCell ref="J1716:J1721"/>
    <mergeCell ref="J1723:J1728"/>
    <mergeCell ref="J1747:J1752"/>
    <mergeCell ref="F1642:W1642"/>
    <mergeCell ref="F1733:W1733"/>
    <mergeCell ref="F1740:W1740"/>
    <mergeCell ref="F1768:W1768"/>
    <mergeCell ref="F1795:W1795"/>
    <mergeCell ref="F1802:W1802"/>
    <mergeCell ref="F1830:W1830"/>
  </mergeCells>
  <pageMargins left="0.23622047244094491" right="0.23622047244094491" top="0.74803149606299213" bottom="0.74803149606299213" header="0.31496062992125984" footer="0.31496062992125984"/>
  <pageSetup paperSize="9" scale="3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67"/>
  <sheetViews>
    <sheetView tabSelected="1" topLeftCell="AL8" zoomScale="59" zoomScaleNormal="59" zoomScaleSheetLayoutView="40" workbookViewId="0">
      <pane ySplit="6" topLeftCell="A17" activePane="bottomLeft" state="frozen"/>
      <selection activeCell="A8" sqref="A8"/>
      <selection pane="bottomLeft" activeCell="A18" sqref="A18:XFD18"/>
    </sheetView>
  </sheetViews>
  <sheetFormatPr defaultRowHeight="21" outlineLevelRow="1" outlineLevelCol="2" x14ac:dyDescent="0.3"/>
  <cols>
    <col min="1" max="1" width="8.33203125" style="126" customWidth="1"/>
    <col min="2" max="2" width="61.6640625" style="126" customWidth="1"/>
    <col min="3" max="3" width="15.33203125" style="126" customWidth="1" outlineLevel="1"/>
    <col min="4" max="4" width="11.88671875" style="126" customWidth="1" outlineLevel="1"/>
    <col min="5" max="6" width="12.6640625" style="126" customWidth="1" outlineLevel="1"/>
    <col min="7" max="7" width="9.5546875" style="126" customWidth="1" outlineLevel="1"/>
    <col min="8" max="8" width="11.5546875" style="126" customWidth="1" outlineLevel="1"/>
    <col min="9" max="9" width="16.44140625" style="126" customWidth="1" outlineLevel="1"/>
    <col min="10" max="11" width="13.109375" style="126" customWidth="1" outlineLevel="1"/>
    <col min="12" max="12" width="12.88671875" style="126" customWidth="1" outlineLevel="1"/>
    <col min="13" max="13" width="15.33203125" style="241" customWidth="1" outlineLevel="1"/>
    <col min="14" max="14" width="16.6640625" style="241" customWidth="1" outlineLevel="1"/>
    <col min="15" max="15" width="13.33203125" style="126" customWidth="1" outlineLevel="1"/>
    <col min="16" max="16" width="14.5546875" style="126" customWidth="1" outlineLevel="2"/>
    <col min="17" max="17" width="10.88671875" style="126" customWidth="1" outlineLevel="1"/>
    <col min="18" max="18" width="13.33203125" style="126" customWidth="1" outlineLevel="2"/>
    <col min="19" max="19" width="15.5546875" style="126" customWidth="1" outlineLevel="1"/>
    <col min="20" max="20" width="15.44140625" style="126" customWidth="1" outlineLevel="2"/>
    <col min="21" max="21" width="12.6640625" style="229" customWidth="1" outlineLevel="1"/>
    <col min="22" max="22" width="10.6640625" style="126" customWidth="1" outlineLevel="2"/>
    <col min="23" max="23" width="10" style="126" customWidth="1" outlineLevel="1"/>
    <col min="24" max="24" width="11.6640625" style="126" customWidth="1" outlineLevel="2"/>
    <col min="25" max="25" width="11.77734375" style="126" customWidth="1" outlineLevel="1"/>
    <col min="26" max="26" width="12.5546875" style="220" customWidth="1" outlineLevel="2"/>
    <col min="27" max="27" width="8.6640625" style="126" customWidth="1" outlineLevel="1"/>
    <col min="28" max="28" width="11.6640625" style="220" customWidth="1" outlineLevel="2"/>
    <col min="29" max="29" width="9.6640625" style="126" customWidth="1" outlineLevel="1"/>
    <col min="30" max="30" width="11.5546875" style="220" customWidth="1" outlineLevel="2"/>
    <col min="31" max="31" width="12.33203125" style="126" customWidth="1" outlineLevel="1"/>
    <col min="32" max="32" width="10.109375" style="220" customWidth="1" outlineLevel="2"/>
    <col min="33" max="33" width="17.21875" style="126" customWidth="1" outlineLevel="1"/>
    <col min="34" max="34" width="20" style="217" customWidth="1" outlineLevel="2"/>
    <col min="35" max="35" width="12.33203125" style="126" customWidth="1" outlineLevel="1"/>
    <col min="36" max="36" width="15.33203125" style="126" customWidth="1" outlineLevel="1"/>
    <col min="37" max="37" width="15.109375" style="126" customWidth="1" outlineLevel="1"/>
    <col min="38" max="38" width="17.109375" style="126" customWidth="1"/>
    <col min="39" max="39" width="11.88671875" style="126" customWidth="1" outlineLevel="1"/>
    <col min="40" max="40" width="11" style="126" customWidth="1" outlineLevel="1"/>
    <col min="41" max="41" width="9.6640625" style="126" customWidth="1" outlineLevel="1"/>
    <col min="42" max="43" width="12.6640625" style="126" customWidth="1" outlineLevel="1"/>
    <col min="44" max="44" width="48.109375" style="126" customWidth="1" outlineLevel="1"/>
    <col min="45" max="45" width="17" style="126" customWidth="1" outlineLevel="1"/>
    <col min="46" max="46" width="11.5546875" customWidth="1" outlineLevel="1"/>
    <col min="47" max="47" width="16.5546875" customWidth="1" outlineLevel="1"/>
    <col min="48" max="48" width="16.33203125" customWidth="1" outlineLevel="1"/>
    <col min="49" max="49" width="17.5546875" customWidth="1" outlineLevel="1"/>
    <col min="50" max="50" width="17.6640625" customWidth="1" outlineLevel="1"/>
    <col min="51" max="51" width="16.5546875" customWidth="1" outlineLevel="1"/>
    <col min="52" max="52" width="20.5546875" customWidth="1" outlineLevel="1"/>
    <col min="53" max="53" width="20.33203125" style="126" customWidth="1"/>
    <col min="54" max="54" width="13" style="126" customWidth="1"/>
    <col min="55" max="55" width="11.6640625" style="126" customWidth="1"/>
    <col min="56" max="57" width="10.44140625" style="126" customWidth="1"/>
    <col min="58" max="58" width="13.88671875" style="126" customWidth="1"/>
    <col min="59" max="59" width="13.77734375" style="126" customWidth="1"/>
    <col min="60" max="60" width="15.33203125" style="126" customWidth="1"/>
    <col min="61" max="61" width="26.44140625" style="126" customWidth="1"/>
    <col min="62" max="62" width="24.6640625" customWidth="1"/>
    <col min="63" max="63" width="28.21875" style="132" customWidth="1"/>
    <col min="64" max="64" width="24.5546875" customWidth="1"/>
    <col min="65" max="65" width="28.5546875" customWidth="1"/>
    <col min="66" max="66" width="18.88671875" customWidth="1"/>
    <col min="67" max="67" width="19.109375" customWidth="1"/>
    <col min="68" max="68" width="23.109375" customWidth="1"/>
  </cols>
  <sheetData>
    <row r="1" spans="1:68" ht="25.2" customHeight="1" outlineLevel="1" x14ac:dyDescent="0.3">
      <c r="B1" s="127"/>
      <c r="C1" s="127"/>
      <c r="D1" s="127"/>
      <c r="E1" s="125"/>
      <c r="F1" s="125"/>
      <c r="G1" s="125"/>
      <c r="H1" s="128" t="s">
        <v>48</v>
      </c>
      <c r="I1" s="128"/>
      <c r="J1" s="128"/>
      <c r="K1" s="128"/>
      <c r="L1" s="128"/>
      <c r="M1" s="239"/>
      <c r="N1" s="239"/>
      <c r="O1" s="127"/>
      <c r="P1" s="127"/>
      <c r="Q1" s="127" t="s">
        <v>68</v>
      </c>
      <c r="R1" s="127"/>
      <c r="S1" s="127"/>
      <c r="T1" s="127"/>
      <c r="U1" s="227"/>
      <c r="V1" s="127"/>
      <c r="W1" s="127"/>
      <c r="X1" s="127"/>
      <c r="Y1" s="127"/>
      <c r="Z1" s="218"/>
      <c r="AA1" s="127"/>
      <c r="AB1" s="218"/>
      <c r="AC1" s="127"/>
      <c r="AD1" s="218"/>
      <c r="AE1" s="127"/>
      <c r="AF1" s="218"/>
      <c r="AG1" s="127"/>
      <c r="AH1" s="215"/>
      <c r="AI1" s="127"/>
      <c r="AJ1" s="127"/>
      <c r="AK1" s="127"/>
      <c r="AL1" s="127"/>
      <c r="AM1" s="128"/>
      <c r="AN1" s="128"/>
      <c r="AO1" s="129"/>
      <c r="AP1" s="128" t="s">
        <v>69</v>
      </c>
      <c r="AQ1" s="128"/>
      <c r="AR1" s="125"/>
      <c r="BA1" s="127"/>
      <c r="BB1" s="127"/>
      <c r="BC1" s="125"/>
      <c r="BD1" s="125"/>
      <c r="BE1" s="125"/>
      <c r="BF1" s="128" t="s">
        <v>48</v>
      </c>
      <c r="BG1" s="128"/>
      <c r="BH1" s="128"/>
      <c r="BI1" s="128"/>
    </row>
    <row r="2" spans="1:68" ht="25.2" customHeight="1" outlineLevel="1" x14ac:dyDescent="0.3">
      <c r="B2" s="127"/>
      <c r="C2" s="127"/>
      <c r="D2" s="127"/>
      <c r="E2" s="125"/>
      <c r="F2" s="125"/>
      <c r="G2" s="125"/>
      <c r="H2" s="127"/>
      <c r="I2" s="127"/>
      <c r="J2" s="127"/>
      <c r="K2" s="127"/>
      <c r="L2" s="127"/>
      <c r="M2" s="239"/>
      <c r="N2" s="239"/>
      <c r="O2" s="127"/>
      <c r="P2" s="127"/>
      <c r="Q2" s="127"/>
      <c r="R2" s="127"/>
      <c r="S2" s="127"/>
      <c r="T2" s="127"/>
      <c r="U2" s="227"/>
      <c r="V2" s="127"/>
      <c r="W2" s="127"/>
      <c r="X2" s="127"/>
      <c r="Y2" s="127"/>
      <c r="Z2" s="218"/>
      <c r="AA2" s="127"/>
      <c r="AB2" s="218"/>
      <c r="AC2" s="127"/>
      <c r="AD2" s="218"/>
      <c r="AE2" s="127"/>
      <c r="AF2" s="218"/>
      <c r="AG2" s="127"/>
      <c r="AH2" s="215"/>
      <c r="AI2" s="127"/>
      <c r="AJ2" s="127"/>
      <c r="AK2" s="127"/>
      <c r="AL2" s="127"/>
      <c r="AM2" s="128"/>
      <c r="AN2" s="128"/>
      <c r="AO2" s="129"/>
      <c r="AP2" s="128" t="s">
        <v>5</v>
      </c>
      <c r="AQ2" s="130"/>
      <c r="AR2" s="125"/>
      <c r="BA2" s="127"/>
      <c r="BB2" s="127"/>
      <c r="BC2" s="125"/>
      <c r="BD2" s="125"/>
      <c r="BE2" s="125"/>
      <c r="BF2" s="127"/>
      <c r="BG2" s="127"/>
      <c r="BH2" s="127"/>
      <c r="BI2" s="127"/>
    </row>
    <row r="3" spans="1:68" ht="25.2" customHeight="1" outlineLevel="1" x14ac:dyDescent="0.3">
      <c r="B3" s="127"/>
      <c r="C3" s="127"/>
      <c r="D3" s="127"/>
      <c r="E3" s="125"/>
      <c r="F3" s="125"/>
      <c r="G3" s="125"/>
      <c r="H3" s="127"/>
      <c r="I3" s="127"/>
      <c r="J3" s="127"/>
      <c r="K3" s="127"/>
      <c r="L3" s="127"/>
      <c r="M3" s="239"/>
      <c r="N3" s="239"/>
      <c r="O3" s="127"/>
      <c r="P3" s="127"/>
      <c r="Q3" s="127"/>
      <c r="R3" s="127"/>
      <c r="S3" s="127"/>
      <c r="T3" s="127"/>
      <c r="U3" s="227"/>
      <c r="V3" s="127"/>
      <c r="W3" s="127"/>
      <c r="X3" s="127"/>
      <c r="Y3" s="127"/>
      <c r="Z3" s="218"/>
      <c r="AA3" s="127"/>
      <c r="AB3" s="218"/>
      <c r="AC3" s="127"/>
      <c r="AD3" s="218"/>
      <c r="AE3" s="127"/>
      <c r="AF3" s="218"/>
      <c r="AG3" s="127"/>
      <c r="AH3" s="215"/>
      <c r="AI3" s="127"/>
      <c r="AJ3" s="127"/>
      <c r="AK3" s="127"/>
      <c r="AL3" s="127"/>
      <c r="AM3" s="128"/>
      <c r="AN3" s="128"/>
      <c r="AO3" s="129"/>
      <c r="AP3" s="128" t="s">
        <v>66</v>
      </c>
      <c r="AQ3" s="128"/>
      <c r="AR3" s="125"/>
      <c r="BA3" s="127"/>
      <c r="BB3" s="127"/>
      <c r="BC3" s="125"/>
      <c r="BD3" s="125"/>
      <c r="BE3" s="125"/>
      <c r="BF3" s="127"/>
      <c r="BG3" s="127"/>
      <c r="BH3" s="127"/>
      <c r="BI3" s="127"/>
    </row>
    <row r="4" spans="1:68" ht="25.2" customHeight="1" outlineLevel="1" x14ac:dyDescent="0.3">
      <c r="B4" s="127"/>
      <c r="C4" s="127"/>
      <c r="D4" s="127"/>
      <c r="E4" s="125"/>
      <c r="F4" s="125"/>
      <c r="G4" s="125"/>
      <c r="H4" s="127"/>
      <c r="I4" s="127"/>
      <c r="J4" s="127"/>
      <c r="K4" s="127"/>
      <c r="L4" s="127"/>
      <c r="M4" s="239"/>
      <c r="N4" s="239"/>
      <c r="O4" s="127"/>
      <c r="P4" s="127"/>
      <c r="Q4" s="127"/>
      <c r="R4" s="127"/>
      <c r="S4" s="127"/>
      <c r="T4" s="127"/>
      <c r="U4" s="227"/>
      <c r="V4" s="127"/>
      <c r="W4" s="127"/>
      <c r="X4" s="127"/>
      <c r="Y4" s="127"/>
      <c r="Z4" s="218"/>
      <c r="AA4" s="127"/>
      <c r="AB4" s="218"/>
      <c r="AC4" s="127"/>
      <c r="AD4" s="218"/>
      <c r="AE4" s="127"/>
      <c r="AF4" s="218"/>
      <c r="AG4" s="127"/>
      <c r="AH4" s="215"/>
      <c r="AI4" s="127"/>
      <c r="AJ4" s="127"/>
      <c r="AK4" s="127"/>
      <c r="AL4" s="127"/>
      <c r="AM4" s="128"/>
      <c r="AN4" s="128"/>
      <c r="AO4" s="129"/>
      <c r="AP4" s="125"/>
      <c r="AQ4" s="125"/>
      <c r="AR4" s="125"/>
      <c r="BA4" s="127"/>
      <c r="BB4" s="127"/>
      <c r="BC4" s="125"/>
      <c r="BD4" s="125"/>
      <c r="BE4" s="125"/>
      <c r="BF4" s="127"/>
      <c r="BG4" s="127"/>
      <c r="BH4" s="127"/>
      <c r="BI4" s="127"/>
    </row>
    <row r="5" spans="1:68" ht="25.2" customHeight="1" outlineLevel="1" x14ac:dyDescent="0.3"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240"/>
      <c r="N5" s="240"/>
      <c r="O5" s="125"/>
      <c r="P5" s="125"/>
      <c r="Q5" s="125"/>
      <c r="R5" s="125"/>
      <c r="S5" s="125"/>
      <c r="T5" s="125"/>
      <c r="U5" s="228"/>
      <c r="V5" s="125"/>
      <c r="W5" s="125"/>
      <c r="X5" s="125"/>
      <c r="Y5" s="125"/>
      <c r="Z5" s="219"/>
      <c r="AA5" s="125"/>
      <c r="AB5" s="219"/>
      <c r="AC5" s="125"/>
      <c r="AD5" s="219"/>
      <c r="AE5" s="125"/>
      <c r="AF5" s="219"/>
      <c r="AG5" s="125"/>
      <c r="AH5" s="216"/>
      <c r="AI5" s="125"/>
      <c r="AJ5" s="125"/>
      <c r="AK5" s="125"/>
      <c r="AL5" s="125"/>
      <c r="AM5" s="125"/>
      <c r="AN5" s="125"/>
      <c r="AO5" s="125"/>
      <c r="AP5" s="128" t="s">
        <v>67</v>
      </c>
      <c r="AQ5" s="128"/>
      <c r="AR5" s="125"/>
      <c r="BA5" s="125"/>
      <c r="BB5" s="125"/>
      <c r="BC5" s="125"/>
      <c r="BD5" s="125"/>
      <c r="BE5" s="125"/>
      <c r="BF5" s="125"/>
      <c r="BG5" s="125"/>
      <c r="BH5" s="125"/>
      <c r="BI5" s="125"/>
    </row>
    <row r="6" spans="1:68" ht="25.2" customHeight="1" outlineLevel="1" x14ac:dyDescent="0.4">
      <c r="B6" s="127"/>
      <c r="C6" s="127" t="s">
        <v>6</v>
      </c>
      <c r="D6" s="127"/>
      <c r="E6" s="127"/>
      <c r="F6" s="127"/>
      <c r="G6" s="127"/>
      <c r="H6" s="131" t="s">
        <v>71</v>
      </c>
      <c r="I6" s="131"/>
      <c r="J6" s="131"/>
      <c r="K6" s="131"/>
      <c r="L6" s="131"/>
      <c r="M6" s="239"/>
      <c r="N6" s="239"/>
      <c r="O6" s="127"/>
      <c r="P6" s="127"/>
      <c r="Q6" s="127"/>
      <c r="R6" s="127"/>
      <c r="S6" s="127"/>
      <c r="T6" s="127"/>
      <c r="U6" s="227"/>
      <c r="V6" s="127"/>
      <c r="W6" s="127"/>
      <c r="X6" s="127"/>
      <c r="Y6" s="127"/>
      <c r="Z6" s="218"/>
      <c r="AA6" s="127"/>
      <c r="AB6" s="218"/>
      <c r="AC6" s="127"/>
      <c r="AD6" s="218"/>
      <c r="AE6" s="127"/>
      <c r="AF6" s="218"/>
      <c r="AG6" s="127"/>
      <c r="AH6" s="215"/>
      <c r="AI6" s="127"/>
      <c r="AJ6" s="127"/>
      <c r="AK6" s="127"/>
      <c r="AL6" s="127"/>
      <c r="AM6" s="125"/>
      <c r="AN6" s="128"/>
      <c r="AO6" s="129"/>
      <c r="AP6" s="128" t="s">
        <v>72</v>
      </c>
      <c r="AQ6" s="130"/>
      <c r="AR6" s="125"/>
      <c r="AS6" s="132"/>
      <c r="AT6" s="2"/>
      <c r="AU6" s="2"/>
      <c r="AV6" s="2"/>
      <c r="AW6" s="2"/>
      <c r="AX6" s="2"/>
      <c r="AY6" s="2"/>
      <c r="AZ6" s="2"/>
      <c r="BA6" s="127"/>
      <c r="BB6" s="127"/>
      <c r="BC6" s="127"/>
      <c r="BD6" s="127"/>
      <c r="BE6" s="127"/>
      <c r="BF6" s="131"/>
      <c r="BG6" s="131"/>
      <c r="BH6" s="131"/>
      <c r="BI6" s="131"/>
    </row>
    <row r="7" spans="1:68" ht="25.2" customHeight="1" outlineLevel="1" x14ac:dyDescent="0.3">
      <c r="B7" s="133"/>
      <c r="C7" s="133"/>
      <c r="D7" s="133"/>
      <c r="AM7" s="133"/>
      <c r="AN7" s="133"/>
      <c r="AO7" s="134"/>
      <c r="AP7" s="135" t="s">
        <v>66</v>
      </c>
      <c r="AQ7" s="135"/>
      <c r="BA7" s="133"/>
      <c r="BB7" s="133"/>
    </row>
    <row r="8" spans="1:68" ht="25.2" customHeight="1" outlineLevel="1" x14ac:dyDescent="0.7">
      <c r="B8" s="272"/>
      <c r="C8" s="272"/>
      <c r="D8" s="272"/>
      <c r="E8" s="273"/>
      <c r="F8" s="273"/>
      <c r="G8" s="273"/>
      <c r="H8" s="273"/>
      <c r="I8" s="273"/>
      <c r="J8" s="273"/>
      <c r="K8" s="273"/>
      <c r="L8" s="273"/>
      <c r="M8" s="274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2"/>
      <c r="AF8" s="272"/>
      <c r="AG8" s="278"/>
      <c r="AH8" s="279"/>
      <c r="AI8" s="279"/>
      <c r="AJ8" s="272"/>
      <c r="AK8" s="272"/>
      <c r="AL8" s="278"/>
      <c r="AM8" s="279"/>
      <c r="AN8" s="279"/>
      <c r="AO8" s="280"/>
      <c r="AP8" s="280"/>
      <c r="AQ8"/>
      <c r="AR8"/>
      <c r="BA8" s="133"/>
      <c r="BB8" s="133"/>
    </row>
    <row r="9" spans="1:68" ht="25.2" customHeight="1" outlineLevel="1" x14ac:dyDescent="0.3">
      <c r="B9" s="450" t="s">
        <v>228</v>
      </c>
      <c r="C9" s="450"/>
      <c r="D9" s="450"/>
      <c r="E9" s="450"/>
      <c r="F9" s="450"/>
      <c r="G9" s="450"/>
      <c r="H9" s="450"/>
      <c r="I9" s="450"/>
      <c r="J9" s="450"/>
      <c r="K9" s="450"/>
      <c r="L9" s="273"/>
      <c r="M9" s="274"/>
      <c r="N9" s="274"/>
      <c r="O9" s="273"/>
      <c r="P9" s="273"/>
      <c r="Q9" s="273"/>
      <c r="R9" s="273"/>
      <c r="S9" s="273"/>
      <c r="T9" s="273"/>
      <c r="U9" s="275"/>
      <c r="V9" s="273"/>
      <c r="W9" s="273"/>
      <c r="X9" s="273"/>
      <c r="Y9" s="273"/>
      <c r="Z9" s="276"/>
      <c r="AA9" s="273"/>
      <c r="AB9" s="276"/>
      <c r="AC9" s="273"/>
      <c r="AD9" s="276"/>
      <c r="AE9" s="273"/>
      <c r="AF9" s="276"/>
      <c r="AG9" s="273"/>
      <c r="AH9" s="277"/>
      <c r="AI9" s="273"/>
      <c r="AJ9" s="273"/>
      <c r="AK9" s="273"/>
      <c r="AL9" s="273"/>
      <c r="AM9" s="272"/>
      <c r="AN9" s="272"/>
      <c r="AO9" s="278"/>
      <c r="AP9" s="279"/>
      <c r="AQ9" s="135"/>
      <c r="BA9" s="133"/>
      <c r="BB9" s="133"/>
      <c r="BJ9" s="428" t="s">
        <v>241</v>
      </c>
      <c r="BK9" s="429"/>
      <c r="BL9" s="430"/>
      <c r="BM9" s="428" t="s">
        <v>250</v>
      </c>
      <c r="BN9" s="429"/>
      <c r="BO9" s="429"/>
      <c r="BP9" s="430"/>
    </row>
    <row r="10" spans="1:68" ht="46.95" customHeight="1" x14ac:dyDescent="0.3">
      <c r="A10" s="446" t="s">
        <v>22</v>
      </c>
      <c r="B10" s="451" t="s">
        <v>7</v>
      </c>
      <c r="C10" s="446" t="s">
        <v>8</v>
      </c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242"/>
      <c r="O10" s="435" t="s">
        <v>9</v>
      </c>
      <c r="P10" s="435"/>
      <c r="Q10" s="435"/>
      <c r="R10" s="435"/>
      <c r="S10" s="435"/>
      <c r="T10" s="435"/>
      <c r="U10" s="435"/>
      <c r="V10" s="435"/>
      <c r="W10" s="435"/>
      <c r="X10" s="435"/>
      <c r="Y10" s="435"/>
      <c r="Z10" s="435"/>
      <c r="AA10" s="435"/>
      <c r="AB10" s="435"/>
      <c r="AC10" s="435"/>
      <c r="AD10" s="435"/>
      <c r="AE10" s="435"/>
      <c r="AF10" s="435"/>
      <c r="AG10" s="435"/>
      <c r="AH10" s="435"/>
      <c r="AI10" s="435"/>
      <c r="AJ10" s="435"/>
      <c r="AK10" s="435"/>
      <c r="AL10" s="435"/>
      <c r="AM10" s="446" t="s">
        <v>10</v>
      </c>
      <c r="AN10" s="446"/>
      <c r="AO10" s="446"/>
      <c r="AP10" s="446"/>
      <c r="AQ10" s="446"/>
      <c r="AR10" s="446"/>
      <c r="AS10" s="446"/>
      <c r="AT10" s="447" t="s">
        <v>90</v>
      </c>
      <c r="AU10" s="447"/>
      <c r="AV10" s="447"/>
      <c r="AW10" s="447"/>
      <c r="AX10" s="447"/>
      <c r="AY10" s="447"/>
      <c r="AZ10" s="447"/>
      <c r="BA10" s="437" t="s">
        <v>206</v>
      </c>
      <c r="BB10" s="437"/>
      <c r="BC10" s="437"/>
      <c r="BD10" s="437"/>
      <c r="BE10" s="437"/>
      <c r="BF10" s="437"/>
      <c r="BG10" s="437"/>
      <c r="BH10" s="437"/>
      <c r="BI10" s="437"/>
      <c r="BJ10" s="431" t="s">
        <v>252</v>
      </c>
      <c r="BK10" s="432"/>
      <c r="BL10" s="325"/>
      <c r="BM10" s="431" t="s">
        <v>252</v>
      </c>
      <c r="BN10" s="432"/>
      <c r="BO10" s="433" t="s">
        <v>256</v>
      </c>
      <c r="BP10" s="325"/>
    </row>
    <row r="11" spans="1:68" ht="190.2" customHeight="1" x14ac:dyDescent="0.3">
      <c r="A11" s="446"/>
      <c r="B11" s="451"/>
      <c r="C11" s="264" t="s">
        <v>227</v>
      </c>
      <c r="D11" s="263" t="s">
        <v>222</v>
      </c>
      <c r="E11" s="263" t="s">
        <v>13</v>
      </c>
      <c r="F11" s="263" t="s">
        <v>221</v>
      </c>
      <c r="G11" s="263" t="s">
        <v>27</v>
      </c>
      <c r="H11" s="92" t="s">
        <v>88</v>
      </c>
      <c r="I11" s="263" t="s">
        <v>89</v>
      </c>
      <c r="J11" s="263" t="s">
        <v>224</v>
      </c>
      <c r="K11" s="264" t="s">
        <v>230</v>
      </c>
      <c r="L11" s="265" t="s">
        <v>64</v>
      </c>
      <c r="M11" s="284" t="s">
        <v>100</v>
      </c>
      <c r="N11" s="260"/>
      <c r="O11" s="438" t="s">
        <v>60</v>
      </c>
      <c r="P11" s="439"/>
      <c r="Q11" s="440" t="s">
        <v>223</v>
      </c>
      <c r="R11" s="441"/>
      <c r="S11" s="436" t="s">
        <v>13</v>
      </c>
      <c r="T11" s="436"/>
      <c r="U11" s="436" t="s">
        <v>221</v>
      </c>
      <c r="V11" s="436"/>
      <c r="W11" s="436" t="s">
        <v>27</v>
      </c>
      <c r="X11" s="436"/>
      <c r="Y11" s="442" t="s">
        <v>89</v>
      </c>
      <c r="Z11" s="443"/>
      <c r="AA11" s="444" t="s">
        <v>121</v>
      </c>
      <c r="AB11" s="445"/>
      <c r="AC11" s="444" t="s">
        <v>224</v>
      </c>
      <c r="AD11" s="445"/>
      <c r="AE11" s="444" t="s">
        <v>88</v>
      </c>
      <c r="AF11" s="445"/>
      <c r="AG11" s="448" t="s">
        <v>230</v>
      </c>
      <c r="AH11" s="449"/>
      <c r="AI11" s="323" t="s">
        <v>62</v>
      </c>
      <c r="AJ11" s="116" t="s">
        <v>99</v>
      </c>
      <c r="AK11" s="116" t="s">
        <v>65</v>
      </c>
      <c r="AL11" s="434" t="s">
        <v>14</v>
      </c>
      <c r="AM11" s="261" t="s">
        <v>15</v>
      </c>
      <c r="AN11" s="261" t="s">
        <v>16</v>
      </c>
      <c r="AO11" s="262" t="s">
        <v>17</v>
      </c>
      <c r="AP11" s="112" t="s">
        <v>11</v>
      </c>
      <c r="AQ11" s="115" t="s">
        <v>70</v>
      </c>
      <c r="AR11" s="111" t="s">
        <v>30</v>
      </c>
      <c r="AS11" s="111" t="s">
        <v>45</v>
      </c>
      <c r="AT11" s="266" t="s">
        <v>95</v>
      </c>
      <c r="AU11" s="266" t="s">
        <v>91</v>
      </c>
      <c r="AV11" s="266" t="s">
        <v>225</v>
      </c>
      <c r="AW11" s="266" t="s">
        <v>93</v>
      </c>
      <c r="AX11" s="266" t="s">
        <v>94</v>
      </c>
      <c r="AY11" s="266" t="s">
        <v>96</v>
      </c>
      <c r="AZ11" s="266" t="s">
        <v>97</v>
      </c>
      <c r="BA11" s="267" t="s">
        <v>60</v>
      </c>
      <c r="BB11" s="268" t="s">
        <v>223</v>
      </c>
      <c r="BC11" s="268" t="s">
        <v>13</v>
      </c>
      <c r="BD11" s="268" t="s">
        <v>221</v>
      </c>
      <c r="BE11" s="268" t="s">
        <v>27</v>
      </c>
      <c r="BF11" s="268" t="s">
        <v>88</v>
      </c>
      <c r="BG11" s="268" t="s">
        <v>89</v>
      </c>
      <c r="BH11" s="268" t="s">
        <v>224</v>
      </c>
      <c r="BI11" s="267" t="s">
        <v>230</v>
      </c>
      <c r="BJ11" s="325" t="s">
        <v>238</v>
      </c>
      <c r="BK11" s="325" t="s">
        <v>239</v>
      </c>
      <c r="BL11" s="325" t="s">
        <v>251</v>
      </c>
      <c r="BM11" s="325" t="s">
        <v>238</v>
      </c>
      <c r="BN11" s="325" t="s">
        <v>239</v>
      </c>
      <c r="BO11" s="433"/>
      <c r="BP11" s="325" t="s">
        <v>251</v>
      </c>
    </row>
    <row r="12" spans="1:68" ht="45.6" customHeight="1" x14ac:dyDescent="0.3">
      <c r="A12" s="446"/>
      <c r="B12" s="451"/>
      <c r="C12" s="113" t="s">
        <v>18</v>
      </c>
      <c r="D12" s="113" t="s">
        <v>18</v>
      </c>
      <c r="E12" s="113" t="s">
        <v>18</v>
      </c>
      <c r="F12" s="113" t="s">
        <v>18</v>
      </c>
      <c r="G12" s="113" t="s">
        <v>18</v>
      </c>
      <c r="H12" s="113" t="s">
        <v>19</v>
      </c>
      <c r="I12" s="113" t="s">
        <v>19</v>
      </c>
      <c r="J12" s="113" t="s">
        <v>19</v>
      </c>
      <c r="K12" s="113" t="s">
        <v>19</v>
      </c>
      <c r="L12" s="112" t="s">
        <v>63</v>
      </c>
      <c r="M12" s="242" t="s">
        <v>19</v>
      </c>
      <c r="N12" s="242"/>
      <c r="O12" s="119" t="s">
        <v>19</v>
      </c>
      <c r="P12" s="119" t="s">
        <v>98</v>
      </c>
      <c r="Q12" s="119" t="s">
        <v>19</v>
      </c>
      <c r="R12" s="119" t="s">
        <v>98</v>
      </c>
      <c r="S12" s="119" t="s">
        <v>19</v>
      </c>
      <c r="T12" s="119" t="s">
        <v>98</v>
      </c>
      <c r="U12" s="230" t="s">
        <v>19</v>
      </c>
      <c r="V12" s="119" t="s">
        <v>98</v>
      </c>
      <c r="W12" s="119" t="s">
        <v>19</v>
      </c>
      <c r="X12" s="119" t="s">
        <v>98</v>
      </c>
      <c r="Y12" s="119" t="s">
        <v>19</v>
      </c>
      <c r="Z12" s="214"/>
      <c r="AA12" s="119" t="s">
        <v>19</v>
      </c>
      <c r="AB12" s="214"/>
      <c r="AC12" s="119" t="s">
        <v>19</v>
      </c>
      <c r="AD12" s="214"/>
      <c r="AE12" s="119" t="s">
        <v>19</v>
      </c>
      <c r="AF12" s="214"/>
      <c r="AG12" s="119" t="s">
        <v>19</v>
      </c>
      <c r="AH12" s="119" t="s">
        <v>98</v>
      </c>
      <c r="AI12" s="119" t="s">
        <v>98</v>
      </c>
      <c r="AJ12" s="119" t="s">
        <v>98</v>
      </c>
      <c r="AK12" s="119" t="s">
        <v>19</v>
      </c>
      <c r="AL12" s="434"/>
      <c r="AM12" s="113" t="s">
        <v>105</v>
      </c>
      <c r="AN12" s="113" t="s">
        <v>105</v>
      </c>
      <c r="AO12" s="114" t="s">
        <v>105</v>
      </c>
      <c r="AP12" s="112" t="s">
        <v>105</v>
      </c>
      <c r="AQ12" s="115" t="s">
        <v>19</v>
      </c>
      <c r="AR12" s="111"/>
      <c r="AS12" s="111" t="s">
        <v>92</v>
      </c>
      <c r="AT12" s="118" t="s">
        <v>92</v>
      </c>
      <c r="AU12" s="118" t="s">
        <v>101</v>
      </c>
      <c r="AV12" s="118" t="s">
        <v>102</v>
      </c>
      <c r="AW12" s="118" t="s">
        <v>102</v>
      </c>
      <c r="AX12" s="118" t="s">
        <v>104</v>
      </c>
      <c r="AY12" s="118" t="s">
        <v>19</v>
      </c>
      <c r="AZ12" s="118" t="s">
        <v>103</v>
      </c>
      <c r="BA12" s="213" t="s">
        <v>18</v>
      </c>
      <c r="BB12" s="213" t="s">
        <v>18</v>
      </c>
      <c r="BC12" s="213" t="s">
        <v>18</v>
      </c>
      <c r="BD12" s="213" t="s">
        <v>18</v>
      </c>
      <c r="BE12" s="213" t="s">
        <v>18</v>
      </c>
      <c r="BF12" s="213" t="s">
        <v>19</v>
      </c>
      <c r="BG12" s="213" t="s">
        <v>19</v>
      </c>
      <c r="BH12" s="213" t="s">
        <v>19</v>
      </c>
      <c r="BI12" s="213" t="s">
        <v>19</v>
      </c>
      <c r="BJ12" s="213" t="s">
        <v>19</v>
      </c>
      <c r="BK12" s="213" t="s">
        <v>19</v>
      </c>
      <c r="BL12" s="213" t="s">
        <v>19</v>
      </c>
      <c r="BM12" s="213" t="s">
        <v>19</v>
      </c>
      <c r="BN12" s="213" t="s">
        <v>19</v>
      </c>
      <c r="BO12" s="213" t="s">
        <v>19</v>
      </c>
      <c r="BP12" s="213" t="s">
        <v>19</v>
      </c>
    </row>
    <row r="13" spans="1:68" ht="22.95" customHeight="1" x14ac:dyDescent="0.3">
      <c r="A13" s="120">
        <v>1</v>
      </c>
      <c r="B13" s="269">
        <v>2</v>
      </c>
      <c r="C13" s="120">
        <v>3</v>
      </c>
      <c r="D13" s="120">
        <v>4</v>
      </c>
      <c r="E13" s="120">
        <v>5</v>
      </c>
      <c r="F13" s="120">
        <v>6</v>
      </c>
      <c r="G13" s="120">
        <v>7</v>
      </c>
      <c r="H13" s="120">
        <v>8</v>
      </c>
      <c r="I13" s="120">
        <v>9</v>
      </c>
      <c r="J13" s="120">
        <v>10</v>
      </c>
      <c r="K13" s="120">
        <v>11</v>
      </c>
      <c r="L13" s="120">
        <v>12</v>
      </c>
      <c r="M13" s="122">
        <v>13</v>
      </c>
      <c r="N13" s="122">
        <v>14</v>
      </c>
      <c r="O13" s="120">
        <v>15</v>
      </c>
      <c r="P13" s="122">
        <v>16</v>
      </c>
      <c r="Q13" s="120">
        <v>17</v>
      </c>
      <c r="R13" s="122">
        <v>18</v>
      </c>
      <c r="S13" s="120">
        <v>19</v>
      </c>
      <c r="T13" s="122">
        <v>20</v>
      </c>
      <c r="U13" s="120">
        <v>21</v>
      </c>
      <c r="V13" s="122">
        <v>22</v>
      </c>
      <c r="W13" s="120">
        <v>23</v>
      </c>
      <c r="X13" s="122">
        <v>24</v>
      </c>
      <c r="Y13" s="120">
        <v>25</v>
      </c>
      <c r="Z13" s="122">
        <v>26</v>
      </c>
      <c r="AA13" s="120">
        <v>27</v>
      </c>
      <c r="AB13" s="122">
        <v>28</v>
      </c>
      <c r="AC13" s="120">
        <v>29</v>
      </c>
      <c r="AD13" s="122">
        <v>30</v>
      </c>
      <c r="AE13" s="120">
        <v>31</v>
      </c>
      <c r="AF13" s="122">
        <v>32</v>
      </c>
      <c r="AG13" s="120">
        <v>33</v>
      </c>
      <c r="AH13" s="122">
        <v>34</v>
      </c>
      <c r="AI13" s="120">
        <v>35</v>
      </c>
      <c r="AJ13" s="122">
        <v>36</v>
      </c>
      <c r="AK13" s="120">
        <v>37</v>
      </c>
      <c r="AL13" s="122">
        <v>38</v>
      </c>
      <c r="AM13" s="120">
        <v>39</v>
      </c>
      <c r="AN13" s="122">
        <v>40</v>
      </c>
      <c r="AO13" s="120">
        <v>41</v>
      </c>
      <c r="AP13" s="122">
        <v>42</v>
      </c>
      <c r="AQ13" s="120">
        <v>43</v>
      </c>
      <c r="AR13" s="122">
        <v>44</v>
      </c>
      <c r="AS13" s="120">
        <v>45</v>
      </c>
      <c r="AT13" s="122">
        <v>46</v>
      </c>
      <c r="AU13" s="120">
        <v>47</v>
      </c>
      <c r="AV13" s="122">
        <v>48</v>
      </c>
      <c r="AW13" s="120">
        <v>49</v>
      </c>
      <c r="AX13" s="122">
        <v>50</v>
      </c>
      <c r="AY13" s="120">
        <v>51</v>
      </c>
      <c r="AZ13" s="122">
        <v>52</v>
      </c>
      <c r="BA13" s="120">
        <v>53</v>
      </c>
      <c r="BB13" s="122">
        <v>54</v>
      </c>
      <c r="BC13" s="120">
        <v>55</v>
      </c>
      <c r="BD13" s="122">
        <v>56</v>
      </c>
      <c r="BE13" s="120">
        <v>57</v>
      </c>
      <c r="BF13" s="122">
        <v>58</v>
      </c>
      <c r="BG13" s="120">
        <v>59</v>
      </c>
      <c r="BH13" s="122">
        <v>60</v>
      </c>
      <c r="BI13" s="120">
        <v>61</v>
      </c>
      <c r="BJ13" s="122">
        <v>61</v>
      </c>
      <c r="BK13" s="120">
        <v>62</v>
      </c>
      <c r="BL13" s="120">
        <v>64</v>
      </c>
      <c r="BM13" s="122">
        <v>61</v>
      </c>
      <c r="BN13" s="120">
        <v>62</v>
      </c>
      <c r="BO13" s="122">
        <v>63</v>
      </c>
      <c r="BP13" s="120">
        <v>64</v>
      </c>
    </row>
    <row r="14" spans="1:68" ht="25.2" customHeight="1" x14ac:dyDescent="0.3">
      <c r="A14" s="121"/>
      <c r="B14" s="270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N14" s="132"/>
    </row>
    <row r="15" spans="1:68" ht="45" customHeight="1" outlineLevel="1" x14ac:dyDescent="0.3">
      <c r="A15" s="117">
        <v>1</v>
      </c>
      <c r="B15" s="271" t="s">
        <v>226</v>
      </c>
      <c r="C15" s="243">
        <f t="shared" ref="C15" si="0">O15/AL15</f>
        <v>14.768160917703288</v>
      </c>
      <c r="D15" s="259">
        <f t="shared" ref="D15" si="1">Q15/AL15</f>
        <v>0.23075251433911387</v>
      </c>
      <c r="E15" s="243">
        <f t="shared" ref="E15" si="2">S15/AL15</f>
        <v>2.3075251433911386</v>
      </c>
      <c r="F15" s="243">
        <f t="shared" ref="F15" si="3">U15/AL15</f>
        <v>0</v>
      </c>
      <c r="G15" s="243">
        <f t="shared" ref="G15" si="4">W15/AL15</f>
        <v>0</v>
      </c>
      <c r="H15" s="259">
        <f t="shared" ref="H15" si="5">AE15/AL15</f>
        <v>4.6150502867822775E-2</v>
      </c>
      <c r="I15" s="259">
        <f t="shared" ref="I15" si="6">Y15/AL15</f>
        <v>0.23075251433911387</v>
      </c>
      <c r="J15" s="259">
        <f t="shared" ref="J15" si="7">AC15/AL15</f>
        <v>0.11537625716955693</v>
      </c>
      <c r="K15" s="243">
        <f t="shared" ref="K15:K22" si="8">AG15/AL15</f>
        <v>4.6150502867822773E-4</v>
      </c>
      <c r="L15" s="243">
        <f t="shared" ref="L15" si="9">SUM(C15:K15)+SUM(C15:K15)*24%-SUM(C15:K15)</f>
        <v>4.2478030451612909</v>
      </c>
      <c r="M15" s="244">
        <f t="shared" ref="M15:M22" si="10">AQ15+AQ15*12%</f>
        <v>21.9469824</v>
      </c>
      <c r="N15" s="244">
        <v>60.419520000000006</v>
      </c>
      <c r="O15" s="245">
        <v>640</v>
      </c>
      <c r="P15" s="246">
        <f t="shared" ref="P15" si="11">O15/(O15+Q15+S15+U15+W15+Y15+AA15+AC15+AE15+AG15)</f>
        <v>0.83439806002451045</v>
      </c>
      <c r="Q15" s="245">
        <v>10</v>
      </c>
      <c r="R15" s="246">
        <f t="shared" ref="R15" si="12">Q15/(O15+Q15+S15+U15+W15+Y15+AA15+AC15+AE15+AG15)</f>
        <v>1.3037469687882976E-2</v>
      </c>
      <c r="S15" s="245">
        <v>100</v>
      </c>
      <c r="T15" s="246">
        <f t="shared" ref="T15" si="13">S15/(O15+Q15+S15+U15+W15+Y15+AA15+AC15+AE15+AG15)</f>
        <v>0.13037469687882977</v>
      </c>
      <c r="U15" s="247"/>
      <c r="V15" s="246">
        <f t="shared" ref="V15" si="14">U15/(O15+Q15+S15+U15+W15+Y15+AC15+AE15+AG15)</f>
        <v>0</v>
      </c>
      <c r="W15" s="245"/>
      <c r="X15" s="246">
        <f t="shared" ref="X15:X22" si="15">W15/(O15+Q15+S15+U15+W15+Y15+AC15+AE15+AG15)</f>
        <v>0</v>
      </c>
      <c r="Y15" s="245">
        <v>10</v>
      </c>
      <c r="Z15" s="246">
        <f t="shared" ref="Z15" si="16">Y15/(O15+Q15+S15+U15+W15+Y15+AA15+AC15+AE15+AG15)</f>
        <v>1.3037469687882976E-2</v>
      </c>
      <c r="AA15" s="248"/>
      <c r="AB15" s="246">
        <f t="shared" ref="AB15" si="17">AA15/(O15+Q15+S15+U15+W15+Y15+AA15+AC15+AE15+AG15)</f>
        <v>0</v>
      </c>
      <c r="AC15" s="243">
        <v>5</v>
      </c>
      <c r="AD15" s="246">
        <f t="shared" ref="AD15" si="18">AC15/(O15+Q15+S15+U15+W15+Y15+AA15+AC15+AE15+AG15)</f>
        <v>6.5187348439414879E-3</v>
      </c>
      <c r="AE15" s="248">
        <v>2</v>
      </c>
      <c r="AF15" s="246">
        <f t="shared" ref="AF15" si="19">AE15/(O15+Q15+S15+U15+W15+Y15+AA15+AC15+AE15+AG15)</f>
        <v>2.6074939375765951E-3</v>
      </c>
      <c r="AG15" s="249">
        <v>0.02</v>
      </c>
      <c r="AH15" s="322">
        <f t="shared" ref="AH15" si="20">AG15/(O15+Q15+S15+U15+Y15+AA15+AC15+AE15+AG15)</f>
        <v>2.6074939375765953E-5</v>
      </c>
      <c r="AI15" s="250">
        <v>0.24</v>
      </c>
      <c r="AJ15" s="246">
        <f t="shared" ref="AJ15" si="21">T15+V15+X15</f>
        <v>0.13037469687882977</v>
      </c>
      <c r="AK15" s="243">
        <f t="shared" ref="AK15" si="22">(O15+Q15+S15+U15+W15+Y15+AC15+AE15+AG15)+(O15+Q15+S15+U15+W15+Y15+AC15+AE15+AG15)*AI15</f>
        <v>951.10479999999995</v>
      </c>
      <c r="AL15" s="251">
        <f t="shared" ref="AL15:AL22" si="23">AK15/M15</f>
        <v>43.336472534830115</v>
      </c>
      <c r="AM15" s="247">
        <v>1750</v>
      </c>
      <c r="AN15" s="247">
        <v>1280</v>
      </c>
      <c r="AO15" s="248">
        <v>5.4</v>
      </c>
      <c r="AP15" s="252">
        <f t="shared" ref="AP15:AP22" si="24">AM15*AN15*AO15/1000000000</f>
        <v>1.2096000000000001E-2</v>
      </c>
      <c r="AQ15" s="243">
        <f t="shared" ref="AQ15" si="25">AP15*1.134/0.0007</f>
        <v>19.59552</v>
      </c>
      <c r="AR15" s="253" t="s">
        <v>229</v>
      </c>
      <c r="AS15" s="254">
        <v>125</v>
      </c>
      <c r="AT15" s="255">
        <f t="shared" ref="AT15" si="26">AP15/0.0007</f>
        <v>17.28</v>
      </c>
      <c r="AU15" s="256">
        <f t="shared" ref="AU15" si="27">0.115/1000*AT15</f>
        <v>1.9872000000000002E-3</v>
      </c>
      <c r="AV15" s="256">
        <f t="shared" ref="AV15:AV22" si="28">0.055/1000*AT15</f>
        <v>9.5040000000000012E-4</v>
      </c>
      <c r="AW15" s="257">
        <f t="shared" ref="AW15:AW22" si="29">0.005/1000*AT15</f>
        <v>8.6400000000000013E-5</v>
      </c>
      <c r="AX15" s="256">
        <f t="shared" ref="AX15" si="30">0.024*AT15/1000</f>
        <v>4.1472000000000004E-4</v>
      </c>
      <c r="AY15" s="256">
        <f t="shared" ref="AY15" si="31">0.024*AT15/1000</f>
        <v>4.1472000000000004E-4</v>
      </c>
      <c r="AZ15" s="257">
        <f t="shared" ref="AZ15" si="32">0.0068/0.046*AP15</f>
        <v>1.7881043478260872E-3</v>
      </c>
      <c r="BA15" s="258">
        <f t="shared" ref="BA15:BA22" si="33">(O15+(O15*(1.31/100*P15)))/AL15</f>
        <v>14.929585992843473</v>
      </c>
      <c r="BB15" s="321">
        <f t="shared" ref="BB15:BB22" si="34">(Q15+(Q15*(1.31/100*R15)))/AL15</f>
        <v>0.23079192475784926</v>
      </c>
      <c r="BC15" s="258">
        <f t="shared" ref="BC15:BC22" si="35">(S15+(S15*(1.31/100*T15)))/AL15</f>
        <v>2.3114661852646781</v>
      </c>
      <c r="BD15" s="258">
        <f t="shared" ref="BD15:BD22" si="36">(U15+(U15*(1.31/100*V15)))/AL15</f>
        <v>0</v>
      </c>
      <c r="BE15" s="258">
        <f t="shared" ref="BE15:BE22" si="37">(W15+(W15*(1.31/100*X15)))/AL15</f>
        <v>0</v>
      </c>
      <c r="BF15" s="321">
        <f t="shared" ref="BF15:BF22" si="38">(AE15+(AE15*(1.31/100*AF15)))/AL15</f>
        <v>4.6152079284572191E-2</v>
      </c>
      <c r="BG15" s="321">
        <f t="shared" ref="BG15:BG22" si="39">(Y15+(Y15*(1.31/100*Z15)))/AL15</f>
        <v>0.23079192475784926</v>
      </c>
      <c r="BH15" s="321">
        <f t="shared" ref="BH15:BH22" si="40">(AC15+(AC15*(1.31/100*AD15)))/AL15</f>
        <v>0.11538610977424078</v>
      </c>
      <c r="BI15" s="324">
        <f t="shared" ref="BI15:BI22" si="41">(AG15+(AG15*(1.31/100*AH15)))/AL15</f>
        <v>4.6150518631990267E-4</v>
      </c>
      <c r="BJ15" s="329">
        <f>ЛКЦ!K4</f>
        <v>2.0384000000000003E-2</v>
      </c>
      <c r="BK15" s="329">
        <f>ЛКЦ!L4</f>
        <v>2.0384000000000003E-2</v>
      </c>
      <c r="BL15" s="329">
        <f>ЛКЦ!J4</f>
        <v>2.8000000000000004E-2</v>
      </c>
      <c r="BM15" s="329">
        <f>ЛКЦ!K12</f>
        <v>7.8400000000000011E-2</v>
      </c>
      <c r="BN15" s="329">
        <f>ЛКЦ!L12</f>
        <v>7.8400000000000011E-2</v>
      </c>
      <c r="BO15" s="329">
        <f>ЛКЦ!N12</f>
        <v>0.29120000000000001</v>
      </c>
      <c r="BP15" s="329">
        <f>ЛКЦ!J12</f>
        <v>0.41440000000000005</v>
      </c>
    </row>
    <row r="16" spans="1:68" ht="45" customHeight="1" outlineLevel="1" x14ac:dyDescent="0.3">
      <c r="A16" s="117">
        <v>2</v>
      </c>
      <c r="B16" s="271" t="s">
        <v>233</v>
      </c>
      <c r="C16" s="243">
        <f t="shared" ref="C16" si="42">O16/AL16</f>
        <v>12.864452674405593</v>
      </c>
      <c r="D16" s="259">
        <f t="shared" ref="D16" si="43">Q16/AL16</f>
        <v>0.20100707303758739</v>
      </c>
      <c r="E16" s="243">
        <f t="shared" ref="E16" si="44">S16/AL16</f>
        <v>2.0100707303758738</v>
      </c>
      <c r="F16" s="243">
        <f t="shared" ref="F16" si="45">U16/AL16</f>
        <v>0</v>
      </c>
      <c r="G16" s="243">
        <f t="shared" ref="G16" si="46">W16/AL16</f>
        <v>0</v>
      </c>
      <c r="H16" s="259">
        <f t="shared" ref="H16" si="47">AE16/AL16</f>
        <v>4.0201414607517479E-2</v>
      </c>
      <c r="I16" s="259">
        <f t="shared" ref="I16" si="48">Y16/AL16</f>
        <v>0.20100707303758739</v>
      </c>
      <c r="J16" s="259">
        <f t="shared" ref="J16" si="49">AC16/AL16</f>
        <v>0.10050353651879369</v>
      </c>
      <c r="K16" s="243">
        <f t="shared" si="8"/>
        <v>4.0201414607517481E-4</v>
      </c>
      <c r="L16" s="243">
        <f t="shared" ref="L16" si="50">SUM(C16:K16)+SUM(C16:K16)*24%-SUM(C16:K16)</f>
        <v>3.7002346838709652</v>
      </c>
      <c r="M16" s="244">
        <f t="shared" si="10"/>
        <v>19.117879199999994</v>
      </c>
      <c r="N16" s="244">
        <v>60.419520000000006</v>
      </c>
      <c r="O16" s="245">
        <v>640</v>
      </c>
      <c r="P16" s="246">
        <f t="shared" ref="P16" si="51">O16/(O16+Q16+S16+U16+W16+Y16+AA16+AC16+AE16+AG16)</f>
        <v>0.83439806002451045</v>
      </c>
      <c r="Q16" s="245">
        <v>10</v>
      </c>
      <c r="R16" s="246">
        <f t="shared" ref="R16" si="52">Q16/(O16+Q16+S16+U16+W16+Y16+AA16+AC16+AE16+AG16)</f>
        <v>1.3037469687882976E-2</v>
      </c>
      <c r="S16" s="245">
        <v>100</v>
      </c>
      <c r="T16" s="246">
        <f t="shared" ref="T16" si="53">S16/(O16+Q16+S16+U16+W16+Y16+AA16+AC16+AE16+AG16)</f>
        <v>0.13037469687882977</v>
      </c>
      <c r="U16" s="247"/>
      <c r="V16" s="246">
        <f t="shared" ref="V16" si="54">U16/(O16+Q16+S16+U16+W16+Y16+AC16+AE16+AG16)</f>
        <v>0</v>
      </c>
      <c r="W16" s="245"/>
      <c r="X16" s="246">
        <f t="shared" si="15"/>
        <v>0</v>
      </c>
      <c r="Y16" s="245">
        <v>10</v>
      </c>
      <c r="Z16" s="246">
        <f t="shared" ref="Z16" si="55">Y16/(O16+Q16+S16+U16+W16+Y16+AA16+AC16+AE16+AG16)</f>
        <v>1.3037469687882976E-2</v>
      </c>
      <c r="AA16" s="248"/>
      <c r="AB16" s="246">
        <f t="shared" ref="AB16" si="56">AA16/(O16+Q16+S16+U16+W16+Y16+AA16+AC16+AE16+AG16)</f>
        <v>0</v>
      </c>
      <c r="AC16" s="243">
        <v>5</v>
      </c>
      <c r="AD16" s="246">
        <f t="shared" ref="AD16" si="57">AC16/(O16+Q16+S16+U16+W16+Y16+AA16+AC16+AE16+AG16)</f>
        <v>6.5187348439414879E-3</v>
      </c>
      <c r="AE16" s="248">
        <v>2</v>
      </c>
      <c r="AF16" s="246">
        <f t="shared" ref="AF16" si="58">AE16/(O16+Q16+S16+U16+W16+Y16+AA16+AC16+AE16+AG16)</f>
        <v>2.6074939375765951E-3</v>
      </c>
      <c r="AG16" s="249">
        <v>0.02</v>
      </c>
      <c r="AH16" s="322">
        <f t="shared" ref="AH16" si="59">AG16/(O16+Q16+S16+U16+Y16+AA16+AC16+AE16+AG16)</f>
        <v>2.6074939375765953E-5</v>
      </c>
      <c r="AI16" s="250">
        <v>0.24</v>
      </c>
      <c r="AJ16" s="246">
        <f t="shared" ref="AJ16" si="60">T16+V16+X16</f>
        <v>0.13037469687882977</v>
      </c>
      <c r="AK16" s="243">
        <f t="shared" ref="AK16" si="61">(O16+Q16+S16+U16+W16+Y16+AC16+AE16+AG16)+(O16+Q16+S16+U16+W16+Y16+AC16+AE16+AG16)*AI16</f>
        <v>951.10479999999995</v>
      </c>
      <c r="AL16" s="251">
        <f t="shared" si="23"/>
        <v>49.749493134154768</v>
      </c>
      <c r="AM16" s="247">
        <v>1750</v>
      </c>
      <c r="AN16" s="247">
        <v>1115</v>
      </c>
      <c r="AO16" s="248">
        <v>5.4</v>
      </c>
      <c r="AP16" s="252">
        <f t="shared" si="24"/>
        <v>1.0536749999999999E-2</v>
      </c>
      <c r="AQ16" s="243">
        <f t="shared" ref="AQ16" si="62">AP16*1.134/0.0007</f>
        <v>17.069534999999995</v>
      </c>
      <c r="AR16" s="253" t="s">
        <v>229</v>
      </c>
      <c r="AS16" s="254">
        <v>135</v>
      </c>
      <c r="AT16" s="255">
        <f t="shared" ref="AT16" si="63">AP16/0.0007</f>
        <v>15.052499999999998</v>
      </c>
      <c r="AU16" s="256">
        <f t="shared" ref="AU16" si="64">0.115/1000*AT16</f>
        <v>1.7310374999999999E-3</v>
      </c>
      <c r="AV16" s="256">
        <f t="shared" si="28"/>
        <v>8.2788749999999998E-4</v>
      </c>
      <c r="AW16" s="257">
        <f t="shared" si="29"/>
        <v>7.5262499999999993E-5</v>
      </c>
      <c r="AX16" s="256">
        <f t="shared" ref="AX16" si="65">0.024*AT16/1000</f>
        <v>3.6125999999999997E-4</v>
      </c>
      <c r="AY16" s="256">
        <f t="shared" ref="AY16" si="66">0.024*AT16/1000</f>
        <v>3.6125999999999997E-4</v>
      </c>
      <c r="AZ16" s="257">
        <f t="shared" ref="AZ16" si="67">0.0068/0.046*AP16</f>
        <v>1.5576065217391304E-3</v>
      </c>
      <c r="BA16" s="258">
        <f t="shared" si="33"/>
        <v>13.005069048453489</v>
      </c>
      <c r="BB16" s="321">
        <f t="shared" si="34"/>
        <v>0.20104140320703268</v>
      </c>
      <c r="BC16" s="258">
        <f t="shared" si="35"/>
        <v>2.0135037473204025</v>
      </c>
      <c r="BD16" s="258">
        <f t="shared" si="36"/>
        <v>0</v>
      </c>
      <c r="BE16" s="258">
        <f t="shared" si="37"/>
        <v>0</v>
      </c>
      <c r="BF16" s="321">
        <f t="shared" si="38"/>
        <v>4.0202787814295288E-2</v>
      </c>
      <c r="BG16" s="321">
        <f t="shared" si="39"/>
        <v>0.20104140320703268</v>
      </c>
      <c r="BH16" s="321">
        <f t="shared" si="40"/>
        <v>0.10051211906115502</v>
      </c>
      <c r="BI16" s="324">
        <f t="shared" si="41"/>
        <v>4.0201428339585254E-4</v>
      </c>
      <c r="BJ16" s="324"/>
      <c r="BK16" s="324"/>
      <c r="BL16" s="324"/>
      <c r="BM16" s="330"/>
      <c r="BN16" s="324"/>
      <c r="BO16" s="324"/>
      <c r="BP16" s="324"/>
    </row>
    <row r="17" spans="1:68" ht="45" customHeight="1" outlineLevel="1" x14ac:dyDescent="0.3">
      <c r="A17" s="117">
        <v>3</v>
      </c>
      <c r="B17" s="271" t="s">
        <v>235</v>
      </c>
      <c r="C17" s="243">
        <f t="shared" ref="C17" si="68">O17/AL17</f>
        <v>25.728905348811185</v>
      </c>
      <c r="D17" s="259">
        <f t="shared" ref="D17" si="69">Q17/AL17</f>
        <v>0.40201414607517477</v>
      </c>
      <c r="E17" s="243">
        <f t="shared" ref="E17" si="70">S17/AL17</f>
        <v>4.0201414607517476</v>
      </c>
      <c r="F17" s="243">
        <f t="shared" ref="F17" si="71">U17/AL17</f>
        <v>0</v>
      </c>
      <c r="G17" s="243">
        <f t="shared" ref="G17" si="72">W17/AL17</f>
        <v>0</v>
      </c>
      <c r="H17" s="259">
        <f t="shared" ref="H17" si="73">AE17/AL17</f>
        <v>8.0402829215034957E-2</v>
      </c>
      <c r="I17" s="259">
        <f t="shared" ref="I17" si="74">Y17/AL17</f>
        <v>0.40201414607517477</v>
      </c>
      <c r="J17" s="259">
        <f t="shared" ref="J17" si="75">AC17/AL17</f>
        <v>0.20100707303758739</v>
      </c>
      <c r="K17" s="243">
        <f t="shared" si="8"/>
        <v>8.0402829215034963E-4</v>
      </c>
      <c r="L17" s="243">
        <f t="shared" ref="L17" si="76">SUM(C17:K17)+SUM(C17:K17)*24%-SUM(C17:K17)</f>
        <v>7.4004693677419304</v>
      </c>
      <c r="M17" s="244">
        <f t="shared" si="10"/>
        <v>38.235758399999987</v>
      </c>
      <c r="N17" s="244">
        <v>60.419520000000006</v>
      </c>
      <c r="O17" s="245">
        <v>640</v>
      </c>
      <c r="P17" s="246">
        <f t="shared" ref="P17" si="77">O17/(O17+Q17+S17+U17+W17+Y17+AA17+AC17+AE17+AG17)</f>
        <v>0.83439806002451045</v>
      </c>
      <c r="Q17" s="245">
        <v>10</v>
      </c>
      <c r="R17" s="246">
        <f t="shared" ref="R17" si="78">Q17/(O17+Q17+S17+U17+W17+Y17+AA17+AC17+AE17+AG17)</f>
        <v>1.3037469687882976E-2</v>
      </c>
      <c r="S17" s="245">
        <v>100</v>
      </c>
      <c r="T17" s="246">
        <f t="shared" ref="T17" si="79">S17/(O17+Q17+S17+U17+W17+Y17+AA17+AC17+AE17+AG17)</f>
        <v>0.13037469687882977</v>
      </c>
      <c r="U17" s="247"/>
      <c r="V17" s="246">
        <f t="shared" ref="V17" si="80">U17/(O17+Q17+S17+U17+W17+Y17+AC17+AE17+AG17)</f>
        <v>0</v>
      </c>
      <c r="W17" s="245"/>
      <c r="X17" s="246">
        <f t="shared" si="15"/>
        <v>0</v>
      </c>
      <c r="Y17" s="245">
        <v>10</v>
      </c>
      <c r="Z17" s="246">
        <f t="shared" ref="Z17" si="81">Y17/(O17+Q17+S17+U17+W17+Y17+AA17+AC17+AE17+AG17)</f>
        <v>1.3037469687882976E-2</v>
      </c>
      <c r="AA17" s="248"/>
      <c r="AB17" s="246">
        <f t="shared" ref="AB17" si="82">AA17/(O17+Q17+S17+U17+W17+Y17+AA17+AC17+AE17+AG17)</f>
        <v>0</v>
      </c>
      <c r="AC17" s="243">
        <v>5</v>
      </c>
      <c r="AD17" s="246">
        <f t="shared" ref="AD17" si="83">AC17/(O17+Q17+S17+U17+W17+Y17+AA17+AC17+AE17+AG17)</f>
        <v>6.5187348439414879E-3</v>
      </c>
      <c r="AE17" s="248">
        <v>2</v>
      </c>
      <c r="AF17" s="246">
        <f t="shared" ref="AF17" si="84">AE17/(O17+Q17+S17+U17+W17+Y17+AA17+AC17+AE17+AG17)</f>
        <v>2.6074939375765951E-3</v>
      </c>
      <c r="AG17" s="249">
        <v>0.02</v>
      </c>
      <c r="AH17" s="322">
        <f t="shared" ref="AH17" si="85">AG17/(O17+Q17+S17+U17+Y17+AA17+AC17+AE17+AG17)</f>
        <v>2.6074939375765953E-5</v>
      </c>
      <c r="AI17" s="250">
        <v>0.24</v>
      </c>
      <c r="AJ17" s="246">
        <f t="shared" ref="AJ17" si="86">T17+V17+X17</f>
        <v>0.13037469687882977</v>
      </c>
      <c r="AK17" s="243">
        <f t="shared" ref="AK17" si="87">(O17+Q17+S17+U17+W17+Y17+AC17+AE17+AG17)+(O17+Q17+S17+U17+W17+Y17+AC17+AE17+AG17)*AI17</f>
        <v>951.10479999999995</v>
      </c>
      <c r="AL17" s="251">
        <f t="shared" si="23"/>
        <v>24.874746567077384</v>
      </c>
      <c r="AM17" s="247">
        <v>3500</v>
      </c>
      <c r="AN17" s="247">
        <v>1115</v>
      </c>
      <c r="AO17" s="248">
        <v>5.4</v>
      </c>
      <c r="AP17" s="252">
        <f t="shared" si="24"/>
        <v>2.1073499999999998E-2</v>
      </c>
      <c r="AQ17" s="243">
        <f t="shared" ref="AQ17" si="88">AP17*1.134/0.0007</f>
        <v>34.13906999999999</v>
      </c>
      <c r="AR17" s="253" t="s">
        <v>229</v>
      </c>
      <c r="AS17" s="254">
        <v>135</v>
      </c>
      <c r="AT17" s="255">
        <f t="shared" ref="AT17" si="89">AP17/0.0007</f>
        <v>30.104999999999997</v>
      </c>
      <c r="AU17" s="256">
        <f t="shared" ref="AU17" si="90">0.115/1000*AT17</f>
        <v>3.4620749999999998E-3</v>
      </c>
      <c r="AV17" s="256">
        <f t="shared" si="28"/>
        <v>1.655775E-3</v>
      </c>
      <c r="AW17" s="257">
        <f t="shared" si="29"/>
        <v>1.5052499999999999E-4</v>
      </c>
      <c r="AX17" s="256">
        <f t="shared" ref="AX17" si="91">0.024*AT17/1000</f>
        <v>7.2251999999999993E-4</v>
      </c>
      <c r="AY17" s="256">
        <f t="shared" ref="AY17" si="92">0.024*AT17/1000</f>
        <v>7.2251999999999993E-4</v>
      </c>
      <c r="AZ17" s="257">
        <f t="shared" ref="AZ17" si="93">0.0068/0.046*AP17</f>
        <v>3.1152130434782608E-3</v>
      </c>
      <c r="BA17" s="258">
        <f t="shared" si="33"/>
        <v>26.010138096906978</v>
      </c>
      <c r="BB17" s="321">
        <f t="shared" si="34"/>
        <v>0.40208280641406535</v>
      </c>
      <c r="BC17" s="258">
        <f t="shared" si="35"/>
        <v>4.027007494640805</v>
      </c>
      <c r="BD17" s="258">
        <f t="shared" si="36"/>
        <v>0</v>
      </c>
      <c r="BE17" s="258">
        <f t="shared" si="37"/>
        <v>0</v>
      </c>
      <c r="BF17" s="321">
        <f t="shared" si="38"/>
        <v>8.0405575628590575E-2</v>
      </c>
      <c r="BG17" s="321">
        <f t="shared" si="39"/>
        <v>0.40208280641406535</v>
      </c>
      <c r="BH17" s="321">
        <f t="shared" si="40"/>
        <v>0.20102423812231004</v>
      </c>
      <c r="BI17" s="324">
        <f t="shared" si="41"/>
        <v>8.0402856679170508E-4</v>
      </c>
      <c r="BJ17" s="324"/>
      <c r="BK17" s="324"/>
      <c r="BL17" s="324"/>
      <c r="BM17" s="324"/>
      <c r="BN17" s="324"/>
      <c r="BO17" s="324"/>
      <c r="BP17" s="324"/>
    </row>
    <row r="18" spans="1:68" ht="45" customHeight="1" outlineLevel="1" x14ac:dyDescent="0.3">
      <c r="A18" s="117">
        <v>4</v>
      </c>
      <c r="B18" s="271" t="s">
        <v>231</v>
      </c>
      <c r="C18" s="243">
        <f t="shared" ref="C18" si="94">O18/AL18</f>
        <v>26.440659784563923</v>
      </c>
      <c r="D18" s="259">
        <f t="shared" ref="D18" si="95">Q18/AL18</f>
        <v>0.4131353091338113</v>
      </c>
      <c r="E18" s="243">
        <f t="shared" ref="E18" si="96">S18/AL18</f>
        <v>4.1313530913381129</v>
      </c>
      <c r="F18" s="243">
        <f t="shared" ref="F18" si="97">U18/AL18</f>
        <v>0</v>
      </c>
      <c r="G18" s="243">
        <f t="shared" ref="G18" si="98">W18/AL18</f>
        <v>0</v>
      </c>
      <c r="H18" s="259">
        <f t="shared" ref="H18" si="99">AE18/AL18</f>
        <v>0</v>
      </c>
      <c r="I18" s="259">
        <f t="shared" ref="I18" si="100">Y18/AL18</f>
        <v>0.4131353091338113</v>
      </c>
      <c r="J18" s="259">
        <f t="shared" ref="J18" si="101">AC18/AL18</f>
        <v>0.20656765456690565</v>
      </c>
      <c r="K18" s="243">
        <f t="shared" si="8"/>
        <v>8.2627061826762269E-4</v>
      </c>
      <c r="L18" s="243">
        <f t="shared" ref="L18" si="102">SUM(C18:K18)+SUM(C18:K18)*24%-SUM(C18:K18)</f>
        <v>7.5853625806451603</v>
      </c>
      <c r="M18" s="244">
        <f t="shared" si="10"/>
        <v>39.191039999999994</v>
      </c>
      <c r="N18" s="244">
        <v>60.419520000000006</v>
      </c>
      <c r="O18" s="245">
        <v>640</v>
      </c>
      <c r="P18" s="246">
        <f t="shared" ref="P18" si="103">O18/(O18+Q18+S18+U18+W18+Y18+AA18+AC18+AE18+AG18)</f>
        <v>0.83657943583174299</v>
      </c>
      <c r="Q18" s="245">
        <v>10</v>
      </c>
      <c r="R18" s="246">
        <f t="shared" ref="R18" si="104">Q18/(O18+Q18+S18+U18+W18+Y18+AA18+AC18+AE18+AG18)</f>
        <v>1.3071553684870984E-2</v>
      </c>
      <c r="S18" s="245">
        <v>100</v>
      </c>
      <c r="T18" s="246">
        <f t="shared" ref="T18" si="105">S18/(O18+Q18+S18+U18+W18+Y18+AA18+AC18+AE18+AG18)</f>
        <v>0.13071553684870985</v>
      </c>
      <c r="U18" s="247"/>
      <c r="V18" s="246">
        <f t="shared" ref="V18" si="106">U18/(O18+Q18+S18+U18+W18+Y18+AC18+AE18+AG18)</f>
        <v>0</v>
      </c>
      <c r="W18" s="245"/>
      <c r="X18" s="246">
        <f t="shared" si="15"/>
        <v>0</v>
      </c>
      <c r="Y18" s="245">
        <v>10</v>
      </c>
      <c r="Z18" s="246">
        <f t="shared" ref="Z18" si="107">Y18/(O18+Q18+S18+U18+W18+Y18+AA18+AC18+AE18+AG18)</f>
        <v>1.3071553684870984E-2</v>
      </c>
      <c r="AA18" s="248"/>
      <c r="AB18" s="246">
        <f t="shared" ref="AB18" si="108">AA18/(O18+Q18+S18+U18+W18+Y18+AA18+AC18+AE18+AG18)</f>
        <v>0</v>
      </c>
      <c r="AC18" s="243">
        <v>5</v>
      </c>
      <c r="AD18" s="246">
        <f t="shared" ref="AD18" si="109">AC18/(O18+Q18+S18+U18+W18+Y18+AA18+AC18+AE18+AG18)</f>
        <v>6.5357768424354921E-3</v>
      </c>
      <c r="AE18" s="248">
        <v>0</v>
      </c>
      <c r="AF18" s="246">
        <f t="shared" ref="AF18" si="110">AE18/(O18+Q18+S18+U18+W18+Y18+AA18+AC18+AE18+AG18)</f>
        <v>0</v>
      </c>
      <c r="AG18" s="249">
        <v>0.02</v>
      </c>
      <c r="AH18" s="322">
        <f t="shared" ref="AH18" si="111">AG18/(O18+Q18+S18+U18+Y18+AA18+AC18+AE18+AG18)</f>
        <v>2.614310736974197E-5</v>
      </c>
      <c r="AI18" s="250">
        <v>0.24</v>
      </c>
      <c r="AJ18" s="246">
        <f t="shared" ref="AJ18" si="112">T18+V18+X18</f>
        <v>0.13071553684870985</v>
      </c>
      <c r="AK18" s="243">
        <f t="shared" ref="AK18" si="113">(O18+Q18+S18+U18+W18+Y18+AC18+AE18+AG18)+(O18+Q18+S18+U18+W18+Y18+AC18+AE18+AG18)*AI18</f>
        <v>948.62479999999994</v>
      </c>
      <c r="AL18" s="251">
        <f t="shared" si="23"/>
        <v>24.205144849434976</v>
      </c>
      <c r="AM18" s="247">
        <v>1800</v>
      </c>
      <c r="AN18" s="247">
        <v>1200</v>
      </c>
      <c r="AO18" s="248">
        <v>10</v>
      </c>
      <c r="AP18" s="252">
        <f t="shared" si="24"/>
        <v>2.1600000000000001E-2</v>
      </c>
      <c r="AQ18" s="243">
        <f t="shared" ref="AQ18" si="114">AP18*1.134/0.0007</f>
        <v>34.991999999999997</v>
      </c>
      <c r="AR18" s="253" t="s">
        <v>229</v>
      </c>
      <c r="AS18" s="254">
        <v>50</v>
      </c>
      <c r="AT18" s="255">
        <f t="shared" ref="AT18" si="115">AP18/0.0007</f>
        <v>30.857142857142858</v>
      </c>
      <c r="AU18" s="256">
        <f t="shared" ref="AU18" si="116">0.115/1000*AT18</f>
        <v>3.5485714285714287E-3</v>
      </c>
      <c r="AV18" s="256">
        <f t="shared" si="28"/>
        <v>1.6971428571428571E-3</v>
      </c>
      <c r="AW18" s="257">
        <f t="shared" si="29"/>
        <v>1.5428571428571431E-4</v>
      </c>
      <c r="AX18" s="256">
        <f t="shared" ref="AX18" si="117">0.024*AT18/1000</f>
        <v>7.4057142857142854E-4</v>
      </c>
      <c r="AY18" s="256">
        <f t="shared" ref="AY18" si="118">0.024*AT18/1000</f>
        <v>7.4057142857142854E-4</v>
      </c>
      <c r="AZ18" s="257">
        <f t="shared" ref="AZ18" si="119">0.0068/0.046*AP18</f>
        <v>3.1930434782608697E-3</v>
      </c>
      <c r="BA18" s="258">
        <f t="shared" si="33"/>
        <v>26.73042801498115</v>
      </c>
      <c r="BB18" s="321">
        <f t="shared" si="34"/>
        <v>0.41320605333069055</v>
      </c>
      <c r="BC18" s="258">
        <f t="shared" si="35"/>
        <v>4.138427511026034</v>
      </c>
      <c r="BD18" s="258">
        <f t="shared" si="36"/>
        <v>0</v>
      </c>
      <c r="BE18" s="258">
        <f t="shared" si="37"/>
        <v>0</v>
      </c>
      <c r="BF18" s="321">
        <f t="shared" si="38"/>
        <v>0</v>
      </c>
      <c r="BG18" s="321">
        <f t="shared" si="39"/>
        <v>0.41320605333069055</v>
      </c>
      <c r="BH18" s="321">
        <f t="shared" si="40"/>
        <v>0.20658534061612546</v>
      </c>
      <c r="BI18" s="324">
        <f t="shared" si="41"/>
        <v>8.262709012444102E-4</v>
      </c>
      <c r="BJ18" s="324"/>
      <c r="BK18" s="324"/>
      <c r="BL18" s="324"/>
      <c r="BM18" s="324"/>
      <c r="BN18" s="324"/>
      <c r="BO18" s="324"/>
      <c r="BP18" s="324"/>
    </row>
    <row r="19" spans="1:68" ht="45" customHeight="1" outlineLevel="1" x14ac:dyDescent="0.3">
      <c r="A19" s="117">
        <v>5</v>
      </c>
      <c r="B19" s="271" t="s">
        <v>232</v>
      </c>
      <c r="C19" s="243">
        <f t="shared" ref="C19" si="120">O19/AL19</f>
        <v>21.152527827651141</v>
      </c>
      <c r="D19" s="259">
        <f t="shared" ref="D19" si="121">Q19/AL19</f>
        <v>0.33050824730704909</v>
      </c>
      <c r="E19" s="243">
        <f t="shared" ref="E19" si="122">S19/AL19</f>
        <v>3.3050824730704909</v>
      </c>
      <c r="F19" s="243">
        <f t="shared" ref="F19" si="123">U19/AL19</f>
        <v>0</v>
      </c>
      <c r="G19" s="243">
        <f t="shared" ref="G19" si="124">W19/AL19</f>
        <v>0</v>
      </c>
      <c r="H19" s="259">
        <f t="shared" ref="H19" si="125">AE19/AL19</f>
        <v>0</v>
      </c>
      <c r="I19" s="259">
        <f t="shared" ref="I19" si="126">Y19/AL19</f>
        <v>0.33050824730704909</v>
      </c>
      <c r="J19" s="259">
        <f t="shared" ref="J19" si="127">AC19/AL19</f>
        <v>0.16525412365352454</v>
      </c>
      <c r="K19" s="243">
        <f t="shared" si="8"/>
        <v>6.6101649461409811E-4</v>
      </c>
      <c r="L19" s="243">
        <f t="shared" ref="L19" si="128">SUM(C19:K19)+SUM(C19:K19)*24%-SUM(C19:K19)</f>
        <v>6.0682900645161304</v>
      </c>
      <c r="M19" s="244">
        <f t="shared" si="10"/>
        <v>31.352831999999996</v>
      </c>
      <c r="N19" s="244">
        <v>60.419520000000006</v>
      </c>
      <c r="O19" s="245">
        <v>640</v>
      </c>
      <c r="P19" s="246">
        <f t="shared" ref="P19" si="129">O19/(O19+Q19+S19+U19+W19+Y19+AA19+AC19+AE19+AG19)</f>
        <v>0.83657943583174299</v>
      </c>
      <c r="Q19" s="245">
        <v>10</v>
      </c>
      <c r="R19" s="246">
        <f t="shared" ref="R19" si="130">Q19/(O19+Q19+S19+U19+W19+Y19+AA19+AC19+AE19+AG19)</f>
        <v>1.3071553684870984E-2</v>
      </c>
      <c r="S19" s="245">
        <v>100</v>
      </c>
      <c r="T19" s="246">
        <f t="shared" ref="T19" si="131">S19/(O19+Q19+S19+U19+W19+Y19+AA19+AC19+AE19+AG19)</f>
        <v>0.13071553684870985</v>
      </c>
      <c r="U19" s="247"/>
      <c r="V19" s="246">
        <f t="shared" ref="V19" si="132">U19/(O19+Q19+S19+U19+W19+Y19+AC19+AE19+AG19)</f>
        <v>0</v>
      </c>
      <c r="W19" s="245"/>
      <c r="X19" s="246">
        <f t="shared" si="15"/>
        <v>0</v>
      </c>
      <c r="Y19" s="245">
        <v>10</v>
      </c>
      <c r="Z19" s="246">
        <f t="shared" ref="Z19" si="133">Y19/(O19+Q19+S19+U19+W19+Y19+AA19+AC19+AE19+AG19)</f>
        <v>1.3071553684870984E-2</v>
      </c>
      <c r="AA19" s="248"/>
      <c r="AB19" s="246">
        <f t="shared" ref="AB19" si="134">AA19/(O19+Q19+S19+U19+W19+Y19+AA19+AC19+AE19+AG19)</f>
        <v>0</v>
      </c>
      <c r="AC19" s="243">
        <v>5</v>
      </c>
      <c r="AD19" s="246">
        <f t="shared" ref="AD19" si="135">AC19/(O19+Q19+S19+U19+W19+Y19+AA19+AC19+AE19+AG19)</f>
        <v>6.5357768424354921E-3</v>
      </c>
      <c r="AE19" s="248">
        <v>0</v>
      </c>
      <c r="AF19" s="246">
        <f t="shared" ref="AF19" si="136">AE19/(O19+Q19+S19+U19+W19+Y19+AA19+AC19+AE19+AG19)</f>
        <v>0</v>
      </c>
      <c r="AG19" s="249">
        <v>0.02</v>
      </c>
      <c r="AH19" s="322">
        <f t="shared" ref="AH19" si="137">AG19/(O19+Q19+S19+U19+Y19+AA19+AC19+AE19+AG19)</f>
        <v>2.614310736974197E-5</v>
      </c>
      <c r="AI19" s="250">
        <v>0.24</v>
      </c>
      <c r="AJ19" s="246">
        <f t="shared" ref="AJ19" si="138">T19+V19+X19</f>
        <v>0.13071553684870985</v>
      </c>
      <c r="AK19" s="243">
        <f t="shared" ref="AK19" si="139">(O19+Q19+S19+U19+W19+Y19+AC19+AE19+AG19)+(O19+Q19+S19+U19+W19+Y19+AC19+AE19+AG19)*AI19</f>
        <v>948.62479999999994</v>
      </c>
      <c r="AL19" s="251">
        <f t="shared" si="23"/>
        <v>30.25643106179372</v>
      </c>
      <c r="AM19" s="247">
        <v>1800</v>
      </c>
      <c r="AN19" s="247">
        <v>1200</v>
      </c>
      <c r="AO19" s="248">
        <v>8</v>
      </c>
      <c r="AP19" s="252">
        <f t="shared" si="24"/>
        <v>1.728E-2</v>
      </c>
      <c r="AQ19" s="243">
        <f t="shared" ref="AQ19" si="140">AP19*1.134/0.0007</f>
        <v>27.993599999999997</v>
      </c>
      <c r="AR19" s="253" t="s">
        <v>229</v>
      </c>
      <c r="AS19" s="254">
        <v>50</v>
      </c>
      <c r="AT19" s="255">
        <f t="shared" ref="AT19" si="141">AP19/0.0007</f>
        <v>24.685714285714287</v>
      </c>
      <c r="AU19" s="256">
        <f t="shared" ref="AU19" si="142">0.115/1000*AT19</f>
        <v>2.838857142857143E-3</v>
      </c>
      <c r="AV19" s="256">
        <f t="shared" si="28"/>
        <v>1.3577142857142859E-3</v>
      </c>
      <c r="AW19" s="257">
        <f t="shared" si="29"/>
        <v>1.2342857142857145E-4</v>
      </c>
      <c r="AX19" s="256">
        <f t="shared" ref="AX19" si="143">0.024*AT19/1000</f>
        <v>5.924571428571429E-4</v>
      </c>
      <c r="AY19" s="256">
        <f t="shared" ref="AY19" si="144">0.024*AT19/1000</f>
        <v>5.924571428571429E-4</v>
      </c>
      <c r="AZ19" s="257">
        <f t="shared" ref="AZ19" si="145">0.0068/0.046*AP19</f>
        <v>2.5544347826086957E-3</v>
      </c>
      <c r="BA19" s="258">
        <f t="shared" si="33"/>
        <v>21.384342411984921</v>
      </c>
      <c r="BB19" s="321">
        <f t="shared" si="34"/>
        <v>0.33056484266455244</v>
      </c>
      <c r="BC19" s="258">
        <f t="shared" si="35"/>
        <v>3.310742008820827</v>
      </c>
      <c r="BD19" s="258">
        <f t="shared" si="36"/>
        <v>0</v>
      </c>
      <c r="BE19" s="258">
        <f t="shared" si="37"/>
        <v>0</v>
      </c>
      <c r="BF19" s="321">
        <f t="shared" si="38"/>
        <v>0</v>
      </c>
      <c r="BG19" s="321">
        <f t="shared" si="39"/>
        <v>0.33056484266455244</v>
      </c>
      <c r="BH19" s="321">
        <f t="shared" si="40"/>
        <v>0.16526827249290038</v>
      </c>
      <c r="BI19" s="324">
        <f t="shared" si="41"/>
        <v>6.610167209955282E-4</v>
      </c>
      <c r="BJ19" s="324"/>
      <c r="BK19" s="324"/>
      <c r="BL19" s="324"/>
      <c r="BM19" s="324"/>
      <c r="BN19" s="324"/>
      <c r="BO19" s="324"/>
      <c r="BP19" s="324"/>
    </row>
    <row r="20" spans="1:68" ht="45" customHeight="1" outlineLevel="1" x14ac:dyDescent="0.3">
      <c r="A20" s="117">
        <v>6</v>
      </c>
      <c r="B20" s="271" t="s">
        <v>234</v>
      </c>
      <c r="C20" s="243">
        <f t="shared" ref="C20" si="146">O20/AL20</f>
        <v>15.864395870738356</v>
      </c>
      <c r="D20" s="259">
        <f t="shared" ref="D20" si="147">Q20/AL20</f>
        <v>0.24788118548028681</v>
      </c>
      <c r="E20" s="243">
        <f t="shared" ref="E20" si="148">S20/AL20</f>
        <v>2.4788118548028679</v>
      </c>
      <c r="F20" s="243">
        <f t="shared" ref="F20" si="149">U20/AL20</f>
        <v>0</v>
      </c>
      <c r="G20" s="243">
        <f t="shared" ref="G20" si="150">W20/AL20</f>
        <v>0</v>
      </c>
      <c r="H20" s="259">
        <f t="shared" ref="H20" si="151">AE20/AL20</f>
        <v>0</v>
      </c>
      <c r="I20" s="259">
        <f t="shared" ref="I20" si="152">Y20/AL20</f>
        <v>0.24788118548028681</v>
      </c>
      <c r="J20" s="259">
        <f t="shared" ref="J20" si="153">AC20/AL20</f>
        <v>0.12394059274014341</v>
      </c>
      <c r="K20" s="243">
        <f t="shared" si="8"/>
        <v>4.9576237096057363E-4</v>
      </c>
      <c r="L20" s="243">
        <f t="shared" ref="L20" si="154">SUM(C20:K20)+SUM(C20:K20)*24%-SUM(C20:K20)</f>
        <v>4.5512175483870969</v>
      </c>
      <c r="M20" s="244">
        <f t="shared" si="10"/>
        <v>23.514623999999998</v>
      </c>
      <c r="N20" s="244">
        <v>60.419520000000006</v>
      </c>
      <c r="O20" s="245">
        <v>640</v>
      </c>
      <c r="P20" s="246">
        <f t="shared" ref="P20" si="155">O20/(O20+Q20+S20+U20+W20+Y20+AA20+AC20+AE20+AG20)</f>
        <v>0.83657943583174299</v>
      </c>
      <c r="Q20" s="245">
        <v>10</v>
      </c>
      <c r="R20" s="246">
        <f t="shared" ref="R20" si="156">Q20/(O20+Q20+S20+U20+W20+Y20+AA20+AC20+AE20+AG20)</f>
        <v>1.3071553684870984E-2</v>
      </c>
      <c r="S20" s="245">
        <v>100</v>
      </c>
      <c r="T20" s="246">
        <f t="shared" ref="T20" si="157">S20/(O20+Q20+S20+U20+W20+Y20+AA20+AC20+AE20+AG20)</f>
        <v>0.13071553684870985</v>
      </c>
      <c r="U20" s="247"/>
      <c r="V20" s="246">
        <f t="shared" ref="V20" si="158">U20/(O20+Q20+S20+U20+W20+Y20+AC20+AE20+AG20)</f>
        <v>0</v>
      </c>
      <c r="W20" s="245"/>
      <c r="X20" s="246">
        <f t="shared" si="15"/>
        <v>0</v>
      </c>
      <c r="Y20" s="245">
        <v>10</v>
      </c>
      <c r="Z20" s="246">
        <f t="shared" ref="Z20" si="159">Y20/(O20+Q20+S20+U20+W20+Y20+AA20+AC20+AE20+AG20)</f>
        <v>1.3071553684870984E-2</v>
      </c>
      <c r="AA20" s="248"/>
      <c r="AB20" s="246">
        <f t="shared" ref="AB20" si="160">AA20/(O20+Q20+S20+U20+W20+Y20+AA20+AC20+AE20+AG20)</f>
        <v>0</v>
      </c>
      <c r="AC20" s="243">
        <v>5</v>
      </c>
      <c r="AD20" s="246">
        <f t="shared" ref="AD20" si="161">AC20/(O20+Q20+S20+U20+W20+Y20+AA20+AC20+AE20+AG20)</f>
        <v>6.5357768424354921E-3</v>
      </c>
      <c r="AE20" s="248">
        <v>0</v>
      </c>
      <c r="AF20" s="246">
        <f t="shared" ref="AF20" si="162">AE20/(O20+Q20+S20+U20+W20+Y20+AA20+AC20+AE20+AG20)</f>
        <v>0</v>
      </c>
      <c r="AG20" s="249">
        <v>0.02</v>
      </c>
      <c r="AH20" s="322">
        <f t="shared" ref="AH20" si="163">AG20/(O20+Q20+S20+U20+Y20+AA20+AC20+AE20+AG20)</f>
        <v>2.614310736974197E-5</v>
      </c>
      <c r="AI20" s="250">
        <v>0.24</v>
      </c>
      <c r="AJ20" s="246">
        <f t="shared" ref="AJ20" si="164">T20+V20+X20</f>
        <v>0.13071553684870985</v>
      </c>
      <c r="AK20" s="243">
        <f t="shared" ref="AK20" si="165">(O20+Q20+S20+U20+W20+Y20+AC20+AE20+AG20)+(O20+Q20+S20+U20+W20+Y20+AC20+AE20+AG20)*AI20</f>
        <v>948.62479999999994</v>
      </c>
      <c r="AL20" s="251">
        <f t="shared" si="23"/>
        <v>40.341908082391626</v>
      </c>
      <c r="AM20" s="247">
        <v>1800</v>
      </c>
      <c r="AN20" s="247">
        <v>1200</v>
      </c>
      <c r="AO20" s="248">
        <v>6</v>
      </c>
      <c r="AP20" s="252">
        <f t="shared" si="24"/>
        <v>1.2959999999999999E-2</v>
      </c>
      <c r="AQ20" s="243">
        <f t="shared" ref="AQ20" si="166">AP20*1.134/0.0007</f>
        <v>20.995199999999997</v>
      </c>
      <c r="AR20" s="253" t="s">
        <v>229</v>
      </c>
      <c r="AS20" s="254">
        <v>50</v>
      </c>
      <c r="AT20" s="255">
        <f t="shared" ref="AT20" si="167">AP20/0.0007</f>
        <v>18.514285714285712</v>
      </c>
      <c r="AU20" s="256">
        <f t="shared" ref="AU20" si="168">0.115/1000*AT20</f>
        <v>2.1291428571428568E-3</v>
      </c>
      <c r="AV20" s="256">
        <f t="shared" si="28"/>
        <v>1.0182857142857142E-3</v>
      </c>
      <c r="AW20" s="257">
        <f t="shared" si="29"/>
        <v>9.2571428571428568E-5</v>
      </c>
      <c r="AX20" s="256">
        <f t="shared" ref="AX20" si="169">0.024*AT20/1000</f>
        <v>4.4434285714285709E-4</v>
      </c>
      <c r="AY20" s="256">
        <f t="shared" ref="AY20" si="170">0.024*AT20/1000</f>
        <v>4.4434285714285709E-4</v>
      </c>
      <c r="AZ20" s="257">
        <f t="shared" ref="AZ20" si="171">0.0068/0.046*AP20</f>
        <v>1.9158260869565217E-3</v>
      </c>
      <c r="BA20" s="258">
        <f t="shared" si="33"/>
        <v>16.038256808988692</v>
      </c>
      <c r="BB20" s="321">
        <f t="shared" si="34"/>
        <v>0.24792363199841436</v>
      </c>
      <c r="BC20" s="258">
        <f t="shared" si="35"/>
        <v>2.4830565066156201</v>
      </c>
      <c r="BD20" s="258">
        <f t="shared" si="36"/>
        <v>0</v>
      </c>
      <c r="BE20" s="258">
        <f t="shared" si="37"/>
        <v>0</v>
      </c>
      <c r="BF20" s="321">
        <f t="shared" si="38"/>
        <v>0</v>
      </c>
      <c r="BG20" s="321">
        <f t="shared" si="39"/>
        <v>0.24792363199841436</v>
      </c>
      <c r="BH20" s="321">
        <f t="shared" si="40"/>
        <v>0.12395120436967529</v>
      </c>
      <c r="BI20" s="324">
        <f t="shared" si="41"/>
        <v>4.957625407466461E-4</v>
      </c>
      <c r="BJ20" s="324"/>
      <c r="BK20" s="324"/>
      <c r="BL20" s="324"/>
      <c r="BM20" s="324"/>
      <c r="BN20" s="324"/>
      <c r="BO20" s="324"/>
      <c r="BP20" s="324"/>
    </row>
    <row r="21" spans="1:68" ht="45" customHeight="1" outlineLevel="1" x14ac:dyDescent="0.3">
      <c r="A21" s="117">
        <v>7</v>
      </c>
      <c r="B21" s="271" t="s">
        <v>236</v>
      </c>
      <c r="C21" s="243">
        <f t="shared" ref="C21" si="172">O21/AL21</f>
        <v>13.135800538489555</v>
      </c>
      <c r="D21" s="259">
        <f t="shared" ref="D21" si="173">Q21/AL21</f>
        <v>0.20524688341389929</v>
      </c>
      <c r="E21" s="243">
        <f t="shared" ref="E21" si="174">S21/AL21</f>
        <v>2.0524688341389927</v>
      </c>
      <c r="F21" s="243">
        <f t="shared" ref="F21" si="175">U21/AL21</f>
        <v>0</v>
      </c>
      <c r="G21" s="243">
        <f t="shared" ref="G21" si="176">W21/AL21</f>
        <v>0</v>
      </c>
      <c r="H21" s="259">
        <f t="shared" ref="H21" si="177">AE21/AL21</f>
        <v>4.1049376682779859E-2</v>
      </c>
      <c r="I21" s="259">
        <f t="shared" ref="I21" si="178">Y21/AL21</f>
        <v>0.20524688341389929</v>
      </c>
      <c r="J21" s="259">
        <f t="shared" ref="J21" si="179">AC21/AL21</f>
        <v>0.10262344170694965</v>
      </c>
      <c r="K21" s="243">
        <f t="shared" si="8"/>
        <v>4.1049376682779858E-4</v>
      </c>
      <c r="L21" s="243">
        <f t="shared" ref="L21" si="180">SUM(C21:K21)+SUM(C21:K21)*24%-SUM(C21:K21)</f>
        <v>3.7782831483870964</v>
      </c>
      <c r="M21" s="244">
        <f t="shared" si="10"/>
        <v>19.521129599999998</v>
      </c>
      <c r="N21" s="244">
        <v>60.419520000000006</v>
      </c>
      <c r="O21" s="245">
        <v>640</v>
      </c>
      <c r="P21" s="246">
        <f t="shared" ref="P21" si="181">O21/(O21+Q21+S21+U21+W21+Y21+AA21+AC21+AE21+AG21)</f>
        <v>0.83439806002451045</v>
      </c>
      <c r="Q21" s="245">
        <v>10</v>
      </c>
      <c r="R21" s="246">
        <f t="shared" ref="R21" si="182">Q21/(O21+Q21+S21+U21+W21+Y21+AA21+AC21+AE21+AG21)</f>
        <v>1.3037469687882976E-2</v>
      </c>
      <c r="S21" s="245">
        <v>100</v>
      </c>
      <c r="T21" s="246">
        <f t="shared" ref="T21" si="183">S21/(O21+Q21+S21+U21+W21+Y21+AA21+AC21+AE21+AG21)</f>
        <v>0.13037469687882977</v>
      </c>
      <c r="U21" s="247"/>
      <c r="V21" s="246">
        <f t="shared" ref="V21" si="184">U21/(O21+Q21+S21+U21+W21+Y21+AC21+AE21+AG21)</f>
        <v>0</v>
      </c>
      <c r="W21" s="245"/>
      <c r="X21" s="246">
        <f t="shared" si="15"/>
        <v>0</v>
      </c>
      <c r="Y21" s="245">
        <v>10</v>
      </c>
      <c r="Z21" s="246">
        <f t="shared" ref="Z21" si="185">Y21/(O21+Q21+S21+U21+W21+Y21+AA21+AC21+AE21+AG21)</f>
        <v>1.3037469687882976E-2</v>
      </c>
      <c r="AA21" s="248"/>
      <c r="AB21" s="246">
        <f t="shared" ref="AB21" si="186">AA21/(O21+Q21+S21+U21+W21+Y21+AA21+AC21+AE21+AG21)</f>
        <v>0</v>
      </c>
      <c r="AC21" s="243">
        <v>5</v>
      </c>
      <c r="AD21" s="246">
        <f t="shared" ref="AD21" si="187">AC21/(O21+Q21+S21+U21+W21+Y21+AA21+AC21+AE21+AG21)</f>
        <v>6.5187348439414879E-3</v>
      </c>
      <c r="AE21" s="248">
        <v>2</v>
      </c>
      <c r="AF21" s="246">
        <f t="shared" ref="AF21" si="188">AE21/(O21+Q21+S21+U21+W21+Y21+AA21+AC21+AE21+AG21)</f>
        <v>2.6074939375765951E-3</v>
      </c>
      <c r="AG21" s="249">
        <v>0.02</v>
      </c>
      <c r="AH21" s="322">
        <f t="shared" ref="AH21" si="189">AG21/(O21+Q21+S21+U21+Y21+AA21+AC21+AE21+AG21)</f>
        <v>2.6074939375765953E-5</v>
      </c>
      <c r="AI21" s="250">
        <v>0.24</v>
      </c>
      <c r="AJ21" s="246">
        <f t="shared" ref="AJ21" si="190">T21+V21+X21</f>
        <v>0.13037469687882977</v>
      </c>
      <c r="AK21" s="243">
        <f t="shared" ref="AK21" si="191">(O21+Q21+S21+U21+W21+Y21+AC21+AE21+AG21)+(O21+Q21+S21+U21+W21+Y21+AC21+AE21+AG21)*AI21</f>
        <v>951.10479999999995</v>
      </c>
      <c r="AL21" s="251">
        <f t="shared" si="23"/>
        <v>48.721811672209789</v>
      </c>
      <c r="AM21" s="247">
        <v>1750</v>
      </c>
      <c r="AN21" s="247">
        <v>1060</v>
      </c>
      <c r="AO21" s="248">
        <v>5.8</v>
      </c>
      <c r="AP21" s="252">
        <f t="shared" si="24"/>
        <v>1.0758999999999999E-2</v>
      </c>
      <c r="AQ21" s="243">
        <f t="shared" ref="AQ21" si="192">AP21*1.134/0.0007</f>
        <v>17.429579999999998</v>
      </c>
      <c r="AR21" s="253" t="s">
        <v>229</v>
      </c>
      <c r="AS21" s="254">
        <v>100</v>
      </c>
      <c r="AT21" s="255">
        <f t="shared" ref="AT21" si="193">AP21/0.0007</f>
        <v>15.37</v>
      </c>
      <c r="AU21" s="256">
        <f t="shared" ref="AU21" si="194">0.115/1000*AT21</f>
        <v>1.7675499999999999E-3</v>
      </c>
      <c r="AV21" s="256">
        <f t="shared" si="28"/>
        <v>8.4535000000000003E-4</v>
      </c>
      <c r="AW21" s="257">
        <f t="shared" si="29"/>
        <v>7.6849999999999998E-5</v>
      </c>
      <c r="AX21" s="256">
        <f t="shared" ref="AX21" si="195">0.024*AT21/1000</f>
        <v>3.6887999999999998E-4</v>
      </c>
      <c r="AY21" s="256">
        <f t="shared" ref="AY21" si="196">0.024*AT21/1000</f>
        <v>3.6887999999999998E-4</v>
      </c>
      <c r="AZ21" s="257">
        <f t="shared" ref="AZ21" si="197">0.0068/0.046*AP21</f>
        <v>1.5904608695652175E-3</v>
      </c>
      <c r="BA21" s="258">
        <f t="shared" si="33"/>
        <v>13.279382911458573</v>
      </c>
      <c r="BB21" s="321">
        <f t="shared" si="34"/>
        <v>0.20528193770417494</v>
      </c>
      <c r="BC21" s="258">
        <f t="shared" si="35"/>
        <v>2.055974263166557</v>
      </c>
      <c r="BD21" s="258">
        <f t="shared" si="36"/>
        <v>0</v>
      </c>
      <c r="BE21" s="258">
        <f t="shared" si="37"/>
        <v>0</v>
      </c>
      <c r="BF21" s="321">
        <f t="shared" si="38"/>
        <v>4.1050778854390881E-2</v>
      </c>
      <c r="BG21" s="321">
        <f t="shared" si="39"/>
        <v>0.20528193770417494</v>
      </c>
      <c r="BH21" s="321">
        <f t="shared" si="40"/>
        <v>0.10263220527951855</v>
      </c>
      <c r="BI21" s="324">
        <f t="shared" si="41"/>
        <v>4.1049390704495965E-4</v>
      </c>
      <c r="BJ21" s="329">
        <f>ЛКЦ!K5</f>
        <v>2.1332500000000001E-2</v>
      </c>
      <c r="BK21" s="329">
        <f>ЛКЦ!L5</f>
        <v>2.1332500000000001E-2</v>
      </c>
      <c r="BL21" s="329">
        <f>ЛКЦ!J5</f>
        <v>2.87525E-2</v>
      </c>
      <c r="BM21" s="329">
        <f>ЛКЦ!K13</f>
        <v>5.5649999999999998E-2</v>
      </c>
      <c r="BN21" s="329">
        <f>ЛКЦ!L13</f>
        <v>5.5649999999999998E-2</v>
      </c>
      <c r="BO21" s="329">
        <f>ЛКЦ!N13</f>
        <v>0.22259999999999999</v>
      </c>
      <c r="BP21" s="329">
        <f>ЛКЦ!J13</f>
        <v>0.31535000000000002</v>
      </c>
    </row>
    <row r="22" spans="1:68" ht="45" customHeight="1" outlineLevel="1" x14ac:dyDescent="0.3">
      <c r="A22" s="117">
        <v>8</v>
      </c>
      <c r="B22" s="271" t="s">
        <v>237</v>
      </c>
      <c r="C22" s="243">
        <f t="shared" ref="C22" si="198">O22/AL22</f>
        <v>6.5679002692447774</v>
      </c>
      <c r="D22" s="259">
        <f t="shared" ref="D22" si="199">Q22/AL22</f>
        <v>0.10262344170694965</v>
      </c>
      <c r="E22" s="243">
        <f t="shared" ref="E22" si="200">S22/AL22</f>
        <v>1.0262344170694964</v>
      </c>
      <c r="F22" s="243">
        <f t="shared" ref="F22" si="201">U22/AL22</f>
        <v>0</v>
      </c>
      <c r="G22" s="243">
        <f t="shared" ref="G22" si="202">W22/AL22</f>
        <v>0</v>
      </c>
      <c r="H22" s="259">
        <f t="shared" ref="H22" si="203">AE22/AL22</f>
        <v>2.0524688341389929E-2</v>
      </c>
      <c r="I22" s="259">
        <f t="shared" ref="I22" si="204">Y22/AL22</f>
        <v>0.10262344170694965</v>
      </c>
      <c r="J22" s="259">
        <f t="shared" ref="J22" si="205">AC22/AL22</f>
        <v>5.1311720853474824E-2</v>
      </c>
      <c r="K22" s="243">
        <f t="shared" si="8"/>
        <v>2.0524688341389929E-4</v>
      </c>
      <c r="L22" s="243">
        <f t="shared" ref="L22" si="206">SUM(C22:K22)+SUM(C22:K22)*24%-SUM(C22:K22)</f>
        <v>1.8891415741935482</v>
      </c>
      <c r="M22" s="244">
        <f t="shared" si="10"/>
        <v>9.7605647999999992</v>
      </c>
      <c r="N22" s="244">
        <v>60.419520000000006</v>
      </c>
      <c r="O22" s="245">
        <v>640</v>
      </c>
      <c r="P22" s="246">
        <f t="shared" ref="P22" si="207">O22/(O22+Q22+S22+U22+W22+Y22+AA22+AC22+AE22+AG22)</f>
        <v>0.83439806002451045</v>
      </c>
      <c r="Q22" s="245">
        <v>10</v>
      </c>
      <c r="R22" s="246">
        <f t="shared" ref="R22" si="208">Q22/(O22+Q22+S22+U22+W22+Y22+AA22+AC22+AE22+AG22)</f>
        <v>1.3037469687882976E-2</v>
      </c>
      <c r="S22" s="245">
        <v>100</v>
      </c>
      <c r="T22" s="246">
        <f t="shared" ref="T22" si="209">S22/(O22+Q22+S22+U22+W22+Y22+AA22+AC22+AE22+AG22)</f>
        <v>0.13037469687882977</v>
      </c>
      <c r="U22" s="247"/>
      <c r="V22" s="246">
        <f t="shared" ref="V22" si="210">U22/(O22+Q22+S22+U22+W22+Y22+AC22+AE22+AG22)</f>
        <v>0</v>
      </c>
      <c r="W22" s="245"/>
      <c r="X22" s="246">
        <f t="shared" si="15"/>
        <v>0</v>
      </c>
      <c r="Y22" s="245">
        <v>10</v>
      </c>
      <c r="Z22" s="246">
        <f t="shared" ref="Z22" si="211">Y22/(O22+Q22+S22+U22+W22+Y22+AA22+AC22+AE22+AG22)</f>
        <v>1.3037469687882976E-2</v>
      </c>
      <c r="AA22" s="248"/>
      <c r="AB22" s="246">
        <f t="shared" ref="AB22" si="212">AA22/(O22+Q22+S22+U22+W22+Y22+AA22+AC22+AE22+AG22)</f>
        <v>0</v>
      </c>
      <c r="AC22" s="243">
        <v>5</v>
      </c>
      <c r="AD22" s="246">
        <f t="shared" ref="AD22" si="213">AC22/(O22+Q22+S22+U22+W22+Y22+AA22+AC22+AE22+AG22)</f>
        <v>6.5187348439414879E-3</v>
      </c>
      <c r="AE22" s="248">
        <v>2</v>
      </c>
      <c r="AF22" s="246">
        <f t="shared" ref="AF22" si="214">AE22/(O22+Q22+S22+U22+W22+Y22+AA22+AC22+AE22+AG22)</f>
        <v>2.6074939375765951E-3</v>
      </c>
      <c r="AG22" s="249">
        <v>0.02</v>
      </c>
      <c r="AH22" s="322">
        <f t="shared" ref="AH22" si="215">AG22/(O22+Q22+S22+U22+Y22+AA22+AC22+AE22+AG22)</f>
        <v>2.6074939375765953E-5</v>
      </c>
      <c r="AI22" s="250">
        <v>0.24</v>
      </c>
      <c r="AJ22" s="246">
        <f t="shared" ref="AJ22" si="216">T22+V22+X22</f>
        <v>0.13037469687882977</v>
      </c>
      <c r="AK22" s="243">
        <f t="shared" ref="AK22" si="217">(O22+Q22+S22+U22+W22+Y22+AC22+AE22+AG22)+(O22+Q22+S22+U22+W22+Y22+AC22+AE22+AG22)*AI22</f>
        <v>951.10479999999995</v>
      </c>
      <c r="AL22" s="251">
        <f t="shared" si="23"/>
        <v>97.443623344419578</v>
      </c>
      <c r="AM22" s="247">
        <v>875</v>
      </c>
      <c r="AN22" s="247">
        <v>1060</v>
      </c>
      <c r="AO22" s="248">
        <v>5.8</v>
      </c>
      <c r="AP22" s="252">
        <f t="shared" si="24"/>
        <v>5.3794999999999997E-3</v>
      </c>
      <c r="AQ22" s="243">
        <f t="shared" ref="AQ22" si="218">AP22*1.134/0.0007</f>
        <v>8.7147899999999989</v>
      </c>
      <c r="AR22" s="253" t="s">
        <v>229</v>
      </c>
      <c r="AS22" s="254">
        <v>100</v>
      </c>
      <c r="AT22" s="255">
        <f t="shared" ref="AT22" si="219">AP22/0.0007</f>
        <v>7.6849999999999996</v>
      </c>
      <c r="AU22" s="256">
        <f t="shared" ref="AU22" si="220">0.115/1000*AT22</f>
        <v>8.8377499999999995E-4</v>
      </c>
      <c r="AV22" s="256">
        <f t="shared" si="28"/>
        <v>4.2267500000000001E-4</v>
      </c>
      <c r="AW22" s="257">
        <f t="shared" si="29"/>
        <v>3.8424999999999999E-5</v>
      </c>
      <c r="AX22" s="256">
        <f t="shared" ref="AX22" si="221">0.024*AT22/1000</f>
        <v>1.8443999999999999E-4</v>
      </c>
      <c r="AY22" s="256">
        <f t="shared" ref="AY22" si="222">0.024*AT22/1000</f>
        <v>1.8443999999999999E-4</v>
      </c>
      <c r="AZ22" s="257">
        <f t="shared" ref="AZ22" si="223">0.0068/0.046*AP22</f>
        <v>7.9523043478260875E-4</v>
      </c>
      <c r="BA22" s="258">
        <f t="shared" si="33"/>
        <v>6.6396914557292863</v>
      </c>
      <c r="BB22" s="321">
        <f t="shared" si="34"/>
        <v>0.10264096885208747</v>
      </c>
      <c r="BC22" s="258">
        <f t="shared" si="35"/>
        <v>1.0279871315832785</v>
      </c>
      <c r="BD22" s="258">
        <f t="shared" si="36"/>
        <v>0</v>
      </c>
      <c r="BE22" s="258">
        <f t="shared" si="37"/>
        <v>0</v>
      </c>
      <c r="BF22" s="321">
        <f t="shared" si="38"/>
        <v>2.052538942719544E-2</v>
      </c>
      <c r="BG22" s="321">
        <f t="shared" si="39"/>
        <v>0.10264096885208747</v>
      </c>
      <c r="BH22" s="321">
        <f t="shared" si="40"/>
        <v>5.1316102639759276E-2</v>
      </c>
      <c r="BI22" s="324">
        <f t="shared" si="41"/>
        <v>2.0524695352247983E-4</v>
      </c>
      <c r="BJ22" s="329">
        <f>ЛКЦ!K6</f>
        <v>1.066625E-2</v>
      </c>
      <c r="BK22" s="329">
        <f>ЛКЦ!L6</f>
        <v>1.066625E-2</v>
      </c>
      <c r="BL22" s="329">
        <f>ЛКЦ!J6</f>
        <v>1.437625E-2</v>
      </c>
      <c r="BM22" s="329">
        <f>ЛКЦ!K14</f>
        <v>2.7824999999999999E-2</v>
      </c>
      <c r="BN22" s="329">
        <f>ЛКЦ!L14</f>
        <v>2.7824999999999999E-2</v>
      </c>
      <c r="BO22" s="329">
        <f>ЛКЦ!N14</f>
        <v>0.1113</v>
      </c>
      <c r="BP22" s="329">
        <f>ЛКЦ!J14</f>
        <v>0.15767500000000001</v>
      </c>
    </row>
    <row r="464" spans="19:19" x14ac:dyDescent="0.3">
      <c r="S464" s="126">
        <v>81</v>
      </c>
    </row>
    <row r="465" spans="13:41" x14ac:dyDescent="0.3">
      <c r="M465" s="241">
        <v>16</v>
      </c>
    </row>
    <row r="466" spans="13:41" x14ac:dyDescent="0.3">
      <c r="AO466" s="126">
        <v>23050</v>
      </c>
    </row>
    <row r="467" spans="13:41" x14ac:dyDescent="0.3">
      <c r="AO467" s="126">
        <v>25100</v>
      </c>
    </row>
  </sheetData>
  <mergeCells count="24">
    <mergeCell ref="B9:K9"/>
    <mergeCell ref="A10:A12"/>
    <mergeCell ref="B10:B12"/>
    <mergeCell ref="C10:M10"/>
    <mergeCell ref="W11:X11"/>
    <mergeCell ref="AL11:AL12"/>
    <mergeCell ref="O10:AL10"/>
    <mergeCell ref="S11:T11"/>
    <mergeCell ref="U11:V11"/>
    <mergeCell ref="BA10:BI10"/>
    <mergeCell ref="O11:P11"/>
    <mergeCell ref="Q11:R11"/>
    <mergeCell ref="Y11:Z11"/>
    <mergeCell ref="AA11:AB11"/>
    <mergeCell ref="AC11:AD11"/>
    <mergeCell ref="AE11:AF11"/>
    <mergeCell ref="AM10:AS10"/>
    <mergeCell ref="AT10:AZ10"/>
    <mergeCell ref="AG11:AH11"/>
    <mergeCell ref="BM9:BP9"/>
    <mergeCell ref="BM10:BN10"/>
    <mergeCell ref="BO10:BO11"/>
    <mergeCell ref="BJ10:BK10"/>
    <mergeCell ref="BJ9:BL9"/>
  </mergeCells>
  <phoneticPr fontId="15" type="noConversion"/>
  <pageMargins left="0" right="0" top="0" bottom="0" header="0" footer="0"/>
  <pageSetup paperSize="9" scale="17" orientation="landscape" horizontalDpi="1200" verticalDpi="1200" r:id="rId1"/>
  <rowBreaks count="1" manualBreakCount="1">
    <brk id="1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63FC-7E62-4D08-95B2-7308DB15D5BC}">
  <dimension ref="A1:Q22"/>
  <sheetViews>
    <sheetView topLeftCell="H1" zoomScaleNormal="100" workbookViewId="0">
      <selection activeCell="L13" sqref="L13"/>
    </sheetView>
  </sheetViews>
  <sheetFormatPr defaultRowHeight="14.4" x14ac:dyDescent="0.3"/>
  <cols>
    <col min="1" max="1" width="25.88671875" customWidth="1"/>
    <col min="2" max="2" width="11.33203125" customWidth="1"/>
    <col min="3" max="3" width="14" customWidth="1"/>
    <col min="4" max="4" width="14.77734375" customWidth="1"/>
    <col min="5" max="5" width="14" customWidth="1"/>
    <col min="6" max="6" width="13.6640625" customWidth="1"/>
    <col min="7" max="7" width="14" style="126" customWidth="1"/>
    <col min="8" max="8" width="11.21875" style="126" customWidth="1"/>
    <col min="9" max="9" width="18.109375" style="126" customWidth="1"/>
    <col min="10" max="10" width="12.21875" style="126" customWidth="1"/>
    <col min="11" max="11" width="12.5546875" style="126" customWidth="1"/>
    <col min="12" max="12" width="12.6640625" style="126" customWidth="1"/>
    <col min="13" max="13" width="12.77734375" style="126" customWidth="1"/>
    <col min="14" max="14" width="11.6640625" style="126" customWidth="1"/>
    <col min="15" max="17" width="8.88671875" style="126"/>
  </cols>
  <sheetData>
    <row r="1" spans="1:14" ht="18" x14ac:dyDescent="0.3">
      <c r="A1" s="456" t="s">
        <v>245</v>
      </c>
      <c r="B1" s="456"/>
      <c r="C1" s="456"/>
      <c r="D1" s="456"/>
      <c r="E1" s="456"/>
      <c r="F1" s="456"/>
      <c r="G1" s="456"/>
      <c r="H1" s="456"/>
      <c r="I1" s="456"/>
      <c r="J1" s="456" t="s">
        <v>248</v>
      </c>
      <c r="K1" s="456"/>
      <c r="L1" s="456"/>
      <c r="M1" s="456"/>
    </row>
    <row r="2" spans="1:14" x14ac:dyDescent="0.3">
      <c r="A2" s="459" t="s">
        <v>242</v>
      </c>
      <c r="B2" s="459" t="s">
        <v>240</v>
      </c>
      <c r="C2" s="459" t="s">
        <v>251</v>
      </c>
      <c r="D2" s="452" t="s">
        <v>252</v>
      </c>
      <c r="E2" s="452"/>
      <c r="F2" s="452"/>
      <c r="G2" s="452" t="s">
        <v>247</v>
      </c>
      <c r="H2" s="452"/>
      <c r="I2" s="452"/>
      <c r="J2" s="459" t="s">
        <v>251</v>
      </c>
      <c r="K2" s="452" t="s">
        <v>252</v>
      </c>
      <c r="L2" s="452"/>
      <c r="M2" s="452"/>
    </row>
    <row r="3" spans="1:14" ht="28.8" x14ac:dyDescent="0.3">
      <c r="A3" s="460"/>
      <c r="B3" s="460"/>
      <c r="C3" s="460"/>
      <c r="D3" s="328" t="s">
        <v>243</v>
      </c>
      <c r="E3" s="328" t="s">
        <v>239</v>
      </c>
      <c r="F3" s="328" t="s">
        <v>244</v>
      </c>
      <c r="G3" s="328" t="s">
        <v>253</v>
      </c>
      <c r="H3" s="328" t="s">
        <v>254</v>
      </c>
      <c r="I3" s="331" t="s">
        <v>255</v>
      </c>
      <c r="J3" s="460"/>
      <c r="K3" s="328" t="s">
        <v>243</v>
      </c>
      <c r="L3" s="328" t="s">
        <v>239</v>
      </c>
      <c r="M3" s="328" t="s">
        <v>244</v>
      </c>
    </row>
    <row r="4" spans="1:14" x14ac:dyDescent="0.3">
      <c r="A4" s="326" t="s">
        <v>226</v>
      </c>
      <c r="B4" s="327"/>
      <c r="C4" s="326">
        <v>1.2500000000000001E-2</v>
      </c>
      <c r="D4" s="326">
        <v>9.1000000000000004E-3</v>
      </c>
      <c r="E4" s="326">
        <v>9.1000000000000004E-3</v>
      </c>
      <c r="F4" s="326">
        <v>9.1000000000000004E-3</v>
      </c>
      <c r="G4" s="326">
        <v>1.75</v>
      </c>
      <c r="H4" s="326">
        <v>1.28</v>
      </c>
      <c r="I4" s="326">
        <f>G4*H4</f>
        <v>2.2400000000000002</v>
      </c>
      <c r="J4" s="326">
        <f>I4*C4</f>
        <v>2.8000000000000004E-2</v>
      </c>
      <c r="K4" s="326">
        <f>I4*D4</f>
        <v>2.0384000000000003E-2</v>
      </c>
      <c r="L4" s="326">
        <f>I4*E4</f>
        <v>2.0384000000000003E-2</v>
      </c>
      <c r="M4" s="326">
        <f>I4*F4</f>
        <v>2.0384000000000003E-2</v>
      </c>
    </row>
    <row r="5" spans="1:14" x14ac:dyDescent="0.3">
      <c r="A5" s="326" t="s">
        <v>236</v>
      </c>
      <c r="B5" s="327"/>
      <c r="C5" s="326">
        <v>1.55E-2</v>
      </c>
      <c r="D5" s="326">
        <v>1.15E-2</v>
      </c>
      <c r="E5" s="326">
        <v>1.15E-2</v>
      </c>
      <c r="F5" s="326">
        <v>1.15E-2</v>
      </c>
      <c r="G5" s="326">
        <v>1.75</v>
      </c>
      <c r="H5" s="326">
        <v>1.06</v>
      </c>
      <c r="I5" s="326">
        <f t="shared" ref="I5:I6" si="0">G5*H5</f>
        <v>1.855</v>
      </c>
      <c r="J5" s="326">
        <f t="shared" ref="J5:J6" si="1">I5*C5</f>
        <v>2.87525E-2</v>
      </c>
      <c r="K5" s="326">
        <f>I5*D5</f>
        <v>2.1332500000000001E-2</v>
      </c>
      <c r="L5" s="326">
        <f t="shared" ref="L5:L6" si="2">I5*E5</f>
        <v>2.1332500000000001E-2</v>
      </c>
      <c r="M5" s="326">
        <f t="shared" ref="M5:M6" si="3">I5*F5</f>
        <v>2.1332500000000001E-2</v>
      </c>
    </row>
    <row r="6" spans="1:14" x14ac:dyDescent="0.3">
      <c r="A6" s="326" t="s">
        <v>237</v>
      </c>
      <c r="B6" s="327"/>
      <c r="C6" s="326">
        <v>1.55E-2</v>
      </c>
      <c r="D6" s="326">
        <v>1.15E-2</v>
      </c>
      <c r="E6" s="326">
        <v>1.15E-2</v>
      </c>
      <c r="F6" s="326">
        <v>1.15E-2</v>
      </c>
      <c r="G6" s="326">
        <v>0.875</v>
      </c>
      <c r="H6" s="326">
        <v>1.06</v>
      </c>
      <c r="I6" s="326">
        <f t="shared" si="0"/>
        <v>0.92749999999999999</v>
      </c>
      <c r="J6" s="326">
        <f t="shared" si="1"/>
        <v>1.437625E-2</v>
      </c>
      <c r="K6" s="326">
        <f t="shared" ref="K6" si="4">I6*D6</f>
        <v>1.066625E-2</v>
      </c>
      <c r="L6" s="326">
        <f t="shared" si="2"/>
        <v>1.066625E-2</v>
      </c>
      <c r="M6" s="326">
        <f t="shared" si="3"/>
        <v>1.066625E-2</v>
      </c>
    </row>
    <row r="7" spans="1:14" x14ac:dyDescent="0.3">
      <c r="A7" s="126"/>
      <c r="B7" s="126"/>
      <c r="C7" s="126"/>
      <c r="D7" s="126"/>
      <c r="E7" s="126"/>
      <c r="F7" s="126"/>
    </row>
    <row r="8" spans="1:14" x14ac:dyDescent="0.3">
      <c r="A8" s="126"/>
      <c r="B8" s="126"/>
      <c r="C8" s="126"/>
      <c r="D8" s="126"/>
      <c r="E8" s="126"/>
      <c r="F8" s="126"/>
    </row>
    <row r="9" spans="1:14" ht="18" x14ac:dyDescent="0.3">
      <c r="A9" s="456" t="s">
        <v>246</v>
      </c>
      <c r="B9" s="456"/>
      <c r="C9" s="456"/>
      <c r="D9" s="456"/>
      <c r="E9" s="456"/>
      <c r="F9" s="456"/>
      <c r="G9" s="456"/>
      <c r="H9" s="456"/>
      <c r="I9" s="456"/>
      <c r="J9" s="453" t="s">
        <v>248</v>
      </c>
      <c r="K9" s="454"/>
      <c r="L9" s="454"/>
      <c r="M9" s="454"/>
      <c r="N9" s="455"/>
    </row>
    <row r="10" spans="1:14" x14ac:dyDescent="0.3">
      <c r="A10" s="459" t="s">
        <v>242</v>
      </c>
      <c r="B10" s="459" t="s">
        <v>240</v>
      </c>
      <c r="C10" s="459" t="s">
        <v>251</v>
      </c>
      <c r="D10" s="452" t="s">
        <v>252</v>
      </c>
      <c r="E10" s="452"/>
      <c r="F10" s="452"/>
      <c r="G10" s="452" t="s">
        <v>247</v>
      </c>
      <c r="H10" s="452"/>
      <c r="I10" s="452"/>
      <c r="J10" s="459" t="s">
        <v>251</v>
      </c>
      <c r="K10" s="452" t="s">
        <v>252</v>
      </c>
      <c r="L10" s="452"/>
      <c r="M10" s="452"/>
      <c r="N10" s="457" t="s">
        <v>256</v>
      </c>
    </row>
    <row r="11" spans="1:14" ht="28.8" x14ac:dyDescent="0.3">
      <c r="A11" s="460"/>
      <c r="B11" s="460"/>
      <c r="C11" s="460"/>
      <c r="D11" s="328" t="s">
        <v>243</v>
      </c>
      <c r="E11" s="328" t="s">
        <v>239</v>
      </c>
      <c r="F11" s="328" t="s">
        <v>244</v>
      </c>
      <c r="G11" s="328" t="s">
        <v>253</v>
      </c>
      <c r="H11" s="328" t="s">
        <v>254</v>
      </c>
      <c r="I11" s="331" t="s">
        <v>255</v>
      </c>
      <c r="J11" s="460"/>
      <c r="K11" s="328" t="s">
        <v>243</v>
      </c>
      <c r="L11" s="328" t="s">
        <v>239</v>
      </c>
      <c r="M11" s="328" t="s">
        <v>244</v>
      </c>
      <c r="N11" s="458"/>
    </row>
    <row r="12" spans="1:14" x14ac:dyDescent="0.3">
      <c r="A12" s="326" t="s">
        <v>226</v>
      </c>
      <c r="B12" s="326">
        <v>0.13</v>
      </c>
      <c r="C12" s="326">
        <v>0.185</v>
      </c>
      <c r="D12" s="326">
        <v>3.5000000000000003E-2</v>
      </c>
      <c r="E12" s="326">
        <v>3.5000000000000003E-2</v>
      </c>
      <c r="F12" s="326">
        <v>3.5000000000000003E-2</v>
      </c>
      <c r="G12" s="326">
        <v>1.75</v>
      </c>
      <c r="H12" s="326">
        <v>1.28</v>
      </c>
      <c r="I12" s="326">
        <f t="shared" ref="I12:I14" si="5">G12*H12</f>
        <v>2.2400000000000002</v>
      </c>
      <c r="J12" s="326">
        <f>I12*C12</f>
        <v>0.41440000000000005</v>
      </c>
      <c r="K12" s="326">
        <f>I12*D12</f>
        <v>7.8400000000000011E-2</v>
      </c>
      <c r="L12" s="326">
        <f>I12*E12</f>
        <v>7.8400000000000011E-2</v>
      </c>
      <c r="M12" s="326">
        <f>I12*F12</f>
        <v>7.8400000000000011E-2</v>
      </c>
      <c r="N12" s="326">
        <f>I12*B12</f>
        <v>0.29120000000000001</v>
      </c>
    </row>
    <row r="13" spans="1:14" x14ac:dyDescent="0.3">
      <c r="A13" s="326" t="s">
        <v>236</v>
      </c>
      <c r="B13" s="326">
        <v>0.12</v>
      </c>
      <c r="C13" s="326">
        <v>0.17</v>
      </c>
      <c r="D13" s="326">
        <v>0.03</v>
      </c>
      <c r="E13" s="326">
        <v>0.03</v>
      </c>
      <c r="F13" s="326">
        <v>0.03</v>
      </c>
      <c r="G13" s="326">
        <v>1.75</v>
      </c>
      <c r="H13" s="326">
        <v>1.06</v>
      </c>
      <c r="I13" s="326">
        <f t="shared" si="5"/>
        <v>1.855</v>
      </c>
      <c r="J13" s="326">
        <f>I13*C13</f>
        <v>0.31535000000000002</v>
      </c>
      <c r="K13" s="326">
        <f t="shared" ref="K13:K14" si="6">I13*D13</f>
        <v>5.5649999999999998E-2</v>
      </c>
      <c r="L13" s="326">
        <f t="shared" ref="L13:L14" si="7">I13*E13</f>
        <v>5.5649999999999998E-2</v>
      </c>
      <c r="M13" s="326">
        <f t="shared" ref="M13:M14" si="8">I13*F13</f>
        <v>5.5649999999999998E-2</v>
      </c>
      <c r="N13" s="326">
        <f t="shared" ref="N13:N14" si="9">I13*B13</f>
        <v>0.22259999999999999</v>
      </c>
    </row>
    <row r="14" spans="1:14" x14ac:dyDescent="0.3">
      <c r="A14" s="326" t="s">
        <v>237</v>
      </c>
      <c r="B14" s="326">
        <v>0.12</v>
      </c>
      <c r="C14" s="326">
        <v>0.17</v>
      </c>
      <c r="D14" s="326">
        <v>0.03</v>
      </c>
      <c r="E14" s="326">
        <v>0.03</v>
      </c>
      <c r="F14" s="326">
        <v>0.03</v>
      </c>
      <c r="G14" s="326">
        <v>0.875</v>
      </c>
      <c r="H14" s="326">
        <v>1.06</v>
      </c>
      <c r="I14" s="326">
        <f t="shared" si="5"/>
        <v>0.92749999999999999</v>
      </c>
      <c r="J14" s="326">
        <f>I14*C14</f>
        <v>0.15767500000000001</v>
      </c>
      <c r="K14" s="326">
        <f t="shared" si="6"/>
        <v>2.7824999999999999E-2</v>
      </c>
      <c r="L14" s="326">
        <f t="shared" si="7"/>
        <v>2.7824999999999999E-2</v>
      </c>
      <c r="M14" s="326">
        <f t="shared" si="8"/>
        <v>2.7824999999999999E-2</v>
      </c>
      <c r="N14" s="326">
        <f t="shared" si="9"/>
        <v>0.1113</v>
      </c>
    </row>
    <row r="15" spans="1:14" x14ac:dyDescent="0.3">
      <c r="A15" s="126"/>
      <c r="B15" s="126"/>
      <c r="C15" s="126"/>
      <c r="D15" s="126"/>
      <c r="E15" s="126"/>
      <c r="F15" s="126"/>
    </row>
    <row r="16" spans="1:14" x14ac:dyDescent="0.3">
      <c r="A16" s="126"/>
      <c r="B16" s="126"/>
      <c r="C16" s="126"/>
      <c r="D16" s="126"/>
      <c r="E16" s="126"/>
      <c r="F16" s="126"/>
    </row>
    <row r="17" spans="1:6" ht="18" x14ac:dyDescent="0.3">
      <c r="A17" s="452" t="s">
        <v>242</v>
      </c>
      <c r="B17" s="453" t="s">
        <v>249</v>
      </c>
      <c r="C17" s="454"/>
      <c r="D17" s="454"/>
      <c r="E17" s="454"/>
      <c r="F17" s="455"/>
    </row>
    <row r="18" spans="1:6" x14ac:dyDescent="0.3">
      <c r="A18" s="452"/>
      <c r="B18" s="457" t="s">
        <v>256</v>
      </c>
      <c r="C18" s="457" t="s">
        <v>251</v>
      </c>
      <c r="D18" s="461" t="s">
        <v>252</v>
      </c>
      <c r="E18" s="461"/>
      <c r="F18" s="461"/>
    </row>
    <row r="19" spans="1:6" x14ac:dyDescent="0.3">
      <c r="A19" s="452"/>
      <c r="B19" s="458"/>
      <c r="C19" s="458"/>
      <c r="D19" s="331" t="s">
        <v>243</v>
      </c>
      <c r="E19" s="331" t="s">
        <v>239</v>
      </c>
      <c r="F19" s="331" t="s">
        <v>244</v>
      </c>
    </row>
    <row r="20" spans="1:6" x14ac:dyDescent="0.3">
      <c r="A20" s="326" t="s">
        <v>226</v>
      </c>
      <c r="B20" s="326">
        <f>N12</f>
        <v>0.29120000000000001</v>
      </c>
      <c r="C20" s="326">
        <f>J12+J4</f>
        <v>0.44240000000000007</v>
      </c>
      <c r="D20" s="326">
        <f>K12+K4</f>
        <v>9.8784000000000011E-2</v>
      </c>
      <c r="E20" s="326">
        <f>L12+L4</f>
        <v>9.8784000000000011E-2</v>
      </c>
      <c r="F20" s="326">
        <f>M12+M4</f>
        <v>9.8784000000000011E-2</v>
      </c>
    </row>
    <row r="21" spans="1:6" x14ac:dyDescent="0.3">
      <c r="A21" s="326" t="s">
        <v>236</v>
      </c>
      <c r="B21" s="326">
        <f>N13</f>
        <v>0.22259999999999999</v>
      </c>
      <c r="C21" s="326">
        <f>J13+J5</f>
        <v>0.34410250000000003</v>
      </c>
      <c r="D21" s="326">
        <f t="shared" ref="D21:D22" si="10">K13+K5</f>
        <v>7.6982499999999995E-2</v>
      </c>
      <c r="E21" s="326">
        <f t="shared" ref="E21:E22" si="11">L13+L5</f>
        <v>7.6982499999999995E-2</v>
      </c>
      <c r="F21" s="326">
        <f t="shared" ref="F21:F22" si="12">M13+M5</f>
        <v>7.6982499999999995E-2</v>
      </c>
    </row>
    <row r="22" spans="1:6" x14ac:dyDescent="0.3">
      <c r="A22" s="326" t="s">
        <v>237</v>
      </c>
      <c r="B22" s="326">
        <f>N14</f>
        <v>0.1113</v>
      </c>
      <c r="C22" s="326">
        <f>J14+J6</f>
        <v>0.17205125000000002</v>
      </c>
      <c r="D22" s="326">
        <f t="shared" si="10"/>
        <v>3.8491249999999998E-2</v>
      </c>
      <c r="E22" s="326">
        <f t="shared" si="11"/>
        <v>3.8491249999999998E-2</v>
      </c>
      <c r="F22" s="326">
        <f t="shared" si="12"/>
        <v>3.8491249999999998E-2</v>
      </c>
    </row>
  </sheetData>
  <mergeCells count="24">
    <mergeCell ref="G2:I2"/>
    <mergeCell ref="B10:B11"/>
    <mergeCell ref="C10:C11"/>
    <mergeCell ref="D10:F10"/>
    <mergeCell ref="D2:F2"/>
    <mergeCell ref="A2:A3"/>
    <mergeCell ref="B2:B3"/>
    <mergeCell ref="C2:C3"/>
    <mergeCell ref="A17:A19"/>
    <mergeCell ref="B17:F17"/>
    <mergeCell ref="A9:I9"/>
    <mergeCell ref="A1:I1"/>
    <mergeCell ref="J1:M1"/>
    <mergeCell ref="J9:N9"/>
    <mergeCell ref="N10:N11"/>
    <mergeCell ref="J10:J11"/>
    <mergeCell ref="K10:M10"/>
    <mergeCell ref="G10:I10"/>
    <mergeCell ref="B18:B19"/>
    <mergeCell ref="C18:C19"/>
    <mergeCell ref="D18:F18"/>
    <mergeCell ref="J2:J3"/>
    <mergeCell ref="K2:M2"/>
    <mergeCell ref="A10:A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selection activeCell="E11" sqref="E11"/>
    </sheetView>
  </sheetViews>
  <sheetFormatPr defaultRowHeight="14.4" x14ac:dyDescent="0.3"/>
  <cols>
    <col min="1" max="1" width="16.33203125" customWidth="1"/>
    <col min="2" max="2" width="7.33203125" customWidth="1"/>
    <col min="3" max="3" width="24.6640625" customWidth="1"/>
    <col min="4" max="4" width="7.6640625" customWidth="1"/>
    <col min="6" max="6" width="12.6640625" customWidth="1"/>
    <col min="7" max="7" width="29.6640625" customWidth="1"/>
    <col min="10" max="10" width="12.33203125" customWidth="1"/>
    <col min="11" max="11" width="22.5546875" customWidth="1"/>
  </cols>
  <sheetData>
    <row r="1" spans="1:13" ht="15" thickBot="1" x14ac:dyDescent="0.35">
      <c r="A1" s="462" t="s">
        <v>40</v>
      </c>
      <c r="B1" s="474" t="s">
        <v>43</v>
      </c>
      <c r="C1" s="468" t="s">
        <v>36</v>
      </c>
      <c r="D1" s="470" t="s">
        <v>37</v>
      </c>
      <c r="E1" s="471"/>
      <c r="F1" s="462" t="s">
        <v>42</v>
      </c>
      <c r="G1" s="472" t="s">
        <v>41</v>
      </c>
      <c r="H1" s="466" t="s">
        <v>37</v>
      </c>
      <c r="I1" s="467"/>
      <c r="J1" s="462" t="s">
        <v>44</v>
      </c>
      <c r="K1" s="464" t="s">
        <v>41</v>
      </c>
      <c r="L1" s="466" t="s">
        <v>37</v>
      </c>
      <c r="M1" s="467"/>
    </row>
    <row r="2" spans="1:13" ht="15" thickBot="1" x14ac:dyDescent="0.35">
      <c r="A2" s="463"/>
      <c r="B2" s="475"/>
      <c r="C2" s="469"/>
      <c r="D2" s="27" t="s">
        <v>38</v>
      </c>
      <c r="E2" s="28" t="s">
        <v>39</v>
      </c>
      <c r="F2" s="463"/>
      <c r="G2" s="473"/>
      <c r="H2" s="14" t="s">
        <v>38</v>
      </c>
      <c r="I2" s="15" t="s">
        <v>39</v>
      </c>
      <c r="J2" s="463"/>
      <c r="K2" s="465"/>
      <c r="L2" s="14" t="s">
        <v>38</v>
      </c>
      <c r="M2" s="15" t="s">
        <v>39</v>
      </c>
    </row>
    <row r="3" spans="1:13" x14ac:dyDescent="0.3">
      <c r="A3" s="22"/>
      <c r="B3" s="23"/>
      <c r="C3" s="3"/>
      <c r="D3" s="24"/>
      <c r="E3" s="25"/>
      <c r="F3" s="22"/>
      <c r="G3" s="22"/>
      <c r="H3" s="24"/>
      <c r="I3" s="26"/>
      <c r="J3" s="22"/>
      <c r="K3" s="22"/>
      <c r="L3" s="24"/>
      <c r="M3" s="26"/>
    </row>
    <row r="4" spans="1:13" x14ac:dyDescent="0.3">
      <c r="A4" s="16"/>
      <c r="B4" s="10"/>
      <c r="C4" s="19"/>
      <c r="D4" s="13"/>
      <c r="E4" s="9"/>
      <c r="F4" s="16"/>
      <c r="G4" s="16"/>
      <c r="H4" s="13"/>
      <c r="I4" s="11"/>
      <c r="J4" s="16"/>
      <c r="K4" s="16"/>
      <c r="L4" s="13"/>
      <c r="M4" s="11"/>
    </row>
    <row r="5" spans="1:13" x14ac:dyDescent="0.3">
      <c r="A5" s="16"/>
      <c r="B5" s="10"/>
      <c r="C5" s="19"/>
      <c r="D5" s="13"/>
      <c r="E5" s="9"/>
      <c r="F5" s="16"/>
      <c r="G5" s="16"/>
      <c r="H5" s="13"/>
      <c r="I5" s="11"/>
      <c r="J5" s="16"/>
      <c r="K5" s="16"/>
      <c r="L5" s="13"/>
      <c r="M5" s="11"/>
    </row>
    <row r="6" spans="1:13" x14ac:dyDescent="0.3">
      <c r="A6" s="16"/>
      <c r="B6" s="10"/>
      <c r="C6" s="19"/>
      <c r="D6" s="13"/>
      <c r="E6" s="9"/>
      <c r="F6" s="16"/>
      <c r="G6" s="16"/>
      <c r="H6" s="13"/>
      <c r="I6" s="11"/>
      <c r="J6" s="16"/>
      <c r="K6" s="16"/>
      <c r="L6" s="13"/>
      <c r="M6" s="11"/>
    </row>
    <row r="7" spans="1:13" x14ac:dyDescent="0.3">
      <c r="A7" s="16"/>
      <c r="B7" s="10"/>
      <c r="C7" s="19"/>
      <c r="D7" s="13"/>
      <c r="E7" s="9"/>
      <c r="F7" s="16"/>
      <c r="G7" s="16"/>
      <c r="H7" s="13"/>
      <c r="I7" s="11"/>
      <c r="J7" s="16"/>
      <c r="K7" s="16"/>
      <c r="L7" s="13"/>
      <c r="M7" s="11"/>
    </row>
    <row r="8" spans="1:13" x14ac:dyDescent="0.3">
      <c r="A8" s="16"/>
      <c r="B8" s="10"/>
      <c r="C8" s="19"/>
      <c r="D8" s="13"/>
      <c r="E8" s="9"/>
      <c r="F8" s="16"/>
      <c r="G8" s="16"/>
      <c r="H8" s="13"/>
      <c r="I8" s="11"/>
      <c r="J8" s="16"/>
      <c r="K8" s="16"/>
      <c r="L8" s="13"/>
      <c r="M8" s="11"/>
    </row>
    <row r="9" spans="1:13" x14ac:dyDescent="0.3">
      <c r="A9" s="16"/>
      <c r="B9" s="10"/>
      <c r="C9" s="19"/>
      <c r="D9" s="13"/>
      <c r="E9" s="9"/>
      <c r="F9" s="16"/>
      <c r="G9" s="16"/>
      <c r="H9" s="13"/>
      <c r="I9" s="11"/>
      <c r="J9" s="16"/>
      <c r="K9" s="16"/>
      <c r="L9" s="13"/>
      <c r="M9" s="11"/>
    </row>
    <row r="10" spans="1:13" x14ac:dyDescent="0.3">
      <c r="A10" s="16"/>
      <c r="B10" s="10"/>
      <c r="C10" s="19"/>
      <c r="D10" s="13"/>
      <c r="E10" s="9"/>
      <c r="F10" s="16"/>
      <c r="G10" s="16"/>
      <c r="H10" s="13"/>
      <c r="I10" s="11"/>
      <c r="J10" s="16"/>
      <c r="K10" s="16"/>
      <c r="L10" s="13"/>
      <c r="M10" s="11"/>
    </row>
    <row r="11" spans="1:13" x14ac:dyDescent="0.3">
      <c r="A11" s="16"/>
      <c r="B11" s="10"/>
      <c r="C11" s="19"/>
      <c r="D11" s="13"/>
      <c r="E11" s="9"/>
      <c r="F11" s="16"/>
      <c r="G11" s="16"/>
      <c r="H11" s="13"/>
      <c r="I11" s="11"/>
      <c r="J11" s="16"/>
      <c r="K11" s="16"/>
      <c r="L11" s="13"/>
      <c r="M11" s="11"/>
    </row>
    <row r="12" spans="1:13" x14ac:dyDescent="0.3">
      <c r="A12" s="16"/>
      <c r="B12" s="10"/>
      <c r="C12" s="19"/>
      <c r="D12" s="13"/>
      <c r="E12" s="9"/>
      <c r="F12" s="16"/>
      <c r="G12" s="16"/>
      <c r="H12" s="13"/>
      <c r="I12" s="11"/>
      <c r="J12" s="16"/>
      <c r="K12" s="16"/>
      <c r="L12" s="13"/>
      <c r="M12" s="11"/>
    </row>
    <row r="13" spans="1:13" x14ac:dyDescent="0.3">
      <c r="A13" s="16"/>
      <c r="B13" s="10"/>
      <c r="C13" s="19"/>
      <c r="D13" s="13"/>
      <c r="E13" s="9"/>
      <c r="F13" s="16"/>
      <c r="G13" s="16"/>
      <c r="H13" s="13"/>
      <c r="I13" s="11"/>
      <c r="J13" s="16"/>
      <c r="K13" s="16"/>
      <c r="L13" s="13"/>
      <c r="M13" s="11"/>
    </row>
    <row r="14" spans="1:13" x14ac:dyDescent="0.3">
      <c r="A14" s="16"/>
      <c r="B14" s="10"/>
      <c r="C14" s="19"/>
      <c r="D14" s="13"/>
      <c r="E14" s="9"/>
      <c r="F14" s="16"/>
      <c r="G14" s="16"/>
      <c r="H14" s="13"/>
      <c r="I14" s="11"/>
      <c r="J14" s="16"/>
      <c r="K14" s="16"/>
      <c r="L14" s="13"/>
      <c r="M14" s="11"/>
    </row>
    <row r="15" spans="1:13" x14ac:dyDescent="0.3">
      <c r="A15" s="16"/>
      <c r="B15" s="10"/>
      <c r="C15" s="19"/>
      <c r="D15" s="13"/>
      <c r="E15" s="9"/>
      <c r="F15" s="16"/>
      <c r="G15" s="16"/>
      <c r="H15" s="13"/>
      <c r="I15" s="11"/>
      <c r="J15" s="16"/>
      <c r="K15" s="16"/>
      <c r="L15" s="13"/>
      <c r="M15" s="11"/>
    </row>
    <row r="16" spans="1:13" x14ac:dyDescent="0.3">
      <c r="A16" s="16"/>
      <c r="B16" s="10"/>
      <c r="C16" s="19"/>
      <c r="D16" s="13"/>
      <c r="E16" s="9"/>
      <c r="F16" s="16"/>
      <c r="G16" s="16"/>
      <c r="H16" s="13"/>
      <c r="I16" s="11"/>
      <c r="J16" s="16"/>
      <c r="K16" s="16"/>
      <c r="L16" s="13"/>
      <c r="M16" s="11"/>
    </row>
    <row r="17" spans="1:13" x14ac:dyDescent="0.3">
      <c r="A17" s="16"/>
      <c r="B17" s="10"/>
      <c r="C17" s="19"/>
      <c r="D17" s="13"/>
      <c r="E17" s="9"/>
      <c r="F17" s="16"/>
      <c r="G17" s="16"/>
      <c r="H17" s="13"/>
      <c r="I17" s="11"/>
      <c r="J17" s="16"/>
      <c r="K17" s="16"/>
      <c r="L17" s="13"/>
      <c r="M17" s="11"/>
    </row>
    <row r="18" spans="1:13" x14ac:dyDescent="0.3">
      <c r="A18" s="16"/>
      <c r="B18" s="10"/>
      <c r="C18" s="19"/>
      <c r="D18" s="13"/>
      <c r="E18" s="9"/>
      <c r="F18" s="16"/>
      <c r="G18" s="16"/>
      <c r="H18" s="13"/>
      <c r="I18" s="11"/>
      <c r="J18" s="16"/>
      <c r="K18" s="16"/>
      <c r="L18" s="13"/>
      <c r="M18" s="11"/>
    </row>
    <row r="19" spans="1:13" x14ac:dyDescent="0.3">
      <c r="A19" s="16"/>
      <c r="B19" s="10"/>
      <c r="C19" s="19"/>
      <c r="D19" s="13"/>
      <c r="E19" s="9"/>
      <c r="F19" s="16"/>
      <c r="G19" s="16"/>
      <c r="H19" s="13"/>
      <c r="I19" s="11"/>
      <c r="J19" s="16"/>
      <c r="K19" s="16"/>
      <c r="L19" s="13"/>
      <c r="M19" s="11"/>
    </row>
    <row r="20" spans="1:13" x14ac:dyDescent="0.3">
      <c r="A20" s="16"/>
      <c r="B20" s="10"/>
      <c r="C20" s="19"/>
      <c r="D20" s="13"/>
      <c r="E20" s="9"/>
      <c r="F20" s="16"/>
      <c r="G20" s="16"/>
      <c r="H20" s="13"/>
      <c r="I20" s="11"/>
      <c r="J20" s="16"/>
      <c r="K20" s="16"/>
      <c r="L20" s="13"/>
      <c r="M20" s="11"/>
    </row>
    <row r="21" spans="1:13" x14ac:dyDescent="0.3">
      <c r="A21" s="16"/>
      <c r="B21" s="10"/>
      <c r="C21" s="19"/>
      <c r="D21" s="13"/>
      <c r="E21" s="9"/>
      <c r="F21" s="16"/>
      <c r="G21" s="16"/>
      <c r="H21" s="13"/>
      <c r="I21" s="11"/>
      <c r="J21" s="16"/>
      <c r="K21" s="16"/>
      <c r="L21" s="13"/>
      <c r="M21" s="11"/>
    </row>
    <row r="22" spans="1:13" x14ac:dyDescent="0.3">
      <c r="A22" s="16"/>
      <c r="B22" s="10"/>
      <c r="C22" s="19"/>
      <c r="D22" s="13"/>
      <c r="E22" s="9"/>
      <c r="F22" s="16"/>
      <c r="G22" s="16"/>
      <c r="H22" s="13"/>
      <c r="I22" s="11"/>
      <c r="J22" s="16"/>
      <c r="K22" s="16"/>
      <c r="L22" s="13"/>
      <c r="M22" s="11"/>
    </row>
    <row r="23" spans="1:13" x14ac:dyDescent="0.3">
      <c r="A23" s="16"/>
      <c r="B23" s="10"/>
      <c r="C23" s="19"/>
      <c r="D23" s="13"/>
      <c r="E23" s="9"/>
      <c r="F23" s="16"/>
      <c r="G23" s="16"/>
      <c r="H23" s="13"/>
      <c r="I23" s="11"/>
      <c r="J23" s="16"/>
      <c r="K23" s="16"/>
      <c r="L23" s="13"/>
      <c r="M23" s="11"/>
    </row>
    <row r="24" spans="1:13" x14ac:dyDescent="0.3">
      <c r="A24" s="16"/>
      <c r="B24" s="10"/>
      <c r="C24" s="19"/>
      <c r="D24" s="13"/>
      <c r="E24" s="9"/>
      <c r="F24" s="16"/>
      <c r="G24" s="16"/>
      <c r="H24" s="13"/>
      <c r="I24" s="11"/>
      <c r="J24" s="16"/>
      <c r="K24" s="16"/>
      <c r="L24" s="13"/>
      <c r="M24" s="11"/>
    </row>
    <row r="25" spans="1:13" x14ac:dyDescent="0.3">
      <c r="A25" s="16"/>
      <c r="B25" s="10"/>
      <c r="C25" s="19"/>
      <c r="D25" s="13"/>
      <c r="E25" s="9"/>
      <c r="F25" s="16"/>
      <c r="G25" s="16"/>
      <c r="H25" s="13"/>
      <c r="I25" s="11"/>
      <c r="J25" s="16"/>
      <c r="K25" s="16"/>
      <c r="L25" s="13"/>
      <c r="M25" s="11"/>
    </row>
    <row r="26" spans="1:13" x14ac:dyDescent="0.3">
      <c r="A26" s="16"/>
      <c r="B26" s="10"/>
      <c r="C26" s="19"/>
      <c r="D26" s="13"/>
      <c r="E26" s="9"/>
      <c r="F26" s="16"/>
      <c r="G26" s="16"/>
      <c r="H26" s="13"/>
      <c r="I26" s="11"/>
      <c r="J26" s="16"/>
      <c r="K26" s="16"/>
      <c r="L26" s="13"/>
      <c r="M26" s="11"/>
    </row>
    <row r="27" spans="1:13" x14ac:dyDescent="0.3">
      <c r="A27" s="16"/>
      <c r="B27" s="10"/>
      <c r="C27" s="19"/>
      <c r="D27" s="13"/>
      <c r="E27" s="9"/>
      <c r="F27" s="16"/>
      <c r="G27" s="16"/>
      <c r="H27" s="13"/>
      <c r="I27" s="11"/>
      <c r="J27" s="16"/>
      <c r="K27" s="16"/>
      <c r="L27" s="13"/>
      <c r="M27" s="11"/>
    </row>
    <row r="28" spans="1:13" x14ac:dyDescent="0.3">
      <c r="A28" s="16"/>
      <c r="B28" s="10"/>
      <c r="C28" s="19"/>
      <c r="D28" s="13"/>
      <c r="E28" s="9"/>
      <c r="F28" s="16"/>
      <c r="G28" s="16"/>
      <c r="H28" s="13"/>
      <c r="I28" s="11"/>
      <c r="J28" s="16"/>
      <c r="K28" s="16"/>
      <c r="L28" s="13"/>
      <c r="M28" s="11"/>
    </row>
    <row r="29" spans="1:13" ht="15" thickBot="1" x14ac:dyDescent="0.35">
      <c r="A29" s="17"/>
      <c r="B29" s="18"/>
      <c r="C29" s="20"/>
      <c r="D29" s="14"/>
      <c r="E29" s="21"/>
      <c r="F29" s="17"/>
      <c r="G29" s="17"/>
      <c r="H29" s="14"/>
      <c r="I29" s="15"/>
      <c r="J29" s="17"/>
      <c r="K29" s="17"/>
      <c r="L29" s="14"/>
      <c r="M29" s="15"/>
    </row>
  </sheetData>
  <mergeCells count="10">
    <mergeCell ref="J1:J2"/>
    <mergeCell ref="K1:K2"/>
    <mergeCell ref="L1:M1"/>
    <mergeCell ref="A1:A2"/>
    <mergeCell ref="C1:C2"/>
    <mergeCell ref="D1:E1"/>
    <mergeCell ref="H1:I1"/>
    <mergeCell ref="G1:G2"/>
    <mergeCell ref="F1:F2"/>
    <mergeCell ref="B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��17>@2548B5 745AL >?8A0=85 >17>@0!;>9
</file>

<file path=customXml/item2.xml>��17>@2548B5 745AL >?8A0=85 >17>@0
</file>

<file path=customXml/itemProps1.xml><?xml version="1.0" encoding="utf-8"?>
<ds:datastoreItem xmlns:ds="http://schemas.openxmlformats.org/officeDocument/2006/customXml" ds:itemID="{B794F1A0-2F97-4267-8333-A41A369463C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50C141D-F5FB-4A2E-8F36-8954B8F3A71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Отчеты</vt:lpstr>
      <vt:lpstr>нормы</vt:lpstr>
      <vt:lpstr>ЛКЦ</vt:lpstr>
      <vt:lpstr>НОВЫЕ ПРОДУКТЫ</vt:lpstr>
      <vt:lpstr>Лист2</vt:lpstr>
      <vt:lpstr>нормы!Область_печати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2026-06-01T09:34:25Z</dcterms:modified>
</cp:coreProperties>
</file>