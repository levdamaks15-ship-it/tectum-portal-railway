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tables/table12.xml" ContentType="application/vnd.openxmlformats-officedocument.spreadsheetml.table+xml"/>
  <Override PartName="/xl/queryTables/queryTable2.xml" ContentType="application/vnd.openxmlformats-officedocument.spreadsheetml.queryTable+xml"/>
  <Override PartName="/xl/tables/table13.xml" ContentType="application/vnd.openxmlformats-officedocument.spreadsheetml.table+xml"/>
  <Override PartName="/xl/queryTables/queryTable3.xml" ContentType="application/vnd.openxmlformats-officedocument.spreadsheetml.queryTable+xml"/>
  <Override PartName="/xl/tables/table14.xml" ContentType="application/vnd.openxmlformats-officedocument.spreadsheetml.table+xml"/>
  <Override PartName="/xl/queryTables/queryTable4.xml" ContentType="application/vnd.openxmlformats-officedocument.spreadsheetml.queryTable+xml"/>
  <Override PartName="/xl/tables/table15.xml" ContentType="application/vnd.openxmlformats-officedocument.spreadsheetml.table+xml"/>
  <Override PartName="/xl/queryTables/queryTable5.xml" ContentType="application/vnd.openxmlformats-officedocument.spreadsheetml.queryTable+xml"/>
  <Override PartName="/xl/tables/table16.xml" ContentType="application/vnd.openxmlformats-officedocument.spreadsheetml.table+xml"/>
  <Override PartName="/xl/queryTables/queryTable6.xml" ContentType="application/vnd.openxmlformats-officedocument.spreadsheetml.queryTable+xml"/>
  <Override PartName="/xl/tables/table17.xml" ContentType="application/vnd.openxmlformats-officedocument.spreadsheetml.table+xml"/>
  <Override PartName="/xl/queryTables/queryTable7.xml" ContentType="application/vnd.openxmlformats-officedocument.spreadsheetml.queryTable+xml"/>
  <Override PartName="/xl/tables/table18.xml" ContentType="application/vnd.openxmlformats-officedocument.spreadsheetml.table+xml"/>
  <Override PartName="/xl/queryTables/queryTable8.xml" ContentType="application/vnd.openxmlformats-officedocument.spreadsheetml.queryTable+xml"/>
  <Override PartName="/xl/tables/table19.xml" ContentType="application/vnd.openxmlformats-officedocument.spreadsheetml.table+xml"/>
  <Override PartName="/xl/queryTables/queryTable9.xml" ContentType="application/vnd.openxmlformats-officedocument.spreadsheetml.queryTable+xml"/>
  <Override PartName="/xl/tables/table2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tumengineering.sharepoint.com/sites/TectumEngineering.onmicrosoft.com/Shared Documents/Production_DB/"/>
    </mc:Choice>
  </mc:AlternateContent>
  <xr:revisionPtr revIDLastSave="3405" documentId="11_CB5DD2CEA9E31A596885170B7D178D2E2873ED0B" xr6:coauthVersionLast="47" xr6:coauthVersionMax="47" xr10:uidLastSave="{44F6F57E-765F-497C-82EC-D9377E4B69D2}"/>
  <bookViews>
    <workbookView xWindow="3480" yWindow="2880" windowWidth="18000" windowHeight="9360" firstSheet="15" activeTab="15" xr2:uid="{00000000-000D-0000-FFFF-FFFF00000000}"/>
  </bookViews>
  <sheets>
    <sheet name="Reference" sheetId="1" r:id="rId1"/>
    <sheet name="Norms" sheetId="2" r:id="rId2"/>
    <sheet name="Receipt_Data" sheetId="10" r:id="rId3"/>
    <sheet name="ZO_Data" sheetId="11" r:id="rId4"/>
    <sheet name="LFM_Data" sheetId="9" r:id="rId5"/>
    <sheet name="Stacker_Data" sheetId="12" r:id="rId6"/>
    <sheet name="Destacker_Data" sheetId="13" r:id="rId7"/>
    <sheet name="QCD_Data" sheetId="14" r:id="rId8"/>
    <sheet name="q_Receipt" sheetId="16" r:id="rId9"/>
    <sheet name="q_ZO" sheetId="17" r:id="rId10"/>
    <sheet name="q_LFM" sheetId="18" r:id="rId11"/>
    <sheet name="q_Stacker" sheetId="19" r:id="rId12"/>
    <sheet name="q_Destacker" sheetId="20" r:id="rId13"/>
    <sheet name="q_QCD" sheetId="15" r:id="rId14"/>
    <sheet name="q_Total_Production" sheetId="22" r:id="rId15"/>
    <sheet name="fact_LFM_Base" sheetId="21" r:id="rId16"/>
    <sheet name="Лист1" sheetId="26" r:id="rId17"/>
    <sheet name="q_Norms" sheetId="23" r:id="rId18"/>
    <sheet name="ZZ_ShiftSum" sheetId="25" r:id="rId19"/>
    <sheet name="Сводная таблица" sheetId="27" r:id="rId20"/>
    <sheet name="Лист2" sheetId="28" r:id="rId21"/>
  </sheets>
  <definedNames>
    <definedName name="ExternalData_1" localSheetId="15" hidden="1">fact_LFM_Base!$A$1:$CE$5</definedName>
    <definedName name="ExternalData_1" localSheetId="12" hidden="1">q_Destacker!$A$1:$V$5</definedName>
    <definedName name="ExternalData_1" localSheetId="10" hidden="1">q_LFM!$A$1:$G$5</definedName>
    <definedName name="ExternalData_1" localSheetId="17" hidden="1">q_Norms!$A$1:$Q$39</definedName>
    <definedName name="ExternalData_1" localSheetId="13" hidden="1">q_QCD!$A$1:$I$3</definedName>
    <definedName name="ExternalData_1" localSheetId="8" hidden="1">q_Receipt!$A$1:$M$3</definedName>
    <definedName name="ExternalData_1" localSheetId="11" hidden="1">q_Stacker!$A$1:$G$4</definedName>
    <definedName name="ExternalData_1" localSheetId="14" hidden="1">q_Total_Production!$A$1:$D$5</definedName>
    <definedName name="ExternalData_1" localSheetId="9" hidden="1">q_ZO!$A$1:$L$5</definedName>
    <definedName name="ExternalData_1" localSheetId="18" hidden="1">ZZ_ShiftSum!$A$1:$D$5</definedName>
    <definedName name="ВстроеннаяВременнаяШкала_Date">#N/A</definedName>
  </definedNames>
  <calcPr calcId="191028"/>
  <pivotCaches>
    <pivotCache cacheId="0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interval="5" name="Query - fact_LFM_Base" description="Подключение к запросу &quot;fact_LFM_Base&quot; в книге." type="5" refreshedVersion="8" background="1" refreshOnLoad="1" saveData="1">
    <dbPr connection="Provider=Microsoft.Mashup.OleDb.1;Data Source=$Workbook$;Location=fact_LFM_Base;Extended Properties=&quot;&quot;" command="SELECT * FROM [fact_LFM_Base]"/>
  </connection>
  <connection id="2" xr16:uid="{00000000-0015-0000-FFFF-FFFF01000000}" keepAlive="1" interval="5" name="Query - q_Destacker" description="Подключение к запросу &quot;q_Destacker&quot; в книге." type="5" refreshedVersion="8" background="1" refreshOnLoad="1" saveData="1">
    <dbPr connection="Provider=Microsoft.Mashup.OleDb.1;Data Source=$Workbook$;Location=q_Destacker;Extended Properties=&quot;&quot;" command="SELECT * FROM [q_Destacker]"/>
  </connection>
  <connection id="3" xr16:uid="{00000000-0015-0000-FFFF-FFFF02000000}" keepAlive="1" interval="5" name="Query - q_LFM" description="Подключение к запросу &quot;q_LFM&quot; в книге." type="5" refreshedVersion="8" background="1" refreshOnLoad="1" saveData="1">
    <dbPr connection="Provider=Microsoft.Mashup.OleDb.1;Data Source=$Workbook$;Location=q_LFM;Extended Properties=&quot;&quot;" command="SELECT * FROM [q_LFM]"/>
  </connection>
  <connection id="4" xr16:uid="{00000000-0015-0000-FFFF-FFFF03000000}" keepAlive="1" interval="5" name="Query - q_Norms" description="Подключение к запросу &quot;q_Norms&quot; в книге." type="5" refreshedVersion="8" background="1" refreshOnLoad="1" saveData="1">
    <dbPr connection="Provider=Microsoft.Mashup.OleDb.1;Data Source=$Workbook$;Location=q_Norms;Extended Properties=&quot;&quot;" command="SELECT * FROM [q_Norms]"/>
  </connection>
  <connection id="5" xr16:uid="{00000000-0015-0000-FFFF-FFFF04000000}" keepAlive="1" interval="5" name="Query - q_QCD" description="Подключение к запросу &quot;q_QCD&quot; в книге." type="5" refreshedVersion="8" background="1" refreshOnLoad="1" saveData="1">
    <dbPr connection="Provider=Microsoft.Mashup.OleDb.1;Data Source=$Workbook$;Location=q_QCD;Extended Properties=&quot;&quot;" command="SELECT * FROM [q_QCD]"/>
  </connection>
  <connection id="6" xr16:uid="{00000000-0015-0000-FFFF-FFFF05000000}" keepAlive="1" interval="5" name="Query - q_Receipt" description="Подключение к запросу &quot;q_Receipt&quot; в книге." type="5" refreshedVersion="8" background="1" refreshOnLoad="1" saveData="1">
    <dbPr connection="Provider=Microsoft.Mashup.OleDb.1;Data Source=$Workbook$;Location=q_Receipt;Extended Properties=&quot;&quot;" command="SELECT * FROM [q_Receipt]"/>
  </connection>
  <connection id="7" xr16:uid="{00000000-0015-0000-FFFF-FFFF06000000}" keepAlive="1" interval="5" name="Query - q_Stacker" description="Подключение к запросу &quot;q_Stacker&quot; в книге." type="5" refreshedVersion="8" background="1" refreshOnLoad="1" saveData="1">
    <dbPr connection="Provider=Microsoft.Mashup.OleDb.1;Data Source=$Workbook$;Location=q_Stacker;Extended Properties=&quot;&quot;" command="SELECT * FROM [q_Stacker]"/>
  </connection>
  <connection id="8" xr16:uid="{00000000-0015-0000-FFFF-FFFF07000000}" keepAlive="1" interval="5" name="Query - q_Total_Production" description="Подключение к запросу &quot;q_Total_Production&quot; в книге." type="5" refreshedVersion="8" background="1" refreshOnLoad="1" saveData="1">
    <dbPr connection="Provider=Microsoft.Mashup.OleDb.1;Data Source=$Workbook$;Location=q_Total_Production;Extended Properties=&quot;&quot;" command="SELECT * FROM [q_Total_Production]"/>
  </connection>
  <connection id="9" xr16:uid="{00000000-0015-0000-FFFF-FFFF08000000}" keepAlive="1" interval="5" name="Query - q_ZO" description="Подключение к запросу &quot;q_ZO&quot; в книге." type="5" refreshedVersion="8" background="1" refreshOnLoad="1" saveData="1">
    <dbPr connection="Provider=Microsoft.Mashup.OleDb.1;Data Source=$Workbook$;Location=q_ZO;Extended Properties=&quot;&quot;" command="SELECT * FROM [q_ZO]"/>
  </connection>
  <connection id="10" xr16:uid="{00000000-0015-0000-FFFF-FFFF09000000}" keepAlive="1" interval="5" name="Query - ZZ_ShiftSum" description="Подключение к запросу &quot;ZZ_ShiftSum&quot; в книге." type="5" refreshedVersion="8" background="1" refreshOnLoad="1" saveData="1">
    <dbPr connection="Provider=Microsoft.Mashup.OleDb.1;Data Source=$Workbook$;Location=ZZ_ShiftSum;Extended Properties=&quot;&quot;" command="SELECT * FROM [ZZ_ShiftSum]"/>
  </connection>
</connections>
</file>

<file path=xl/sharedStrings.xml><?xml version="1.0" encoding="utf-8"?>
<sst xmlns="http://schemas.openxmlformats.org/spreadsheetml/2006/main" count="987" uniqueCount="199">
  <si>
    <t>Material_Name</t>
  </si>
  <si>
    <t>Хризотил</t>
  </si>
  <si>
    <t>Хризотил 4-20</t>
  </si>
  <si>
    <t>Хризотил 5-65</t>
  </si>
  <si>
    <t>Хризотил 6-40</t>
  </si>
  <si>
    <t>Цемент</t>
  </si>
  <si>
    <t>Целлюлоза</t>
  </si>
  <si>
    <t>Дробленый шифер</t>
  </si>
  <si>
    <t>Асбозурит</t>
  </si>
  <si>
    <t>Стекловолокно</t>
  </si>
  <si>
    <t>Shift_Name</t>
  </si>
  <si>
    <t>День</t>
  </si>
  <si>
    <t>Ночь</t>
  </si>
  <si>
    <t>Product_Name</t>
  </si>
  <si>
    <t>Шифер 7 волн</t>
  </si>
  <si>
    <t>Шифер 7 волн (1 сорт А)</t>
  </si>
  <si>
    <t>Шифер 7 волн (1 сорт)</t>
  </si>
  <si>
    <t>Шифер 7 волн (брак)</t>
  </si>
  <si>
    <t>Шифер 7 волн (графит)</t>
  </si>
  <si>
    <t>Шифер 7 волн (графит) брак</t>
  </si>
  <si>
    <t>Шифер 7 волн 3500*980</t>
  </si>
  <si>
    <t>Шифер 7 волн 3500*980 брак</t>
  </si>
  <si>
    <t>Шифер 8 волн</t>
  </si>
  <si>
    <t>Шифер 8 волн (1 сорт А)</t>
  </si>
  <si>
    <t>Шифер 8 волн (1 сорт)</t>
  </si>
  <si>
    <t>Шифер 8 волн (брак)</t>
  </si>
  <si>
    <t>Шифер 8 волн (графит)</t>
  </si>
  <si>
    <t>Шифер 8 волн (корич)</t>
  </si>
  <si>
    <t>Шифер 8 волн (черн)</t>
  </si>
  <si>
    <t>Шифер 8 волн (графит) брак</t>
  </si>
  <si>
    <t>Шифер 8 волн (корич) брак</t>
  </si>
  <si>
    <t>Шифер 8 волн (черн) брак</t>
  </si>
  <si>
    <t>Шифер 8 волн глад</t>
  </si>
  <si>
    <t>Шифер 8 волн рифленый</t>
  </si>
  <si>
    <t>Шифер плоский 10 мм</t>
  </si>
  <si>
    <t>Шифер плоский 10 мм (брак)</t>
  </si>
  <si>
    <t>Шифер плоский 10 мм А</t>
  </si>
  <si>
    <t>Шифер плоский 8 мм</t>
  </si>
  <si>
    <t>Шифер плоский 8 мм (брак)</t>
  </si>
  <si>
    <t>Шифер плоский 6 мм</t>
  </si>
  <si>
    <t>Шифер плоский 6 мм (брак)</t>
  </si>
  <si>
    <t>Шифер РП 1750*930</t>
  </si>
  <si>
    <t>Шифер РП 1750*930 (брак)</t>
  </si>
  <si>
    <t>Шифер РП 1750*930 (корич)</t>
  </si>
  <si>
    <t>Шифер РП 1750*930 (красн)</t>
  </si>
  <si>
    <t>Шифер РП 1750*930 (корич) брак</t>
  </si>
  <si>
    <t>Шифер РП 1750*930 (красн) брак</t>
  </si>
  <si>
    <t>Шифер РП 875*930 (корич)</t>
  </si>
  <si>
    <t>Шифер РП 875*930 (красн)</t>
  </si>
  <si>
    <t>Шифер РП 875*930 (брак)</t>
  </si>
  <si>
    <t>Шифер РП 875*930 (корич) брак</t>
  </si>
  <si>
    <t>Шифер РП 875*930 (красн) брак</t>
  </si>
  <si>
    <t>Наименование ХЦИ</t>
  </si>
  <si>
    <t>Асбест А5-65, кг</t>
  </si>
  <si>
    <t>Цемент Цем 1 42,5Н, кг</t>
  </si>
  <si>
    <t>С/в, кг</t>
  </si>
  <si>
    <t>Целлюлоза, кг</t>
  </si>
  <si>
    <t>Асбозурит, кг</t>
  </si>
  <si>
    <t>Дробл. шифер, кг</t>
  </si>
  <si>
    <t>Лапрол, мл</t>
  </si>
  <si>
    <t>Грунт. (ЛКЦ), кг</t>
  </si>
  <si>
    <t>Лак (Цех)</t>
  </si>
  <si>
    <t>Лак (ЛКЦ)</t>
  </si>
  <si>
    <t>Пигмент коричн (Цех)</t>
  </si>
  <si>
    <t>Пигмент коричн (ЛКЦ)</t>
  </si>
  <si>
    <t>Пигмент красн (Цех)</t>
  </si>
  <si>
    <t>Пигмент красн (ЛКЦ)</t>
  </si>
  <si>
    <t>Графит черн (Цех)</t>
  </si>
  <si>
    <t>Графит черн (ЛКЦ)</t>
  </si>
  <si>
    <t> </t>
  </si>
  <si>
    <t>Date</t>
  </si>
  <si>
    <t>Shift</t>
  </si>
  <si>
    <t>Master</t>
  </si>
  <si>
    <t>Material_List</t>
  </si>
  <si>
    <t>Chrysotile_Total_kg</t>
  </si>
  <si>
    <t>Chrysotile_4_20_kg</t>
  </si>
  <si>
    <t>Chrysotile_5_65_kg</t>
  </si>
  <si>
    <t>Chrysotile_6_40_kg</t>
  </si>
  <si>
    <t>Cement_kg</t>
  </si>
  <si>
    <t>Cellulose_kg</t>
  </si>
  <si>
    <t>Crushed_Slate_kg</t>
  </si>
  <si>
    <t>Asbozurite_kg</t>
  </si>
  <si>
    <t>GlassFiber_kg</t>
  </si>
  <si>
    <t>Султанулы</t>
  </si>
  <si>
    <t>["Хризотил","Хризотил 4-20","Хризотил 5-65","Хризотил 6-40","Цемент","Целлюлоза","Дробленный шифер","Асбозурит","Стекловолокно"]</t>
  </si>
  <si>
    <t>Дауылбай</t>
  </si>
  <si>
    <t>Монаев</t>
  </si>
  <si>
    <t>Line</t>
  </si>
  <si>
    <t>Produced_Quantity</t>
  </si>
  <si>
    <t>Wet_Dump_Quantity</t>
  </si>
  <si>
    <t>Линия 1</t>
  </si>
  <si>
    <t>Линия 2</t>
  </si>
  <si>
    <t>Batch_Number</t>
  </si>
  <si>
    <t>Stacked_Sheets_Quantity</t>
  </si>
  <si>
    <t>Destacked_Quantity</t>
  </si>
  <si>
    <t>DS_Good</t>
  </si>
  <si>
    <t>DS_First</t>
  </si>
  <si>
    <t>DS_Defect_Chip</t>
  </si>
  <si>
    <t>DS_Defect_Surface</t>
  </si>
  <si>
    <t>DS_Defect_BadCut</t>
  </si>
  <si>
    <t>DS_Defect_StickBottom</t>
  </si>
  <si>
    <t>DS_Defect_StickTop</t>
  </si>
  <si>
    <t>DS_Defect_Broken</t>
  </si>
  <si>
    <t>DS_Defect_Fall</t>
  </si>
  <si>
    <t>DS_Defect_Dent</t>
  </si>
  <si>
    <t>DS_Defect_Thickness</t>
  </si>
  <si>
    <t>DS_Defect_Delamination</t>
  </si>
  <si>
    <t>DS_Defect_Edge</t>
  </si>
  <si>
    <t>DS_Defect_Total_calc</t>
  </si>
  <si>
    <t>DS_Check</t>
  </si>
  <si>
    <t>Good_Quality_Quantity</t>
  </si>
  <si>
    <t>First_Grade_Quantity</t>
  </si>
  <si>
    <t>Defect_Quantity</t>
  </si>
  <si>
    <t>["Шифер 7 волн"]</t>
  </si>
  <si>
    <t>["Шифер 8 волн"]</t>
  </si>
  <si>
    <t>14.06.2026</t>
  </si>
  <si>
    <t>15.06.2026</t>
  </si>
  <si>
    <t>04.06.2026</t>
  </si>
  <si>
    <t>1</t>
  </si>
  <si>
    <t>150</t>
  </si>
  <si>
    <t>16.06.2026</t>
  </si>
  <si>
    <t>10</t>
  </si>
  <si>
    <t>Total_Produced_Shift</t>
  </si>
  <si>
    <t>Batch_Share</t>
  </si>
  <si>
    <t>Cement_Distributed</t>
  </si>
  <si>
    <t>Chrysotile_Distributed</t>
  </si>
  <si>
    <t>Cellulose_Distributed</t>
  </si>
  <si>
    <t>GlassFiber_Distributed</t>
  </si>
  <si>
    <t>Crushed_Slate_Distributed</t>
  </si>
  <si>
    <t>Asbozurite_Distributed</t>
  </si>
  <si>
    <t>Norm_Chrysotile_5_65_kg</t>
  </si>
  <si>
    <t>Norm_Cement_kg</t>
  </si>
  <si>
    <t>Norm_GlassFiber_kg</t>
  </si>
  <si>
    <t>Norm_Cellulose_kg</t>
  </si>
  <si>
    <t>Norm_Asbozurite_kg</t>
  </si>
  <si>
    <t>Norm_Crushed_Slate_kg</t>
  </si>
  <si>
    <t>Norm_Laprol_ml</t>
  </si>
  <si>
    <t>Norm_Primer_LKC_kg</t>
  </si>
  <si>
    <t>Norm_Lacquer_Shop_kg</t>
  </si>
  <si>
    <t>Norm_Lacquer_LKC_kg</t>
  </si>
  <si>
    <t>Norm_Pigment_Brown_Shop_kg</t>
  </si>
  <si>
    <t>Norm_Pigment_Brown_LKC_kg</t>
  </si>
  <si>
    <t>Norm_Pigment_Red_Shop_kg</t>
  </si>
  <si>
    <t>Norm_Pigment_Red_LKC_kg</t>
  </si>
  <si>
    <t>Norm_Graphite_Black_Shop_kg</t>
  </si>
  <si>
    <t>Norm_Graphite_Black_LKC_kg</t>
  </si>
  <si>
    <t>Fact_Cement_per_unit</t>
  </si>
  <si>
    <t>Deviation_Cement</t>
  </si>
  <si>
    <t>Fact_Chrysotile_per_unit</t>
  </si>
  <si>
    <t>Deviation_Chrysotile</t>
  </si>
  <si>
    <t>Fact_Cellulose_per_unit</t>
  </si>
  <si>
    <t>Deviation_Cellulose</t>
  </si>
  <si>
    <t>Fact_GlassFiber_per_unit</t>
  </si>
  <si>
    <t>Deviation_GlassFiber</t>
  </si>
  <si>
    <t>Fact_Crushed_Slate_per_unit</t>
  </si>
  <si>
    <t>Deviation_Crushed_Slate</t>
  </si>
  <si>
    <t>Fact_Asbozurite_per_unit</t>
  </si>
  <si>
    <t>Deviation_Asbozurite</t>
  </si>
  <si>
    <t>Theoretical_Cement</t>
  </si>
  <si>
    <t>Total_Theoretical_Cement</t>
  </si>
  <si>
    <t>Cement_Balance</t>
  </si>
  <si>
    <t>DS_Defect_Total</t>
  </si>
  <si>
    <t>DS_Check.1</t>
  </si>
  <si>
    <t>QCD_Total</t>
  </si>
  <si>
    <t>Sync_Total</t>
  </si>
  <si>
    <t>Sync_Good</t>
  </si>
  <si>
    <t>Reclassified_To_Defect</t>
  </si>
  <si>
    <t>Reclassified_To_First</t>
  </si>
  <si>
    <t>Дата</t>
  </si>
  <si>
    <t>Смена</t>
  </si>
  <si>
    <t>Мастер</t>
  </si>
  <si>
    <t>Номер партии</t>
  </si>
  <si>
    <t>Наименование</t>
  </si>
  <si>
    <t>Линия</t>
  </si>
  <si>
    <t>Формовка</t>
  </si>
  <si>
    <t>Стакер стопировал</t>
  </si>
  <si>
    <t>Дестакер стопирова</t>
  </si>
  <si>
    <t>Кондиция (Дестакер)</t>
  </si>
  <si>
    <t>1 сорт (Дестакер)</t>
  </si>
  <si>
    <t>Брак (Дестакер)</t>
  </si>
  <si>
    <t>(пусто)</t>
  </si>
  <si>
    <t>Дестакер кондиция</t>
  </si>
  <si>
    <t>СКК кондиция</t>
  </si>
  <si>
    <t>Дестакер 1-й сорт</t>
  </si>
  <si>
    <t>СКК 1-й сорт</t>
  </si>
  <si>
    <t>Дестакер брак</t>
  </si>
  <si>
    <t>СКК брак</t>
  </si>
  <si>
    <t>Отклонение цемент</t>
  </si>
  <si>
    <t>Отклонение хризотил</t>
  </si>
  <si>
    <t>Отклонение целлюлоза</t>
  </si>
  <si>
    <t>Отклонение СВ</t>
  </si>
  <si>
    <t>Отклонение ДШ</t>
  </si>
  <si>
    <t>Отклонение Асбозурит</t>
  </si>
  <si>
    <t>Баланс по цементу</t>
  </si>
  <si>
    <t>164</t>
  </si>
  <si>
    <t>Сброс наката</t>
  </si>
  <si>
    <t>Контроль качества</t>
  </si>
  <si>
    <t>Производство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</si>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</sst>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2" borderId="3" xfId="0" applyFont="1" applyFill="1" applyBorder="1"/>
    <xf numFmtId="0" fontId="2" fillId="2" borderId="0" xfId="0" applyFont="1" applyFill="1"/>
    <xf numFmtId="0" fontId="2" fillId="3" borderId="4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0" xfId="0" applyFont="1" applyFill="1"/>
    <xf numFmtId="14" fontId="3" fillId="4" borderId="0" xfId="0" applyNumberFormat="1" applyFont="1" applyFill="1"/>
    <xf numFmtId="0" fontId="0" fillId="0" borderId="0" xfId="0" pivotButton="1"/>
    <xf numFmtId="0" fontId="3" fillId="4" borderId="7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14" fontId="0" fillId="0" borderId="0" xfId="0" pivotButton="1" applyNumberFormat="1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115">
    <dxf>
      <numFmt numFmtId="164" formatCode="dd\.mm\.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charset val="204"/>
        <scheme val="none"/>
      </font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1/relationships/timelineCache" Target="timelineCaches/timelineCache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847723</xdr:colOff>
      <xdr:row>7</xdr:row>
      <xdr:rowOff>130967</xdr:rowOff>
    </xdr:from>
    <xdr:to>
      <xdr:col>7</xdr:col>
      <xdr:colOff>202406</xdr:colOff>
      <xdr:row>17</xdr:row>
      <xdr:rowOff>166685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Дата">
              <a:extLst>
                <a:ext uri="{FF2B5EF4-FFF2-40B4-BE49-F238E27FC236}">
                  <a16:creationId xmlns:a16="http://schemas.microsoft.com/office/drawing/2014/main" id="{A1566652-63B1-9FFD-20B6-0697821A26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0286" y="1512092"/>
              <a:ext cx="6176964" cy="19883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талия" refreshedDate="46190.391499768521" createdVersion="8" refreshedVersion="8" minRefreshableVersion="3" recordCount="4" xr:uid="{B076F621-C0FA-43C5-A9A4-DBB9E2FF3ACA}">
  <cacheSource type="worksheet">
    <worksheetSource name="fact_LFM_Base"/>
  </cacheSource>
  <cacheFields count="83">
    <cacheField name="Date" numFmtId="164">
      <sharedItems containsSemiMixedTypes="0" containsNonDate="0" containsDate="1" containsString="0" minDate="2026-06-03T00:00:00" maxDate="2026-06-15T00:00:00" count="3">
        <d v="2026-06-13T00:00:00"/>
        <d v="2026-06-14T00:00:00"/>
        <d v="2026-06-03T00:00:00"/>
      </sharedItems>
    </cacheField>
    <cacheField name="Shift" numFmtId="0">
      <sharedItems count="2">
        <s v="День"/>
        <s v="Ночь"/>
      </sharedItems>
    </cacheField>
    <cacheField name="Master" numFmtId="0">
      <sharedItems count="3">
        <s v="Султанулы"/>
        <s v="Дауылбай"/>
        <s v="Монаев"/>
      </sharedItems>
    </cacheField>
    <cacheField name="Line" numFmtId="0">
      <sharedItems count="2">
        <s v="Линия 1"/>
        <s v="Линия 2"/>
      </sharedItems>
    </cacheField>
    <cacheField name="Product_Name" numFmtId="0">
      <sharedItems count="3">
        <s v="Шифер 7 волн"/>
        <s v="Шифер 8 волн"/>
        <s v="Шифер 8 волн рифленый"/>
      </sharedItems>
    </cacheField>
    <cacheField name="Produced_Quantity" numFmtId="0">
      <sharedItems containsSemiMixedTypes="0" containsString="0" containsNumber="1" containsInteger="1" minValue="1000" maxValue="2600"/>
    </cacheField>
    <cacheField name="Wet_Dump_Quantity" numFmtId="0">
      <sharedItems containsSemiMixedTypes="0" containsString="0" containsNumber="1" containsInteger="1" minValue="10" maxValue="272"/>
    </cacheField>
    <cacheField name="Chrysotile_Total_kg" numFmtId="0">
      <sharedItems containsSemiMixedTypes="0" containsString="0" containsNumber="1" containsInteger="1" minValue="1000" maxValue="10000"/>
    </cacheField>
    <cacheField name="Chrysotile_4_20_kg" numFmtId="0">
      <sharedItems containsSemiMixedTypes="0" containsString="0" containsNumber="1" containsInteger="1" minValue="0" maxValue="10000"/>
    </cacheField>
    <cacheField name="Chrysotile_5_65_kg" numFmtId="0">
      <sharedItems containsSemiMixedTypes="0" containsString="0" containsNumber="1" containsInteger="1" minValue="0" maxValue="10000"/>
    </cacheField>
    <cacheField name="Chrysotile_6_40_kg" numFmtId="0">
      <sharedItems containsSemiMixedTypes="0" containsString="0" containsNumber="1" containsInteger="1" minValue="0" maxValue="10000"/>
    </cacheField>
    <cacheField name="Cement_kg" numFmtId="0">
      <sharedItems containsSemiMixedTypes="0" containsString="0" containsNumber="1" containsInteger="1" minValue="1000" maxValue="39659"/>
    </cacheField>
    <cacheField name="Cellulose_kg" numFmtId="0">
      <sharedItems containsSemiMixedTypes="0" containsString="0" containsNumber="1" containsInteger="1" minValue="620" maxValue="10000"/>
    </cacheField>
    <cacheField name="Crushed_Slate_kg" numFmtId="0">
      <sharedItems containsSemiMixedTypes="0" containsString="0" containsNumber="1" containsInteger="1" minValue="0" maxValue="10000"/>
    </cacheField>
    <cacheField name="Asbozurite_kg" numFmtId="0">
      <sharedItems containsSemiMixedTypes="0" containsString="0" containsNumber="1" containsInteger="1" minValue="235" maxValue="10000"/>
    </cacheField>
    <cacheField name="GlassFiber_kg" numFmtId="0">
      <sharedItems containsSemiMixedTypes="0" containsString="0" containsNumber="1" containsInteger="1" minValue="94" maxValue="10000"/>
    </cacheField>
    <cacheField name="Total_Produced_Shift" numFmtId="0">
      <sharedItems containsSemiMixedTypes="0" containsString="0" containsNumber="1" containsInteger="1" minValue="1000" maxValue="2600"/>
    </cacheField>
    <cacheField name="Batch_Share" numFmtId="0">
      <sharedItems containsSemiMixedTypes="0" containsString="0" containsNumber="1" containsInteger="1" minValue="1" maxValue="1"/>
    </cacheField>
    <cacheField name="Cement_Distributed" numFmtId="0">
      <sharedItems containsSemiMixedTypes="0" containsString="0" containsNumber="1" containsInteger="1" minValue="1000" maxValue="39659"/>
    </cacheField>
    <cacheField name="Chrysotile_Distributed" numFmtId="0">
      <sharedItems containsSemiMixedTypes="0" containsString="0" containsNumber="1" containsInteger="1" minValue="1000" maxValue="10000"/>
    </cacheField>
    <cacheField name="Cellulose_Distributed" numFmtId="0">
      <sharedItems containsSemiMixedTypes="0" containsString="0" containsNumber="1" containsInteger="1" minValue="620" maxValue="10000"/>
    </cacheField>
    <cacheField name="GlassFiber_Distributed" numFmtId="0">
      <sharedItems containsSemiMixedTypes="0" containsString="0" containsNumber="1" containsInteger="1" minValue="94" maxValue="10000"/>
    </cacheField>
    <cacheField name="Crushed_Slate_Distributed" numFmtId="0">
      <sharedItems containsSemiMixedTypes="0" containsString="0" containsNumber="1" containsInteger="1" minValue="0" maxValue="10000"/>
    </cacheField>
    <cacheField name="Asbozurite_Distributed" numFmtId="0">
      <sharedItems containsSemiMixedTypes="0" containsString="0" containsNumber="1" containsInteger="1" minValue="235" maxValue="10000"/>
    </cacheField>
    <cacheField name="Norm_Chrysotile_5_65_kg" numFmtId="0">
      <sharedItems containsSemiMixedTypes="0" containsString="0" containsNumber="1" minValue="2.0099999999999998" maxValue="2.31"/>
    </cacheField>
    <cacheField name="Norm_Cement_kg" numFmtId="0">
      <sharedItems containsSemiMixedTypes="0" containsString="0" containsNumber="1" minValue="13.56" maxValue="15.33"/>
    </cacheField>
    <cacheField name="Norm_GlassFiber_kg" numFmtId="0">
      <sharedItems containsSemiMixedTypes="0" containsString="0" containsNumber="1" minValue="0.04" maxValue="4.5999999999999999E-2"/>
    </cacheField>
    <cacheField name="Norm_Cellulose_kg" numFmtId="0">
      <sharedItems containsSemiMixedTypes="0" containsString="0" containsNumber="1" minValue="0.20100000000000001" maxValue="0.23100000000000001"/>
    </cacheField>
    <cacheField name="Norm_Asbozurite_kg" numFmtId="0">
      <sharedItems containsSemiMixedTypes="0" containsString="0" containsNumber="1" minValue="0.10100000000000001" maxValue="0.115"/>
    </cacheField>
    <cacheField name="Norm_Crushed_Slate_kg" numFmtId="0">
      <sharedItems containsSemiMixedTypes="0" containsString="0" containsNumber="1" minValue="0.20100000000000001" maxValue="0.23100000000000001"/>
    </cacheField>
    <cacheField name="Norm_Laprol_ml" numFmtId="0">
      <sharedItems containsSemiMixedTypes="0" containsString="0" containsNumber="1" minValue="4.0200000000000001E-4" maxValue="4.6200000000000001E-4"/>
    </cacheField>
    <cacheField name="Norm_Primer_LKC_kg" numFmtId="0">
      <sharedItems containsNonDate="0" containsString="0" containsBlank="1"/>
    </cacheField>
    <cacheField name="Norm_Lacquer_Shop_kg" numFmtId="0">
      <sharedItems containsNonDate="0" containsString="0" containsBlank="1"/>
    </cacheField>
    <cacheField name="Norm_Lacquer_LKC_kg" numFmtId="0">
      <sharedItems containsNonDate="0" containsString="0" containsBlank="1"/>
    </cacheField>
    <cacheField name="Norm_Pigment_Brown_Shop_kg" numFmtId="0">
      <sharedItems containsNonDate="0" containsString="0" containsBlank="1"/>
    </cacheField>
    <cacheField name="Norm_Pigment_Brown_LKC_kg" numFmtId="0">
      <sharedItems containsNonDate="0" containsString="0" containsBlank="1"/>
    </cacheField>
    <cacheField name="Norm_Pigment_Red_Shop_kg" numFmtId="0">
      <sharedItems containsNonDate="0" containsString="0" containsBlank="1"/>
    </cacheField>
    <cacheField name="Norm_Pigment_Red_LKC_kg" numFmtId="0">
      <sharedItems containsNonDate="0" containsString="0" containsBlank="1"/>
    </cacheField>
    <cacheField name="Norm_Graphite_Black_Shop_kg" numFmtId="0">
      <sharedItems containsNonDate="0" containsString="0" containsBlank="1"/>
    </cacheField>
    <cacheField name="Norm_Graphite_Black_LKC_kg" numFmtId="0">
      <sharedItems containsNonDate="0" containsString="0" containsBlank="1"/>
    </cacheField>
    <cacheField name="Fact_Cement_per_unit" numFmtId="0">
      <sharedItems containsSemiMixedTypes="0" containsString="0" containsNumber="1" minValue="1" maxValue="15.253461538461538"/>
    </cacheField>
    <cacheField name="Deviation_Cement" numFmtId="0">
      <sharedItems containsSemiMixedTypes="0" containsString="0" containsNumber="1" minValue="-12.56" maxValue="-7.6538461538461888E-2"/>
    </cacheField>
    <cacheField name="Fact_Chrysotile_per_unit" numFmtId="0">
      <sharedItems containsSemiMixedTypes="0" containsString="0" containsNumber="1" minValue="1" maxValue="10"/>
    </cacheField>
    <cacheField name="Deviation_Chrysotile" numFmtId="0">
      <sharedItems containsSemiMixedTypes="0" containsString="0" containsNumber="1" minValue="-1.0099999999999998" maxValue="7.6899999999999995"/>
    </cacheField>
    <cacheField name="Fact_Cellulose_per_unit" numFmtId="0">
      <sharedItems containsSemiMixedTypes="0" containsString="0" containsNumber="1" minValue="0.23846153846153847" maxValue="10"/>
    </cacheField>
    <cacheField name="Deviation_Cellulose" numFmtId="0">
      <sharedItems containsSemiMixedTypes="0" containsString="0" containsNumber="1" minValue="7.4615384615384639E-3" maxValue="9.7690000000000001"/>
    </cacheField>
    <cacheField name="Fact_GlassFiber_per_unit" numFmtId="0">
      <sharedItems containsSemiMixedTypes="0" containsString="0" containsNumber="1" minValue="4.12280701754386E-2" maxValue="10"/>
    </cacheField>
    <cacheField name="Deviation_GlassFiber" numFmtId="0">
      <sharedItems containsSemiMixedTypes="0" containsString="0" containsNumber="1" minValue="1.2280701754385989E-3" maxValue="9.9540000000000006"/>
    </cacheField>
    <cacheField name="Fact_Crushed_Slate_per_unit" numFmtId="0">
      <sharedItems containsSemiMixedTypes="0" containsString="0" containsNumber="1" minValue="0" maxValue="10"/>
    </cacheField>
    <cacheField name="Deviation_Crushed_Slate" numFmtId="0">
      <sharedItems containsSemiMixedTypes="0" containsString="0" containsNumber="1" minValue="-0.23100000000000001" maxValue="9.7690000000000001"/>
    </cacheField>
    <cacheField name="Fact_Asbozurite_per_unit" numFmtId="0">
      <sharedItems containsSemiMixedTypes="0" containsString="0" containsNumber="1" minValue="0.10307017543859649" maxValue="10"/>
    </cacheField>
    <cacheField name="Deviation_Asbozurite" numFmtId="0">
      <sharedItems containsSemiMixedTypes="0" containsString="0" containsNumber="1" minValue="2.070175438596486E-3" maxValue="9.8849999999999998"/>
    </cacheField>
    <cacheField name="Theoretical_Cement" numFmtId="0">
      <sharedItems containsSemiMixedTypes="0" containsString="0" containsNumber="1" minValue="13560" maxValue="39858"/>
    </cacheField>
    <cacheField name="Total_Theoretical_Cement" numFmtId="0">
      <sharedItems containsSemiMixedTypes="0" containsString="0" containsNumber="1" minValue="13560" maxValue="39858"/>
    </cacheField>
    <cacheField name="Cement_Balance" numFmtId="0">
      <sharedItems containsSemiMixedTypes="0" containsString="0" containsNumber="1" minValue="-12560" maxValue="-199"/>
    </cacheField>
    <cacheField name="Batch_Number" numFmtId="0">
      <sharedItems containsBlank="1" count="4">
        <s v="1"/>
        <s v="150"/>
        <s v="164"/>
        <m/>
      </sharedItems>
    </cacheField>
    <cacheField name="Stacked_Sheets_Quantity" numFmtId="0">
      <sharedItems containsString="0" containsBlank="1" containsNumber="1" containsInteger="1" minValue="1000" maxValue="2250"/>
    </cacheField>
    <cacheField name="Destacked_Quantity" numFmtId="0">
      <sharedItems containsString="0" containsBlank="1" containsNumber="1" containsInteger="1" minValue="1000" maxValue="2250"/>
    </cacheField>
    <cacheField name="DS_Good" numFmtId="0">
      <sharedItems containsString="0" containsBlank="1" containsNumber="1" containsInteger="1" minValue="979" maxValue="2250"/>
    </cacheField>
    <cacheField name="DS_First" numFmtId="0">
      <sharedItems containsString="0" containsBlank="1" containsNumber="1" containsInteger="1" minValue="9" maxValue="10"/>
    </cacheField>
    <cacheField name="DS_Defect_Chip" numFmtId="0">
      <sharedItems containsString="0" containsBlank="1" containsNumber="1" containsInteger="1" minValue="1" maxValue="1"/>
    </cacheField>
    <cacheField name="DS_Defect_Surface" numFmtId="0">
      <sharedItems containsString="0" containsBlank="1" containsNumber="1" containsInteger="1" minValue="1" maxValue="1"/>
    </cacheField>
    <cacheField name="DS_Defect_BadCut" numFmtId="0">
      <sharedItems containsString="0" containsBlank="1" containsNumber="1" containsInteger="1" minValue="1" maxValue="6"/>
    </cacheField>
    <cacheField name="DS_Defect_StickBottom" numFmtId="0">
      <sharedItems containsString="0" containsBlank="1" containsNumber="1" containsInteger="1" minValue="1" maxValue="1"/>
    </cacheField>
    <cacheField name="DS_Defect_StickTop" numFmtId="0">
      <sharedItems containsString="0" containsBlank="1" containsNumber="1" containsInteger="1" minValue="1" maxValue="1"/>
    </cacheField>
    <cacheField name="DS_Defect_Broken" numFmtId="0">
      <sharedItems containsString="0" containsBlank="1" containsNumber="1" containsInteger="1" minValue="1" maxValue="1"/>
    </cacheField>
    <cacheField name="DS_Defect_Fall" numFmtId="0">
      <sharedItems containsString="0" containsBlank="1" containsNumber="1" containsInteger="1" minValue="1" maxValue="1"/>
    </cacheField>
    <cacheField name="DS_Defect_Dent" numFmtId="0">
      <sharedItems containsString="0" containsBlank="1" containsNumber="1" containsInteger="1" minValue="1" maxValue="1"/>
    </cacheField>
    <cacheField name="DS_Defect_Thickness" numFmtId="0">
      <sharedItems containsString="0" containsBlank="1" containsNumber="1" containsInteger="1" minValue="1" maxValue="1"/>
    </cacheField>
    <cacheField name="DS_Defect_Delamination" numFmtId="0">
      <sharedItems containsString="0" containsBlank="1" containsNumber="1" containsInteger="1" minValue="1" maxValue="1"/>
    </cacheField>
    <cacheField name="DS_Defect_Edge" numFmtId="0">
      <sharedItems containsString="0" containsBlank="1" containsNumber="1" containsInteger="1" minValue="1" maxValue="3"/>
    </cacheField>
    <cacheField name="DS_Defect_Total_calc" numFmtId="0">
      <sharedItems containsNonDate="0" containsString="0" containsBlank="1"/>
    </cacheField>
    <cacheField name="DS_Check" numFmtId="0">
      <sharedItems containsNonDate="0" containsString="0" containsBlank="1"/>
    </cacheField>
    <cacheField name="Good_Quality_Quantity" numFmtId="0">
      <sharedItems containsString="0" containsBlank="1" containsNumber="1" containsInteger="1" minValue="900" maxValue="950"/>
    </cacheField>
    <cacheField name="First_Grade_Quantity" numFmtId="0">
      <sharedItems containsString="0" containsBlank="1" containsNumber="1" containsInteger="1" minValue="45" maxValue="50"/>
    </cacheField>
    <cacheField name="Defect_Quantity" numFmtId="0">
      <sharedItems containsString="0" containsBlank="1" containsNumber="1" containsInteger="1" minValue="5" maxValue="50"/>
    </cacheField>
    <cacheField name="DS_Defect_Total" numFmtId="0">
      <sharedItems containsString="0" containsBlank="1" containsNumber="1" containsInteger="1" minValue="11" maxValue="11"/>
    </cacheField>
    <cacheField name="DS_Check.1" numFmtId="0">
      <sharedItems containsString="0" containsBlank="1" containsNumber="1" containsInteger="1" minValue="0" maxValue="0"/>
    </cacheField>
    <cacheField name="QCD_Total" numFmtId="0">
      <sharedItems containsString="0" containsBlank="1" containsNumber="1" containsInteger="1" minValue="1000" maxValue="1000"/>
    </cacheField>
    <cacheField name="Sync_Total" numFmtId="0">
      <sharedItems containsString="0" containsBlank="1" containsNumber="1" containsInteger="1" minValue="0" maxValue="0"/>
    </cacheField>
    <cacheField name="Sync_Good" numFmtId="0">
      <sharedItems containsString="0" containsBlank="1" containsNumber="1" containsInteger="1" minValue="79" maxValue="79"/>
    </cacheField>
    <cacheField name="Reclassified_To_Defect" numFmtId="0">
      <sharedItems containsString="0" containsBlank="1" containsNumber="1" containsInteger="1" minValue="29" maxValue="29"/>
    </cacheField>
    <cacheField name="Reclassified_To_First" numFmtId="0">
      <sharedItems containsString="0" containsBlank="1" containsNumber="1" containsInteger="1" minValue="40" maxValue="40"/>
    </cacheField>
  </cacheFields>
  <extLst>
    <ext xmlns:x14="http://schemas.microsoft.com/office/spreadsheetml/2009/9/main" uri="{725AE2AE-9491-48be-B2B4-4EB974FC3084}">
      <x14:pivotCacheDefinition pivotCacheId="1707836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  <x v="0"/>
    <n v="1000"/>
    <n v="10"/>
    <n v="1000"/>
    <n v="1000"/>
    <n v="1000"/>
    <n v="1000"/>
    <n v="1000"/>
    <n v="1000"/>
    <n v="1000"/>
    <n v="1000"/>
    <n v="1000"/>
    <n v="1000"/>
    <n v="1"/>
    <n v="1000"/>
    <n v="1000"/>
    <n v="1000"/>
    <n v="1000"/>
    <n v="1000"/>
    <n v="1000"/>
    <n v="2.0099999999999998"/>
    <n v="13.56"/>
    <n v="0.04"/>
    <n v="0.20100000000000001"/>
    <n v="0.10100000000000001"/>
    <n v="0.20100000000000001"/>
    <n v="4.0200000000000001E-4"/>
    <m/>
    <m/>
    <m/>
    <m/>
    <m/>
    <m/>
    <m/>
    <m/>
    <m/>
    <n v="1"/>
    <n v="-12.56"/>
    <n v="1"/>
    <n v="-1.0099999999999998"/>
    <n v="1"/>
    <n v="0.79899999999999993"/>
    <n v="1"/>
    <n v="0.96"/>
    <n v="1"/>
    <n v="0.79899999999999993"/>
    <n v="1"/>
    <n v="0.89900000000000002"/>
    <n v="13560"/>
    <n v="13560"/>
    <n v="-12560"/>
    <x v="0"/>
    <n v="1000"/>
    <n v="1000"/>
    <m/>
    <m/>
    <m/>
    <m/>
    <m/>
    <m/>
    <m/>
    <m/>
    <m/>
    <m/>
    <m/>
    <m/>
    <m/>
    <m/>
    <m/>
    <n v="950"/>
    <n v="45"/>
    <n v="5"/>
    <m/>
    <m/>
    <n v="1000"/>
    <n v="0"/>
    <m/>
    <m/>
    <m/>
  </r>
  <r>
    <x v="1"/>
    <x v="0"/>
    <x v="1"/>
    <x v="1"/>
    <x v="1"/>
    <n v="1000"/>
    <n v="10"/>
    <n v="10000"/>
    <n v="10000"/>
    <n v="10000"/>
    <n v="10000"/>
    <n v="10000"/>
    <n v="10000"/>
    <n v="10000"/>
    <n v="10000"/>
    <n v="10000"/>
    <n v="1000"/>
    <n v="1"/>
    <n v="10000"/>
    <n v="10000"/>
    <n v="10000"/>
    <n v="10000"/>
    <n v="10000"/>
    <n v="10000"/>
    <n v="2.31"/>
    <n v="15.33"/>
    <n v="4.5999999999999999E-2"/>
    <n v="0.23100000000000001"/>
    <n v="0.115"/>
    <n v="0.23100000000000001"/>
    <n v="4.6200000000000001E-4"/>
    <m/>
    <m/>
    <m/>
    <m/>
    <m/>
    <m/>
    <m/>
    <m/>
    <m/>
    <n v="10"/>
    <n v="-5.33"/>
    <n v="10"/>
    <n v="7.6899999999999995"/>
    <n v="10"/>
    <n v="9.7690000000000001"/>
    <n v="10"/>
    <n v="9.9540000000000006"/>
    <n v="10"/>
    <n v="9.7690000000000001"/>
    <n v="10"/>
    <n v="9.8849999999999998"/>
    <n v="15330"/>
    <n v="15330"/>
    <n v="-5330"/>
    <x v="1"/>
    <n v="1000"/>
    <n v="1000"/>
    <n v="979"/>
    <n v="10"/>
    <n v="1"/>
    <n v="1"/>
    <n v="1"/>
    <n v="1"/>
    <n v="1"/>
    <n v="1"/>
    <n v="1"/>
    <n v="1"/>
    <n v="1"/>
    <n v="1"/>
    <n v="1"/>
    <m/>
    <m/>
    <n v="900"/>
    <n v="50"/>
    <n v="50"/>
    <n v="11"/>
    <n v="0"/>
    <n v="1000"/>
    <n v="0"/>
    <n v="79"/>
    <n v="29"/>
    <n v="40"/>
  </r>
  <r>
    <x v="1"/>
    <x v="1"/>
    <x v="1"/>
    <x v="1"/>
    <x v="2"/>
    <n v="2600"/>
    <n v="272"/>
    <n v="6241"/>
    <n v="0"/>
    <n v="0"/>
    <n v="0"/>
    <n v="39659"/>
    <n v="620"/>
    <n v="0"/>
    <n v="310"/>
    <n v="124"/>
    <n v="2600"/>
    <n v="1"/>
    <n v="39659"/>
    <n v="6241"/>
    <n v="620"/>
    <n v="124"/>
    <n v="0"/>
    <n v="310"/>
    <n v="2.31"/>
    <n v="15.33"/>
    <n v="4.5999999999999999E-2"/>
    <n v="0.23100000000000001"/>
    <n v="0.115"/>
    <n v="0.23100000000000001"/>
    <n v="4.6200000000000001E-4"/>
    <m/>
    <m/>
    <m/>
    <m/>
    <m/>
    <m/>
    <m/>
    <m/>
    <m/>
    <n v="15.253461538461538"/>
    <n v="-7.6538461538461888E-2"/>
    <n v="2.4003846153846156"/>
    <n v="9.0384615384615508E-2"/>
    <n v="0.23846153846153847"/>
    <n v="7.4615384615384639E-3"/>
    <n v="4.7692307692307694E-2"/>
    <n v="1.6923076923076943E-3"/>
    <n v="0"/>
    <n v="-0.23100000000000001"/>
    <n v="0.11923076923076924"/>
    <n v="4.2307692307692324E-3"/>
    <n v="39858"/>
    <n v="39858"/>
    <n v="-199"/>
    <x v="2"/>
    <n v="2250"/>
    <n v="2250"/>
    <n v="2250"/>
    <n v="9"/>
    <m/>
    <m/>
    <n v="6"/>
    <m/>
    <m/>
    <m/>
    <m/>
    <m/>
    <m/>
    <m/>
    <n v="3"/>
    <m/>
    <m/>
    <m/>
    <m/>
    <m/>
    <m/>
    <m/>
    <m/>
    <m/>
    <m/>
    <m/>
    <m/>
  </r>
  <r>
    <x v="2"/>
    <x v="1"/>
    <x v="2"/>
    <x v="1"/>
    <x v="0"/>
    <n v="2280"/>
    <n v="123"/>
    <n v="4766"/>
    <n v="0"/>
    <n v="0"/>
    <n v="0"/>
    <n v="30048"/>
    <n v="705"/>
    <n v="470"/>
    <n v="235"/>
    <n v="94"/>
    <n v="2280"/>
    <n v="1"/>
    <n v="30048"/>
    <n v="4766"/>
    <n v="705"/>
    <n v="94"/>
    <n v="470"/>
    <n v="235"/>
    <n v="2.0099999999999998"/>
    <n v="13.56"/>
    <n v="0.04"/>
    <n v="0.20100000000000001"/>
    <n v="0.10100000000000001"/>
    <n v="0.20100000000000001"/>
    <n v="4.0200000000000001E-4"/>
    <m/>
    <m/>
    <m/>
    <m/>
    <m/>
    <m/>
    <m/>
    <m/>
    <m/>
    <n v="13.178947368421053"/>
    <n v="-0.38105263157894775"/>
    <n v="2.0903508771929826"/>
    <n v="8.0350877192982839E-2"/>
    <n v="0.30921052631578949"/>
    <n v="0.10821052631578948"/>
    <n v="4.12280701754386E-2"/>
    <n v="1.2280701754385989E-3"/>
    <n v="0.20614035087719298"/>
    <n v="5.1403508771929729E-3"/>
    <n v="0.10307017543859649"/>
    <n v="2.070175438596486E-3"/>
    <n v="30916.800000000003"/>
    <n v="30916.800000000003"/>
    <n v="-868.80000000000291"/>
    <x v="3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754D9-FFF6-41DB-9469-CF19A954EFCE}" name="Сводная таблица4" cacheId="0" applyNumberFormats="0" applyBorderFormats="0" applyFontFormats="0" applyPatternFormats="0" applyAlignmentFormats="0" applyWidthHeightFormats="1" dataCaption="Значения" updatedVersion="8" minRefreshableVersion="5" showDrill="0" useAutoFormatting="1" rowGrandTotals="0" colGrandTotals="0" itemPrintTitles="1" createdVersion="8" indent="0" compact="0" compactData="0" multipleFieldFilters="0">
  <location ref="A40:M44" firstHeaderRow="0" firstDataRow="1" firstDataCol="6"/>
  <pivotFields count="83">
    <pivotField name="Дата"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Смена"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астер"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Линия"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именование"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Номер партии" axis="axisRow" compact="0" outline="0" subtotalTop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55"/>
    <field x="4"/>
    <field x="3"/>
  </rowFields>
  <rowItems count="4">
    <i>
      <x/>
      <x/>
      <x v="1"/>
      <x/>
      <x/>
      <x/>
    </i>
    <i>
      <x v="1"/>
      <x/>
      <x v="2"/>
      <x v="1"/>
      <x v="1"/>
      <x v="1"/>
    </i>
    <i r="1">
      <x v="1"/>
      <x v="2"/>
      <x v="3"/>
      <x v="2"/>
      <x v="1"/>
    </i>
    <i>
      <x v="2"/>
      <x v="1"/>
      <x/>
      <x v="2"/>
      <x/>
      <x v="1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Отклонение цемент" fld="41" subtotal="average" baseField="0" baseItem="0"/>
    <dataField name="Отклонение хризотил" fld="43" subtotal="average" baseField="0" baseItem="0"/>
    <dataField name="Отклонение целлюлоза" fld="45" subtotal="average" baseField="0" baseItem="0"/>
    <dataField name="Отклонение СВ" fld="47" subtotal="average" baseField="0" baseItem="0"/>
    <dataField name="Отклонение ДШ" fld="49" subtotal="average" baseField="0" baseItem="0"/>
    <dataField name="Отклонение Асбозурит" fld="51" subtotal="average" baseField="0" baseItem="0"/>
    <dataField name="Баланс по цементу" fld="54" baseField="0" baseItem="0"/>
  </dataFields>
  <formats count="2"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</formats>
  <conditionalFormats count="10">
    <conditionalFormat scope="data" priority="1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9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10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dateBetween" evalOrder="-1" id="24" name="Date">
      <autoFilter ref="A1">
        <filterColumn colId="0">
          <customFilters and="1">
            <customFilter operator="greaterThanOrEqual" val="46176"/>
            <customFilter operator="lessThanOrEqual" val="4618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9F1BB-5BFD-4489-87A7-C034DB1D7655}" name="Сводная таблица3" cacheId="0" applyNumberFormats="0" applyBorderFormats="0" applyFontFormats="0" applyPatternFormats="0" applyAlignmentFormats="0" applyWidthHeightFormats="1" dataCaption="Значения" updatedVersion="8" minRefreshableVersion="5" showDrill="0" useAutoFormatting="1" rowGrandTotals="0" colGrandTotals="0" itemPrintTitles="1" createdVersion="8" indent="0" compact="0" compactData="0" multipleFieldFilters="0">
  <location ref="A21:L25" firstHeaderRow="0" firstDataRow="1" firstDataCol="6"/>
  <pivotFields count="83">
    <pivotField name="Дата"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Смена"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астер"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Линия"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именование"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Номер партии" axis="axisRow" compact="0" outline="0" subtotalTop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55"/>
    <field x="4"/>
    <field x="3"/>
  </rowFields>
  <rowItems count="4">
    <i>
      <x/>
      <x/>
      <x v="1"/>
      <x/>
      <x/>
      <x/>
    </i>
    <i>
      <x v="1"/>
      <x/>
      <x v="2"/>
      <x v="1"/>
      <x v="1"/>
      <x v="1"/>
    </i>
    <i r="1">
      <x v="1"/>
      <x v="2"/>
      <x v="3"/>
      <x v="2"/>
      <x v="1"/>
    </i>
    <i>
      <x v="2"/>
      <x v="1"/>
      <x/>
      <x v="2"/>
      <x/>
      <x v="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Дестакер кондиция" fld="58" baseField="0" baseItem="0"/>
    <dataField name="СКК кондиция" fld="73" baseField="0" baseItem="0"/>
    <dataField name="Дестакер 1-й сорт" fld="59" baseField="0" baseItem="0"/>
    <dataField name="СКК 1-й сорт" fld="74" baseField="0" baseItem="0"/>
    <dataField name="Дестакер брак" fld="76" baseField="0" baseItem="0"/>
    <dataField name="СКК брак" fld="75" baseField="0" baseItem="0"/>
  </dataFields>
  <formats count="2">
    <format dxfId="4">
      <pivotArea field="0" type="button" dataOnly="0" labelOnly="1" outline="0" axis="axisRow" fieldPosition="0"/>
    </format>
    <format dxfId="3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filters count="1">
    <filter fld="0" type="dateBetween" evalOrder="-1" id="24" name="Date">
      <autoFilter ref="A1">
        <filterColumn colId="0">
          <customFilters and="1">
            <customFilter operator="greaterThanOrEqual" val="46176"/>
            <customFilter operator="lessThanOrEqual" val="4618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EE409-CDFC-4573-9236-85B09D29C49A}" name="Производство" cacheId="0" applyNumberFormats="0" applyBorderFormats="0" applyFontFormats="0" applyPatternFormats="0" applyAlignmentFormats="0" applyWidthHeightFormats="1" dataCaption="Значения" updatedVersion="8" minRefreshableVersion="5" showDrill="0" useAutoFormatting="1" rowGrandTotals="0" colGrandTotals="0" itemPrintTitles="1" createdVersion="8" indent="0" compact="0" compactData="0" multipleFieldFilters="0">
  <location ref="A2:M6" firstHeaderRow="0" firstDataRow="1" firstDataCol="6"/>
  <pivotFields count="83">
    <pivotField name="Дата"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Смена"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астер"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Линия"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именование"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Номер партии" axis="axisRow" compact="0" outline="0" subtotalTop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55"/>
    <field x="4"/>
    <field x="3"/>
  </rowFields>
  <rowItems count="4">
    <i>
      <x/>
      <x/>
      <x v="1"/>
      <x/>
      <x/>
      <x/>
    </i>
    <i>
      <x v="1"/>
      <x/>
      <x v="2"/>
      <x v="1"/>
      <x v="1"/>
      <x v="1"/>
    </i>
    <i r="1">
      <x v="1"/>
      <x v="2"/>
      <x v="3"/>
      <x v="2"/>
      <x v="1"/>
    </i>
    <i>
      <x v="2"/>
      <x v="1"/>
      <x/>
      <x v="2"/>
      <x/>
      <x v="1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Формовка" fld="5" baseField="0" baseItem="0"/>
    <dataField name="Сброс наката" fld="6" baseField="0" baseItem="0"/>
    <dataField name="Стакер стопировал" fld="56" baseField="0" baseItem="0"/>
    <dataField name="Дестакер стопирова" fld="57" baseField="0" baseItem="0"/>
    <dataField name="Кондиция (Дестакер)" fld="58" baseField="0" baseItem="0"/>
    <dataField name="1 сорт (Дестакер)" fld="59" baseField="0" baseItem="0"/>
    <dataField name="Брак (Дестакер)" fld="76" baseField="0" baseItem="0"/>
  </dataFields>
  <formats count="1">
    <format dxfId="5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0" type="dateBetween" evalOrder="-1" id="46" name="Date">
      <autoFilter ref="A1">
        <filterColumn colId="0">
          <customFilters and="1">
            <customFilter operator="greaterThanOrEqual" val="46176"/>
            <customFilter operator="lessThanOrEqual" val="4618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6" xr16:uid="{00000000-0016-0000-0800-000000000000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Shift" tableColumnId="2"/>
      <queryTableField id="3" name="Master" tableColumnId="3"/>
      <queryTableField id="4" name="Material_List" tableColumnId="4"/>
      <queryTableField id="5" name="Chrysotile_Total_kg" tableColumnId="5"/>
      <queryTableField id="6" name="Chrysotile_4_20_kg" tableColumnId="6"/>
      <queryTableField id="7" name="Chrysotile_5_65_kg" tableColumnId="7"/>
      <queryTableField id="8" name="Chrysotile_6_40_kg" tableColumnId="8"/>
      <queryTableField id="9" name="Cement_kg" tableColumnId="9"/>
      <queryTableField id="10" name="Cellulose_kg" tableColumnId="10"/>
      <queryTableField id="11" name="Crushed_Slate_kg" tableColumnId="11"/>
      <queryTableField id="12" name="Asbozurite_kg" tableColumnId="12"/>
      <queryTableField id="13" name="GlassFiber_kg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9" xr16:uid="{00000000-0016-0000-0900-000001000000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hift" tableColumnId="2"/>
      <queryTableField id="3" name="Master" tableColumnId="3"/>
      <queryTableField id="4" name="Chrysotile_Total_kg" tableColumnId="4"/>
      <queryTableField id="5" name="Chrysotile_4_20_kg" tableColumnId="5"/>
      <queryTableField id="6" name="Chrysotile_5_65_kg" tableColumnId="6"/>
      <queryTableField id="7" name="Chrysotile_6_40_kg" tableColumnId="7"/>
      <queryTableField id="8" name="Cement_kg" tableColumnId="8"/>
      <queryTableField id="9" name="Cellulose_kg" tableColumnId="9"/>
      <queryTableField id="10" name="Crushed_Slate_kg" tableColumnId="10"/>
      <queryTableField id="11" name="Asbozurite_kg" tableColumnId="11"/>
      <queryTableField id="12" name="GlassFiber_kg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00000000-0016-0000-0A00-000002000000}" autoFormatId="16" applyNumberFormats="0" applyBorderFormats="0" applyFontFormats="0" applyPatternFormats="0" applyAlignmentFormats="0" applyWidthHeightFormats="0">
  <queryTableRefresh nextId="9">
    <queryTableFields count="7">
      <queryTableField id="1" name="Date" tableColumnId="1"/>
      <queryTableField id="2" name="Shift" tableColumnId="2"/>
      <queryTableField id="3" name="Master" tableColumnId="3"/>
      <queryTableField id="4" name="Line" tableColumnId="4"/>
      <queryTableField id="6" name="Product_Name" tableColumnId="6"/>
      <queryTableField id="7" name="Produced_Quantity" tableColumnId="7"/>
      <queryTableField id="8" name="Wet_Dump_Quantity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7" xr16:uid="{00000000-0016-0000-0B00-000003000000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Shift" tableColumnId="2"/>
      <queryTableField id="3" name="Master" tableColumnId="3"/>
      <queryTableField id="4" name="Line" tableColumnId="4"/>
      <queryTableField id="5" name="Batch_Number" tableColumnId="5"/>
      <queryTableField id="6" name="Product_Name" tableColumnId="6"/>
      <queryTableField id="7" name="Stacked_Sheets_Quantity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00000000-0016-0000-0C00-000004000000}" autoFormatId="16" applyNumberFormats="0" applyBorderFormats="0" applyFontFormats="0" applyPatternFormats="0" applyAlignmentFormats="0" applyWidthHeightFormats="0">
  <queryTableRefresh nextId="28">
    <queryTableFields count="22">
      <queryTableField id="1" name="Date" tableColumnId="1"/>
      <queryTableField id="2" name="Shift" tableColumnId="2"/>
      <queryTableField id="3" name="Master" tableColumnId="3"/>
      <queryTableField id="4" name="Line" tableColumnId="4"/>
      <queryTableField id="5" name="Batch_Number" tableColumnId="5"/>
      <queryTableField id="6" name="Product_Name" tableColumnId="6"/>
      <queryTableField id="7" name="Destacked_Quantity" tableColumnId="7"/>
      <queryTableField id="8" name="DS_Good" tableColumnId="8"/>
      <queryTableField id="9" name="DS_First" tableColumnId="9"/>
      <queryTableField id="11" name="DS_Defect_Chip" tableColumnId="11"/>
      <queryTableField id="12" name="DS_Defect_Surface" tableColumnId="12"/>
      <queryTableField id="13" name="DS_Defect_BadCut" tableColumnId="13"/>
      <queryTableField id="18" name="DS_Defect_StickBottom" tableColumnId="18"/>
      <queryTableField id="19" name="DS_Defect_StickTop" tableColumnId="19"/>
      <queryTableField id="20" name="DS_Defect_Broken" tableColumnId="20"/>
      <queryTableField id="21" name="DS_Defect_Fall" tableColumnId="21"/>
      <queryTableField id="22" name="DS_Defect_Dent" tableColumnId="22"/>
      <queryTableField id="23" name="DS_Defect_Thickness" tableColumnId="23"/>
      <queryTableField id="24" name="DS_Defect_Delamination" tableColumnId="24"/>
      <queryTableField id="25" name="DS_Defect_Edge" tableColumnId="25"/>
      <queryTableField id="26" name="DS_Defect_Total_calc" tableColumnId="26"/>
      <queryTableField id="27" name="DS_Check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0000000-0016-0000-0D00-000005000000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Shift" tableColumnId="2"/>
      <queryTableField id="3" name="Master" tableColumnId="3"/>
      <queryTableField id="4" name="Line" tableColumnId="4"/>
      <queryTableField id="5" name="Batch_Number" tableColumnId="5"/>
      <queryTableField id="6" name="Product_Name" tableColumnId="6"/>
      <queryTableField id="7" name="Good_Quality_Quantity" tableColumnId="7"/>
      <queryTableField id="8" name="First_Grade_Quantity" tableColumnId="8"/>
      <queryTableField id="9" name="Defect_Quantity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8" xr16:uid="{00000000-0016-0000-0E00-000006000000}" autoFormatId="16" applyNumberFormats="0" applyBorderFormats="0" applyFontFormats="0" applyPatternFormats="0" applyAlignmentFormats="0" applyWidthHeightFormats="0">
  <queryTableRefresh nextId="10">
    <queryTableFields count="4">
      <queryTableField id="1" name="Date" tableColumnId="1"/>
      <queryTableField id="2" name="Shift" tableColumnId="2"/>
      <queryTableField id="3" name="Master" tableColumnId="3"/>
      <queryTableField id="9" name="Total_Produced_Shift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0000000-0016-0000-0F00-000007000000}" autoFormatId="16" applyNumberFormats="0" applyBorderFormats="0" applyFontFormats="0" applyPatternFormats="0" applyAlignmentFormats="0" applyWidthHeightFormats="0">
  <queryTableRefresh nextId="123">
    <queryTableFields count="83">
      <queryTableField id="1" name="Date" tableColumnId="1"/>
      <queryTableField id="2" name="Shift" tableColumnId="2"/>
      <queryTableField id="3" name="Master" tableColumnId="3"/>
      <queryTableField id="4" name="Line" tableColumnId="4"/>
      <queryTableField id="6" name="Product_Name" tableColumnId="6"/>
      <queryTableField id="7" name="Produced_Quantity" tableColumnId="7"/>
      <queryTableField id="8" name="Wet_Dump_Quantity" tableColumnId="8"/>
      <queryTableField id="9" name="Chrysotile_Total_kg" tableColumnId="9"/>
      <queryTableField id="10" name="Chrysotile_4_20_kg" tableColumnId="10"/>
      <queryTableField id="11" name="Chrysotile_5_65_kg" tableColumnId="11"/>
      <queryTableField id="12" name="Chrysotile_6_40_kg" tableColumnId="12"/>
      <queryTableField id="13" name="Cement_kg" tableColumnId="13"/>
      <queryTableField id="14" name="Cellulose_kg" tableColumnId="14"/>
      <queryTableField id="15" name="Crushed_Slate_kg" tableColumnId="15"/>
      <queryTableField id="16" name="Asbozurite_kg" tableColumnId="16"/>
      <queryTableField id="17" name="GlassFiber_kg" tableColumnId="17"/>
      <queryTableField id="18" name="Total_Produced_Shift" tableColumnId="18"/>
      <queryTableField id="19" name="Batch_Share" tableColumnId="19"/>
      <queryTableField id="20" name="Cement_Distributed" tableColumnId="20"/>
      <queryTableField id="57" name="Chrysotile_Distributed" tableColumnId="24"/>
      <queryTableField id="58" name="Cellulose_Distributed" tableColumnId="25"/>
      <queryTableField id="59" name="GlassFiber_Distributed" tableColumnId="42"/>
      <queryTableField id="60" name="Crushed_Slate_Distributed" tableColumnId="43"/>
      <queryTableField id="61" name="Asbozurite_Distributed" tableColumnId="44"/>
      <queryTableField id="26" name="Norm_Chrysotile_5_65_kg" tableColumnId="26"/>
      <queryTableField id="21" name="Norm_Cement_kg" tableColumnId="21"/>
      <queryTableField id="27" name="Norm_GlassFiber_kg" tableColumnId="27"/>
      <queryTableField id="28" name="Norm_Cellulose_kg" tableColumnId="28"/>
      <queryTableField id="29" name="Norm_Asbozurite_kg" tableColumnId="29"/>
      <queryTableField id="30" name="Norm_Crushed_Slate_kg" tableColumnId="30"/>
      <queryTableField id="31" name="Norm_Laprol_ml" tableColumnId="31"/>
      <queryTableField id="32" name="Norm_Primer_LKC_kg" tableColumnId="32"/>
      <queryTableField id="33" name="Norm_Lacquer_Shop_kg" tableColumnId="33"/>
      <queryTableField id="34" name="Norm_Lacquer_LKC_kg" tableColumnId="34"/>
      <queryTableField id="35" name="Norm_Pigment_Brown_Shop_kg" tableColumnId="35"/>
      <queryTableField id="36" name="Norm_Pigment_Brown_LKC_kg" tableColumnId="36"/>
      <queryTableField id="37" name="Norm_Pigment_Red_Shop_kg" tableColumnId="37"/>
      <queryTableField id="38" name="Norm_Pigment_Red_LKC_kg" tableColumnId="38"/>
      <queryTableField id="39" name="Norm_Graphite_Black_Shop_kg" tableColumnId="39"/>
      <queryTableField id="40" name="Norm_Graphite_Black_LKC_kg" tableColumnId="40"/>
      <queryTableField id="22" name="Fact_Cement_per_unit" tableColumnId="22"/>
      <queryTableField id="23" name="Deviation_Cement" tableColumnId="23"/>
      <queryTableField id="41" name="Fact_Chrysotile_per_unit" tableColumnId="41"/>
      <queryTableField id="62" name="Deviation_Chrysotile" tableColumnId="45"/>
      <queryTableField id="63" name="Fact_Cellulose_per_unit" tableColumnId="46"/>
      <queryTableField id="64" name="Deviation_Cellulose" tableColumnId="47"/>
      <queryTableField id="65" name="Fact_GlassFiber_per_unit" tableColumnId="48"/>
      <queryTableField id="66" name="Deviation_GlassFiber" tableColumnId="49"/>
      <queryTableField id="67" name="Fact_Crushed_Slate_per_unit" tableColumnId="50"/>
      <queryTableField id="68" name="Deviation_Crushed_Slate" tableColumnId="51"/>
      <queryTableField id="69" name="Fact_Asbozurite_per_unit" tableColumnId="52"/>
      <queryTableField id="75" name="Deviation_Asbozurite" tableColumnId="53"/>
      <queryTableField id="76" name="Theoretical_Cement" tableColumnId="54"/>
      <queryTableField id="77" name="Total_Theoretical_Cement" tableColumnId="55"/>
      <queryTableField id="78" name="Cement_Balance" tableColumnId="56"/>
      <queryTableField id="121" name="Batch_Number" tableColumnId="83"/>
      <queryTableField id="79" name="Stacked_Sheets_Quantity" tableColumnId="57"/>
      <queryTableField id="80" name="Destacked_Quantity" tableColumnId="58"/>
      <queryTableField id="84" name="DS_Good" tableColumnId="5"/>
      <queryTableField id="85" name="DS_First" tableColumnId="62"/>
      <queryTableField id="86" name="DS_Defect_Chip" tableColumnId="63"/>
      <queryTableField id="87" name="DS_Defect_Surface" tableColumnId="64"/>
      <queryTableField id="88" name="DS_Defect_BadCut" tableColumnId="65"/>
      <queryTableField id="89" name="DS_Defect_StickBottom" tableColumnId="66"/>
      <queryTableField id="90" name="DS_Defect_StickTop" tableColumnId="67"/>
      <queryTableField id="91" name="DS_Defect_Broken" tableColumnId="68"/>
      <queryTableField id="92" name="DS_Defect_Fall" tableColumnId="69"/>
      <queryTableField id="93" name="DS_Defect_Dent" tableColumnId="70"/>
      <queryTableField id="94" name="DS_Defect_Thickness" tableColumnId="71"/>
      <queryTableField id="95" name="DS_Defect_Delamination" tableColumnId="72"/>
      <queryTableField id="96" name="DS_Defect_Edge" tableColumnId="73"/>
      <queryTableField id="97" name="DS_Defect_Total_calc" tableColumnId="74"/>
      <queryTableField id="98" name="DS_Check" tableColumnId="75"/>
      <queryTableField id="81" name="Good_Quality_Quantity" tableColumnId="59"/>
      <queryTableField id="82" name="First_Grade_Quantity" tableColumnId="60"/>
      <queryTableField id="83" name="Defect_Quantity" tableColumnId="61"/>
      <queryTableField id="114" name="DS_Defect_Total" tableColumnId="76"/>
      <queryTableField id="115" name="DS_Check.1" tableColumnId="77"/>
      <queryTableField id="116" name="QCD_Total" tableColumnId="78"/>
      <queryTableField id="117" name="Sync_Total" tableColumnId="79"/>
      <queryTableField id="118" name="Sync_Good" tableColumnId="80"/>
      <queryTableField id="119" name="Reclassified_To_Defect" tableColumnId="81"/>
      <queryTableField id="120" name="Reclassified_To_First" tableColumnId="8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4" xr16:uid="{00000000-0016-0000-1100-000008000000}" autoFormatId="16" applyNumberFormats="0" applyBorderFormats="0" applyFontFormats="0" applyPatternFormats="0" applyAlignmentFormats="0" applyWidthHeightFormats="0">
  <queryTableRefresh nextId="35">
    <queryTableFields count="17">
      <queryTableField id="18" name="Product_Name" tableColumnId="18"/>
      <queryTableField id="19" name="Norm_Chrysotile_5_65_kg" tableColumnId="19"/>
      <queryTableField id="20" name="Norm_Cement_kg" tableColumnId="20"/>
      <queryTableField id="21" name="Norm_GlassFiber_kg" tableColumnId="21"/>
      <queryTableField id="22" name="Norm_Cellulose_kg" tableColumnId="22"/>
      <queryTableField id="23" name="Norm_Asbozurite_kg" tableColumnId="23"/>
      <queryTableField id="24" name="Norm_Crushed_Slate_kg" tableColumnId="24"/>
      <queryTableField id="25" name="Norm_Laprol_ml" tableColumnId="25"/>
      <queryTableField id="26" name="Norm_Primer_LKC_kg" tableColumnId="26"/>
      <queryTableField id="27" name="Norm_Lacquer_Shop_kg" tableColumnId="27"/>
      <queryTableField id="28" name="Norm_Lacquer_LKC_kg" tableColumnId="28"/>
      <queryTableField id="29" name="Norm_Pigment_Brown_Shop_kg" tableColumnId="29"/>
      <queryTableField id="30" name="Norm_Pigment_Brown_LKC_kg" tableColumnId="30"/>
      <queryTableField id="31" name="Norm_Pigment_Red_Shop_kg" tableColumnId="31"/>
      <queryTableField id="32" name="Norm_Pigment_Red_LKC_kg" tableColumnId="32"/>
      <queryTableField id="33" name="Norm_Graphite_Black_Shop_kg" tableColumnId="33"/>
      <queryTableField id="34" name="Norm_Graphite_Black_LKC_kg" tableColumnId="3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0" xr16:uid="{00000000-0016-0000-1200-000009000000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Shift" tableColumnId="2"/>
      <queryTableField id="3" name="Master" tableColumnId="3"/>
      <queryTableField id="4" name="Total_Theoretical_Cement" tableColumnId="4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09BDA-0807-4907-BBAF-2270912167D6}" name="db_Materials" displayName="db_Materials" ref="A1:A10" totalsRowShown="0">
  <autoFilter ref="A1:A10" xr:uid="{57609BDA-0807-4907-BBAF-2270912167D6}"/>
  <tableColumns count="1">
    <tableColumn id="1" xr3:uid="{B9C1A13E-A51F-4787-9E3F-85A75AA7A7A0}" name="Material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3BC16-F6C7-48F2-BC99-D95BC320D034}" name="db_Shifts" displayName="db_Shifts" ref="A13:A15" totalsRowShown="0">
  <autoFilter ref="A13:A15" xr:uid="{0CA3BC16-F6C7-48F2-BC99-D95BC320D034}"/>
  <tableColumns count="1">
    <tableColumn id="1" xr3:uid="{8AC29AA6-11AF-433F-A265-820CDB1FAF22}" name="Shift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8BE600-AFEF-4571-B3C8-46108E778D4D}" name="db_Products" displayName="db_Products" ref="A18:A56" totalsRowShown="0" dataDxfId="109" tableBorderDxfId="108">
  <autoFilter ref="A18:A56" xr:uid="{2F8BE600-AFEF-4571-B3C8-46108E778D4D}"/>
  <tableColumns count="1">
    <tableColumn id="1" xr3:uid="{4F4F1A3B-04BD-4E34-B710-F2500BDCC2D0}" name="Product_Name" dataDxfId="10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CB20B1-C40A-4FA1-B365-14620C673235}" name="db_Norms" displayName="db_Norms" ref="A1:Q39" totalsRowShown="0" headerRowDxfId="106" dataDxfId="104" headerRowBorderDxfId="105" tableBorderDxfId="103">
  <autoFilter ref="A1:Q39" xr:uid="{F7CB20B1-C40A-4FA1-B365-14620C673235}"/>
  <tableColumns count="17">
    <tableColumn id="1" xr3:uid="{0DD78FF2-755B-4201-88EE-C4ECB7B7C0F2}" name="Наименование ХЦИ" dataDxfId="102"/>
    <tableColumn id="2" xr3:uid="{19D09F1B-9D33-4256-A767-B19ACDDC77F5}" name="Асбест А5-65, кг" dataDxfId="101"/>
    <tableColumn id="3" xr3:uid="{801398A5-D564-4B2B-AF70-26298107E800}" name="Цемент Цем 1 42,5Н, кг" dataDxfId="100"/>
    <tableColumn id="4" xr3:uid="{CED8FD08-0ABA-44A7-BECA-366887FDDABA}" name="С/в, кг" dataDxfId="99"/>
    <tableColumn id="5" xr3:uid="{ABEFF5E5-4018-4CD4-8FB1-1D3137657DFA}" name="Целлюлоза, кг" dataDxfId="98"/>
    <tableColumn id="6" xr3:uid="{B6E987C4-06B8-4B2E-B739-F726AC7D2A1F}" name="Асбозурит, кг" dataDxfId="97"/>
    <tableColumn id="7" xr3:uid="{4E74288E-8ACA-4AE2-BF59-2BA641332932}" name="Дробл. шифер, кг" dataDxfId="96"/>
    <tableColumn id="8" xr3:uid="{9504CE87-DDAF-4C1D-B316-6CB8E96010BE}" name="Лапрол, мл" dataDxfId="95"/>
    <tableColumn id="9" xr3:uid="{524458D7-666E-49BD-9E96-2D61FC70D990}" name="Грунт. (ЛКЦ), кг" dataDxfId="94"/>
    <tableColumn id="10" xr3:uid="{6207CDF4-B3E1-41EB-8696-E8C1FB2D3818}" name="Лак (Цех)" dataDxfId="93"/>
    <tableColumn id="11" xr3:uid="{D3E18209-E420-477E-82CD-ECB1F63C8C05}" name="Лак (ЛКЦ)" dataDxfId="92"/>
    <tableColumn id="12" xr3:uid="{9EFA4556-9E2E-4356-8424-0FACD05749BA}" name="Пигмент коричн (Цех)" dataDxfId="91"/>
    <tableColumn id="13" xr3:uid="{4037AE8D-AA31-44F5-A784-C68ED41E72AC}" name="Пигмент коричн (ЛКЦ)" dataDxfId="90"/>
    <tableColumn id="14" xr3:uid="{6CC3249D-2BBE-4FE7-9BC0-DDC6F806E783}" name="Пигмент красн (Цех)" dataDxfId="89"/>
    <tableColumn id="15" xr3:uid="{76F833F5-E239-446E-95CB-847637761D4F}" name="Пигмент красн (ЛКЦ)" dataDxfId="88"/>
    <tableColumn id="16" xr3:uid="{F1626604-F4C4-4D4F-B3FA-D1104E44A2BB}" name="Графит черн (Цех)" dataDxfId="87"/>
    <tableColumn id="17" xr3:uid="{D5F0FF53-5127-4FDC-9C40-9493B3A5BF83}" name="Графит черн (ЛКЦ)" dataDxfId="8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F159B5C-75F0-4F90-BFD6-1D2BE7C37277}" name="tbl_Receipt" displayName="tbl_Receipt" ref="A1:M3" totalsRowShown="0" headerRowDxfId="85" headerRowBorderDxfId="84" tableBorderDxfId="83">
  <autoFilter ref="A1:M3" xr:uid="{EF159B5C-75F0-4F90-BFD6-1D2BE7C37277}"/>
  <tableColumns count="13">
    <tableColumn id="1" xr3:uid="{7F01B835-9B34-444E-B3EA-92805EC6909A}" name="Date"/>
    <tableColumn id="2" xr3:uid="{D557B844-1BAE-4D9D-B8CC-48CFD789A76A}" name="Shift"/>
    <tableColumn id="3" xr3:uid="{FBE40AEF-A4E4-4FAE-8BCC-13E920BC993B}" name="Master"/>
    <tableColumn id="4" xr3:uid="{8B863C0D-E340-4E38-87C8-DB7A3BAEB74A}" name="Material_List"/>
    <tableColumn id="5" xr3:uid="{48793812-C70D-43FE-92DD-862CFB1DF97C}" name="Chrysotile_Total_kg"/>
    <tableColumn id="6" xr3:uid="{AD885FFF-7DF7-4080-A740-F2A05AA131F4}" name="Chrysotile_4_20_kg"/>
    <tableColumn id="7" xr3:uid="{53FE5035-40BF-45FA-BD35-9E9FF6A0EED2}" name="Chrysotile_5_65_kg"/>
    <tableColumn id="8" xr3:uid="{5C541993-AD8F-4EEE-8FE5-2810BD0F27B2}" name="Chrysotile_6_40_kg"/>
    <tableColumn id="9" xr3:uid="{B2A5828E-17B7-459B-BCBA-EF3AAFFA9212}" name="Cement_kg"/>
    <tableColumn id="10" xr3:uid="{493E2897-12BC-4362-A997-77BC4CEB85CD}" name="Cellulose_kg"/>
    <tableColumn id="11" xr3:uid="{ECFD0379-4EA2-4E31-8334-9B2CC829E1F4}" name="Crushed_Slate_kg"/>
    <tableColumn id="12" xr3:uid="{27FE315A-0861-4E90-83AC-E2E8D38990C2}" name="Asbozurite_kg"/>
    <tableColumn id="13" xr3:uid="{01FF8ADD-F83D-4114-86EB-6CE3AFDD14E6}" name="GlassFiber_k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63FEC3-A5D5-4425-A431-45ECEBE22DC1}" name="tbl_ZO" displayName="tbl_ZO" ref="A1:L5" totalsRowShown="0" headerRowDxfId="82" headerRowBorderDxfId="81" tableBorderDxfId="80">
  <autoFilter ref="A1:L5" xr:uid="{1263FEC3-A5D5-4425-A431-45ECEBE22DC1}"/>
  <tableColumns count="12">
    <tableColumn id="1" xr3:uid="{16EE69BF-D653-49DC-8914-DE02C5BED940}" name="Date"/>
    <tableColumn id="2" xr3:uid="{E26FDC9F-DCA3-437D-B434-25E7BE0AF8C0}" name="Shift"/>
    <tableColumn id="3" xr3:uid="{FA9E9761-87D0-4EED-8C86-EEA6B0F6F031}" name="Master"/>
    <tableColumn id="4" xr3:uid="{645E7EBC-386E-4361-96E8-322CD692EEBD}" name="Chrysotile_Total_kg"/>
    <tableColumn id="5" xr3:uid="{143A65C0-98AF-44CF-97BC-1DA60F902B82}" name="Chrysotile_4_20_kg"/>
    <tableColumn id="6" xr3:uid="{9DCA348B-DFEB-40C8-986F-12A53021A307}" name="Chrysotile_5_65_kg"/>
    <tableColumn id="7" xr3:uid="{1C0A6B4F-B731-452A-B6B4-80A5C1643B0F}" name="Chrysotile_6_40_kg"/>
    <tableColumn id="8" xr3:uid="{3EB428A6-68DC-4E54-9ABA-9DEBD76E540C}" name="Cement_kg"/>
    <tableColumn id="9" xr3:uid="{4C555156-7746-42E4-BE07-F62832EAE7D9}" name="Cellulose_kg"/>
    <tableColumn id="10" xr3:uid="{469BAAF7-0584-4559-A143-9F955D899CCB}" name="Crushed_Slate_kg"/>
    <tableColumn id="11" xr3:uid="{A9E1A4A5-0860-42B7-B45D-6B91C2C3A22A}" name="Asbozurite_kg"/>
    <tableColumn id="12" xr3:uid="{2C4199E9-873B-4E43-9B8A-9DC6211E9663}" name="GlassFiber_k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DD9372-0C0D-42E4-BC85-9BA8987CA2EB}" name="tbl_LFM" displayName="tbl_LFM" ref="A1:G5" totalsRowShown="0" headerRowDxfId="79" headerRowBorderDxfId="78" tableBorderDxfId="77">
  <autoFilter ref="A1:G5" xr:uid="{02DD9372-0C0D-42E4-BC85-9BA8987CA2EB}"/>
  <tableColumns count="7">
    <tableColumn id="1" xr3:uid="{3474FD96-53D1-46CE-B677-32937F9EB201}" name="Date"/>
    <tableColumn id="2" xr3:uid="{21D97EA8-A967-44AF-A53B-1EAEB35DF3DE}" name="Shift"/>
    <tableColumn id="3" xr3:uid="{ADF0E2C4-4FE9-40ED-8E52-6E8CCCF94901}" name="Master"/>
    <tableColumn id="4" xr3:uid="{CE1E69B5-4C5C-4722-AB95-0F2EC8F9E50C}" name="Line"/>
    <tableColumn id="6" xr3:uid="{165DB848-731E-4087-A761-35009E774BB8}" name="Product_Name"/>
    <tableColumn id="7" xr3:uid="{1322602C-A7CA-4698-ABEB-A646A479589D}" name="Produced_Quantity"/>
    <tableColumn id="8" xr3:uid="{1CF46ADC-B577-4470-A78A-F3F8D71BAAD3}" name="Wet_Dump_Quant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2CBE1C-5CF9-43B4-9565-5E354B80969A}" name="tbl_Stacker" displayName="tbl_Stacker" ref="A1:G4" totalsRowShown="0" headerRowDxfId="76" headerRowBorderDxfId="75" tableBorderDxfId="74">
  <autoFilter ref="A1:G4" xr:uid="{3C2CBE1C-5CF9-43B4-9565-5E354B80969A}"/>
  <tableColumns count="7">
    <tableColumn id="1" xr3:uid="{7DD9E026-A768-4ED3-A2D1-C5544E1A6B52}" name="Date"/>
    <tableColumn id="2" xr3:uid="{7FEA0397-96DD-4A8B-A34F-FAA42313B6C2}" name="Shift"/>
    <tableColumn id="3" xr3:uid="{E2233CFB-E97E-4DD6-B77A-3858D11E90A6}" name="Master"/>
    <tableColumn id="4" xr3:uid="{AE3EFF70-A7DF-4FED-B4BE-6ACDB4441B42}" name="Line"/>
    <tableColumn id="5" xr3:uid="{E1AF1B3E-6190-403C-8B38-5D9DA323EFBA}" name="Batch_Number"/>
    <tableColumn id="6" xr3:uid="{AC586A33-3B12-4A9F-9312-336BA6A15108}" name="Product_Name"/>
    <tableColumn id="7" xr3:uid="{0FD336B0-5E94-46AB-9FC8-D8EEF7B578E1}" name="Stacked_Sheets_Quant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FDDE508-46CD-442B-A332-019D0C8E1B3B}" name="tbl_Destacker" displayName="tbl_Destacker" ref="A1:V5" totalsRowShown="0" headerRowDxfId="73" headerRowBorderDxfId="72" tableBorderDxfId="71">
  <autoFilter ref="A1:V5" xr:uid="{3FDDE508-46CD-442B-A332-019D0C8E1B3B}"/>
  <tableColumns count="22">
    <tableColumn id="1" xr3:uid="{67C7D8F9-9D0B-4CD7-9B91-DE6D1D91C82D}" name="Date"/>
    <tableColumn id="2" xr3:uid="{724EDB03-6D84-4E83-804A-A5C0920BD6C9}" name="Shift"/>
    <tableColumn id="3" xr3:uid="{84D92BBD-6BEF-45F4-8CCE-B150610BAC9B}" name="Master"/>
    <tableColumn id="4" xr3:uid="{A23692F3-1DEE-44F1-982B-C01E04F346BC}" name="Line"/>
    <tableColumn id="5" xr3:uid="{D74B7AC8-7242-4A27-A5D3-5FD27953CC96}" name="Batch_Number"/>
    <tableColumn id="6" xr3:uid="{6C44F7DC-2D62-4BD8-A371-B675CD10E0FF}" name="Product_Name"/>
    <tableColumn id="7" xr3:uid="{EFA8F66B-9E49-4155-A63B-5F76D3DC4483}" name="Destacked_Quantity"/>
    <tableColumn id="8" xr3:uid="{E335FB0B-8C08-4E71-921A-29F2606E17B9}" name="DS_Good" dataDxfId="70"/>
    <tableColumn id="9" xr3:uid="{1E4451A5-96D5-4127-8D8E-B6F281757F82}" name="DS_First" dataDxfId="69"/>
    <tableColumn id="11" xr3:uid="{F647FD32-BFC4-4C3C-90EC-83F8D82FDBF6}" name="DS_Defect_Chip" dataDxfId="68"/>
    <tableColumn id="12" xr3:uid="{8DB3C894-0D00-4CB6-912D-B5D072C44E85}" name="DS_Defect_Surface" dataDxfId="67"/>
    <tableColumn id="13" xr3:uid="{F9C65D88-A0D3-4458-8357-D4AF6F9FAFAC}" name="DS_Defect_BadCut" dataDxfId="66"/>
    <tableColumn id="14" xr3:uid="{F3BB523D-8934-4F02-82E6-E5D0AE6FA51E}" name="DS_Defect_StickBottom" dataDxfId="65"/>
    <tableColumn id="15" xr3:uid="{607FC342-6567-45EB-B478-E19092D1F059}" name="DS_Defect_StickTop" dataDxfId="64"/>
    <tableColumn id="16" xr3:uid="{0B0F4A38-7E34-43AF-BAF3-ED68661738F6}" name="DS_Defect_Broken" dataDxfId="63"/>
    <tableColumn id="17" xr3:uid="{5FBBFA34-9285-43A5-AD7C-7A279D85CBED}" name="DS_Defect_Fall" dataDxfId="62"/>
    <tableColumn id="18" xr3:uid="{F3E32EE4-BEBA-4DE8-97D7-864051D5891B}" name="DS_Defect_Dent" dataDxfId="61"/>
    <tableColumn id="19" xr3:uid="{DA18EFAE-71D3-43B2-A554-DDE0E737616A}" name="DS_Defect_Thickness" dataDxfId="60"/>
    <tableColumn id="20" xr3:uid="{9DE60EE1-00DE-4546-808B-2B692D99E0D1}" name="DS_Defect_Delamination" dataDxfId="59"/>
    <tableColumn id="21" xr3:uid="{FCF441D0-3A1A-439F-97E8-7E46C02F501D}" name="DS_Defect_Edge" dataDxfId="58"/>
    <tableColumn id="22" xr3:uid="{3787DA7B-B01B-496C-8EA9-7B3FF871737A}" name="DS_Defect_Total_calc" dataDxfId="57"/>
    <tableColumn id="23" xr3:uid="{F28BCFC9-04A3-4E84-BBE0-528B278EF26D}" name="DS_Check" dataDxfId="5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1268933-7382-4D59-8124-8479E69234F6}" name="tbl_QCD" displayName="tbl_QCD" ref="A1:I3" totalsRowShown="0" headerRowDxfId="55" headerRowBorderDxfId="54" tableBorderDxfId="53">
  <autoFilter ref="A1:I3" xr:uid="{01268933-7382-4D59-8124-8479E69234F6}"/>
  <tableColumns count="9">
    <tableColumn id="1" xr3:uid="{0B9037AF-7CEA-4FE9-9EC6-629CC1942DF1}" name="Date"/>
    <tableColumn id="2" xr3:uid="{1ADE3F10-970C-4CE8-9849-3097245A7E4E}" name="Shift"/>
    <tableColumn id="3" xr3:uid="{3A3E75BB-A131-458E-B5F1-6C4EC25D5C6F}" name="Master"/>
    <tableColumn id="4" xr3:uid="{2B347FBB-6C09-4640-85EE-8D0F377945FA}" name="Line"/>
    <tableColumn id="5" xr3:uid="{2ABC702F-8CCF-4331-AF9C-76667664BF34}" name="Batch_Number"/>
    <tableColumn id="6" xr3:uid="{095DE317-F42E-45BC-B730-6E9E29F703CF}" name="Product_Name"/>
    <tableColumn id="7" xr3:uid="{8E781689-FB3D-44F4-8E31-3DD605A6AD80}" name="Good_Quality_Quantity"/>
    <tableColumn id="8" xr3:uid="{DFCFFDC3-F796-46CA-93CD-69CE832711D8}" name="First_Grade_Quantity"/>
    <tableColumn id="9" xr3:uid="{ED025C40-0ED7-43F8-8372-B3848F94ACE3}" name="Defect_Quant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BF717D2-B8E6-4283-A194-C0B6C9C49A4C}" name="q_Receipt" displayName="q_Receipt" ref="A1:M3" tableType="queryTable" totalsRowShown="0">
  <autoFilter ref="A1:M3" xr:uid="{9BF717D2-B8E6-4283-A194-C0B6C9C49A4C}"/>
  <tableColumns count="13">
    <tableColumn id="1" xr3:uid="{C0C296A9-6E25-4795-A4A4-5FFA81187F29}" uniqueName="1" name="Date" queryTableFieldId="1" dataDxfId="52"/>
    <tableColumn id="2" xr3:uid="{C733A329-25FF-435B-8B3E-75F9EC2204D1}" uniqueName="2" name="Shift" queryTableFieldId="2" dataDxfId="51"/>
    <tableColumn id="3" xr3:uid="{2BCDC07F-C2E0-40D4-A402-0F917A87CC19}" uniqueName="3" name="Master" queryTableFieldId="3" dataDxfId="50"/>
    <tableColumn id="4" xr3:uid="{928C8AB3-2CFC-436B-BA5C-FE2407C78F95}" uniqueName="4" name="Material_List" queryTableFieldId="4" dataDxfId="49"/>
    <tableColumn id="5" xr3:uid="{82ABDCBB-FC06-48B0-8EAA-3BB240F03A3A}" uniqueName="5" name="Chrysotile_Total_kg" queryTableFieldId="5"/>
    <tableColumn id="6" xr3:uid="{32CC40B4-E240-4B4F-886E-C9158F5A9C4B}" uniqueName="6" name="Chrysotile_4_20_kg" queryTableFieldId="6"/>
    <tableColumn id="7" xr3:uid="{4D714784-3CDE-47E3-895A-2F43FE69D70C}" uniqueName="7" name="Chrysotile_5_65_kg" queryTableFieldId="7"/>
    <tableColumn id="8" xr3:uid="{18999EE1-FD29-429D-B2A7-5C0D32FD71F8}" uniqueName="8" name="Chrysotile_6_40_kg" queryTableFieldId="8"/>
    <tableColumn id="9" xr3:uid="{B9BA7458-61A0-4A28-BFDF-5CDD56F49EA2}" uniqueName="9" name="Cement_kg" queryTableFieldId="9"/>
    <tableColumn id="10" xr3:uid="{140C78A1-1C54-47F1-94FD-FDE1661490BD}" uniqueName="10" name="Cellulose_kg" queryTableFieldId="10"/>
    <tableColumn id="11" xr3:uid="{2730AAE5-B7FE-4898-BC36-E9A8BB24E580}" uniqueName="11" name="Crushed_Slate_kg" queryTableFieldId="11"/>
    <tableColumn id="12" xr3:uid="{B9FE64D5-E7E9-4B9D-B2FB-967425697602}" uniqueName="12" name="Asbozurite_kg" queryTableFieldId="12"/>
    <tableColumn id="13" xr3:uid="{A6415A94-16E3-4E2E-B342-1C4C50A4DE05}" uniqueName="13" name="GlassFiber_kg" queryTableFieldId="1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809967E-8ACF-4198-8EE3-0334C65CE821}" name="q_ZO" displayName="q_ZO" ref="A1:L5" tableType="queryTable" totalsRowShown="0">
  <autoFilter ref="A1:L5" xr:uid="{D809967E-8ACF-4198-8EE3-0334C65CE821}"/>
  <tableColumns count="12">
    <tableColumn id="1" xr3:uid="{CD290485-3E5A-4F22-9548-3311481D9656}" uniqueName="1" name="Date" queryTableFieldId="1" dataDxfId="48"/>
    <tableColumn id="2" xr3:uid="{6DDD025E-FDC9-42ED-9AEC-9F5E032409A9}" uniqueName="2" name="Shift" queryTableFieldId="2" dataDxfId="47"/>
    <tableColumn id="3" xr3:uid="{7C8782DF-90CD-4D2D-85E0-1A0194129AFC}" uniqueName="3" name="Master" queryTableFieldId="3" dataDxfId="46"/>
    <tableColumn id="4" xr3:uid="{52497A63-24D9-4D2B-9E1F-72B6E2AFBAE6}" uniqueName="4" name="Chrysotile_Total_kg" queryTableFieldId="4"/>
    <tableColumn id="5" xr3:uid="{303E0F94-851D-4666-9CA6-E1C4554929E5}" uniqueName="5" name="Chrysotile_4_20_kg" queryTableFieldId="5"/>
    <tableColumn id="6" xr3:uid="{EFDB9F1D-B5DA-4BBB-8E28-E03BDD5022BB}" uniqueName="6" name="Chrysotile_5_65_kg" queryTableFieldId="6"/>
    <tableColumn id="7" xr3:uid="{0BBDE610-3794-45A8-BFCA-471BFD8E92EF}" uniqueName="7" name="Chrysotile_6_40_kg" queryTableFieldId="7"/>
    <tableColumn id="8" xr3:uid="{0A194A47-CA32-4CD0-842E-F6DCA4246D25}" uniqueName="8" name="Cement_kg" queryTableFieldId="8"/>
    <tableColumn id="9" xr3:uid="{DD79F66D-4112-4189-9D21-DF10D3BAD86F}" uniqueName="9" name="Cellulose_kg" queryTableFieldId="9"/>
    <tableColumn id="10" xr3:uid="{BDA22ED8-FD62-4F62-AD12-3A82A80A0676}" uniqueName="10" name="Crushed_Slate_kg" queryTableFieldId="10"/>
    <tableColumn id="11" xr3:uid="{F9E40CF0-D276-4910-8C7F-0FFA7C5DCD4D}" uniqueName="11" name="Asbozurite_kg" queryTableFieldId="11"/>
    <tableColumn id="12" xr3:uid="{4C8C529E-93E9-4160-BB46-0C620D4EC101}" uniqueName="12" name="GlassFiber_kg" queryTableFieldId="1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0DF066E-61CA-415B-B7C7-BF0BB7AA5EAA}" name="q_LFM" displayName="q_LFM" ref="A1:G5" tableType="queryTable" totalsRowShown="0">
  <autoFilter ref="A1:G5" xr:uid="{90DF066E-61CA-415B-B7C7-BF0BB7AA5EAA}"/>
  <tableColumns count="7">
    <tableColumn id="1" xr3:uid="{19CC26A7-124E-494B-8CB9-51340143C6B9}" uniqueName="1" name="Date" queryTableFieldId="1" dataDxfId="45"/>
    <tableColumn id="2" xr3:uid="{551AA3C9-D9DA-4A6D-97BA-6E85AD198018}" uniqueName="2" name="Shift" queryTableFieldId="2" dataDxfId="44"/>
    <tableColumn id="3" xr3:uid="{D6521FAF-20E5-4391-BAD8-B01E13726171}" uniqueName="3" name="Master" queryTableFieldId="3" dataDxfId="43"/>
    <tableColumn id="4" xr3:uid="{B0502CFD-ABCD-4BC5-B9D3-ED41DAB698CB}" uniqueName="4" name="Line" queryTableFieldId="4" dataDxfId="42"/>
    <tableColumn id="6" xr3:uid="{130D90F7-5A98-4532-B026-D660E5753C15}" uniqueName="6" name="Product_Name" queryTableFieldId="6" dataDxfId="41"/>
    <tableColumn id="7" xr3:uid="{2C0BAA45-BB11-4B96-AFD9-CEA1F52AF03B}" uniqueName="7" name="Produced_Quantity" queryTableFieldId="7"/>
    <tableColumn id="8" xr3:uid="{D3EBEB00-7808-4C99-AE82-781C5AA9DEF9}" uniqueName="8" name="Wet_Dump_Quantity" queryTableFieldId="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FBCD50F-3BB8-4AB3-9C3C-F784F34F0698}" name="q_Stacker" displayName="q_Stacker" ref="A1:G4" tableType="queryTable" totalsRowShown="0">
  <autoFilter ref="A1:G4" xr:uid="{DFBCD50F-3BB8-4AB3-9C3C-F784F34F0698}"/>
  <tableColumns count="7">
    <tableColumn id="1" xr3:uid="{8F45819B-68BE-4CF6-95BF-DD57D41D84C4}" uniqueName="1" name="Date" queryTableFieldId="1" dataDxfId="40"/>
    <tableColumn id="2" xr3:uid="{34C9E541-AD12-42CB-93E8-42B2432B13F5}" uniqueName="2" name="Shift" queryTableFieldId="2" dataDxfId="39"/>
    <tableColumn id="3" xr3:uid="{BC87CCBB-D174-4F1B-A6DB-677FAA0CF6AC}" uniqueName="3" name="Master" queryTableFieldId="3" dataDxfId="38"/>
    <tableColumn id="4" xr3:uid="{ED61C869-86BC-4648-8190-CC9865FC4DCA}" uniqueName="4" name="Line" queryTableFieldId="4" dataDxfId="37"/>
    <tableColumn id="5" xr3:uid="{0BB3333F-B2EC-4C8C-85B9-0BF61EEAF41D}" uniqueName="5" name="Batch_Number" queryTableFieldId="5" dataDxfId="36"/>
    <tableColumn id="6" xr3:uid="{6AA709BB-F134-4909-9AE8-AA78BC459515}" uniqueName="6" name="Product_Name" queryTableFieldId="6" dataDxfId="35"/>
    <tableColumn id="7" xr3:uid="{C22BF75C-1DB4-4971-B06F-B466E42F7737}" uniqueName="7" name="Stacked_Sheets_Quantity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26F963A-FD64-4D71-BC7E-6F945B318049}" name="q_Destacker" displayName="q_Destacker" ref="A1:V5" tableType="queryTable" totalsRowShown="0">
  <autoFilter ref="A1:V5" xr:uid="{F26F963A-FD64-4D71-BC7E-6F945B318049}"/>
  <tableColumns count="22">
    <tableColumn id="1" xr3:uid="{AE063A42-EC5C-40D3-B09D-36AF034F2611}" uniqueName="1" name="Date" queryTableFieldId="1" dataDxfId="34"/>
    <tableColumn id="2" xr3:uid="{50196131-40FE-4BB2-B3F4-A19CADFA4386}" uniqueName="2" name="Shift" queryTableFieldId="2" dataDxfId="33"/>
    <tableColumn id="3" xr3:uid="{F4A8CE0B-9ED9-425A-A87A-77ACAF3D2CE7}" uniqueName="3" name="Master" queryTableFieldId="3" dataDxfId="32"/>
    <tableColumn id="4" xr3:uid="{2F3C3124-9CDA-42DA-972B-DE436F0160B8}" uniqueName="4" name="Line" queryTableFieldId="4" dataDxfId="31"/>
    <tableColumn id="5" xr3:uid="{EE582BA6-354B-44A0-8616-B8610472A003}" uniqueName="5" name="Batch_Number" queryTableFieldId="5" dataDxfId="30"/>
    <tableColumn id="6" xr3:uid="{E7E2620A-2C4A-4F0A-9BF7-9D288CD7208D}" uniqueName="6" name="Product_Name" queryTableFieldId="6" dataDxfId="29"/>
    <tableColumn id="7" xr3:uid="{AF087C6B-4444-448B-9D06-03B47EC14592}" uniqueName="7" name="Destacked_Quantity" queryTableFieldId="7"/>
    <tableColumn id="8" xr3:uid="{904913FA-1F09-4884-86B5-B309165F405F}" uniqueName="8" name="DS_Good" queryTableFieldId="8"/>
    <tableColumn id="9" xr3:uid="{6CBCCCB8-EDD0-4AEE-94CB-E0D021109AF6}" uniqueName="9" name="DS_First" queryTableFieldId="9"/>
    <tableColumn id="11" xr3:uid="{4BACA542-88F7-4937-AE98-E41839878D58}" uniqueName="11" name="DS_Defect_Chip" queryTableFieldId="11"/>
    <tableColumn id="12" xr3:uid="{D211A7B1-63F9-4B54-A3AB-1E102F981F75}" uniqueName="12" name="DS_Defect_Surface" queryTableFieldId="12"/>
    <tableColumn id="13" xr3:uid="{5F82B474-2F2E-4398-861E-C822685AC431}" uniqueName="13" name="DS_Defect_BadCut" queryTableFieldId="13"/>
    <tableColumn id="18" xr3:uid="{D66B1623-DFE5-42AF-A775-5BF267B14784}" uniqueName="18" name="DS_Defect_StickBottom" queryTableFieldId="18"/>
    <tableColumn id="19" xr3:uid="{2E206F63-D30F-4216-AF5B-7A76FC1CBD06}" uniqueName="19" name="DS_Defect_StickTop" queryTableFieldId="19"/>
    <tableColumn id="20" xr3:uid="{EEAE7484-9B3D-4BFE-A1B5-1174E9E6D070}" uniqueName="20" name="DS_Defect_Broken" queryTableFieldId="20"/>
    <tableColumn id="21" xr3:uid="{A5A7538E-E868-486A-BC9A-05CA56D0EE4B}" uniqueName="21" name="DS_Defect_Fall" queryTableFieldId="21"/>
    <tableColumn id="22" xr3:uid="{E5131626-260A-4BC6-B00A-909CA90A0D08}" uniqueName="22" name="DS_Defect_Dent" queryTableFieldId="22"/>
    <tableColumn id="23" xr3:uid="{29BC1A4B-79ED-4E20-8D79-7AD6387D1C1C}" uniqueName="23" name="DS_Defect_Thickness" queryTableFieldId="23"/>
    <tableColumn id="24" xr3:uid="{C6B009F5-8E17-46C5-A26D-EC91AD2492C8}" uniqueName="24" name="DS_Defect_Delamination" queryTableFieldId="24"/>
    <tableColumn id="25" xr3:uid="{8C988EB9-1B88-41D0-80C7-02FEF61EE3B6}" uniqueName="25" name="DS_Defect_Edge" queryTableFieldId="25"/>
    <tableColumn id="26" xr3:uid="{8F136DD6-F22A-44D6-83FE-2C783FF5571E}" uniqueName="26" name="DS_Defect_Total_calc" queryTableFieldId="26"/>
    <tableColumn id="27" xr3:uid="{D8CDFF39-EBD5-42EF-80F5-4EE7054FDE10}" uniqueName="27" name="DS_Check" queryTableFieldId="2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C043532-9F36-4471-B1F9-05F4C383048D}" name="q_QCD" displayName="q_QCD" ref="A1:I3" tableType="queryTable" totalsRowShown="0">
  <autoFilter ref="A1:I3" xr:uid="{FC043532-9F36-4471-B1F9-05F4C383048D}"/>
  <tableColumns count="9">
    <tableColumn id="1" xr3:uid="{E31D74CC-5404-466A-8DAE-ABA5B465D428}" uniqueName="1" name="Date" queryTableFieldId="1" dataDxfId="28"/>
    <tableColumn id="2" xr3:uid="{1FD3D76F-501F-4356-AB05-B044FE2C5D95}" uniqueName="2" name="Shift" queryTableFieldId="2" dataDxfId="27"/>
    <tableColumn id="3" xr3:uid="{D64FC4FC-0881-4F9C-85A6-D51D8AB6E3FC}" uniqueName="3" name="Master" queryTableFieldId="3" dataDxfId="26"/>
    <tableColumn id="4" xr3:uid="{0D0D3CEF-D60C-4CD9-A7B3-904FECDCC0B7}" uniqueName="4" name="Line" queryTableFieldId="4" dataDxfId="25"/>
    <tableColumn id="5" xr3:uid="{093D0BA1-C64F-471B-BC42-C8403F3606B7}" uniqueName="5" name="Batch_Number" queryTableFieldId="5" dataDxfId="24"/>
    <tableColumn id="6" xr3:uid="{A6AEB123-B615-41AE-8CE9-9D48D4CE0B2B}" uniqueName="6" name="Product_Name" queryTableFieldId="6" dataDxfId="23"/>
    <tableColumn id="7" xr3:uid="{FDE8E004-0B91-4DAC-BCD1-309108AF6503}" uniqueName="7" name="Good_Quality_Quantity" queryTableFieldId="7"/>
    <tableColumn id="8" xr3:uid="{E9E61A88-B13B-48F7-866A-E3FA8C2D1582}" uniqueName="8" name="First_Grade_Quantity" queryTableFieldId="8"/>
    <tableColumn id="9" xr3:uid="{BB99B174-A3DE-42B1-8F7C-C8CDA98F03B4}" uniqueName="9" name="Defect_Quantity" queryTableField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58FDB34-DBD3-4392-A3F1-39281337CFF3}" name="q_Total_Production" displayName="q_Total_Production" ref="A1:D5" tableType="queryTable" totalsRowShown="0">
  <autoFilter ref="A1:D5" xr:uid="{C58FDB34-DBD3-4392-A3F1-39281337CFF3}"/>
  <tableColumns count="4">
    <tableColumn id="1" xr3:uid="{A736AC8C-D9A7-4CF3-B499-45A17DAA4FD0}" uniqueName="1" name="Date" queryTableFieldId="1" dataDxfId="22"/>
    <tableColumn id="2" xr3:uid="{DCE06666-5335-4FB8-9201-9248AB1AA015}" uniqueName="2" name="Shift" queryTableFieldId="2" dataDxfId="21"/>
    <tableColumn id="3" xr3:uid="{18C193D1-DB7D-4EA6-82A3-76CC18EBDE31}" uniqueName="3" name="Master" queryTableFieldId="3" dataDxfId="20"/>
    <tableColumn id="9" xr3:uid="{FB847EF2-F462-4851-AB57-96570BE1412F}" uniqueName="9" name="Total_Produced_Shift" queryTableFieldId="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53FDEDF-2CCE-4C39-A020-E6BE15782414}" name="fact_LFM_Base" displayName="fact_LFM_Base" ref="A1:CE5" tableType="queryTable" totalsRowShown="0">
  <autoFilter ref="A1:CE5" xr:uid="{553FDEDF-2CCE-4C39-A020-E6BE15782414}"/>
  <tableColumns count="83">
    <tableColumn id="1" xr3:uid="{4B8A3716-B6E5-42FB-A312-F187194534DC}" uniqueName="1" name="Date" queryTableFieldId="1" dataDxfId="0"/>
    <tableColumn id="2" xr3:uid="{21C5FB30-DC04-42A1-8240-2578092887D9}" uniqueName="2" name="Shift" queryTableFieldId="2" dataDxfId="114"/>
    <tableColumn id="3" xr3:uid="{266C1313-C2DF-4498-9657-74F0CCC8F18B}" uniqueName="3" name="Master" queryTableFieldId="3" dataDxfId="113"/>
    <tableColumn id="4" xr3:uid="{529F71DB-520F-4645-97BA-F2DA26F2E7C2}" uniqueName="4" name="Line" queryTableFieldId="4" dataDxfId="112"/>
    <tableColumn id="6" xr3:uid="{A86902E8-D3E9-4794-BC85-DA4831FE1715}" uniqueName="6" name="Product_Name" queryTableFieldId="6" dataDxfId="111"/>
    <tableColumn id="7" xr3:uid="{2ABF89E2-4663-48C5-A0A2-FCC5147032CC}" uniqueName="7" name="Produced_Quantity" queryTableFieldId="7"/>
    <tableColumn id="8" xr3:uid="{D528A32B-C572-4B33-9A4A-77AD64281CA0}" uniqueName="8" name="Wet_Dump_Quantity" queryTableFieldId="8"/>
    <tableColumn id="9" xr3:uid="{DAA45BD5-8CF3-45D9-8772-C299295DE304}" uniqueName="9" name="Chrysotile_Total_kg" queryTableFieldId="9"/>
    <tableColumn id="10" xr3:uid="{C4A1F0A1-07DD-4394-83A5-DF6A53FDEEBB}" uniqueName="10" name="Chrysotile_4_20_kg" queryTableFieldId="10"/>
    <tableColumn id="11" xr3:uid="{42C39532-2B61-487F-A379-FCE3C2EE9FD1}" uniqueName="11" name="Chrysotile_5_65_kg" queryTableFieldId="11"/>
    <tableColumn id="12" xr3:uid="{386FFB7B-1A1A-45C6-9124-BDB3F23962F3}" uniqueName="12" name="Chrysotile_6_40_kg" queryTableFieldId="12"/>
    <tableColumn id="13" xr3:uid="{92ACB15B-0147-4643-B4A2-188642FB91C7}" uniqueName="13" name="Cement_kg" queryTableFieldId="13"/>
    <tableColumn id="14" xr3:uid="{2AB4B6CC-4AA3-48EB-84C9-A514141DD82A}" uniqueName="14" name="Cellulose_kg" queryTableFieldId="14"/>
    <tableColumn id="15" xr3:uid="{42A86503-AAF7-470D-8A1C-696D9528B369}" uniqueName="15" name="Crushed_Slate_kg" queryTableFieldId="15"/>
    <tableColumn id="16" xr3:uid="{67B00F85-86ED-4B7B-B204-2F522D576681}" uniqueName="16" name="Asbozurite_kg" queryTableFieldId="16"/>
    <tableColumn id="17" xr3:uid="{50DDD2C3-796B-4063-B337-5C32AB66CCDD}" uniqueName="17" name="GlassFiber_kg" queryTableFieldId="17"/>
    <tableColumn id="18" xr3:uid="{5E9E742D-4257-4440-98A2-7D0F99323BE4}" uniqueName="18" name="Total_Produced_Shift" queryTableFieldId="18"/>
    <tableColumn id="19" xr3:uid="{B52D608A-15AD-4059-8B2A-D38603CE4719}" uniqueName="19" name="Batch_Share" queryTableFieldId="19"/>
    <tableColumn id="20" xr3:uid="{A07B09A4-0456-452D-B961-56AC3AE97412}" uniqueName="20" name="Cement_Distributed" queryTableFieldId="20"/>
    <tableColumn id="24" xr3:uid="{D73EA477-A6A7-4C06-8728-899A22DE4521}" uniqueName="24" name="Chrysotile_Distributed" queryTableFieldId="57"/>
    <tableColumn id="25" xr3:uid="{BE252905-4FB5-4692-ACD7-B5A5D168622A}" uniqueName="25" name="Cellulose_Distributed" queryTableFieldId="58"/>
    <tableColumn id="42" xr3:uid="{764D9C30-C9F0-4EE7-9F9E-41D44A7AD203}" uniqueName="42" name="GlassFiber_Distributed" queryTableFieldId="59"/>
    <tableColumn id="43" xr3:uid="{A230F550-4C69-4468-BBE0-EEE0BE27C218}" uniqueName="43" name="Crushed_Slate_Distributed" queryTableFieldId="60"/>
    <tableColumn id="44" xr3:uid="{A0E27BDA-6188-496E-AB42-71F708A7CEDC}" uniqueName="44" name="Asbozurite_Distributed" queryTableFieldId="61"/>
    <tableColumn id="26" xr3:uid="{41762708-1E8F-4F40-AF56-B97EE3E0BBF9}" uniqueName="26" name="Norm_Chrysotile_5_65_kg" queryTableFieldId="26"/>
    <tableColumn id="21" xr3:uid="{A120BDAA-9690-416C-950C-D88B9A46361B}" uniqueName="21" name="Norm_Cement_kg" queryTableFieldId="21"/>
    <tableColumn id="27" xr3:uid="{56993A00-381B-4724-85A1-2BB59C4C831D}" uniqueName="27" name="Norm_GlassFiber_kg" queryTableFieldId="27"/>
    <tableColumn id="28" xr3:uid="{42E38A9C-6154-4408-84EA-0A8331252C88}" uniqueName="28" name="Norm_Cellulose_kg" queryTableFieldId="28"/>
    <tableColumn id="29" xr3:uid="{2A82578D-9308-4C89-8707-783D194A81EB}" uniqueName="29" name="Norm_Asbozurite_kg" queryTableFieldId="29"/>
    <tableColumn id="30" xr3:uid="{262720E4-C579-4F59-9B55-4F6DBEA52EBB}" uniqueName="30" name="Norm_Crushed_Slate_kg" queryTableFieldId="30"/>
    <tableColumn id="31" xr3:uid="{24AE7A06-8F4A-4557-B034-FF95D622CF7D}" uniqueName="31" name="Norm_Laprol_ml" queryTableFieldId="31"/>
    <tableColumn id="32" xr3:uid="{ECFB53F2-3300-4B97-A2BB-2773F1F5EA7B}" uniqueName="32" name="Norm_Primer_LKC_kg" queryTableFieldId="32"/>
    <tableColumn id="33" xr3:uid="{11D5529D-56D6-4CD8-8ABF-EE7F32AD8CF3}" uniqueName="33" name="Norm_Lacquer_Shop_kg" queryTableFieldId="33"/>
    <tableColumn id="34" xr3:uid="{82CE0327-AC52-4414-B001-208E9A335532}" uniqueName="34" name="Norm_Lacquer_LKC_kg" queryTableFieldId="34"/>
    <tableColumn id="35" xr3:uid="{88E2BDA8-3C5B-4535-B1FA-0719FAA34700}" uniqueName="35" name="Norm_Pigment_Brown_Shop_kg" queryTableFieldId="35"/>
    <tableColumn id="36" xr3:uid="{DFA02A67-0E8D-4C38-8E7F-C09D5842A1AB}" uniqueName="36" name="Norm_Pigment_Brown_LKC_kg" queryTableFieldId="36"/>
    <tableColumn id="37" xr3:uid="{6445F729-AB8D-4E24-B4CD-982D7366EB8B}" uniqueName="37" name="Norm_Pigment_Red_Shop_kg" queryTableFieldId="37"/>
    <tableColumn id="38" xr3:uid="{F649EE94-9612-486D-9FDC-6142698BD5B4}" uniqueName="38" name="Norm_Pigment_Red_LKC_kg" queryTableFieldId="38"/>
    <tableColumn id="39" xr3:uid="{60B6DEF2-9C77-4B18-BF88-59DF4DDF82A2}" uniqueName="39" name="Norm_Graphite_Black_Shop_kg" queryTableFieldId="39"/>
    <tableColumn id="40" xr3:uid="{7BCD17F4-E222-48E0-A166-3493868BDA76}" uniqueName="40" name="Norm_Graphite_Black_LKC_kg" queryTableFieldId="40"/>
    <tableColumn id="22" xr3:uid="{8E801AEA-59CF-4DCA-9C3B-2061E4B96DAE}" uniqueName="22" name="Fact_Cement_per_unit" queryTableFieldId="22"/>
    <tableColumn id="23" xr3:uid="{0794A279-BBB0-497A-8486-4F4F2F1D3C45}" uniqueName="23" name="Deviation_Cement" queryTableFieldId="23"/>
    <tableColumn id="41" xr3:uid="{ED271337-7302-40A1-A47A-597F5C7465A0}" uniqueName="41" name="Fact_Chrysotile_per_unit" queryTableFieldId="41"/>
    <tableColumn id="45" xr3:uid="{29D02BF5-0DF8-4FA2-B589-FF731B9DABE7}" uniqueName="45" name="Deviation_Chrysotile" queryTableFieldId="62"/>
    <tableColumn id="46" xr3:uid="{EA7B0C9C-4FE1-4BDE-B456-BBCA7D39D416}" uniqueName="46" name="Fact_Cellulose_per_unit" queryTableFieldId="63"/>
    <tableColumn id="47" xr3:uid="{27B6CE30-720B-4EB3-85C8-D017C7F354EE}" uniqueName="47" name="Deviation_Cellulose" queryTableFieldId="64"/>
    <tableColumn id="48" xr3:uid="{7F507AEC-EE32-43F8-AD7C-27762B2A7004}" uniqueName="48" name="Fact_GlassFiber_per_unit" queryTableFieldId="65"/>
    <tableColumn id="49" xr3:uid="{F44531A6-968A-488A-B635-752CC4127088}" uniqueName="49" name="Deviation_GlassFiber" queryTableFieldId="66"/>
    <tableColumn id="50" xr3:uid="{D4F0187A-ADB7-4BA8-BC1F-0D873906F708}" uniqueName="50" name="Fact_Crushed_Slate_per_unit" queryTableFieldId="67"/>
    <tableColumn id="51" xr3:uid="{35775860-8D30-464B-997E-478EE231389B}" uniqueName="51" name="Deviation_Crushed_Slate" queryTableFieldId="68"/>
    <tableColumn id="52" xr3:uid="{78D28164-8B49-4234-8381-64F6EF91E045}" uniqueName="52" name="Fact_Asbozurite_per_unit" queryTableFieldId="69"/>
    <tableColumn id="53" xr3:uid="{C94C8F20-5D09-484B-A712-B4A4A6DE5B11}" uniqueName="53" name="Deviation_Asbozurite" queryTableFieldId="75"/>
    <tableColumn id="54" xr3:uid="{A84937DC-C77A-46BD-AA3B-3EE6AC190BBB}" uniqueName="54" name="Theoretical_Cement" queryTableFieldId="76"/>
    <tableColumn id="55" xr3:uid="{FFE08437-3992-48F1-8041-DE8635C09A60}" uniqueName="55" name="Total_Theoretical_Cement" queryTableFieldId="77"/>
    <tableColumn id="56" xr3:uid="{F3581C25-1904-427B-A0DD-9066DD87B7C4}" uniqueName="56" name="Cement_Balance" queryTableFieldId="78"/>
    <tableColumn id="83" xr3:uid="{B9DECA99-34EA-4FAC-A68B-E6E1746ED678}" uniqueName="83" name="Batch_Number" queryTableFieldId="121" dataDxfId="110"/>
    <tableColumn id="57" xr3:uid="{813547CC-76AA-4E6E-A40C-139FBF48CF98}" uniqueName="57" name="Stacked_Sheets_Quantity" queryTableFieldId="79"/>
    <tableColumn id="58" xr3:uid="{75F17E16-10D3-4D75-BBD5-09D01CA02BA9}" uniqueName="58" name="Destacked_Quantity" queryTableFieldId="80"/>
    <tableColumn id="5" xr3:uid="{554CF5A9-DA18-4126-A8F5-3E3B99145A64}" uniqueName="5" name="DS_Good" queryTableFieldId="84"/>
    <tableColumn id="62" xr3:uid="{6E8C36C1-A1D2-41A2-8355-C5BDDE6F4B71}" uniqueName="62" name="DS_First" queryTableFieldId="85"/>
    <tableColumn id="63" xr3:uid="{9678A183-721B-405C-AE05-0480E7B0A017}" uniqueName="63" name="DS_Defect_Chip" queryTableFieldId="86"/>
    <tableColumn id="64" xr3:uid="{286B675C-8F0A-460B-8AD9-11E8476A08F9}" uniqueName="64" name="DS_Defect_Surface" queryTableFieldId="87"/>
    <tableColumn id="65" xr3:uid="{AFB4BC9A-5544-4A4A-BD07-5BF74A138CE5}" uniqueName="65" name="DS_Defect_BadCut" queryTableFieldId="88"/>
    <tableColumn id="66" xr3:uid="{E6C71F58-E09A-473F-B922-751036609A4E}" uniqueName="66" name="DS_Defect_StickBottom" queryTableFieldId="89"/>
    <tableColumn id="67" xr3:uid="{8D2FD358-5F14-4B1A-8C95-9828BEAC74BD}" uniqueName="67" name="DS_Defect_StickTop" queryTableFieldId="90"/>
    <tableColumn id="68" xr3:uid="{EA296798-0483-47B2-BCFC-36233DC5D275}" uniqueName="68" name="DS_Defect_Broken" queryTableFieldId="91"/>
    <tableColumn id="69" xr3:uid="{48CC4FAE-9A84-421A-84C0-92C66E32930F}" uniqueName="69" name="DS_Defect_Fall" queryTableFieldId="92"/>
    <tableColumn id="70" xr3:uid="{C1FAAA9E-8DA1-4287-9959-BFC1BBED0B14}" uniqueName="70" name="DS_Defect_Dent" queryTableFieldId="93"/>
    <tableColumn id="71" xr3:uid="{405F2D21-5779-4A3C-AADE-1AF24DE3CAC8}" uniqueName="71" name="DS_Defect_Thickness" queryTableFieldId="94"/>
    <tableColumn id="72" xr3:uid="{48F9AC6C-156C-481B-8299-99A06470BF78}" uniqueName="72" name="DS_Defect_Delamination" queryTableFieldId="95"/>
    <tableColumn id="73" xr3:uid="{D94F8D2E-BB1B-41C0-8C44-38C8919FE0BD}" uniqueName="73" name="DS_Defect_Edge" queryTableFieldId="96"/>
    <tableColumn id="74" xr3:uid="{D1399DFA-7928-4EF0-87FB-8CB4C26BF0FE}" uniqueName="74" name="DS_Defect_Total_calc" queryTableFieldId="97"/>
    <tableColumn id="75" xr3:uid="{A2F75937-F46D-4B0F-9E79-649F3E2AFC8E}" uniqueName="75" name="DS_Check" queryTableFieldId="98"/>
    <tableColumn id="59" xr3:uid="{2EFF96DB-3601-429A-B28E-29728F84D7C8}" uniqueName="59" name="Good_Quality_Quantity" queryTableFieldId="81"/>
    <tableColumn id="60" xr3:uid="{539FB4F7-BB6A-48F1-B8AF-9AFDA298873D}" uniqueName="60" name="First_Grade_Quantity" queryTableFieldId="82"/>
    <tableColumn id="61" xr3:uid="{AD7772C9-A6CA-4994-81CC-355BB01266E1}" uniqueName="61" name="Defect_Quantity" queryTableFieldId="83"/>
    <tableColumn id="76" xr3:uid="{5EDEAF0C-1BE1-4129-BD8F-4061813BD958}" uniqueName="76" name="DS_Defect_Total" queryTableFieldId="114"/>
    <tableColumn id="77" xr3:uid="{5BEF22FF-DF4D-4B7E-B3D2-93A5DF19BB92}" uniqueName="77" name="DS_Check.1" queryTableFieldId="115"/>
    <tableColumn id="78" xr3:uid="{163AF64F-710A-467D-BB31-6ADAABAE5162}" uniqueName="78" name="QCD_Total" queryTableFieldId="116"/>
    <tableColumn id="79" xr3:uid="{5E6108CB-A446-45B0-94CC-2740D56305DB}" uniqueName="79" name="Sync_Total" queryTableFieldId="117"/>
    <tableColumn id="80" xr3:uid="{3A840B5C-3FCA-4518-8297-54D0C5C2C059}" uniqueName="80" name="Sync_Good" queryTableFieldId="118"/>
    <tableColumn id="81" xr3:uid="{CF42970B-3C62-44C9-8522-C8F5C592DBEB}" uniqueName="81" name="Reclassified_To_Defect" queryTableFieldId="119"/>
    <tableColumn id="82" xr3:uid="{8BD2CB29-D1DF-4619-A216-AAB9296C7C28}" uniqueName="82" name="Reclassified_To_First" queryTableFieldId="12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98B5B09-B80A-4BE3-BF77-5F85FD94858F}" name="q_Norms" displayName="q_Norms" ref="A1:Q39" tableType="queryTable" totalsRowShown="0">
  <autoFilter ref="A1:Q39" xr:uid="{C98B5B09-B80A-4BE3-BF77-5F85FD94858F}"/>
  <tableColumns count="17">
    <tableColumn id="18" xr3:uid="{B7A53B1E-2D54-4AB1-9CBB-2DA8BD3F3FBE}" uniqueName="18" name="Product_Name" queryTableFieldId="18" dataDxfId="19"/>
    <tableColumn id="19" xr3:uid="{802E875C-5D07-4EA9-BF5C-C2A7A882391B}" uniqueName="19" name="Norm_Chrysotile_5_65_kg" queryTableFieldId="19"/>
    <tableColumn id="20" xr3:uid="{B6499828-C4A8-48BB-B57F-93196AA4F669}" uniqueName="20" name="Norm_Cement_kg" queryTableFieldId="20"/>
    <tableColumn id="21" xr3:uid="{06C14A01-477B-4E67-B6C8-683EF38F289A}" uniqueName="21" name="Norm_GlassFiber_kg" queryTableFieldId="21"/>
    <tableColumn id="22" xr3:uid="{FB8CA426-C531-43AC-9F3D-25C8F38E4F26}" uniqueName="22" name="Norm_Cellulose_kg" queryTableFieldId="22"/>
    <tableColumn id="23" xr3:uid="{335BD142-F152-4D4A-9C1B-B0C500E60E06}" uniqueName="23" name="Norm_Asbozurite_kg" queryTableFieldId="23"/>
    <tableColumn id="24" xr3:uid="{17CCE9D3-4CE9-41DE-9444-DEA708CAA311}" uniqueName="24" name="Norm_Crushed_Slate_kg" queryTableFieldId="24"/>
    <tableColumn id="25" xr3:uid="{F38F6524-18F3-407A-819D-3E8460A07BE7}" uniqueName="25" name="Norm_Laprol_ml" queryTableFieldId="25"/>
    <tableColumn id="26" xr3:uid="{0D2DF343-BD15-4FC8-9D2A-11EF4CA0CA6F}" uniqueName="26" name="Norm_Primer_LKC_kg" queryTableFieldId="26"/>
    <tableColumn id="27" xr3:uid="{B46C17E5-F504-43FE-B9BF-FA35C790527D}" uniqueName="27" name="Norm_Lacquer_Shop_kg" queryTableFieldId="27"/>
    <tableColumn id="28" xr3:uid="{D99E48CB-AE5A-4608-90E3-7AFF3037B99E}" uniqueName="28" name="Norm_Lacquer_LKC_kg" queryTableFieldId="28"/>
    <tableColumn id="29" xr3:uid="{8D8A3C66-A36A-4950-A07C-1E96C82A9F3B}" uniqueName="29" name="Norm_Pigment_Brown_Shop_kg" queryTableFieldId="29"/>
    <tableColumn id="30" xr3:uid="{E0A8B5B7-27C3-4186-B966-375C7D079C46}" uniqueName="30" name="Norm_Pigment_Brown_LKC_kg" queryTableFieldId="30"/>
    <tableColumn id="31" xr3:uid="{C2725FA8-5C74-4B31-9760-BA924530A3D7}" uniqueName="31" name="Norm_Pigment_Red_Shop_kg" queryTableFieldId="31"/>
    <tableColumn id="32" xr3:uid="{CA90299C-878C-4216-8965-999794276104}" uniqueName="32" name="Norm_Pigment_Red_LKC_kg" queryTableFieldId="32"/>
    <tableColumn id="33" xr3:uid="{2FDE6AAE-F411-44A2-8CBB-ED439860F649}" uniqueName="33" name="Norm_Graphite_Black_Shop_kg" queryTableFieldId="33"/>
    <tableColumn id="34" xr3:uid="{736BE4B1-7AA2-4D58-A26B-0752EE5645BD}" uniqueName="34" name="Norm_Graphite_Black_LKC_kg" queryTableFieldId="3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E94703-8BF3-485A-9E10-1C5991AB1B53}" name="ZZ_ShiftSum" displayName="ZZ_ShiftSum" ref="A1:D5" tableType="queryTable" totalsRowShown="0">
  <autoFilter ref="A1:D5" xr:uid="{A0E94703-8BF3-485A-9E10-1C5991AB1B53}"/>
  <tableColumns count="4">
    <tableColumn id="1" xr3:uid="{F5CAB534-1428-420F-9428-37AB05AE9781}" uniqueName="1" name="Date" queryTableFieldId="1" dataDxfId="18"/>
    <tableColumn id="2" xr3:uid="{2BEA0FC7-244A-4C4A-844C-9FBAC255E22A}" uniqueName="2" name="Shift" queryTableFieldId="2" dataDxfId="17"/>
    <tableColumn id="3" xr3:uid="{22FD1442-8A1B-4355-B992-FA65BDCFE3FD}" uniqueName="3" name="Master" queryTableFieldId="3" dataDxfId="16"/>
    <tableColumn id="4" xr3:uid="{0F8C8948-8614-4A31-A5CA-69181A9F003B}" uniqueName="4" name="Total_Theoretical_Cem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Date" xr10:uid="{107F2285-59C9-469F-84F2-2C94378CC6E6}" sourceName="Date">
  <pivotTables>
    <pivotTable tabId="27" name="Производство"/>
    <pivotTable tabId="27" name="Сводная таблица3"/>
    <pivotTable tabId="27" name="Сводная таблица4"/>
  </pivotTables>
  <state minimalRefreshVersion="6" lastRefreshVersion="6" pivotCacheId="1707836355" filterType="dateBetween">
    <selection startDate="2026-06-03T00:00:00" endDate="2026-06-16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" xr10:uid="{860FB598-04D7-4DE9-AD54-6EE16F4FD218}" cache="ВстроеннаяВременнаяШкала_Date" caption="Дата" level="3" selectionLevel="3" scrollPosition="2026-05-30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"/>
  <sheetViews>
    <sheetView topLeftCell="A5" workbookViewId="0">
      <selection activeCell="D9" sqref="D9"/>
    </sheetView>
  </sheetViews>
  <sheetFormatPr defaultRowHeight="15" x14ac:dyDescent="0.25"/>
  <cols>
    <col min="1" max="1" width="3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8" spans="1:1" x14ac:dyDescent="0.25">
      <c r="A18" t="s">
        <v>13</v>
      </c>
    </row>
    <row r="19" spans="1:1" x14ac:dyDescent="0.25">
      <c r="A19" s="10" t="s">
        <v>14</v>
      </c>
    </row>
    <row r="20" spans="1:1" x14ac:dyDescent="0.25">
      <c r="A20" s="11" t="s">
        <v>15</v>
      </c>
    </row>
    <row r="21" spans="1:1" x14ac:dyDescent="0.25">
      <c r="A21" s="10" t="s">
        <v>16</v>
      </c>
    </row>
    <row r="22" spans="1:1" x14ac:dyDescent="0.25">
      <c r="A22" s="11" t="s">
        <v>17</v>
      </c>
    </row>
    <row r="23" spans="1:1" x14ac:dyDescent="0.25">
      <c r="A23" s="10" t="s">
        <v>18</v>
      </c>
    </row>
    <row r="24" spans="1:1" x14ac:dyDescent="0.25">
      <c r="A24" s="11" t="s">
        <v>19</v>
      </c>
    </row>
    <row r="25" spans="1:1" x14ac:dyDescent="0.25">
      <c r="A25" s="10" t="s">
        <v>20</v>
      </c>
    </row>
    <row r="26" spans="1:1" x14ac:dyDescent="0.25">
      <c r="A26" s="11" t="s">
        <v>21</v>
      </c>
    </row>
    <row r="27" spans="1:1" x14ac:dyDescent="0.25">
      <c r="A27" s="10" t="s">
        <v>22</v>
      </c>
    </row>
    <row r="28" spans="1:1" x14ac:dyDescent="0.25">
      <c r="A28" s="11" t="s">
        <v>23</v>
      </c>
    </row>
    <row r="29" spans="1:1" x14ac:dyDescent="0.25">
      <c r="A29" s="10" t="s">
        <v>24</v>
      </c>
    </row>
    <row r="30" spans="1:1" x14ac:dyDescent="0.25">
      <c r="A30" s="11" t="s">
        <v>25</v>
      </c>
    </row>
    <row r="31" spans="1:1" x14ac:dyDescent="0.25">
      <c r="A31" s="10" t="s">
        <v>26</v>
      </c>
    </row>
    <row r="32" spans="1:1" x14ac:dyDescent="0.25">
      <c r="A32" s="11" t="s">
        <v>27</v>
      </c>
    </row>
    <row r="33" spans="1:1" x14ac:dyDescent="0.25">
      <c r="A33" s="10" t="s">
        <v>28</v>
      </c>
    </row>
    <row r="34" spans="1:1" x14ac:dyDescent="0.25">
      <c r="A34" s="11" t="s">
        <v>29</v>
      </c>
    </row>
    <row r="35" spans="1:1" x14ac:dyDescent="0.25">
      <c r="A35" s="10" t="s">
        <v>30</v>
      </c>
    </row>
    <row r="36" spans="1:1" x14ac:dyDescent="0.25">
      <c r="A36" s="11" t="s">
        <v>31</v>
      </c>
    </row>
    <row r="37" spans="1:1" x14ac:dyDescent="0.25">
      <c r="A37" s="10" t="s">
        <v>32</v>
      </c>
    </row>
    <row r="38" spans="1:1" x14ac:dyDescent="0.25">
      <c r="A38" s="11" t="s">
        <v>33</v>
      </c>
    </row>
    <row r="39" spans="1:1" x14ac:dyDescent="0.25">
      <c r="A39" s="10" t="s">
        <v>34</v>
      </c>
    </row>
    <row r="40" spans="1:1" x14ac:dyDescent="0.25">
      <c r="A40" s="11" t="s">
        <v>35</v>
      </c>
    </row>
    <row r="41" spans="1:1" x14ac:dyDescent="0.25">
      <c r="A41" s="10" t="s">
        <v>36</v>
      </c>
    </row>
    <row r="42" spans="1:1" x14ac:dyDescent="0.25">
      <c r="A42" s="11" t="s">
        <v>37</v>
      </c>
    </row>
    <row r="43" spans="1:1" x14ac:dyDescent="0.25">
      <c r="A43" s="10" t="s">
        <v>38</v>
      </c>
    </row>
    <row r="44" spans="1:1" x14ac:dyDescent="0.25">
      <c r="A44" s="11" t="s">
        <v>39</v>
      </c>
    </row>
    <row r="45" spans="1:1" x14ac:dyDescent="0.25">
      <c r="A45" s="10" t="s">
        <v>40</v>
      </c>
    </row>
    <row r="46" spans="1:1" x14ac:dyDescent="0.25">
      <c r="A46" s="11" t="s">
        <v>41</v>
      </c>
    </row>
    <row r="47" spans="1:1" x14ac:dyDescent="0.25">
      <c r="A47" s="10" t="s">
        <v>42</v>
      </c>
    </row>
    <row r="48" spans="1:1" x14ac:dyDescent="0.25">
      <c r="A48" s="11" t="s">
        <v>43</v>
      </c>
    </row>
    <row r="49" spans="1:1" x14ac:dyDescent="0.25">
      <c r="A49" s="10" t="s">
        <v>44</v>
      </c>
    </row>
    <row r="50" spans="1:1" x14ac:dyDescent="0.25">
      <c r="A50" s="11" t="s">
        <v>45</v>
      </c>
    </row>
    <row r="51" spans="1:1" x14ac:dyDescent="0.25">
      <c r="A51" s="10" t="s">
        <v>46</v>
      </c>
    </row>
    <row r="52" spans="1:1" x14ac:dyDescent="0.25">
      <c r="A52" s="11" t="s">
        <v>47</v>
      </c>
    </row>
    <row r="53" spans="1:1" x14ac:dyDescent="0.25">
      <c r="A53" s="10" t="s">
        <v>48</v>
      </c>
    </row>
    <row r="54" spans="1:1" x14ac:dyDescent="0.25">
      <c r="A54" s="11" t="s">
        <v>49</v>
      </c>
    </row>
    <row r="55" spans="1:1" x14ac:dyDescent="0.25">
      <c r="A55" s="10" t="s">
        <v>50</v>
      </c>
    </row>
    <row r="56" spans="1:1" x14ac:dyDescent="0.25">
      <c r="A56" s="12" t="s">
        <v>51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4813-4EB3-4CAB-BA56-85BD9E0A200D}">
  <dimension ref="A1:Q39"/>
  <sheetViews>
    <sheetView workbookViewId="0">
      <selection activeCell="C10" sqref="C10:C21"/>
    </sheetView>
  </sheetViews>
  <sheetFormatPr defaultRowHeight="15" x14ac:dyDescent="0.25"/>
  <cols>
    <col min="1" max="1" width="32.85546875" bestFit="1" customWidth="1"/>
    <col min="2" max="2" width="19.42578125" bestFit="1" customWidth="1"/>
    <col min="3" max="3" width="26.42578125" bestFit="1" customWidth="1"/>
    <col min="4" max="4" width="10" bestFit="1" customWidth="1"/>
    <col min="5" max="5" width="17.7109375" bestFit="1" customWidth="1"/>
    <col min="6" max="6" width="16.42578125" bestFit="1" customWidth="1"/>
    <col min="7" max="7" width="20.5703125" bestFit="1" customWidth="1"/>
    <col min="8" max="8" width="14.42578125" bestFit="1" customWidth="1"/>
    <col min="9" max="9" width="19.7109375" bestFit="1" customWidth="1"/>
    <col min="10" max="10" width="13" bestFit="1" customWidth="1"/>
    <col min="11" max="11" width="14.140625" bestFit="1" customWidth="1"/>
    <col min="12" max="12" width="25.5703125" bestFit="1" customWidth="1"/>
    <col min="13" max="13" width="26.85546875" bestFit="1" customWidth="1"/>
    <col min="14" max="14" width="24.140625" bestFit="1" customWidth="1"/>
    <col min="15" max="15" width="25.28515625" bestFit="1" customWidth="1"/>
    <col min="16" max="16" width="21.5703125" bestFit="1" customWidth="1"/>
    <col min="17" max="17" width="22.85546875" bestFit="1" customWidth="1"/>
  </cols>
  <sheetData>
    <row r="1" spans="1:17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6" t="s">
        <v>68</v>
      </c>
    </row>
    <row r="2" spans="1:17" x14ac:dyDescent="0.25">
      <c r="A2" s="1" t="s">
        <v>14</v>
      </c>
      <c r="B2" s="1">
        <v>2.0099999999999998</v>
      </c>
      <c r="C2" s="1">
        <v>13.56</v>
      </c>
      <c r="D2" s="1">
        <v>0.04</v>
      </c>
      <c r="E2" s="1">
        <v>0.20100000000000001</v>
      </c>
      <c r="F2" s="1">
        <v>0.10100000000000001</v>
      </c>
      <c r="G2" s="1">
        <v>0.20100000000000001</v>
      </c>
      <c r="H2" s="1">
        <v>4.0200000000000001E-4</v>
      </c>
      <c r="I2" s="2" t="s">
        <v>69</v>
      </c>
      <c r="J2" s="2" t="s">
        <v>69</v>
      </c>
      <c r="K2" s="2" t="s">
        <v>69</v>
      </c>
      <c r="L2" s="2" t="s">
        <v>69</v>
      </c>
      <c r="M2" s="2" t="s">
        <v>69</v>
      </c>
      <c r="N2" s="2" t="s">
        <v>69</v>
      </c>
      <c r="O2" s="2" t="s">
        <v>69</v>
      </c>
      <c r="P2" s="2" t="s">
        <v>69</v>
      </c>
      <c r="Q2" s="3" t="s">
        <v>69</v>
      </c>
    </row>
    <row r="3" spans="1:17" x14ac:dyDescent="0.25">
      <c r="A3" s="1" t="s">
        <v>15</v>
      </c>
      <c r="B3" s="1">
        <v>2.0099999999999998</v>
      </c>
      <c r="C3" s="1">
        <v>13.56</v>
      </c>
      <c r="D3" s="1">
        <v>0.04</v>
      </c>
      <c r="E3" s="1">
        <v>0.20100000000000001</v>
      </c>
      <c r="F3" s="1">
        <v>0.10100000000000001</v>
      </c>
      <c r="G3" s="1">
        <v>0.20100000000000001</v>
      </c>
      <c r="H3" s="1">
        <v>4.0200000000000001E-4</v>
      </c>
      <c r="I3" s="2" t="s">
        <v>69</v>
      </c>
      <c r="J3" s="2" t="s">
        <v>69</v>
      </c>
      <c r="K3" s="2" t="s">
        <v>69</v>
      </c>
      <c r="L3" s="2" t="s">
        <v>69</v>
      </c>
      <c r="M3" s="2" t="s">
        <v>69</v>
      </c>
      <c r="N3" s="2" t="s">
        <v>69</v>
      </c>
      <c r="O3" s="2" t="s">
        <v>69</v>
      </c>
      <c r="P3" s="2" t="s">
        <v>69</v>
      </c>
      <c r="Q3" s="3" t="s">
        <v>69</v>
      </c>
    </row>
    <row r="4" spans="1:17" x14ac:dyDescent="0.25">
      <c r="A4" s="1" t="s">
        <v>16</v>
      </c>
      <c r="B4" s="1">
        <v>2.0099999999999998</v>
      </c>
      <c r="C4" s="1">
        <v>13.56</v>
      </c>
      <c r="D4" s="1">
        <v>0.04</v>
      </c>
      <c r="E4" s="1">
        <v>0.20100000000000001</v>
      </c>
      <c r="F4" s="1">
        <v>0.10100000000000001</v>
      </c>
      <c r="G4" s="1">
        <v>0.20100000000000001</v>
      </c>
      <c r="H4" s="1">
        <v>4.0200000000000001E-4</v>
      </c>
      <c r="I4" s="2" t="s">
        <v>69</v>
      </c>
      <c r="J4" s="2" t="s">
        <v>69</v>
      </c>
      <c r="K4" s="2" t="s">
        <v>69</v>
      </c>
      <c r="L4" s="2" t="s">
        <v>69</v>
      </c>
      <c r="M4" s="2" t="s">
        <v>69</v>
      </c>
      <c r="N4" s="2" t="s">
        <v>69</v>
      </c>
      <c r="O4" s="2" t="s">
        <v>69</v>
      </c>
      <c r="P4" s="2" t="s">
        <v>69</v>
      </c>
      <c r="Q4" s="3" t="s">
        <v>69</v>
      </c>
    </row>
    <row r="5" spans="1:17" x14ac:dyDescent="0.25">
      <c r="A5" s="1" t="s">
        <v>17</v>
      </c>
      <c r="B5" s="1">
        <v>2.0099999999999998</v>
      </c>
      <c r="C5" s="1">
        <v>13.56</v>
      </c>
      <c r="D5" s="1">
        <v>0.04</v>
      </c>
      <c r="E5" s="1">
        <v>0.20100000000000001</v>
      </c>
      <c r="F5" s="1">
        <v>0.10100000000000001</v>
      </c>
      <c r="G5" s="1">
        <v>0.20100000000000001</v>
      </c>
      <c r="H5" s="1">
        <v>4.0200000000000001E-4</v>
      </c>
      <c r="I5" s="2" t="s">
        <v>69</v>
      </c>
      <c r="J5" s="2" t="s">
        <v>69</v>
      </c>
      <c r="K5" s="2" t="s">
        <v>69</v>
      </c>
      <c r="L5" s="2" t="s">
        <v>69</v>
      </c>
      <c r="M5" s="2" t="s">
        <v>69</v>
      </c>
      <c r="N5" s="2" t="s">
        <v>69</v>
      </c>
      <c r="O5" s="2" t="s">
        <v>69</v>
      </c>
      <c r="P5" s="2" t="s">
        <v>69</v>
      </c>
      <c r="Q5" s="3" t="s">
        <v>69</v>
      </c>
    </row>
    <row r="6" spans="1:17" x14ac:dyDescent="0.25">
      <c r="A6" s="1" t="s">
        <v>18</v>
      </c>
      <c r="B6" s="1">
        <v>2.0099999999999998</v>
      </c>
      <c r="C6" s="1">
        <v>13.56</v>
      </c>
      <c r="D6" s="1">
        <v>0.04</v>
      </c>
      <c r="E6" s="1">
        <v>0.20100000000000001</v>
      </c>
      <c r="F6" s="1">
        <v>0.10100000000000001</v>
      </c>
      <c r="G6" s="1">
        <v>0.20100000000000001</v>
      </c>
      <c r="H6" s="1">
        <v>4.0200000000000001E-4</v>
      </c>
      <c r="I6" s="2" t="s">
        <v>69</v>
      </c>
      <c r="J6" s="2" t="s">
        <v>69</v>
      </c>
      <c r="K6" s="2" t="s">
        <v>69</v>
      </c>
      <c r="L6" s="2" t="s">
        <v>69</v>
      </c>
      <c r="M6" s="2" t="s">
        <v>69</v>
      </c>
      <c r="N6" s="2" t="s">
        <v>69</v>
      </c>
      <c r="O6" s="2" t="s">
        <v>69</v>
      </c>
      <c r="P6" s="2">
        <v>4.02E-2</v>
      </c>
      <c r="Q6" s="3" t="s">
        <v>69</v>
      </c>
    </row>
    <row r="7" spans="1:17" x14ac:dyDescent="0.25">
      <c r="A7" s="1" t="s">
        <v>19</v>
      </c>
      <c r="B7" s="1">
        <v>2.0099999999999998</v>
      </c>
      <c r="C7" s="1">
        <v>13.56</v>
      </c>
      <c r="D7" s="1">
        <v>0.04</v>
      </c>
      <c r="E7" s="1">
        <v>0.20100000000000001</v>
      </c>
      <c r="F7" s="1">
        <v>0.10100000000000001</v>
      </c>
      <c r="G7" s="1">
        <v>0.20100000000000001</v>
      </c>
      <c r="H7" s="1">
        <v>4.0200000000000001E-4</v>
      </c>
      <c r="I7" s="2" t="s">
        <v>69</v>
      </c>
      <c r="J7" s="2" t="s">
        <v>69</v>
      </c>
      <c r="K7" s="2" t="s">
        <v>69</v>
      </c>
      <c r="L7" s="2" t="s">
        <v>69</v>
      </c>
      <c r="M7" s="2" t="s">
        <v>69</v>
      </c>
      <c r="N7" s="2" t="s">
        <v>69</v>
      </c>
      <c r="O7" s="2" t="s">
        <v>69</v>
      </c>
      <c r="P7" s="2">
        <v>4.02E-2</v>
      </c>
      <c r="Q7" s="3" t="s">
        <v>69</v>
      </c>
    </row>
    <row r="8" spans="1:17" x14ac:dyDescent="0.25">
      <c r="A8" s="1" t="s">
        <v>20</v>
      </c>
      <c r="B8" s="1">
        <v>4.03</v>
      </c>
      <c r="C8" s="1">
        <v>27.12</v>
      </c>
      <c r="D8" s="1">
        <v>0.08</v>
      </c>
      <c r="E8" s="1">
        <v>0.40200000000000002</v>
      </c>
      <c r="F8" s="1">
        <v>0.20100000000000001</v>
      </c>
      <c r="G8" s="1">
        <v>0.20100000000000001</v>
      </c>
      <c r="H8" s="1">
        <v>8.0400000000000003E-4</v>
      </c>
      <c r="I8" s="2" t="s">
        <v>69</v>
      </c>
      <c r="J8" s="2" t="s">
        <v>69</v>
      </c>
      <c r="K8" s="2" t="s">
        <v>69</v>
      </c>
      <c r="L8" s="2" t="s">
        <v>69</v>
      </c>
      <c r="M8" s="2" t="s">
        <v>69</v>
      </c>
      <c r="N8" s="2" t="s">
        <v>69</v>
      </c>
      <c r="O8" s="2" t="s">
        <v>69</v>
      </c>
      <c r="P8" s="2" t="s">
        <v>69</v>
      </c>
      <c r="Q8" s="3" t="s">
        <v>69</v>
      </c>
    </row>
    <row r="9" spans="1:17" x14ac:dyDescent="0.25">
      <c r="A9" s="1" t="s">
        <v>21</v>
      </c>
      <c r="B9" s="1">
        <v>4.03</v>
      </c>
      <c r="C9" s="1">
        <v>27.12</v>
      </c>
      <c r="D9" s="1">
        <v>0.08</v>
      </c>
      <c r="E9" s="1">
        <v>0.40200000000000002</v>
      </c>
      <c r="F9" s="1">
        <v>0.20100000000000001</v>
      </c>
      <c r="G9" s="1">
        <v>0.20100000000000001</v>
      </c>
      <c r="H9" s="1">
        <v>8.0400000000000003E-4</v>
      </c>
      <c r="I9" s="2" t="s">
        <v>69</v>
      </c>
      <c r="J9" s="2" t="s">
        <v>69</v>
      </c>
      <c r="K9" s="2" t="s">
        <v>69</v>
      </c>
      <c r="L9" s="2" t="s">
        <v>69</v>
      </c>
      <c r="M9" s="2" t="s">
        <v>69</v>
      </c>
      <c r="N9" s="2" t="s">
        <v>69</v>
      </c>
      <c r="O9" s="2" t="s">
        <v>69</v>
      </c>
      <c r="P9" s="2" t="s">
        <v>69</v>
      </c>
      <c r="Q9" s="3" t="s">
        <v>69</v>
      </c>
    </row>
    <row r="10" spans="1:17" x14ac:dyDescent="0.25">
      <c r="A10" s="1" t="s">
        <v>22</v>
      </c>
      <c r="B10" s="1">
        <v>2.31</v>
      </c>
      <c r="C10" s="1">
        <v>15.33</v>
      </c>
      <c r="D10" s="1">
        <v>4.5999999999999999E-2</v>
      </c>
      <c r="E10" s="1">
        <v>0.23100000000000001</v>
      </c>
      <c r="F10" s="1">
        <v>0.115</v>
      </c>
      <c r="G10" s="1">
        <v>0.23100000000000001</v>
      </c>
      <c r="H10" s="1">
        <v>4.6200000000000001E-4</v>
      </c>
      <c r="I10" s="2" t="s">
        <v>69</v>
      </c>
      <c r="J10" s="2" t="s">
        <v>69</v>
      </c>
      <c r="K10" s="2" t="s">
        <v>69</v>
      </c>
      <c r="L10" s="2" t="s">
        <v>69</v>
      </c>
      <c r="M10" s="2" t="s">
        <v>69</v>
      </c>
      <c r="N10" s="2" t="s">
        <v>69</v>
      </c>
      <c r="O10" s="2" t="s">
        <v>69</v>
      </c>
      <c r="P10" s="2" t="s">
        <v>69</v>
      </c>
      <c r="Q10" s="3" t="s">
        <v>69</v>
      </c>
    </row>
    <row r="11" spans="1:17" x14ac:dyDescent="0.25">
      <c r="A11" s="1" t="s">
        <v>23</v>
      </c>
      <c r="B11" s="1">
        <v>2.31</v>
      </c>
      <c r="C11" s="1">
        <v>15.33</v>
      </c>
      <c r="D11" s="1">
        <v>4.5999999999999999E-2</v>
      </c>
      <c r="E11" s="1">
        <v>0.23100000000000001</v>
      </c>
      <c r="F11" s="1">
        <v>0.115</v>
      </c>
      <c r="G11" s="1">
        <v>0.23100000000000001</v>
      </c>
      <c r="H11" s="1">
        <v>4.6200000000000001E-4</v>
      </c>
      <c r="I11" s="2" t="s">
        <v>69</v>
      </c>
      <c r="J11" s="2" t="s">
        <v>69</v>
      </c>
      <c r="K11" s="2" t="s">
        <v>69</v>
      </c>
      <c r="L11" s="2" t="s">
        <v>69</v>
      </c>
      <c r="M11" s="2" t="s">
        <v>69</v>
      </c>
      <c r="N11" s="2" t="s">
        <v>69</v>
      </c>
      <c r="O11" s="2" t="s">
        <v>69</v>
      </c>
      <c r="P11" s="2" t="s">
        <v>69</v>
      </c>
      <c r="Q11" s="3" t="s">
        <v>69</v>
      </c>
    </row>
    <row r="12" spans="1:17" x14ac:dyDescent="0.25">
      <c r="A12" s="1" t="s">
        <v>24</v>
      </c>
      <c r="B12" s="1">
        <v>2.31</v>
      </c>
      <c r="C12" s="1">
        <v>15.33</v>
      </c>
      <c r="D12" s="1">
        <v>4.5999999999999999E-2</v>
      </c>
      <c r="E12" s="1">
        <v>0.23100000000000001</v>
      </c>
      <c r="F12" s="1">
        <v>0.115</v>
      </c>
      <c r="G12" s="1">
        <v>0.23100000000000001</v>
      </c>
      <c r="H12" s="1">
        <v>4.6200000000000001E-4</v>
      </c>
      <c r="I12" s="2" t="s">
        <v>69</v>
      </c>
      <c r="J12" s="2" t="s">
        <v>69</v>
      </c>
      <c r="K12" s="2" t="s">
        <v>69</v>
      </c>
      <c r="L12" s="2" t="s">
        <v>69</v>
      </c>
      <c r="M12" s="2" t="s">
        <v>69</v>
      </c>
      <c r="N12" s="2" t="s">
        <v>69</v>
      </c>
      <c r="O12" s="2" t="s">
        <v>69</v>
      </c>
      <c r="P12" s="2" t="s">
        <v>69</v>
      </c>
      <c r="Q12" s="3" t="s">
        <v>69</v>
      </c>
    </row>
    <row r="13" spans="1:17" x14ac:dyDescent="0.25">
      <c r="A13" s="1" t="s">
        <v>25</v>
      </c>
      <c r="B13" s="1">
        <v>2.31</v>
      </c>
      <c r="C13" s="1">
        <v>15.33</v>
      </c>
      <c r="D13" s="1">
        <v>4.5999999999999999E-2</v>
      </c>
      <c r="E13" s="1">
        <v>0.23100000000000001</v>
      </c>
      <c r="F13" s="1">
        <v>0.115</v>
      </c>
      <c r="G13" s="1">
        <v>0.23100000000000001</v>
      </c>
      <c r="H13" s="1">
        <v>4.6200000000000001E-4</v>
      </c>
      <c r="I13" s="2" t="s">
        <v>69</v>
      </c>
      <c r="J13" s="2" t="s">
        <v>69</v>
      </c>
      <c r="K13" s="2" t="s">
        <v>69</v>
      </c>
      <c r="L13" s="2" t="s">
        <v>69</v>
      </c>
      <c r="M13" s="2" t="s">
        <v>69</v>
      </c>
      <c r="N13" s="2" t="s">
        <v>69</v>
      </c>
      <c r="O13" s="2" t="s">
        <v>69</v>
      </c>
      <c r="P13" s="2" t="s">
        <v>69</v>
      </c>
      <c r="Q13" s="3" t="s">
        <v>69</v>
      </c>
    </row>
    <row r="14" spans="1:17" x14ac:dyDescent="0.25">
      <c r="A14" s="1" t="s">
        <v>26</v>
      </c>
      <c r="B14" s="1">
        <v>2.31</v>
      </c>
      <c r="C14" s="1">
        <v>15.33</v>
      </c>
      <c r="D14" s="1">
        <v>4.5999999999999999E-2</v>
      </c>
      <c r="E14" s="1">
        <v>0.23100000000000001</v>
      </c>
      <c r="F14" s="1">
        <v>0.115</v>
      </c>
      <c r="G14" s="1">
        <v>0.23100000000000001</v>
      </c>
      <c r="H14" s="1">
        <v>4.6200000000000001E-4</v>
      </c>
      <c r="I14" s="2" t="s">
        <v>69</v>
      </c>
      <c r="J14" s="2" t="s">
        <v>69</v>
      </c>
      <c r="K14" s="2" t="s">
        <v>69</v>
      </c>
      <c r="L14" s="2" t="s">
        <v>69</v>
      </c>
      <c r="M14" s="2" t="s">
        <v>69</v>
      </c>
      <c r="N14" s="2" t="s">
        <v>69</v>
      </c>
      <c r="O14" s="2" t="s">
        <v>69</v>
      </c>
      <c r="P14" s="2">
        <v>4.6100000000000002E-2</v>
      </c>
      <c r="Q14" s="3" t="s">
        <v>69</v>
      </c>
    </row>
    <row r="15" spans="1:17" x14ac:dyDescent="0.25">
      <c r="A15" s="1" t="s">
        <v>27</v>
      </c>
      <c r="B15" s="1">
        <v>2.31</v>
      </c>
      <c r="C15" s="1">
        <v>15.33</v>
      </c>
      <c r="D15" s="1">
        <v>4.5999999999999999E-2</v>
      </c>
      <c r="E15" s="1">
        <v>0.23100000000000001</v>
      </c>
      <c r="F15" s="1">
        <v>0.115</v>
      </c>
      <c r="G15" s="1">
        <v>0.23100000000000001</v>
      </c>
      <c r="H15" s="1">
        <v>4.6200000000000001E-4</v>
      </c>
      <c r="I15" s="2">
        <v>0.29120000000000001</v>
      </c>
      <c r="J15" s="2">
        <v>2.8000000000000001E-2</v>
      </c>
      <c r="K15" s="2">
        <v>0.41439999999999999</v>
      </c>
      <c r="L15" s="2">
        <v>2.0400000000000001E-2</v>
      </c>
      <c r="M15" s="2">
        <v>7.8399999999999997E-2</v>
      </c>
      <c r="N15" s="2" t="s">
        <v>69</v>
      </c>
      <c r="O15" s="2" t="s">
        <v>69</v>
      </c>
      <c r="P15" s="2" t="s">
        <v>69</v>
      </c>
      <c r="Q15" s="3" t="s">
        <v>69</v>
      </c>
    </row>
    <row r="16" spans="1:17" x14ac:dyDescent="0.25">
      <c r="A16" s="1" t="s">
        <v>28</v>
      </c>
      <c r="B16" s="1">
        <v>2.31</v>
      </c>
      <c r="C16" s="1">
        <v>15.33</v>
      </c>
      <c r="D16" s="1">
        <v>4.5999999999999999E-2</v>
      </c>
      <c r="E16" s="1">
        <v>0.23100000000000001</v>
      </c>
      <c r="F16" s="1">
        <v>0.115</v>
      </c>
      <c r="G16" s="1">
        <v>0.23100000000000001</v>
      </c>
      <c r="H16" s="1">
        <v>4.6200000000000001E-4</v>
      </c>
      <c r="I16" s="2">
        <v>0.29120000000000001</v>
      </c>
      <c r="J16" s="2">
        <v>2.8000000000000001E-2</v>
      </c>
      <c r="K16" s="2">
        <v>0.41439999999999999</v>
      </c>
      <c r="L16" s="2" t="s">
        <v>69</v>
      </c>
      <c r="M16" s="2" t="s">
        <v>69</v>
      </c>
      <c r="N16" s="2" t="s">
        <v>69</v>
      </c>
      <c r="O16" s="2" t="s">
        <v>69</v>
      </c>
      <c r="P16" s="2">
        <v>2.0400000000000001E-2</v>
      </c>
      <c r="Q16" s="3">
        <v>7.8399999999999997E-2</v>
      </c>
    </row>
    <row r="17" spans="1:17" x14ac:dyDescent="0.25">
      <c r="A17" s="1" t="s">
        <v>29</v>
      </c>
      <c r="B17" s="1">
        <v>2.31</v>
      </c>
      <c r="C17" s="1">
        <v>15.33</v>
      </c>
      <c r="D17" s="1">
        <v>4.5999999999999999E-2</v>
      </c>
      <c r="E17" s="1">
        <v>0.23100000000000001</v>
      </c>
      <c r="F17" s="1">
        <v>0.115</v>
      </c>
      <c r="G17" s="1">
        <v>0.23100000000000001</v>
      </c>
      <c r="H17" s="1">
        <v>4.6200000000000001E-4</v>
      </c>
      <c r="I17" s="2" t="s">
        <v>69</v>
      </c>
      <c r="J17" s="2" t="s">
        <v>69</v>
      </c>
      <c r="K17" s="2" t="s">
        <v>69</v>
      </c>
      <c r="L17" s="2" t="s">
        <v>69</v>
      </c>
      <c r="M17" s="2" t="s">
        <v>69</v>
      </c>
      <c r="N17" s="2" t="s">
        <v>69</v>
      </c>
      <c r="O17" s="2" t="s">
        <v>69</v>
      </c>
      <c r="P17" s="2">
        <v>4.6100000000000002E-2</v>
      </c>
      <c r="Q17" s="3" t="s">
        <v>69</v>
      </c>
    </row>
    <row r="18" spans="1:17" x14ac:dyDescent="0.25">
      <c r="A18" s="1" t="s">
        <v>30</v>
      </c>
      <c r="B18" s="1">
        <v>2.31</v>
      </c>
      <c r="C18" s="1">
        <v>15.33</v>
      </c>
      <c r="D18" s="1">
        <v>4.5999999999999999E-2</v>
      </c>
      <c r="E18" s="1">
        <v>0.23100000000000001</v>
      </c>
      <c r="F18" s="1">
        <v>0.115</v>
      </c>
      <c r="G18" s="1">
        <v>0.23100000000000001</v>
      </c>
      <c r="H18" s="1">
        <v>4.6200000000000001E-4</v>
      </c>
      <c r="I18" s="2">
        <v>0.29120000000000001</v>
      </c>
      <c r="J18" s="2">
        <v>2.8000000000000001E-2</v>
      </c>
      <c r="K18" s="2">
        <v>0.41439999999999999</v>
      </c>
      <c r="L18" s="2">
        <v>2.0400000000000001E-2</v>
      </c>
      <c r="M18" s="2">
        <v>7.8399999999999997E-2</v>
      </c>
      <c r="N18" s="2" t="s">
        <v>69</v>
      </c>
      <c r="O18" s="2" t="s">
        <v>69</v>
      </c>
      <c r="P18" s="2" t="s">
        <v>69</v>
      </c>
      <c r="Q18" s="3" t="s">
        <v>69</v>
      </c>
    </row>
    <row r="19" spans="1:17" x14ac:dyDescent="0.25">
      <c r="A19" s="1" t="s">
        <v>31</v>
      </c>
      <c r="B19" s="1">
        <v>2.31</v>
      </c>
      <c r="C19" s="1">
        <v>15.33</v>
      </c>
      <c r="D19" s="1">
        <v>4.5999999999999999E-2</v>
      </c>
      <c r="E19" s="1">
        <v>0.23100000000000001</v>
      </c>
      <c r="F19" s="1">
        <v>0.115</v>
      </c>
      <c r="G19" s="1">
        <v>0.23100000000000001</v>
      </c>
      <c r="H19" s="1">
        <v>4.6200000000000001E-4</v>
      </c>
      <c r="I19" s="2">
        <v>0.29120000000000001</v>
      </c>
      <c r="J19" s="2">
        <v>2.8000000000000001E-2</v>
      </c>
      <c r="K19" s="2">
        <v>0.41439999999999999</v>
      </c>
      <c r="L19" s="2" t="s">
        <v>69</v>
      </c>
      <c r="M19" s="2" t="s">
        <v>69</v>
      </c>
      <c r="N19" s="2" t="s">
        <v>69</v>
      </c>
      <c r="O19" s="2" t="s">
        <v>69</v>
      </c>
      <c r="P19" s="2">
        <v>2.0400000000000001E-2</v>
      </c>
      <c r="Q19" s="3">
        <v>7.8399999999999997E-2</v>
      </c>
    </row>
    <row r="20" spans="1:17" x14ac:dyDescent="0.25">
      <c r="A20" s="1" t="s">
        <v>32</v>
      </c>
      <c r="B20" s="1">
        <v>2.31</v>
      </c>
      <c r="C20" s="1">
        <v>15.33</v>
      </c>
      <c r="D20" s="1">
        <v>4.5999999999999999E-2</v>
      </c>
      <c r="E20" s="1">
        <v>0.23100000000000001</v>
      </c>
      <c r="F20" s="1">
        <v>0.115</v>
      </c>
      <c r="G20" s="1">
        <v>0.23100000000000001</v>
      </c>
      <c r="H20" s="1">
        <v>4.6200000000000001E-4</v>
      </c>
      <c r="I20" s="2" t="s">
        <v>69</v>
      </c>
      <c r="J20" s="2" t="s">
        <v>69</v>
      </c>
      <c r="K20" s="2" t="s">
        <v>69</v>
      </c>
      <c r="L20" s="2" t="s">
        <v>69</v>
      </c>
      <c r="M20" s="2" t="s">
        <v>69</v>
      </c>
      <c r="N20" s="2" t="s">
        <v>69</v>
      </c>
      <c r="O20" s="2" t="s">
        <v>69</v>
      </c>
      <c r="P20" s="2" t="s">
        <v>69</v>
      </c>
      <c r="Q20" s="3" t="s">
        <v>69</v>
      </c>
    </row>
    <row r="21" spans="1:17" x14ac:dyDescent="0.25">
      <c r="A21" s="1" t="s">
        <v>33</v>
      </c>
      <c r="B21" s="1">
        <v>2.31</v>
      </c>
      <c r="C21" s="1">
        <v>15.33</v>
      </c>
      <c r="D21" s="1">
        <v>4.5999999999999999E-2</v>
      </c>
      <c r="E21" s="1">
        <v>0.23100000000000001</v>
      </c>
      <c r="F21" s="1">
        <v>0.115</v>
      </c>
      <c r="G21" s="1">
        <v>0.23100000000000001</v>
      </c>
      <c r="H21" s="1">
        <v>4.6200000000000001E-4</v>
      </c>
      <c r="I21" s="2" t="s">
        <v>69</v>
      </c>
      <c r="J21" s="2" t="s">
        <v>69</v>
      </c>
      <c r="K21" s="2" t="s">
        <v>69</v>
      </c>
      <c r="L21" s="2" t="s">
        <v>69</v>
      </c>
      <c r="M21" s="2" t="s">
        <v>69</v>
      </c>
      <c r="N21" s="2" t="s">
        <v>69</v>
      </c>
      <c r="O21" s="2" t="s">
        <v>69</v>
      </c>
      <c r="P21" s="2" t="s">
        <v>69</v>
      </c>
      <c r="Q21" s="3" t="s">
        <v>69</v>
      </c>
    </row>
    <row r="22" spans="1:17" x14ac:dyDescent="0.25">
      <c r="A22" s="1" t="s">
        <v>34</v>
      </c>
      <c r="B22" s="1">
        <v>4.1399999999999997</v>
      </c>
      <c r="C22" s="1">
        <v>26.73</v>
      </c>
      <c r="D22" s="1" t="s">
        <v>69</v>
      </c>
      <c r="E22" s="1">
        <v>0.41299999999999998</v>
      </c>
      <c r="F22" s="1">
        <v>0.20699999999999999</v>
      </c>
      <c r="G22" s="1">
        <v>0.41299999999999998</v>
      </c>
      <c r="H22" s="1">
        <v>8.2600000000000002E-4</v>
      </c>
      <c r="I22" s="2" t="s">
        <v>69</v>
      </c>
      <c r="J22" s="2" t="s">
        <v>69</v>
      </c>
      <c r="K22" s="2" t="s">
        <v>69</v>
      </c>
      <c r="L22" s="2" t="s">
        <v>69</v>
      </c>
      <c r="M22" s="2" t="s">
        <v>69</v>
      </c>
      <c r="N22" s="2" t="s">
        <v>69</v>
      </c>
      <c r="O22" s="2" t="s">
        <v>69</v>
      </c>
      <c r="P22" s="2" t="s">
        <v>69</v>
      </c>
      <c r="Q22" s="3" t="s">
        <v>69</v>
      </c>
    </row>
    <row r="23" spans="1:17" x14ac:dyDescent="0.25">
      <c r="A23" s="1" t="s">
        <v>35</v>
      </c>
      <c r="B23" s="1">
        <v>4.1399999999999997</v>
      </c>
      <c r="C23" s="1">
        <v>26.73</v>
      </c>
      <c r="D23" s="1" t="s">
        <v>69</v>
      </c>
      <c r="E23" s="1">
        <v>0.41299999999999998</v>
      </c>
      <c r="F23" s="1">
        <v>0.20699999999999999</v>
      </c>
      <c r="G23" s="1">
        <v>0.41299999999999998</v>
      </c>
      <c r="H23" s="1">
        <v>8.2600000000000002E-4</v>
      </c>
      <c r="I23" s="2" t="s">
        <v>69</v>
      </c>
      <c r="J23" s="2" t="s">
        <v>69</v>
      </c>
      <c r="K23" s="2" t="s">
        <v>69</v>
      </c>
      <c r="L23" s="2" t="s">
        <v>69</v>
      </c>
      <c r="M23" s="2" t="s">
        <v>69</v>
      </c>
      <c r="N23" s="2" t="s">
        <v>69</v>
      </c>
      <c r="O23" s="2" t="s">
        <v>69</v>
      </c>
      <c r="P23" s="2" t="s">
        <v>69</v>
      </c>
      <c r="Q23" s="3" t="s">
        <v>69</v>
      </c>
    </row>
    <row r="24" spans="1:17" x14ac:dyDescent="0.25">
      <c r="A24" s="1" t="s">
        <v>36</v>
      </c>
      <c r="B24" s="1">
        <v>4.1399999999999997</v>
      </c>
      <c r="C24" s="1">
        <v>26.73</v>
      </c>
      <c r="D24" s="1" t="s">
        <v>69</v>
      </c>
      <c r="E24" s="1">
        <v>0.41299999999999998</v>
      </c>
      <c r="F24" s="1">
        <v>0.20699999999999999</v>
      </c>
      <c r="G24" s="1">
        <v>0.41299999999999998</v>
      </c>
      <c r="H24" s="1">
        <v>8.2600000000000002E-4</v>
      </c>
      <c r="I24" s="2" t="s">
        <v>69</v>
      </c>
      <c r="J24" s="2" t="s">
        <v>69</v>
      </c>
      <c r="K24" s="2" t="s">
        <v>69</v>
      </c>
      <c r="L24" s="2" t="s">
        <v>69</v>
      </c>
      <c r="M24" s="2" t="s">
        <v>69</v>
      </c>
      <c r="N24" s="2" t="s">
        <v>69</v>
      </c>
      <c r="O24" s="2" t="s">
        <v>69</v>
      </c>
      <c r="P24" s="2" t="s">
        <v>69</v>
      </c>
      <c r="Q24" s="3" t="s">
        <v>69</v>
      </c>
    </row>
    <row r="25" spans="1:17" x14ac:dyDescent="0.25">
      <c r="A25" s="1" t="s">
        <v>37</v>
      </c>
      <c r="B25" s="1">
        <v>3.31</v>
      </c>
      <c r="C25" s="1">
        <v>21.38</v>
      </c>
      <c r="D25" s="1" t="s">
        <v>69</v>
      </c>
      <c r="E25" s="1">
        <v>0.33100000000000002</v>
      </c>
      <c r="F25" s="1">
        <v>0.16500000000000001</v>
      </c>
      <c r="G25" s="1">
        <v>0.33100000000000002</v>
      </c>
      <c r="H25" s="1">
        <v>6.6100000000000002E-4</v>
      </c>
      <c r="I25" s="2" t="s">
        <v>69</v>
      </c>
      <c r="J25" s="2" t="s">
        <v>69</v>
      </c>
      <c r="K25" s="2" t="s">
        <v>69</v>
      </c>
      <c r="L25" s="2" t="s">
        <v>69</v>
      </c>
      <c r="M25" s="2" t="s">
        <v>69</v>
      </c>
      <c r="N25" s="2" t="s">
        <v>69</v>
      </c>
      <c r="O25" s="2" t="s">
        <v>69</v>
      </c>
      <c r="P25" s="2" t="s">
        <v>69</v>
      </c>
      <c r="Q25" s="3" t="s">
        <v>69</v>
      </c>
    </row>
    <row r="26" spans="1:17" x14ac:dyDescent="0.25">
      <c r="A26" s="1" t="s">
        <v>38</v>
      </c>
      <c r="B26" s="1">
        <v>3.31</v>
      </c>
      <c r="C26" s="1">
        <v>21.38</v>
      </c>
      <c r="D26" s="1" t="s">
        <v>69</v>
      </c>
      <c r="E26" s="1">
        <v>0.33100000000000002</v>
      </c>
      <c r="F26" s="1">
        <v>0.16500000000000001</v>
      </c>
      <c r="G26" s="1">
        <v>0.33100000000000002</v>
      </c>
      <c r="H26" s="1">
        <v>6.6100000000000002E-4</v>
      </c>
      <c r="I26" s="2" t="s">
        <v>69</v>
      </c>
      <c r="J26" s="2" t="s">
        <v>69</v>
      </c>
      <c r="K26" s="2" t="s">
        <v>69</v>
      </c>
      <c r="L26" s="2" t="s">
        <v>69</v>
      </c>
      <c r="M26" s="2" t="s">
        <v>69</v>
      </c>
      <c r="N26" s="2" t="s">
        <v>69</v>
      </c>
      <c r="O26" s="2" t="s">
        <v>69</v>
      </c>
      <c r="P26" s="2" t="s">
        <v>69</v>
      </c>
      <c r="Q26" s="3" t="s">
        <v>69</v>
      </c>
    </row>
    <row r="27" spans="1:17" x14ac:dyDescent="0.25">
      <c r="A27" s="1" t="s">
        <v>39</v>
      </c>
      <c r="B27" s="1">
        <v>2.48</v>
      </c>
      <c r="C27" s="1">
        <v>16.04</v>
      </c>
      <c r="D27" s="1" t="s">
        <v>69</v>
      </c>
      <c r="E27" s="1">
        <v>0.248</v>
      </c>
      <c r="F27" s="1">
        <v>0.124</v>
      </c>
      <c r="G27" s="1">
        <v>0.248</v>
      </c>
      <c r="H27" s="1">
        <v>4.9600000000000002E-4</v>
      </c>
      <c r="I27" s="2" t="s">
        <v>69</v>
      </c>
      <c r="J27" s="2" t="s">
        <v>69</v>
      </c>
      <c r="K27" s="2" t="s">
        <v>69</v>
      </c>
      <c r="L27" s="2" t="s">
        <v>69</v>
      </c>
      <c r="M27" s="2" t="s">
        <v>69</v>
      </c>
      <c r="N27" s="2" t="s">
        <v>69</v>
      </c>
      <c r="O27" s="2" t="s">
        <v>69</v>
      </c>
      <c r="P27" s="2" t="s">
        <v>69</v>
      </c>
      <c r="Q27" s="3" t="s">
        <v>69</v>
      </c>
    </row>
    <row r="28" spans="1:17" x14ac:dyDescent="0.25">
      <c r="A28" s="1" t="s">
        <v>40</v>
      </c>
      <c r="B28" s="1">
        <v>2.48</v>
      </c>
      <c r="C28" s="1">
        <v>16.04</v>
      </c>
      <c r="D28" s="1" t="s">
        <v>69</v>
      </c>
      <c r="E28" s="1">
        <v>0.248</v>
      </c>
      <c r="F28" s="1">
        <v>0.124</v>
      </c>
      <c r="G28" s="1">
        <v>0.248</v>
      </c>
      <c r="H28" s="1">
        <v>4.9600000000000002E-4</v>
      </c>
      <c r="I28" s="2" t="s">
        <v>69</v>
      </c>
      <c r="J28" s="2" t="s">
        <v>69</v>
      </c>
      <c r="K28" s="2" t="s">
        <v>69</v>
      </c>
      <c r="L28" s="2" t="s">
        <v>69</v>
      </c>
      <c r="M28" s="2" t="s">
        <v>69</v>
      </c>
      <c r="N28" s="2" t="s">
        <v>69</v>
      </c>
      <c r="O28" s="2" t="s">
        <v>69</v>
      </c>
      <c r="P28" s="2" t="s">
        <v>69</v>
      </c>
      <c r="Q28" s="3" t="s">
        <v>69</v>
      </c>
    </row>
    <row r="29" spans="1:17" x14ac:dyDescent="0.25">
      <c r="A29" s="1" t="s">
        <v>41</v>
      </c>
      <c r="B29" s="1">
        <v>2.06</v>
      </c>
      <c r="C29" s="1">
        <v>13.28</v>
      </c>
      <c r="D29" s="1">
        <v>4.1000000000000002E-2</v>
      </c>
      <c r="E29" s="1">
        <v>0.20499999999999999</v>
      </c>
      <c r="F29" s="1">
        <v>0.10299999999999999</v>
      </c>
      <c r="G29" s="1">
        <v>0.20499999999999999</v>
      </c>
      <c r="H29" s="1">
        <v>4.0999999999999999E-4</v>
      </c>
      <c r="I29" s="2" t="s">
        <v>69</v>
      </c>
      <c r="J29" s="2" t="s">
        <v>69</v>
      </c>
      <c r="K29" s="2" t="s">
        <v>69</v>
      </c>
      <c r="L29" s="2" t="s">
        <v>69</v>
      </c>
      <c r="M29" s="2" t="s">
        <v>69</v>
      </c>
      <c r="N29" s="2" t="s">
        <v>69</v>
      </c>
      <c r="O29" s="2" t="s">
        <v>69</v>
      </c>
      <c r="P29" s="2" t="s">
        <v>69</v>
      </c>
      <c r="Q29" s="3" t="s">
        <v>69</v>
      </c>
    </row>
    <row r="30" spans="1:17" x14ac:dyDescent="0.25">
      <c r="A30" s="1" t="s">
        <v>42</v>
      </c>
      <c r="B30" s="1">
        <v>2.06</v>
      </c>
      <c r="C30" s="1">
        <v>13.28</v>
      </c>
      <c r="D30" s="1">
        <v>4.1000000000000002E-2</v>
      </c>
      <c r="E30" s="1">
        <v>0.20499999999999999</v>
      </c>
      <c r="F30" s="1">
        <v>0.10299999999999999</v>
      </c>
      <c r="G30" s="1">
        <v>0.20499999999999999</v>
      </c>
      <c r="H30" s="1">
        <v>4.0999999999999999E-4</v>
      </c>
      <c r="I30" s="2" t="s">
        <v>69</v>
      </c>
      <c r="J30" s="2" t="s">
        <v>69</v>
      </c>
      <c r="K30" s="2" t="s">
        <v>69</v>
      </c>
      <c r="L30" s="2" t="s">
        <v>69</v>
      </c>
      <c r="M30" s="2" t="s">
        <v>69</v>
      </c>
      <c r="N30" s="2" t="s">
        <v>69</v>
      </c>
      <c r="O30" s="2" t="s">
        <v>69</v>
      </c>
      <c r="P30" s="2" t="s">
        <v>69</v>
      </c>
      <c r="Q30" s="3" t="s">
        <v>69</v>
      </c>
    </row>
    <row r="31" spans="1:17" x14ac:dyDescent="0.25">
      <c r="A31" s="1" t="s">
        <v>43</v>
      </c>
      <c r="B31" s="1">
        <v>2.06</v>
      </c>
      <c r="C31" s="1">
        <v>13.28</v>
      </c>
      <c r="D31" s="1">
        <v>4.1000000000000002E-2</v>
      </c>
      <c r="E31" s="1">
        <v>0.20499999999999999</v>
      </c>
      <c r="F31" s="1">
        <v>0.10299999999999999</v>
      </c>
      <c r="G31" s="1">
        <v>0.20499999999999999</v>
      </c>
      <c r="H31" s="1">
        <v>4.0999999999999999E-4</v>
      </c>
      <c r="I31" s="2">
        <v>0.22259999999999999</v>
      </c>
      <c r="J31" s="2">
        <v>2.8799999999999999E-2</v>
      </c>
      <c r="K31" s="2">
        <v>0.31540000000000001</v>
      </c>
      <c r="L31" s="2">
        <v>2.1299999999999999E-2</v>
      </c>
      <c r="M31" s="2">
        <v>5.57E-2</v>
      </c>
      <c r="N31" s="2" t="s">
        <v>69</v>
      </c>
      <c r="O31" s="2" t="s">
        <v>69</v>
      </c>
      <c r="P31" s="2" t="s">
        <v>69</v>
      </c>
      <c r="Q31" s="3" t="s">
        <v>69</v>
      </c>
    </row>
    <row r="32" spans="1:17" x14ac:dyDescent="0.25">
      <c r="A32" s="1" t="s">
        <v>44</v>
      </c>
      <c r="B32" s="1">
        <v>2.06</v>
      </c>
      <c r="C32" s="1">
        <v>13.28</v>
      </c>
      <c r="D32" s="1">
        <v>4.1000000000000002E-2</v>
      </c>
      <c r="E32" s="1">
        <v>0.20499999999999999</v>
      </c>
      <c r="F32" s="1">
        <v>0.10299999999999999</v>
      </c>
      <c r="G32" s="1">
        <v>0.20499999999999999</v>
      </c>
      <c r="H32" s="1">
        <v>4.0999999999999999E-4</v>
      </c>
      <c r="I32" s="2">
        <v>0.22259999999999999</v>
      </c>
      <c r="J32" s="2">
        <v>2.8799999999999999E-2</v>
      </c>
      <c r="K32" s="2">
        <v>0.31540000000000001</v>
      </c>
      <c r="L32" s="2" t="s">
        <v>69</v>
      </c>
      <c r="M32" s="2" t="s">
        <v>69</v>
      </c>
      <c r="N32" s="2">
        <v>2.1299999999999999E-2</v>
      </c>
      <c r="O32" s="2">
        <v>5.57E-2</v>
      </c>
      <c r="P32" s="2" t="s">
        <v>69</v>
      </c>
      <c r="Q32" s="3" t="s">
        <v>69</v>
      </c>
    </row>
    <row r="33" spans="1:17" x14ac:dyDescent="0.25">
      <c r="A33" s="1" t="s">
        <v>45</v>
      </c>
      <c r="B33" s="1">
        <v>2.06</v>
      </c>
      <c r="C33" s="1">
        <v>13.28</v>
      </c>
      <c r="D33" s="1">
        <v>4.1000000000000002E-2</v>
      </c>
      <c r="E33" s="1">
        <v>0.20499999999999999</v>
      </c>
      <c r="F33" s="1">
        <v>0.10299999999999999</v>
      </c>
      <c r="G33" s="1">
        <v>0.20499999999999999</v>
      </c>
      <c r="H33" s="1">
        <v>4.0999999999999999E-4</v>
      </c>
      <c r="I33" s="2">
        <v>0.22259999999999999</v>
      </c>
      <c r="J33" s="2">
        <v>2.8799999999999999E-2</v>
      </c>
      <c r="K33" s="2">
        <v>0.31540000000000001</v>
      </c>
      <c r="L33" s="2">
        <v>2.1299999999999999E-2</v>
      </c>
      <c r="M33" s="2">
        <v>5.57E-2</v>
      </c>
      <c r="N33" s="2" t="s">
        <v>69</v>
      </c>
      <c r="O33" s="2" t="s">
        <v>69</v>
      </c>
      <c r="P33" s="2" t="s">
        <v>69</v>
      </c>
      <c r="Q33" s="3" t="s">
        <v>69</v>
      </c>
    </row>
    <row r="34" spans="1:17" x14ac:dyDescent="0.25">
      <c r="A34" s="1" t="s">
        <v>46</v>
      </c>
      <c r="B34" s="1">
        <v>2.06</v>
      </c>
      <c r="C34" s="1">
        <v>13.28</v>
      </c>
      <c r="D34" s="1">
        <v>4.1000000000000002E-2</v>
      </c>
      <c r="E34" s="1">
        <v>0.20499999999999999</v>
      </c>
      <c r="F34" s="1">
        <v>0.10299999999999999</v>
      </c>
      <c r="G34" s="1">
        <v>0.20499999999999999</v>
      </c>
      <c r="H34" s="1">
        <v>4.0999999999999999E-4</v>
      </c>
      <c r="I34" s="2">
        <v>0.22259999999999999</v>
      </c>
      <c r="J34" s="2">
        <v>2.8799999999999999E-2</v>
      </c>
      <c r="K34" s="2">
        <v>0.31540000000000001</v>
      </c>
      <c r="L34" s="2" t="s">
        <v>69</v>
      </c>
      <c r="M34" s="2" t="s">
        <v>69</v>
      </c>
      <c r="N34" s="2">
        <v>2.1299999999999999E-2</v>
      </c>
      <c r="O34" s="2">
        <v>5.57E-2</v>
      </c>
      <c r="P34" s="2" t="s">
        <v>69</v>
      </c>
      <c r="Q34" s="3" t="s">
        <v>69</v>
      </c>
    </row>
    <row r="35" spans="1:17" x14ac:dyDescent="0.25">
      <c r="A35" s="1" t="s">
        <v>47</v>
      </c>
      <c r="B35" s="1">
        <v>1.03</v>
      </c>
      <c r="C35" s="1">
        <v>6.64</v>
      </c>
      <c r="D35" s="1">
        <v>2.1000000000000001E-2</v>
      </c>
      <c r="E35" s="1">
        <v>0.10299999999999999</v>
      </c>
      <c r="F35" s="1">
        <v>5.0999999999999997E-2</v>
      </c>
      <c r="G35" s="1">
        <v>0.10299999999999999</v>
      </c>
      <c r="H35" s="1">
        <v>2.05E-4</v>
      </c>
      <c r="I35" s="2">
        <v>0.1113</v>
      </c>
      <c r="J35" s="2">
        <v>1.44E-2</v>
      </c>
      <c r="K35" s="2">
        <v>0.15770000000000001</v>
      </c>
      <c r="L35" s="2">
        <v>1.0699999999999999E-2</v>
      </c>
      <c r="M35" s="2">
        <v>2.7799999999999998E-2</v>
      </c>
      <c r="N35" s="2" t="s">
        <v>69</v>
      </c>
      <c r="O35" s="2" t="s">
        <v>69</v>
      </c>
      <c r="P35" s="2" t="s">
        <v>69</v>
      </c>
      <c r="Q35" s="3" t="s">
        <v>69</v>
      </c>
    </row>
    <row r="36" spans="1:17" x14ac:dyDescent="0.25">
      <c r="A36" s="1" t="s">
        <v>48</v>
      </c>
      <c r="B36" s="1">
        <v>1.03</v>
      </c>
      <c r="C36" s="1">
        <v>6.64</v>
      </c>
      <c r="D36" s="1">
        <v>2.1000000000000001E-2</v>
      </c>
      <c r="E36" s="1">
        <v>0.10299999999999999</v>
      </c>
      <c r="F36" s="1">
        <v>5.0999999999999997E-2</v>
      </c>
      <c r="G36" s="1">
        <v>0.10299999999999999</v>
      </c>
      <c r="H36" s="1">
        <v>2.05E-4</v>
      </c>
      <c r="I36" s="2">
        <v>0.1113</v>
      </c>
      <c r="J36" s="2">
        <v>1.44E-2</v>
      </c>
      <c r="K36" s="2">
        <v>0.15770000000000001</v>
      </c>
      <c r="L36" s="2" t="s">
        <v>69</v>
      </c>
      <c r="M36" s="2" t="s">
        <v>69</v>
      </c>
      <c r="N36" s="2">
        <v>1.0699999999999999E-2</v>
      </c>
      <c r="O36" s="2">
        <v>2.7799999999999998E-2</v>
      </c>
      <c r="P36" s="2" t="s">
        <v>69</v>
      </c>
      <c r="Q36" s="3" t="s">
        <v>69</v>
      </c>
    </row>
    <row r="37" spans="1:17" x14ac:dyDescent="0.25">
      <c r="A37" s="1" t="s">
        <v>49</v>
      </c>
      <c r="B37" s="1">
        <v>1.03</v>
      </c>
      <c r="C37" s="1">
        <v>6.64</v>
      </c>
      <c r="D37" s="1">
        <v>2.1000000000000001E-2</v>
      </c>
      <c r="E37" s="1">
        <v>0.10299999999999999</v>
      </c>
      <c r="F37" s="1">
        <v>5.0999999999999997E-2</v>
      </c>
      <c r="G37" s="1">
        <v>0.10299999999999999</v>
      </c>
      <c r="H37" s="1">
        <v>2.05E-4</v>
      </c>
      <c r="I37" s="2" t="s">
        <v>69</v>
      </c>
      <c r="J37" s="2" t="s">
        <v>69</v>
      </c>
      <c r="K37" s="2" t="s">
        <v>69</v>
      </c>
      <c r="L37" s="2" t="s">
        <v>69</v>
      </c>
      <c r="M37" s="2" t="s">
        <v>69</v>
      </c>
      <c r="N37" s="2" t="s">
        <v>69</v>
      </c>
      <c r="O37" s="2" t="s">
        <v>69</v>
      </c>
      <c r="P37" s="2" t="s">
        <v>69</v>
      </c>
      <c r="Q37" s="3" t="s">
        <v>69</v>
      </c>
    </row>
    <row r="38" spans="1:17" x14ac:dyDescent="0.25">
      <c r="A38" s="1" t="s">
        <v>50</v>
      </c>
      <c r="B38" s="1">
        <v>1.03</v>
      </c>
      <c r="C38" s="1">
        <v>6.64</v>
      </c>
      <c r="D38" s="1">
        <v>2.1000000000000001E-2</v>
      </c>
      <c r="E38" s="1">
        <v>0.10299999999999999</v>
      </c>
      <c r="F38" s="1">
        <v>5.0999999999999997E-2</v>
      </c>
      <c r="G38" s="1">
        <v>0.10299999999999999</v>
      </c>
      <c r="H38" s="1">
        <v>2.05E-4</v>
      </c>
      <c r="I38" s="2">
        <v>0.1113</v>
      </c>
      <c r="J38" s="2">
        <v>1.44E-2</v>
      </c>
      <c r="K38" s="2">
        <v>0.15770000000000001</v>
      </c>
      <c r="L38" s="2">
        <v>1.0699999999999999E-2</v>
      </c>
      <c r="M38" s="2">
        <v>2.7799999999999998E-2</v>
      </c>
      <c r="N38" s="2" t="s">
        <v>69</v>
      </c>
      <c r="O38" s="2" t="s">
        <v>69</v>
      </c>
      <c r="P38" s="2" t="s">
        <v>69</v>
      </c>
      <c r="Q38" s="3" t="s">
        <v>69</v>
      </c>
    </row>
    <row r="39" spans="1:17" x14ac:dyDescent="0.25">
      <c r="A39" s="7" t="s">
        <v>51</v>
      </c>
      <c r="B39" s="7">
        <v>1.03</v>
      </c>
      <c r="C39" s="7">
        <v>6.64</v>
      </c>
      <c r="D39" s="7">
        <v>2.1000000000000001E-2</v>
      </c>
      <c r="E39" s="7">
        <v>0.10299999999999999</v>
      </c>
      <c r="F39" s="7">
        <v>5.0999999999999997E-2</v>
      </c>
      <c r="G39" s="7">
        <v>0.10299999999999999</v>
      </c>
      <c r="H39" s="7">
        <v>2.05E-4</v>
      </c>
      <c r="I39" s="8">
        <v>0.1113</v>
      </c>
      <c r="J39" s="8">
        <v>1.44E-2</v>
      </c>
      <c r="K39" s="8">
        <v>0.15770000000000001</v>
      </c>
      <c r="L39" s="8" t="s">
        <v>69</v>
      </c>
      <c r="M39" s="8" t="s">
        <v>69</v>
      </c>
      <c r="N39" s="8">
        <v>1.0699999999999999E-2</v>
      </c>
      <c r="O39" s="8">
        <v>2.7799999999999998E-2</v>
      </c>
      <c r="P39" s="8" t="s">
        <v>69</v>
      </c>
      <c r="Q39" s="9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5F68-E5E0-41E9-8B73-CE6411B4B620}">
  <dimension ref="A1:M3"/>
  <sheetViews>
    <sheetView workbookViewId="0">
      <selection activeCell="E12" sqref="E12"/>
    </sheetView>
  </sheetViews>
  <sheetFormatPr defaultRowHeight="15" x14ac:dyDescent="0.25"/>
  <cols>
    <col min="1" max="1" width="10.5703125" bestFit="1" customWidth="1"/>
    <col min="3" max="3" width="9.85546875" bestFit="1" customWidth="1"/>
    <col min="4" max="4" width="15.140625" bestFit="1" customWidth="1"/>
    <col min="5" max="5" width="21.42578125" bestFit="1" customWidth="1"/>
    <col min="6" max="8" width="21.140625" bestFit="1" customWidth="1"/>
    <col min="9" max="9" width="13.42578125" bestFit="1" customWidth="1"/>
    <col min="10" max="10" width="14.5703125" bestFit="1" customWidth="1"/>
    <col min="11" max="11" width="19.42578125" bestFit="1" customWidth="1"/>
    <col min="12" max="12" width="16.28515625" bestFit="1" customWidth="1"/>
    <col min="13" max="13" width="15.85546875" bestFit="1" customWidth="1"/>
  </cols>
  <sheetData>
    <row r="1" spans="1:13" x14ac:dyDescent="0.25">
      <c r="A1" s="13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77</v>
      </c>
      <c r="I1" s="14" t="s">
        <v>78</v>
      </c>
      <c r="J1" s="14" t="s">
        <v>79</v>
      </c>
      <c r="K1" s="14" t="s">
        <v>80</v>
      </c>
      <c r="L1" s="14" t="s">
        <v>81</v>
      </c>
      <c r="M1" s="15" t="s">
        <v>82</v>
      </c>
    </row>
    <row r="2" spans="1:13" x14ac:dyDescent="0.25">
      <c r="A2" s="17">
        <v>46187</v>
      </c>
      <c r="B2" s="16" t="s">
        <v>11</v>
      </c>
      <c r="C2" s="16" t="s">
        <v>83</v>
      </c>
      <c r="D2" s="16" t="s">
        <v>84</v>
      </c>
      <c r="E2" s="16">
        <v>1000</v>
      </c>
      <c r="F2" s="16">
        <v>1000</v>
      </c>
      <c r="G2" s="16">
        <v>1000</v>
      </c>
      <c r="H2" s="16">
        <v>1000</v>
      </c>
      <c r="I2" s="16">
        <v>1000</v>
      </c>
      <c r="J2" s="16">
        <v>1000</v>
      </c>
      <c r="K2" s="16">
        <v>1000</v>
      </c>
      <c r="L2" s="16">
        <v>1000</v>
      </c>
      <c r="M2" s="16">
        <v>1000</v>
      </c>
    </row>
    <row r="3" spans="1:13" x14ac:dyDescent="0.25">
      <c r="A3" s="17">
        <v>46188</v>
      </c>
      <c r="B3" s="16" t="s">
        <v>11</v>
      </c>
      <c r="C3" s="16" t="s">
        <v>85</v>
      </c>
      <c r="D3" s="16" t="s">
        <v>84</v>
      </c>
      <c r="E3" s="16">
        <v>10000</v>
      </c>
      <c r="F3" s="16">
        <v>10000</v>
      </c>
      <c r="G3" s="16">
        <v>10000</v>
      </c>
      <c r="H3" s="16">
        <v>10000</v>
      </c>
      <c r="I3" s="16">
        <v>10000</v>
      </c>
      <c r="J3" s="16">
        <v>10000</v>
      </c>
      <c r="K3" s="16">
        <v>10000</v>
      </c>
      <c r="L3" s="16">
        <v>10000</v>
      </c>
      <c r="M3" s="16">
        <v>10000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3417-BA3D-49A1-8D08-674D5DC90CA3}">
  <dimension ref="A1:L5"/>
  <sheetViews>
    <sheetView workbookViewId="0">
      <selection activeCell="D12" sqref="D12"/>
    </sheetView>
  </sheetViews>
  <sheetFormatPr defaultRowHeight="15" x14ac:dyDescent="0.25"/>
  <cols>
    <col min="1" max="1" width="10.5703125" bestFit="1" customWidth="1"/>
    <col min="3" max="3" width="9.85546875" bestFit="1" customWidth="1"/>
    <col min="4" max="4" width="21.42578125" bestFit="1" customWidth="1"/>
    <col min="5" max="7" width="21.140625" bestFit="1" customWidth="1"/>
    <col min="8" max="8" width="13.42578125" bestFit="1" customWidth="1"/>
    <col min="9" max="9" width="14.5703125" bestFit="1" customWidth="1"/>
    <col min="10" max="10" width="19.42578125" bestFit="1" customWidth="1"/>
    <col min="11" max="11" width="16.28515625" bestFit="1" customWidth="1"/>
    <col min="12" max="12" width="15.85546875" bestFit="1" customWidth="1"/>
  </cols>
  <sheetData>
    <row r="1" spans="1:12" x14ac:dyDescent="0.25">
      <c r="A1" s="13" t="s">
        <v>70</v>
      </c>
      <c r="B1" s="14" t="s">
        <v>71</v>
      </c>
      <c r="C1" s="14" t="s">
        <v>72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5" t="s">
        <v>82</v>
      </c>
    </row>
    <row r="2" spans="1:12" x14ac:dyDescent="0.25">
      <c r="A2" s="17">
        <v>46187</v>
      </c>
      <c r="B2" s="16" t="s">
        <v>11</v>
      </c>
      <c r="C2" s="16" t="s">
        <v>83</v>
      </c>
      <c r="D2" s="16">
        <v>1000</v>
      </c>
      <c r="E2" s="16">
        <v>1000</v>
      </c>
      <c r="F2" s="16">
        <v>1000</v>
      </c>
      <c r="G2" s="16">
        <v>1000</v>
      </c>
      <c r="H2" s="16">
        <v>1000</v>
      </c>
      <c r="I2" s="16">
        <v>1000</v>
      </c>
      <c r="J2" s="16">
        <v>1000</v>
      </c>
      <c r="K2" s="16">
        <v>1000</v>
      </c>
      <c r="L2" s="16">
        <v>1000</v>
      </c>
    </row>
    <row r="3" spans="1:12" x14ac:dyDescent="0.25">
      <c r="A3" s="17">
        <v>46177</v>
      </c>
      <c r="B3" s="16" t="s">
        <v>12</v>
      </c>
      <c r="C3" s="16" t="s">
        <v>86</v>
      </c>
      <c r="D3" s="16">
        <v>4766</v>
      </c>
      <c r="E3" s="16">
        <v>0</v>
      </c>
      <c r="F3" s="16">
        <v>0</v>
      </c>
      <c r="G3" s="16">
        <v>0</v>
      </c>
      <c r="H3" s="16">
        <v>30048</v>
      </c>
      <c r="I3" s="16">
        <v>705</v>
      </c>
      <c r="J3" s="16">
        <v>470</v>
      </c>
      <c r="K3" s="16">
        <v>235</v>
      </c>
      <c r="L3" s="16">
        <v>94</v>
      </c>
    </row>
    <row r="4" spans="1:12" x14ac:dyDescent="0.25">
      <c r="A4" s="17">
        <v>46188</v>
      </c>
      <c r="B4" s="16" t="s">
        <v>11</v>
      </c>
      <c r="C4" s="16" t="s">
        <v>85</v>
      </c>
      <c r="D4" s="16">
        <v>10000</v>
      </c>
      <c r="E4" s="16">
        <v>10000</v>
      </c>
      <c r="F4" s="16">
        <v>10000</v>
      </c>
      <c r="G4" s="16">
        <v>10000</v>
      </c>
      <c r="H4" s="16">
        <v>10000</v>
      </c>
      <c r="I4" s="16">
        <v>10000</v>
      </c>
      <c r="J4" s="16">
        <v>10000</v>
      </c>
      <c r="K4" s="16">
        <v>10000</v>
      </c>
      <c r="L4" s="16">
        <v>10000</v>
      </c>
    </row>
    <row r="5" spans="1:12" x14ac:dyDescent="0.25">
      <c r="A5" s="17">
        <v>46188</v>
      </c>
      <c r="B5" s="16" t="s">
        <v>12</v>
      </c>
      <c r="C5" s="16" t="s">
        <v>85</v>
      </c>
      <c r="D5" s="16">
        <v>6241</v>
      </c>
      <c r="E5" s="16">
        <v>0</v>
      </c>
      <c r="F5" s="16">
        <v>0</v>
      </c>
      <c r="G5" s="16">
        <v>0</v>
      </c>
      <c r="H5" s="16">
        <v>39659</v>
      </c>
      <c r="I5" s="16">
        <v>620</v>
      </c>
      <c r="J5" s="16">
        <v>0</v>
      </c>
      <c r="K5" s="16">
        <v>310</v>
      </c>
      <c r="L5" s="16">
        <v>124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6EAA-B26F-4343-B53A-A9984829FECB}">
  <dimension ref="A1:G5"/>
  <sheetViews>
    <sheetView workbookViewId="0">
      <selection activeCell="F11" sqref="F11"/>
    </sheetView>
  </sheetViews>
  <sheetFormatPr defaultRowHeight="15" x14ac:dyDescent="0.25"/>
  <cols>
    <col min="1" max="1" width="10.5703125" bestFit="1" customWidth="1"/>
    <col min="2" max="2" width="7.5703125" bestFit="1" customWidth="1"/>
    <col min="3" max="3" width="9.85546875" bestFit="1" customWidth="1"/>
    <col min="4" max="4" width="7.140625" bestFit="1" customWidth="1"/>
    <col min="5" max="5" width="17" bestFit="1" customWidth="1"/>
    <col min="6" max="6" width="16.85546875" bestFit="1" customWidth="1"/>
    <col min="7" max="7" width="21.140625" bestFit="1" customWidth="1"/>
    <col min="8" max="8" width="22.85546875" bestFit="1" customWidth="1"/>
  </cols>
  <sheetData>
    <row r="1" spans="1:7" x14ac:dyDescent="0.25">
      <c r="A1" s="13" t="s">
        <v>70</v>
      </c>
      <c r="B1" s="14" t="s">
        <v>71</v>
      </c>
      <c r="C1" s="14" t="s">
        <v>72</v>
      </c>
      <c r="D1" s="14" t="s">
        <v>87</v>
      </c>
      <c r="E1" s="14" t="s">
        <v>13</v>
      </c>
      <c r="F1" s="14" t="s">
        <v>88</v>
      </c>
      <c r="G1" s="15" t="s">
        <v>89</v>
      </c>
    </row>
    <row r="2" spans="1:7" x14ac:dyDescent="0.25">
      <c r="A2" s="17">
        <v>46187</v>
      </c>
      <c r="B2" s="16" t="s">
        <v>11</v>
      </c>
      <c r="C2" s="16" t="s">
        <v>83</v>
      </c>
      <c r="D2" s="16" t="s">
        <v>90</v>
      </c>
      <c r="E2" s="16" t="s">
        <v>14</v>
      </c>
      <c r="F2" s="16">
        <v>1000</v>
      </c>
      <c r="G2" s="16">
        <v>10</v>
      </c>
    </row>
    <row r="3" spans="1:7" x14ac:dyDescent="0.25">
      <c r="A3" s="17">
        <v>46177</v>
      </c>
      <c r="B3" s="16" t="s">
        <v>12</v>
      </c>
      <c r="C3" s="16" t="s">
        <v>86</v>
      </c>
      <c r="D3" s="16" t="s">
        <v>91</v>
      </c>
      <c r="E3" s="16" t="s">
        <v>14</v>
      </c>
      <c r="F3" s="16">
        <v>2280</v>
      </c>
      <c r="G3" s="16">
        <v>123</v>
      </c>
    </row>
    <row r="4" spans="1:7" x14ac:dyDescent="0.25">
      <c r="A4" s="17">
        <v>46188</v>
      </c>
      <c r="B4" s="16" t="s">
        <v>11</v>
      </c>
      <c r="C4" s="16" t="s">
        <v>85</v>
      </c>
      <c r="D4" s="16" t="s">
        <v>91</v>
      </c>
      <c r="E4" s="16" t="s">
        <v>22</v>
      </c>
      <c r="F4" s="16">
        <v>1000</v>
      </c>
      <c r="G4" s="16">
        <v>10</v>
      </c>
    </row>
    <row r="5" spans="1:7" x14ac:dyDescent="0.25">
      <c r="A5" s="17">
        <v>46188</v>
      </c>
      <c r="B5" s="16" t="s">
        <v>12</v>
      </c>
      <c r="C5" s="16" t="s">
        <v>85</v>
      </c>
      <c r="D5" s="16" t="s">
        <v>91</v>
      </c>
      <c r="E5" s="16" t="s">
        <v>33</v>
      </c>
      <c r="F5" s="16">
        <v>2600</v>
      </c>
      <c r="G5" s="16">
        <v>272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7FDE-D6C2-4044-BB0C-2B8A3451E525}">
  <dimension ref="A1:G4"/>
  <sheetViews>
    <sheetView workbookViewId="0">
      <selection activeCell="E15" sqref="E15"/>
    </sheetView>
  </sheetViews>
  <sheetFormatPr defaultRowHeight="15" x14ac:dyDescent="0.25"/>
  <cols>
    <col min="1" max="1" width="10.5703125" bestFit="1" customWidth="1"/>
    <col min="3" max="3" width="9.85546875" bestFit="1" customWidth="1"/>
    <col min="5" max="5" width="17" bestFit="1" customWidth="1"/>
    <col min="6" max="6" width="16.85546875" bestFit="1" customWidth="1"/>
    <col min="7" max="7" width="26.7109375" bestFit="1" customWidth="1"/>
  </cols>
  <sheetData>
    <row r="1" spans="1:7" x14ac:dyDescent="0.25">
      <c r="A1" s="13" t="s">
        <v>70</v>
      </c>
      <c r="B1" s="14" t="s">
        <v>71</v>
      </c>
      <c r="C1" s="14" t="s">
        <v>72</v>
      </c>
      <c r="D1" s="14" t="s">
        <v>87</v>
      </c>
      <c r="E1" s="14" t="s">
        <v>92</v>
      </c>
      <c r="F1" s="14" t="s">
        <v>13</v>
      </c>
      <c r="G1" s="15" t="s">
        <v>93</v>
      </c>
    </row>
    <row r="2" spans="1:7" x14ac:dyDescent="0.25">
      <c r="A2" s="17">
        <v>46187</v>
      </c>
      <c r="B2" s="16" t="s">
        <v>11</v>
      </c>
      <c r="C2" s="16" t="s">
        <v>83</v>
      </c>
      <c r="D2" s="16" t="s">
        <v>90</v>
      </c>
      <c r="E2" s="16">
        <v>1</v>
      </c>
      <c r="F2" s="16" t="s">
        <v>14</v>
      </c>
      <c r="G2" s="16">
        <v>1000</v>
      </c>
    </row>
    <row r="3" spans="1:7" x14ac:dyDescent="0.25">
      <c r="A3" s="17">
        <v>46188</v>
      </c>
      <c r="B3" s="16" t="s">
        <v>11</v>
      </c>
      <c r="C3" s="16" t="s">
        <v>85</v>
      </c>
      <c r="D3" s="16" t="s">
        <v>91</v>
      </c>
      <c r="E3" s="16">
        <v>150</v>
      </c>
      <c r="F3" s="16" t="s">
        <v>22</v>
      </c>
      <c r="G3" s="16">
        <v>1000</v>
      </c>
    </row>
    <row r="4" spans="1:7" x14ac:dyDescent="0.25">
      <c r="A4" s="17">
        <v>46188</v>
      </c>
      <c r="B4" s="16" t="s">
        <v>12</v>
      </c>
      <c r="C4" s="16" t="s">
        <v>85</v>
      </c>
      <c r="D4" s="16" t="s">
        <v>91</v>
      </c>
      <c r="E4" s="16">
        <v>164</v>
      </c>
      <c r="F4" s="16" t="s">
        <v>33</v>
      </c>
      <c r="G4" s="16">
        <v>2250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4197-DFDA-4DB6-A19B-68C6FDE8B7A2}">
  <dimension ref="A1:V5"/>
  <sheetViews>
    <sheetView workbookViewId="0">
      <selection activeCell="S3" sqref="S3"/>
    </sheetView>
  </sheetViews>
  <sheetFormatPr defaultRowHeight="15" x14ac:dyDescent="0.25"/>
  <cols>
    <col min="1" max="1" width="10.5703125" bestFit="1" customWidth="1"/>
    <col min="2" max="2" width="7.42578125" bestFit="1" customWidth="1"/>
    <col min="3" max="3" width="11" bestFit="1" customWidth="1"/>
    <col min="4" max="4" width="8.140625" bestFit="1" customWidth="1"/>
    <col min="5" max="6" width="16.5703125" bestFit="1" customWidth="1"/>
    <col min="7" max="7" width="21.42578125" bestFit="1" customWidth="1"/>
    <col min="8" max="8" width="11.42578125" bestFit="1" customWidth="1"/>
    <col min="9" max="9" width="10.28515625" bestFit="1" customWidth="1"/>
    <col min="10" max="10" width="17.5703125" bestFit="1" customWidth="1"/>
    <col min="11" max="11" width="20.28515625" bestFit="1" customWidth="1"/>
    <col min="12" max="12" width="20" bestFit="1" customWidth="1"/>
    <col min="13" max="13" width="24.5703125" bestFit="1" customWidth="1"/>
    <col min="14" max="14" width="21.140625" bestFit="1" customWidth="1"/>
    <col min="15" max="15" width="20" bestFit="1" customWidth="1"/>
    <col min="16" max="16" width="16.7109375" bestFit="1" customWidth="1"/>
    <col min="17" max="17" width="17.85546875" bestFit="1" customWidth="1"/>
    <col min="18" max="18" width="22.28515625" bestFit="1" customWidth="1"/>
    <col min="19" max="19" width="25.85546875" bestFit="1" customWidth="1"/>
    <col min="20" max="20" width="17.85546875" bestFit="1" customWidth="1"/>
    <col min="21" max="21" width="22.42578125" bestFit="1" customWidth="1"/>
    <col min="22" max="22" width="11.85546875" bestFit="1" customWidth="1"/>
  </cols>
  <sheetData>
    <row r="1" spans="1:22" x14ac:dyDescent="0.25">
      <c r="A1" s="13" t="s">
        <v>70</v>
      </c>
      <c r="B1" s="14" t="s">
        <v>71</v>
      </c>
      <c r="C1" s="14" t="s">
        <v>72</v>
      </c>
      <c r="D1" s="14" t="s">
        <v>87</v>
      </c>
      <c r="E1" s="14" t="s">
        <v>92</v>
      </c>
      <c r="F1" s="14" t="s">
        <v>13</v>
      </c>
      <c r="G1" s="15" t="s">
        <v>94</v>
      </c>
      <c r="H1" s="19" t="s">
        <v>95</v>
      </c>
      <c r="I1" s="19" t="s">
        <v>96</v>
      </c>
      <c r="J1" s="19" t="s">
        <v>97</v>
      </c>
      <c r="K1" s="19" t="s">
        <v>98</v>
      </c>
      <c r="L1" s="19" t="s">
        <v>99</v>
      </c>
      <c r="M1" s="19" t="s">
        <v>100</v>
      </c>
      <c r="N1" s="19" t="s">
        <v>101</v>
      </c>
      <c r="O1" s="19" t="s">
        <v>102</v>
      </c>
      <c r="P1" s="19" t="s">
        <v>103</v>
      </c>
      <c r="Q1" s="19" t="s">
        <v>104</v>
      </c>
      <c r="R1" s="19" t="s">
        <v>105</v>
      </c>
      <c r="S1" s="19" t="s">
        <v>106</v>
      </c>
      <c r="T1" s="19" t="s">
        <v>107</v>
      </c>
      <c r="U1" s="19" t="s">
        <v>108</v>
      </c>
      <c r="V1" s="19" t="s">
        <v>109</v>
      </c>
    </row>
    <row r="2" spans="1:22" x14ac:dyDescent="0.25">
      <c r="A2" s="17">
        <v>46187</v>
      </c>
      <c r="B2" s="16" t="s">
        <v>11</v>
      </c>
      <c r="C2" s="16" t="s">
        <v>83</v>
      </c>
      <c r="D2" s="16" t="s">
        <v>90</v>
      </c>
      <c r="E2" s="16">
        <v>1</v>
      </c>
      <c r="F2" s="16" t="s">
        <v>14</v>
      </c>
      <c r="G2" s="16">
        <v>1000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25">
      <c r="A3" s="17">
        <v>46189</v>
      </c>
      <c r="B3" s="16" t="s">
        <v>11</v>
      </c>
      <c r="C3" s="16" t="s">
        <v>83</v>
      </c>
      <c r="D3" s="16" t="s">
        <v>90</v>
      </c>
      <c r="E3" s="16">
        <v>10</v>
      </c>
      <c r="F3" s="16" t="s">
        <v>14</v>
      </c>
      <c r="G3" s="16">
        <v>1000</v>
      </c>
      <c r="H3" s="16">
        <v>990</v>
      </c>
      <c r="I3" s="16">
        <v>5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/>
      <c r="P3" s="16"/>
      <c r="Q3" s="16"/>
      <c r="R3" s="16"/>
      <c r="S3" s="16"/>
      <c r="T3" s="16"/>
      <c r="U3" s="16"/>
      <c r="V3" s="16"/>
    </row>
    <row r="4" spans="1:22" x14ac:dyDescent="0.25">
      <c r="A4" s="17">
        <v>46188</v>
      </c>
      <c r="B4" s="16" t="s">
        <v>11</v>
      </c>
      <c r="C4" s="16" t="s">
        <v>85</v>
      </c>
      <c r="D4" s="16" t="s">
        <v>91</v>
      </c>
      <c r="E4" s="16">
        <v>150</v>
      </c>
      <c r="F4" s="16" t="s">
        <v>22</v>
      </c>
      <c r="G4" s="16">
        <v>1000</v>
      </c>
      <c r="H4" s="16">
        <v>979</v>
      </c>
      <c r="I4" s="16">
        <v>10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  <c r="R4" s="16">
        <v>1</v>
      </c>
      <c r="S4" s="16">
        <v>1</v>
      </c>
      <c r="T4" s="16">
        <v>1</v>
      </c>
      <c r="U4" s="16"/>
      <c r="V4" s="16"/>
    </row>
    <row r="5" spans="1:22" x14ac:dyDescent="0.25">
      <c r="A5" s="17">
        <v>46188</v>
      </c>
      <c r="B5" s="16" t="s">
        <v>12</v>
      </c>
      <c r="C5" s="16" t="s">
        <v>85</v>
      </c>
      <c r="D5" s="16" t="s">
        <v>91</v>
      </c>
      <c r="E5" s="16">
        <v>164</v>
      </c>
      <c r="F5" s="16" t="s">
        <v>33</v>
      </c>
      <c r="G5" s="16">
        <v>2250</v>
      </c>
      <c r="H5" s="16">
        <v>2250</v>
      </c>
      <c r="I5" s="16">
        <v>9</v>
      </c>
      <c r="J5" s="16"/>
      <c r="K5" s="16"/>
      <c r="L5" s="16">
        <v>6</v>
      </c>
      <c r="M5" s="16"/>
      <c r="N5" s="16"/>
      <c r="O5" s="16"/>
      <c r="P5" s="16"/>
      <c r="Q5" s="16"/>
      <c r="R5" s="16"/>
      <c r="S5" s="16"/>
      <c r="T5" s="16">
        <v>3</v>
      </c>
      <c r="U5" s="16"/>
      <c r="V5" s="1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2DFB-08A3-497C-BB5A-D8EBDE48CD44}">
  <dimension ref="A1:I3"/>
  <sheetViews>
    <sheetView workbookViewId="0">
      <selection activeCell="H12" sqref="H12"/>
    </sheetView>
  </sheetViews>
  <sheetFormatPr defaultRowHeight="15" x14ac:dyDescent="0.25"/>
  <cols>
    <col min="1" max="1" width="10.5703125" bestFit="1" customWidth="1"/>
    <col min="3" max="3" width="9.85546875" bestFit="1" customWidth="1"/>
    <col min="5" max="5" width="17" bestFit="1" customWidth="1"/>
    <col min="6" max="6" width="16.85546875" bestFit="1" customWidth="1"/>
    <col min="7" max="7" width="25.140625" bestFit="1" customWidth="1"/>
    <col min="8" max="8" width="23" bestFit="1" customWidth="1"/>
    <col min="9" max="9" width="18.28515625" bestFit="1" customWidth="1"/>
  </cols>
  <sheetData>
    <row r="1" spans="1:9" x14ac:dyDescent="0.25">
      <c r="A1" s="13" t="s">
        <v>70</v>
      </c>
      <c r="B1" s="14" t="s">
        <v>71</v>
      </c>
      <c r="C1" s="14" t="s">
        <v>72</v>
      </c>
      <c r="D1" s="14" t="s">
        <v>87</v>
      </c>
      <c r="E1" s="14" t="s">
        <v>92</v>
      </c>
      <c r="F1" s="14" t="s">
        <v>13</v>
      </c>
      <c r="G1" s="14" t="s">
        <v>110</v>
      </c>
      <c r="H1" s="14" t="s">
        <v>111</v>
      </c>
      <c r="I1" s="15" t="s">
        <v>112</v>
      </c>
    </row>
    <row r="2" spans="1:9" x14ac:dyDescent="0.25">
      <c r="A2" s="17">
        <v>46187</v>
      </c>
      <c r="B2" s="16" t="s">
        <v>11</v>
      </c>
      <c r="C2" s="16" t="s">
        <v>83</v>
      </c>
      <c r="D2" s="16" t="s">
        <v>90</v>
      </c>
      <c r="E2" s="16">
        <v>1</v>
      </c>
      <c r="F2" s="16" t="s">
        <v>113</v>
      </c>
      <c r="G2" s="16">
        <v>950</v>
      </c>
      <c r="H2" s="16">
        <v>45</v>
      </c>
      <c r="I2" s="16">
        <v>5</v>
      </c>
    </row>
    <row r="3" spans="1:9" x14ac:dyDescent="0.25">
      <c r="A3" s="17">
        <v>46188</v>
      </c>
      <c r="B3" s="16" t="s">
        <v>11</v>
      </c>
      <c r="C3" s="16" t="s">
        <v>85</v>
      </c>
      <c r="D3" s="16" t="s">
        <v>91</v>
      </c>
      <c r="E3" s="16">
        <v>150</v>
      </c>
      <c r="F3" s="16" t="s">
        <v>114</v>
      </c>
      <c r="G3" s="16">
        <v>900</v>
      </c>
      <c r="H3" s="16">
        <v>50</v>
      </c>
      <c r="I3" s="16">
        <v>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B060-1D4D-4837-B7F8-00FE0B8F24DE}">
  <dimension ref="A1:M3"/>
  <sheetViews>
    <sheetView workbookViewId="0">
      <selection activeCell="D2" sqref="D2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81.140625" bestFit="1" customWidth="1"/>
    <col min="5" max="5" width="21" bestFit="1" customWidth="1"/>
    <col min="6" max="8" width="20.5703125" bestFit="1" customWidth="1"/>
    <col min="9" max="9" width="13.28515625" bestFit="1" customWidth="1"/>
    <col min="10" max="10" width="14.5703125" bestFit="1" customWidth="1"/>
    <col min="11" max="11" width="19.140625" bestFit="1" customWidth="1"/>
    <col min="12" max="12" width="16" bestFit="1" customWidth="1"/>
    <col min="13" max="13" width="15.7109375" bestFit="1" customWidth="1"/>
  </cols>
  <sheetData>
    <row r="1" spans="1:13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3" x14ac:dyDescent="0.25">
      <c r="A2" t="s">
        <v>115</v>
      </c>
      <c r="B2" t="s">
        <v>11</v>
      </c>
      <c r="C2" t="s">
        <v>83</v>
      </c>
      <c r="D2" t="s">
        <v>84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</row>
    <row r="3" spans="1:13" x14ac:dyDescent="0.25">
      <c r="A3" t="s">
        <v>116</v>
      </c>
      <c r="B3" t="s">
        <v>11</v>
      </c>
      <c r="C3" t="s">
        <v>85</v>
      </c>
      <c r="D3" t="s">
        <v>84</v>
      </c>
      <c r="E3">
        <v>10000</v>
      </c>
      <c r="F3">
        <v>10000</v>
      </c>
      <c r="G3">
        <v>10000</v>
      </c>
      <c r="H3">
        <v>10000</v>
      </c>
      <c r="I3">
        <v>10000</v>
      </c>
      <c r="J3">
        <v>10000</v>
      </c>
      <c r="K3">
        <v>10000</v>
      </c>
      <c r="L3">
        <v>10000</v>
      </c>
      <c r="M3">
        <v>10000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0EB9-5EDD-47EC-BBFD-42107E84FF26}">
  <dimension ref="A1:L5"/>
  <sheetViews>
    <sheetView workbookViewId="0">
      <selection activeCell="D3" sqref="D3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21" bestFit="1" customWidth="1"/>
    <col min="5" max="7" width="20.5703125" bestFit="1" customWidth="1"/>
    <col min="8" max="8" width="13.28515625" bestFit="1" customWidth="1"/>
    <col min="9" max="9" width="14.5703125" bestFit="1" customWidth="1"/>
    <col min="10" max="10" width="19.140625" bestFit="1" customWidth="1"/>
    <col min="11" max="11" width="16" bestFit="1" customWidth="1"/>
    <col min="12" max="12" width="15.7109375" bestFit="1" customWidth="1"/>
  </cols>
  <sheetData>
    <row r="1" spans="1:12" x14ac:dyDescent="0.25">
      <c r="A1" t="s">
        <v>70</v>
      </c>
      <c r="B1" t="s">
        <v>71</v>
      </c>
      <c r="C1" t="s">
        <v>72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 x14ac:dyDescent="0.25">
      <c r="A2" t="s">
        <v>115</v>
      </c>
      <c r="B2" t="s">
        <v>11</v>
      </c>
      <c r="C2" t="s">
        <v>83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</row>
    <row r="3" spans="1:12" x14ac:dyDescent="0.25">
      <c r="A3" t="s">
        <v>117</v>
      </c>
      <c r="B3" t="s">
        <v>12</v>
      </c>
      <c r="C3" t="s">
        <v>86</v>
      </c>
      <c r="D3">
        <v>4766</v>
      </c>
      <c r="E3">
        <v>0</v>
      </c>
      <c r="F3">
        <v>0</v>
      </c>
      <c r="G3">
        <v>0</v>
      </c>
      <c r="H3">
        <v>30048</v>
      </c>
      <c r="I3">
        <v>705</v>
      </c>
      <c r="J3">
        <v>470</v>
      </c>
      <c r="K3">
        <v>235</v>
      </c>
      <c r="L3">
        <v>94</v>
      </c>
    </row>
    <row r="4" spans="1:12" x14ac:dyDescent="0.25">
      <c r="A4" t="s">
        <v>116</v>
      </c>
      <c r="B4" t="s">
        <v>11</v>
      </c>
      <c r="C4" t="s">
        <v>85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L4">
        <v>10000</v>
      </c>
    </row>
    <row r="5" spans="1:12" x14ac:dyDescent="0.25">
      <c r="A5" t="s">
        <v>116</v>
      </c>
      <c r="B5" t="s">
        <v>12</v>
      </c>
      <c r="C5" t="s">
        <v>85</v>
      </c>
      <c r="D5">
        <v>6241</v>
      </c>
      <c r="E5">
        <v>0</v>
      </c>
      <c r="F5">
        <v>0</v>
      </c>
      <c r="G5">
        <v>0</v>
      </c>
      <c r="H5">
        <v>39659</v>
      </c>
      <c r="I5">
        <v>620</v>
      </c>
      <c r="J5">
        <v>0</v>
      </c>
      <c r="K5">
        <v>310</v>
      </c>
      <c r="L5">
        <v>124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C050-D4C5-47C4-B6A0-474D99A74C43}">
  <dimension ref="A1:G5"/>
  <sheetViews>
    <sheetView workbookViewId="0">
      <selection activeCell="E9" sqref="E9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8.140625" bestFit="1" customWidth="1"/>
    <col min="5" max="5" width="24.28515625" bestFit="1" customWidth="1"/>
    <col min="6" max="6" width="20.7109375" bestFit="1" customWidth="1"/>
    <col min="7" max="8" width="22.42578125" bestFit="1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87</v>
      </c>
      <c r="E1" t="s">
        <v>13</v>
      </c>
      <c r="F1" t="s">
        <v>88</v>
      </c>
      <c r="G1" t="s">
        <v>89</v>
      </c>
    </row>
    <row r="2" spans="1:7" x14ac:dyDescent="0.25">
      <c r="A2" t="s">
        <v>115</v>
      </c>
      <c r="B2" t="s">
        <v>11</v>
      </c>
      <c r="C2" t="s">
        <v>83</v>
      </c>
      <c r="D2" t="s">
        <v>90</v>
      </c>
      <c r="E2" t="s">
        <v>14</v>
      </c>
      <c r="F2">
        <v>1000</v>
      </c>
      <c r="G2">
        <v>10</v>
      </c>
    </row>
    <row r="3" spans="1:7" x14ac:dyDescent="0.25">
      <c r="A3" t="s">
        <v>117</v>
      </c>
      <c r="B3" t="s">
        <v>12</v>
      </c>
      <c r="C3" t="s">
        <v>86</v>
      </c>
      <c r="D3" t="s">
        <v>91</v>
      </c>
      <c r="E3" t="s">
        <v>14</v>
      </c>
      <c r="F3">
        <v>2280</v>
      </c>
      <c r="G3">
        <v>123</v>
      </c>
    </row>
    <row r="4" spans="1:7" x14ac:dyDescent="0.25">
      <c r="A4" t="s">
        <v>116</v>
      </c>
      <c r="B4" t="s">
        <v>11</v>
      </c>
      <c r="C4" t="s">
        <v>85</v>
      </c>
      <c r="D4" t="s">
        <v>91</v>
      </c>
      <c r="E4" t="s">
        <v>22</v>
      </c>
      <c r="F4">
        <v>1000</v>
      </c>
      <c r="G4">
        <v>10</v>
      </c>
    </row>
    <row r="5" spans="1:7" x14ac:dyDescent="0.25">
      <c r="A5" t="s">
        <v>116</v>
      </c>
      <c r="B5" t="s">
        <v>12</v>
      </c>
      <c r="C5" t="s">
        <v>85</v>
      </c>
      <c r="D5" t="s">
        <v>91</v>
      </c>
      <c r="E5" t="s">
        <v>33</v>
      </c>
      <c r="F5">
        <v>2600</v>
      </c>
      <c r="G5">
        <v>272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B387-0EAE-4367-8428-4F9D77AC8BEE}">
  <dimension ref="A1:G4"/>
  <sheetViews>
    <sheetView workbookViewId="0">
      <selection activeCell="E2" sqref="E2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8.140625" bestFit="1" customWidth="1"/>
    <col min="5" max="5" width="16.5703125" bestFit="1" customWidth="1"/>
    <col min="6" max="6" width="24.28515625" bestFit="1" customWidth="1"/>
    <col min="7" max="7" width="26.28515625" bestFit="1" customWidth="1"/>
  </cols>
  <sheetData>
    <row r="1" spans="1:7" x14ac:dyDescent="0.25">
      <c r="A1" t="s">
        <v>70</v>
      </c>
      <c r="B1" t="s">
        <v>71</v>
      </c>
      <c r="C1" t="s">
        <v>72</v>
      </c>
      <c r="D1" t="s">
        <v>87</v>
      </c>
      <c r="E1" t="s">
        <v>92</v>
      </c>
      <c r="F1" t="s">
        <v>13</v>
      </c>
      <c r="G1" t="s">
        <v>93</v>
      </c>
    </row>
    <row r="2" spans="1:7" x14ac:dyDescent="0.25">
      <c r="A2" t="s">
        <v>115</v>
      </c>
      <c r="B2" t="s">
        <v>11</v>
      </c>
      <c r="C2" t="s">
        <v>83</v>
      </c>
      <c r="D2" t="s">
        <v>90</v>
      </c>
      <c r="E2" t="s">
        <v>118</v>
      </c>
      <c r="F2" t="s">
        <v>14</v>
      </c>
      <c r="G2">
        <v>1000</v>
      </c>
    </row>
    <row r="3" spans="1:7" x14ac:dyDescent="0.25">
      <c r="A3" t="s">
        <v>116</v>
      </c>
      <c r="B3" t="s">
        <v>11</v>
      </c>
      <c r="C3" t="s">
        <v>85</v>
      </c>
      <c r="D3" t="s">
        <v>91</v>
      </c>
      <c r="E3" t="s">
        <v>119</v>
      </c>
      <c r="F3" t="s">
        <v>22</v>
      </c>
      <c r="G3">
        <v>1000</v>
      </c>
    </row>
    <row r="4" spans="1:7" x14ac:dyDescent="0.25">
      <c r="A4" t="s">
        <v>116</v>
      </c>
      <c r="B4" t="s">
        <v>12</v>
      </c>
      <c r="C4" t="s">
        <v>85</v>
      </c>
      <c r="D4" t="s">
        <v>91</v>
      </c>
      <c r="E4" t="s">
        <v>194</v>
      </c>
      <c r="F4" t="s">
        <v>33</v>
      </c>
      <c r="G4">
        <v>2250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1F74-56FC-4BB8-93DA-BC25F304218F}">
  <dimension ref="A1:V5"/>
  <sheetViews>
    <sheetView workbookViewId="0">
      <selection activeCell="U20" sqref="U20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8.140625" bestFit="1" customWidth="1"/>
    <col min="5" max="5" width="16.5703125" bestFit="1" customWidth="1"/>
    <col min="6" max="6" width="24.28515625" bestFit="1" customWidth="1"/>
    <col min="7" max="7" width="21.42578125" bestFit="1" customWidth="1"/>
    <col min="8" max="8" width="11.42578125" bestFit="1" customWidth="1"/>
    <col min="9" max="9" width="10.42578125" bestFit="1" customWidth="1"/>
    <col min="10" max="10" width="17.5703125" bestFit="1" customWidth="1"/>
    <col min="11" max="11" width="20.28515625" bestFit="1" customWidth="1"/>
    <col min="12" max="12" width="20" bestFit="1" customWidth="1"/>
    <col min="13" max="13" width="24.5703125" bestFit="1" customWidth="1"/>
    <col min="14" max="14" width="21.140625" bestFit="1" customWidth="1"/>
    <col min="15" max="15" width="20" bestFit="1" customWidth="1"/>
    <col min="16" max="16" width="16.7109375" bestFit="1" customWidth="1"/>
    <col min="17" max="17" width="17.85546875" bestFit="1" customWidth="1"/>
    <col min="18" max="18" width="22.28515625" bestFit="1" customWidth="1"/>
    <col min="19" max="19" width="25.85546875" bestFit="1" customWidth="1"/>
    <col min="20" max="20" width="17.85546875" bestFit="1" customWidth="1"/>
    <col min="21" max="21" width="22.42578125" bestFit="1" customWidth="1"/>
    <col min="22" max="22" width="11.85546875" bestFit="1" customWidth="1"/>
    <col min="23" max="23" width="20" bestFit="1" customWidth="1"/>
    <col min="24" max="24" width="25.7109375" bestFit="1" customWidth="1"/>
    <col min="25" max="25" width="22.28515625" bestFit="1" customWidth="1"/>
    <col min="26" max="26" width="21.140625" bestFit="1" customWidth="1"/>
    <col min="27" max="27" width="17.85546875" bestFit="1" customWidth="1"/>
  </cols>
  <sheetData>
    <row r="1" spans="1:22" x14ac:dyDescent="0.25">
      <c r="A1" t="s">
        <v>70</v>
      </c>
      <c r="B1" t="s">
        <v>71</v>
      </c>
      <c r="C1" t="s">
        <v>72</v>
      </c>
      <c r="D1" t="s">
        <v>87</v>
      </c>
      <c r="E1" t="s">
        <v>92</v>
      </c>
      <c r="F1" t="s">
        <v>13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</row>
    <row r="2" spans="1:22" x14ac:dyDescent="0.25">
      <c r="A2" t="s">
        <v>115</v>
      </c>
      <c r="B2" t="s">
        <v>11</v>
      </c>
      <c r="C2" t="s">
        <v>83</v>
      </c>
      <c r="D2" t="s">
        <v>90</v>
      </c>
      <c r="E2" t="s">
        <v>118</v>
      </c>
      <c r="F2" t="s">
        <v>14</v>
      </c>
      <c r="G2">
        <v>1000</v>
      </c>
    </row>
    <row r="3" spans="1:22" x14ac:dyDescent="0.25">
      <c r="A3" t="s">
        <v>120</v>
      </c>
      <c r="B3" t="s">
        <v>11</v>
      </c>
      <c r="C3" t="s">
        <v>83</v>
      </c>
      <c r="D3" t="s">
        <v>90</v>
      </c>
      <c r="E3" t="s">
        <v>121</v>
      </c>
      <c r="F3" t="s">
        <v>14</v>
      </c>
      <c r="G3">
        <v>1000</v>
      </c>
      <c r="H3">
        <v>990</v>
      </c>
      <c r="I3">
        <v>5</v>
      </c>
      <c r="J3">
        <v>1</v>
      </c>
      <c r="K3">
        <v>1</v>
      </c>
      <c r="L3">
        <v>1</v>
      </c>
      <c r="M3">
        <v>1</v>
      </c>
      <c r="N3">
        <v>1</v>
      </c>
    </row>
    <row r="4" spans="1:22" x14ac:dyDescent="0.25">
      <c r="A4" t="s">
        <v>116</v>
      </c>
      <c r="B4" t="s">
        <v>11</v>
      </c>
      <c r="C4" t="s">
        <v>85</v>
      </c>
      <c r="D4" t="s">
        <v>91</v>
      </c>
      <c r="E4" t="s">
        <v>119</v>
      </c>
      <c r="F4" t="s">
        <v>22</v>
      </c>
      <c r="G4">
        <v>1000</v>
      </c>
      <c r="H4">
        <v>979</v>
      </c>
      <c r="I4">
        <v>10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2" x14ac:dyDescent="0.25">
      <c r="A5" t="s">
        <v>116</v>
      </c>
      <c r="B5" t="s">
        <v>12</v>
      </c>
      <c r="C5" t="s">
        <v>85</v>
      </c>
      <c r="D5" t="s">
        <v>91</v>
      </c>
      <c r="E5" t="s">
        <v>194</v>
      </c>
      <c r="F5" t="s">
        <v>33</v>
      </c>
      <c r="G5">
        <v>2250</v>
      </c>
      <c r="H5">
        <v>2250</v>
      </c>
      <c r="I5">
        <v>9</v>
      </c>
      <c r="L5">
        <v>6</v>
      </c>
      <c r="T5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AB38-7FF4-4332-85B4-C5CDC6C4D59F}">
  <dimension ref="A1:I3"/>
  <sheetViews>
    <sheetView workbookViewId="0">
      <selection activeCell="E2" sqref="E2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8.140625" bestFit="1" customWidth="1"/>
    <col min="5" max="5" width="16.5703125" bestFit="1" customWidth="1"/>
    <col min="6" max="6" width="17.28515625" bestFit="1" customWidth="1"/>
    <col min="7" max="7" width="24.7109375" bestFit="1" customWidth="1"/>
    <col min="8" max="8" width="22.5703125" bestFit="1" customWidth="1"/>
    <col min="9" max="9" width="18" bestFit="1" customWidth="1"/>
  </cols>
  <sheetData>
    <row r="1" spans="1:9" x14ac:dyDescent="0.25">
      <c r="A1" t="s">
        <v>70</v>
      </c>
      <c r="B1" t="s">
        <v>71</v>
      </c>
      <c r="C1" t="s">
        <v>72</v>
      </c>
      <c r="D1" t="s">
        <v>87</v>
      </c>
      <c r="E1" t="s">
        <v>92</v>
      </c>
      <c r="F1" t="s">
        <v>13</v>
      </c>
      <c r="G1" t="s">
        <v>110</v>
      </c>
      <c r="H1" t="s">
        <v>111</v>
      </c>
      <c r="I1" t="s">
        <v>112</v>
      </c>
    </row>
    <row r="2" spans="1:9" x14ac:dyDescent="0.25">
      <c r="A2" t="s">
        <v>115</v>
      </c>
      <c r="B2" t="s">
        <v>11</v>
      </c>
      <c r="C2" t="s">
        <v>83</v>
      </c>
      <c r="D2" t="s">
        <v>90</v>
      </c>
      <c r="E2" t="s">
        <v>118</v>
      </c>
      <c r="F2" t="s">
        <v>113</v>
      </c>
      <c r="G2">
        <v>950</v>
      </c>
      <c r="H2">
        <v>45</v>
      </c>
      <c r="I2">
        <v>5</v>
      </c>
    </row>
    <row r="3" spans="1:9" x14ac:dyDescent="0.25">
      <c r="A3" t="s">
        <v>116</v>
      </c>
      <c r="B3" t="s">
        <v>11</v>
      </c>
      <c r="C3" t="s">
        <v>85</v>
      </c>
      <c r="D3" t="s">
        <v>91</v>
      </c>
      <c r="E3" t="s">
        <v>119</v>
      </c>
      <c r="F3" t="s">
        <v>114</v>
      </c>
      <c r="G3">
        <v>900</v>
      </c>
      <c r="H3">
        <v>50</v>
      </c>
      <c r="I3">
        <v>50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0463-9310-47B8-8FC7-CE4B04D99FA3}">
  <dimension ref="A1:D5"/>
  <sheetViews>
    <sheetView workbookViewId="0">
      <selection activeCell="D3" sqref="D3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22.5703125" bestFit="1" customWidth="1"/>
    <col min="5" max="5" width="17" bestFit="1" customWidth="1"/>
    <col min="6" max="6" width="16.85546875" bestFit="1" customWidth="1"/>
    <col min="7" max="7" width="21.140625" bestFit="1" customWidth="1"/>
    <col min="8" max="8" width="22.85546875" bestFit="1" customWidth="1"/>
  </cols>
  <sheetData>
    <row r="1" spans="1:4" x14ac:dyDescent="0.25">
      <c r="A1" t="s">
        <v>70</v>
      </c>
      <c r="B1" t="s">
        <v>71</v>
      </c>
      <c r="C1" t="s">
        <v>72</v>
      </c>
      <c r="D1" t="s">
        <v>122</v>
      </c>
    </row>
    <row r="2" spans="1:4" x14ac:dyDescent="0.25">
      <c r="A2" t="s">
        <v>115</v>
      </c>
      <c r="B2" t="s">
        <v>11</v>
      </c>
      <c r="C2" t="s">
        <v>83</v>
      </c>
      <c r="D2">
        <v>1000</v>
      </c>
    </row>
    <row r="3" spans="1:4" x14ac:dyDescent="0.25">
      <c r="A3" t="s">
        <v>117</v>
      </c>
      <c r="B3" t="s">
        <v>12</v>
      </c>
      <c r="C3" t="s">
        <v>86</v>
      </c>
      <c r="D3">
        <v>2280</v>
      </c>
    </row>
    <row r="4" spans="1:4" x14ac:dyDescent="0.25">
      <c r="A4" t="s">
        <v>116</v>
      </c>
      <c r="B4" t="s">
        <v>11</v>
      </c>
      <c r="C4" t="s">
        <v>85</v>
      </c>
      <c r="D4">
        <v>1000</v>
      </c>
    </row>
    <row r="5" spans="1:4" x14ac:dyDescent="0.25">
      <c r="A5" t="s">
        <v>116</v>
      </c>
      <c r="B5" t="s">
        <v>12</v>
      </c>
      <c r="C5" t="s">
        <v>85</v>
      </c>
      <c r="D5">
        <v>2600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8F35-D91D-4429-97CD-622AA13DBE6A}">
  <dimension ref="A1:CE5"/>
  <sheetViews>
    <sheetView tabSelected="1" workbookViewId="0">
      <selection sqref="A1:CE5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8.140625" bestFit="1" customWidth="1"/>
    <col min="5" max="5" width="24.28515625" bestFit="1" customWidth="1"/>
    <col min="6" max="6" width="20.7109375" bestFit="1" customWidth="1"/>
    <col min="7" max="7" width="22.42578125" bestFit="1" customWidth="1"/>
    <col min="8" max="8" width="21" bestFit="1" customWidth="1"/>
    <col min="9" max="11" width="20.5703125" bestFit="1" customWidth="1"/>
    <col min="12" max="12" width="13.28515625" bestFit="1" customWidth="1"/>
    <col min="13" max="13" width="14.5703125" bestFit="1" customWidth="1"/>
    <col min="14" max="14" width="19.140625" bestFit="1" customWidth="1"/>
    <col min="15" max="15" width="16" bestFit="1" customWidth="1"/>
    <col min="16" max="16" width="15.7109375" bestFit="1" customWidth="1"/>
    <col min="17" max="17" width="22.5703125" bestFit="1" customWidth="1"/>
    <col min="18" max="18" width="14.140625" bestFit="1" customWidth="1"/>
    <col min="19" max="19" width="21.5703125" bestFit="1" customWidth="1"/>
    <col min="20" max="20" width="23.7109375" bestFit="1" customWidth="1"/>
    <col min="21" max="21" width="22.85546875" bestFit="1" customWidth="1"/>
    <col min="22" max="22" width="24" bestFit="1" customWidth="1"/>
    <col min="23" max="23" width="27.42578125" bestFit="1" customWidth="1"/>
    <col min="24" max="24" width="24.28515625" bestFit="1" customWidth="1"/>
    <col min="25" max="25" width="26.7109375" bestFit="1" customWidth="1"/>
    <col min="26" max="26" width="19.5703125" bestFit="1" customWidth="1"/>
    <col min="27" max="27" width="21.85546875" bestFit="1" customWidth="1"/>
    <col min="28" max="28" width="20.85546875" bestFit="1" customWidth="1"/>
    <col min="29" max="29" width="22.140625" bestFit="1" customWidth="1"/>
    <col min="30" max="30" width="25.42578125" bestFit="1" customWidth="1"/>
    <col min="31" max="31" width="18.140625" bestFit="1" customWidth="1"/>
    <col min="32" max="32" width="22.7109375" bestFit="1" customWidth="1"/>
    <col min="33" max="33" width="25" bestFit="1" customWidth="1"/>
    <col min="34" max="34" width="23.7109375" bestFit="1" customWidth="1"/>
    <col min="35" max="35" width="32.5703125" bestFit="1" customWidth="1"/>
    <col min="36" max="36" width="31.140625" bestFit="1" customWidth="1"/>
    <col min="37" max="37" width="30.140625" bestFit="1" customWidth="1"/>
    <col min="38" max="38" width="28.85546875" bestFit="1" customWidth="1"/>
    <col min="39" max="39" width="31.7109375" bestFit="1" customWidth="1"/>
    <col min="40" max="40" width="30.42578125" bestFit="1" customWidth="1"/>
    <col min="41" max="41" width="23.85546875" bestFit="1" customWidth="1"/>
    <col min="42" max="42" width="20.140625" bestFit="1" customWidth="1"/>
    <col min="43" max="43" width="25.85546875" bestFit="1" customWidth="1"/>
    <col min="44" max="44" width="22.140625" bestFit="1" customWidth="1"/>
    <col min="45" max="45" width="25.140625" bestFit="1" customWidth="1"/>
    <col min="46" max="46" width="21.42578125" bestFit="1" customWidth="1"/>
    <col min="47" max="47" width="26.140625" bestFit="1" customWidth="1"/>
    <col min="48" max="48" width="22.42578125" bestFit="1" customWidth="1"/>
    <col min="49" max="49" width="29.7109375" bestFit="1" customWidth="1"/>
    <col min="50" max="50" width="26" bestFit="1" customWidth="1"/>
    <col min="51" max="51" width="26.42578125" bestFit="1" customWidth="1"/>
    <col min="52" max="52" width="22.7109375" bestFit="1" customWidth="1"/>
    <col min="53" max="53" width="21.5703125" bestFit="1" customWidth="1"/>
    <col min="54" max="54" width="27.140625" bestFit="1" customWidth="1"/>
    <col min="55" max="55" width="18.28515625" bestFit="1" customWidth="1"/>
    <col min="56" max="56" width="16.5703125" bestFit="1" customWidth="1"/>
    <col min="57" max="57" width="26.28515625" bestFit="1" customWidth="1"/>
    <col min="58" max="58" width="21.42578125" bestFit="1" customWidth="1"/>
    <col min="59" max="59" width="11.42578125" bestFit="1" customWidth="1"/>
    <col min="60" max="60" width="10.42578125" bestFit="1" customWidth="1"/>
    <col min="61" max="61" width="17.5703125" bestFit="1" customWidth="1"/>
    <col min="62" max="62" width="20.28515625" bestFit="1" customWidth="1"/>
    <col min="63" max="63" width="20" bestFit="1" customWidth="1"/>
    <col min="64" max="64" width="24.5703125" bestFit="1" customWidth="1"/>
    <col min="65" max="65" width="21.140625" bestFit="1" customWidth="1"/>
    <col min="66" max="66" width="20" bestFit="1" customWidth="1"/>
    <col min="67" max="67" width="16.7109375" bestFit="1" customWidth="1"/>
    <col min="68" max="68" width="17.85546875" bestFit="1" customWidth="1"/>
    <col min="69" max="69" width="22.28515625" bestFit="1" customWidth="1"/>
    <col min="70" max="70" width="25.85546875" bestFit="1" customWidth="1"/>
    <col min="71" max="71" width="17.85546875" bestFit="1" customWidth="1"/>
    <col min="72" max="72" width="22.42578125" bestFit="1" customWidth="1"/>
    <col min="73" max="73" width="11.85546875" bestFit="1" customWidth="1"/>
    <col min="74" max="74" width="24.7109375" bestFit="1" customWidth="1"/>
    <col min="75" max="75" width="22.5703125" bestFit="1" customWidth="1"/>
    <col min="76" max="77" width="18" bestFit="1" customWidth="1"/>
    <col min="78" max="78" width="13.42578125" bestFit="1" customWidth="1"/>
    <col min="79" max="79" width="12.5703125" bestFit="1" customWidth="1"/>
    <col min="80" max="80" width="12.7109375" bestFit="1" customWidth="1"/>
    <col min="81" max="81" width="13.140625" bestFit="1" customWidth="1"/>
    <col min="82" max="82" width="24.28515625" bestFit="1" customWidth="1"/>
    <col min="83" max="83" width="22.140625" bestFit="1" customWidth="1"/>
    <col min="84" max="84" width="18" bestFit="1" customWidth="1"/>
  </cols>
  <sheetData>
    <row r="1" spans="1:83" x14ac:dyDescent="0.25">
      <c r="A1" t="s">
        <v>70</v>
      </c>
      <c r="B1" t="s">
        <v>71</v>
      </c>
      <c r="C1" t="s">
        <v>72</v>
      </c>
      <c r="D1" t="s">
        <v>87</v>
      </c>
      <c r="E1" t="s">
        <v>13</v>
      </c>
      <c r="F1" t="s">
        <v>88</v>
      </c>
      <c r="G1" t="s">
        <v>89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161</v>
      </c>
      <c r="BZ1" t="s">
        <v>162</v>
      </c>
      <c r="CA1" t="s">
        <v>163</v>
      </c>
      <c r="CB1" t="s">
        <v>164</v>
      </c>
      <c r="CC1" t="s">
        <v>165</v>
      </c>
      <c r="CD1" t="s">
        <v>166</v>
      </c>
      <c r="CE1" t="s">
        <v>167</v>
      </c>
    </row>
    <row r="2" spans="1:83" x14ac:dyDescent="0.25">
      <c r="A2" s="23" t="s">
        <v>115</v>
      </c>
      <c r="B2" t="s">
        <v>11</v>
      </c>
      <c r="C2" t="s">
        <v>83</v>
      </c>
      <c r="D2" t="s">
        <v>90</v>
      </c>
      <c r="E2" t="s">
        <v>14</v>
      </c>
      <c r="F2">
        <v>1000</v>
      </c>
      <c r="G2">
        <v>10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</v>
      </c>
      <c r="S2">
        <v>1000</v>
      </c>
      <c r="T2">
        <v>1000</v>
      </c>
      <c r="U2">
        <v>1000</v>
      </c>
      <c r="V2">
        <v>1000</v>
      </c>
      <c r="W2">
        <v>1000</v>
      </c>
      <c r="X2">
        <v>1000</v>
      </c>
      <c r="Y2">
        <v>2.0099999999999998</v>
      </c>
      <c r="Z2">
        <v>13.56</v>
      </c>
      <c r="AA2">
        <v>0.04</v>
      </c>
      <c r="AB2">
        <v>0.20100000000000001</v>
      </c>
      <c r="AC2">
        <v>0.10100000000000001</v>
      </c>
      <c r="AD2">
        <v>0.20100000000000001</v>
      </c>
      <c r="AE2">
        <v>4.0200000000000001E-4</v>
      </c>
      <c r="AO2">
        <v>1</v>
      </c>
      <c r="AP2">
        <v>-12.56</v>
      </c>
      <c r="AQ2">
        <v>1</v>
      </c>
      <c r="AR2">
        <v>-1.0099999999999998</v>
      </c>
      <c r="AS2">
        <v>1</v>
      </c>
      <c r="AT2">
        <v>0.79899999999999993</v>
      </c>
      <c r="AU2">
        <v>1</v>
      </c>
      <c r="AV2">
        <v>0.96</v>
      </c>
      <c r="AW2">
        <v>1</v>
      </c>
      <c r="AX2">
        <v>0.79899999999999993</v>
      </c>
      <c r="AY2">
        <v>1</v>
      </c>
      <c r="AZ2">
        <v>0.89900000000000002</v>
      </c>
      <c r="BA2">
        <v>13560</v>
      </c>
      <c r="BB2">
        <v>13560</v>
      </c>
      <c r="BC2">
        <v>-12560</v>
      </c>
      <c r="BD2" t="s">
        <v>118</v>
      </c>
      <c r="BE2">
        <v>1000</v>
      </c>
      <c r="BF2">
        <v>1000</v>
      </c>
      <c r="BV2">
        <v>950</v>
      </c>
      <c r="BW2">
        <v>45</v>
      </c>
      <c r="BX2">
        <v>5</v>
      </c>
      <c r="CA2">
        <v>1000</v>
      </c>
      <c r="CB2">
        <v>0</v>
      </c>
    </row>
    <row r="3" spans="1:83" x14ac:dyDescent="0.25">
      <c r="A3" s="23" t="s">
        <v>116</v>
      </c>
      <c r="B3" t="s">
        <v>11</v>
      </c>
      <c r="C3" t="s">
        <v>85</v>
      </c>
      <c r="D3" t="s">
        <v>91</v>
      </c>
      <c r="E3" t="s">
        <v>22</v>
      </c>
      <c r="F3">
        <v>1000</v>
      </c>
      <c r="G3">
        <v>10</v>
      </c>
      <c r="H3">
        <v>10000</v>
      </c>
      <c r="I3">
        <v>10000</v>
      </c>
      <c r="J3">
        <v>10000</v>
      </c>
      <c r="K3">
        <v>10000</v>
      </c>
      <c r="L3">
        <v>10000</v>
      </c>
      <c r="M3">
        <v>10000</v>
      </c>
      <c r="N3">
        <v>10000</v>
      </c>
      <c r="O3">
        <v>10000</v>
      </c>
      <c r="P3">
        <v>10000</v>
      </c>
      <c r="Q3">
        <v>1000</v>
      </c>
      <c r="R3">
        <v>1</v>
      </c>
      <c r="S3">
        <v>10000</v>
      </c>
      <c r="T3">
        <v>10000</v>
      </c>
      <c r="U3">
        <v>10000</v>
      </c>
      <c r="V3">
        <v>10000</v>
      </c>
      <c r="W3">
        <v>10000</v>
      </c>
      <c r="X3">
        <v>10000</v>
      </c>
      <c r="Y3">
        <v>2.31</v>
      </c>
      <c r="Z3">
        <v>15.33</v>
      </c>
      <c r="AA3">
        <v>4.5999999999999999E-2</v>
      </c>
      <c r="AB3">
        <v>0.23100000000000001</v>
      </c>
      <c r="AC3">
        <v>0.115</v>
      </c>
      <c r="AD3">
        <v>0.23100000000000001</v>
      </c>
      <c r="AE3">
        <v>4.6200000000000001E-4</v>
      </c>
      <c r="AO3">
        <v>10</v>
      </c>
      <c r="AP3">
        <v>-5.33</v>
      </c>
      <c r="AQ3">
        <v>10</v>
      </c>
      <c r="AR3">
        <v>7.6899999999999995</v>
      </c>
      <c r="AS3">
        <v>10</v>
      </c>
      <c r="AT3">
        <v>9.7690000000000001</v>
      </c>
      <c r="AU3">
        <v>10</v>
      </c>
      <c r="AV3">
        <v>9.9540000000000006</v>
      </c>
      <c r="AW3">
        <v>10</v>
      </c>
      <c r="AX3">
        <v>9.7690000000000001</v>
      </c>
      <c r="AY3">
        <v>10</v>
      </c>
      <c r="AZ3">
        <v>9.8849999999999998</v>
      </c>
      <c r="BA3">
        <v>15330</v>
      </c>
      <c r="BB3">
        <v>15330</v>
      </c>
      <c r="BC3">
        <v>-5330</v>
      </c>
      <c r="BD3" t="s">
        <v>119</v>
      </c>
      <c r="BE3">
        <v>1000</v>
      </c>
      <c r="BF3">
        <v>1000</v>
      </c>
      <c r="BG3">
        <v>979</v>
      </c>
      <c r="BH3">
        <v>10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V3">
        <v>900</v>
      </c>
      <c r="BW3">
        <v>50</v>
      </c>
      <c r="BX3">
        <v>50</v>
      </c>
      <c r="BY3">
        <v>11</v>
      </c>
      <c r="BZ3">
        <v>0</v>
      </c>
      <c r="CA3">
        <v>1000</v>
      </c>
      <c r="CB3">
        <v>0</v>
      </c>
      <c r="CC3">
        <v>79</v>
      </c>
      <c r="CD3">
        <v>29</v>
      </c>
      <c r="CE3">
        <v>40</v>
      </c>
    </row>
    <row r="4" spans="1:83" x14ac:dyDescent="0.25">
      <c r="A4" s="23" t="s">
        <v>116</v>
      </c>
      <c r="B4" t="s">
        <v>12</v>
      </c>
      <c r="C4" t="s">
        <v>85</v>
      </c>
      <c r="D4" t="s">
        <v>91</v>
      </c>
      <c r="E4" t="s">
        <v>33</v>
      </c>
      <c r="F4">
        <v>2600</v>
      </c>
      <c r="G4">
        <v>272</v>
      </c>
      <c r="H4">
        <v>6241</v>
      </c>
      <c r="I4">
        <v>0</v>
      </c>
      <c r="J4">
        <v>0</v>
      </c>
      <c r="K4">
        <v>0</v>
      </c>
      <c r="L4">
        <v>39659</v>
      </c>
      <c r="M4">
        <v>620</v>
      </c>
      <c r="N4">
        <v>0</v>
      </c>
      <c r="O4">
        <v>310</v>
      </c>
      <c r="P4">
        <v>124</v>
      </c>
      <c r="Q4">
        <v>2600</v>
      </c>
      <c r="R4">
        <v>1</v>
      </c>
      <c r="S4">
        <v>39659</v>
      </c>
      <c r="T4">
        <v>6241</v>
      </c>
      <c r="U4">
        <v>620</v>
      </c>
      <c r="V4">
        <v>124</v>
      </c>
      <c r="W4">
        <v>0</v>
      </c>
      <c r="X4">
        <v>310</v>
      </c>
      <c r="Y4">
        <v>2.31</v>
      </c>
      <c r="Z4">
        <v>15.33</v>
      </c>
      <c r="AA4">
        <v>4.5999999999999999E-2</v>
      </c>
      <c r="AB4">
        <v>0.23100000000000001</v>
      </c>
      <c r="AC4">
        <v>0.115</v>
      </c>
      <c r="AD4">
        <v>0.23100000000000001</v>
      </c>
      <c r="AE4">
        <v>4.6200000000000001E-4</v>
      </c>
      <c r="AO4">
        <v>15.253461538461538</v>
      </c>
      <c r="AP4">
        <v>-7.6538461538461888E-2</v>
      </c>
      <c r="AQ4">
        <v>2.4003846153846156</v>
      </c>
      <c r="AR4">
        <v>9.0384615384615508E-2</v>
      </c>
      <c r="AS4">
        <v>0.23846153846153847</v>
      </c>
      <c r="AT4">
        <v>7.4615384615384639E-3</v>
      </c>
      <c r="AU4">
        <v>4.7692307692307694E-2</v>
      </c>
      <c r="AV4">
        <v>1.6923076923076943E-3</v>
      </c>
      <c r="AW4">
        <v>0</v>
      </c>
      <c r="AX4">
        <v>-0.23100000000000001</v>
      </c>
      <c r="AY4">
        <v>0.11923076923076924</v>
      </c>
      <c r="AZ4">
        <v>4.2307692307692324E-3</v>
      </c>
      <c r="BA4">
        <v>39858</v>
      </c>
      <c r="BB4">
        <v>39858</v>
      </c>
      <c r="BC4">
        <v>-199</v>
      </c>
      <c r="BD4" t="s">
        <v>194</v>
      </c>
      <c r="BE4">
        <v>2250</v>
      </c>
      <c r="BF4">
        <v>2250</v>
      </c>
      <c r="BG4">
        <v>2250</v>
      </c>
      <c r="BH4">
        <v>9</v>
      </c>
      <c r="BK4">
        <v>6</v>
      </c>
      <c r="BS4">
        <v>3</v>
      </c>
    </row>
    <row r="5" spans="1:83" x14ac:dyDescent="0.25">
      <c r="A5" s="23" t="s">
        <v>117</v>
      </c>
      <c r="B5" t="s">
        <v>12</v>
      </c>
      <c r="C5" t="s">
        <v>86</v>
      </c>
      <c r="D5" t="s">
        <v>91</v>
      </c>
      <c r="E5" t="s">
        <v>14</v>
      </c>
      <c r="F5">
        <v>2280</v>
      </c>
      <c r="G5">
        <v>123</v>
      </c>
      <c r="H5">
        <v>4766</v>
      </c>
      <c r="I5">
        <v>0</v>
      </c>
      <c r="J5">
        <v>0</v>
      </c>
      <c r="K5">
        <v>0</v>
      </c>
      <c r="L5">
        <v>30048</v>
      </c>
      <c r="M5">
        <v>705</v>
      </c>
      <c r="N5">
        <v>470</v>
      </c>
      <c r="O5">
        <v>235</v>
      </c>
      <c r="P5">
        <v>94</v>
      </c>
      <c r="Q5">
        <v>2280</v>
      </c>
      <c r="R5">
        <v>1</v>
      </c>
      <c r="S5">
        <v>30048</v>
      </c>
      <c r="T5">
        <v>4766</v>
      </c>
      <c r="U5">
        <v>705</v>
      </c>
      <c r="V5">
        <v>94</v>
      </c>
      <c r="W5">
        <v>470</v>
      </c>
      <c r="X5">
        <v>235</v>
      </c>
      <c r="Y5">
        <v>2.0099999999999998</v>
      </c>
      <c r="Z5">
        <v>13.56</v>
      </c>
      <c r="AA5">
        <v>0.04</v>
      </c>
      <c r="AB5">
        <v>0.20100000000000001</v>
      </c>
      <c r="AC5">
        <v>0.10100000000000001</v>
      </c>
      <c r="AD5">
        <v>0.20100000000000001</v>
      </c>
      <c r="AE5">
        <v>4.0200000000000001E-4</v>
      </c>
      <c r="AO5">
        <v>13.178947368421053</v>
      </c>
      <c r="AP5">
        <v>-0.38105263157894775</v>
      </c>
      <c r="AQ5">
        <v>2.0903508771929826</v>
      </c>
      <c r="AR5">
        <v>8.0350877192982839E-2</v>
      </c>
      <c r="AS5">
        <v>0.30921052631578949</v>
      </c>
      <c r="AT5">
        <v>0.10821052631578948</v>
      </c>
      <c r="AU5">
        <v>4.12280701754386E-2</v>
      </c>
      <c r="AV5">
        <v>1.2280701754385989E-3</v>
      </c>
      <c r="AW5">
        <v>0.20614035087719298</v>
      </c>
      <c r="AX5">
        <v>5.1403508771929729E-3</v>
      </c>
      <c r="AY5">
        <v>0.10307017543859649</v>
      </c>
      <c r="AZ5">
        <v>2.070175438596486E-3</v>
      </c>
      <c r="BA5">
        <v>30916.800000000003</v>
      </c>
      <c r="BB5">
        <v>30916.800000000003</v>
      </c>
      <c r="BC5">
        <v>-868.80000000000291</v>
      </c>
    </row>
  </sheetData>
  <phoneticPr fontId="4" type="noConversion"/>
  <pageMargins left="0.7" right="0.7" top="0.75" bottom="0.75" header="0.3" footer="0.3"/>
  <pageSetup scale="0" firstPageNumber="0" fitToWidth="0" fitToHeight="0" orientation="portrait" horizontalDpi="0" verticalDpi="0" copie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123F-CEB2-48F9-8095-14CFEBE809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4E69-DDAB-48A1-9755-E27ACAA4BFE6}">
  <dimension ref="A1:Q39"/>
  <sheetViews>
    <sheetView workbookViewId="0">
      <selection activeCell="C10" sqref="C10"/>
    </sheetView>
  </sheetViews>
  <sheetFormatPr defaultRowHeight="15" x14ac:dyDescent="0.25"/>
  <cols>
    <col min="1" max="1" width="31.5703125" bestFit="1" customWidth="1"/>
    <col min="2" max="2" width="26.7109375" bestFit="1" customWidth="1"/>
    <col min="3" max="3" width="19.5703125" bestFit="1" customWidth="1"/>
    <col min="4" max="4" width="21.85546875" bestFit="1" customWidth="1"/>
    <col min="5" max="5" width="20.85546875" bestFit="1" customWidth="1"/>
    <col min="6" max="6" width="22.140625" bestFit="1" customWidth="1"/>
    <col min="7" max="7" width="25.42578125" bestFit="1" customWidth="1"/>
    <col min="8" max="8" width="18.140625" bestFit="1" customWidth="1"/>
    <col min="9" max="9" width="22.7109375" bestFit="1" customWidth="1"/>
    <col min="10" max="10" width="25" bestFit="1" customWidth="1"/>
    <col min="11" max="11" width="23.7109375" bestFit="1" customWidth="1"/>
    <col min="12" max="12" width="32.5703125" bestFit="1" customWidth="1"/>
    <col min="13" max="13" width="31.140625" bestFit="1" customWidth="1"/>
    <col min="14" max="14" width="30.140625" bestFit="1" customWidth="1"/>
    <col min="15" max="15" width="28.85546875" bestFit="1" customWidth="1"/>
    <col min="16" max="16" width="31.7109375" bestFit="1" customWidth="1"/>
    <col min="17" max="17" width="30.42578125" bestFit="1" customWidth="1"/>
    <col min="18" max="18" width="32.42578125" bestFit="1" customWidth="1"/>
    <col min="19" max="19" width="18.28515625" bestFit="1" customWidth="1"/>
    <col min="20" max="20" width="25.42578125" bestFit="1" customWidth="1"/>
    <col min="21" max="21" width="9.42578125" bestFit="1" customWidth="1"/>
    <col min="22" max="22" width="17" bestFit="1" customWidth="1"/>
    <col min="23" max="23" width="15.85546875" bestFit="1" customWidth="1"/>
    <col min="24" max="24" width="20.140625" bestFit="1" customWidth="1"/>
    <col min="25" max="25" width="14" bestFit="1" customWidth="1"/>
    <col min="26" max="26" width="17.7109375" bestFit="1" customWidth="1"/>
    <col min="27" max="27" width="12.140625" bestFit="1" customWidth="1"/>
    <col min="28" max="28" width="12.7109375" bestFit="1" customWidth="1"/>
    <col min="29" max="29" width="24.28515625" bestFit="1" customWidth="1"/>
    <col min="30" max="30" width="24.7109375" bestFit="1" customWidth="1"/>
    <col min="31" max="31" width="22.7109375" bestFit="1" customWidth="1"/>
    <col min="32" max="32" width="23.140625" bestFit="1" customWidth="1"/>
    <col min="33" max="33" width="20.42578125" bestFit="1" customWidth="1"/>
    <col min="34" max="34" width="20.85546875" bestFit="1" customWidth="1"/>
  </cols>
  <sheetData>
    <row r="1" spans="1:17" x14ac:dyDescent="0.25">
      <c r="A1" t="s">
        <v>13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</row>
    <row r="2" spans="1:17" x14ac:dyDescent="0.25">
      <c r="A2" t="s">
        <v>14</v>
      </c>
      <c r="B2">
        <v>2.0099999999999998</v>
      </c>
      <c r="C2">
        <v>13.56</v>
      </c>
      <c r="D2">
        <v>0.04</v>
      </c>
      <c r="E2">
        <v>0.20100000000000001</v>
      </c>
      <c r="F2">
        <v>0.10100000000000001</v>
      </c>
      <c r="G2">
        <v>0.20100000000000001</v>
      </c>
      <c r="H2">
        <v>4.0200000000000001E-4</v>
      </c>
    </row>
    <row r="3" spans="1:17" x14ac:dyDescent="0.25">
      <c r="A3" t="s">
        <v>15</v>
      </c>
      <c r="B3">
        <v>2.0099999999999998</v>
      </c>
      <c r="C3">
        <v>13.56</v>
      </c>
      <c r="D3">
        <v>0.04</v>
      </c>
      <c r="E3">
        <v>0.20100000000000001</v>
      </c>
      <c r="F3">
        <v>0.10100000000000001</v>
      </c>
      <c r="G3">
        <v>0.20100000000000001</v>
      </c>
      <c r="H3">
        <v>4.0200000000000001E-4</v>
      </c>
    </row>
    <row r="4" spans="1:17" x14ac:dyDescent="0.25">
      <c r="A4" t="s">
        <v>16</v>
      </c>
      <c r="B4">
        <v>2.0099999999999998</v>
      </c>
      <c r="C4">
        <v>13.56</v>
      </c>
      <c r="D4">
        <v>0.04</v>
      </c>
      <c r="E4">
        <v>0.20100000000000001</v>
      </c>
      <c r="F4">
        <v>0.10100000000000001</v>
      </c>
      <c r="G4">
        <v>0.20100000000000001</v>
      </c>
      <c r="H4">
        <v>4.0200000000000001E-4</v>
      </c>
    </row>
    <row r="5" spans="1:17" x14ac:dyDescent="0.25">
      <c r="A5" t="s">
        <v>17</v>
      </c>
      <c r="B5">
        <v>2.0099999999999998</v>
      </c>
      <c r="C5">
        <v>13.56</v>
      </c>
      <c r="D5">
        <v>0.04</v>
      </c>
      <c r="E5">
        <v>0.20100000000000001</v>
      </c>
      <c r="F5">
        <v>0.10100000000000001</v>
      </c>
      <c r="G5">
        <v>0.20100000000000001</v>
      </c>
      <c r="H5">
        <v>4.0200000000000001E-4</v>
      </c>
    </row>
    <row r="6" spans="1:17" x14ac:dyDescent="0.25">
      <c r="A6" t="s">
        <v>18</v>
      </c>
      <c r="B6">
        <v>2.0099999999999998</v>
      </c>
      <c r="C6">
        <v>13.56</v>
      </c>
      <c r="D6">
        <v>0.04</v>
      </c>
      <c r="E6">
        <v>0.20100000000000001</v>
      </c>
      <c r="F6">
        <v>0.10100000000000001</v>
      </c>
      <c r="G6">
        <v>0.20100000000000001</v>
      </c>
      <c r="H6">
        <v>4.0200000000000001E-4</v>
      </c>
      <c r="P6">
        <v>4.02E-2</v>
      </c>
    </row>
    <row r="7" spans="1:17" x14ac:dyDescent="0.25">
      <c r="A7" t="s">
        <v>19</v>
      </c>
      <c r="B7">
        <v>2.0099999999999998</v>
      </c>
      <c r="C7">
        <v>13.56</v>
      </c>
      <c r="D7">
        <v>0.04</v>
      </c>
      <c r="E7">
        <v>0.20100000000000001</v>
      </c>
      <c r="F7">
        <v>0.10100000000000001</v>
      </c>
      <c r="G7">
        <v>0.20100000000000001</v>
      </c>
      <c r="H7">
        <v>4.0200000000000001E-4</v>
      </c>
      <c r="P7">
        <v>4.02E-2</v>
      </c>
    </row>
    <row r="8" spans="1:17" x14ac:dyDescent="0.25">
      <c r="A8" t="s">
        <v>20</v>
      </c>
      <c r="B8">
        <v>4.03</v>
      </c>
      <c r="C8">
        <v>27.12</v>
      </c>
      <c r="D8">
        <v>0.08</v>
      </c>
      <c r="E8">
        <v>0.40200000000000002</v>
      </c>
      <c r="F8">
        <v>0.20100000000000001</v>
      </c>
      <c r="G8">
        <v>0.20100000000000001</v>
      </c>
      <c r="H8">
        <v>8.0400000000000003E-4</v>
      </c>
    </row>
    <row r="9" spans="1:17" x14ac:dyDescent="0.25">
      <c r="A9" t="s">
        <v>21</v>
      </c>
      <c r="B9">
        <v>4.03</v>
      </c>
      <c r="C9">
        <v>27.12</v>
      </c>
      <c r="D9">
        <v>0.08</v>
      </c>
      <c r="E9">
        <v>0.40200000000000002</v>
      </c>
      <c r="F9">
        <v>0.20100000000000001</v>
      </c>
      <c r="G9">
        <v>0.20100000000000001</v>
      </c>
      <c r="H9">
        <v>8.0400000000000003E-4</v>
      </c>
    </row>
    <row r="10" spans="1:17" x14ac:dyDescent="0.25">
      <c r="A10" t="s">
        <v>22</v>
      </c>
      <c r="B10">
        <v>2.31</v>
      </c>
      <c r="C10">
        <v>15.33</v>
      </c>
      <c r="D10">
        <v>4.5999999999999999E-2</v>
      </c>
      <c r="E10">
        <v>0.23100000000000001</v>
      </c>
      <c r="F10">
        <v>0.115</v>
      </c>
      <c r="G10">
        <v>0.23100000000000001</v>
      </c>
      <c r="H10">
        <v>4.6200000000000001E-4</v>
      </c>
    </row>
    <row r="11" spans="1:17" x14ac:dyDescent="0.25">
      <c r="A11" t="s">
        <v>23</v>
      </c>
      <c r="B11">
        <v>2.31</v>
      </c>
      <c r="C11">
        <v>15.33</v>
      </c>
      <c r="D11">
        <v>4.5999999999999999E-2</v>
      </c>
      <c r="E11">
        <v>0.23100000000000001</v>
      </c>
      <c r="F11">
        <v>0.115</v>
      </c>
      <c r="G11">
        <v>0.23100000000000001</v>
      </c>
      <c r="H11">
        <v>4.6200000000000001E-4</v>
      </c>
    </row>
    <row r="12" spans="1:17" x14ac:dyDescent="0.25">
      <c r="A12" t="s">
        <v>24</v>
      </c>
      <c r="B12">
        <v>2.31</v>
      </c>
      <c r="C12">
        <v>15.33</v>
      </c>
      <c r="D12">
        <v>4.5999999999999999E-2</v>
      </c>
      <c r="E12">
        <v>0.23100000000000001</v>
      </c>
      <c r="F12">
        <v>0.115</v>
      </c>
      <c r="G12">
        <v>0.23100000000000001</v>
      </c>
      <c r="H12">
        <v>4.6200000000000001E-4</v>
      </c>
    </row>
    <row r="13" spans="1:17" x14ac:dyDescent="0.25">
      <c r="A13" t="s">
        <v>25</v>
      </c>
      <c r="B13">
        <v>2.31</v>
      </c>
      <c r="C13">
        <v>15.33</v>
      </c>
      <c r="D13">
        <v>4.5999999999999999E-2</v>
      </c>
      <c r="E13">
        <v>0.23100000000000001</v>
      </c>
      <c r="F13">
        <v>0.115</v>
      </c>
      <c r="G13">
        <v>0.23100000000000001</v>
      </c>
      <c r="H13">
        <v>4.6200000000000001E-4</v>
      </c>
    </row>
    <row r="14" spans="1:17" x14ac:dyDescent="0.25">
      <c r="A14" t="s">
        <v>26</v>
      </c>
      <c r="B14">
        <v>2.31</v>
      </c>
      <c r="C14">
        <v>15.33</v>
      </c>
      <c r="D14">
        <v>4.5999999999999999E-2</v>
      </c>
      <c r="E14">
        <v>0.23100000000000001</v>
      </c>
      <c r="F14">
        <v>0.115</v>
      </c>
      <c r="G14">
        <v>0.23100000000000001</v>
      </c>
      <c r="H14">
        <v>4.6200000000000001E-4</v>
      </c>
      <c r="P14">
        <v>4.6100000000000002E-2</v>
      </c>
    </row>
    <row r="15" spans="1:17" x14ac:dyDescent="0.25">
      <c r="A15" t="s">
        <v>27</v>
      </c>
      <c r="B15">
        <v>2.31</v>
      </c>
      <c r="C15">
        <v>15.33</v>
      </c>
      <c r="D15">
        <v>4.5999999999999999E-2</v>
      </c>
      <c r="E15">
        <v>0.23100000000000001</v>
      </c>
      <c r="F15">
        <v>0.115</v>
      </c>
      <c r="G15">
        <v>0.23100000000000001</v>
      </c>
      <c r="H15">
        <v>4.6200000000000001E-4</v>
      </c>
      <c r="I15">
        <v>0.29120000000000001</v>
      </c>
      <c r="J15">
        <v>2.8000000000000001E-2</v>
      </c>
      <c r="K15">
        <v>0.41439999999999999</v>
      </c>
      <c r="L15">
        <v>2.0400000000000001E-2</v>
      </c>
      <c r="M15">
        <v>7.8399999999999997E-2</v>
      </c>
    </row>
    <row r="16" spans="1:17" x14ac:dyDescent="0.25">
      <c r="A16" t="s">
        <v>28</v>
      </c>
      <c r="B16">
        <v>2.31</v>
      </c>
      <c r="C16">
        <v>15.33</v>
      </c>
      <c r="D16">
        <v>4.5999999999999999E-2</v>
      </c>
      <c r="E16">
        <v>0.23100000000000001</v>
      </c>
      <c r="F16">
        <v>0.115</v>
      </c>
      <c r="G16">
        <v>0.23100000000000001</v>
      </c>
      <c r="H16">
        <v>4.6200000000000001E-4</v>
      </c>
      <c r="I16">
        <v>0.29120000000000001</v>
      </c>
      <c r="J16">
        <v>2.8000000000000001E-2</v>
      </c>
      <c r="K16">
        <v>0.41439999999999999</v>
      </c>
      <c r="P16">
        <v>2.0400000000000001E-2</v>
      </c>
      <c r="Q16">
        <v>7.8399999999999997E-2</v>
      </c>
    </row>
    <row r="17" spans="1:17" x14ac:dyDescent="0.25">
      <c r="A17" t="s">
        <v>29</v>
      </c>
      <c r="B17">
        <v>2.31</v>
      </c>
      <c r="C17">
        <v>15.33</v>
      </c>
      <c r="D17">
        <v>4.5999999999999999E-2</v>
      </c>
      <c r="E17">
        <v>0.23100000000000001</v>
      </c>
      <c r="F17">
        <v>0.115</v>
      </c>
      <c r="G17">
        <v>0.23100000000000001</v>
      </c>
      <c r="H17">
        <v>4.6200000000000001E-4</v>
      </c>
      <c r="P17">
        <v>4.6100000000000002E-2</v>
      </c>
    </row>
    <row r="18" spans="1:17" x14ac:dyDescent="0.25">
      <c r="A18" t="s">
        <v>30</v>
      </c>
      <c r="B18">
        <v>2.31</v>
      </c>
      <c r="C18">
        <v>15.33</v>
      </c>
      <c r="D18">
        <v>4.5999999999999999E-2</v>
      </c>
      <c r="E18">
        <v>0.23100000000000001</v>
      </c>
      <c r="F18">
        <v>0.115</v>
      </c>
      <c r="G18">
        <v>0.23100000000000001</v>
      </c>
      <c r="H18">
        <v>4.6200000000000001E-4</v>
      </c>
      <c r="I18">
        <v>0.29120000000000001</v>
      </c>
      <c r="J18">
        <v>2.8000000000000001E-2</v>
      </c>
      <c r="K18">
        <v>0.41439999999999999</v>
      </c>
      <c r="L18">
        <v>2.0400000000000001E-2</v>
      </c>
      <c r="M18">
        <v>7.8399999999999997E-2</v>
      </c>
    </row>
    <row r="19" spans="1:17" x14ac:dyDescent="0.25">
      <c r="A19" t="s">
        <v>31</v>
      </c>
      <c r="B19">
        <v>2.31</v>
      </c>
      <c r="C19">
        <v>15.33</v>
      </c>
      <c r="D19">
        <v>4.5999999999999999E-2</v>
      </c>
      <c r="E19">
        <v>0.23100000000000001</v>
      </c>
      <c r="F19">
        <v>0.115</v>
      </c>
      <c r="G19">
        <v>0.23100000000000001</v>
      </c>
      <c r="H19">
        <v>4.6200000000000001E-4</v>
      </c>
      <c r="I19">
        <v>0.29120000000000001</v>
      </c>
      <c r="J19">
        <v>2.8000000000000001E-2</v>
      </c>
      <c r="K19">
        <v>0.41439999999999999</v>
      </c>
      <c r="P19">
        <v>2.0400000000000001E-2</v>
      </c>
      <c r="Q19">
        <v>7.8399999999999997E-2</v>
      </c>
    </row>
    <row r="20" spans="1:17" x14ac:dyDescent="0.25">
      <c r="A20" t="s">
        <v>32</v>
      </c>
      <c r="B20">
        <v>2.31</v>
      </c>
      <c r="C20">
        <v>15.33</v>
      </c>
      <c r="D20">
        <v>4.5999999999999999E-2</v>
      </c>
      <c r="E20">
        <v>0.23100000000000001</v>
      </c>
      <c r="F20">
        <v>0.115</v>
      </c>
      <c r="G20">
        <v>0.23100000000000001</v>
      </c>
      <c r="H20">
        <v>4.6200000000000001E-4</v>
      </c>
    </row>
    <row r="21" spans="1:17" x14ac:dyDescent="0.25">
      <c r="A21" t="s">
        <v>33</v>
      </c>
      <c r="B21">
        <v>2.31</v>
      </c>
      <c r="C21">
        <v>15.33</v>
      </c>
      <c r="D21">
        <v>4.5999999999999999E-2</v>
      </c>
      <c r="E21">
        <v>0.23100000000000001</v>
      </c>
      <c r="F21">
        <v>0.115</v>
      </c>
      <c r="G21">
        <v>0.23100000000000001</v>
      </c>
      <c r="H21">
        <v>4.6200000000000001E-4</v>
      </c>
    </row>
    <row r="22" spans="1:17" x14ac:dyDescent="0.25">
      <c r="A22" t="s">
        <v>34</v>
      </c>
      <c r="B22">
        <v>4.1399999999999997</v>
      </c>
      <c r="C22">
        <v>26.73</v>
      </c>
      <c r="E22">
        <v>0.41299999999999998</v>
      </c>
      <c r="F22">
        <v>0.20699999999999999</v>
      </c>
      <c r="G22">
        <v>0.41299999999999998</v>
      </c>
      <c r="H22">
        <v>8.2600000000000002E-4</v>
      </c>
    </row>
    <row r="23" spans="1:17" x14ac:dyDescent="0.25">
      <c r="A23" t="s">
        <v>35</v>
      </c>
      <c r="B23">
        <v>4.1399999999999997</v>
      </c>
      <c r="C23">
        <v>26.73</v>
      </c>
      <c r="E23">
        <v>0.41299999999999998</v>
      </c>
      <c r="F23">
        <v>0.20699999999999999</v>
      </c>
      <c r="G23">
        <v>0.41299999999999998</v>
      </c>
      <c r="H23">
        <v>8.2600000000000002E-4</v>
      </c>
    </row>
    <row r="24" spans="1:17" x14ac:dyDescent="0.25">
      <c r="A24" t="s">
        <v>36</v>
      </c>
      <c r="B24">
        <v>4.1399999999999997</v>
      </c>
      <c r="C24">
        <v>26.73</v>
      </c>
      <c r="E24">
        <v>0.41299999999999998</v>
      </c>
      <c r="F24">
        <v>0.20699999999999999</v>
      </c>
      <c r="G24">
        <v>0.41299999999999998</v>
      </c>
      <c r="H24">
        <v>8.2600000000000002E-4</v>
      </c>
    </row>
    <row r="25" spans="1:17" x14ac:dyDescent="0.25">
      <c r="A25" t="s">
        <v>37</v>
      </c>
      <c r="B25">
        <v>3.31</v>
      </c>
      <c r="C25">
        <v>21.38</v>
      </c>
      <c r="E25">
        <v>0.33100000000000002</v>
      </c>
      <c r="F25">
        <v>0.16500000000000001</v>
      </c>
      <c r="G25">
        <v>0.33100000000000002</v>
      </c>
      <c r="H25">
        <v>6.6100000000000002E-4</v>
      </c>
    </row>
    <row r="26" spans="1:17" x14ac:dyDescent="0.25">
      <c r="A26" t="s">
        <v>38</v>
      </c>
      <c r="B26">
        <v>3.31</v>
      </c>
      <c r="C26">
        <v>21.38</v>
      </c>
      <c r="E26">
        <v>0.33100000000000002</v>
      </c>
      <c r="F26">
        <v>0.16500000000000001</v>
      </c>
      <c r="G26">
        <v>0.33100000000000002</v>
      </c>
      <c r="H26">
        <v>6.6100000000000002E-4</v>
      </c>
    </row>
    <row r="27" spans="1:17" x14ac:dyDescent="0.25">
      <c r="A27" t="s">
        <v>39</v>
      </c>
      <c r="B27">
        <v>2.48</v>
      </c>
      <c r="C27">
        <v>16.04</v>
      </c>
      <c r="E27">
        <v>0.248</v>
      </c>
      <c r="F27">
        <v>0.124</v>
      </c>
      <c r="G27">
        <v>0.248</v>
      </c>
      <c r="H27">
        <v>4.9600000000000002E-4</v>
      </c>
    </row>
    <row r="28" spans="1:17" x14ac:dyDescent="0.25">
      <c r="A28" t="s">
        <v>40</v>
      </c>
      <c r="B28">
        <v>2.48</v>
      </c>
      <c r="C28">
        <v>16.04</v>
      </c>
      <c r="E28">
        <v>0.248</v>
      </c>
      <c r="F28">
        <v>0.124</v>
      </c>
      <c r="G28">
        <v>0.248</v>
      </c>
      <c r="H28">
        <v>4.9600000000000002E-4</v>
      </c>
    </row>
    <row r="29" spans="1:17" x14ac:dyDescent="0.25">
      <c r="A29" t="s">
        <v>41</v>
      </c>
      <c r="B29">
        <v>2.06</v>
      </c>
      <c r="C29">
        <v>13.28</v>
      </c>
      <c r="D29">
        <v>4.1000000000000002E-2</v>
      </c>
      <c r="E29">
        <v>0.20499999999999999</v>
      </c>
      <c r="F29">
        <v>0.10299999999999999</v>
      </c>
      <c r="G29">
        <v>0.20499999999999999</v>
      </c>
      <c r="H29">
        <v>4.0999999999999999E-4</v>
      </c>
    </row>
    <row r="30" spans="1:17" x14ac:dyDescent="0.25">
      <c r="A30" t="s">
        <v>42</v>
      </c>
      <c r="B30">
        <v>2.06</v>
      </c>
      <c r="C30">
        <v>13.28</v>
      </c>
      <c r="D30">
        <v>4.1000000000000002E-2</v>
      </c>
      <c r="E30">
        <v>0.20499999999999999</v>
      </c>
      <c r="F30">
        <v>0.10299999999999999</v>
      </c>
      <c r="G30">
        <v>0.20499999999999999</v>
      </c>
      <c r="H30">
        <v>4.0999999999999999E-4</v>
      </c>
    </row>
    <row r="31" spans="1:17" x14ac:dyDescent="0.25">
      <c r="A31" t="s">
        <v>43</v>
      </c>
      <c r="B31">
        <v>2.06</v>
      </c>
      <c r="C31">
        <v>13.28</v>
      </c>
      <c r="D31">
        <v>4.1000000000000002E-2</v>
      </c>
      <c r="E31">
        <v>0.20499999999999999</v>
      </c>
      <c r="F31">
        <v>0.10299999999999999</v>
      </c>
      <c r="G31">
        <v>0.20499999999999999</v>
      </c>
      <c r="H31">
        <v>4.0999999999999999E-4</v>
      </c>
      <c r="I31">
        <v>0.22259999999999999</v>
      </c>
      <c r="J31">
        <v>2.8799999999999999E-2</v>
      </c>
      <c r="K31">
        <v>0.31540000000000001</v>
      </c>
      <c r="L31">
        <v>2.1299999999999999E-2</v>
      </c>
      <c r="M31">
        <v>5.57E-2</v>
      </c>
    </row>
    <row r="32" spans="1:17" x14ac:dyDescent="0.25">
      <c r="A32" t="s">
        <v>44</v>
      </c>
      <c r="B32">
        <v>2.06</v>
      </c>
      <c r="C32">
        <v>13.28</v>
      </c>
      <c r="D32">
        <v>4.1000000000000002E-2</v>
      </c>
      <c r="E32">
        <v>0.20499999999999999</v>
      </c>
      <c r="F32">
        <v>0.10299999999999999</v>
      </c>
      <c r="G32">
        <v>0.20499999999999999</v>
      </c>
      <c r="H32">
        <v>4.0999999999999999E-4</v>
      </c>
      <c r="I32">
        <v>0.22259999999999999</v>
      </c>
      <c r="J32">
        <v>2.8799999999999999E-2</v>
      </c>
      <c r="K32">
        <v>0.31540000000000001</v>
      </c>
      <c r="N32">
        <v>2.1299999999999999E-2</v>
      </c>
      <c r="O32">
        <v>5.57E-2</v>
      </c>
    </row>
    <row r="33" spans="1:15" x14ac:dyDescent="0.25">
      <c r="A33" t="s">
        <v>45</v>
      </c>
      <c r="B33">
        <v>2.06</v>
      </c>
      <c r="C33">
        <v>13.28</v>
      </c>
      <c r="D33">
        <v>4.1000000000000002E-2</v>
      </c>
      <c r="E33">
        <v>0.20499999999999999</v>
      </c>
      <c r="F33">
        <v>0.10299999999999999</v>
      </c>
      <c r="G33">
        <v>0.20499999999999999</v>
      </c>
      <c r="H33">
        <v>4.0999999999999999E-4</v>
      </c>
      <c r="I33">
        <v>0.22259999999999999</v>
      </c>
      <c r="J33">
        <v>2.8799999999999999E-2</v>
      </c>
      <c r="K33">
        <v>0.31540000000000001</v>
      </c>
      <c r="L33">
        <v>2.1299999999999999E-2</v>
      </c>
      <c r="M33">
        <v>5.57E-2</v>
      </c>
    </row>
    <row r="34" spans="1:15" x14ac:dyDescent="0.25">
      <c r="A34" t="s">
        <v>46</v>
      </c>
      <c r="B34">
        <v>2.06</v>
      </c>
      <c r="C34">
        <v>13.28</v>
      </c>
      <c r="D34">
        <v>4.1000000000000002E-2</v>
      </c>
      <c r="E34">
        <v>0.20499999999999999</v>
      </c>
      <c r="F34">
        <v>0.10299999999999999</v>
      </c>
      <c r="G34">
        <v>0.20499999999999999</v>
      </c>
      <c r="H34">
        <v>4.0999999999999999E-4</v>
      </c>
      <c r="I34">
        <v>0.22259999999999999</v>
      </c>
      <c r="J34">
        <v>2.8799999999999999E-2</v>
      </c>
      <c r="K34">
        <v>0.31540000000000001</v>
      </c>
      <c r="N34">
        <v>2.1299999999999999E-2</v>
      </c>
      <c r="O34">
        <v>5.57E-2</v>
      </c>
    </row>
    <row r="35" spans="1:15" x14ac:dyDescent="0.25">
      <c r="A35" t="s">
        <v>47</v>
      </c>
      <c r="B35">
        <v>1.03</v>
      </c>
      <c r="C35">
        <v>6.64</v>
      </c>
      <c r="D35">
        <v>2.1000000000000001E-2</v>
      </c>
      <c r="E35">
        <v>0.10299999999999999</v>
      </c>
      <c r="F35">
        <v>5.0999999999999997E-2</v>
      </c>
      <c r="G35">
        <v>0.10299999999999999</v>
      </c>
      <c r="H35">
        <v>2.05E-4</v>
      </c>
      <c r="I35">
        <v>0.1113</v>
      </c>
      <c r="J35">
        <v>1.44E-2</v>
      </c>
      <c r="K35">
        <v>0.15770000000000001</v>
      </c>
      <c r="L35">
        <v>1.0699999999999999E-2</v>
      </c>
      <c r="M35">
        <v>2.7799999999999998E-2</v>
      </c>
    </row>
    <row r="36" spans="1:15" x14ac:dyDescent="0.25">
      <c r="A36" t="s">
        <v>48</v>
      </c>
      <c r="B36">
        <v>1.03</v>
      </c>
      <c r="C36">
        <v>6.64</v>
      </c>
      <c r="D36">
        <v>2.1000000000000001E-2</v>
      </c>
      <c r="E36">
        <v>0.10299999999999999</v>
      </c>
      <c r="F36">
        <v>5.0999999999999997E-2</v>
      </c>
      <c r="G36">
        <v>0.10299999999999999</v>
      </c>
      <c r="H36">
        <v>2.05E-4</v>
      </c>
      <c r="I36">
        <v>0.1113</v>
      </c>
      <c r="J36">
        <v>1.44E-2</v>
      </c>
      <c r="K36">
        <v>0.15770000000000001</v>
      </c>
      <c r="N36">
        <v>1.0699999999999999E-2</v>
      </c>
      <c r="O36">
        <v>2.7799999999999998E-2</v>
      </c>
    </row>
    <row r="37" spans="1:15" x14ac:dyDescent="0.25">
      <c r="A37" t="s">
        <v>49</v>
      </c>
      <c r="B37">
        <v>1.03</v>
      </c>
      <c r="C37">
        <v>6.64</v>
      </c>
      <c r="D37">
        <v>2.1000000000000001E-2</v>
      </c>
      <c r="E37">
        <v>0.10299999999999999</v>
      </c>
      <c r="F37">
        <v>5.0999999999999997E-2</v>
      </c>
      <c r="G37">
        <v>0.10299999999999999</v>
      </c>
      <c r="H37">
        <v>2.05E-4</v>
      </c>
    </row>
    <row r="38" spans="1:15" x14ac:dyDescent="0.25">
      <c r="A38" t="s">
        <v>50</v>
      </c>
      <c r="B38">
        <v>1.03</v>
      </c>
      <c r="C38">
        <v>6.64</v>
      </c>
      <c r="D38">
        <v>2.1000000000000001E-2</v>
      </c>
      <c r="E38">
        <v>0.10299999999999999</v>
      </c>
      <c r="F38">
        <v>5.0999999999999997E-2</v>
      </c>
      <c r="G38">
        <v>0.10299999999999999</v>
      </c>
      <c r="H38">
        <v>2.05E-4</v>
      </c>
      <c r="I38">
        <v>0.1113</v>
      </c>
      <c r="J38">
        <v>1.44E-2</v>
      </c>
      <c r="K38">
        <v>0.15770000000000001</v>
      </c>
      <c r="L38">
        <v>1.0699999999999999E-2</v>
      </c>
      <c r="M38">
        <v>2.7799999999999998E-2</v>
      </c>
    </row>
    <row r="39" spans="1:15" x14ac:dyDescent="0.25">
      <c r="A39" t="s">
        <v>51</v>
      </c>
      <c r="B39">
        <v>1.03</v>
      </c>
      <c r="C39">
        <v>6.64</v>
      </c>
      <c r="D39">
        <v>2.1000000000000001E-2</v>
      </c>
      <c r="E39">
        <v>0.10299999999999999</v>
      </c>
      <c r="F39">
        <v>5.0999999999999997E-2</v>
      </c>
      <c r="G39">
        <v>0.10299999999999999</v>
      </c>
      <c r="H39">
        <v>2.05E-4</v>
      </c>
      <c r="I39">
        <v>0.1113</v>
      </c>
      <c r="J39">
        <v>1.44E-2</v>
      </c>
      <c r="K39">
        <v>0.15770000000000001</v>
      </c>
      <c r="N39">
        <v>1.0699999999999999E-2</v>
      </c>
      <c r="O39">
        <v>2.7799999999999998E-2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C5A2-ED13-44A7-9E25-138018847BBA}">
  <dimension ref="A1:D5"/>
  <sheetViews>
    <sheetView workbookViewId="0">
      <selection activeCell="D3" sqref="D3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0.85546875" bestFit="1" customWidth="1"/>
    <col min="4" max="4" width="27.140625" bestFit="1" customWidth="1"/>
  </cols>
  <sheetData>
    <row r="1" spans="1:4" x14ac:dyDescent="0.25">
      <c r="A1" t="s">
        <v>70</v>
      </c>
      <c r="B1" t="s">
        <v>71</v>
      </c>
      <c r="C1" t="s">
        <v>72</v>
      </c>
      <c r="D1" t="s">
        <v>159</v>
      </c>
    </row>
    <row r="2" spans="1:4" x14ac:dyDescent="0.25">
      <c r="A2" t="s">
        <v>115</v>
      </c>
      <c r="B2" t="s">
        <v>11</v>
      </c>
      <c r="C2" t="s">
        <v>83</v>
      </c>
      <c r="D2">
        <v>13560</v>
      </c>
    </row>
    <row r="3" spans="1:4" x14ac:dyDescent="0.25">
      <c r="A3" t="s">
        <v>117</v>
      </c>
      <c r="B3" t="s">
        <v>12</v>
      </c>
      <c r="C3" t="s">
        <v>86</v>
      </c>
      <c r="D3">
        <v>30916.800000000003</v>
      </c>
    </row>
    <row r="4" spans="1:4" x14ac:dyDescent="0.25">
      <c r="A4" t="s">
        <v>116</v>
      </c>
      <c r="B4" t="s">
        <v>11</v>
      </c>
      <c r="C4" t="s">
        <v>85</v>
      </c>
      <c r="D4">
        <v>15330</v>
      </c>
    </row>
    <row r="5" spans="1:4" x14ac:dyDescent="0.25">
      <c r="A5" t="s">
        <v>116</v>
      </c>
      <c r="B5" t="s">
        <v>12</v>
      </c>
      <c r="C5" t="s">
        <v>85</v>
      </c>
      <c r="D5">
        <v>39858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33D2-A805-4F57-8D75-7EB271CDEA99}">
  <dimension ref="A1:O44"/>
  <sheetViews>
    <sheetView zoomScale="80" zoomScaleNormal="80" workbookViewId="0">
      <selection activeCell="J13" sqref="J13"/>
    </sheetView>
  </sheetViews>
  <sheetFormatPr defaultRowHeight="15" x14ac:dyDescent="0.25"/>
  <cols>
    <col min="1" max="1" width="21.7109375" customWidth="1"/>
    <col min="2" max="2" width="17.7109375" bestFit="1" customWidth="1"/>
    <col min="3" max="3" width="10.85546875" bestFit="1" customWidth="1"/>
    <col min="4" max="4" width="17.7109375" bestFit="1" customWidth="1"/>
    <col min="5" max="5" width="25" bestFit="1" customWidth="1"/>
    <col min="6" max="6" width="10.28515625" customWidth="1"/>
    <col min="7" max="7" width="20.7109375" bestFit="1" customWidth="1"/>
    <col min="8" max="8" width="22.140625" bestFit="1" customWidth="1"/>
    <col min="9" max="9" width="23.85546875" bestFit="1" customWidth="1"/>
    <col min="10" max="10" width="15.7109375" bestFit="1" customWidth="1"/>
    <col min="11" max="11" width="16.7109375" bestFit="1" customWidth="1"/>
    <col min="12" max="12" width="23.140625" bestFit="1" customWidth="1"/>
    <col min="13" max="13" width="19.5703125" bestFit="1" customWidth="1"/>
    <col min="14" max="14" width="27.140625" bestFit="1" customWidth="1"/>
    <col min="15" max="16" width="9.85546875" bestFit="1" customWidth="1"/>
    <col min="17" max="17" width="36" bestFit="1" customWidth="1"/>
    <col min="18" max="19" width="18.7109375" bestFit="1" customWidth="1"/>
  </cols>
  <sheetData>
    <row r="1" spans="1:15" ht="16.5" x14ac:dyDescent="0.25">
      <c r="A1" s="20" t="s">
        <v>197</v>
      </c>
    </row>
    <row r="2" spans="1:15" ht="16.5" x14ac:dyDescent="0.25">
      <c r="A2" s="21" t="s">
        <v>168</v>
      </c>
      <c r="B2" s="18" t="s">
        <v>169</v>
      </c>
      <c r="C2" s="18" t="s">
        <v>170</v>
      </c>
      <c r="D2" s="18" t="s">
        <v>171</v>
      </c>
      <c r="E2" s="18" t="s">
        <v>172</v>
      </c>
      <c r="F2" s="18" t="s">
        <v>173</v>
      </c>
      <c r="G2" t="s">
        <v>174</v>
      </c>
      <c r="H2" t="s">
        <v>195</v>
      </c>
      <c r="I2" t="s">
        <v>175</v>
      </c>
      <c r="J2" t="s">
        <v>176</v>
      </c>
      <c r="K2" t="s">
        <v>177</v>
      </c>
      <c r="L2" t="s">
        <v>178</v>
      </c>
      <c r="M2" t="s">
        <v>179</v>
      </c>
      <c r="O2" s="20"/>
    </row>
    <row r="3" spans="1:15" x14ac:dyDescent="0.25">
      <c r="A3" s="22">
        <v>46186</v>
      </c>
      <c r="B3" t="s">
        <v>11</v>
      </c>
      <c r="C3" t="s">
        <v>83</v>
      </c>
      <c r="D3" t="s">
        <v>118</v>
      </c>
      <c r="E3" t="s">
        <v>14</v>
      </c>
      <c r="F3" t="s">
        <v>90</v>
      </c>
      <c r="G3">
        <v>1000</v>
      </c>
      <c r="H3">
        <v>10</v>
      </c>
      <c r="I3">
        <v>1000</v>
      </c>
      <c r="J3">
        <v>1000</v>
      </c>
    </row>
    <row r="4" spans="1:15" x14ac:dyDescent="0.25">
      <c r="A4" s="22">
        <v>46187</v>
      </c>
      <c r="B4" t="s">
        <v>11</v>
      </c>
      <c r="C4" t="s">
        <v>85</v>
      </c>
      <c r="D4" t="s">
        <v>119</v>
      </c>
      <c r="E4" t="s">
        <v>22</v>
      </c>
      <c r="F4" t="s">
        <v>91</v>
      </c>
      <c r="G4">
        <v>1000</v>
      </c>
      <c r="H4">
        <v>10</v>
      </c>
      <c r="I4">
        <v>1000</v>
      </c>
      <c r="J4">
        <v>1000</v>
      </c>
      <c r="K4">
        <v>979</v>
      </c>
      <c r="L4">
        <v>10</v>
      </c>
      <c r="M4">
        <v>11</v>
      </c>
    </row>
    <row r="5" spans="1:15" x14ac:dyDescent="0.25">
      <c r="A5" s="22">
        <v>46187</v>
      </c>
      <c r="B5" t="s">
        <v>12</v>
      </c>
      <c r="C5" t="s">
        <v>85</v>
      </c>
      <c r="D5" t="s">
        <v>194</v>
      </c>
      <c r="E5" t="s">
        <v>33</v>
      </c>
      <c r="F5" t="s">
        <v>91</v>
      </c>
      <c r="G5">
        <v>2600</v>
      </c>
      <c r="H5">
        <v>272</v>
      </c>
      <c r="I5">
        <v>2250</v>
      </c>
      <c r="J5">
        <v>2250</v>
      </c>
      <c r="K5">
        <v>2250</v>
      </c>
      <c r="L5">
        <v>9</v>
      </c>
    </row>
    <row r="6" spans="1:15" x14ac:dyDescent="0.25">
      <c r="A6" s="22">
        <v>46176</v>
      </c>
      <c r="B6" t="s">
        <v>12</v>
      </c>
      <c r="C6" t="s">
        <v>86</v>
      </c>
      <c r="D6" t="s">
        <v>180</v>
      </c>
      <c r="E6" t="s">
        <v>14</v>
      </c>
      <c r="F6" t="s">
        <v>91</v>
      </c>
      <c r="G6">
        <v>2280</v>
      </c>
      <c r="H6">
        <v>123</v>
      </c>
    </row>
    <row r="8" spans="1:15" ht="16.5" x14ac:dyDescent="0.25">
      <c r="A8" s="20"/>
    </row>
    <row r="15" spans="1:15" ht="16.5" x14ac:dyDescent="0.25">
      <c r="A15" s="20"/>
    </row>
    <row r="19" spans="1:12" x14ac:dyDescent="0.25">
      <c r="A19" t="s">
        <v>198</v>
      </c>
    </row>
    <row r="20" spans="1:12" ht="16.5" x14ac:dyDescent="0.25">
      <c r="A20" s="20" t="s">
        <v>196</v>
      </c>
    </row>
    <row r="21" spans="1:12" x14ac:dyDescent="0.25">
      <c r="A21" s="21" t="s">
        <v>168</v>
      </c>
      <c r="B21" s="18" t="s">
        <v>169</v>
      </c>
      <c r="C21" s="18" t="s">
        <v>170</v>
      </c>
      <c r="D21" s="18" t="s">
        <v>171</v>
      </c>
      <c r="E21" s="18" t="s">
        <v>172</v>
      </c>
      <c r="F21" s="18" t="s">
        <v>173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</row>
    <row r="22" spans="1:12" x14ac:dyDescent="0.25">
      <c r="A22" s="22">
        <v>46186</v>
      </c>
      <c r="B22" t="s">
        <v>11</v>
      </c>
      <c r="C22" t="s">
        <v>83</v>
      </c>
      <c r="D22" t="s">
        <v>118</v>
      </c>
      <c r="E22" t="s">
        <v>14</v>
      </c>
      <c r="F22" t="s">
        <v>90</v>
      </c>
      <c r="H22">
        <v>950</v>
      </c>
      <c r="J22">
        <v>45</v>
      </c>
      <c r="L22">
        <v>5</v>
      </c>
    </row>
    <row r="23" spans="1:12" x14ac:dyDescent="0.25">
      <c r="A23" s="22">
        <v>46187</v>
      </c>
      <c r="B23" t="s">
        <v>11</v>
      </c>
      <c r="C23" t="s">
        <v>85</v>
      </c>
      <c r="D23" t="s">
        <v>119</v>
      </c>
      <c r="E23" t="s">
        <v>22</v>
      </c>
      <c r="F23" t="s">
        <v>91</v>
      </c>
      <c r="G23">
        <v>979</v>
      </c>
      <c r="H23">
        <v>900</v>
      </c>
      <c r="I23">
        <v>10</v>
      </c>
      <c r="J23">
        <v>50</v>
      </c>
      <c r="K23">
        <v>11</v>
      </c>
      <c r="L23">
        <v>50</v>
      </c>
    </row>
    <row r="24" spans="1:12" x14ac:dyDescent="0.25">
      <c r="A24" s="22">
        <v>46187</v>
      </c>
      <c r="B24" t="s">
        <v>12</v>
      </c>
      <c r="C24" t="s">
        <v>85</v>
      </c>
      <c r="D24" t="s">
        <v>194</v>
      </c>
      <c r="E24" t="s">
        <v>33</v>
      </c>
      <c r="F24" t="s">
        <v>91</v>
      </c>
      <c r="G24">
        <v>2250</v>
      </c>
      <c r="I24">
        <v>9</v>
      </c>
    </row>
    <row r="25" spans="1:12" x14ac:dyDescent="0.25">
      <c r="A25" s="22">
        <v>46176</v>
      </c>
      <c r="B25" t="s">
        <v>12</v>
      </c>
      <c r="C25" t="s">
        <v>86</v>
      </c>
      <c r="D25" t="s">
        <v>180</v>
      </c>
      <c r="E25" t="s">
        <v>14</v>
      </c>
      <c r="F25" t="s">
        <v>91</v>
      </c>
    </row>
    <row r="39" spans="1:13" x14ac:dyDescent="0.25">
      <c r="A39" t="s">
        <v>198</v>
      </c>
    </row>
    <row r="40" spans="1:13" x14ac:dyDescent="0.25">
      <c r="A40" s="21" t="s">
        <v>168</v>
      </c>
      <c r="B40" s="18" t="s">
        <v>169</v>
      </c>
      <c r="C40" s="18" t="s">
        <v>170</v>
      </c>
      <c r="D40" s="18" t="s">
        <v>171</v>
      </c>
      <c r="E40" s="18" t="s">
        <v>172</v>
      </c>
      <c r="F40" s="18" t="s">
        <v>173</v>
      </c>
      <c r="G40" t="s">
        <v>187</v>
      </c>
      <c r="H40" t="s">
        <v>188</v>
      </c>
      <c r="I40" t="s">
        <v>189</v>
      </c>
      <c r="J40" t="s">
        <v>190</v>
      </c>
      <c r="K40" t="s">
        <v>191</v>
      </c>
      <c r="L40" t="s">
        <v>192</v>
      </c>
      <c r="M40" t="s">
        <v>193</v>
      </c>
    </row>
    <row r="41" spans="1:13" x14ac:dyDescent="0.25">
      <c r="A41" s="22">
        <v>46186</v>
      </c>
      <c r="B41" t="s">
        <v>11</v>
      </c>
      <c r="C41" t="s">
        <v>83</v>
      </c>
      <c r="D41" t="s">
        <v>118</v>
      </c>
      <c r="E41" t="s">
        <v>14</v>
      </c>
      <c r="F41" t="s">
        <v>90</v>
      </c>
      <c r="G41">
        <v>-12.56</v>
      </c>
      <c r="H41">
        <v>-1.0099999999999998</v>
      </c>
      <c r="I41">
        <v>0.79899999999999993</v>
      </c>
      <c r="J41">
        <v>0.96</v>
      </c>
      <c r="K41">
        <v>0.79899999999999993</v>
      </c>
      <c r="L41">
        <v>0.89900000000000002</v>
      </c>
      <c r="M41">
        <v>-12560</v>
      </c>
    </row>
    <row r="42" spans="1:13" x14ac:dyDescent="0.25">
      <c r="A42" s="22">
        <v>46187</v>
      </c>
      <c r="B42" t="s">
        <v>11</v>
      </c>
      <c r="C42" t="s">
        <v>85</v>
      </c>
      <c r="D42" t="s">
        <v>119</v>
      </c>
      <c r="E42" t="s">
        <v>22</v>
      </c>
      <c r="F42" t="s">
        <v>91</v>
      </c>
      <c r="G42">
        <v>-5.33</v>
      </c>
      <c r="H42">
        <v>7.6899999999999995</v>
      </c>
      <c r="I42">
        <v>9.7690000000000001</v>
      </c>
      <c r="J42">
        <v>9.9540000000000006</v>
      </c>
      <c r="K42">
        <v>9.7690000000000001</v>
      </c>
      <c r="L42">
        <v>9.8849999999999998</v>
      </c>
      <c r="M42">
        <v>-5330</v>
      </c>
    </row>
    <row r="43" spans="1:13" x14ac:dyDescent="0.25">
      <c r="A43" s="22">
        <v>46187</v>
      </c>
      <c r="B43" t="s">
        <v>12</v>
      </c>
      <c r="C43" t="s">
        <v>85</v>
      </c>
      <c r="D43" t="s">
        <v>194</v>
      </c>
      <c r="E43" t="s">
        <v>33</v>
      </c>
      <c r="F43" t="s">
        <v>91</v>
      </c>
      <c r="G43">
        <v>-7.6538461538461888E-2</v>
      </c>
      <c r="H43">
        <v>9.0384615384615508E-2</v>
      </c>
      <c r="I43">
        <v>7.4615384615384639E-3</v>
      </c>
      <c r="J43">
        <v>1.6923076923076943E-3</v>
      </c>
      <c r="K43">
        <v>-0.23100000000000001</v>
      </c>
      <c r="L43">
        <v>4.2307692307692324E-3</v>
      </c>
      <c r="M43">
        <v>-199</v>
      </c>
    </row>
    <row r="44" spans="1:13" x14ac:dyDescent="0.25">
      <c r="A44" s="22">
        <v>46176</v>
      </c>
      <c r="B44" t="s">
        <v>12</v>
      </c>
      <c r="C44" t="s">
        <v>86</v>
      </c>
      <c r="D44" t="s">
        <v>180</v>
      </c>
      <c r="E44" t="s">
        <v>14</v>
      </c>
      <c r="F44" t="s">
        <v>91</v>
      </c>
      <c r="G44">
        <v>-0.38105263157894775</v>
      </c>
      <c r="H44">
        <v>8.0350877192982839E-2</v>
      </c>
      <c r="I44">
        <v>0.10821052631578948</v>
      </c>
      <c r="J44">
        <v>1.2280701754385989E-3</v>
      </c>
      <c r="K44">
        <v>5.1403508771929729E-3</v>
      </c>
      <c r="L44">
        <v>2.070175438596486E-3</v>
      </c>
      <c r="M44">
        <v>-868.80000000000291</v>
      </c>
    </row>
  </sheetData>
  <conditionalFormatting pivot="1" sqref="G41:G44">
    <cfRule type="cellIs" dxfId="15" priority="10" operator="greaterThan">
      <formula>0</formula>
    </cfRule>
  </conditionalFormatting>
  <conditionalFormatting pivot="1" sqref="G41:G44">
    <cfRule type="cellIs" dxfId="14" priority="9" operator="lessThan">
      <formula>0</formula>
    </cfRule>
  </conditionalFormatting>
  <conditionalFormatting pivot="1" sqref="H41:H44">
    <cfRule type="cellIs" dxfId="13" priority="8" operator="greaterThan">
      <formula>0</formula>
    </cfRule>
  </conditionalFormatting>
  <conditionalFormatting pivot="1" sqref="H41:H44">
    <cfRule type="cellIs" dxfId="12" priority="7" operator="lessThan">
      <formula>0</formula>
    </cfRule>
  </conditionalFormatting>
  <conditionalFormatting pivot="1" sqref="I41:I44">
    <cfRule type="cellIs" dxfId="11" priority="6" operator="greaterThan">
      <formula>0</formula>
    </cfRule>
  </conditionalFormatting>
  <conditionalFormatting pivot="1" sqref="I41:I44">
    <cfRule type="cellIs" dxfId="10" priority="5" operator="lessThan">
      <formula>0</formula>
    </cfRule>
  </conditionalFormatting>
  <conditionalFormatting pivot="1" sqref="J41:J44">
    <cfRule type="cellIs" dxfId="9" priority="4" operator="greaterThan">
      <formula>0</formula>
    </cfRule>
  </conditionalFormatting>
  <conditionalFormatting pivot="1" sqref="J41:J44">
    <cfRule type="cellIs" dxfId="8" priority="3" operator="lessThan">
      <formula>0</formula>
    </cfRule>
  </conditionalFormatting>
  <conditionalFormatting pivot="1" sqref="K41:K44">
    <cfRule type="cellIs" dxfId="7" priority="2" operator="greaterThan">
      <formula>0</formula>
    </cfRule>
  </conditionalFormatting>
  <conditionalFormatting pivot="1" sqref="K41:K44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horizontalDpi="4294967293" verticalDpi="4294967293" r:id="rId4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87CD-4CF5-4001-B3CD-89669F7C59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CCEFBAC38ABDD4DA6EF7487B1CCD586" ma:contentTypeVersion="3" ma:contentTypeDescription="Создание документа." ma:contentTypeScope="" ma:versionID="44a2b3ffcfdb4eac29bac060a9564cf4">
  <xsd:schema xmlns:xsd="http://www.w3.org/2001/XMLSchema" xmlns:xs="http://www.w3.org/2001/XMLSchema" xmlns:p="http://schemas.microsoft.com/office/2006/metadata/properties" xmlns:ns2="d39f52b7-b6dd-464f-b0be-ef3947183172" targetNamespace="http://schemas.microsoft.com/office/2006/metadata/properties" ma:root="true" ma:fieldsID="6b5bb5c9ba5d7da3581e58b18e6b262a" ns2:_="">
    <xsd:import namespace="d39f52b7-b6dd-464f-b0be-ef39471831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f52b7-b6dd-464f-b0be-ef39471831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3F8C60C-7CEE-4746-A2FF-E960992B5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9f52b7-b6dd-464f-b0be-ef39471831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DFA0F-B6F1-4C18-89A3-F1F11873BB49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d39f52b7-b6dd-464f-b0be-ef3947183172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12589A2-5EAA-492D-B213-27758030F47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70C154D-9885-42D9-A2C2-9FEB313317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Reference</vt:lpstr>
      <vt:lpstr>Norms</vt:lpstr>
      <vt:lpstr>Receipt_Data</vt:lpstr>
      <vt:lpstr>ZO_Data</vt:lpstr>
      <vt:lpstr>LFM_Data</vt:lpstr>
      <vt:lpstr>Stacker_Data</vt:lpstr>
      <vt:lpstr>Destacker_Data</vt:lpstr>
      <vt:lpstr>QCD_Data</vt:lpstr>
      <vt:lpstr>q_Receipt</vt:lpstr>
      <vt:lpstr>q_ZO</vt:lpstr>
      <vt:lpstr>q_LFM</vt:lpstr>
      <vt:lpstr>q_Stacker</vt:lpstr>
      <vt:lpstr>q_Destacker</vt:lpstr>
      <vt:lpstr>q_QCD</vt:lpstr>
      <vt:lpstr>q_Total_Production</vt:lpstr>
      <vt:lpstr>fact_LFM_Base</vt:lpstr>
      <vt:lpstr>Лист1</vt:lpstr>
      <vt:lpstr>q_Norms</vt:lpstr>
      <vt:lpstr>ZZ_ShiftSum</vt:lpstr>
      <vt:lpstr>Сводная таблица</vt:lpstr>
      <vt:lpstr>Лист2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Tectum Engineering</cp:lastModifiedBy>
  <cp:revision/>
  <dcterms:created xsi:type="dcterms:W3CDTF">2026-06-12T10:13:25Z</dcterms:created>
  <dcterms:modified xsi:type="dcterms:W3CDTF">2026-06-19T17:28:07Z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0x0101003CCEFBAC38ABDD4DA6EF7487B1CCD586</vt:lpwstr>
  </property>
</Properties>
</file>